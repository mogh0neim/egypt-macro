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Time Series\2025\Budget without GDP\Rev\"/>
    </mc:Choice>
  </mc:AlternateContent>
  <xr:revisionPtr revIDLastSave="0" documentId="13_ncr:1_{7349CF41-BBE4-4B94-B3CF-DF032675B4F9}" xr6:coauthVersionLast="47" xr6:coauthVersionMax="47" xr10:uidLastSave="{00000000-0000-0000-0000-000000000000}"/>
  <bookViews>
    <workbookView xWindow="-108" yWindow="-108" windowWidth="17496" windowHeight="10560" xr2:uid="{00000000-000D-0000-FFFF-FFFF00000000}"/>
  </bookViews>
  <sheets>
    <sheet name="Revenues_Annual " sheetId="2" r:id="rId1"/>
  </sheets>
  <definedNames>
    <definedName name="_xlnm.Print_Area" localSheetId="0">'Revenues_Annual '!$A$1:$AN$37</definedName>
    <definedName name="_xlnm.Print_Titles" localSheetId="0">'Revenues_Annual '!$A:$B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22" i="2" l="1"/>
  <c r="AN22" i="2"/>
  <c r="AK22" i="2"/>
  <c r="AL22" i="2"/>
  <c r="AL21" i="2" s="1"/>
  <c r="AI22" i="2"/>
  <c r="AJ22" i="2"/>
  <c r="AH22" i="2"/>
  <c r="AG22" i="2"/>
  <c r="AM21" i="2"/>
  <c r="AN21" i="2"/>
  <c r="AM18" i="2"/>
  <c r="AN18" i="2"/>
  <c r="AM8" i="2"/>
  <c r="AN8" i="2"/>
  <c r="AK8" i="2"/>
  <c r="AK7" i="2" s="1"/>
  <c r="AL8" i="2"/>
  <c r="AL7" i="2" s="1"/>
  <c r="AI8" i="2"/>
  <c r="AJ8" i="2"/>
  <c r="AH8" i="2"/>
  <c r="AG8" i="2"/>
  <c r="AM7" i="2"/>
  <c r="AN7" i="2"/>
  <c r="AK21" i="2"/>
  <c r="AL18" i="2"/>
  <c r="AK18" i="2"/>
  <c r="AN6" i="2" l="1"/>
  <c r="AM6" i="2"/>
  <c r="AK6" i="2"/>
  <c r="AL6" i="2"/>
  <c r="AI21" i="2" l="1"/>
  <c r="AJ21" i="2"/>
  <c r="AI18" i="2"/>
  <c r="AJ18" i="2"/>
  <c r="AI7" i="2"/>
  <c r="AJ7" i="2"/>
  <c r="AJ6" i="2" l="1"/>
  <c r="AI6" i="2"/>
  <c r="AH21" i="2"/>
  <c r="AG21" i="2"/>
  <c r="AB21" i="2"/>
  <c r="AA21" i="2"/>
  <c r="AH18" i="2"/>
  <c r="AG18" i="2"/>
  <c r="AH7" i="2"/>
  <c r="AG7" i="2"/>
  <c r="AG6" i="2" l="1"/>
  <c r="AH6" i="2"/>
</calcChain>
</file>

<file path=xl/sharedStrings.xml><?xml version="1.0" encoding="utf-8"?>
<sst xmlns="http://schemas.openxmlformats.org/spreadsheetml/2006/main" count="174" uniqueCount="82">
  <si>
    <t>(LE mn)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</si>
  <si>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</si>
  <si>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</si>
  <si>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</si>
  <si>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</si>
  <si>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</si>
  <si>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</si>
  <si>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</si>
  <si>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</si>
  <si>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</si>
  <si>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</si>
  <si>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</si>
  <si>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</si>
  <si>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</si>
  <si>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 xml:space="preserve">  2019/2020</t>
  </si>
  <si>
    <t>2020/2021</t>
  </si>
  <si>
    <t xml:space="preserve">  2021/2022</t>
  </si>
  <si>
    <t>The
 Budget
 Sector</t>
  </si>
  <si>
    <t xml:space="preserve">
The General Government 
 </t>
  </si>
  <si>
    <t xml:space="preserve">The General 
Government </t>
  </si>
  <si>
    <t>Total Revenues</t>
  </si>
  <si>
    <t>..</t>
  </si>
  <si>
    <t xml:space="preserve">الإيرادات الضريبية </t>
  </si>
  <si>
    <t>Tax Revenues</t>
  </si>
  <si>
    <t>الضرائب على الدخول والأرباح من:</t>
  </si>
  <si>
    <t>Taxes on Income, Profits</t>
  </si>
  <si>
    <t xml:space="preserve"> هيئة البترول</t>
  </si>
  <si>
    <t>From EGPC</t>
  </si>
  <si>
    <t>هيئة قناة السويس</t>
  </si>
  <si>
    <t>From SCA</t>
  </si>
  <si>
    <t xml:space="preserve"> البنك المركزى</t>
  </si>
  <si>
    <t>From CBE</t>
  </si>
  <si>
    <t xml:space="preserve"> وحدات أخرى</t>
  </si>
  <si>
    <t>From other units</t>
  </si>
  <si>
    <t xml:space="preserve"> دخول الأفراد</t>
  </si>
  <si>
    <t>Payable by individuals</t>
  </si>
  <si>
    <t>الضرائب  على الممتلكات</t>
  </si>
  <si>
    <t>Taxes on Property</t>
  </si>
  <si>
    <t>الضرائب  على السلع والخدمات</t>
  </si>
  <si>
    <t>Taxes on Goods and Services</t>
  </si>
  <si>
    <t>ضرائب على التجارة الدولية ( الجمارك )</t>
  </si>
  <si>
    <t xml:space="preserve">Taxes on International Trade </t>
  </si>
  <si>
    <t xml:space="preserve">ضرائب أخرى </t>
  </si>
  <si>
    <t>Other Taxes</t>
  </si>
  <si>
    <t xml:space="preserve">المنح </t>
  </si>
  <si>
    <t>Grants</t>
  </si>
  <si>
    <t>جارية</t>
  </si>
  <si>
    <t xml:space="preserve">Current </t>
  </si>
  <si>
    <t>رأسمالية</t>
  </si>
  <si>
    <t>Capital</t>
  </si>
  <si>
    <t>إيرادات أخرى</t>
  </si>
  <si>
    <t>Other Revenues</t>
  </si>
  <si>
    <t>Property Income</t>
  </si>
  <si>
    <t xml:space="preserve"> هيئة قناة السويس</t>
  </si>
  <si>
    <t xml:space="preserve"> الهيئات الاقتصادية</t>
  </si>
  <si>
    <t>From economic authorities</t>
  </si>
  <si>
    <t xml:space="preserve"> الشركات</t>
  </si>
  <si>
    <t>From companies</t>
  </si>
  <si>
    <t>أخرى (من هيئة البترول، والرخصة الثالثة للمحمول)</t>
  </si>
  <si>
    <t>Other ( from EGPC &amp; TML** )</t>
  </si>
  <si>
    <t>أخرى</t>
  </si>
  <si>
    <t>Other</t>
  </si>
  <si>
    <t>Sales of Goods and Services</t>
  </si>
  <si>
    <t xml:space="preserve">تمويل الاستثمارات </t>
  </si>
  <si>
    <t>Financing Investment</t>
  </si>
  <si>
    <t>المصدر: وزارة المالية.</t>
  </si>
  <si>
    <t>Source:Ministry of Finance.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</si>
  <si>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</si>
  <si>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  A new budget classification was prepared in accordance with the IMF's 2001 GFS (Government Finance Statistics) Manual  and the latest modifications.</t>
  </si>
  <si>
    <t>** TML : Third Mobile License.</t>
  </si>
  <si>
    <t xml:space="preserve"> ..   غير متوافر.  </t>
  </si>
  <si>
    <t>.. Not Available.</t>
  </si>
  <si>
    <t xml:space="preserve">إجمالى الإيرادات </t>
  </si>
  <si>
    <r>
      <t xml:space="preserve"> </t>
    </r>
    <r>
      <rPr>
        <vertAlign val="superscript"/>
        <sz val="16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</si>
  <si>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t xml:space="preserve"> </t>
    </r>
    <r>
      <rPr>
        <vertAlign val="superscript"/>
        <sz val="16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</si>
  <si>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t xml:space="preserve">العمليات المالية الموحدة *
  للحكومة العامة 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
</t>
    </r>
  </si>
  <si>
    <r>
      <t xml:space="preserve"> Consolidated Fiscal Operations*  of the General Government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
</t>
    </r>
  </si>
  <si>
    <t xml:space="preserve">  2022/2023</t>
  </si>
  <si>
    <t xml:space="preserve">  2023/2024</t>
  </si>
  <si>
    <t xml:space="preserve"> حصيلة بيع السلع  والخدمات</t>
  </si>
  <si>
    <t xml:space="preserve">عوائد الملكية من : </t>
  </si>
  <si>
    <t xml:space="preserve"> 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</si>
</sst>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4"/>
      <color indexed="61"/>
      <name val="Arial"/>
      <family val="2"/>
    </font>
    <font>
      <sz val="10"/>
      <name val="Arial"/>
    </font>
    <font>
      <b/>
      <u/>
      <sz val="16"/>
      <name val="Arial"/>
      <family val="2"/>
    </font>
    <font>
      <b/>
      <u/>
      <sz val="16"/>
      <color indexed="61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u/>
      <sz val="16"/>
      <name val="Arial"/>
      <family val="2"/>
    </font>
    <font>
      <vertAlign val="superscript"/>
      <sz val="16"/>
      <name val="Arial"/>
      <family val="2"/>
    </font>
    <font>
      <b/>
      <vertAlign val="superscript"/>
      <sz val="16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6" fillId="0" borderId="0"/>
  </cellStyleXfs>
  <cellXfs count="85">
    <xf numFmtId="0" fontId="0" fillId="0" borderId="0" xfId="0"/>
    <xf numFmtId="0" fontId="2" fillId="0" borderId="0" xfId="1" applyFont="1" applyBorder="1" applyAlignment="1">
      <alignment vertical="center" wrapText="1" readingOrder="1"/>
    </xf>
    <xf numFmtId="0" fontId="2" fillId="0" borderId="0" xfId="1" applyFont="1" applyBorder="1" applyAlignment="1">
      <alignment vertical="center" wrapText="1" readingOrder="2"/>
    </xf>
    <xf numFmtId="0" fontId="3" fillId="0" borderId="0" xfId="1" applyFont="1"/>
    <xf numFmtId="0" fontId="3" fillId="0" borderId="0" xfId="1" applyFont="1" applyFill="1" applyBorder="1"/>
    <xf numFmtId="0" fontId="3" fillId="0" borderId="0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3" fillId="0" borderId="0" xfId="1" applyFont="1" applyFill="1" applyAlignment="1">
      <alignment horizontal="center"/>
    </xf>
    <xf numFmtId="0" fontId="3" fillId="0" borderId="0" xfId="1" applyFont="1" applyFill="1" applyAlignment="1">
      <alignment horizontal="center" vertical="center"/>
    </xf>
    <xf numFmtId="0" fontId="3" fillId="2" borderId="2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left" vertical="center"/>
    </xf>
    <xf numFmtId="0" fontId="3" fillId="2" borderId="5" xfId="1" applyFont="1" applyFill="1" applyBorder="1" applyAlignment="1"/>
    <xf numFmtId="0" fontId="3" fillId="2" borderId="6" xfId="1" applyFont="1" applyFill="1" applyBorder="1" applyAlignment="1">
      <alignment horizontal="left" vertical="center"/>
    </xf>
    <xf numFmtId="0" fontId="2" fillId="2" borderId="6" xfId="1" quotePrefix="1" applyFont="1" applyFill="1" applyBorder="1" applyAlignment="1">
      <alignment horizontal="center" vertical="center" wrapText="1"/>
    </xf>
    <xf numFmtId="0" fontId="2" fillId="2" borderId="6" xfId="1" quotePrefix="1" applyFont="1" applyFill="1" applyBorder="1" applyAlignment="1">
      <alignment horizontal="center" vertical="top" wrapText="1"/>
    </xf>
    <xf numFmtId="0" fontId="3" fillId="2" borderId="0" xfId="1" applyFont="1" applyFill="1" applyAlignment="1"/>
    <xf numFmtId="0" fontId="3" fillId="0" borderId="0" xfId="1" applyFont="1" applyAlignment="1">
      <alignment horizontal="center" vertical="center"/>
    </xf>
    <xf numFmtId="1" fontId="5" fillId="0" borderId="0" xfId="1" applyNumberFormat="1" applyFont="1"/>
    <xf numFmtId="0" fontId="3" fillId="0" borderId="0" xfId="3" applyFont="1" applyBorder="1" applyAlignment="1">
      <alignment horizontal="right" vertical="center" readingOrder="2"/>
    </xf>
    <xf numFmtId="1" fontId="3" fillId="0" borderId="0" xfId="1" applyNumberFormat="1" applyFont="1" applyBorder="1" applyAlignment="1">
      <alignment horizontal="left" vertical="center" readingOrder="1"/>
    </xf>
    <xf numFmtId="1" fontId="4" fillId="0" borderId="0" xfId="1" applyNumberFormat="1" applyFont="1" applyBorder="1" applyAlignment="1">
      <alignment horizontal="center" vertical="center" readingOrder="1"/>
    </xf>
    <xf numFmtId="1" fontId="4" fillId="0" borderId="0" xfId="1" applyNumberFormat="1" applyFont="1" applyBorder="1" applyAlignment="1">
      <alignment horizontal="center" vertical="center"/>
    </xf>
    <xf numFmtId="1" fontId="4" fillId="0" borderId="0" xfId="1" applyNumberFormat="1" applyFont="1" applyBorder="1" applyAlignment="1">
      <alignment horizontal="center"/>
    </xf>
    <xf numFmtId="1" fontId="5" fillId="0" borderId="0" xfId="1" applyNumberFormat="1" applyFont="1" applyAlignment="1"/>
    <xf numFmtId="0" fontId="3" fillId="0" borderId="0" xfId="1" applyFont="1" applyAlignment="1">
      <alignment horizontal="center" vertical="center" readingOrder="1"/>
    </xf>
    <xf numFmtId="0" fontId="3" fillId="0" borderId="0" xfId="1" applyFont="1" applyAlignment="1">
      <alignment horizontal="right" vertical="center" wrapText="1" readingOrder="2"/>
    </xf>
    <xf numFmtId="0" fontId="3" fillId="3" borderId="0" xfId="3" applyFont="1" applyFill="1" applyAlignment="1">
      <alignment horizontal="left" vertical="center" wrapText="1" readingOrder="1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 vertical="center"/>
    </xf>
    <xf numFmtId="0" fontId="3" fillId="3" borderId="0" xfId="3" applyFont="1" applyFill="1" applyAlignment="1">
      <alignment horizontal="center" vertical="center"/>
    </xf>
    <xf numFmtId="0" fontId="3" fillId="0" borderId="0" xfId="1" applyFont="1" applyAlignment="1">
      <alignment horizontal="right" vertical="center" readingOrder="2"/>
    </xf>
    <xf numFmtId="49" fontId="2" fillId="0" borderId="0" xfId="1" applyNumberFormat="1" applyFont="1" applyBorder="1" applyAlignment="1">
      <alignment horizontal="left" vertical="center"/>
    </xf>
    <xf numFmtId="49" fontId="2" fillId="0" borderId="0" xfId="1" applyNumberFormat="1" applyFont="1" applyBorder="1" applyAlignment="1">
      <alignment horizontal="center" vertical="center"/>
    </xf>
    <xf numFmtId="0" fontId="8" fillId="0" borderId="0" xfId="1" applyFont="1"/>
    <xf numFmtId="0" fontId="10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/>
    <xf numFmtId="0" fontId="12" fillId="0" borderId="0" xfId="1" applyFont="1"/>
    <xf numFmtId="1" fontId="8" fillId="0" borderId="0" xfId="1" applyNumberFormat="1" applyFont="1"/>
    <xf numFmtId="0" fontId="7" fillId="0" borderId="2" xfId="1" applyFont="1" applyFill="1" applyBorder="1" applyAlignment="1">
      <alignment horizontal="right" vertical="center" readingOrder="2"/>
    </xf>
    <xf numFmtId="1" fontId="7" fillId="0" borderId="2" xfId="1" quotePrefix="1" applyNumberFormat="1" applyFont="1" applyFill="1" applyBorder="1" applyAlignment="1">
      <alignment horizontal="left" vertical="center" readingOrder="1"/>
    </xf>
    <xf numFmtId="1" fontId="7" fillId="0" borderId="2" xfId="1" quotePrefix="1" applyNumberFormat="1" applyFont="1" applyFill="1" applyBorder="1" applyAlignment="1">
      <alignment horizontal="center" vertical="center" readingOrder="1"/>
    </xf>
    <xf numFmtId="1" fontId="7" fillId="0" borderId="2" xfId="1" applyNumberFormat="1" applyFont="1" applyFill="1" applyBorder="1" applyAlignment="1">
      <alignment horizontal="center" vertical="center" readingOrder="1"/>
    </xf>
    <xf numFmtId="1" fontId="7" fillId="0" borderId="2" xfId="1" applyNumberFormat="1" applyFont="1" applyFill="1" applyBorder="1" applyAlignment="1">
      <alignment horizontal="center" vertical="center"/>
    </xf>
    <xf numFmtId="1" fontId="7" fillId="0" borderId="5" xfId="1" applyNumberFormat="1" applyFont="1" applyFill="1" applyBorder="1" applyAlignment="1">
      <alignment horizontal="center" vertical="center" readingOrder="1"/>
    </xf>
    <xf numFmtId="0" fontId="7" fillId="0" borderId="5" xfId="1" applyFont="1" applyFill="1" applyBorder="1" applyAlignment="1">
      <alignment horizontal="right" vertical="center" indent="1" readingOrder="2"/>
    </xf>
    <xf numFmtId="1" fontId="7" fillId="0" borderId="5" xfId="1" quotePrefix="1" applyNumberFormat="1" applyFont="1" applyFill="1" applyBorder="1" applyAlignment="1">
      <alignment horizontal="left" vertical="center" indent="1" readingOrder="1"/>
    </xf>
    <xf numFmtId="1" fontId="7" fillId="0" borderId="5" xfId="1" quotePrefix="1" applyNumberFormat="1" applyFont="1" applyFill="1" applyBorder="1" applyAlignment="1">
      <alignment horizontal="center" vertical="center" readingOrder="1"/>
    </xf>
    <xf numFmtId="1" fontId="7" fillId="0" borderId="5" xfId="1" applyNumberFormat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right" vertical="center" indent="2" readingOrder="2"/>
    </xf>
    <xf numFmtId="1" fontId="7" fillId="0" borderId="5" xfId="1" quotePrefix="1" applyNumberFormat="1" applyFont="1" applyFill="1" applyBorder="1" applyAlignment="1">
      <alignment horizontal="left" vertical="center" indent="2" readingOrder="1"/>
    </xf>
    <xf numFmtId="0" fontId="9" fillId="0" borderId="5" xfId="3" applyFont="1" applyFill="1" applyBorder="1" applyAlignment="1">
      <alignment horizontal="right" vertical="center" indent="3" readingOrder="2"/>
    </xf>
    <xf numFmtId="1" fontId="9" fillId="0" borderId="5" xfId="1" applyNumberFormat="1" applyFont="1" applyFill="1" applyBorder="1" applyAlignment="1">
      <alignment horizontal="left" vertical="center" indent="3" readingOrder="1"/>
    </xf>
    <xf numFmtId="1" fontId="9" fillId="0" borderId="5" xfId="1" applyNumberFormat="1" applyFont="1" applyFill="1" applyBorder="1" applyAlignment="1">
      <alignment horizontal="center" vertical="center" readingOrder="1"/>
    </xf>
    <xf numFmtId="1" fontId="9" fillId="0" borderId="5" xfId="1" applyNumberFormat="1" applyFont="1" applyFill="1" applyBorder="1" applyAlignment="1">
      <alignment horizontal="center" vertical="center"/>
    </xf>
    <xf numFmtId="0" fontId="7" fillId="0" borderId="5" xfId="3" applyFont="1" applyFill="1" applyBorder="1" applyAlignment="1">
      <alignment horizontal="right" vertical="center" indent="1" readingOrder="2"/>
    </xf>
    <xf numFmtId="0" fontId="9" fillId="0" borderId="5" xfId="3" applyFont="1" applyFill="1" applyBorder="1" applyAlignment="1">
      <alignment horizontal="right" vertical="center" indent="2" readingOrder="2"/>
    </xf>
    <xf numFmtId="0" fontId="9" fillId="0" borderId="5" xfId="1" applyFont="1" applyFill="1" applyBorder="1" applyAlignment="1">
      <alignment horizontal="left" vertical="center" indent="2"/>
    </xf>
    <xf numFmtId="0" fontId="9" fillId="0" borderId="5" xfId="3" applyFont="1" applyFill="1" applyBorder="1" applyAlignment="1">
      <alignment horizontal="right" vertical="center" wrapText="1" indent="3" readingOrder="2"/>
    </xf>
    <xf numFmtId="1" fontId="7" fillId="0" borderId="5" xfId="1" applyNumberFormat="1" applyFont="1" applyFill="1" applyBorder="1" applyAlignment="1">
      <alignment horizontal="left" vertical="center" indent="2" readingOrder="1"/>
    </xf>
    <xf numFmtId="1" fontId="7" fillId="0" borderId="5" xfId="1" applyNumberFormat="1" applyFont="1" applyFill="1" applyBorder="1" applyAlignment="1">
      <alignment horizontal="center"/>
    </xf>
    <xf numFmtId="0" fontId="7" fillId="0" borderId="5" xfId="3" applyFont="1" applyFill="1" applyBorder="1" applyAlignment="1">
      <alignment horizontal="right" vertical="center" indent="2" readingOrder="2"/>
    </xf>
    <xf numFmtId="0" fontId="7" fillId="0" borderId="6" xfId="3" applyFont="1" applyFill="1" applyBorder="1" applyAlignment="1">
      <alignment horizontal="right" vertical="center" indent="2" readingOrder="2"/>
    </xf>
    <xf numFmtId="1" fontId="7" fillId="0" borderId="6" xfId="1" applyNumberFormat="1" applyFont="1" applyFill="1" applyBorder="1" applyAlignment="1">
      <alignment horizontal="left" vertical="center" indent="2" readingOrder="1"/>
    </xf>
    <xf numFmtId="1" fontId="7" fillId="0" borderId="6" xfId="1" applyNumberFormat="1" applyFont="1" applyFill="1" applyBorder="1" applyAlignment="1">
      <alignment horizontal="center" vertical="center" readingOrder="1"/>
    </xf>
    <xf numFmtId="1" fontId="7" fillId="0" borderId="6" xfId="1" applyNumberFormat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top" wrapText="1" readingOrder="2"/>
    </xf>
    <xf numFmtId="0" fontId="11" fillId="0" borderId="0" xfId="1" applyFont="1" applyAlignment="1">
      <alignment horizontal="center" vertical="center" wrapText="1" readingOrder="1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0" borderId="0" xfId="1" applyNumberFormat="1" applyFont="1" applyBorder="1" applyAlignment="1">
      <alignment horizontal="center" vertical="center"/>
    </xf>
    <xf numFmtId="1" fontId="7" fillId="0" borderId="2" xfId="2" applyNumberFormat="1" applyFont="1" applyFill="1" applyBorder="1" applyAlignment="1">
      <alignment horizontal="center" vertical="center" readingOrder="1"/>
    </xf>
    <xf numFmtId="1" fontId="7" fillId="0" borderId="5" xfId="2" applyNumberFormat="1" applyFont="1" applyFill="1" applyBorder="1" applyAlignment="1">
      <alignment horizontal="center" vertical="center" readingOrder="1"/>
    </xf>
    <xf numFmtId="1" fontId="7" fillId="0" borderId="5" xfId="3" applyNumberFormat="1" applyFont="1" applyFill="1" applyBorder="1" applyAlignment="1">
      <alignment horizontal="center" vertical="center" wrapText="1" readingOrder="1"/>
    </xf>
    <xf numFmtId="1" fontId="9" fillId="0" borderId="5" xfId="1" applyNumberFormat="1" applyFont="1" applyFill="1" applyBorder="1" applyAlignment="1">
      <alignment horizontal="center"/>
    </xf>
    <xf numFmtId="1" fontId="10" fillId="0" borderId="5" xfId="1" applyNumberFormat="1" applyFont="1" applyFill="1" applyBorder="1" applyAlignment="1">
      <alignment horizontal="center" vertical="center" readingOrder="1"/>
    </xf>
  </cellXfs>
  <cellStyles count="4">
    <cellStyle name="Normal" xfId="0" builtinId="0"/>
    <cellStyle name="Normal 2" xfId="3" xr:uid="{BC1C0D36-8534-4FB9-B150-C952FC97374E}"/>
    <cellStyle name="Normal_wafaa file_12_22-24_26-34 2" xfId="1" xr:uid="{50510DFB-8F24-44F0-AAC5-8DAC4F56899C}"/>
    <cellStyle name="Normal_التقرير السنوى عربى  2005" xfId="2" xr:uid="{18350D6F-5EB9-4ABB-881F-F948AAC7F7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6ABD-24C9-4F4B-A19A-C6ECFF1D3ABB}">
  <dimension ref="A1:BI1302"/>
  <sheetViews>
    <sheetView tabSelected="1" view="pageBreakPreview" zoomScale="50" zoomScaleNormal="75" zoomScaleSheetLayoutView="50" workbookViewId="0">
      <pane xSplit="2" topLeftCell="AL1" activePane="topRight" state="frozenSplit"/>
      <selection pane="topRight" activeCell="AM3" sqref="AM3:AN4"/>
    </sheetView>
  </sheetViews>
  <sheetFormatPr defaultColWidth="9.109375" defaultRowHeight="17.399999999999999" x14ac:dyDescent="0.3"/>
  <cols>
    <col min="1" max="1" width="62.6640625" style="3" customWidth="1"/>
    <col min="2" max="2" width="62.6640625" style="33" customWidth="1"/>
    <col min="3" max="16" width="24.6640625" style="32" customWidth="1"/>
    <col min="17" max="40" width="24.6640625" style="3" customWidth="1"/>
    <col min="41" max="16384" width="9.109375" style="3"/>
  </cols>
  <sheetData>
    <row r="1" spans="1:61" ht="58.2" customHeight="1" x14ac:dyDescent="0.3">
      <c r="A1" s="71" t="s">
        <v>75</v>
      </c>
      <c r="B1" s="72" t="s">
        <v>76</v>
      </c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spans="1:61" s="9" customFormat="1" ht="24" customHeight="1" x14ac:dyDescent="0.3">
      <c r="A2" s="5"/>
      <c r="B2" s="6"/>
      <c r="C2" s="5"/>
      <c r="D2" s="7" t="s">
        <v>0</v>
      </c>
      <c r="E2" s="5"/>
      <c r="F2" s="7" t="s">
        <v>0</v>
      </c>
      <c r="G2" s="5"/>
      <c r="H2" s="7" t="s">
        <v>0</v>
      </c>
      <c r="I2" s="5"/>
      <c r="J2" s="7" t="s">
        <v>0</v>
      </c>
      <c r="K2" s="5"/>
      <c r="L2" s="7" t="s">
        <v>0</v>
      </c>
      <c r="M2" s="5"/>
      <c r="N2" s="7" t="s">
        <v>0</v>
      </c>
      <c r="O2" s="8"/>
      <c r="P2" s="7" t="s">
        <v>0</v>
      </c>
      <c r="R2" s="7" t="s">
        <v>0</v>
      </c>
      <c r="T2" s="7" t="s">
        <v>0</v>
      </c>
      <c r="V2" s="7" t="s">
        <v>0</v>
      </c>
      <c r="X2" s="7" t="s">
        <v>0</v>
      </c>
      <c r="Z2" s="7" t="s">
        <v>0</v>
      </c>
      <c r="AA2" s="10"/>
      <c r="AB2" s="7" t="s">
        <v>0</v>
      </c>
      <c r="AC2" s="10"/>
      <c r="AD2" s="7" t="s">
        <v>0</v>
      </c>
      <c r="AE2" s="10"/>
      <c r="AF2" s="7" t="s">
        <v>0</v>
      </c>
      <c r="AG2" s="10"/>
      <c r="AH2" s="7" t="s">
        <v>0</v>
      </c>
      <c r="AJ2" s="7" t="s">
        <v>0</v>
      </c>
      <c r="AL2" s="7" t="s">
        <v>0</v>
      </c>
      <c r="AN2" s="7" t="s">
        <v>0</v>
      </c>
    </row>
    <row r="3" spans="1:61" s="13" customFormat="1" ht="15" customHeight="1" x14ac:dyDescent="0.3">
      <c r="A3" s="11"/>
      <c r="B3" s="12"/>
      <c r="C3" s="77" t="s">
        <v>1</v>
      </c>
      <c r="D3" s="77"/>
      <c r="E3" s="77" t="s">
        <v>2</v>
      </c>
      <c r="F3" s="77"/>
      <c r="G3" s="77" t="s">
        <v>3</v>
      </c>
      <c r="H3" s="77"/>
      <c r="I3" s="77" t="s">
        <v>4</v>
      </c>
      <c r="J3" s="77"/>
      <c r="K3" s="77" t="s">
        <v>5</v>
      </c>
      <c r="L3" s="77"/>
      <c r="M3" s="77" t="s">
        <v>6</v>
      </c>
      <c r="N3" s="77"/>
      <c r="O3" s="77" t="s">
        <v>7</v>
      </c>
      <c r="P3" s="77"/>
      <c r="Q3" s="77" t="s">
        <v>8</v>
      </c>
      <c r="R3" s="77"/>
      <c r="S3" s="77" t="s">
        <v>9</v>
      </c>
      <c r="T3" s="77"/>
      <c r="U3" s="77" t="s">
        <v>10</v>
      </c>
      <c r="V3" s="77"/>
      <c r="W3" s="77" t="s">
        <v>11</v>
      </c>
      <c r="X3" s="77"/>
      <c r="Y3" s="77" t="s">
        <v>12</v>
      </c>
      <c r="Z3" s="77"/>
      <c r="AA3" s="73" t="s">
        <v>13</v>
      </c>
      <c r="AB3" s="74"/>
      <c r="AC3" s="73" t="s">
        <v>14</v>
      </c>
      <c r="AD3" s="74"/>
      <c r="AE3" s="73" t="s">
        <v>15</v>
      </c>
      <c r="AF3" s="74"/>
      <c r="AG3" s="73" t="s">
        <v>16</v>
      </c>
      <c r="AH3" s="74"/>
      <c r="AI3" s="73" t="s">
        <v>77</v>
      </c>
      <c r="AJ3" s="74"/>
      <c r="AK3" s="73" t="s">
        <v>78</v>
      </c>
      <c r="AL3" s="74"/>
      <c r="AM3" s="73" t="s">
        <v>81</v>
      </c>
      <c r="AN3" s="74"/>
    </row>
    <row r="4" spans="1:61" s="13" customFormat="1" ht="15" customHeight="1" x14ac:dyDescent="0.3">
      <c r="A4" s="14"/>
      <c r="B4" s="15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5"/>
      <c r="AB4" s="76"/>
      <c r="AC4" s="75"/>
      <c r="AD4" s="76"/>
      <c r="AE4" s="75"/>
      <c r="AF4" s="76"/>
      <c r="AG4" s="75"/>
      <c r="AH4" s="76"/>
      <c r="AI4" s="75"/>
      <c r="AJ4" s="76"/>
      <c r="AK4" s="75"/>
      <c r="AL4" s="76"/>
      <c r="AM4" s="75"/>
      <c r="AN4" s="76"/>
    </row>
    <row r="5" spans="1:61" s="20" customFormat="1" ht="81.75" customHeight="1" x14ac:dyDescent="0.3">
      <c r="A5" s="16"/>
      <c r="B5" s="17"/>
      <c r="C5" s="18" t="s">
        <v>17</v>
      </c>
      <c r="D5" s="19" t="s">
        <v>18</v>
      </c>
      <c r="E5" s="18" t="s">
        <v>17</v>
      </c>
      <c r="F5" s="19" t="s">
        <v>18</v>
      </c>
      <c r="G5" s="18" t="s">
        <v>17</v>
      </c>
      <c r="H5" s="19" t="s">
        <v>18</v>
      </c>
      <c r="I5" s="18" t="s">
        <v>17</v>
      </c>
      <c r="J5" s="19" t="s">
        <v>18</v>
      </c>
      <c r="K5" s="18" t="s">
        <v>17</v>
      </c>
      <c r="L5" s="19" t="s">
        <v>18</v>
      </c>
      <c r="M5" s="18" t="s">
        <v>17</v>
      </c>
      <c r="N5" s="19" t="s">
        <v>18</v>
      </c>
      <c r="O5" s="18" t="s">
        <v>17</v>
      </c>
      <c r="P5" s="19" t="s">
        <v>18</v>
      </c>
      <c r="Q5" s="18" t="s">
        <v>17</v>
      </c>
      <c r="R5" s="19" t="s">
        <v>18</v>
      </c>
      <c r="S5" s="18" t="s">
        <v>17</v>
      </c>
      <c r="T5" s="19" t="s">
        <v>18</v>
      </c>
      <c r="U5" s="18" t="s">
        <v>17</v>
      </c>
      <c r="V5" s="19" t="s">
        <v>18</v>
      </c>
      <c r="W5" s="18" t="s">
        <v>17</v>
      </c>
      <c r="X5" s="19" t="s">
        <v>18</v>
      </c>
      <c r="Y5" s="18" t="s">
        <v>17</v>
      </c>
      <c r="Z5" s="19" t="s">
        <v>18</v>
      </c>
      <c r="AA5" s="18" t="s">
        <v>17</v>
      </c>
      <c r="AB5" s="18" t="s">
        <v>19</v>
      </c>
      <c r="AC5" s="18" t="s">
        <v>17</v>
      </c>
      <c r="AD5" s="18" t="s">
        <v>19</v>
      </c>
      <c r="AE5" s="18" t="s">
        <v>17</v>
      </c>
      <c r="AF5" s="18" t="s">
        <v>19</v>
      </c>
      <c r="AG5" s="18" t="s">
        <v>17</v>
      </c>
      <c r="AH5" s="18" t="s">
        <v>19</v>
      </c>
      <c r="AI5" s="18" t="s">
        <v>17</v>
      </c>
      <c r="AJ5" s="18" t="s">
        <v>19</v>
      </c>
      <c r="AK5" s="18" t="s">
        <v>17</v>
      </c>
      <c r="AL5" s="18" t="s">
        <v>19</v>
      </c>
      <c r="AM5" s="18" t="s">
        <v>17</v>
      </c>
      <c r="AN5" s="18" t="s">
        <v>19</v>
      </c>
    </row>
    <row r="6" spans="1:61" s="38" customFormat="1" ht="30" customHeight="1" x14ac:dyDescent="0.4">
      <c r="A6" s="44" t="s">
        <v>72</v>
      </c>
      <c r="B6" s="45" t="s">
        <v>20</v>
      </c>
      <c r="C6" s="46">
        <v>180215</v>
      </c>
      <c r="D6" s="46">
        <v>205654</v>
      </c>
      <c r="E6" s="46">
        <v>221404</v>
      </c>
      <c r="F6" s="46">
        <v>248835</v>
      </c>
      <c r="G6" s="47">
        <v>282505</v>
      </c>
      <c r="H6" s="47">
        <v>288545</v>
      </c>
      <c r="I6" s="47">
        <v>268114</v>
      </c>
      <c r="J6" s="47">
        <v>303361</v>
      </c>
      <c r="K6" s="47">
        <v>265286</v>
      </c>
      <c r="L6" s="47">
        <v>302010</v>
      </c>
      <c r="M6" s="48">
        <v>303622</v>
      </c>
      <c r="N6" s="48">
        <v>348865</v>
      </c>
      <c r="O6" s="48">
        <v>350322</v>
      </c>
      <c r="P6" s="48">
        <v>403637</v>
      </c>
      <c r="Q6" s="48">
        <v>456788</v>
      </c>
      <c r="R6" s="48">
        <v>519449</v>
      </c>
      <c r="S6" s="48">
        <v>465241</v>
      </c>
      <c r="T6" s="48">
        <v>538378</v>
      </c>
      <c r="U6" s="80">
        <v>491488</v>
      </c>
      <c r="V6" s="49" t="s">
        <v>21</v>
      </c>
      <c r="W6" s="80">
        <v>659184</v>
      </c>
      <c r="X6" s="49">
        <v>755110</v>
      </c>
      <c r="Y6" s="80">
        <v>805741</v>
      </c>
      <c r="Z6" s="49">
        <v>915974</v>
      </c>
      <c r="AA6" s="80">
        <v>941910</v>
      </c>
      <c r="AB6" s="49">
        <v>1080152</v>
      </c>
      <c r="AC6" s="80">
        <v>975430</v>
      </c>
      <c r="AD6" s="49">
        <v>1121422</v>
      </c>
      <c r="AE6" s="80">
        <v>1108626</v>
      </c>
      <c r="AF6" s="49">
        <v>1266027</v>
      </c>
      <c r="AG6" s="80">
        <f t="shared" ref="AG6:AI6" si="0">AG7+AG18+AG21</f>
        <v>1325571</v>
      </c>
      <c r="AH6" s="49">
        <f>AH7+AH18+AH21</f>
        <v>1483977</v>
      </c>
      <c r="AI6" s="80">
        <f t="shared" si="0"/>
        <v>1564115</v>
      </c>
      <c r="AJ6" s="49">
        <f>AJ7+AJ18+AJ21</f>
        <v>1723717</v>
      </c>
      <c r="AK6" s="80">
        <f t="shared" ref="AK6:AN6" si="1">AK7+AK18+AK21</f>
        <v>2506443</v>
      </c>
      <c r="AL6" s="49">
        <f t="shared" si="1"/>
        <v>2717715</v>
      </c>
      <c r="AM6" s="49">
        <f t="shared" si="1"/>
        <v>2644113</v>
      </c>
      <c r="AN6" s="49">
        <f t="shared" si="1"/>
        <v>2921214</v>
      </c>
    </row>
    <row r="7" spans="1:61" s="38" customFormat="1" ht="30" customHeight="1" x14ac:dyDescent="0.4">
      <c r="A7" s="50" t="s">
        <v>22</v>
      </c>
      <c r="B7" s="51" t="s">
        <v>23</v>
      </c>
      <c r="C7" s="52">
        <v>114326</v>
      </c>
      <c r="D7" s="52">
        <v>114326</v>
      </c>
      <c r="E7" s="52">
        <v>137195</v>
      </c>
      <c r="F7" s="52">
        <v>137195</v>
      </c>
      <c r="G7" s="49">
        <v>163222</v>
      </c>
      <c r="H7" s="49">
        <v>163222</v>
      </c>
      <c r="I7" s="49">
        <v>170494</v>
      </c>
      <c r="J7" s="49">
        <v>170494</v>
      </c>
      <c r="K7" s="49">
        <v>192072</v>
      </c>
      <c r="L7" s="49">
        <v>192072</v>
      </c>
      <c r="M7" s="53">
        <v>207410</v>
      </c>
      <c r="N7" s="53">
        <v>207410</v>
      </c>
      <c r="O7" s="65">
        <v>251118</v>
      </c>
      <c r="P7" s="65">
        <v>251118</v>
      </c>
      <c r="Q7" s="65">
        <v>260289</v>
      </c>
      <c r="R7" s="65">
        <v>260289</v>
      </c>
      <c r="S7" s="53">
        <v>305957</v>
      </c>
      <c r="T7" s="53">
        <v>305957</v>
      </c>
      <c r="U7" s="81">
        <v>352315</v>
      </c>
      <c r="V7" s="49" t="s">
        <v>21</v>
      </c>
      <c r="W7" s="81">
        <v>462007</v>
      </c>
      <c r="X7" s="49">
        <v>462007</v>
      </c>
      <c r="Y7" s="81">
        <v>628083</v>
      </c>
      <c r="Z7" s="49">
        <v>628083</v>
      </c>
      <c r="AA7" s="81">
        <v>736121</v>
      </c>
      <c r="AB7" s="49">
        <v>736121</v>
      </c>
      <c r="AC7" s="81">
        <v>739633</v>
      </c>
      <c r="AD7" s="49">
        <v>739633</v>
      </c>
      <c r="AE7" s="81">
        <v>833993</v>
      </c>
      <c r="AF7" s="49">
        <v>833993</v>
      </c>
      <c r="AG7" s="81">
        <f t="shared" ref="AG7:AN7" si="2">AG8+AG14+AG15+AG16+AG17</f>
        <v>990138</v>
      </c>
      <c r="AH7" s="49">
        <f t="shared" si="2"/>
        <v>990138</v>
      </c>
      <c r="AI7" s="81">
        <f t="shared" si="2"/>
        <v>1258582</v>
      </c>
      <c r="AJ7" s="49">
        <f t="shared" si="2"/>
        <v>1258582</v>
      </c>
      <c r="AK7" s="81">
        <f t="shared" si="2"/>
        <v>1630152</v>
      </c>
      <c r="AL7" s="49">
        <f t="shared" si="2"/>
        <v>1630152</v>
      </c>
      <c r="AM7" s="49">
        <f t="shared" si="2"/>
        <v>2202281</v>
      </c>
      <c r="AN7" s="49">
        <f t="shared" si="2"/>
        <v>2202281</v>
      </c>
    </row>
    <row r="8" spans="1:61" s="38" customFormat="1" ht="30" customHeight="1" x14ac:dyDescent="0.4">
      <c r="A8" s="54" t="s">
        <v>24</v>
      </c>
      <c r="B8" s="55" t="s">
        <v>25</v>
      </c>
      <c r="C8" s="52">
        <v>58535</v>
      </c>
      <c r="D8" s="52">
        <v>58535</v>
      </c>
      <c r="E8" s="52">
        <v>67059</v>
      </c>
      <c r="F8" s="52">
        <v>67059</v>
      </c>
      <c r="G8" s="49">
        <v>79073</v>
      </c>
      <c r="H8" s="49">
        <v>79073</v>
      </c>
      <c r="I8" s="49">
        <v>76618</v>
      </c>
      <c r="J8" s="49">
        <v>76618</v>
      </c>
      <c r="K8" s="49">
        <v>89593</v>
      </c>
      <c r="L8" s="49">
        <v>89593</v>
      </c>
      <c r="M8" s="53">
        <v>91245</v>
      </c>
      <c r="N8" s="53">
        <v>91245</v>
      </c>
      <c r="O8" s="65">
        <v>117762</v>
      </c>
      <c r="P8" s="65">
        <v>117762</v>
      </c>
      <c r="Q8" s="65">
        <v>120926</v>
      </c>
      <c r="R8" s="65">
        <v>120926</v>
      </c>
      <c r="S8" s="53">
        <v>129818</v>
      </c>
      <c r="T8" s="53">
        <v>129818</v>
      </c>
      <c r="U8" s="82">
        <v>144743</v>
      </c>
      <c r="V8" s="49" t="s">
        <v>21</v>
      </c>
      <c r="W8" s="49">
        <v>166897</v>
      </c>
      <c r="X8" s="49">
        <v>166897</v>
      </c>
      <c r="Y8" s="49">
        <v>206919</v>
      </c>
      <c r="Z8" s="49">
        <v>206919</v>
      </c>
      <c r="AA8" s="49">
        <v>250080</v>
      </c>
      <c r="AB8" s="49">
        <v>250080</v>
      </c>
      <c r="AC8" s="49">
        <v>286907</v>
      </c>
      <c r="AD8" s="49">
        <v>286907</v>
      </c>
      <c r="AE8" s="49">
        <v>321246</v>
      </c>
      <c r="AF8" s="49">
        <v>321246</v>
      </c>
      <c r="AG8" s="49">
        <f t="shared" ref="AG8:AN8" si="3">AG9+AG10+AG11+AG12+AG13</f>
        <v>385499</v>
      </c>
      <c r="AH8" s="49">
        <f t="shared" si="3"/>
        <v>385499</v>
      </c>
      <c r="AI8" s="49">
        <f t="shared" si="3"/>
        <v>516287</v>
      </c>
      <c r="AJ8" s="49">
        <f t="shared" si="3"/>
        <v>516287</v>
      </c>
      <c r="AK8" s="49">
        <f t="shared" si="3"/>
        <v>682795</v>
      </c>
      <c r="AL8" s="49">
        <f t="shared" si="3"/>
        <v>682795</v>
      </c>
      <c r="AM8" s="49">
        <f t="shared" si="3"/>
        <v>836804</v>
      </c>
      <c r="AN8" s="49">
        <f t="shared" si="3"/>
        <v>836804</v>
      </c>
    </row>
    <row r="9" spans="1:61" s="39" customFormat="1" ht="30" customHeight="1" x14ac:dyDescent="0.35">
      <c r="A9" s="56" t="s">
        <v>26</v>
      </c>
      <c r="B9" s="57" t="s">
        <v>27</v>
      </c>
      <c r="C9" s="58">
        <v>25380</v>
      </c>
      <c r="D9" s="58">
        <v>25380</v>
      </c>
      <c r="E9" s="58">
        <v>29268</v>
      </c>
      <c r="F9" s="58">
        <v>29268</v>
      </c>
      <c r="G9" s="58">
        <v>34135</v>
      </c>
      <c r="H9" s="58">
        <v>34135</v>
      </c>
      <c r="I9" s="58">
        <v>32181</v>
      </c>
      <c r="J9" s="58">
        <v>32181</v>
      </c>
      <c r="K9" s="58">
        <v>34308</v>
      </c>
      <c r="L9" s="58">
        <v>34308</v>
      </c>
      <c r="M9" s="59">
        <v>34075</v>
      </c>
      <c r="N9" s="59">
        <v>34075</v>
      </c>
      <c r="O9" s="83">
        <v>45816</v>
      </c>
      <c r="P9" s="83">
        <v>45816</v>
      </c>
      <c r="Q9" s="83">
        <v>46060</v>
      </c>
      <c r="R9" s="83">
        <v>46060</v>
      </c>
      <c r="S9" s="59">
        <v>36000</v>
      </c>
      <c r="T9" s="59">
        <v>36000</v>
      </c>
      <c r="U9" s="84">
        <v>37313</v>
      </c>
      <c r="V9" s="58" t="s">
        <v>21</v>
      </c>
      <c r="W9" s="58">
        <v>42464</v>
      </c>
      <c r="X9" s="58">
        <v>42464</v>
      </c>
      <c r="Y9" s="58">
        <v>51976</v>
      </c>
      <c r="Z9" s="58">
        <v>51976</v>
      </c>
      <c r="AA9" s="58">
        <v>42532</v>
      </c>
      <c r="AB9" s="58">
        <v>42532</v>
      </c>
      <c r="AC9" s="58">
        <v>26337</v>
      </c>
      <c r="AD9" s="58">
        <v>26337</v>
      </c>
      <c r="AE9" s="58">
        <v>39817</v>
      </c>
      <c r="AF9" s="58">
        <v>39817</v>
      </c>
      <c r="AG9" s="58">
        <v>29658</v>
      </c>
      <c r="AH9" s="58">
        <v>29658</v>
      </c>
      <c r="AI9" s="58">
        <v>50538</v>
      </c>
      <c r="AJ9" s="58">
        <v>50538</v>
      </c>
      <c r="AK9" s="58">
        <v>59228</v>
      </c>
      <c r="AL9" s="58">
        <v>59228</v>
      </c>
      <c r="AM9" s="58">
        <v>54454</v>
      </c>
      <c r="AN9" s="58">
        <v>54454</v>
      </c>
    </row>
    <row r="10" spans="1:61" s="39" customFormat="1" ht="30" customHeight="1" x14ac:dyDescent="0.35">
      <c r="A10" s="56" t="s">
        <v>28</v>
      </c>
      <c r="B10" s="57" t="s">
        <v>29</v>
      </c>
      <c r="C10" s="58">
        <v>9144</v>
      </c>
      <c r="D10" s="58">
        <v>9144</v>
      </c>
      <c r="E10" s="58">
        <v>10268</v>
      </c>
      <c r="F10" s="58">
        <v>10268</v>
      </c>
      <c r="G10" s="58">
        <v>10391</v>
      </c>
      <c r="H10" s="58">
        <v>10391</v>
      </c>
      <c r="I10" s="58">
        <v>9443</v>
      </c>
      <c r="J10" s="58">
        <v>9443</v>
      </c>
      <c r="K10" s="58">
        <v>10900</v>
      </c>
      <c r="L10" s="58">
        <v>10900</v>
      </c>
      <c r="M10" s="59">
        <v>11800</v>
      </c>
      <c r="N10" s="59">
        <v>11800</v>
      </c>
      <c r="O10" s="83">
        <v>12150</v>
      </c>
      <c r="P10" s="83">
        <v>12150</v>
      </c>
      <c r="Q10" s="83">
        <v>14312</v>
      </c>
      <c r="R10" s="83">
        <v>14312</v>
      </c>
      <c r="S10" s="59">
        <v>13400</v>
      </c>
      <c r="T10" s="59">
        <v>13400</v>
      </c>
      <c r="U10" s="84">
        <v>14903</v>
      </c>
      <c r="V10" s="58" t="s">
        <v>21</v>
      </c>
      <c r="W10" s="58">
        <v>22300</v>
      </c>
      <c r="X10" s="58">
        <v>22300</v>
      </c>
      <c r="Y10" s="58">
        <v>29062</v>
      </c>
      <c r="Z10" s="58">
        <v>29062</v>
      </c>
      <c r="AA10" s="58">
        <v>34480</v>
      </c>
      <c r="AB10" s="58">
        <v>34480</v>
      </c>
      <c r="AC10" s="58">
        <v>42913</v>
      </c>
      <c r="AD10" s="58">
        <v>42913</v>
      </c>
      <c r="AE10" s="58">
        <v>32450</v>
      </c>
      <c r="AF10" s="58">
        <v>32450</v>
      </c>
      <c r="AG10" s="58">
        <v>38952</v>
      </c>
      <c r="AH10" s="58">
        <v>38952</v>
      </c>
      <c r="AI10" s="58">
        <v>97013</v>
      </c>
      <c r="AJ10" s="58">
        <v>97013</v>
      </c>
      <c r="AK10" s="58">
        <v>101258</v>
      </c>
      <c r="AL10" s="58">
        <v>101258</v>
      </c>
      <c r="AM10" s="58">
        <v>91916</v>
      </c>
      <c r="AN10" s="58">
        <v>91916</v>
      </c>
    </row>
    <row r="11" spans="1:61" s="39" customFormat="1" ht="30" customHeight="1" x14ac:dyDescent="0.35">
      <c r="A11" s="56" t="s">
        <v>30</v>
      </c>
      <c r="B11" s="57" t="s">
        <v>31</v>
      </c>
      <c r="C11" s="58">
        <v>0</v>
      </c>
      <c r="D11" s="58">
        <v>0</v>
      </c>
      <c r="E11" s="58">
        <v>0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9">
        <v>0</v>
      </c>
      <c r="N11" s="59">
        <v>0</v>
      </c>
      <c r="O11" s="83">
        <v>8290</v>
      </c>
      <c r="P11" s="83">
        <v>8290</v>
      </c>
      <c r="Q11" s="83">
        <v>4042</v>
      </c>
      <c r="R11" s="83">
        <v>4042</v>
      </c>
      <c r="S11" s="59">
        <v>3691</v>
      </c>
      <c r="T11" s="59">
        <v>3691</v>
      </c>
      <c r="U11" s="84">
        <v>13245</v>
      </c>
      <c r="V11" s="58" t="s">
        <v>21</v>
      </c>
      <c r="W11" s="58">
        <v>3860</v>
      </c>
      <c r="X11" s="58">
        <v>3860</v>
      </c>
      <c r="Y11" s="58">
        <v>0</v>
      </c>
      <c r="Z11" s="58">
        <v>0</v>
      </c>
      <c r="AA11" s="58">
        <v>0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  <c r="AI11" s="58">
        <v>0</v>
      </c>
      <c r="AJ11" s="58">
        <v>0</v>
      </c>
      <c r="AK11" s="58">
        <v>0</v>
      </c>
      <c r="AL11" s="58">
        <v>0</v>
      </c>
      <c r="AM11" s="58">
        <v>0</v>
      </c>
      <c r="AN11" s="58">
        <v>0</v>
      </c>
    </row>
    <row r="12" spans="1:61" s="39" customFormat="1" ht="30" customHeight="1" x14ac:dyDescent="0.35">
      <c r="A12" s="56" t="s">
        <v>32</v>
      </c>
      <c r="B12" s="57" t="s">
        <v>33</v>
      </c>
      <c r="C12" s="58">
        <v>14291</v>
      </c>
      <c r="D12" s="58">
        <v>14291</v>
      </c>
      <c r="E12" s="58">
        <v>16028</v>
      </c>
      <c r="F12" s="58">
        <v>16028</v>
      </c>
      <c r="G12" s="58">
        <v>20263</v>
      </c>
      <c r="H12" s="58">
        <v>20263</v>
      </c>
      <c r="I12" s="58">
        <v>18591</v>
      </c>
      <c r="J12" s="58">
        <v>18591</v>
      </c>
      <c r="K12" s="58">
        <v>25330</v>
      </c>
      <c r="L12" s="58">
        <v>25330</v>
      </c>
      <c r="M12" s="59">
        <v>23674</v>
      </c>
      <c r="N12" s="59">
        <v>23674</v>
      </c>
      <c r="O12" s="83">
        <v>25275</v>
      </c>
      <c r="P12" s="83">
        <v>25275</v>
      </c>
      <c r="Q12" s="83">
        <v>25099</v>
      </c>
      <c r="R12" s="83">
        <v>25099</v>
      </c>
      <c r="S12" s="59">
        <v>38512</v>
      </c>
      <c r="T12" s="59">
        <v>38512</v>
      </c>
      <c r="U12" s="84">
        <v>36926</v>
      </c>
      <c r="V12" s="58" t="s">
        <v>21</v>
      </c>
      <c r="W12" s="58">
        <v>47259</v>
      </c>
      <c r="X12" s="58">
        <v>47259</v>
      </c>
      <c r="Y12" s="58">
        <v>61492</v>
      </c>
      <c r="Z12" s="58">
        <v>61492</v>
      </c>
      <c r="AA12" s="58">
        <v>85762</v>
      </c>
      <c r="AB12" s="58">
        <v>85762</v>
      </c>
      <c r="AC12" s="58">
        <v>119625</v>
      </c>
      <c r="AD12" s="58">
        <v>119625</v>
      </c>
      <c r="AE12" s="58">
        <v>125268</v>
      </c>
      <c r="AF12" s="58">
        <v>125268</v>
      </c>
      <c r="AG12" s="58">
        <v>164971</v>
      </c>
      <c r="AH12" s="58">
        <v>164971</v>
      </c>
      <c r="AI12" s="58">
        <v>174617</v>
      </c>
      <c r="AJ12" s="58">
        <v>174617</v>
      </c>
      <c r="AK12" s="58">
        <v>237649</v>
      </c>
      <c r="AL12" s="58">
        <v>237649</v>
      </c>
      <c r="AM12" s="58">
        <v>307470</v>
      </c>
      <c r="AN12" s="58">
        <v>307470</v>
      </c>
    </row>
    <row r="13" spans="1:61" s="39" customFormat="1" ht="30" customHeight="1" x14ac:dyDescent="0.35">
      <c r="A13" s="56" t="s">
        <v>34</v>
      </c>
      <c r="B13" s="57" t="s">
        <v>35</v>
      </c>
      <c r="C13" s="58">
        <v>9720</v>
      </c>
      <c r="D13" s="58">
        <v>9720</v>
      </c>
      <c r="E13" s="58">
        <v>11495</v>
      </c>
      <c r="F13" s="58">
        <v>11495</v>
      </c>
      <c r="G13" s="58">
        <v>14284</v>
      </c>
      <c r="H13" s="58">
        <v>14284</v>
      </c>
      <c r="I13" s="58">
        <v>16403</v>
      </c>
      <c r="J13" s="58">
        <v>16403</v>
      </c>
      <c r="K13" s="58">
        <v>19055</v>
      </c>
      <c r="L13" s="58">
        <v>19055</v>
      </c>
      <c r="M13" s="59">
        <v>21696</v>
      </c>
      <c r="N13" s="59">
        <v>21696</v>
      </c>
      <c r="O13" s="83">
        <v>26231</v>
      </c>
      <c r="P13" s="83">
        <v>26231</v>
      </c>
      <c r="Q13" s="83">
        <v>31413</v>
      </c>
      <c r="R13" s="83">
        <v>31413</v>
      </c>
      <c r="S13" s="59">
        <v>38215</v>
      </c>
      <c r="T13" s="59">
        <v>38215</v>
      </c>
      <c r="U13" s="84">
        <v>42356</v>
      </c>
      <c r="V13" s="58" t="s">
        <v>21</v>
      </c>
      <c r="W13" s="58">
        <v>51014</v>
      </c>
      <c r="X13" s="58">
        <v>51014</v>
      </c>
      <c r="Y13" s="58">
        <v>64389</v>
      </c>
      <c r="Z13" s="58">
        <v>64389</v>
      </c>
      <c r="AA13" s="58">
        <v>87306</v>
      </c>
      <c r="AB13" s="58">
        <v>87306</v>
      </c>
      <c r="AC13" s="58">
        <v>98032</v>
      </c>
      <c r="AD13" s="58">
        <v>98032</v>
      </c>
      <c r="AE13" s="58">
        <v>123711</v>
      </c>
      <c r="AF13" s="58">
        <v>123711</v>
      </c>
      <c r="AG13" s="58">
        <v>151918</v>
      </c>
      <c r="AH13" s="58">
        <v>151918</v>
      </c>
      <c r="AI13" s="58">
        <v>194119</v>
      </c>
      <c r="AJ13" s="58">
        <v>194119</v>
      </c>
      <c r="AK13" s="58">
        <v>284660</v>
      </c>
      <c r="AL13" s="58">
        <v>284660</v>
      </c>
      <c r="AM13" s="58">
        <v>382964</v>
      </c>
      <c r="AN13" s="58">
        <v>382964</v>
      </c>
    </row>
    <row r="14" spans="1:61" s="38" customFormat="1" ht="30" customHeight="1" x14ac:dyDescent="0.4">
      <c r="A14" s="54" t="s">
        <v>36</v>
      </c>
      <c r="B14" s="55" t="s">
        <v>37</v>
      </c>
      <c r="C14" s="52">
        <v>1788</v>
      </c>
      <c r="D14" s="52">
        <v>1788</v>
      </c>
      <c r="E14" s="52">
        <v>2052</v>
      </c>
      <c r="F14" s="52">
        <v>2052</v>
      </c>
      <c r="G14" s="49">
        <v>3944</v>
      </c>
      <c r="H14" s="49">
        <v>3944</v>
      </c>
      <c r="I14" s="49">
        <v>8770</v>
      </c>
      <c r="J14" s="49">
        <v>8770</v>
      </c>
      <c r="K14" s="49">
        <v>9452</v>
      </c>
      <c r="L14" s="49">
        <v>9452</v>
      </c>
      <c r="M14" s="53">
        <v>13089</v>
      </c>
      <c r="N14" s="53">
        <v>13089</v>
      </c>
      <c r="O14" s="65">
        <v>16453</v>
      </c>
      <c r="P14" s="65">
        <v>16453</v>
      </c>
      <c r="Q14" s="65">
        <v>18761</v>
      </c>
      <c r="R14" s="65">
        <v>18761</v>
      </c>
      <c r="S14" s="53">
        <v>21107</v>
      </c>
      <c r="T14" s="53">
        <v>21107</v>
      </c>
      <c r="U14" s="82">
        <v>27990</v>
      </c>
      <c r="V14" s="49" t="s">
        <v>21</v>
      </c>
      <c r="W14" s="49">
        <v>36539</v>
      </c>
      <c r="X14" s="49">
        <v>36539</v>
      </c>
      <c r="Y14" s="49">
        <v>51353</v>
      </c>
      <c r="Z14" s="49">
        <v>51353</v>
      </c>
      <c r="AA14" s="49">
        <v>58907</v>
      </c>
      <c r="AB14" s="49">
        <v>58907</v>
      </c>
      <c r="AC14" s="49">
        <v>59596</v>
      </c>
      <c r="AD14" s="49">
        <v>59596</v>
      </c>
      <c r="AE14" s="49">
        <v>72404</v>
      </c>
      <c r="AF14" s="49">
        <v>72404</v>
      </c>
      <c r="AG14" s="49">
        <v>89777</v>
      </c>
      <c r="AH14" s="49">
        <v>89777</v>
      </c>
      <c r="AI14" s="49">
        <v>125157</v>
      </c>
      <c r="AJ14" s="49">
        <v>125157</v>
      </c>
      <c r="AK14" s="49">
        <v>179363</v>
      </c>
      <c r="AL14" s="49">
        <v>179363</v>
      </c>
      <c r="AM14" s="49">
        <v>320920</v>
      </c>
      <c r="AN14" s="49">
        <v>320920</v>
      </c>
    </row>
    <row r="15" spans="1:61" s="38" customFormat="1" ht="30" customHeight="1" x14ac:dyDescent="0.4">
      <c r="A15" s="54" t="s">
        <v>38</v>
      </c>
      <c r="B15" s="55" t="s">
        <v>39</v>
      </c>
      <c r="C15" s="52">
        <v>39436</v>
      </c>
      <c r="D15" s="52">
        <v>39436</v>
      </c>
      <c r="E15" s="52">
        <v>49747</v>
      </c>
      <c r="F15" s="52">
        <v>49747</v>
      </c>
      <c r="G15" s="49">
        <v>62650</v>
      </c>
      <c r="H15" s="49">
        <v>62650</v>
      </c>
      <c r="I15" s="49">
        <v>67095</v>
      </c>
      <c r="J15" s="49">
        <v>67095</v>
      </c>
      <c r="K15" s="49">
        <v>76068</v>
      </c>
      <c r="L15" s="49">
        <v>76068</v>
      </c>
      <c r="M15" s="53">
        <v>84594</v>
      </c>
      <c r="N15" s="53">
        <v>84594</v>
      </c>
      <c r="O15" s="65">
        <v>92924</v>
      </c>
      <c r="P15" s="65">
        <v>92924</v>
      </c>
      <c r="Q15" s="65">
        <v>91867</v>
      </c>
      <c r="R15" s="65">
        <v>91867</v>
      </c>
      <c r="S15" s="53">
        <v>122930</v>
      </c>
      <c r="T15" s="53">
        <v>122930</v>
      </c>
      <c r="U15" s="82">
        <v>140525</v>
      </c>
      <c r="V15" s="49" t="s">
        <v>21</v>
      </c>
      <c r="W15" s="49">
        <v>208624</v>
      </c>
      <c r="X15" s="49">
        <v>208624</v>
      </c>
      <c r="Y15" s="49">
        <v>293809</v>
      </c>
      <c r="Z15" s="49">
        <v>293809</v>
      </c>
      <c r="AA15" s="49">
        <v>350576</v>
      </c>
      <c r="AB15" s="49">
        <v>350576</v>
      </c>
      <c r="AC15" s="49">
        <v>329979</v>
      </c>
      <c r="AD15" s="49">
        <v>329979</v>
      </c>
      <c r="AE15" s="49">
        <v>384913</v>
      </c>
      <c r="AF15" s="49">
        <v>384913</v>
      </c>
      <c r="AG15" s="49">
        <v>453944</v>
      </c>
      <c r="AH15" s="49">
        <v>453944</v>
      </c>
      <c r="AI15" s="49">
        <v>555556</v>
      </c>
      <c r="AJ15" s="49">
        <v>555556</v>
      </c>
      <c r="AK15" s="49">
        <v>682644</v>
      </c>
      <c r="AL15" s="49">
        <v>682644</v>
      </c>
      <c r="AM15" s="49">
        <v>916157</v>
      </c>
      <c r="AN15" s="49">
        <v>916157</v>
      </c>
    </row>
    <row r="16" spans="1:61" s="38" customFormat="1" ht="30" customHeight="1" x14ac:dyDescent="0.4">
      <c r="A16" s="54" t="s">
        <v>40</v>
      </c>
      <c r="B16" s="55" t="s">
        <v>41</v>
      </c>
      <c r="C16" s="52">
        <v>10369</v>
      </c>
      <c r="D16" s="52">
        <v>10369</v>
      </c>
      <c r="E16" s="52">
        <v>14020</v>
      </c>
      <c r="F16" s="52">
        <v>14020</v>
      </c>
      <c r="G16" s="49">
        <v>14091</v>
      </c>
      <c r="H16" s="49">
        <v>14091</v>
      </c>
      <c r="I16" s="49">
        <v>14702</v>
      </c>
      <c r="J16" s="49">
        <v>14702</v>
      </c>
      <c r="K16" s="49">
        <v>13858</v>
      </c>
      <c r="L16" s="49">
        <v>13858</v>
      </c>
      <c r="M16" s="53">
        <v>14788</v>
      </c>
      <c r="N16" s="53">
        <v>14788</v>
      </c>
      <c r="O16" s="65">
        <v>16771</v>
      </c>
      <c r="P16" s="65">
        <v>16771</v>
      </c>
      <c r="Q16" s="65">
        <v>17673</v>
      </c>
      <c r="R16" s="65">
        <v>17673</v>
      </c>
      <c r="S16" s="53">
        <v>21867</v>
      </c>
      <c r="T16" s="53">
        <v>21867</v>
      </c>
      <c r="U16" s="82">
        <v>28091</v>
      </c>
      <c r="V16" s="49" t="s">
        <v>21</v>
      </c>
      <c r="W16" s="49">
        <v>34255</v>
      </c>
      <c r="X16" s="49">
        <v>34255</v>
      </c>
      <c r="Y16" s="49">
        <v>37505</v>
      </c>
      <c r="Z16" s="49">
        <v>37505</v>
      </c>
      <c r="AA16" s="49">
        <v>42020</v>
      </c>
      <c r="AB16" s="49">
        <v>42020</v>
      </c>
      <c r="AC16" s="49">
        <v>32572</v>
      </c>
      <c r="AD16" s="49">
        <v>32572</v>
      </c>
      <c r="AE16" s="49">
        <v>36130</v>
      </c>
      <c r="AF16" s="49">
        <v>36130</v>
      </c>
      <c r="AG16" s="49">
        <v>43297</v>
      </c>
      <c r="AH16" s="49">
        <v>43297</v>
      </c>
      <c r="AI16" s="49">
        <v>59390</v>
      </c>
      <c r="AJ16" s="49">
        <v>59390</v>
      </c>
      <c r="AK16" s="49">
        <v>75432</v>
      </c>
      <c r="AL16" s="49">
        <v>75432</v>
      </c>
      <c r="AM16" s="49">
        <v>110727</v>
      </c>
      <c r="AN16" s="49">
        <v>110727</v>
      </c>
    </row>
    <row r="17" spans="1:40" s="38" customFormat="1" ht="30" customHeight="1" x14ac:dyDescent="0.4">
      <c r="A17" s="54" t="s">
        <v>42</v>
      </c>
      <c r="B17" s="55" t="s">
        <v>43</v>
      </c>
      <c r="C17" s="52">
        <v>4198</v>
      </c>
      <c r="D17" s="52">
        <v>4198</v>
      </c>
      <c r="E17" s="52">
        <v>4317</v>
      </c>
      <c r="F17" s="52">
        <v>4317</v>
      </c>
      <c r="G17" s="49">
        <v>3464</v>
      </c>
      <c r="H17" s="49">
        <v>3464</v>
      </c>
      <c r="I17" s="49">
        <v>3309</v>
      </c>
      <c r="J17" s="49">
        <v>3309</v>
      </c>
      <c r="K17" s="49">
        <v>3101</v>
      </c>
      <c r="L17" s="49">
        <v>3101</v>
      </c>
      <c r="M17" s="53">
        <v>3694</v>
      </c>
      <c r="N17" s="53">
        <v>3694</v>
      </c>
      <c r="O17" s="65">
        <v>7208</v>
      </c>
      <c r="P17" s="65">
        <v>7208</v>
      </c>
      <c r="Q17" s="65">
        <v>11062</v>
      </c>
      <c r="R17" s="65">
        <v>11062</v>
      </c>
      <c r="S17" s="53">
        <v>10235</v>
      </c>
      <c r="T17" s="53">
        <v>10235</v>
      </c>
      <c r="U17" s="82">
        <v>10966</v>
      </c>
      <c r="V17" s="49" t="s">
        <v>21</v>
      </c>
      <c r="W17" s="49">
        <v>15692</v>
      </c>
      <c r="X17" s="49">
        <v>15692</v>
      </c>
      <c r="Y17" s="49">
        <v>38497</v>
      </c>
      <c r="Z17" s="49">
        <v>38497</v>
      </c>
      <c r="AA17" s="49">
        <v>34538</v>
      </c>
      <c r="AB17" s="49">
        <v>34538</v>
      </c>
      <c r="AC17" s="49">
        <v>30579</v>
      </c>
      <c r="AD17" s="49">
        <v>30579</v>
      </c>
      <c r="AE17" s="49">
        <v>19300</v>
      </c>
      <c r="AF17" s="49">
        <v>19300</v>
      </c>
      <c r="AG17" s="49">
        <v>17621</v>
      </c>
      <c r="AH17" s="49">
        <v>17621</v>
      </c>
      <c r="AI17" s="49">
        <v>2192</v>
      </c>
      <c r="AJ17" s="49">
        <v>2192</v>
      </c>
      <c r="AK17" s="49">
        <v>9918</v>
      </c>
      <c r="AL17" s="49">
        <v>9918</v>
      </c>
      <c r="AM17" s="49">
        <v>17673</v>
      </c>
      <c r="AN17" s="49">
        <v>17673</v>
      </c>
    </row>
    <row r="18" spans="1:40" s="38" customFormat="1" ht="30" customHeight="1" x14ac:dyDescent="0.4">
      <c r="A18" s="60" t="s">
        <v>44</v>
      </c>
      <c r="B18" s="51" t="s">
        <v>45</v>
      </c>
      <c r="C18" s="52">
        <v>3886</v>
      </c>
      <c r="D18" s="52">
        <v>3886</v>
      </c>
      <c r="E18" s="52">
        <v>1463</v>
      </c>
      <c r="F18" s="52">
        <v>1463</v>
      </c>
      <c r="G18" s="49">
        <v>7984</v>
      </c>
      <c r="H18" s="49">
        <v>7984</v>
      </c>
      <c r="I18" s="49">
        <v>4332</v>
      </c>
      <c r="J18" s="49">
        <v>4332</v>
      </c>
      <c r="K18" s="49">
        <v>2287</v>
      </c>
      <c r="L18" s="49">
        <v>2287</v>
      </c>
      <c r="M18" s="53">
        <v>10103</v>
      </c>
      <c r="N18" s="53">
        <v>10103</v>
      </c>
      <c r="O18" s="65">
        <v>5208</v>
      </c>
      <c r="P18" s="65">
        <v>5208</v>
      </c>
      <c r="Q18" s="65">
        <v>95856</v>
      </c>
      <c r="R18" s="65">
        <v>95856</v>
      </c>
      <c r="S18" s="53">
        <v>25437</v>
      </c>
      <c r="T18" s="53">
        <v>25437</v>
      </c>
      <c r="U18" s="81">
        <v>3543</v>
      </c>
      <c r="V18" s="49" t="s">
        <v>21</v>
      </c>
      <c r="W18" s="81">
        <v>17683</v>
      </c>
      <c r="X18" s="49">
        <v>17683</v>
      </c>
      <c r="Y18" s="81">
        <v>1989</v>
      </c>
      <c r="Z18" s="49">
        <v>1989</v>
      </c>
      <c r="AA18" s="81">
        <v>2609</v>
      </c>
      <c r="AB18" s="49">
        <v>2609</v>
      </c>
      <c r="AC18" s="81">
        <v>5263</v>
      </c>
      <c r="AD18" s="49">
        <v>5263</v>
      </c>
      <c r="AE18" s="81">
        <v>2955</v>
      </c>
      <c r="AF18" s="49">
        <v>2955</v>
      </c>
      <c r="AG18" s="81">
        <f t="shared" ref="AG18:AN18" si="4">AG19+AG20</f>
        <v>2889</v>
      </c>
      <c r="AH18" s="49">
        <f t="shared" si="4"/>
        <v>2889</v>
      </c>
      <c r="AI18" s="81">
        <f t="shared" si="4"/>
        <v>5432</v>
      </c>
      <c r="AJ18" s="49">
        <f t="shared" si="4"/>
        <v>5432</v>
      </c>
      <c r="AK18" s="81">
        <f t="shared" si="4"/>
        <v>5941</v>
      </c>
      <c r="AL18" s="49">
        <f t="shared" si="4"/>
        <v>5941</v>
      </c>
      <c r="AM18" s="49">
        <f t="shared" si="4"/>
        <v>16903</v>
      </c>
      <c r="AN18" s="49">
        <f t="shared" si="4"/>
        <v>16903</v>
      </c>
    </row>
    <row r="19" spans="1:40" s="40" customFormat="1" ht="30" customHeight="1" x14ac:dyDescent="0.3">
      <c r="A19" s="61" t="s">
        <v>46</v>
      </c>
      <c r="B19" s="62" t="s">
        <v>47</v>
      </c>
      <c r="C19" s="59">
        <v>2085</v>
      </c>
      <c r="D19" s="59">
        <v>2085</v>
      </c>
      <c r="E19" s="59">
        <v>436</v>
      </c>
      <c r="F19" s="59">
        <v>436</v>
      </c>
      <c r="G19" s="58">
        <v>6480</v>
      </c>
      <c r="H19" s="58">
        <v>6480</v>
      </c>
      <c r="I19" s="58">
        <v>2352</v>
      </c>
      <c r="J19" s="58">
        <v>2352</v>
      </c>
      <c r="K19" s="58">
        <v>252</v>
      </c>
      <c r="L19" s="58">
        <v>252</v>
      </c>
      <c r="M19" s="59">
        <v>8471</v>
      </c>
      <c r="N19" s="59">
        <v>8471</v>
      </c>
      <c r="O19" s="59">
        <v>4205</v>
      </c>
      <c r="P19" s="59">
        <v>4205</v>
      </c>
      <c r="Q19" s="59">
        <v>81744</v>
      </c>
      <c r="R19" s="59">
        <v>81744</v>
      </c>
      <c r="S19" s="59">
        <v>24226</v>
      </c>
      <c r="T19" s="59">
        <v>24226</v>
      </c>
      <c r="U19" s="58" t="s">
        <v>21</v>
      </c>
      <c r="V19" s="58" t="s">
        <v>21</v>
      </c>
      <c r="W19" s="58">
        <v>368</v>
      </c>
      <c r="X19" s="58">
        <v>368</v>
      </c>
      <c r="Y19" s="58">
        <v>242</v>
      </c>
      <c r="Z19" s="58">
        <v>242</v>
      </c>
      <c r="AA19" s="58">
        <v>768</v>
      </c>
      <c r="AB19" s="58">
        <v>768</v>
      </c>
      <c r="AC19" s="58">
        <v>1216</v>
      </c>
      <c r="AD19" s="58">
        <v>1216</v>
      </c>
      <c r="AE19" s="58">
        <v>808</v>
      </c>
      <c r="AF19" s="58">
        <v>808</v>
      </c>
      <c r="AG19" s="58">
        <v>2429</v>
      </c>
      <c r="AH19" s="58">
        <v>2429</v>
      </c>
      <c r="AI19" s="58">
        <v>4533</v>
      </c>
      <c r="AJ19" s="58">
        <v>4533</v>
      </c>
      <c r="AK19" s="58">
        <v>4188</v>
      </c>
      <c r="AL19" s="58">
        <v>4188</v>
      </c>
      <c r="AM19" s="58">
        <v>15357</v>
      </c>
      <c r="AN19" s="58">
        <v>15357</v>
      </c>
    </row>
    <row r="20" spans="1:40" s="40" customFormat="1" ht="30" customHeight="1" x14ac:dyDescent="0.3">
      <c r="A20" s="61" t="s">
        <v>48</v>
      </c>
      <c r="B20" s="62" t="s">
        <v>49</v>
      </c>
      <c r="C20" s="59">
        <v>1801</v>
      </c>
      <c r="D20" s="59">
        <v>1801</v>
      </c>
      <c r="E20" s="59">
        <v>1027</v>
      </c>
      <c r="F20" s="59">
        <v>1027</v>
      </c>
      <c r="G20" s="58">
        <v>1504</v>
      </c>
      <c r="H20" s="58">
        <v>1504</v>
      </c>
      <c r="I20" s="58">
        <v>1980</v>
      </c>
      <c r="J20" s="58">
        <v>1980</v>
      </c>
      <c r="K20" s="58">
        <v>2035</v>
      </c>
      <c r="L20" s="58">
        <v>2035</v>
      </c>
      <c r="M20" s="59">
        <v>1632</v>
      </c>
      <c r="N20" s="59">
        <v>1632</v>
      </c>
      <c r="O20" s="59">
        <v>1003</v>
      </c>
      <c r="P20" s="59">
        <v>1003</v>
      </c>
      <c r="Q20" s="59">
        <v>14112</v>
      </c>
      <c r="R20" s="59">
        <v>14112</v>
      </c>
      <c r="S20" s="59">
        <v>1211</v>
      </c>
      <c r="T20" s="59">
        <v>1211</v>
      </c>
      <c r="U20" s="58" t="s">
        <v>21</v>
      </c>
      <c r="V20" s="58" t="s">
        <v>21</v>
      </c>
      <c r="W20" s="58">
        <v>17315</v>
      </c>
      <c r="X20" s="58">
        <v>17315</v>
      </c>
      <c r="Y20" s="58">
        <v>1747</v>
      </c>
      <c r="Z20" s="58">
        <v>1747</v>
      </c>
      <c r="AA20" s="58">
        <v>1841</v>
      </c>
      <c r="AB20" s="58">
        <v>1841</v>
      </c>
      <c r="AC20" s="58">
        <v>4047</v>
      </c>
      <c r="AD20" s="58">
        <v>4047</v>
      </c>
      <c r="AE20" s="58">
        <v>2147</v>
      </c>
      <c r="AF20" s="58">
        <v>2147</v>
      </c>
      <c r="AG20" s="58">
        <v>460</v>
      </c>
      <c r="AH20" s="58">
        <v>460</v>
      </c>
      <c r="AI20" s="58">
        <v>899</v>
      </c>
      <c r="AJ20" s="58">
        <v>899</v>
      </c>
      <c r="AK20" s="58">
        <v>1753</v>
      </c>
      <c r="AL20" s="58">
        <v>1753</v>
      </c>
      <c r="AM20" s="58">
        <v>1546</v>
      </c>
      <c r="AN20" s="58">
        <v>1546</v>
      </c>
    </row>
    <row r="21" spans="1:40" s="38" customFormat="1" ht="30" customHeight="1" x14ac:dyDescent="0.4">
      <c r="A21" s="50" t="s">
        <v>50</v>
      </c>
      <c r="B21" s="51" t="s">
        <v>51</v>
      </c>
      <c r="C21" s="52">
        <v>62003</v>
      </c>
      <c r="D21" s="52">
        <v>87442</v>
      </c>
      <c r="E21" s="52">
        <v>82746</v>
      </c>
      <c r="F21" s="52">
        <v>110177</v>
      </c>
      <c r="G21" s="49">
        <v>111299</v>
      </c>
      <c r="H21" s="49">
        <v>117339</v>
      </c>
      <c r="I21" s="49">
        <v>93288</v>
      </c>
      <c r="J21" s="49">
        <v>128535</v>
      </c>
      <c r="K21" s="49">
        <v>70927</v>
      </c>
      <c r="L21" s="49">
        <v>107651</v>
      </c>
      <c r="M21" s="53">
        <v>86109</v>
      </c>
      <c r="N21" s="53">
        <v>131352</v>
      </c>
      <c r="O21" s="65">
        <v>93996</v>
      </c>
      <c r="P21" s="65">
        <v>147311</v>
      </c>
      <c r="Q21" s="65">
        <v>100643</v>
      </c>
      <c r="R21" s="65">
        <v>163304</v>
      </c>
      <c r="S21" s="53">
        <v>133847</v>
      </c>
      <c r="T21" s="53">
        <v>206984</v>
      </c>
      <c r="U21" s="81">
        <v>135630</v>
      </c>
      <c r="V21" s="49" t="s">
        <v>21</v>
      </c>
      <c r="W21" s="49">
        <v>179494</v>
      </c>
      <c r="X21" s="49">
        <v>275420</v>
      </c>
      <c r="Y21" s="49">
        <v>175669</v>
      </c>
      <c r="Z21" s="49">
        <v>285902</v>
      </c>
      <c r="AA21" s="49">
        <f>AA22+AA30+AA31+AA32</f>
        <v>203180</v>
      </c>
      <c r="AB21" s="49">
        <f>AB22+AB30+AB31+AB32</f>
        <v>341422</v>
      </c>
      <c r="AC21" s="49">
        <v>230534</v>
      </c>
      <c r="AD21" s="49">
        <v>376526</v>
      </c>
      <c r="AE21" s="49">
        <v>271678</v>
      </c>
      <c r="AF21" s="49">
        <v>429079</v>
      </c>
      <c r="AG21" s="49">
        <f t="shared" ref="AG21:AN21" si="5">AG22+AG30+AG31+AG32</f>
        <v>332544</v>
      </c>
      <c r="AH21" s="49">
        <f t="shared" si="5"/>
        <v>490950</v>
      </c>
      <c r="AI21" s="49">
        <f t="shared" si="5"/>
        <v>300101</v>
      </c>
      <c r="AJ21" s="49">
        <f t="shared" si="5"/>
        <v>459703</v>
      </c>
      <c r="AK21" s="49">
        <f t="shared" si="5"/>
        <v>870350</v>
      </c>
      <c r="AL21" s="49">
        <f t="shared" si="5"/>
        <v>1081622</v>
      </c>
      <c r="AM21" s="49">
        <f t="shared" si="5"/>
        <v>424929</v>
      </c>
      <c r="AN21" s="49">
        <f t="shared" si="5"/>
        <v>702030</v>
      </c>
    </row>
    <row r="22" spans="1:40" s="38" customFormat="1" ht="30" customHeight="1" x14ac:dyDescent="0.4">
      <c r="A22" s="54" t="s">
        <v>80</v>
      </c>
      <c r="B22" s="55" t="s">
        <v>52</v>
      </c>
      <c r="C22" s="52">
        <v>45111</v>
      </c>
      <c r="D22" s="52">
        <v>50593</v>
      </c>
      <c r="E22" s="52">
        <v>52455</v>
      </c>
      <c r="F22" s="52">
        <v>59308</v>
      </c>
      <c r="G22" s="49">
        <v>53395</v>
      </c>
      <c r="H22" s="49">
        <v>60391</v>
      </c>
      <c r="I22" s="49">
        <v>54570</v>
      </c>
      <c r="J22" s="49">
        <v>61618</v>
      </c>
      <c r="K22" s="49">
        <v>42504</v>
      </c>
      <c r="L22" s="49">
        <v>50137</v>
      </c>
      <c r="M22" s="53">
        <v>55979</v>
      </c>
      <c r="N22" s="53">
        <v>67212</v>
      </c>
      <c r="O22" s="53">
        <v>56494</v>
      </c>
      <c r="P22" s="53">
        <v>67581</v>
      </c>
      <c r="Q22" s="53">
        <v>58115</v>
      </c>
      <c r="R22" s="53">
        <v>69402</v>
      </c>
      <c r="S22" s="53">
        <v>82683</v>
      </c>
      <c r="T22" s="53">
        <v>94980</v>
      </c>
      <c r="U22" s="81">
        <v>69452</v>
      </c>
      <c r="V22" s="49" t="s">
        <v>21</v>
      </c>
      <c r="W22" s="49">
        <v>95199</v>
      </c>
      <c r="X22" s="49">
        <v>111142</v>
      </c>
      <c r="Y22" s="49">
        <v>70317</v>
      </c>
      <c r="Z22" s="49">
        <v>93881</v>
      </c>
      <c r="AA22" s="49">
        <v>70354</v>
      </c>
      <c r="AB22" s="49">
        <v>101047</v>
      </c>
      <c r="AC22" s="49">
        <v>65519</v>
      </c>
      <c r="AD22" s="49">
        <v>99953</v>
      </c>
      <c r="AE22" s="49">
        <v>79669</v>
      </c>
      <c r="AF22" s="49">
        <v>93439</v>
      </c>
      <c r="AG22" s="49">
        <f t="shared" ref="AG22:AN22" si="6">AG23+AG24+AG25+AG26+AG27+AG28+AG29</f>
        <v>91434</v>
      </c>
      <c r="AH22" s="49">
        <f t="shared" si="6"/>
        <v>157081</v>
      </c>
      <c r="AI22" s="49">
        <f t="shared" si="6"/>
        <v>86220</v>
      </c>
      <c r="AJ22" s="49">
        <f t="shared" si="6"/>
        <v>101915</v>
      </c>
      <c r="AK22" s="49">
        <f t="shared" si="6"/>
        <v>103457</v>
      </c>
      <c r="AL22" s="49">
        <f t="shared" si="6"/>
        <v>123479</v>
      </c>
      <c r="AM22" s="49">
        <f t="shared" si="6"/>
        <v>94978</v>
      </c>
      <c r="AN22" s="49">
        <f t="shared" si="6"/>
        <v>118179</v>
      </c>
    </row>
    <row r="23" spans="1:40" s="41" customFormat="1" ht="30" customHeight="1" x14ac:dyDescent="0.35">
      <c r="A23" s="56" t="s">
        <v>26</v>
      </c>
      <c r="B23" s="57" t="s">
        <v>27</v>
      </c>
      <c r="C23" s="58">
        <v>11014</v>
      </c>
      <c r="D23" s="58">
        <v>11014</v>
      </c>
      <c r="E23" s="58">
        <v>25282</v>
      </c>
      <c r="F23" s="58">
        <v>25282</v>
      </c>
      <c r="G23" s="58">
        <v>21637</v>
      </c>
      <c r="H23" s="58">
        <v>21637</v>
      </c>
      <c r="I23" s="58">
        <v>25546</v>
      </c>
      <c r="J23" s="58">
        <v>25546</v>
      </c>
      <c r="K23" s="58">
        <v>21010</v>
      </c>
      <c r="L23" s="58">
        <v>21010</v>
      </c>
      <c r="M23" s="59">
        <v>15027</v>
      </c>
      <c r="N23" s="59">
        <v>15027</v>
      </c>
      <c r="O23" s="83">
        <v>18785</v>
      </c>
      <c r="P23" s="83">
        <v>18785</v>
      </c>
      <c r="Q23" s="83">
        <v>21809</v>
      </c>
      <c r="R23" s="83">
        <v>21809</v>
      </c>
      <c r="S23" s="59">
        <v>25414</v>
      </c>
      <c r="T23" s="59">
        <v>25414</v>
      </c>
      <c r="U23" s="58">
        <v>7820</v>
      </c>
      <c r="V23" s="58" t="s">
        <v>21</v>
      </c>
      <c r="W23" s="58">
        <v>5944</v>
      </c>
      <c r="X23" s="58">
        <v>5944</v>
      </c>
      <c r="Y23" s="58">
        <v>7900</v>
      </c>
      <c r="Z23" s="58">
        <v>7900</v>
      </c>
      <c r="AA23" s="58">
        <v>1278</v>
      </c>
      <c r="AB23" s="58">
        <v>1278</v>
      </c>
      <c r="AC23" s="58">
        <v>2093</v>
      </c>
      <c r="AD23" s="58">
        <v>2093</v>
      </c>
      <c r="AE23" s="58">
        <v>3596</v>
      </c>
      <c r="AF23" s="58">
        <v>3596</v>
      </c>
      <c r="AG23" s="58">
        <v>11606</v>
      </c>
      <c r="AH23" s="58">
        <v>11606</v>
      </c>
      <c r="AI23" s="58">
        <v>1468</v>
      </c>
      <c r="AJ23" s="58">
        <v>1468</v>
      </c>
      <c r="AK23" s="58">
        <v>1351</v>
      </c>
      <c r="AL23" s="58">
        <v>1351</v>
      </c>
      <c r="AM23" s="58">
        <v>1228</v>
      </c>
      <c r="AN23" s="58">
        <v>1228</v>
      </c>
    </row>
    <row r="24" spans="1:40" s="41" customFormat="1" ht="30" customHeight="1" x14ac:dyDescent="0.35">
      <c r="A24" s="56" t="s">
        <v>53</v>
      </c>
      <c r="B24" s="57" t="s">
        <v>29</v>
      </c>
      <c r="C24" s="58">
        <v>11931</v>
      </c>
      <c r="D24" s="58">
        <v>11931</v>
      </c>
      <c r="E24" s="58">
        <v>15098</v>
      </c>
      <c r="F24" s="58">
        <v>15098</v>
      </c>
      <c r="G24" s="58">
        <v>13573</v>
      </c>
      <c r="H24" s="58">
        <v>13573</v>
      </c>
      <c r="I24" s="58">
        <v>12729</v>
      </c>
      <c r="J24" s="58">
        <v>12729</v>
      </c>
      <c r="K24" s="58">
        <v>15252</v>
      </c>
      <c r="L24" s="58">
        <v>15252</v>
      </c>
      <c r="M24" s="59">
        <v>16118</v>
      </c>
      <c r="N24" s="59">
        <v>16118</v>
      </c>
      <c r="O24" s="83">
        <v>16375</v>
      </c>
      <c r="P24" s="83">
        <v>16375</v>
      </c>
      <c r="Q24" s="83">
        <v>18084</v>
      </c>
      <c r="R24" s="83">
        <v>18084</v>
      </c>
      <c r="S24" s="59">
        <v>19214</v>
      </c>
      <c r="T24" s="59">
        <v>19214</v>
      </c>
      <c r="U24" s="58">
        <v>14755</v>
      </c>
      <c r="V24" s="58" t="s">
        <v>21</v>
      </c>
      <c r="W24" s="58">
        <v>29381</v>
      </c>
      <c r="X24" s="58">
        <v>29381</v>
      </c>
      <c r="Y24" s="58">
        <v>23718</v>
      </c>
      <c r="Z24" s="58">
        <v>23718</v>
      </c>
      <c r="AA24" s="58">
        <v>30308</v>
      </c>
      <c r="AB24" s="58">
        <v>30308</v>
      </c>
      <c r="AC24" s="58">
        <v>18354</v>
      </c>
      <c r="AD24" s="58">
        <v>18354</v>
      </c>
      <c r="AE24" s="58">
        <v>28082</v>
      </c>
      <c r="AF24" s="58">
        <v>28082</v>
      </c>
      <c r="AG24" s="58">
        <v>27734</v>
      </c>
      <c r="AH24" s="58">
        <v>27734</v>
      </c>
      <c r="AI24" s="58">
        <v>14722</v>
      </c>
      <c r="AJ24" s="58">
        <v>14722</v>
      </c>
      <c r="AK24" s="58">
        <v>32873</v>
      </c>
      <c r="AL24" s="58">
        <v>32873</v>
      </c>
      <c r="AM24" s="58">
        <v>5503</v>
      </c>
      <c r="AN24" s="58">
        <v>5503</v>
      </c>
    </row>
    <row r="25" spans="1:40" s="42" customFormat="1" ht="30" customHeight="1" x14ac:dyDescent="0.35">
      <c r="A25" s="56" t="s">
        <v>30</v>
      </c>
      <c r="B25" s="57" t="s">
        <v>31</v>
      </c>
      <c r="C25" s="58">
        <v>0</v>
      </c>
      <c r="D25" s="58">
        <v>0</v>
      </c>
      <c r="E25" s="58">
        <v>32</v>
      </c>
      <c r="F25" s="58">
        <v>32</v>
      </c>
      <c r="G25" s="58">
        <v>0</v>
      </c>
      <c r="H25" s="58">
        <v>0</v>
      </c>
      <c r="I25" s="58">
        <v>205</v>
      </c>
      <c r="J25" s="58">
        <v>205</v>
      </c>
      <c r="K25" s="58">
        <v>498</v>
      </c>
      <c r="L25" s="58">
        <v>498</v>
      </c>
      <c r="M25" s="59">
        <v>15012</v>
      </c>
      <c r="N25" s="59">
        <v>15012</v>
      </c>
      <c r="O25" s="83">
        <v>11317</v>
      </c>
      <c r="P25" s="83">
        <v>11317</v>
      </c>
      <c r="Q25" s="83">
        <v>9283</v>
      </c>
      <c r="R25" s="83">
        <v>9283</v>
      </c>
      <c r="S25" s="59">
        <v>13417</v>
      </c>
      <c r="T25" s="59">
        <v>13417</v>
      </c>
      <c r="U25" s="58">
        <v>29462</v>
      </c>
      <c r="V25" s="58" t="s">
        <v>21</v>
      </c>
      <c r="W25" s="58">
        <v>19427</v>
      </c>
      <c r="X25" s="58">
        <v>19427</v>
      </c>
      <c r="Y25" s="58">
        <v>5233</v>
      </c>
      <c r="Z25" s="58">
        <v>5233</v>
      </c>
      <c r="AA25" s="58">
        <v>0</v>
      </c>
      <c r="AB25" s="58">
        <v>0</v>
      </c>
      <c r="AC25" s="58">
        <v>0</v>
      </c>
      <c r="AD25" s="58">
        <v>0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58">
        <v>0</v>
      </c>
      <c r="AK25" s="58">
        <v>0</v>
      </c>
      <c r="AL25" s="58">
        <v>0</v>
      </c>
      <c r="AM25" s="58">
        <v>0</v>
      </c>
      <c r="AN25" s="58">
        <v>0</v>
      </c>
    </row>
    <row r="26" spans="1:40" s="42" customFormat="1" ht="30" customHeight="1" x14ac:dyDescent="0.35">
      <c r="A26" s="56" t="s">
        <v>54</v>
      </c>
      <c r="B26" s="57" t="s">
        <v>55</v>
      </c>
      <c r="C26" s="58">
        <v>581</v>
      </c>
      <c r="D26" s="58">
        <v>581</v>
      </c>
      <c r="E26" s="58">
        <v>3047</v>
      </c>
      <c r="F26" s="58">
        <v>3047</v>
      </c>
      <c r="G26" s="58">
        <v>1245</v>
      </c>
      <c r="H26" s="58">
        <v>1245</v>
      </c>
      <c r="I26" s="58">
        <v>1431</v>
      </c>
      <c r="J26" s="58">
        <v>1431</v>
      </c>
      <c r="K26" s="58">
        <v>1287</v>
      </c>
      <c r="L26" s="58">
        <v>1287</v>
      </c>
      <c r="M26" s="59">
        <v>2207</v>
      </c>
      <c r="N26" s="59">
        <v>2207</v>
      </c>
      <c r="O26" s="83">
        <v>1915</v>
      </c>
      <c r="P26" s="83">
        <v>1915</v>
      </c>
      <c r="Q26" s="83">
        <v>1630</v>
      </c>
      <c r="R26" s="83">
        <v>1630</v>
      </c>
      <c r="S26" s="59">
        <v>10093</v>
      </c>
      <c r="T26" s="59">
        <v>10093</v>
      </c>
      <c r="U26" s="58">
        <v>7820</v>
      </c>
      <c r="V26" s="58" t="s">
        <v>21</v>
      </c>
      <c r="W26" s="58">
        <v>10989</v>
      </c>
      <c r="X26" s="58">
        <v>10989</v>
      </c>
      <c r="Y26" s="58">
        <v>8297</v>
      </c>
      <c r="Z26" s="58">
        <v>8297</v>
      </c>
      <c r="AA26" s="58">
        <v>10817</v>
      </c>
      <c r="AB26" s="58">
        <v>10817</v>
      </c>
      <c r="AC26" s="58">
        <v>12045</v>
      </c>
      <c r="AD26" s="58">
        <v>12045</v>
      </c>
      <c r="AE26" s="58">
        <v>11861</v>
      </c>
      <c r="AF26" s="58">
        <v>11861</v>
      </c>
      <c r="AG26" s="58">
        <v>11095</v>
      </c>
      <c r="AH26" s="58">
        <v>11095</v>
      </c>
      <c r="AI26" s="58">
        <v>11168</v>
      </c>
      <c r="AJ26" s="58">
        <v>11168</v>
      </c>
      <c r="AK26" s="58">
        <v>14589</v>
      </c>
      <c r="AL26" s="58">
        <v>14589</v>
      </c>
      <c r="AM26" s="58">
        <v>15383</v>
      </c>
      <c r="AN26" s="58">
        <v>15383</v>
      </c>
    </row>
    <row r="27" spans="1:40" s="41" customFormat="1" ht="30" customHeight="1" x14ac:dyDescent="0.35">
      <c r="A27" s="56" t="s">
        <v>56</v>
      </c>
      <c r="B27" s="57" t="s">
        <v>57</v>
      </c>
      <c r="C27" s="58">
        <v>2222</v>
      </c>
      <c r="D27" s="58">
        <v>2378</v>
      </c>
      <c r="E27" s="58">
        <v>2648</v>
      </c>
      <c r="F27" s="58">
        <v>2902</v>
      </c>
      <c r="G27" s="58">
        <v>3894</v>
      </c>
      <c r="H27" s="58">
        <v>4194</v>
      </c>
      <c r="I27" s="58">
        <v>3272</v>
      </c>
      <c r="J27" s="58">
        <v>3272</v>
      </c>
      <c r="K27" s="58">
        <v>3266</v>
      </c>
      <c r="L27" s="58">
        <v>3266</v>
      </c>
      <c r="M27" s="59">
        <v>3991</v>
      </c>
      <c r="N27" s="59">
        <v>3991</v>
      </c>
      <c r="O27" s="83">
        <v>3539</v>
      </c>
      <c r="P27" s="83">
        <v>3539</v>
      </c>
      <c r="Q27" s="83">
        <v>3157</v>
      </c>
      <c r="R27" s="83">
        <v>3157</v>
      </c>
      <c r="S27" s="59">
        <v>3295</v>
      </c>
      <c r="T27" s="59">
        <v>3295</v>
      </c>
      <c r="U27" s="58">
        <v>2272</v>
      </c>
      <c r="V27" s="58" t="s">
        <v>21</v>
      </c>
      <c r="W27" s="58">
        <v>5230</v>
      </c>
      <c r="X27" s="58">
        <v>5230</v>
      </c>
      <c r="Y27" s="58">
        <v>6863</v>
      </c>
      <c r="Z27" s="58">
        <v>6863</v>
      </c>
      <c r="AA27" s="58">
        <v>5408</v>
      </c>
      <c r="AB27" s="58">
        <v>5408</v>
      </c>
      <c r="AC27" s="58">
        <v>8631</v>
      </c>
      <c r="AD27" s="58">
        <v>8631</v>
      </c>
      <c r="AE27" s="58">
        <v>11185</v>
      </c>
      <c r="AF27" s="58">
        <v>11185</v>
      </c>
      <c r="AG27" s="58">
        <v>12336</v>
      </c>
      <c r="AH27" s="58">
        <v>12336</v>
      </c>
      <c r="AI27" s="58">
        <v>8468</v>
      </c>
      <c r="AJ27" s="58">
        <v>8468</v>
      </c>
      <c r="AK27" s="58">
        <v>13360</v>
      </c>
      <c r="AL27" s="58">
        <v>13360</v>
      </c>
      <c r="AM27" s="58">
        <v>11493</v>
      </c>
      <c r="AN27" s="58">
        <v>11493</v>
      </c>
    </row>
    <row r="28" spans="1:40" s="41" customFormat="1" ht="30" customHeight="1" x14ac:dyDescent="0.35">
      <c r="A28" s="63" t="s">
        <v>58</v>
      </c>
      <c r="B28" s="57" t="s">
        <v>59</v>
      </c>
      <c r="C28" s="58">
        <v>16000</v>
      </c>
      <c r="D28" s="58">
        <v>16000</v>
      </c>
      <c r="E28" s="58">
        <v>3108</v>
      </c>
      <c r="F28" s="58">
        <v>3108</v>
      </c>
      <c r="G28" s="58">
        <v>4355</v>
      </c>
      <c r="H28" s="58">
        <v>4355</v>
      </c>
      <c r="I28" s="58">
        <v>4527</v>
      </c>
      <c r="J28" s="58">
        <v>4527</v>
      </c>
      <c r="K28" s="58">
        <v>-2912</v>
      </c>
      <c r="L28" s="58">
        <v>-2912</v>
      </c>
      <c r="M28" s="59">
        <v>-534</v>
      </c>
      <c r="N28" s="59">
        <v>-534</v>
      </c>
      <c r="O28" s="59">
        <v>361</v>
      </c>
      <c r="P28" s="59">
        <v>361</v>
      </c>
      <c r="Q28" s="59">
        <v>245</v>
      </c>
      <c r="R28" s="59">
        <v>245</v>
      </c>
      <c r="S28" s="59">
        <v>128</v>
      </c>
      <c r="T28" s="59">
        <v>128</v>
      </c>
      <c r="U28" s="58" t="s">
        <v>21</v>
      </c>
      <c r="V28" s="58" t="s">
        <v>21</v>
      </c>
      <c r="W28" s="58">
        <v>7187</v>
      </c>
      <c r="X28" s="58">
        <v>7187</v>
      </c>
      <c r="Y28" s="58">
        <v>125</v>
      </c>
      <c r="Z28" s="58">
        <v>125</v>
      </c>
      <c r="AA28" s="58">
        <v>276</v>
      </c>
      <c r="AB28" s="58">
        <v>276</v>
      </c>
      <c r="AC28" s="58">
        <v>1136</v>
      </c>
      <c r="AD28" s="58">
        <v>1136</v>
      </c>
      <c r="AE28" s="58">
        <v>917</v>
      </c>
      <c r="AF28" s="58">
        <v>917</v>
      </c>
      <c r="AG28" s="58">
        <v>0</v>
      </c>
      <c r="AH28" s="58">
        <v>0</v>
      </c>
      <c r="AI28" s="58">
        <v>-1524</v>
      </c>
      <c r="AJ28" s="58">
        <v>-1524</v>
      </c>
      <c r="AK28" s="58">
        <v>0</v>
      </c>
      <c r="AL28" s="58">
        <v>0</v>
      </c>
      <c r="AM28" s="58">
        <v>14395</v>
      </c>
      <c r="AN28" s="58">
        <v>14395</v>
      </c>
    </row>
    <row r="29" spans="1:40" s="42" customFormat="1" ht="30" customHeight="1" x14ac:dyDescent="0.35">
      <c r="A29" s="56" t="s">
        <v>60</v>
      </c>
      <c r="B29" s="57" t="s">
        <v>61</v>
      </c>
      <c r="C29" s="58">
        <v>3363</v>
      </c>
      <c r="D29" s="58">
        <v>8689</v>
      </c>
      <c r="E29" s="58">
        <v>3240</v>
      </c>
      <c r="F29" s="58">
        <v>9839</v>
      </c>
      <c r="G29" s="58">
        <v>8691</v>
      </c>
      <c r="H29" s="58">
        <v>15387</v>
      </c>
      <c r="I29" s="58">
        <v>6860</v>
      </c>
      <c r="J29" s="58">
        <v>13908</v>
      </c>
      <c r="K29" s="58">
        <v>4103</v>
      </c>
      <c r="L29" s="58">
        <v>11736</v>
      </c>
      <c r="M29" s="59">
        <v>4158</v>
      </c>
      <c r="N29" s="59">
        <v>15391</v>
      </c>
      <c r="O29" s="59">
        <v>4202</v>
      </c>
      <c r="P29" s="59">
        <v>15289</v>
      </c>
      <c r="Q29" s="59">
        <v>3907</v>
      </c>
      <c r="R29" s="59">
        <v>15194</v>
      </c>
      <c r="S29" s="59">
        <v>11122</v>
      </c>
      <c r="T29" s="59">
        <v>23419</v>
      </c>
      <c r="U29" s="58" t="s">
        <v>21</v>
      </c>
      <c r="V29" s="58" t="s">
        <v>21</v>
      </c>
      <c r="W29" s="58">
        <v>17041</v>
      </c>
      <c r="X29" s="58">
        <v>32984</v>
      </c>
      <c r="Y29" s="58">
        <v>18181</v>
      </c>
      <c r="Z29" s="58">
        <v>41745</v>
      </c>
      <c r="AA29" s="58">
        <v>22267</v>
      </c>
      <c r="AB29" s="58">
        <v>52960</v>
      </c>
      <c r="AC29" s="58">
        <v>23260</v>
      </c>
      <c r="AD29" s="58">
        <v>57694</v>
      </c>
      <c r="AE29" s="58">
        <v>24028</v>
      </c>
      <c r="AF29" s="58">
        <v>37798</v>
      </c>
      <c r="AG29" s="58">
        <v>28663</v>
      </c>
      <c r="AH29" s="58">
        <v>94310</v>
      </c>
      <c r="AI29" s="58">
        <v>51918</v>
      </c>
      <c r="AJ29" s="58">
        <v>67613</v>
      </c>
      <c r="AK29" s="58">
        <v>41284</v>
      </c>
      <c r="AL29" s="58">
        <v>61306</v>
      </c>
      <c r="AM29" s="58">
        <v>46976</v>
      </c>
      <c r="AN29" s="58">
        <v>70177</v>
      </c>
    </row>
    <row r="30" spans="1:40" s="43" customFormat="1" ht="30" customHeight="1" x14ac:dyDescent="0.4">
      <c r="A30" s="66" t="s">
        <v>79</v>
      </c>
      <c r="B30" s="64" t="s">
        <v>62</v>
      </c>
      <c r="C30" s="49">
        <v>9776</v>
      </c>
      <c r="D30" s="49">
        <v>9776</v>
      </c>
      <c r="E30" s="49">
        <v>12038</v>
      </c>
      <c r="F30" s="49">
        <v>12044</v>
      </c>
      <c r="G30" s="49">
        <v>16216</v>
      </c>
      <c r="H30" s="49">
        <v>16216</v>
      </c>
      <c r="I30" s="49">
        <v>17212</v>
      </c>
      <c r="J30" s="49">
        <v>17212</v>
      </c>
      <c r="K30" s="49">
        <v>17405</v>
      </c>
      <c r="L30" s="49">
        <v>17405</v>
      </c>
      <c r="M30" s="53">
        <v>17819</v>
      </c>
      <c r="N30" s="53">
        <v>17819</v>
      </c>
      <c r="O30" s="65">
        <v>22733</v>
      </c>
      <c r="P30" s="65">
        <v>22733</v>
      </c>
      <c r="Q30" s="53">
        <v>28499</v>
      </c>
      <c r="R30" s="53">
        <v>28499</v>
      </c>
      <c r="S30" s="53">
        <v>26457</v>
      </c>
      <c r="T30" s="53">
        <v>26457</v>
      </c>
      <c r="U30" s="81">
        <v>29052</v>
      </c>
      <c r="V30" s="49" t="s">
        <v>21</v>
      </c>
      <c r="W30" s="49">
        <v>38058</v>
      </c>
      <c r="X30" s="49">
        <v>38058</v>
      </c>
      <c r="Y30" s="49">
        <v>44693</v>
      </c>
      <c r="Z30" s="49">
        <v>44693</v>
      </c>
      <c r="AA30" s="49">
        <v>53565</v>
      </c>
      <c r="AB30" s="49">
        <v>53565</v>
      </c>
      <c r="AC30" s="49">
        <v>58809</v>
      </c>
      <c r="AD30" s="49">
        <v>58809</v>
      </c>
      <c r="AE30" s="49">
        <v>57730</v>
      </c>
      <c r="AF30" s="49">
        <v>57730</v>
      </c>
      <c r="AG30" s="49">
        <v>75291</v>
      </c>
      <c r="AH30" s="49">
        <v>75291</v>
      </c>
      <c r="AI30" s="49">
        <v>94707</v>
      </c>
      <c r="AJ30" s="49">
        <v>94707</v>
      </c>
      <c r="AK30" s="49">
        <v>112796</v>
      </c>
      <c r="AL30" s="49">
        <v>112796</v>
      </c>
      <c r="AM30" s="49">
        <v>154527</v>
      </c>
      <c r="AN30" s="49">
        <v>154527</v>
      </c>
    </row>
    <row r="31" spans="1:40" s="43" customFormat="1" ht="30" customHeight="1" x14ac:dyDescent="0.4">
      <c r="A31" s="66" t="s">
        <v>63</v>
      </c>
      <c r="B31" s="64" t="s">
        <v>64</v>
      </c>
      <c r="C31" s="49">
        <v>4376</v>
      </c>
      <c r="D31" s="49">
        <v>4376</v>
      </c>
      <c r="E31" s="49">
        <v>5765</v>
      </c>
      <c r="F31" s="49">
        <v>5765</v>
      </c>
      <c r="G31" s="49">
        <v>7855</v>
      </c>
      <c r="H31" s="49">
        <v>7855</v>
      </c>
      <c r="I31" s="49">
        <v>8873</v>
      </c>
      <c r="J31" s="49">
        <v>8873</v>
      </c>
      <c r="K31" s="49">
        <v>8355</v>
      </c>
      <c r="L31" s="49">
        <v>8355</v>
      </c>
      <c r="M31" s="53">
        <v>6595</v>
      </c>
      <c r="N31" s="53">
        <v>6595</v>
      </c>
      <c r="O31" s="65">
        <v>6282</v>
      </c>
      <c r="P31" s="65">
        <v>6282</v>
      </c>
      <c r="Q31" s="53">
        <v>6180</v>
      </c>
      <c r="R31" s="53">
        <v>6180</v>
      </c>
      <c r="S31" s="53">
        <v>10614</v>
      </c>
      <c r="T31" s="53">
        <v>10614</v>
      </c>
      <c r="U31" s="49" t="s">
        <v>21</v>
      </c>
      <c r="V31" s="49" t="s">
        <v>21</v>
      </c>
      <c r="W31" s="49">
        <v>27282</v>
      </c>
      <c r="X31" s="49">
        <v>27282</v>
      </c>
      <c r="Y31" s="49">
        <v>31430</v>
      </c>
      <c r="Z31" s="49">
        <v>31430</v>
      </c>
      <c r="AA31" s="49">
        <v>41749</v>
      </c>
      <c r="AB31" s="49">
        <v>41749</v>
      </c>
      <c r="AC31" s="49">
        <v>48740</v>
      </c>
      <c r="AD31" s="49">
        <v>48740</v>
      </c>
      <c r="AE31" s="49">
        <v>38937</v>
      </c>
      <c r="AF31" s="49">
        <v>38937</v>
      </c>
      <c r="AG31" s="49">
        <v>33795</v>
      </c>
      <c r="AH31" s="49">
        <v>33795</v>
      </c>
      <c r="AI31" s="49">
        <v>34738</v>
      </c>
      <c r="AJ31" s="49">
        <v>34738</v>
      </c>
      <c r="AK31" s="49">
        <v>54913</v>
      </c>
      <c r="AL31" s="49">
        <v>54913</v>
      </c>
      <c r="AM31" s="49">
        <v>105099</v>
      </c>
      <c r="AN31" s="49">
        <v>105099</v>
      </c>
    </row>
    <row r="32" spans="1:40" s="43" customFormat="1" ht="30" customHeight="1" x14ac:dyDescent="0.4">
      <c r="A32" s="67" t="s">
        <v>60</v>
      </c>
      <c r="B32" s="68" t="s">
        <v>61</v>
      </c>
      <c r="C32" s="69">
        <v>2740</v>
      </c>
      <c r="D32" s="69">
        <v>22697</v>
      </c>
      <c r="E32" s="69">
        <v>12488</v>
      </c>
      <c r="F32" s="69">
        <v>33060</v>
      </c>
      <c r="G32" s="69">
        <v>33833</v>
      </c>
      <c r="H32" s="69">
        <v>32877</v>
      </c>
      <c r="I32" s="69">
        <v>12633</v>
      </c>
      <c r="J32" s="69">
        <v>40832</v>
      </c>
      <c r="K32" s="69">
        <v>2663</v>
      </c>
      <c r="L32" s="69">
        <v>31754</v>
      </c>
      <c r="M32" s="70">
        <v>5716</v>
      </c>
      <c r="N32" s="70">
        <v>39726</v>
      </c>
      <c r="O32" s="70">
        <v>8487</v>
      </c>
      <c r="P32" s="70">
        <v>50715</v>
      </c>
      <c r="Q32" s="70">
        <v>7849</v>
      </c>
      <c r="R32" s="70">
        <v>59223</v>
      </c>
      <c r="S32" s="70">
        <v>14093</v>
      </c>
      <c r="T32" s="70">
        <v>74933</v>
      </c>
      <c r="U32" s="69" t="s">
        <v>21</v>
      </c>
      <c r="V32" s="69" t="s">
        <v>21</v>
      </c>
      <c r="W32" s="69">
        <v>18955</v>
      </c>
      <c r="X32" s="69">
        <v>98938</v>
      </c>
      <c r="Y32" s="69">
        <v>29229</v>
      </c>
      <c r="Z32" s="69">
        <v>115898</v>
      </c>
      <c r="AA32" s="69">
        <v>37512</v>
      </c>
      <c r="AB32" s="69">
        <v>145061</v>
      </c>
      <c r="AC32" s="69">
        <v>57466</v>
      </c>
      <c r="AD32" s="69">
        <v>169024</v>
      </c>
      <c r="AE32" s="69">
        <v>95342</v>
      </c>
      <c r="AF32" s="69">
        <v>238973</v>
      </c>
      <c r="AG32" s="69">
        <v>132024</v>
      </c>
      <c r="AH32" s="69">
        <v>224783</v>
      </c>
      <c r="AI32" s="69">
        <v>84436</v>
      </c>
      <c r="AJ32" s="69">
        <v>228343</v>
      </c>
      <c r="AK32" s="69">
        <v>599184</v>
      </c>
      <c r="AL32" s="69">
        <v>790434</v>
      </c>
      <c r="AM32" s="69">
        <v>70325</v>
      </c>
      <c r="AN32" s="69">
        <v>324225</v>
      </c>
    </row>
    <row r="33" spans="1:25" s="22" customFormat="1" ht="21.9" customHeight="1" x14ac:dyDescent="0.3">
      <c r="A33" s="23" t="s">
        <v>65</v>
      </c>
      <c r="B33" s="24" t="s">
        <v>66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6"/>
      <c r="N33" s="26"/>
      <c r="O33" s="27"/>
      <c r="P33" s="27"/>
      <c r="Q33" s="28"/>
      <c r="R33" s="28"/>
      <c r="S33" s="28"/>
      <c r="T33" s="28"/>
      <c r="U33" s="28"/>
      <c r="W33" s="29"/>
      <c r="Y33" s="29"/>
    </row>
    <row r="34" spans="1:25" ht="69" customHeight="1" x14ac:dyDescent="0.3">
      <c r="A34" s="30" t="s">
        <v>67</v>
      </c>
      <c r="B34" s="31" t="s">
        <v>68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1:25" ht="27" customHeight="1" x14ac:dyDescent="0.3">
      <c r="B35" s="33" t="s">
        <v>69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1:25" ht="43.2" customHeight="1" x14ac:dyDescent="0.3">
      <c r="A36" s="30" t="s">
        <v>74</v>
      </c>
      <c r="B36" s="33" t="s">
        <v>73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21"/>
      <c r="N36" s="21"/>
    </row>
    <row r="37" spans="1:25" ht="21.9" customHeight="1" x14ac:dyDescent="0.3">
      <c r="A37" s="35" t="s">
        <v>70</v>
      </c>
      <c r="B37" s="33" t="s">
        <v>71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spans="1:25" ht="21.9" customHeight="1" x14ac:dyDescent="0.3"/>
    <row r="39" spans="1:25" ht="21.9" customHeight="1" x14ac:dyDescent="0.3">
      <c r="B39" s="36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79"/>
      <c r="N39" s="79"/>
    </row>
    <row r="40" spans="1:25" ht="21.9" customHeight="1" x14ac:dyDescent="0.3"/>
    <row r="41" spans="1:25" ht="21.9" customHeight="1" x14ac:dyDescent="0.3"/>
    <row r="42" spans="1:25" ht="21.9" customHeight="1" x14ac:dyDescent="0.3"/>
    <row r="43" spans="1:25" ht="21.9" customHeight="1" x14ac:dyDescent="0.3"/>
    <row r="44" spans="1:25" ht="21.9" customHeight="1" x14ac:dyDescent="0.3"/>
    <row r="45" spans="1:25" ht="21.9" customHeight="1" x14ac:dyDescent="0.3"/>
    <row r="46" spans="1:25" ht="21.9" customHeight="1" x14ac:dyDescent="0.3"/>
    <row r="47" spans="1:25" ht="21.9" customHeight="1" x14ac:dyDescent="0.3"/>
    <row r="48" spans="1:2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</sheetData>
  <mergeCells count="20">
    <mergeCell ref="M39:N39"/>
    <mergeCell ref="O3:P4"/>
    <mergeCell ref="Q3:R4"/>
    <mergeCell ref="S3:T4"/>
    <mergeCell ref="U3:V4"/>
    <mergeCell ref="C3:D4"/>
    <mergeCell ref="E3:F4"/>
    <mergeCell ref="G3:H4"/>
    <mergeCell ref="I3:J4"/>
    <mergeCell ref="K3:L4"/>
    <mergeCell ref="AM3:AN4"/>
    <mergeCell ref="AK3:AL4"/>
    <mergeCell ref="W3:X4"/>
    <mergeCell ref="Y3:Z4"/>
    <mergeCell ref="M3:N4"/>
    <mergeCell ref="AI3:AJ4"/>
    <mergeCell ref="AA3:AB4"/>
    <mergeCell ref="AC3:AD4"/>
    <mergeCell ref="AE3:AF4"/>
    <mergeCell ref="AG3:AH4"/>
  </mergeCells>
  <phoneticPr fontId="15" type="noConversion"/>
  <printOptions horizontalCentered="1" verticalCentered="1"/>
  <pageMargins left="0" right="0" top="0" bottom="0" header="0" footer="0"/>
  <pageSetup paperSize="9" scale="36" orientation="portrait" horizontalDpi="4294967295" verticalDpi="4294967295" r:id="rId1"/>
  <headerFooter alignWithMargins="0"/>
  <colBreaks count="9" manualBreakCount="9">
    <brk id="6" max="36" man="1"/>
    <brk id="10" max="36" man="1"/>
    <brk id="14" max="36" man="1"/>
    <brk id="18" max="36" man="1"/>
    <brk id="22" max="1048575" man="1"/>
    <brk id="26" max="36" man="1"/>
    <brk id="30" max="36" man="1"/>
    <brk id="34" max="36" man="1"/>
    <brk id="3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Revenues_Annual </vt:lpstr>
      <vt:lpstr>'Revenues_Annual '!Print_Area</vt:lpstr>
      <vt:lpstr>'Revenues_Annual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Hames Abdelrashaed</cp:lastModifiedBy>
  <cp:lastPrinted>2024-01-14T08:43:15Z</cp:lastPrinted>
  <dcterms:created xsi:type="dcterms:W3CDTF">2015-06-05T18:17:20Z</dcterms:created>
  <dcterms:modified xsi:type="dcterms:W3CDTF">2026-03-05T09:15:27Z</dcterms:modified>
</cp:coreProperties>
</file>