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debt\for upload - khaled (final)\debt\"/>
    </mc:Choice>
  </mc:AlternateContent>
  <bookViews>
    <workbookView xWindow="-60" yWindow="165" windowWidth="9210" windowHeight="11520" tabRatio="825"/>
  </bookViews>
  <sheets>
    <sheet name="2017-2018  " sheetId="25" r:id="rId1"/>
  </sheets>
  <definedNames>
    <definedName name="_xlnm.Print_Area" localSheetId="0">'2017-2018  '!$A$4:$F$51</definedName>
  </definedNames>
  <calcPr calcId="162913" fullPrecision="0"/>
</workbook>
</file>

<file path=xl/calcChain.xml><?xml version="1.0" encoding="utf-8"?>
<calcChain xmlns="http://schemas.openxmlformats.org/spreadsheetml/2006/main">
  <c r="D11" i="25" l="1"/>
  <c r="E11" i="25"/>
  <c r="F11" i="25"/>
  <c r="C11" i="25"/>
  <c r="D15" i="25"/>
  <c r="E15" i="25"/>
  <c r="F15" i="25"/>
  <c r="C15" i="25"/>
  <c r="F35" i="25" l="1"/>
  <c r="F38" i="25"/>
  <c r="F41" i="25"/>
  <c r="F26" i="25"/>
  <c r="F10" i="25" l="1"/>
  <c r="F9" i="25" s="1"/>
  <c r="F8" i="25" s="1"/>
  <c r="E41" i="25"/>
  <c r="E38" i="25"/>
  <c r="E35" i="25"/>
  <c r="E26" i="25"/>
  <c r="D41" i="25"/>
  <c r="D38" i="25"/>
  <c r="D35" i="25"/>
  <c r="D26" i="25"/>
  <c r="C41" i="25"/>
  <c r="C38" i="25"/>
  <c r="C35" i="25"/>
  <c r="C26" i="25"/>
  <c r="E10" i="25" l="1"/>
  <c r="E9" i="25" s="1"/>
  <c r="E8" i="25" s="1"/>
  <c r="C10" i="25"/>
  <c r="C9" i="25" s="1"/>
  <c r="C8" i="25" s="1"/>
  <c r="D10" i="25"/>
  <c r="D9" i="25" s="1"/>
  <c r="D8" i="25" s="1"/>
</calcChain>
</file>

<file path=xl/sharedStrings.xml><?xml version="1.0" encoding="utf-8"?>
<sst xmlns="http://schemas.openxmlformats.org/spreadsheetml/2006/main" count="96" uniqueCount="92">
  <si>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</si>
  <si>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</si>
  <si>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</si>
  <si>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</si>
  <si>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</si>
  <si>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</si>
  <si>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Gross Domestic Debt</t>
  </si>
  <si>
    <t xml:space="preserve"> Gross Domestic Debt (1+2+3-4)</t>
  </si>
  <si>
    <t xml:space="preserve"> 1- Net Domestic Debt of Government (A+B+C+D+E+F)</t>
  </si>
  <si>
    <t>A-  Balances of  Bonds &amp; Bills</t>
  </si>
  <si>
    <t xml:space="preserve">  Treasury bonds with the CBE</t>
  </si>
  <si>
    <t xml:space="preserve">  Local currency bonds  with public sector banks</t>
  </si>
  <si>
    <t>US$</t>
  </si>
  <si>
    <t xml:space="preserve">LE </t>
  </si>
  <si>
    <t xml:space="preserve">    Government notes to compensate for the actuarial deficit in social  insurance funds    </t>
  </si>
  <si>
    <t xml:space="preserve">    Housing bonds</t>
  </si>
  <si>
    <t xml:space="preserve">    Foreign currency bonds with public sector commercial banks </t>
  </si>
  <si>
    <t xml:space="preserve">   The equivalent of the retained 5% of corporate profits to purchase government  bonds</t>
  </si>
  <si>
    <t xml:space="preserve">   Bonds of the Insurance Funds (against the transfer of NIB debt to the Treasury) </t>
  </si>
  <si>
    <t xml:space="preserve">   Bonds of Barwa Real Estate Investment Company.</t>
  </si>
  <si>
    <t xml:space="preserve">   Treasury Bills :</t>
  </si>
  <si>
    <t>Euro</t>
  </si>
  <si>
    <t>B-  Borrowing from other entities</t>
  </si>
  <si>
    <t>C - Credit Facilities from the Social Insurance Funds</t>
  </si>
  <si>
    <t>E- Net Government Balances with the Banking System</t>
  </si>
  <si>
    <t>NIB  Debt</t>
  </si>
  <si>
    <t>Deposits of the NIB with the banking system (-)</t>
  </si>
  <si>
    <t>أ- الأرصدة من السندات والأذون</t>
  </si>
  <si>
    <t xml:space="preserve">. سندات على الخزانة العامة لدى البنك المركزى </t>
  </si>
  <si>
    <t xml:space="preserve"> . السندات الصادرة بالعملة المحلية لدى بنوك القطاع العام  </t>
  </si>
  <si>
    <t xml:space="preserve"> . السندات المطروحة فى الخارج  *: </t>
  </si>
  <si>
    <t>بالدولار</t>
  </si>
  <si>
    <t>. صكوك على الخزانة العامة بقيمة العجز الإكتوارى فى صناديق التأمينات الإجتماعية</t>
  </si>
  <si>
    <t>. سندات الإسكان</t>
  </si>
  <si>
    <t>. مقابل نسبة ال5% المجنبة من أرباح الشركات لشراء سندات حكومية</t>
  </si>
  <si>
    <t>. سندات شركة بروه للإستثمار العقارى</t>
  </si>
  <si>
    <t xml:space="preserve"> أذون على الخزانة العامة </t>
  </si>
  <si>
    <t>ب-  إقتراض من جهات أخرى</t>
  </si>
  <si>
    <t>ج-  تسهيلات إئتمانية من صندوقى التأمين الإجتماعى</t>
  </si>
  <si>
    <t>هـ- صافى أرصدة الحكومة لدى الجهاز المصرفى</t>
  </si>
  <si>
    <t xml:space="preserve"> 3-  صافى مديونية بنك الإستثمار القومى </t>
  </si>
  <si>
    <t>. مديونية بنك الإستثمار القومى</t>
  </si>
  <si>
    <t xml:space="preserve"> 4-  المديونية البينية </t>
  </si>
  <si>
    <t>. مديونية الحكومة قبل بنك الإستثمار القومى (إستثمارات فى أوراق مالية حكومية )</t>
  </si>
  <si>
    <t>. السندات الصادرة بالعملات الاجنبية لدى بنوك القطاع العام التجارية</t>
  </si>
  <si>
    <t>.اقتراض الحكومة من بنك الاستثمار القومى</t>
  </si>
  <si>
    <t>Source: Central Bank of Egypt - Ministry of Finance - National Investment Bank.</t>
  </si>
  <si>
    <t>( LE mn )</t>
  </si>
  <si>
    <t xml:space="preserve">       The Masri Dollar Certificate is a three-year certificate, with a 4% annual return, and is not redeemable in the first six months.  Its minimum purchase value is US$ 1000, with no ceiling.</t>
  </si>
  <si>
    <t xml:space="preserve">End of </t>
  </si>
  <si>
    <t>1- صافى  الدين المحلى الحكومى(أ+ب+ج+د+هـ+و )</t>
  </si>
  <si>
    <t xml:space="preserve">  Bonds offered abroad * :</t>
  </si>
  <si>
    <r>
      <t>**</t>
    </r>
    <r>
      <rPr>
        <sz val="12"/>
        <rFont val="Arial"/>
        <family val="2"/>
        <charset val="178"/>
      </rPr>
      <t xml:space="preserve">  In order to support the national economy and finance the development plan, the National Bank of Egypt issued a new US dollar certificate in May 2012 for  Egyptians resident abroad to invest their savings in the Egyptian market.</t>
    </r>
  </si>
  <si>
    <t>. السندات الصادرة بالدولار الامريكى لصالح البنوك التجارية</t>
  </si>
  <si>
    <t xml:space="preserve">  US dollar bonds issued for commercial banks</t>
  </si>
  <si>
    <t>د-  شهادة المصرى الدولارية**</t>
  </si>
  <si>
    <t>D -  The Masri Dollar certificate**</t>
  </si>
  <si>
    <t>وـ -اقتراض الحكومة من بنك الاستثمار القومى***</t>
  </si>
  <si>
    <t>F- Government Borrowing  from NIB ***</t>
  </si>
  <si>
    <t>سندات على الخزانة العامة</t>
  </si>
  <si>
    <t xml:space="preserve">   Treasury Bonds :</t>
  </si>
  <si>
    <t>Sept.2017</t>
  </si>
  <si>
    <t>Dec.2017</t>
  </si>
  <si>
    <t xml:space="preserve"> March 2018</t>
  </si>
  <si>
    <t xml:space="preserve">  June 2018</t>
  </si>
  <si>
    <t>باليورو</t>
  </si>
  <si>
    <r>
      <t>.السندات الدولية (الطرح الخاص لصالح البنك المركزى)</t>
    </r>
    <r>
      <rPr>
        <vertAlign val="superscript"/>
        <sz val="20"/>
        <color indexed="63"/>
        <rFont val="Akhbar MT"/>
        <charset val="178"/>
      </rPr>
      <t>++</t>
    </r>
  </si>
  <si>
    <r>
      <t xml:space="preserve">    International euro bonds ( private placment for the account of CBE)</t>
    </r>
    <r>
      <rPr>
        <vertAlign val="superscript"/>
        <sz val="16"/>
        <rFont val="Arial"/>
        <family val="2"/>
      </rPr>
      <t xml:space="preserve"> ++</t>
    </r>
  </si>
  <si>
    <t xml:space="preserve"> *  Represents Holdings of  financial institutions ( the banking and insurance sectors ) resident  in Egypt.</t>
  </si>
  <si>
    <t>*** As of 1/7/2006, the government debt to the NIB was cleared to zero, and the Bank's obligations to insurance and pension funds were transferred to become obligations on the government.</t>
  </si>
  <si>
    <t xml:space="preserve">         Moreover, bonds were issued against the government debt to the Bank at an initial value of LE 197.7 billion.  </t>
  </si>
  <si>
    <r>
      <t xml:space="preserve">**** </t>
    </r>
    <r>
      <rPr>
        <sz val="12"/>
        <rFont val="Arial"/>
        <family val="2"/>
      </rPr>
      <t>Apart from the interest payments due to the NIB.</t>
    </r>
  </si>
  <si>
    <t xml:space="preserve"> ++  This item represnts the local equivalent of the international euro bonds issued in 11/2016.</t>
  </si>
  <si>
    <r>
      <t xml:space="preserve">    Egyptian treasury bonds </t>
    </r>
    <r>
      <rPr>
        <vertAlign val="superscript"/>
        <sz val="14"/>
        <rFont val="Times New Roman"/>
        <family val="1"/>
      </rPr>
      <t>+</t>
    </r>
  </si>
  <si>
    <t>. مديونية الهيئات العامة الإقتصادية قبل بنك الإستثمار القومى</t>
  </si>
  <si>
    <t>. ودائع بنك الإستثمار القومى لدى الجهاز المصرفى (-)</t>
  </si>
  <si>
    <t>. سندات صندوقى التأمينات مقابل نقل مديونية بنك الإستثمار القومى إلى الخزانة</t>
  </si>
  <si>
    <t>3- Net NIB Debt</t>
  </si>
  <si>
    <t xml:space="preserve"> 4- Intra-Debt </t>
  </si>
  <si>
    <t>2- Net Debt of Public Economic Authorities</t>
  </si>
  <si>
    <t>2-  صافى مديونية الهيئات العامة الإقتصادية</t>
  </si>
  <si>
    <t xml:space="preserve">  الدين العام المحلى (1+2+3-4)</t>
  </si>
  <si>
    <r>
      <t xml:space="preserve">. سندات صادرة على الخزانة المصرية </t>
    </r>
    <r>
      <rPr>
        <vertAlign val="superscript"/>
        <sz val="13"/>
        <rFont val="Times New (W1)"/>
        <charset val="178"/>
      </rPr>
      <t>+</t>
    </r>
  </si>
  <si>
    <t>بالجنيه المصرى</t>
  </si>
  <si>
    <t>. صافى أرصدة الهيئات العامة الإقتصادية لدى الجهاز  المصرفى</t>
  </si>
  <si>
    <t>. إقتراض الهيئات العامة الإقتصادية من بنك الإستثمار القومى****</t>
  </si>
  <si>
    <t>Net Balances of Public Economic Authorities with the Banking System</t>
  </si>
  <si>
    <t>Borrowing of Public Economic Authorities from NIB ****</t>
  </si>
  <si>
    <t xml:space="preserve">Government debt to the NIB (investments in government securities) </t>
  </si>
  <si>
    <t>Government Borrowing  from NIB</t>
  </si>
  <si>
    <t>Loans of public economic authorities to NIB</t>
  </si>
  <si>
    <t xml:space="preserve"> +   Based on its nominal value, including US$ 1.0 billion worth Egyptian T-bonds, with Zero-Coupon issued on 28/2/2017 with a maturity of two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</si>
</sst>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B1mmm\-yy"/>
  </numFmts>
  <fonts count="38">
    <font>
      <sz val="10"/>
      <name val="Arial"/>
      <charset val="178"/>
    </font>
    <font>
      <sz val="10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sz val="13"/>
      <name val="Times New (W1)"/>
      <family val="1"/>
    </font>
    <font>
      <i/>
      <sz val="13"/>
      <name val="Arial"/>
      <family val="2"/>
    </font>
    <font>
      <sz val="14"/>
      <name val="Times New (W1)"/>
      <charset val="178"/>
    </font>
    <font>
      <sz val="10"/>
      <name val="Arial"/>
      <family val="2"/>
    </font>
    <font>
      <sz val="14"/>
      <name val="Times New Roman"/>
      <family val="1"/>
    </font>
    <font>
      <u/>
      <sz val="14"/>
      <name val="Times New Roman"/>
      <family val="1"/>
    </font>
    <font>
      <b/>
      <u/>
      <sz val="14"/>
      <name val="Times New Roman"/>
      <family val="1"/>
    </font>
    <font>
      <u/>
      <sz val="14"/>
      <name val="Times New (W1)"/>
      <charset val="178"/>
    </font>
    <font>
      <b/>
      <u/>
      <sz val="14"/>
      <name val="Times New (W1)"/>
      <charset val="178"/>
    </font>
    <font>
      <sz val="13"/>
      <name val="Times New (W1)"/>
      <charset val="178"/>
    </font>
    <font>
      <b/>
      <u/>
      <sz val="16"/>
      <name val="Times New (W1)"/>
      <family val="1"/>
    </font>
    <font>
      <b/>
      <u/>
      <sz val="16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0"/>
      <name val="Arial"/>
      <family val="2"/>
    </font>
    <font>
      <b/>
      <u/>
      <sz val="13"/>
      <name val="Times New (W1)"/>
      <family val="1"/>
    </font>
    <font>
      <b/>
      <u/>
      <sz val="13"/>
      <name val="Times New Roman"/>
      <family val="1"/>
    </font>
    <font>
      <sz val="10"/>
      <name val="Arial"/>
    </font>
    <font>
      <sz val="10"/>
      <name val="MS Sans Serif"/>
      <family val="2"/>
      <charset val="178"/>
    </font>
    <font>
      <i/>
      <sz val="11"/>
      <name val="Arial"/>
      <family val="2"/>
    </font>
    <font>
      <vertAlign val="superscript"/>
      <sz val="20"/>
      <color indexed="63"/>
      <name val="Akhbar MT"/>
      <charset val="178"/>
    </font>
    <font>
      <vertAlign val="superscript"/>
      <sz val="16"/>
      <name val="Arial"/>
      <family val="2"/>
    </font>
    <font>
      <vertAlign val="superscript"/>
      <sz val="14"/>
      <name val="Times New Roman"/>
      <family val="1"/>
    </font>
    <font>
      <vertAlign val="superscript"/>
      <sz val="13"/>
      <name val="Times New (W1)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FFFF"/>
      </left>
      <right style="double">
        <color rgb="FF00FFFF"/>
      </right>
      <top style="double">
        <color rgb="FF00FFFF"/>
      </top>
      <bottom style="double">
        <color rgb="FF00FFFF"/>
      </bottom>
      <diagonal/>
    </border>
    <border>
      <left style="double">
        <color rgb="FF00FFFF"/>
      </left>
      <right style="double">
        <color rgb="FF00FFFF"/>
      </right>
      <top/>
      <bottom style="double">
        <color rgb="FF00FFFF"/>
      </bottom>
      <diagonal/>
    </border>
    <border>
      <left style="double">
        <color rgb="FF00FFFF"/>
      </left>
      <right/>
      <top/>
      <bottom style="double">
        <color rgb="FF00FFFF"/>
      </bottom>
      <diagonal/>
    </border>
    <border>
      <left/>
      <right style="double">
        <color rgb="FF00FFFF"/>
      </right>
      <top/>
      <bottom style="double">
        <color rgb="FF00FFFF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00FFFF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00FFFF"/>
      </left>
      <right/>
      <top style="double">
        <color rgb="FF00FFFF"/>
      </top>
      <bottom/>
      <diagonal/>
    </border>
    <border>
      <left/>
      <right style="double">
        <color rgb="FF00FFFF"/>
      </right>
      <top style="double">
        <color rgb="FF00FFFF"/>
      </top>
      <bottom/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5" fillId="0" borderId="0"/>
    <xf numFmtId="0" fontId="31" fillId="0" borderId="0"/>
    <xf numFmtId="0" fontId="32" fillId="0" borderId="0"/>
    <xf numFmtId="42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73">
    <xf numFmtId="0" fontId="0" fillId="0" borderId="0" xfId="0"/>
    <xf numFmtId="0" fontId="1" fillId="0" borderId="0" xfId="0" applyFont="1" applyFill="1" applyAlignment="1">
      <alignment readingOrder="1"/>
    </xf>
    <xf numFmtId="0" fontId="8" fillId="0" borderId="0" xfId="0" applyFont="1"/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3" fillId="0" borderId="0" xfId="0" applyNumberFormat="1" applyFont="1"/>
    <xf numFmtId="0" fontId="13" fillId="0" borderId="0" xfId="0" applyFont="1"/>
    <xf numFmtId="0" fontId="6" fillId="0" borderId="0" xfId="0" applyFont="1"/>
    <xf numFmtId="164" fontId="6" fillId="0" borderId="0" xfId="0" applyNumberFormat="1" applyFont="1"/>
    <xf numFmtId="0" fontId="12" fillId="3" borderId="1" xfId="0" quotePrefix="1" applyFont="1" applyFill="1" applyBorder="1" applyAlignment="1">
      <alignment horizontal="right" readingOrder="2"/>
    </xf>
    <xf numFmtId="0" fontId="16" fillId="3" borderId="1" xfId="2" applyFont="1" applyFill="1" applyBorder="1" applyAlignment="1">
      <alignment horizontal="left" vertical="center" indent="1"/>
    </xf>
    <xf numFmtId="0" fontId="16" fillId="3" borderId="1" xfId="2" applyFont="1" applyFill="1" applyBorder="1" applyAlignment="1">
      <alignment horizontal="left" vertical="center" indent="3"/>
    </xf>
    <xf numFmtId="0" fontId="16" fillId="3" borderId="1" xfId="2" applyFont="1" applyFill="1" applyBorder="1" applyAlignment="1">
      <alignment horizontal="left" vertical="center"/>
    </xf>
    <xf numFmtId="0" fontId="17" fillId="3" borderId="1" xfId="2" applyFont="1" applyFill="1" applyBorder="1" applyAlignment="1">
      <alignment horizontal="left" vertical="center"/>
    </xf>
    <xf numFmtId="0" fontId="16" fillId="3" borderId="1" xfId="2" applyFont="1" applyFill="1" applyBorder="1" applyAlignment="1">
      <alignment horizontal="left" vertical="center" wrapText="1" indent="1"/>
    </xf>
    <xf numFmtId="0" fontId="18" fillId="3" borderId="1" xfId="2" applyFont="1" applyFill="1" applyBorder="1" applyAlignment="1">
      <alignment horizontal="left" vertical="center"/>
    </xf>
    <xf numFmtId="0" fontId="20" fillId="3" borderId="1" xfId="0" quotePrefix="1" applyFont="1" applyFill="1" applyBorder="1" applyAlignment="1">
      <alignment horizontal="right" readingOrder="2"/>
    </xf>
    <xf numFmtId="0" fontId="2" fillId="3" borderId="1" xfId="0" applyFont="1" applyFill="1" applyBorder="1" applyAlignment="1">
      <alignment horizontal="right" readingOrder="2"/>
    </xf>
    <xf numFmtId="0" fontId="21" fillId="3" borderId="1" xfId="0" quotePrefix="1" applyFont="1" applyFill="1" applyBorder="1" applyAlignment="1">
      <alignment horizontal="right" readingOrder="2"/>
    </xf>
    <xf numFmtId="0" fontId="21" fillId="3" borderId="1" xfId="0" applyFont="1" applyFill="1" applyBorder="1" applyAlignment="1">
      <alignment horizontal="right" readingOrder="2"/>
    </xf>
    <xf numFmtId="0" fontId="2" fillId="3" borderId="1" xfId="0" quotePrefix="1" applyFont="1" applyFill="1" applyBorder="1" applyAlignment="1">
      <alignment horizontal="right" readingOrder="2"/>
    </xf>
    <xf numFmtId="0" fontId="22" fillId="3" borderId="1" xfId="0" applyFont="1" applyFill="1" applyBorder="1" applyAlignment="1">
      <alignment horizontal="right" readingOrder="2"/>
    </xf>
    <xf numFmtId="0" fontId="23" fillId="3" borderId="1" xfId="2" applyFont="1" applyFill="1" applyBorder="1" applyAlignment="1">
      <alignment horizontal="left" vertical="center"/>
    </xf>
    <xf numFmtId="0" fontId="24" fillId="3" borderId="1" xfId="2" applyFont="1" applyFill="1" applyBorder="1" applyAlignment="1">
      <alignment horizontal="left" vertical="center" indent="3"/>
    </xf>
    <xf numFmtId="0" fontId="25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164" fontId="0" fillId="0" borderId="0" xfId="0" applyNumberFormat="1" applyBorder="1"/>
    <xf numFmtId="164" fontId="6" fillId="0" borderId="0" xfId="0" applyNumberFormat="1" applyFont="1" applyBorder="1"/>
    <xf numFmtId="0" fontId="6" fillId="0" borderId="0" xfId="0" applyFont="1" applyBorder="1"/>
    <xf numFmtId="164" fontId="13" fillId="0" borderId="0" xfId="0" applyNumberFormat="1" applyFont="1" applyBorder="1"/>
    <xf numFmtId="0" fontId="13" fillId="0" borderId="0" xfId="0" applyFont="1" applyBorder="1"/>
    <xf numFmtId="0" fontId="9" fillId="0" borderId="0" xfId="0" applyFont="1" applyBorder="1"/>
    <xf numFmtId="0" fontId="8" fillId="0" borderId="0" xfId="0" applyFont="1" applyBorder="1"/>
    <xf numFmtId="0" fontId="1" fillId="3" borderId="0" xfId="0" applyFont="1" applyFill="1" applyAlignment="1">
      <alignment readingOrder="1"/>
    </xf>
    <xf numFmtId="0" fontId="0" fillId="4" borderId="0" xfId="0" applyFill="1" applyBorder="1"/>
    <xf numFmtId="0" fontId="0" fillId="4" borderId="0" xfId="0" applyFill="1"/>
    <xf numFmtId="3" fontId="20" fillId="0" borderId="1" xfId="0" applyNumberFormat="1" applyFont="1" applyFill="1" applyBorder="1" applyAlignment="1">
      <alignment horizontal="center" readingOrder="1"/>
    </xf>
    <xf numFmtId="3" fontId="19" fillId="0" borderId="1" xfId="0" applyNumberFormat="1" applyFont="1" applyFill="1" applyBorder="1" applyAlignment="1">
      <alignment horizontal="center" readingOrder="1"/>
    </xf>
    <xf numFmtId="3" fontId="3" fillId="0" borderId="1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165" fontId="2" fillId="2" borderId="4" xfId="0" applyNumberFormat="1" applyFont="1" applyFill="1" applyBorder="1" applyAlignment="1">
      <alignment horizontal="center" vertical="center" wrapText="1" readingOrder="1"/>
    </xf>
    <xf numFmtId="3" fontId="14" fillId="0" borderId="1" xfId="0" applyNumberFormat="1" applyFont="1" applyFill="1" applyBorder="1" applyAlignment="1">
      <alignment horizontal="center" readingOrder="1"/>
    </xf>
    <xf numFmtId="0" fontId="3" fillId="3" borderId="1" xfId="0" applyFont="1" applyFill="1" applyBorder="1" applyAlignment="1">
      <alignment horizontal="right" readingOrder="2"/>
    </xf>
    <xf numFmtId="0" fontId="29" fillId="3" borderId="1" xfId="0" quotePrefix="1" applyFont="1" applyFill="1" applyBorder="1" applyAlignment="1">
      <alignment horizontal="right" readingOrder="2"/>
    </xf>
    <xf numFmtId="0" fontId="30" fillId="3" borderId="1" xfId="2" applyFont="1" applyFill="1" applyBorder="1" applyAlignment="1">
      <alignment vertical="center"/>
    </xf>
    <xf numFmtId="0" fontId="16" fillId="3" borderId="0" xfId="2" applyFont="1" applyFill="1" applyBorder="1" applyAlignment="1">
      <alignment horizontal="left" vertical="center" indent="1"/>
    </xf>
    <xf numFmtId="0" fontId="16" fillId="3" borderId="8" xfId="2" applyFont="1" applyFill="1" applyBorder="1" applyAlignment="1">
      <alignment horizontal="left" vertical="center" indent="1"/>
    </xf>
    <xf numFmtId="3" fontId="20" fillId="0" borderId="9" xfId="0" applyNumberFormat="1" applyFont="1" applyFill="1" applyBorder="1" applyAlignment="1">
      <alignment horizontal="center" readingOrder="1"/>
    </xf>
    <xf numFmtId="0" fontId="16" fillId="3" borderId="7" xfId="2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center" vertical="center" readingOrder="1"/>
    </xf>
    <xf numFmtId="3" fontId="8" fillId="4" borderId="1" xfId="2" applyNumberFormat="1" applyFont="1" applyFill="1" applyBorder="1" applyAlignment="1">
      <alignment horizontal="center" vertical="center" readingOrder="1"/>
    </xf>
    <xf numFmtId="1" fontId="33" fillId="0" borderId="0" xfId="0" applyNumberFormat="1" applyFont="1" applyBorder="1"/>
    <xf numFmtId="0" fontId="21" fillId="3" borderId="1" xfId="0" quotePrefix="1" applyFont="1" applyFill="1" applyBorder="1" applyAlignment="1">
      <alignment horizontal="right" vertical="center" readingOrder="2"/>
    </xf>
    <xf numFmtId="0" fontId="12" fillId="3" borderId="1" xfId="0" applyFont="1" applyFill="1" applyBorder="1" applyAlignment="1">
      <alignment horizontal="right" readingOrder="2"/>
    </xf>
    <xf numFmtId="0" fontId="21" fillId="3" borderId="1" xfId="0" applyFont="1" applyFill="1" applyBorder="1" applyAlignment="1">
      <alignment horizontal="right" indent="3" readingOrder="2"/>
    </xf>
    <xf numFmtId="0" fontId="12" fillId="3" borderId="1" xfId="0" quotePrefix="1" applyFont="1" applyFill="1" applyBorder="1" applyAlignment="1">
      <alignment horizontal="right" indent="3" readingOrder="2"/>
    </xf>
    <xf numFmtId="0" fontId="14" fillId="3" borderId="1" xfId="0" quotePrefix="1" applyFont="1" applyFill="1" applyBorder="1" applyAlignment="1">
      <alignment horizontal="right" indent="3" readingOrder="2"/>
    </xf>
    <xf numFmtId="0" fontId="14" fillId="3" borderId="1" xfId="0" quotePrefix="1" applyFont="1" applyFill="1" applyBorder="1" applyAlignment="1">
      <alignment horizontal="right" indent="1" readingOrder="2"/>
    </xf>
    <xf numFmtId="0" fontId="3" fillId="3" borderId="1" xfId="0" applyFont="1" applyFill="1" applyBorder="1" applyAlignment="1">
      <alignment horizontal="right" indent="1" readingOrder="2"/>
    </xf>
    <xf numFmtId="0" fontId="14" fillId="3" borderId="7" xfId="0" quotePrefix="1" applyFont="1" applyFill="1" applyBorder="1" applyAlignment="1">
      <alignment horizontal="right" indent="1" readingOrder="2"/>
    </xf>
    <xf numFmtId="0" fontId="14" fillId="3" borderId="10" xfId="0" quotePrefix="1" applyFont="1" applyFill="1" applyBorder="1" applyAlignment="1">
      <alignment horizontal="right" indent="1" readingOrder="2"/>
    </xf>
    <xf numFmtId="0" fontId="27" fillId="0" borderId="0" xfId="2" quotePrefix="1" applyFont="1" applyBorder="1" applyAlignment="1">
      <alignment horizontal="right"/>
    </xf>
    <xf numFmtId="0" fontId="7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28" fillId="5" borderId="11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3"/>
  <sheetViews>
    <sheetView tabSelected="1" topLeftCell="B4" zoomScale="75" zoomScaleNormal="75" zoomScaleSheetLayoutView="88" workbookViewId="0">
      <selection activeCell="B15" sqref="A15:XFD15"/>
    </sheetView>
  </sheetViews>
  <sheetFormatPr defaultRowHeight="12.75"/>
  <cols>
    <col min="1" max="1" width="74.5703125" customWidth="1"/>
    <col min="2" max="2" width="100.5703125" style="1" customWidth="1"/>
    <col min="3" max="3" width="20.28515625" customWidth="1"/>
    <col min="4" max="4" width="19.42578125" customWidth="1"/>
    <col min="5" max="5" width="20.7109375" customWidth="1"/>
    <col min="6" max="6" width="19.42578125" customWidth="1"/>
    <col min="7" max="8" width="9.140625" style="26"/>
    <col min="9" max="9" width="12.85546875" style="26" bestFit="1" customWidth="1"/>
    <col min="10" max="12" width="13.42578125" style="26" bestFit="1" customWidth="1"/>
    <col min="13" max="13" width="9.140625" style="26"/>
    <col min="19" max="19" width="9.28515625" bestFit="1" customWidth="1"/>
  </cols>
  <sheetData>
    <row r="1" spans="1:19" ht="15" hidden="1" customHeight="1"/>
    <row r="2" spans="1:19" ht="23.25" hidden="1">
      <c r="B2" s="66" t="s">
        <v>5</v>
      </c>
      <c r="C2" s="66"/>
      <c r="D2" s="66"/>
      <c r="E2" s="66"/>
      <c r="F2" s="66"/>
    </row>
    <row r="3" spans="1:19" ht="23.25" hidden="1">
      <c r="B3" s="67" t="s">
        <v>4</v>
      </c>
      <c r="C3" s="67"/>
      <c r="D3" s="67"/>
      <c r="E3" s="67"/>
      <c r="F3" s="67"/>
    </row>
    <row r="4" spans="1:19" s="5" customFormat="1" ht="45" customHeight="1">
      <c r="A4" s="68" t="s">
        <v>6</v>
      </c>
      <c r="B4" s="68"/>
      <c r="C4" s="68"/>
      <c r="D4" s="68"/>
      <c r="E4" s="68"/>
      <c r="F4" s="68"/>
      <c r="G4" s="27"/>
      <c r="H4" s="27"/>
      <c r="I4" s="27"/>
      <c r="J4" s="27"/>
      <c r="K4" s="27"/>
      <c r="L4" s="27"/>
      <c r="M4" s="27"/>
    </row>
    <row r="5" spans="1:19" s="5" customFormat="1" ht="45" customHeight="1" thickBot="1">
      <c r="A5" s="53"/>
      <c r="B5" s="53"/>
      <c r="C5" s="53"/>
      <c r="D5" s="53"/>
      <c r="E5" s="53"/>
      <c r="F5" s="65" t="s">
        <v>47</v>
      </c>
      <c r="G5" s="27"/>
      <c r="H5" s="27"/>
      <c r="I5" s="27"/>
      <c r="J5" s="27"/>
      <c r="K5" s="27"/>
      <c r="L5" s="27"/>
      <c r="M5" s="27"/>
    </row>
    <row r="6" spans="1:19" ht="25.5" customHeight="1" thickTop="1" thickBot="1">
      <c r="A6" s="69" t="s">
        <v>49</v>
      </c>
      <c r="B6" s="70"/>
      <c r="C6" s="42" t="s">
        <v>0</v>
      </c>
      <c r="D6" s="42" t="s">
        <v>1</v>
      </c>
      <c r="E6" s="42" t="s">
        <v>2</v>
      </c>
      <c r="F6" s="42" t="s">
        <v>3</v>
      </c>
    </row>
    <row r="7" spans="1:19" ht="36" customHeight="1" thickTop="1" thickBot="1">
      <c r="A7" s="71"/>
      <c r="B7" s="72"/>
      <c r="C7" s="43" t="s">
        <v>61</v>
      </c>
      <c r="D7" s="43" t="s">
        <v>62</v>
      </c>
      <c r="E7" s="44" t="s">
        <v>63</v>
      </c>
      <c r="F7" s="43" t="s">
        <v>64</v>
      </c>
    </row>
    <row r="8" spans="1:19" ht="20.100000000000001" customHeight="1" thickTop="1">
      <c r="A8" s="22" t="s">
        <v>81</v>
      </c>
      <c r="B8" s="23" t="s">
        <v>7</v>
      </c>
      <c r="C8" s="51">
        <f>C9+C35+C38-C41</f>
        <v>3314365</v>
      </c>
      <c r="D8" s="51">
        <f t="shared" ref="D8:F8" si="0">D9+D35+D38-D41</f>
        <v>3415926</v>
      </c>
      <c r="E8" s="51">
        <f t="shared" si="0"/>
        <v>3538035</v>
      </c>
      <c r="F8" s="51">
        <f t="shared" si="0"/>
        <v>3696401</v>
      </c>
      <c r="J8" s="28"/>
      <c r="K8" s="28"/>
      <c r="L8" s="28"/>
      <c r="M8" s="28"/>
      <c r="N8" s="4"/>
      <c r="O8" s="4"/>
      <c r="P8" s="4"/>
      <c r="Q8" s="4"/>
      <c r="R8" s="4"/>
      <c r="S8" s="4"/>
    </row>
    <row r="9" spans="1:19" s="8" customFormat="1" ht="20.100000000000001" customHeight="1">
      <c r="A9" s="21" t="s">
        <v>50</v>
      </c>
      <c r="B9" s="16" t="s">
        <v>8</v>
      </c>
      <c r="C9" s="38">
        <f>C10+C30+C31+C32+C33+C34</f>
        <v>2818264</v>
      </c>
      <c r="D9" s="38">
        <f>D10+D30+D31+D32+D33+D34</f>
        <v>2895148</v>
      </c>
      <c r="E9" s="38">
        <f>E10+E30+E31+E32+E33+E34</f>
        <v>3000618</v>
      </c>
      <c r="F9" s="38">
        <f>F10+F30+F31+F32+F33+F34</f>
        <v>3121804</v>
      </c>
      <c r="G9" s="30"/>
      <c r="H9" s="30"/>
      <c r="I9" s="30"/>
      <c r="J9" s="29"/>
      <c r="K9" s="29"/>
      <c r="L9" s="29"/>
      <c r="M9" s="29"/>
      <c r="N9" s="9"/>
      <c r="O9" s="9"/>
      <c r="P9" s="9"/>
      <c r="Q9" s="9"/>
      <c r="R9" s="9"/>
      <c r="S9" s="9"/>
    </row>
    <row r="10" spans="1:19" s="7" customFormat="1" ht="20.100000000000001" customHeight="1">
      <c r="A10" s="18" t="s">
        <v>27</v>
      </c>
      <c r="B10" s="14" t="s">
        <v>9</v>
      </c>
      <c r="C10" s="39">
        <f>C11+C26</f>
        <v>3157298</v>
      </c>
      <c r="D10" s="39">
        <f>D11+D26</f>
        <v>3253899</v>
      </c>
      <c r="E10" s="39">
        <f>E11+E26</f>
        <v>3373691</v>
      </c>
      <c r="F10" s="39">
        <f>F11+F26</f>
        <v>3405440</v>
      </c>
      <c r="G10" s="32"/>
      <c r="H10" s="32"/>
      <c r="I10" s="55"/>
      <c r="J10" s="55"/>
      <c r="K10" s="55"/>
      <c r="L10" s="55"/>
      <c r="M10" s="31"/>
      <c r="N10" s="6"/>
      <c r="O10" s="6"/>
      <c r="P10" s="6"/>
      <c r="Q10" s="6"/>
      <c r="R10" s="6"/>
      <c r="S10" s="6"/>
    </row>
    <row r="11" spans="1:19" s="7" customFormat="1" ht="20.100000000000001" customHeight="1">
      <c r="A11" s="18" t="s">
        <v>59</v>
      </c>
      <c r="B11" s="16" t="s">
        <v>60</v>
      </c>
      <c r="C11" s="39">
        <f>C12+C13+C14+C15+C18+C19+C20+C21+C22+C23+C24+C25</f>
        <v>1841498</v>
      </c>
      <c r="D11" s="39">
        <f t="shared" ref="D11:F11" si="1">D12+D13+D14+D15+D18+D19+D20+D21+D22+D23+D24+D25</f>
        <v>1826866</v>
      </c>
      <c r="E11" s="39">
        <f t="shared" si="1"/>
        <v>1842876</v>
      </c>
      <c r="F11" s="39">
        <f t="shared" si="1"/>
        <v>1858300</v>
      </c>
      <c r="G11" s="32"/>
      <c r="H11" s="32"/>
      <c r="I11" s="32"/>
      <c r="J11" s="31"/>
      <c r="K11" s="31"/>
      <c r="L11" s="31"/>
      <c r="M11" s="31"/>
      <c r="N11" s="6"/>
      <c r="O11" s="6"/>
      <c r="P11" s="6"/>
      <c r="Q11" s="6"/>
      <c r="R11" s="6"/>
      <c r="S11" s="6"/>
    </row>
    <row r="12" spans="1:19" s="7" customFormat="1" ht="20.100000000000001" customHeight="1">
      <c r="A12" s="20" t="s">
        <v>28</v>
      </c>
      <c r="B12" s="11" t="s">
        <v>10</v>
      </c>
      <c r="C12" s="40">
        <v>643830</v>
      </c>
      <c r="D12" s="40">
        <v>613830</v>
      </c>
      <c r="E12" s="40">
        <v>613830</v>
      </c>
      <c r="F12" s="40">
        <v>613830</v>
      </c>
      <c r="G12" s="32"/>
      <c r="H12" s="32"/>
      <c r="I12" s="32"/>
      <c r="J12" s="31"/>
      <c r="K12" s="31"/>
      <c r="L12" s="31"/>
      <c r="M12" s="31"/>
      <c r="N12" s="6"/>
      <c r="O12" s="6"/>
      <c r="P12" s="6"/>
      <c r="Q12" s="6"/>
      <c r="R12" s="6"/>
      <c r="S12" s="6"/>
    </row>
    <row r="13" spans="1:19" s="8" customFormat="1" ht="20.100000000000001" customHeight="1">
      <c r="A13" s="19" t="s">
        <v>29</v>
      </c>
      <c r="B13" s="11" t="s">
        <v>11</v>
      </c>
      <c r="C13" s="40">
        <v>0</v>
      </c>
      <c r="D13" s="40">
        <v>0</v>
      </c>
      <c r="E13" s="40">
        <v>0</v>
      </c>
      <c r="F13" s="40">
        <v>0</v>
      </c>
      <c r="G13" s="30"/>
      <c r="H13" s="30"/>
      <c r="I13" s="30"/>
      <c r="J13" s="29"/>
      <c r="K13" s="29"/>
      <c r="L13" s="29"/>
      <c r="M13" s="29"/>
      <c r="N13" s="9"/>
      <c r="O13" s="9"/>
      <c r="P13" s="9"/>
      <c r="Q13" s="9"/>
      <c r="R13" s="9"/>
      <c r="S13" s="9"/>
    </row>
    <row r="14" spans="1:19" s="7" customFormat="1" ht="20.100000000000001" customHeight="1">
      <c r="A14" s="57" t="s">
        <v>53</v>
      </c>
      <c r="B14" s="11" t="s">
        <v>54</v>
      </c>
      <c r="C14" s="40">
        <v>48403</v>
      </c>
      <c r="D14" s="40">
        <v>48819</v>
      </c>
      <c r="E14" s="40">
        <v>48324</v>
      </c>
      <c r="F14" s="40">
        <v>49018</v>
      </c>
      <c r="G14" s="32"/>
      <c r="H14" s="32"/>
      <c r="I14" s="32"/>
      <c r="J14" s="31"/>
      <c r="K14" s="31"/>
      <c r="L14" s="31"/>
      <c r="M14" s="31"/>
      <c r="N14" s="6"/>
      <c r="O14" s="6"/>
      <c r="P14" s="6"/>
      <c r="Q14" s="6"/>
      <c r="R14" s="6"/>
      <c r="S14" s="6"/>
    </row>
    <row r="15" spans="1:19" s="7" customFormat="1" ht="19.5" customHeight="1">
      <c r="A15" s="20" t="s">
        <v>30</v>
      </c>
      <c r="B15" s="12" t="s">
        <v>51</v>
      </c>
      <c r="C15" s="40">
        <f>C16+C17</f>
        <v>17764</v>
      </c>
      <c r="D15" s="40">
        <f t="shared" ref="D15:F15" si="2">D16+D17</f>
        <v>19756</v>
      </c>
      <c r="E15" s="40">
        <f t="shared" si="2"/>
        <v>32062</v>
      </c>
      <c r="F15" s="40">
        <f t="shared" si="2"/>
        <v>36336</v>
      </c>
      <c r="G15" s="32"/>
      <c r="H15" s="32"/>
      <c r="I15" s="32"/>
      <c r="J15" s="31"/>
      <c r="K15" s="31"/>
      <c r="L15" s="31"/>
      <c r="M15" s="31"/>
      <c r="N15" s="6"/>
      <c r="O15" s="6"/>
      <c r="P15" s="6"/>
      <c r="Q15" s="6"/>
      <c r="R15" s="6"/>
      <c r="S15" s="6"/>
    </row>
    <row r="16" spans="1:19" ht="20.100000000000001" customHeight="1">
      <c r="A16" s="58" t="s">
        <v>31</v>
      </c>
      <c r="B16" s="12" t="s">
        <v>12</v>
      </c>
      <c r="C16" s="40">
        <v>17764</v>
      </c>
      <c r="D16" s="40">
        <v>19756</v>
      </c>
      <c r="E16" s="40">
        <v>32062</v>
      </c>
      <c r="F16" s="40">
        <v>33573</v>
      </c>
      <c r="J16" s="28"/>
      <c r="K16" s="28"/>
      <c r="L16" s="28"/>
      <c r="M16" s="28"/>
      <c r="N16" s="4"/>
      <c r="O16" s="4"/>
      <c r="P16" s="4"/>
      <c r="Q16" s="4"/>
      <c r="R16" s="4"/>
      <c r="S16" s="4"/>
    </row>
    <row r="17" spans="1:19" ht="20.100000000000001" customHeight="1">
      <c r="A17" s="59" t="s">
        <v>65</v>
      </c>
      <c r="B17" s="12" t="s">
        <v>21</v>
      </c>
      <c r="C17" s="40">
        <v>0</v>
      </c>
      <c r="D17" s="40">
        <v>0</v>
      </c>
      <c r="E17" s="40">
        <v>0</v>
      </c>
      <c r="F17" s="40">
        <v>2763</v>
      </c>
      <c r="J17" s="28"/>
      <c r="K17" s="28"/>
      <c r="L17" s="28"/>
      <c r="M17" s="28"/>
      <c r="N17" s="4"/>
      <c r="O17" s="4"/>
      <c r="P17" s="4"/>
      <c r="Q17" s="4"/>
      <c r="R17" s="4"/>
      <c r="S17" s="4"/>
    </row>
    <row r="18" spans="1:19" ht="20.100000000000001" customHeight="1">
      <c r="A18" s="56" t="s">
        <v>82</v>
      </c>
      <c r="B18" s="13" t="s">
        <v>73</v>
      </c>
      <c r="C18" s="40">
        <v>719500</v>
      </c>
      <c r="D18" s="40">
        <v>734461</v>
      </c>
      <c r="E18" s="40">
        <v>732919</v>
      </c>
      <c r="F18" s="40">
        <v>740398</v>
      </c>
      <c r="J18" s="28"/>
      <c r="K18" s="28"/>
      <c r="L18" s="28"/>
      <c r="M18" s="28"/>
      <c r="N18" s="4"/>
      <c r="O18" s="4"/>
      <c r="P18" s="4"/>
      <c r="Q18" s="4"/>
      <c r="R18" s="4"/>
      <c r="S18" s="4"/>
    </row>
    <row r="19" spans="1:19" ht="20.100000000000001" customHeight="1">
      <c r="A19" s="56" t="s">
        <v>66</v>
      </c>
      <c r="B19" s="13" t="s">
        <v>67</v>
      </c>
      <c r="C19" s="40">
        <v>70373</v>
      </c>
      <c r="D19" s="40">
        <v>70650</v>
      </c>
      <c r="E19" s="40">
        <v>70308</v>
      </c>
      <c r="F19" s="40">
        <v>71299</v>
      </c>
      <c r="J19" s="28"/>
      <c r="K19" s="28"/>
      <c r="L19" s="28"/>
      <c r="M19" s="28"/>
      <c r="N19" s="4"/>
      <c r="O19" s="4"/>
      <c r="P19" s="4"/>
      <c r="Q19" s="4"/>
      <c r="R19" s="4"/>
      <c r="S19" s="4"/>
    </row>
    <row r="20" spans="1:19" s="3" customFormat="1" ht="20.100000000000001" customHeight="1">
      <c r="A20" s="10" t="s">
        <v>32</v>
      </c>
      <c r="B20" s="13" t="s">
        <v>14</v>
      </c>
      <c r="C20" s="40">
        <v>2000</v>
      </c>
      <c r="D20" s="40">
        <v>2000</v>
      </c>
      <c r="E20" s="40">
        <v>2000</v>
      </c>
      <c r="F20" s="40">
        <v>2000</v>
      </c>
      <c r="G20" s="33"/>
      <c r="H20" s="33"/>
      <c r="I20" s="33"/>
      <c r="J20" s="28"/>
      <c r="K20" s="28"/>
      <c r="L20" s="28"/>
      <c r="M20" s="28"/>
      <c r="N20" s="4"/>
      <c r="O20" s="4"/>
      <c r="P20" s="4"/>
      <c r="Q20" s="4"/>
      <c r="R20" s="4"/>
      <c r="S20" s="4"/>
    </row>
    <row r="21" spans="1:19" ht="20.100000000000001" customHeight="1">
      <c r="A21" s="10" t="s">
        <v>33</v>
      </c>
      <c r="B21" s="13" t="s">
        <v>15</v>
      </c>
      <c r="C21" s="40">
        <v>46</v>
      </c>
      <c r="D21" s="40">
        <v>48</v>
      </c>
      <c r="E21" s="40">
        <v>48</v>
      </c>
      <c r="F21" s="40">
        <v>48</v>
      </c>
      <c r="J21" s="28"/>
      <c r="K21" s="28"/>
      <c r="L21" s="28"/>
      <c r="M21" s="28"/>
      <c r="N21" s="4"/>
      <c r="O21" s="4"/>
      <c r="P21" s="4"/>
      <c r="Q21" s="4"/>
      <c r="R21" s="4"/>
      <c r="S21" s="4"/>
    </row>
    <row r="22" spans="1:19" ht="19.5" customHeight="1">
      <c r="A22" s="10" t="s">
        <v>44</v>
      </c>
      <c r="B22" s="13" t="s">
        <v>16</v>
      </c>
      <c r="C22" s="40">
        <v>0</v>
      </c>
      <c r="D22" s="40">
        <v>0</v>
      </c>
      <c r="E22" s="40">
        <v>0</v>
      </c>
      <c r="F22" s="40">
        <v>0</v>
      </c>
      <c r="J22" s="28"/>
      <c r="K22" s="28"/>
      <c r="L22" s="28"/>
      <c r="M22" s="28"/>
      <c r="N22" s="4"/>
      <c r="O22" s="4"/>
      <c r="P22" s="4"/>
      <c r="Q22" s="4"/>
      <c r="R22" s="4"/>
      <c r="S22" s="4"/>
    </row>
    <row r="23" spans="1:19" ht="20.100000000000001" customHeight="1">
      <c r="A23" s="10" t="s">
        <v>34</v>
      </c>
      <c r="B23" s="13" t="s">
        <v>17</v>
      </c>
      <c r="C23" s="40">
        <v>2280</v>
      </c>
      <c r="D23" s="40">
        <v>0</v>
      </c>
      <c r="E23" s="40">
        <v>0</v>
      </c>
      <c r="F23" s="40">
        <v>0</v>
      </c>
      <c r="J23" s="28"/>
      <c r="K23" s="28"/>
      <c r="L23" s="28"/>
      <c r="M23" s="28"/>
      <c r="N23" s="4"/>
      <c r="O23" s="4"/>
      <c r="P23" s="4"/>
      <c r="Q23" s="4"/>
      <c r="R23" s="4"/>
      <c r="S23" s="4"/>
    </row>
    <row r="24" spans="1:19" ht="20.100000000000001" customHeight="1">
      <c r="A24" s="10" t="s">
        <v>76</v>
      </c>
      <c r="B24" s="13" t="s">
        <v>18</v>
      </c>
      <c r="C24" s="40">
        <v>337302</v>
      </c>
      <c r="D24" s="40">
        <v>337302</v>
      </c>
      <c r="E24" s="40">
        <v>343385</v>
      </c>
      <c r="F24" s="40">
        <v>345371</v>
      </c>
      <c r="J24" s="28"/>
      <c r="K24" s="28"/>
      <c r="L24" s="28"/>
      <c r="M24" s="28"/>
      <c r="N24" s="4"/>
      <c r="O24" s="4"/>
      <c r="P24" s="4"/>
      <c r="Q24" s="4"/>
      <c r="R24" s="4"/>
      <c r="S24" s="4"/>
    </row>
    <row r="25" spans="1:19" ht="20.100000000000001" customHeight="1">
      <c r="A25" s="46" t="s">
        <v>35</v>
      </c>
      <c r="B25" s="13" t="s">
        <v>19</v>
      </c>
      <c r="C25" s="45">
        <v>0</v>
      </c>
      <c r="D25" s="45">
        <v>0</v>
      </c>
      <c r="E25" s="45">
        <v>0</v>
      </c>
      <c r="F25" s="45">
        <v>0</v>
      </c>
      <c r="J25" s="28"/>
      <c r="K25" s="28"/>
      <c r="L25" s="28"/>
      <c r="M25" s="28"/>
      <c r="N25" s="4"/>
      <c r="O25" s="4"/>
      <c r="P25" s="4"/>
      <c r="Q25" s="4"/>
      <c r="R25" s="4"/>
      <c r="S25" s="4"/>
    </row>
    <row r="26" spans="1:19" ht="20.100000000000001" customHeight="1">
      <c r="A26" s="47" t="s">
        <v>36</v>
      </c>
      <c r="B26" s="48" t="s">
        <v>20</v>
      </c>
      <c r="C26" s="38">
        <f>C27+C28+C29</f>
        <v>1315800</v>
      </c>
      <c r="D26" s="38">
        <f>D27+D28+D29</f>
        <v>1427033</v>
      </c>
      <c r="E26" s="38">
        <f>E27+E28+E29</f>
        <v>1530815</v>
      </c>
      <c r="F26" s="38">
        <f>F27+F28+F29</f>
        <v>1547140</v>
      </c>
      <c r="J26" s="28"/>
      <c r="K26" s="28"/>
      <c r="L26" s="28"/>
      <c r="M26" s="28"/>
      <c r="N26" s="4"/>
      <c r="O26" s="4"/>
      <c r="P26" s="4"/>
      <c r="Q26" s="4"/>
      <c r="R26" s="4"/>
      <c r="S26" s="4"/>
    </row>
    <row r="27" spans="1:19" ht="20.100000000000001" customHeight="1">
      <c r="A27" s="59" t="s">
        <v>83</v>
      </c>
      <c r="B27" s="24" t="s">
        <v>13</v>
      </c>
      <c r="C27" s="40">
        <v>994939</v>
      </c>
      <c r="D27" s="40">
        <v>1141119</v>
      </c>
      <c r="E27" s="40">
        <v>1211942</v>
      </c>
      <c r="F27" s="40">
        <v>1227566</v>
      </c>
      <c r="J27" s="28"/>
      <c r="K27" s="28"/>
      <c r="L27" s="28"/>
      <c r="M27" s="28"/>
      <c r="N27" s="4"/>
      <c r="O27" s="4"/>
      <c r="P27" s="4"/>
      <c r="Q27" s="4"/>
      <c r="R27" s="4"/>
      <c r="S27" s="4"/>
    </row>
    <row r="28" spans="1:19" ht="20.100000000000001" customHeight="1">
      <c r="A28" s="59" t="s">
        <v>31</v>
      </c>
      <c r="B28" s="24" t="s">
        <v>12</v>
      </c>
      <c r="C28" s="45">
        <v>292935</v>
      </c>
      <c r="D28" s="45">
        <v>257455</v>
      </c>
      <c r="E28" s="45">
        <v>289425</v>
      </c>
      <c r="F28" s="45">
        <v>291648</v>
      </c>
      <c r="J28" s="28"/>
      <c r="K28" s="28"/>
      <c r="L28" s="28"/>
      <c r="M28" s="28"/>
      <c r="N28" s="4"/>
      <c r="O28" s="4"/>
      <c r="P28" s="4"/>
      <c r="Q28" s="4"/>
      <c r="R28" s="4"/>
      <c r="S28" s="4"/>
    </row>
    <row r="29" spans="1:19" s="2" customFormat="1" ht="20.100000000000001" customHeight="1">
      <c r="A29" s="60" t="s">
        <v>65</v>
      </c>
      <c r="B29" s="24" t="s">
        <v>21</v>
      </c>
      <c r="C29" s="45">
        <v>27926</v>
      </c>
      <c r="D29" s="45">
        <v>28459</v>
      </c>
      <c r="E29" s="45">
        <v>29448</v>
      </c>
      <c r="F29" s="45">
        <v>27926</v>
      </c>
      <c r="G29" s="34"/>
      <c r="H29" s="34"/>
      <c r="I29" s="34"/>
      <c r="J29" s="28"/>
      <c r="K29" s="28"/>
      <c r="L29" s="28"/>
      <c r="M29" s="28"/>
      <c r="N29" s="4"/>
      <c r="O29" s="4"/>
      <c r="P29" s="4"/>
      <c r="Q29" s="4"/>
      <c r="R29" s="4"/>
      <c r="S29" s="4"/>
    </row>
    <row r="30" spans="1:19" ht="20.100000000000001" customHeight="1">
      <c r="A30" s="17" t="s">
        <v>37</v>
      </c>
      <c r="B30" s="16" t="s">
        <v>22</v>
      </c>
      <c r="C30" s="38">
        <v>0</v>
      </c>
      <c r="D30" s="38">
        <v>0</v>
      </c>
      <c r="E30" s="38">
        <v>0</v>
      </c>
      <c r="F30" s="38">
        <v>0</v>
      </c>
      <c r="J30" s="28"/>
      <c r="K30" s="28"/>
      <c r="L30" s="28"/>
      <c r="M30" s="28"/>
      <c r="N30" s="4"/>
      <c r="O30" s="4"/>
      <c r="P30" s="4"/>
      <c r="Q30" s="4"/>
      <c r="R30" s="4"/>
      <c r="S30" s="4"/>
    </row>
    <row r="31" spans="1:19" ht="21" customHeight="1">
      <c r="A31" s="17" t="s">
        <v>38</v>
      </c>
      <c r="B31" s="16" t="s">
        <v>23</v>
      </c>
      <c r="C31" s="38">
        <v>0</v>
      </c>
      <c r="D31" s="38">
        <v>0</v>
      </c>
      <c r="E31" s="38">
        <v>0</v>
      </c>
      <c r="F31" s="38">
        <v>0</v>
      </c>
      <c r="J31" s="28"/>
      <c r="K31" s="28"/>
      <c r="L31" s="28"/>
      <c r="M31" s="28"/>
      <c r="N31" s="4"/>
      <c r="O31" s="4"/>
      <c r="P31" s="4"/>
      <c r="Q31" s="4"/>
      <c r="R31" s="4"/>
      <c r="S31" s="4"/>
    </row>
    <row r="32" spans="1:19" ht="20.100000000000001" customHeight="1">
      <c r="A32" s="18" t="s">
        <v>55</v>
      </c>
      <c r="B32" s="16" t="s">
        <v>56</v>
      </c>
      <c r="C32" s="38">
        <v>0</v>
      </c>
      <c r="D32" s="38">
        <v>0</v>
      </c>
      <c r="E32" s="38">
        <v>0</v>
      </c>
      <c r="F32" s="38">
        <v>0</v>
      </c>
      <c r="J32" s="28"/>
      <c r="K32" s="28"/>
      <c r="L32" s="28"/>
      <c r="M32" s="28"/>
      <c r="N32" s="4"/>
      <c r="O32" s="4"/>
      <c r="P32" s="4"/>
      <c r="Q32" s="4"/>
      <c r="R32" s="4"/>
      <c r="S32" s="4"/>
    </row>
    <row r="33" spans="1:19" ht="20.100000000000001" customHeight="1">
      <c r="A33" s="18" t="s">
        <v>39</v>
      </c>
      <c r="B33" s="16" t="s">
        <v>24</v>
      </c>
      <c r="C33" s="38">
        <v>-339034</v>
      </c>
      <c r="D33" s="38">
        <v>-358751</v>
      </c>
      <c r="E33" s="38">
        <v>-373073</v>
      </c>
      <c r="F33" s="38">
        <v>-283636</v>
      </c>
      <c r="J33" s="28"/>
      <c r="K33" s="28"/>
      <c r="L33" s="28"/>
      <c r="M33" s="28"/>
      <c r="N33" s="4"/>
      <c r="O33" s="4"/>
      <c r="P33" s="4"/>
      <c r="Q33" s="4"/>
      <c r="R33" s="4"/>
      <c r="S33" s="4"/>
    </row>
    <row r="34" spans="1:19" ht="20.100000000000001" customHeight="1">
      <c r="A34" s="18" t="s">
        <v>57</v>
      </c>
      <c r="B34" s="16" t="s">
        <v>58</v>
      </c>
      <c r="C34" s="38">
        <v>0</v>
      </c>
      <c r="D34" s="38">
        <v>0</v>
      </c>
      <c r="E34" s="38">
        <v>0</v>
      </c>
      <c r="F34" s="38">
        <v>0</v>
      </c>
      <c r="J34" s="28"/>
      <c r="K34" s="28"/>
      <c r="L34" s="28"/>
      <c r="M34" s="28"/>
      <c r="N34" s="4"/>
      <c r="O34" s="4"/>
      <c r="P34" s="4"/>
      <c r="Q34" s="4"/>
      <c r="R34" s="4"/>
      <c r="S34" s="4"/>
    </row>
    <row r="35" spans="1:19" ht="23.25" customHeight="1">
      <c r="A35" s="17" t="s">
        <v>80</v>
      </c>
      <c r="B35" s="16" t="s">
        <v>79</v>
      </c>
      <c r="C35" s="38">
        <f>C36+C37</f>
        <v>239013</v>
      </c>
      <c r="D35" s="38">
        <f>D36+D37</f>
        <v>278518</v>
      </c>
      <c r="E35" s="38">
        <f>E36+E37</f>
        <v>287289</v>
      </c>
      <c r="F35" s="38">
        <f>F36+F37</f>
        <v>317607</v>
      </c>
      <c r="J35" s="28"/>
      <c r="K35" s="28"/>
      <c r="L35" s="28"/>
      <c r="M35" s="28"/>
      <c r="N35" s="4"/>
      <c r="O35" s="4"/>
      <c r="P35" s="4"/>
      <c r="Q35" s="4"/>
      <c r="R35" s="4"/>
      <c r="S35" s="4"/>
    </row>
    <row r="36" spans="1:19" ht="21.75" customHeight="1">
      <c r="A36" s="61" t="s">
        <v>84</v>
      </c>
      <c r="B36" s="15" t="s">
        <v>86</v>
      </c>
      <c r="C36" s="40">
        <v>185275</v>
      </c>
      <c r="D36" s="40">
        <v>208303</v>
      </c>
      <c r="E36" s="40">
        <v>217571</v>
      </c>
      <c r="F36" s="40">
        <v>245916</v>
      </c>
      <c r="J36" s="28"/>
      <c r="K36" s="28"/>
      <c r="L36" s="28"/>
      <c r="M36" s="28"/>
      <c r="N36" s="4"/>
      <c r="O36" s="4"/>
      <c r="P36" s="4"/>
      <c r="Q36" s="4"/>
      <c r="R36" s="4"/>
      <c r="S36" s="4"/>
    </row>
    <row r="37" spans="1:19" ht="20.100000000000001" customHeight="1">
      <c r="A37" s="62" t="s">
        <v>85</v>
      </c>
      <c r="B37" s="15" t="s">
        <v>87</v>
      </c>
      <c r="C37" s="40">
        <v>53738</v>
      </c>
      <c r="D37" s="40">
        <v>70215</v>
      </c>
      <c r="E37" s="40">
        <v>69718</v>
      </c>
      <c r="F37" s="40">
        <v>71691</v>
      </c>
      <c r="J37" s="28"/>
      <c r="K37" s="28"/>
      <c r="L37" s="28"/>
      <c r="M37" s="28"/>
      <c r="N37" s="4"/>
      <c r="O37" s="4"/>
      <c r="P37" s="4"/>
      <c r="Q37" s="4"/>
      <c r="R37" s="4"/>
      <c r="S37" s="4"/>
    </row>
    <row r="38" spans="1:19" ht="19.5" customHeight="1">
      <c r="A38" s="17" t="s">
        <v>40</v>
      </c>
      <c r="B38" s="16" t="s">
        <v>77</v>
      </c>
      <c r="C38" s="38">
        <f>C39-C40</f>
        <v>354945</v>
      </c>
      <c r="D38" s="38">
        <f>D39-D40</f>
        <v>370287</v>
      </c>
      <c r="E38" s="38">
        <f>E39-E40</f>
        <v>398909</v>
      </c>
      <c r="F38" s="38">
        <f>F39-F40</f>
        <v>473022</v>
      </c>
    </row>
    <row r="39" spans="1:19" ht="24" customHeight="1">
      <c r="A39" s="61" t="s">
        <v>41</v>
      </c>
      <c r="B39" s="11" t="s">
        <v>25</v>
      </c>
      <c r="C39" s="40">
        <v>363021</v>
      </c>
      <c r="D39" s="40">
        <v>378115</v>
      </c>
      <c r="E39" s="40">
        <v>407759</v>
      </c>
      <c r="F39" s="54">
        <v>484045</v>
      </c>
    </row>
    <row r="40" spans="1:19" ht="20.25" customHeight="1">
      <c r="A40" s="62" t="s">
        <v>75</v>
      </c>
      <c r="B40" s="11" t="s">
        <v>26</v>
      </c>
      <c r="C40" s="40">
        <v>8076</v>
      </c>
      <c r="D40" s="40">
        <v>7828</v>
      </c>
      <c r="E40" s="40">
        <v>8850</v>
      </c>
      <c r="F40" s="54">
        <v>11023</v>
      </c>
    </row>
    <row r="41" spans="1:19" ht="26.25" customHeight="1">
      <c r="A41" s="17" t="s">
        <v>42</v>
      </c>
      <c r="B41" s="16" t="s">
        <v>78</v>
      </c>
      <c r="C41" s="38">
        <f>C42+C44</f>
        <v>97857</v>
      </c>
      <c r="D41" s="38">
        <f>D42+D44</f>
        <v>128027</v>
      </c>
      <c r="E41" s="38">
        <f>E42+E44</f>
        <v>148781</v>
      </c>
      <c r="F41" s="38">
        <f>F42+F44</f>
        <v>216032</v>
      </c>
    </row>
    <row r="42" spans="1:19" ht="25.5" customHeight="1">
      <c r="A42" s="61" t="s">
        <v>43</v>
      </c>
      <c r="B42" s="52" t="s">
        <v>88</v>
      </c>
      <c r="C42" s="40">
        <v>44119</v>
      </c>
      <c r="D42" s="40">
        <v>57812</v>
      </c>
      <c r="E42" s="40">
        <v>79063</v>
      </c>
      <c r="F42" s="40">
        <v>144341</v>
      </c>
    </row>
    <row r="43" spans="1:19" ht="24.75" customHeight="1">
      <c r="A43" s="63" t="s">
        <v>45</v>
      </c>
      <c r="B43" s="49" t="s">
        <v>89</v>
      </c>
      <c r="C43" s="40">
        <v>0</v>
      </c>
      <c r="D43" s="40">
        <v>0</v>
      </c>
      <c r="E43" s="40">
        <v>0</v>
      </c>
      <c r="F43" s="40">
        <v>0</v>
      </c>
    </row>
    <row r="44" spans="1:19" s="37" customFormat="1" ht="24.75" customHeight="1">
      <c r="A44" s="64" t="s">
        <v>74</v>
      </c>
      <c r="B44" s="50" t="s">
        <v>90</v>
      </c>
      <c r="C44" s="41">
        <v>53738</v>
      </c>
      <c r="D44" s="41">
        <v>70215</v>
      </c>
      <c r="E44" s="41">
        <v>69718</v>
      </c>
      <c r="F44" s="41">
        <v>71691</v>
      </c>
      <c r="G44" s="36"/>
      <c r="H44" s="36"/>
      <c r="I44" s="36"/>
      <c r="J44" s="36"/>
      <c r="K44" s="36"/>
      <c r="L44" s="36"/>
      <c r="M44" s="36"/>
    </row>
    <row r="45" spans="1:19" ht="15.75">
      <c r="A45" s="25" t="s">
        <v>46</v>
      </c>
      <c r="B45" s="35"/>
      <c r="C45" s="25"/>
      <c r="D45" s="25"/>
      <c r="E45" s="25"/>
      <c r="F45" s="25"/>
      <c r="G45" s="36"/>
      <c r="H45" s="36"/>
      <c r="I45" s="36"/>
      <c r="J45" s="36"/>
      <c r="K45"/>
      <c r="L45"/>
      <c r="M45"/>
    </row>
    <row r="46" spans="1:19" ht="15.75">
      <c r="A46" s="25" t="s">
        <v>68</v>
      </c>
      <c r="B46" s="35"/>
      <c r="C46" s="25"/>
      <c r="D46" s="25"/>
      <c r="E46" s="25"/>
      <c r="F46" s="25"/>
      <c r="G46" s="36"/>
      <c r="H46" s="36"/>
      <c r="I46" s="36"/>
      <c r="J46" s="36"/>
      <c r="K46"/>
      <c r="L46"/>
      <c r="M46"/>
    </row>
    <row r="47" spans="1:19" ht="15.75">
      <c r="A47" s="25" t="s">
        <v>52</v>
      </c>
      <c r="B47" s="35"/>
      <c r="C47" s="25"/>
      <c r="D47" s="25"/>
      <c r="E47" s="25"/>
      <c r="F47" s="25"/>
      <c r="G47" s="36"/>
      <c r="H47" s="36"/>
      <c r="I47" s="36"/>
      <c r="J47" s="36"/>
      <c r="K47"/>
      <c r="L47"/>
      <c r="M47"/>
    </row>
    <row r="48" spans="1:19" ht="15.75">
      <c r="A48" s="25" t="s">
        <v>48</v>
      </c>
      <c r="B48" s="35"/>
      <c r="C48" s="25"/>
      <c r="D48" s="25"/>
      <c r="E48" s="25"/>
      <c r="F48" s="25"/>
      <c r="G48" s="36"/>
      <c r="H48" s="36"/>
      <c r="I48" s="36"/>
      <c r="J48" s="36"/>
      <c r="K48"/>
      <c r="L48"/>
      <c r="M48"/>
    </row>
    <row r="49" spans="1:13" ht="15.75">
      <c r="A49" s="25" t="s">
        <v>69</v>
      </c>
      <c r="B49" s="35"/>
      <c r="C49" s="25"/>
      <c r="D49" s="25"/>
      <c r="E49" s="25"/>
      <c r="F49" s="25"/>
      <c r="G49" s="36"/>
      <c r="H49" s="36"/>
      <c r="I49" s="36"/>
      <c r="J49" s="36"/>
      <c r="K49"/>
      <c r="L49"/>
      <c r="M49"/>
    </row>
    <row r="50" spans="1:13" ht="15.75">
      <c r="A50" s="25" t="s">
        <v>70</v>
      </c>
      <c r="B50" s="35"/>
      <c r="C50" s="25"/>
      <c r="D50" s="25"/>
      <c r="E50" s="25"/>
      <c r="F50" s="25"/>
      <c r="G50" s="36"/>
      <c r="H50" s="36"/>
      <c r="I50" s="36"/>
      <c r="J50" s="36"/>
      <c r="K50"/>
      <c r="L50"/>
      <c r="M50"/>
    </row>
    <row r="51" spans="1:13" ht="15.75">
      <c r="A51" s="25" t="s">
        <v>71</v>
      </c>
      <c r="B51" s="35"/>
      <c r="C51" s="25"/>
      <c r="D51" s="25"/>
      <c r="E51" s="25"/>
      <c r="F51" s="25"/>
      <c r="G51" s="36"/>
      <c r="H51" s="36"/>
      <c r="I51" s="36"/>
      <c r="J51" s="36"/>
      <c r="K51"/>
      <c r="L51"/>
      <c r="M51"/>
    </row>
    <row r="52" spans="1:13" ht="15.75">
      <c r="A52" s="25" t="s">
        <v>91</v>
      </c>
      <c r="B52" s="25"/>
      <c r="C52" s="25"/>
      <c r="D52" s="25"/>
      <c r="E52" s="25"/>
      <c r="F52" s="25"/>
    </row>
    <row r="53" spans="1:13" ht="15.75">
      <c r="A53" s="25" t="s">
        <v>72</v>
      </c>
      <c r="B53" s="25"/>
      <c r="C53" s="25"/>
      <c r="D53" s="25"/>
      <c r="E53" s="25"/>
      <c r="F53" s="25"/>
    </row>
  </sheetData>
  <mergeCells count="4">
    <mergeCell ref="B2:F2"/>
    <mergeCell ref="B3:F3"/>
    <mergeCell ref="A4:F4"/>
    <mergeCell ref="A6:B7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7NQWTN4WQ7WA-971242747-2184</_dlc_DocId>
    <_dlc_DocIdUrl xmlns="806035d9-ad3b-44db-92a1-1ed4b9daec3e">
      <Url>http://cbe-test-spsql:4050/_layouts/15/DocIdRedir.aspx?ID=7NQWTN4WQ7WA-971242747-2184</Url>
      <Description>7NQWTN4WQ7WA-971242747-2184</Description>
    </_dlc_DocIdUrl>
  </documentManagement>
</p:properties>
</file>

<file path=customXml/itemProps1.xml><?xml version="1.0" encoding="utf-8"?>
<ds:datastoreItem xmlns:ds="http://schemas.openxmlformats.org/officeDocument/2006/customXml" ds:itemID="{2532762B-FF12-4327-BEFA-7DEC65EE2F7F}"/>
</file>

<file path=customXml/itemProps2.xml><?xml version="1.0" encoding="utf-8"?>
<ds:datastoreItem xmlns:ds="http://schemas.openxmlformats.org/officeDocument/2006/customXml" ds:itemID="{EDD96563-7A24-4E44-BA43-A7A1A4D6059F}"/>
</file>

<file path=customXml/itemProps3.xml><?xml version="1.0" encoding="utf-8"?>
<ds:datastoreItem xmlns:ds="http://schemas.openxmlformats.org/officeDocument/2006/customXml" ds:itemID="{17FB1EED-4FA8-4E08-8797-4F9973649AD9}"/>
</file>

<file path=customXml/itemProps4.xml><?xml version="1.0" encoding="utf-8"?>
<ds:datastoreItem xmlns:ds="http://schemas.openxmlformats.org/officeDocument/2006/customXml" ds:itemID="{AB099E4B-94FA-45AC-8C54-0F051DBF6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  </vt:lpstr>
      <vt:lpstr>'2017-2018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Debt-Quarter 2017 2018</dc:title>
  <dc:creator>mamdouh.marghany</dc:creator>
  <cp:lastModifiedBy>Khaled Abdelnabi</cp:lastModifiedBy>
  <cp:lastPrinted>2016-07-12T09:48:44Z</cp:lastPrinted>
  <dcterms:created xsi:type="dcterms:W3CDTF">2009-04-23T10:41:14Z</dcterms:created>
  <dcterms:modified xsi:type="dcterms:W3CDTF">2019-09-29T08:57:06Z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d2deeec8-47d9-47d8-9b53-57b1de56e34e</vt:lpwstr>
  </property>
</Properties>
</file>