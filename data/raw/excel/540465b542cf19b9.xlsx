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3"/>
  <workbookPr/>
  <mc:AlternateContent xmlns:mc="http://schemas.openxmlformats.org/markup-compatibility/2006">
    <mc:Choice Requires="x15">
      <x15ac:absPath xmlns:x15ac="http://schemas.microsoft.com/office/spreadsheetml/2010/11/ac" url="C:\Users\hamis.abdelrashid\Desktop\New folder\Time Series\Debt\"/>
    </mc:Choice>
  </mc:AlternateContent>
  <xr:revisionPtr revIDLastSave="0" documentId="13_ncr:1_{60C1AA3B-3047-4946-AC58-C911E4ADFB0F}" xr6:coauthVersionLast="36" xr6:coauthVersionMax="36" xr10:uidLastSave="{00000000-0000-0000-0000-000000000000}"/>
  <bookViews>
    <workbookView xWindow="-60" yWindow="350" windowWidth="9210" windowHeight="11340" tabRatio="825" firstSheet="9" activeTab="15" xr2:uid="{00000000-000D-0000-FFFF-FFFF00000000}"/>
  </bookViews>
  <sheets>
    <sheet name="2004 -2005" sheetId="13" r:id="rId1"/>
    <sheet name="2005 -2006" sheetId="14" r:id="rId2"/>
    <sheet name="2006 -2007 " sheetId="15" r:id="rId3"/>
    <sheet name="2007 -2008" sheetId="16" r:id="rId4"/>
    <sheet name="2008-2009 " sheetId="17" r:id="rId5"/>
    <sheet name="2009-2010 " sheetId="18" r:id="rId6"/>
    <sheet name="2010-2011" sheetId="19" r:id="rId7"/>
    <sheet name="2011-2012 " sheetId="20" r:id="rId8"/>
    <sheet name="2012-2013 " sheetId="21" r:id="rId9"/>
    <sheet name="2013-2014 " sheetId="22" r:id="rId10"/>
    <sheet name="2014-2015 " sheetId="23" r:id="rId11"/>
    <sheet name="2015-2016 " sheetId="24" r:id="rId12"/>
    <sheet name="2016-2017  " sheetId="25" r:id="rId13"/>
    <sheet name="2017-2018   " sheetId="27" r:id="rId14"/>
    <sheet name="2018-2019  " sheetId="28" r:id="rId15"/>
    <sheet name="2019-2020" sheetId="29" r:id="rId16"/>
  </sheets>
  <externalReferences>
    <externalReference r:id="rId17"/>
  </externalReferences>
  <definedNames>
    <definedName name="_xlnm.Print_Area" localSheetId="0">'2004 -2005'!$A$4:$F$51</definedName>
    <definedName name="_xlnm.Print_Area" localSheetId="1">'2005 -2006'!$A$4:$F$51</definedName>
    <definedName name="_xlnm.Print_Area" localSheetId="2">'2006 -2007 '!$A$4:$F$51</definedName>
    <definedName name="_xlnm.Print_Area" localSheetId="3">'2007 -2008'!$A$4:$F$51</definedName>
    <definedName name="_xlnm.Print_Area" localSheetId="4">'2008-2009 '!$A$4:$F$51</definedName>
    <definedName name="_xlnm.Print_Area" localSheetId="5">'2009-2010 '!$A$4:$F$49</definedName>
    <definedName name="_xlnm.Print_Area" localSheetId="6">'2010-2011'!$A$4:$F$49</definedName>
    <definedName name="_xlnm.Print_Area" localSheetId="7">'2011-2012 '!$A$4:$F$49</definedName>
    <definedName name="_xlnm.Print_Area" localSheetId="8">'2012-2013 '!$A$4:$F$49</definedName>
    <definedName name="_xlnm.Print_Area" localSheetId="9">'2013-2014 '!$A$4:$F$50</definedName>
    <definedName name="_xlnm.Print_Area" localSheetId="10">'2014-2015 '!$A$4:$F$51</definedName>
    <definedName name="_xlnm.Print_Area" localSheetId="11">'2015-2016 '!$A$4:$F$51</definedName>
    <definedName name="_xlnm.Print_Area" localSheetId="12">'2016-2017  '!$A$5:$F$54</definedName>
    <definedName name="_xlnm.Print_Area" localSheetId="13">'2017-2018   '!$A$5:$F$54</definedName>
    <definedName name="_xlnm.Print_Area" localSheetId="14">'2018-2019  '!$A$4:$F$53</definedName>
    <definedName name="_xlnm.Print_Area" localSheetId="15">'2019-2020'!$A$4:$F$51</definedName>
  </definedNames>
  <calcPr calcId="191029" fullPrecision="0"/>
</workbook>
</file>

<file path=xl/calcChain.xml><?xml version="1.0" encoding="utf-8"?>
<calcChain xmlns="http://schemas.openxmlformats.org/spreadsheetml/2006/main">
  <c r="E41" i="29" l="1"/>
  <c r="F41" i="29"/>
  <c r="E11" i="29"/>
  <c r="F11" i="29"/>
  <c r="E38" i="29"/>
  <c r="F38" i="29"/>
  <c r="E35" i="29"/>
  <c r="F35" i="29"/>
  <c r="E26" i="29"/>
  <c r="F26" i="29"/>
  <c r="F10" i="29" s="1"/>
  <c r="F9" i="29" s="1"/>
  <c r="E10" i="29" l="1"/>
  <c r="E9" i="29" s="1"/>
  <c r="E8" i="29" s="1"/>
  <c r="F8" i="29"/>
  <c r="D41" i="29"/>
  <c r="C41" i="29"/>
  <c r="D38" i="29"/>
  <c r="C38" i="29"/>
  <c r="D35" i="29"/>
  <c r="C35" i="29"/>
  <c r="D26" i="29"/>
  <c r="C26" i="29"/>
  <c r="D15" i="29"/>
  <c r="C15" i="29"/>
  <c r="D11" i="29"/>
  <c r="D10" i="29" s="1"/>
  <c r="D9" i="29" s="1"/>
  <c r="C11" i="29"/>
  <c r="C10" i="29" s="1"/>
  <c r="C9" i="29" s="1"/>
  <c r="C8" i="29" s="1"/>
  <c r="D8" i="29" l="1"/>
  <c r="F41" i="28"/>
  <c r="F38" i="28"/>
  <c r="F35" i="28"/>
  <c r="F26" i="28"/>
  <c r="F15" i="28"/>
  <c r="F11" i="28"/>
  <c r="F10" i="28" s="1"/>
  <c r="F9" i="28" s="1"/>
  <c r="F8" i="28" l="1"/>
  <c r="F37" i="13"/>
  <c r="F38" i="13"/>
  <c r="F42" i="14" l="1"/>
  <c r="F41" i="14"/>
  <c r="F38" i="14"/>
  <c r="F37" i="14"/>
  <c r="C24" i="13"/>
  <c r="D24" i="13"/>
  <c r="E24" i="13"/>
  <c r="C36" i="17" l="1"/>
  <c r="C39" i="17"/>
  <c r="E39" i="17"/>
  <c r="E36" i="17"/>
  <c r="D39" i="17"/>
  <c r="D36" i="17"/>
  <c r="C24" i="14"/>
  <c r="D24" i="14"/>
  <c r="E24" i="14"/>
  <c r="D14" i="13" l="1"/>
  <c r="E14" i="13"/>
  <c r="F14" i="13"/>
  <c r="C14" i="13"/>
  <c r="C14" i="14"/>
  <c r="C11" i="14" s="1"/>
  <c r="D14" i="14"/>
  <c r="D11" i="14" s="1"/>
  <c r="E14" i="14"/>
  <c r="E11" i="14" s="1"/>
  <c r="F14" i="14"/>
  <c r="F11" i="14" s="1"/>
  <c r="C14" i="15"/>
  <c r="C11" i="15"/>
  <c r="D14" i="15"/>
  <c r="D11" i="15" s="1"/>
  <c r="E14" i="15"/>
  <c r="E11" i="15" s="1"/>
  <c r="F14" i="15"/>
  <c r="D14" i="16"/>
  <c r="E14" i="16"/>
  <c r="E11" i="16" s="1"/>
  <c r="F14" i="16"/>
  <c r="C14" i="16"/>
  <c r="D14" i="17"/>
  <c r="D11" i="17" s="1"/>
  <c r="E14" i="17"/>
  <c r="E11" i="17" s="1"/>
  <c r="F14" i="17"/>
  <c r="F11" i="17" s="1"/>
  <c r="C14" i="17"/>
  <c r="C11" i="17" s="1"/>
  <c r="D14" i="18"/>
  <c r="D11" i="18" s="1"/>
  <c r="E14" i="18"/>
  <c r="E11" i="18" s="1"/>
  <c r="F14" i="18"/>
  <c r="F11" i="18" s="1"/>
  <c r="C14" i="18"/>
  <c r="C11" i="18" s="1"/>
  <c r="D14" i="19"/>
  <c r="D11" i="19" s="1"/>
  <c r="E14" i="19"/>
  <c r="E11" i="19" s="1"/>
  <c r="F14" i="19"/>
  <c r="F11" i="19" s="1"/>
  <c r="C14" i="19"/>
  <c r="C11" i="19" s="1"/>
  <c r="C14" i="20"/>
  <c r="C11" i="20" s="1"/>
  <c r="D14" i="20"/>
  <c r="D11" i="20" s="1"/>
  <c r="E14" i="20"/>
  <c r="E11" i="20" s="1"/>
  <c r="F14" i="20"/>
  <c r="F11" i="20" s="1"/>
  <c r="C14" i="21"/>
  <c r="C11" i="21" s="1"/>
  <c r="E11" i="21"/>
  <c r="D14" i="21"/>
  <c r="D11" i="21" s="1"/>
  <c r="E14" i="21"/>
  <c r="F14" i="21"/>
  <c r="F11" i="21" s="1"/>
  <c r="D15" i="22"/>
  <c r="D11" i="22" s="1"/>
  <c r="E15" i="22"/>
  <c r="E11" i="22" s="1"/>
  <c r="F15" i="22"/>
  <c r="F11" i="22" s="1"/>
  <c r="C15" i="22"/>
  <c r="C11" i="22" s="1"/>
  <c r="D15" i="23"/>
  <c r="D11" i="23" s="1"/>
  <c r="E15" i="23"/>
  <c r="E11" i="23" s="1"/>
  <c r="F15" i="23"/>
  <c r="F11" i="23" s="1"/>
  <c r="C15" i="23"/>
  <c r="C11" i="23" s="1"/>
  <c r="C15" i="24"/>
  <c r="C11" i="24" s="1"/>
  <c r="E11" i="24"/>
  <c r="F11" i="24"/>
  <c r="D15" i="24"/>
  <c r="D11" i="24" s="1"/>
  <c r="E15" i="24"/>
  <c r="F15" i="24"/>
  <c r="C12" i="25"/>
  <c r="F12" i="25"/>
  <c r="D16" i="25"/>
  <c r="D12" i="25" s="1"/>
  <c r="E16" i="25"/>
  <c r="E12" i="25" s="1"/>
  <c r="F16" i="25"/>
  <c r="C16" i="25"/>
  <c r="D16" i="27" l="1"/>
  <c r="D12" i="27" s="1"/>
  <c r="E16" i="27"/>
  <c r="E12" i="27" s="1"/>
  <c r="F16" i="27"/>
  <c r="F12" i="27" s="1"/>
  <c r="C16" i="27"/>
  <c r="C12" i="27" s="1"/>
  <c r="E41" i="28" l="1"/>
  <c r="D41" i="28"/>
  <c r="C41" i="28"/>
  <c r="E38" i="28"/>
  <c r="D38" i="28"/>
  <c r="C38" i="28"/>
  <c r="E35" i="28"/>
  <c r="D35" i="28"/>
  <c r="C35" i="28"/>
  <c r="E26" i="28"/>
  <c r="D26" i="28"/>
  <c r="C26" i="28"/>
  <c r="C10" i="28" s="1"/>
  <c r="C9" i="28" s="1"/>
  <c r="C8" i="28" s="1"/>
  <c r="E15" i="28"/>
  <c r="D15" i="28"/>
  <c r="C15" i="28"/>
  <c r="E11" i="28"/>
  <c r="D11" i="28"/>
  <c r="C11" i="28"/>
  <c r="D10" i="28"/>
  <c r="D9" i="28" s="1"/>
  <c r="D8" i="28" s="1"/>
  <c r="E10" i="28" l="1"/>
  <c r="E9" i="28" s="1"/>
  <c r="E8" i="28" s="1"/>
  <c r="C42" i="27"/>
  <c r="F42" i="27"/>
  <c r="E42" i="27"/>
  <c r="D42" i="27"/>
  <c r="F39" i="27"/>
  <c r="E39" i="27"/>
  <c r="D39" i="27"/>
  <c r="C39" i="27"/>
  <c r="F36" i="27"/>
  <c r="E36" i="27"/>
  <c r="D36" i="27"/>
  <c r="C36" i="27"/>
  <c r="F27" i="27"/>
  <c r="E27" i="27"/>
  <c r="D27" i="27"/>
  <c r="D11" i="27" s="1"/>
  <c r="D10" i="27" s="1"/>
  <c r="C27" i="27"/>
  <c r="E11" i="27" l="1"/>
  <c r="E10" i="27" s="1"/>
  <c r="E9" i="27" s="1"/>
  <c r="F11" i="27"/>
  <c r="F10" i="27" s="1"/>
  <c r="F9" i="27" s="1"/>
  <c r="D9" i="27"/>
  <c r="C11" i="27"/>
  <c r="C10" i="27" s="1"/>
  <c r="C9" i="27" s="1"/>
  <c r="F36" i="25" l="1"/>
  <c r="F39" i="25"/>
  <c r="F42" i="25"/>
  <c r="F27" i="25"/>
  <c r="F11" i="25" s="1"/>
  <c r="F10" i="25" s="1"/>
  <c r="F9" i="25" l="1"/>
  <c r="E42" i="25"/>
  <c r="E39" i="25"/>
  <c r="E36" i="25"/>
  <c r="E27" i="25"/>
  <c r="D42" i="25"/>
  <c r="D39" i="25"/>
  <c r="D36" i="25"/>
  <c r="D27" i="25"/>
  <c r="C42" i="25"/>
  <c r="C39" i="25"/>
  <c r="C40" i="24"/>
  <c r="C36" i="25"/>
  <c r="C27" i="25"/>
  <c r="E11" i="25" l="1"/>
  <c r="E10" i="25" s="1"/>
  <c r="E9" i="25" s="1"/>
  <c r="C11" i="25"/>
  <c r="C10" i="25" s="1"/>
  <c r="C9" i="25" s="1"/>
  <c r="D11" i="25"/>
  <c r="D10" i="25" s="1"/>
  <c r="D9" i="25" s="1"/>
  <c r="D40" i="24"/>
  <c r="E40" i="24"/>
  <c r="F40" i="24"/>
  <c r="D37" i="24"/>
  <c r="E37" i="24"/>
  <c r="F37" i="24"/>
  <c r="D34" i="24"/>
  <c r="E34" i="24"/>
  <c r="F34" i="24"/>
  <c r="D25" i="24"/>
  <c r="D10" i="24" s="1"/>
  <c r="D9" i="24" s="1"/>
  <c r="E25" i="24"/>
  <c r="E10" i="24" s="1"/>
  <c r="E9" i="24" s="1"/>
  <c r="F25" i="24"/>
  <c r="F10" i="24"/>
  <c r="F9" i="24" s="1"/>
  <c r="F8" i="24" s="1"/>
  <c r="D8" i="24" l="1"/>
  <c r="E8" i="24"/>
  <c r="C10" i="23" l="1"/>
  <c r="C9" i="23" s="1"/>
  <c r="D40" i="23"/>
  <c r="E40" i="23"/>
  <c r="C40" i="23"/>
  <c r="D10" i="23"/>
  <c r="D9" i="23" s="1"/>
  <c r="E10" i="23"/>
  <c r="E9" i="23" s="1"/>
  <c r="C37" i="24"/>
  <c r="C34" i="24"/>
  <c r="C25" i="24"/>
  <c r="C10" i="24" s="1"/>
  <c r="C9" i="24" s="1"/>
  <c r="D8" i="23" l="1"/>
  <c r="C8" i="23"/>
  <c r="E8" i="23"/>
  <c r="C8" i="24"/>
  <c r="D40" i="22"/>
  <c r="E40" i="22"/>
  <c r="F40" i="22"/>
  <c r="D37" i="22"/>
  <c r="E37" i="22"/>
  <c r="F37" i="22"/>
  <c r="D34" i="22"/>
  <c r="E34" i="22"/>
  <c r="F34" i="22"/>
  <c r="D25" i="22"/>
  <c r="D10" i="22" s="1"/>
  <c r="D9" i="22" s="1"/>
  <c r="E25" i="22"/>
  <c r="E10" i="22" s="1"/>
  <c r="E9" i="22" s="1"/>
  <c r="F25" i="22"/>
  <c r="F10" i="22" s="1"/>
  <c r="F9" i="22" s="1"/>
  <c r="C34" i="22"/>
  <c r="C37" i="22"/>
  <c r="C40" i="22"/>
  <c r="C25" i="22"/>
  <c r="C10" i="22" s="1"/>
  <c r="C9" i="22" s="1"/>
  <c r="E8" i="22" l="1"/>
  <c r="C8" i="22"/>
  <c r="F8" i="22"/>
  <c r="D8" i="22"/>
  <c r="F39" i="21" l="1"/>
  <c r="D39" i="21"/>
  <c r="C39" i="21"/>
  <c r="F36" i="21"/>
  <c r="E36" i="21"/>
  <c r="D36" i="21"/>
  <c r="C36" i="21"/>
  <c r="F33" i="21"/>
  <c r="E33" i="21"/>
  <c r="D33" i="21"/>
  <c r="C33" i="21"/>
  <c r="F24" i="21"/>
  <c r="F10" i="21" s="1"/>
  <c r="F9" i="21" s="1"/>
  <c r="E24" i="21"/>
  <c r="E10" i="21" s="1"/>
  <c r="E9" i="21" s="1"/>
  <c r="E8" i="21" s="1"/>
  <c r="D24" i="21"/>
  <c r="D10" i="21" s="1"/>
  <c r="D9" i="21" s="1"/>
  <c r="C24" i="21"/>
  <c r="C10" i="21" s="1"/>
  <c r="C9" i="21" s="1"/>
  <c r="C8" i="21" s="1"/>
  <c r="F39" i="20"/>
  <c r="E39" i="20"/>
  <c r="D39" i="20"/>
  <c r="C39" i="20"/>
  <c r="F36" i="20"/>
  <c r="E36" i="20"/>
  <c r="D36" i="20"/>
  <c r="C36" i="20"/>
  <c r="F33" i="20"/>
  <c r="E33" i="20"/>
  <c r="D33" i="20"/>
  <c r="C33" i="20"/>
  <c r="F24" i="20"/>
  <c r="F10" i="20" s="1"/>
  <c r="F9" i="20" s="1"/>
  <c r="F8" i="20" s="1"/>
  <c r="E24" i="20"/>
  <c r="E10" i="20" s="1"/>
  <c r="E9" i="20" s="1"/>
  <c r="E8" i="20" s="1"/>
  <c r="D24" i="20"/>
  <c r="D10" i="20" s="1"/>
  <c r="D9" i="20" s="1"/>
  <c r="D8" i="20" s="1"/>
  <c r="C24" i="20"/>
  <c r="C10" i="20" s="1"/>
  <c r="C9" i="20" s="1"/>
  <c r="C8" i="20" s="1"/>
  <c r="F39" i="19"/>
  <c r="E39" i="19"/>
  <c r="D39" i="19"/>
  <c r="C39" i="19"/>
  <c r="F36" i="19"/>
  <c r="E36" i="19"/>
  <c r="D36" i="19"/>
  <c r="C36" i="19"/>
  <c r="F33" i="19"/>
  <c r="F8" i="19" s="1"/>
  <c r="E33" i="19"/>
  <c r="D33" i="19"/>
  <c r="C33" i="19"/>
  <c r="F24" i="19"/>
  <c r="F10" i="19" s="1"/>
  <c r="E24" i="19"/>
  <c r="D24" i="19"/>
  <c r="D10" i="19" s="1"/>
  <c r="D9" i="19" s="1"/>
  <c r="D8" i="19" s="1"/>
  <c r="C24" i="19"/>
  <c r="F39" i="18"/>
  <c r="E39" i="18"/>
  <c r="D39" i="18"/>
  <c r="C39" i="18"/>
  <c r="F36" i="18"/>
  <c r="E36" i="18"/>
  <c r="D36" i="18"/>
  <c r="C36" i="18"/>
  <c r="F33" i="18"/>
  <c r="E33" i="18"/>
  <c r="D33" i="18"/>
  <c r="C33" i="18"/>
  <c r="F24" i="18"/>
  <c r="F10" i="18" s="1"/>
  <c r="F9" i="18" s="1"/>
  <c r="F8" i="18" s="1"/>
  <c r="E24" i="18"/>
  <c r="E10" i="18" s="1"/>
  <c r="E9" i="18" s="1"/>
  <c r="D24" i="18"/>
  <c r="D10" i="18" s="1"/>
  <c r="D9" i="18" s="1"/>
  <c r="D8" i="18" s="1"/>
  <c r="C24" i="18"/>
  <c r="C10" i="18" s="1"/>
  <c r="C9" i="18" s="1"/>
  <c r="C8" i="18" s="1"/>
  <c r="F39" i="17"/>
  <c r="F36" i="17"/>
  <c r="F24" i="17"/>
  <c r="F10" i="17" s="1"/>
  <c r="F9" i="17" s="1"/>
  <c r="E24" i="17"/>
  <c r="E10" i="17" s="1"/>
  <c r="E9" i="17" s="1"/>
  <c r="E8" i="17" s="1"/>
  <c r="D24" i="17"/>
  <c r="D10" i="17" s="1"/>
  <c r="D9" i="17" s="1"/>
  <c r="D8" i="17" s="1"/>
  <c r="C24" i="17"/>
  <c r="C10" i="17" s="1"/>
  <c r="C9" i="17" s="1"/>
  <c r="C8" i="17" s="1"/>
  <c r="F39" i="16"/>
  <c r="F36" i="16"/>
  <c r="F24" i="16"/>
  <c r="E24" i="16"/>
  <c r="D24" i="16"/>
  <c r="C24" i="16"/>
  <c r="F12" i="16"/>
  <c r="E10" i="16"/>
  <c r="E9" i="16" s="1"/>
  <c r="D12" i="16"/>
  <c r="C12" i="16"/>
  <c r="F39" i="15"/>
  <c r="F36" i="15"/>
  <c r="F24" i="15"/>
  <c r="E24" i="15"/>
  <c r="E10" i="15" s="1"/>
  <c r="E9" i="15" s="1"/>
  <c r="D24" i="15"/>
  <c r="C24" i="15"/>
  <c r="F12" i="15"/>
  <c r="F11" i="15" s="1"/>
  <c r="D33" i="14"/>
  <c r="C33" i="14"/>
  <c r="F24" i="14"/>
  <c r="F10" i="14" s="1"/>
  <c r="F9" i="14" s="1"/>
  <c r="E10" i="14"/>
  <c r="E9" i="14" s="1"/>
  <c r="E8" i="14" s="1"/>
  <c r="D10" i="14"/>
  <c r="D9" i="14" s="1"/>
  <c r="D8" i="14" s="1"/>
  <c r="C10" i="14"/>
  <c r="C9" i="14" s="1"/>
  <c r="C8" i="14" s="1"/>
  <c r="F39" i="13"/>
  <c r="F36" i="13"/>
  <c r="F24" i="13"/>
  <c r="F12" i="13"/>
  <c r="E12" i="13"/>
  <c r="E11" i="13" s="1"/>
  <c r="E10" i="13" s="1"/>
  <c r="E9" i="13" s="1"/>
  <c r="D12" i="13"/>
  <c r="D11" i="13" s="1"/>
  <c r="D10" i="13" s="1"/>
  <c r="D9" i="13" s="1"/>
  <c r="C12" i="13"/>
  <c r="C11" i="13" s="1"/>
  <c r="C10" i="13" s="1"/>
  <c r="C9" i="13" s="1"/>
  <c r="F11" i="16" l="1"/>
  <c r="F10" i="16" s="1"/>
  <c r="F9" i="16" s="1"/>
  <c r="F8" i="16" s="1"/>
  <c r="C11" i="16"/>
  <c r="C10" i="16" s="1"/>
  <c r="C9" i="16" s="1"/>
  <c r="D11" i="16"/>
  <c r="D10" i="16" s="1"/>
  <c r="D9" i="16" s="1"/>
  <c r="F8" i="17"/>
  <c r="F11" i="13"/>
  <c r="F10" i="13" s="1"/>
  <c r="F9" i="13" s="1"/>
  <c r="F10" i="15"/>
  <c r="F9" i="15" s="1"/>
  <c r="F8" i="15" s="1"/>
  <c r="D10" i="15"/>
  <c r="D9" i="15" s="1"/>
  <c r="C10" i="15"/>
  <c r="C9" i="15" s="1"/>
  <c r="C10" i="19"/>
  <c r="C9" i="19" s="1"/>
  <c r="C8" i="19" s="1"/>
  <c r="E10" i="19"/>
  <c r="E9" i="19" s="1"/>
  <c r="E8" i="19" s="1"/>
  <c r="D8" i="21"/>
  <c r="E8" i="18"/>
  <c r="F8" i="21"/>
  <c r="F8" i="14"/>
</calcChain>
</file>

<file path=xl/sharedStrings.xml><?xml version="1.0" encoding="utf-8"?>
<sst xmlns="http://schemas.openxmlformats.org/spreadsheetml/2006/main" count="1567" uniqueCount="189">
  <si>
    <t>Q1</t>
  </si>
  <si>
    <t>Q2</t>
  </si>
  <si>
    <t>Q3</t>
  </si>
  <si>
    <t>Q4</t>
  </si>
  <si>
    <t xml:space="preserve">وفقا للمنهجية الجديدة الخاصة بعرض بيانات البترول </t>
  </si>
  <si>
    <t>البيانات اولية وقابلة للتعديل  وغير قابلة للنشر</t>
  </si>
  <si>
    <t>Gross Domestic Debt</t>
  </si>
  <si>
    <t xml:space="preserve"> Gross Domestic Debt (1+2+3-4)</t>
  </si>
  <si>
    <t xml:space="preserve"> 1- Net Domestic Debt of Government (A+B+C+D+E+F)</t>
  </si>
  <si>
    <t>A-  Balances of  Bonds &amp; Bills</t>
  </si>
  <si>
    <t xml:space="preserve">  Treasury bonds with the CBE</t>
  </si>
  <si>
    <t xml:space="preserve">  Local currency bonds  with public sector banks</t>
  </si>
  <si>
    <t>US$</t>
  </si>
  <si>
    <t xml:space="preserve">LE </t>
  </si>
  <si>
    <t xml:space="preserve">    Egyptian treasury bonds</t>
  </si>
  <si>
    <t xml:space="preserve">    Government notes to compensate for the actuarial deficit in social  insurance funds    </t>
  </si>
  <si>
    <t xml:space="preserve">    Housing bonds</t>
  </si>
  <si>
    <t xml:space="preserve">    Foreign currency bonds with public sector commercial banks </t>
  </si>
  <si>
    <t xml:space="preserve">   The equivalent of the retained 5% of corporate profits to purchase government  bonds</t>
  </si>
  <si>
    <t xml:space="preserve">   Bonds of the Insurance Funds (against the transfer of NIB debt to the Treasury) </t>
  </si>
  <si>
    <t xml:space="preserve">   Bonds of Barwa Real Estate Investment Company.</t>
  </si>
  <si>
    <t xml:space="preserve">   Treasury Bills :</t>
  </si>
  <si>
    <t>Euro</t>
  </si>
  <si>
    <t>B-  Borrowing from other entities</t>
  </si>
  <si>
    <t>C - Credit Facilities from the Social Insurance Funds</t>
  </si>
  <si>
    <t>E- Net Government Balances with the Banking System</t>
  </si>
  <si>
    <t>Deposits of the NIB with the banking system (-)</t>
  </si>
  <si>
    <t>أ- الأرصدة من السندات والأذون</t>
  </si>
  <si>
    <t xml:space="preserve">. سندات على الخزانة العامة لدى البنك المركزى </t>
  </si>
  <si>
    <t xml:space="preserve"> . السندات الصادرة بالعملة المحلية لدى بنوك القطاع العام  </t>
  </si>
  <si>
    <t xml:space="preserve"> . السندات المطروحة فى الخارج  *: </t>
  </si>
  <si>
    <t>بالدولار</t>
  </si>
  <si>
    <t>بالجنيه المصرى</t>
  </si>
  <si>
    <t>. سندات صادرة على الخزانة المصرية</t>
  </si>
  <si>
    <t>. صكوك على الخزانة العامة بقيمة العجز الإكتوارى فى صناديق التأمينات الإجتماعية</t>
  </si>
  <si>
    <t>. سندات الإسكان</t>
  </si>
  <si>
    <t>. مقابل نسبة ال5% المجنبة من أرباح الشركات لشراء سندات حكومية</t>
  </si>
  <si>
    <t>. سندات شركة بروه للإستثمار العقارى</t>
  </si>
  <si>
    <t xml:space="preserve"> أذون على الخزانة العامة </t>
  </si>
  <si>
    <t>ب-  إقتراض من جهات أخرى</t>
  </si>
  <si>
    <t>ج-  تسهيلات إئتمانية من صندوقى التأمين الإجتماعى</t>
  </si>
  <si>
    <t>هـ- صافى أرصدة الحكومة لدى الجهاز المصرفى</t>
  </si>
  <si>
    <t xml:space="preserve"> 3-  صافى مديونية بنك الإستثمار القومى </t>
  </si>
  <si>
    <t>. مديونية بنك الإستثمار القومى</t>
  </si>
  <si>
    <t xml:space="preserve"> 4-  المديونية البينية </t>
  </si>
  <si>
    <t>. مديونية الحكومة قبل بنك الإستثمار القومى (إستثمارات فى أوراق مالية حكومية )</t>
  </si>
  <si>
    <t>. السندات الصادرة بالعملات الاجنبية لدى بنوك القطاع العام التجارية</t>
  </si>
  <si>
    <t>.اقتراض الحكومة من بنك الاستثمار القومى</t>
  </si>
  <si>
    <t>..</t>
  </si>
  <si>
    <t>Source: Central Bank of Egypt - Ministry of Finance - National Investment Bank.</t>
  </si>
  <si>
    <t xml:space="preserve"> *  ( Holdings of resident financial institutions in Egypt represented in the banking system and the insurance sector ).</t>
  </si>
  <si>
    <r>
      <t xml:space="preserve"> #</t>
    </r>
    <r>
      <rPr>
        <sz val="12"/>
        <rFont val="Arial"/>
        <family val="2"/>
      </rPr>
      <t xml:space="preserve"> Balances of gross domestic public debt have been revised as per the data available on the net debt of NIB and NIB intra debt with the government and public economic authorities. </t>
    </r>
  </si>
  <si>
    <t>( LE mn )</t>
  </si>
  <si>
    <t xml:space="preserve">       The Masri Dollar Certificate is a three-year certificate, with a 4% annual return, and is not redeemable in the first six months.  Its minimum purchase value is US$ 1000, with no ceiling.</t>
  </si>
  <si>
    <t xml:space="preserve"> against the government debt to the Bank at an initial value of LE 197.7 billion.  </t>
  </si>
  <si>
    <t xml:space="preserve">End of </t>
  </si>
  <si>
    <t>1- صافى  الدين المحلى الحكومى(أ+ب+ج+د+هـ+و )</t>
  </si>
  <si>
    <t>Sept.2004</t>
  </si>
  <si>
    <t>Dec.2004</t>
  </si>
  <si>
    <t xml:space="preserve"> March 2013</t>
  </si>
  <si>
    <t>Dec.2012</t>
  </si>
  <si>
    <t>Sept.2012</t>
  </si>
  <si>
    <t>Sept.2011</t>
  </si>
  <si>
    <t>Dec.2011</t>
  </si>
  <si>
    <t xml:space="preserve"> March 2012</t>
  </si>
  <si>
    <t>Sept.2010</t>
  </si>
  <si>
    <t>Dec.2010</t>
  </si>
  <si>
    <t xml:space="preserve"> March 2011</t>
  </si>
  <si>
    <t>Sept.2009</t>
  </si>
  <si>
    <t>Dec.2009</t>
  </si>
  <si>
    <t xml:space="preserve"> March 2010</t>
  </si>
  <si>
    <t>Sept.2008</t>
  </si>
  <si>
    <t>Dec.2008</t>
  </si>
  <si>
    <t xml:space="preserve"> March 2009</t>
  </si>
  <si>
    <t>Sept.2007</t>
  </si>
  <si>
    <t>Dec.2007</t>
  </si>
  <si>
    <t xml:space="preserve"> March 2008</t>
  </si>
  <si>
    <t>Sept.2006</t>
  </si>
  <si>
    <t>Dec.2006</t>
  </si>
  <si>
    <t xml:space="preserve"> March 2007</t>
  </si>
  <si>
    <t>Sept.2005</t>
  </si>
  <si>
    <t>Dec.2005</t>
  </si>
  <si>
    <t xml:space="preserve"> March 2006</t>
  </si>
  <si>
    <t xml:space="preserve"> March 2005</t>
  </si>
  <si>
    <t xml:space="preserve">  Bonds offered abroad * :</t>
  </si>
  <si>
    <r>
      <t>**</t>
    </r>
    <r>
      <rPr>
        <sz val="12"/>
        <rFont val="Arial"/>
        <family val="2"/>
        <charset val="178"/>
      </rPr>
      <t xml:space="preserve">  In order to support the national economy and finance the development plan, the National Bank of Egypt issued a new US dollar certificate in May 2012 for  Egyptians resident abroad to invest their savings in the Egyptian market.</t>
    </r>
  </si>
  <si>
    <r>
      <t>***</t>
    </r>
    <r>
      <rPr>
        <sz val="12"/>
        <rFont val="Arial"/>
        <family val="2"/>
        <charset val="178"/>
      </rPr>
      <t xml:space="preserve"> As of 1/7/2006, the government debt to the NIB was cleared to zero, and the Bank's obligations to insurance and pension funds were transferred to become obligations on the government. Moreover, bonds were issued</t>
    </r>
  </si>
  <si>
    <r>
      <t xml:space="preserve"> **** </t>
    </r>
    <r>
      <rPr>
        <sz val="12"/>
        <rFont val="Arial"/>
        <family val="2"/>
      </rPr>
      <t>Apart from the interest payments due to the NIB.</t>
    </r>
  </si>
  <si>
    <t xml:space="preserve"> June  2005</t>
  </si>
  <si>
    <t xml:space="preserve">  June 2006</t>
  </si>
  <si>
    <t xml:space="preserve"> June 2007</t>
  </si>
  <si>
    <t xml:space="preserve"> June 2008</t>
  </si>
  <si>
    <t xml:space="preserve"> June 2009</t>
  </si>
  <si>
    <t xml:space="preserve"> June 2010</t>
  </si>
  <si>
    <t xml:space="preserve"> June 2011</t>
  </si>
  <si>
    <t xml:space="preserve"> June 2012</t>
  </si>
  <si>
    <t xml:space="preserve">  June 2013</t>
  </si>
  <si>
    <t>Sept.2013</t>
  </si>
  <si>
    <t>Dec.2013</t>
  </si>
  <si>
    <t xml:space="preserve"> March 2014</t>
  </si>
  <si>
    <t xml:space="preserve">  June 2014</t>
  </si>
  <si>
    <t>. السندات الصادرة بالدولار الامريكى لصالح البنوك التجارية</t>
  </si>
  <si>
    <t xml:space="preserve">  US dollar bonds issued for commercial banks</t>
  </si>
  <si>
    <t>D -  The Masri Dollar certificate**</t>
  </si>
  <si>
    <t>وـ -اقتراض الحكومة من بنك الاستثمار القومى***</t>
  </si>
  <si>
    <t>F- Government Borrowing  from NIB ***</t>
  </si>
  <si>
    <t>Sept.2014</t>
  </si>
  <si>
    <t>Dec.2014</t>
  </si>
  <si>
    <t xml:space="preserve"> March 2015</t>
  </si>
  <si>
    <t xml:space="preserve">  June 2015</t>
  </si>
  <si>
    <t>Sept.2015</t>
  </si>
  <si>
    <t>سندات على الخزانة العامة</t>
  </si>
  <si>
    <t xml:space="preserve">   Treasury Bonds :</t>
  </si>
  <si>
    <t>Dec.2015</t>
  </si>
  <si>
    <t xml:space="preserve"> March 2016</t>
  </si>
  <si>
    <t xml:space="preserve">  June 2016</t>
  </si>
  <si>
    <t>Sept.2016</t>
  </si>
  <si>
    <t>Dec.2016</t>
  </si>
  <si>
    <t xml:space="preserve"> March 2017</t>
  </si>
  <si>
    <t xml:space="preserve">  June 2017</t>
  </si>
  <si>
    <t xml:space="preserve"> </t>
  </si>
  <si>
    <r>
      <t>.السندات الدولية (الطرح الخاص لصالح البنك المركزى)</t>
    </r>
    <r>
      <rPr>
        <vertAlign val="superscript"/>
        <sz val="20"/>
        <color indexed="63"/>
        <rFont val="Akhbar MT"/>
        <charset val="178"/>
      </rPr>
      <t>++</t>
    </r>
  </si>
  <si>
    <r>
      <t xml:space="preserve">    Egyptian treasury bonds </t>
    </r>
    <r>
      <rPr>
        <vertAlign val="superscript"/>
        <sz val="14"/>
        <rFont val="Times New Roman"/>
        <family val="1"/>
      </rPr>
      <t>+</t>
    </r>
  </si>
  <si>
    <t xml:space="preserve"> +   Based on its nominal value.</t>
  </si>
  <si>
    <t xml:space="preserve"> ++  This item represnts the local equivalent of the international euro bonds issued in 11/2016.</t>
  </si>
  <si>
    <t xml:space="preserve"> * Represents  holdings of  financial institutions ( the banking and insurance sectors ) resident  in Egypt. </t>
  </si>
  <si>
    <t xml:space="preserve"> *  Represents  holdings of  financial institutions ( the banking and insurance sectors ) resident  in Egypt. </t>
  </si>
  <si>
    <t xml:space="preserve">         Moreover, bonds were issued against the government debt to the Bank at an initial value of LE 197.7 billion.  </t>
  </si>
  <si>
    <r>
      <t xml:space="preserve">. سندات صادرة على الخزانة المصرية </t>
    </r>
    <r>
      <rPr>
        <b/>
        <vertAlign val="superscript"/>
        <sz val="14"/>
        <rFont val="Times New (W1)"/>
        <charset val="178"/>
      </rPr>
      <t>+</t>
    </r>
  </si>
  <si>
    <r>
      <t xml:space="preserve">. سندات صادرة على الخزانة المصرية  </t>
    </r>
    <r>
      <rPr>
        <b/>
        <vertAlign val="superscript"/>
        <sz val="14"/>
        <rFont val="Times New (W1)"/>
        <charset val="178"/>
      </rPr>
      <t>+</t>
    </r>
  </si>
  <si>
    <t>Sept.2017</t>
  </si>
  <si>
    <t>Dec.2017</t>
  </si>
  <si>
    <t xml:space="preserve"> March 2018</t>
  </si>
  <si>
    <t xml:space="preserve">  June 2018</t>
  </si>
  <si>
    <t xml:space="preserve">Q1 </t>
  </si>
  <si>
    <t>باليورو</t>
  </si>
  <si>
    <t xml:space="preserve">Q4 </t>
  </si>
  <si>
    <t>د-  شهادة المصرى الدولارية **</t>
  </si>
  <si>
    <t xml:space="preserve"> *  Represents  Holdings of  financial institutions ( the banking and insurance sectors ) resident  in Egypt.</t>
  </si>
  <si>
    <t>*** As of 1/7/2006, the government debt to the NIB was cleared to zero, and the Bank's obligations to insurance and pension funds were transferred to become obligations on the government.</t>
  </si>
  <si>
    <r>
      <t xml:space="preserve">**** </t>
    </r>
    <r>
      <rPr>
        <sz val="12"/>
        <rFont val="Arial"/>
        <family val="2"/>
      </rPr>
      <t>Apart from the interest payments due to the NIB.</t>
    </r>
  </si>
  <si>
    <t xml:space="preserve"> *  Represents Holdings of  financial institutions ( the banking and insurance sectors ) resident  in Egypt.</t>
  </si>
  <si>
    <t>. سندات صندوقى التأمينات مقابل نقل مديونية بنك الإستثمار القومى إلى الخزانة</t>
  </si>
  <si>
    <t>. ودائع بنك الإستثمار القومى لدى الجهاز المصرفى (-)</t>
  </si>
  <si>
    <t>. مديونية الهيئات العامة الإقتصادية قبل بنك الإستثمار القومى</t>
  </si>
  <si>
    <t xml:space="preserve"> 4- Intra-Debt </t>
  </si>
  <si>
    <t>3- Net NIB Debt</t>
  </si>
  <si>
    <t>2- Net Debt of Public Economic Authorities</t>
  </si>
  <si>
    <t>2-  صافى مديونية الهيئات العامة الإقتصادية</t>
  </si>
  <si>
    <t>NIB Debt</t>
  </si>
  <si>
    <t>2-  Net Debt of Public Economic Authorities</t>
  </si>
  <si>
    <t>1- صافى الدين المحلى الحكومى(أ+ب+ج+د+هـ+و )</t>
  </si>
  <si>
    <t xml:space="preserve">  الدين العام المحلى (1+2+3-4)</t>
  </si>
  <si>
    <t xml:space="preserve"> . السندات المطروحة فى الخارج *: </t>
  </si>
  <si>
    <t>Sept.2018</t>
  </si>
  <si>
    <t>Dec.2018</t>
  </si>
  <si>
    <t xml:space="preserve"> March 2019</t>
  </si>
  <si>
    <t xml:space="preserve">  June 2019</t>
  </si>
  <si>
    <r>
      <t xml:space="preserve">. سندات صادرة على الخزانة المصرية </t>
    </r>
    <r>
      <rPr>
        <vertAlign val="superscript"/>
        <sz val="13"/>
        <rFont val="Times New (W1)"/>
        <charset val="178"/>
      </rPr>
      <t>+</t>
    </r>
  </si>
  <si>
    <t>د-  شهادة المصرى الدولارية**</t>
  </si>
  <si>
    <t>. صافى أرصدة الهيئات العامة الإقتصادية لدى الجهاز  المصرفى</t>
  </si>
  <si>
    <t>Net Balances of Public Economic Authorities with the Banking System</t>
  </si>
  <si>
    <t>. إقتراض الهيئات العامة الإقتصادية من بنك الإستثمار القومى****</t>
  </si>
  <si>
    <t>Borrowing of Public Economic Authorities from NIB ****</t>
  </si>
  <si>
    <t>NIB  Debt</t>
  </si>
  <si>
    <t xml:space="preserve">Government debt to the NIB (investments in government securities) </t>
  </si>
  <si>
    <t>Government Borrowing  from NIB</t>
  </si>
  <si>
    <t>Loans of public economic authorities to NIB</t>
  </si>
  <si>
    <t xml:space="preserve"> +   Based on its nominal value, including US$ 980.7 Million worth Egyptian T-bonds, with Zero-Coupon issued on 26/2/2019 with a maturity of two years.</t>
  </si>
  <si>
    <t>Government Borrowing from NIB</t>
  </si>
  <si>
    <t>Bonds offered abroad * :</t>
  </si>
  <si>
    <t xml:space="preserve">  الدين العام المحلى ( 1+ 2+ 3 -4)</t>
  </si>
  <si>
    <t>Q1#</t>
  </si>
  <si>
    <t>Q2#</t>
  </si>
  <si>
    <t>Q3#</t>
  </si>
  <si>
    <t>Dissemination of such data has started since Q4 of FY 2004/2005 up to 2007/2008. As of FY 2008/2009 , data have been disseminated on a quarterly basis.</t>
  </si>
  <si>
    <t>Sept.2019</t>
  </si>
  <si>
    <t>Dec.2019</t>
  </si>
  <si>
    <t xml:space="preserve"> *  Represents Holdings of  financial institutions ( the banking and insurance sectors ) resident in Egypt.</t>
  </si>
  <si>
    <r>
      <t>**</t>
    </r>
    <r>
      <rPr>
        <sz val="12"/>
        <rFont val="Arial"/>
        <family val="2"/>
        <charset val="178"/>
      </rPr>
      <t xml:space="preserve"> </t>
    </r>
    <r>
      <rPr>
        <sz val="12"/>
        <rFont val="Times New Roman"/>
        <family val="1"/>
        <scheme val="minor"/>
      </rPr>
      <t xml:space="preserve"> In order to support the national economy and finance the development plan, the National Bank of Egypt issued a new US dollar certificate in May 2012 for  Egyptians resident abroad to invest their savings in the Egyptian market.</t>
    </r>
  </si>
  <si>
    <t xml:space="preserve"> +++  The debt between the Ministry of Finance and SIFs was settled during July/Sept. 2019/2020, pursuant to the Social Insurance and Pension Law No. 148 issued on 19 August 2019.</t>
  </si>
  <si>
    <r>
      <t xml:space="preserve">    Government notes to compensate for the actuarial deficit in social  insurance funds </t>
    </r>
    <r>
      <rPr>
        <vertAlign val="superscript"/>
        <sz val="14"/>
        <rFont val="Times New Roman"/>
        <family val="1"/>
      </rPr>
      <t>+++</t>
    </r>
    <r>
      <rPr>
        <sz val="14"/>
        <rFont val="Times New Roman"/>
        <family val="1"/>
      </rPr>
      <t xml:space="preserve">   </t>
    </r>
  </si>
  <si>
    <r>
      <t xml:space="preserve">   Bonds of the Insurance Funds (against the transfer of NIB debt to the Treasury) </t>
    </r>
    <r>
      <rPr>
        <vertAlign val="superscript"/>
        <sz val="14"/>
        <rFont val="Times New Roman"/>
        <family val="1"/>
      </rPr>
      <t>+++</t>
    </r>
  </si>
  <si>
    <r>
      <t xml:space="preserve">    International euro bonds ( private placement for the account of CBE)</t>
    </r>
    <r>
      <rPr>
        <vertAlign val="superscript"/>
        <sz val="16"/>
        <rFont val="Arial"/>
        <family val="2"/>
      </rPr>
      <t xml:space="preserve"> ++</t>
    </r>
  </si>
  <si>
    <r>
      <t xml:space="preserve">**** </t>
    </r>
    <r>
      <rPr>
        <sz val="12"/>
        <rFont val="Times New Roman"/>
        <family val="1"/>
        <scheme val="minor"/>
      </rPr>
      <t>Apart from the interest payments due to the NIB.</t>
    </r>
  </si>
  <si>
    <r>
      <t xml:space="preserve">. صكوك على الخزانة العامة بقيمة العجز الإكتوارى فى صناديق التأمينات الاجتماعية </t>
    </r>
    <r>
      <rPr>
        <vertAlign val="superscript"/>
        <sz val="14"/>
        <rFont val="Times New (W1)"/>
        <charset val="178"/>
      </rPr>
      <t>+++</t>
    </r>
  </si>
  <si>
    <r>
      <t>. سندات صندوقى التأمينات مقابل نقل مديونية بنك الإستثمار القومى إلى الخزانة</t>
    </r>
    <r>
      <rPr>
        <vertAlign val="superscript"/>
        <sz val="14"/>
        <rFont val="Times New (W1)"/>
        <charset val="178"/>
      </rPr>
      <t xml:space="preserve"> +++</t>
    </r>
  </si>
  <si>
    <t xml:space="preserve"> March 2020</t>
  </si>
  <si>
    <t xml:space="preserve">  June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</si>
</sst>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ج.م.‏&quot;\ * #,##0_-;_-&quot;ج.م.‏&quot;\ * #,##0\-;_-&quot;ج.م.‏&quot;\ * &quot;-&quot;_-;_-@_-"/>
    <numFmt numFmtId="165" formatCode="_-* #,##0_-;_-* #,##0\-;_-* &quot;-&quot;_-;_-@_-"/>
    <numFmt numFmtId="166" formatCode="_-&quot;ج.م.‏&quot;\ * #,##0.00_-;_-&quot;ج.م.‏&quot;\ * #,##0.00\-;_-&quot;ج.م.‏&quot;\ * &quot;-&quot;??_-;_-@_-"/>
    <numFmt numFmtId="167" formatCode="_-* #,##0.00_-;_-* #,##0.00\-;_-* &quot;-&quot;??_-;_-@_-"/>
    <numFmt numFmtId="168" formatCode="0.0"/>
    <numFmt numFmtId="169" formatCode="B1mmm\-yy"/>
  </numFmts>
  <fonts count="53">
    <font>
      <sz val="10"/>
      <name val="Arial"/>
      <charset val="178"/>
    </font>
    <font>
      <sz val="10"/>
      <name val="Arial"/>
      <family val="2"/>
      <charset val="178"/>
    </font>
    <font>
      <b/>
      <u/>
      <sz val="14"/>
      <name val="Times New (W1)"/>
      <family val="1"/>
    </font>
    <font>
      <sz val="14"/>
      <name val="Times New (W1)"/>
      <family val="1"/>
    </font>
    <font>
      <b/>
      <u/>
      <sz val="12"/>
      <name val="Times New (W1)"/>
      <family val="1"/>
    </font>
    <font>
      <b/>
      <u/>
      <sz val="18"/>
      <color indexed="8"/>
      <name val="Lucida Bright"/>
      <family val="1"/>
    </font>
    <font>
      <sz val="14"/>
      <name val="Arial"/>
      <family val="2"/>
    </font>
    <font>
      <b/>
      <u/>
      <sz val="18"/>
      <name val="Arial"/>
      <family val="2"/>
    </font>
    <font>
      <sz val="12"/>
      <name val="Arial"/>
      <family val="2"/>
    </font>
    <font>
      <i/>
      <sz val="12"/>
      <name val="Arial"/>
      <family val="2"/>
    </font>
    <font>
      <b/>
      <sz val="18"/>
      <name val="Arial"/>
      <family val="2"/>
    </font>
    <font>
      <sz val="10"/>
      <name val="Arabic Transparent"/>
      <charset val="178"/>
    </font>
    <font>
      <sz val="13"/>
      <name val="Times New (W1)"/>
      <family val="1"/>
    </font>
    <font>
      <i/>
      <sz val="13"/>
      <name val="Arial"/>
      <family val="2"/>
    </font>
    <font>
      <sz val="14"/>
      <name val="Times New (W1)"/>
      <charset val="178"/>
    </font>
    <font>
      <sz val="10"/>
      <name val="Arial"/>
      <family val="2"/>
    </font>
    <font>
      <sz val="14"/>
      <name val="Times New Roman"/>
      <family val="1"/>
    </font>
    <font>
      <b/>
      <u/>
      <sz val="14"/>
      <name val="Times New Roman"/>
      <family val="1"/>
    </font>
    <font>
      <u/>
      <sz val="14"/>
      <name val="Times New (W1)"/>
      <charset val="178"/>
    </font>
    <font>
      <b/>
      <u/>
      <sz val="14"/>
      <name val="Times New (W1)"/>
      <charset val="178"/>
    </font>
    <font>
      <sz val="13"/>
      <name val="Times New (W1)"/>
      <charset val="178"/>
    </font>
    <font>
      <b/>
      <i/>
      <u/>
      <sz val="14"/>
      <name val="Times New (W1)"/>
      <family val="1"/>
    </font>
    <font>
      <b/>
      <u/>
      <sz val="16"/>
      <name val="Times New (W1)"/>
      <family val="1"/>
    </font>
    <font>
      <b/>
      <u/>
      <sz val="16"/>
      <name val="Times New Roman"/>
      <family val="1"/>
    </font>
    <font>
      <sz val="13"/>
      <name val="Times New Roman"/>
      <family val="1"/>
    </font>
    <font>
      <sz val="12"/>
      <name val="Times New Roman"/>
      <family val="1"/>
    </font>
    <font>
      <sz val="12"/>
      <name val="Arial"/>
      <family val="2"/>
      <charset val="178"/>
    </font>
    <font>
      <b/>
      <sz val="12"/>
      <name val="Arial"/>
      <family val="2"/>
      <charset val="178"/>
    </font>
    <font>
      <b/>
      <sz val="20"/>
      <name val="Arial"/>
      <family val="2"/>
    </font>
    <font>
      <u/>
      <sz val="14"/>
      <name val="Times New (W1)"/>
      <family val="1"/>
    </font>
    <font>
      <b/>
      <u/>
      <sz val="10"/>
      <name val="Arial"/>
      <family val="2"/>
    </font>
    <font>
      <u/>
      <sz val="10"/>
      <name val="Arial"/>
      <family val="2"/>
    </font>
    <font>
      <b/>
      <u/>
      <sz val="12"/>
      <name val="Arial"/>
      <family val="2"/>
    </font>
    <font>
      <b/>
      <u/>
      <sz val="13"/>
      <name val="Times New (W1)"/>
      <family val="1"/>
    </font>
    <font>
      <b/>
      <u/>
      <sz val="13"/>
      <name val="Times New Roman"/>
      <family val="1"/>
    </font>
    <font>
      <sz val="13"/>
      <name val="Arial"/>
      <family val="2"/>
    </font>
    <font>
      <b/>
      <u/>
      <sz val="14"/>
      <name val="Times New (W1)"/>
    </font>
    <font>
      <sz val="10"/>
      <name val="Arial"/>
      <family val="2"/>
    </font>
    <font>
      <sz val="10"/>
      <name val="MS Sans Serif"/>
      <family val="2"/>
      <charset val="178"/>
    </font>
    <font>
      <i/>
      <sz val="11"/>
      <name val="Arial"/>
      <family val="2"/>
    </font>
    <font>
      <vertAlign val="superscript"/>
      <sz val="20"/>
      <color indexed="63"/>
      <name val="Akhbar MT"/>
      <charset val="178"/>
    </font>
    <font>
      <vertAlign val="superscript"/>
      <sz val="16"/>
      <name val="Arial"/>
      <family val="2"/>
    </font>
    <font>
      <vertAlign val="superscript"/>
      <sz val="14"/>
      <name val="Times New Roman"/>
      <family val="1"/>
    </font>
    <font>
      <b/>
      <vertAlign val="superscript"/>
      <sz val="14"/>
      <name val="Times New (W1)"/>
      <charset val="178"/>
    </font>
    <font>
      <b/>
      <u/>
      <sz val="16"/>
      <name val="Times New (W1)"/>
      <charset val="178"/>
    </font>
    <font>
      <b/>
      <u/>
      <sz val="13"/>
      <name val="Times New (W1)"/>
      <charset val="178"/>
    </font>
    <font>
      <vertAlign val="superscript"/>
      <sz val="13"/>
      <name val="Times New (W1)"/>
      <charset val="178"/>
    </font>
    <font>
      <u/>
      <sz val="10"/>
      <color indexed="61"/>
      <name val="Arial"/>
      <family val="2"/>
    </font>
    <font>
      <i/>
      <sz val="18"/>
      <name val="Arial"/>
      <family val="2"/>
    </font>
    <font>
      <sz val="18"/>
      <name val="Arial"/>
      <family val="2"/>
    </font>
    <font>
      <sz val="16"/>
      <name val="Arial"/>
      <family val="2"/>
    </font>
    <font>
      <sz val="12"/>
      <name val="Times New Roman"/>
      <family val="1"/>
      <scheme val="minor"/>
    </font>
    <font>
      <vertAlign val="superscript"/>
      <sz val="14"/>
      <name val="Times New (W1)"/>
      <charset val="178"/>
    </font>
  </fonts>
  <fills count="6">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double">
        <color indexed="41"/>
      </bottom>
      <diagonal/>
    </border>
    <border>
      <left style="double">
        <color rgb="FF00FFFF"/>
      </left>
      <right style="double">
        <color rgb="FF00FFFF"/>
      </right>
      <top style="double">
        <color rgb="FF00FFFF"/>
      </top>
      <bottom style="double">
        <color rgb="FF00FFFF"/>
      </bottom>
      <diagonal/>
    </border>
    <border>
      <left style="double">
        <color rgb="FF00FFFF"/>
      </left>
      <right style="double">
        <color rgb="FF00FFFF"/>
      </right>
      <top/>
      <bottom style="double">
        <color rgb="FF00FFFF"/>
      </bottom>
      <diagonal/>
    </border>
    <border>
      <left style="double">
        <color rgb="FF00FFFF"/>
      </left>
      <right/>
      <top/>
      <bottom style="double">
        <color rgb="FF00FFFF"/>
      </bottom>
      <diagonal/>
    </border>
    <border>
      <left/>
      <right style="double">
        <color rgb="FF00FFFF"/>
      </right>
      <top/>
      <bottom style="double">
        <color rgb="FF00FFFF"/>
      </bottom>
      <diagonal/>
    </border>
    <border>
      <left/>
      <right style="thin">
        <color indexed="64"/>
      </right>
      <top/>
      <bottom/>
      <diagonal/>
    </border>
    <border>
      <left/>
      <right/>
      <top/>
      <bottom style="thin">
        <color indexed="64"/>
      </bottom>
      <diagonal/>
    </border>
    <border>
      <left style="thin">
        <color indexed="64"/>
      </left>
      <right style="thin">
        <color indexed="64"/>
      </right>
      <top style="double">
        <color rgb="FF00FFFF"/>
      </top>
      <bottom/>
      <diagonal/>
    </border>
    <border>
      <left/>
      <right style="thin">
        <color indexed="64"/>
      </right>
      <top/>
      <bottom style="thin">
        <color indexed="64"/>
      </bottom>
      <diagonal/>
    </border>
    <border>
      <left style="double">
        <color rgb="FF00FFFF"/>
      </left>
      <right/>
      <top style="double">
        <color rgb="FF00FFFF"/>
      </top>
      <bottom/>
      <diagonal/>
    </border>
    <border>
      <left/>
      <right style="double">
        <color rgb="FF00FFFF"/>
      </right>
      <top style="double">
        <color rgb="FF00FFFF"/>
      </top>
      <bottom/>
      <diagonal/>
    </border>
  </borders>
  <cellStyleXfs count="12">
    <xf numFmtId="0" fontId="0" fillId="0" borderId="0"/>
    <xf numFmtId="0" fontId="11" fillId="0" borderId="0" applyNumberFormat="0">
      <alignment horizontal="right"/>
    </xf>
    <xf numFmtId="0" fontId="15" fillId="0" borderId="0"/>
    <xf numFmtId="0" fontId="37" fillId="0" borderId="0"/>
    <xf numFmtId="0" fontId="38" fillId="0" borderId="0"/>
    <xf numFmtId="164" fontId="25" fillId="0" borderId="0" applyFont="0" applyFill="0" applyBorder="0" applyAlignment="0" applyProtection="0"/>
    <xf numFmtId="166" fontId="25" fillId="0" borderId="0" applyFont="0" applyFill="0" applyBorder="0" applyAlignment="0" applyProtection="0"/>
    <xf numFmtId="165" fontId="25" fillId="0" borderId="0" applyFont="0" applyFill="0" applyBorder="0" applyAlignment="0" applyProtection="0"/>
    <xf numFmtId="167" fontId="25" fillId="0" borderId="0" applyFont="0" applyFill="0" applyBorder="0" applyAlignment="0" applyProtection="0"/>
    <xf numFmtId="0" fontId="15" fillId="0" borderId="0"/>
    <xf numFmtId="0" fontId="15" fillId="0" borderId="0"/>
    <xf numFmtId="0" fontId="15" fillId="0" borderId="0"/>
  </cellStyleXfs>
  <cellXfs count="178">
    <xf numFmtId="0" fontId="0" fillId="0" borderId="0" xfId="0"/>
    <xf numFmtId="0" fontId="1" fillId="0" borderId="0" xfId="0" applyFont="1" applyFill="1" applyAlignment="1">
      <alignment readingOrder="1"/>
    </xf>
    <xf numFmtId="0" fontId="8" fillId="0" borderId="0" xfId="0" applyFont="1"/>
    <xf numFmtId="0" fontId="9" fillId="0" borderId="0" xfId="0" applyFont="1"/>
    <xf numFmtId="168" fontId="0" fillId="0" borderId="0" xfId="0" applyNumberFormat="1"/>
    <xf numFmtId="0" fontId="0" fillId="0" borderId="0" xfId="0" applyFill="1"/>
    <xf numFmtId="168" fontId="13" fillId="0" borderId="0" xfId="0" applyNumberFormat="1" applyFont="1"/>
    <xf numFmtId="0" fontId="13" fillId="0" borderId="0" xfId="0" applyFont="1"/>
    <xf numFmtId="0" fontId="6" fillId="0" borderId="0" xfId="0" applyFont="1"/>
    <xf numFmtId="168" fontId="6" fillId="0" borderId="0" xfId="0" applyNumberFormat="1" applyFont="1"/>
    <xf numFmtId="0" fontId="12" fillId="3" borderId="1" xfId="0" quotePrefix="1" applyFont="1" applyFill="1" applyBorder="1" applyAlignment="1">
      <alignment horizontal="right" readingOrder="2"/>
    </xf>
    <xf numFmtId="0" fontId="16" fillId="3" borderId="1" xfId="2" applyFont="1" applyFill="1" applyBorder="1" applyAlignment="1">
      <alignment horizontal="left" vertical="center" indent="1"/>
    </xf>
    <xf numFmtId="0" fontId="16" fillId="3" borderId="1" xfId="2" applyFont="1" applyFill="1" applyBorder="1" applyAlignment="1">
      <alignment horizontal="left" vertical="center" indent="3"/>
    </xf>
    <xf numFmtId="0" fontId="16" fillId="3" borderId="1" xfId="2" applyFont="1" applyFill="1" applyBorder="1" applyAlignment="1">
      <alignment horizontal="left" vertical="center"/>
    </xf>
    <xf numFmtId="0" fontId="16" fillId="3" borderId="1" xfId="2" applyFont="1" applyFill="1" applyBorder="1" applyAlignment="1">
      <alignment horizontal="left" vertical="center" wrapText="1" indent="1"/>
    </xf>
    <xf numFmtId="0" fontId="16" fillId="3" borderId="1" xfId="2" applyFont="1" applyFill="1" applyBorder="1" applyAlignment="1">
      <alignment horizontal="left" vertical="center" indent="2"/>
    </xf>
    <xf numFmtId="0" fontId="17" fillId="3" borderId="1" xfId="2" applyFont="1" applyFill="1" applyBorder="1" applyAlignment="1">
      <alignment horizontal="left" vertical="center"/>
    </xf>
    <xf numFmtId="0" fontId="19" fillId="3" borderId="1" xfId="0" quotePrefix="1" applyFont="1" applyFill="1" applyBorder="1" applyAlignment="1">
      <alignment horizontal="right" readingOrder="2"/>
    </xf>
    <xf numFmtId="0" fontId="2" fillId="3" borderId="1" xfId="0" applyFont="1" applyFill="1" applyBorder="1" applyAlignment="1">
      <alignment horizontal="right" readingOrder="2"/>
    </xf>
    <xf numFmtId="0" fontId="20" fillId="3" borderId="1" xfId="0" quotePrefix="1" applyFont="1" applyFill="1" applyBorder="1" applyAlignment="1">
      <alignment horizontal="right" readingOrder="2"/>
    </xf>
    <xf numFmtId="0" fontId="20" fillId="3" borderId="1" xfId="0" applyFont="1" applyFill="1" applyBorder="1" applyAlignment="1">
      <alignment horizontal="right" readingOrder="2"/>
    </xf>
    <xf numFmtId="0" fontId="2" fillId="3" borderId="1" xfId="0" quotePrefix="1" applyFont="1" applyFill="1" applyBorder="1" applyAlignment="1">
      <alignment horizontal="right" readingOrder="2"/>
    </xf>
    <xf numFmtId="0" fontId="21" fillId="3" borderId="1" xfId="0" applyFont="1" applyFill="1" applyBorder="1" applyAlignment="1">
      <alignment horizontal="right" readingOrder="2"/>
    </xf>
    <xf numFmtId="0" fontId="22" fillId="3" borderId="1" xfId="0" applyFont="1" applyFill="1" applyBorder="1" applyAlignment="1">
      <alignment horizontal="right" readingOrder="2"/>
    </xf>
    <xf numFmtId="0" fontId="23" fillId="3" borderId="1" xfId="2" applyFont="1" applyFill="1" applyBorder="1" applyAlignment="1">
      <alignment horizontal="left" vertical="center"/>
    </xf>
    <xf numFmtId="0" fontId="24" fillId="3" borderId="1" xfId="2" applyFont="1" applyFill="1" applyBorder="1" applyAlignment="1">
      <alignment horizontal="left" vertical="center" indent="3"/>
    </xf>
    <xf numFmtId="0" fontId="25" fillId="3" borderId="3" xfId="2" applyFont="1" applyFill="1" applyBorder="1" applyAlignment="1">
      <alignment horizontal="left" vertical="center" indent="1"/>
    </xf>
    <xf numFmtId="0" fontId="25" fillId="3" borderId="0" xfId="2" applyFont="1" applyFill="1" applyBorder="1" applyAlignment="1">
      <alignment horizontal="left" vertical="center" indent="1"/>
    </xf>
    <xf numFmtId="0" fontId="0" fillId="0" borderId="0" xfId="0" applyBorder="1"/>
    <xf numFmtId="0" fontId="0" fillId="0" borderId="0" xfId="0" applyFill="1" applyBorder="1"/>
    <xf numFmtId="0" fontId="27" fillId="0" borderId="0" xfId="2" quotePrefix="1" applyFont="1" applyBorder="1" applyAlignment="1">
      <alignment horizontal="center" vertical="center"/>
    </xf>
    <xf numFmtId="0" fontId="0" fillId="0" borderId="0" xfId="0" applyBorder="1" applyAlignment="1"/>
    <xf numFmtId="168" fontId="0" fillId="0" borderId="0" xfId="0" applyNumberFormat="1" applyBorder="1"/>
    <xf numFmtId="168" fontId="6" fillId="0" borderId="0" xfId="0" applyNumberFormat="1" applyFont="1" applyBorder="1"/>
    <xf numFmtId="0" fontId="6" fillId="0" borderId="0" xfId="0" applyFont="1" applyBorder="1"/>
    <xf numFmtId="168" fontId="13" fillId="0" borderId="0" xfId="0" applyNumberFormat="1" applyFont="1" applyBorder="1"/>
    <xf numFmtId="0" fontId="13" fillId="0" borderId="0" xfId="0" applyFont="1" applyBorder="1"/>
    <xf numFmtId="0" fontId="9" fillId="0" borderId="0" xfId="0" applyFont="1" applyBorder="1"/>
    <xf numFmtId="168" fontId="9" fillId="0" borderId="0" xfId="0" applyNumberFormat="1" applyFont="1" applyBorder="1"/>
    <xf numFmtId="168" fontId="0" fillId="0" borderId="0" xfId="0" applyNumberFormat="1" applyBorder="1" applyAlignment="1">
      <alignment horizontal="center"/>
    </xf>
    <xf numFmtId="0" fontId="8" fillId="0" borderId="0" xfId="0" applyFont="1" applyBorder="1"/>
    <xf numFmtId="0" fontId="27" fillId="0" borderId="4" xfId="2" quotePrefix="1" applyFont="1" applyBorder="1" applyAlignment="1">
      <alignment horizontal="center" vertical="center"/>
    </xf>
    <xf numFmtId="0" fontId="5" fillId="0" borderId="0" xfId="0" applyFont="1" applyFill="1" applyBorder="1" applyAlignment="1">
      <alignment horizontal="center" vertical="center" readingOrder="1"/>
    </xf>
    <xf numFmtId="0" fontId="1" fillId="3" borderId="0" xfId="0" applyFont="1" applyFill="1" applyAlignment="1">
      <alignment readingOrder="1"/>
    </xf>
    <xf numFmtId="0" fontId="1" fillId="3" borderId="0" xfId="0" applyFont="1" applyFill="1" applyAlignment="1">
      <alignment wrapText="1" readingOrder="1"/>
    </xf>
    <xf numFmtId="0" fontId="0" fillId="4" borderId="0" xfId="0" applyFill="1" applyBorder="1"/>
    <xf numFmtId="0" fontId="0" fillId="4" borderId="0" xfId="0" applyFill="1"/>
    <xf numFmtId="3" fontId="19" fillId="0" borderId="1" xfId="0" applyNumberFormat="1" applyFont="1" applyFill="1" applyBorder="1" applyAlignment="1">
      <alignment horizontal="center" readingOrder="1"/>
    </xf>
    <xf numFmtId="3" fontId="18" fillId="0" borderId="1" xfId="0" applyNumberFormat="1" applyFont="1" applyFill="1" applyBorder="1" applyAlignment="1">
      <alignment horizontal="center" readingOrder="1"/>
    </xf>
    <xf numFmtId="3" fontId="3" fillId="0" borderId="1" xfId="0" applyNumberFormat="1" applyFont="1" applyFill="1" applyBorder="1" applyAlignment="1">
      <alignment horizontal="center" readingOrder="1"/>
    </xf>
    <xf numFmtId="3" fontId="3" fillId="0" borderId="2" xfId="0" applyNumberFormat="1" applyFont="1" applyFill="1" applyBorder="1" applyAlignment="1">
      <alignment horizontal="center" readingOrder="1"/>
    </xf>
    <xf numFmtId="0" fontId="4" fillId="2" borderId="6" xfId="0" applyFont="1" applyFill="1" applyBorder="1" applyAlignment="1">
      <alignment horizontal="center" vertical="center" wrapText="1" readingOrder="1"/>
    </xf>
    <xf numFmtId="169" fontId="4" fillId="2" borderId="6" xfId="0" applyNumberFormat="1" applyFont="1" applyFill="1" applyBorder="1" applyAlignment="1">
      <alignment horizontal="center" vertical="center" wrapText="1" readingOrder="1"/>
    </xf>
    <xf numFmtId="0" fontId="4" fillId="2" borderId="5" xfId="0" applyFont="1" applyFill="1" applyBorder="1" applyAlignment="1">
      <alignment horizontal="center" vertical="center" wrapText="1" readingOrder="1"/>
    </xf>
    <xf numFmtId="0" fontId="25" fillId="4" borderId="0" xfId="2" applyFont="1" applyFill="1" applyBorder="1" applyAlignment="1">
      <alignment horizontal="left" vertical="center" indent="1"/>
    </xf>
    <xf numFmtId="3" fontId="2" fillId="0" borderId="1" xfId="0" applyNumberFormat="1" applyFont="1" applyFill="1" applyBorder="1" applyAlignment="1">
      <alignment horizontal="center" readingOrder="1"/>
    </xf>
    <xf numFmtId="0" fontId="30" fillId="0" borderId="0" xfId="0" applyFont="1" applyBorder="1"/>
    <xf numFmtId="168" fontId="30" fillId="0" borderId="0" xfId="0" applyNumberFormat="1" applyFont="1" applyBorder="1"/>
    <xf numFmtId="168" fontId="30" fillId="0" borderId="0" xfId="0" applyNumberFormat="1" applyFont="1"/>
    <xf numFmtId="0" fontId="30" fillId="0" borderId="0" xfId="0" applyFont="1"/>
    <xf numFmtId="0" fontId="31" fillId="0" borderId="0" xfId="0" applyFont="1" applyBorder="1"/>
    <xf numFmtId="168" fontId="31" fillId="0" borderId="0" xfId="0" applyNumberFormat="1" applyFont="1" applyBorder="1"/>
    <xf numFmtId="168" fontId="31" fillId="0" borderId="0" xfId="0" applyNumberFormat="1" applyFont="1"/>
    <xf numFmtId="0" fontId="31" fillId="0" borderId="0" xfId="0" applyFont="1"/>
    <xf numFmtId="3" fontId="29" fillId="0" borderId="1" xfId="0" applyNumberFormat="1" applyFont="1" applyFill="1" applyBorder="1" applyAlignment="1">
      <alignment horizontal="center" readingOrder="1"/>
    </xf>
    <xf numFmtId="0" fontId="5" fillId="0" borderId="0" xfId="0" applyFont="1" applyFill="1" applyBorder="1" applyAlignment="1">
      <alignment horizontal="center" vertical="center" readingOrder="1"/>
    </xf>
    <xf numFmtId="0" fontId="2" fillId="2" borderId="6" xfId="0" applyFont="1" applyFill="1" applyBorder="1" applyAlignment="1">
      <alignment horizontal="center" vertical="center" wrapText="1" readingOrder="1"/>
    </xf>
    <xf numFmtId="169" fontId="2" fillId="2" borderId="6" xfId="0" applyNumberFormat="1" applyFont="1" applyFill="1" applyBorder="1" applyAlignment="1">
      <alignment horizontal="center" vertical="center" wrapText="1" readingOrder="1"/>
    </xf>
    <xf numFmtId="3" fontId="14" fillId="0" borderId="1" xfId="0" applyNumberFormat="1" applyFont="1" applyFill="1" applyBorder="1" applyAlignment="1">
      <alignment horizontal="center" readingOrder="1"/>
    </xf>
    <xf numFmtId="0" fontId="15" fillId="0" borderId="0" xfId="0" applyFont="1" applyBorder="1"/>
    <xf numFmtId="168" fontId="15" fillId="0" borderId="0" xfId="0" applyNumberFormat="1" applyFont="1" applyBorder="1"/>
    <xf numFmtId="168" fontId="15" fillId="0" borderId="0" xfId="0" applyNumberFormat="1" applyFont="1"/>
    <xf numFmtId="0" fontId="15" fillId="0" borderId="0" xfId="0" applyFont="1"/>
    <xf numFmtId="0" fontId="32" fillId="0" borderId="0" xfId="0" applyFont="1" applyBorder="1"/>
    <xf numFmtId="0" fontId="32" fillId="0" borderId="0" xfId="0" applyFont="1"/>
    <xf numFmtId="0" fontId="5" fillId="0" borderId="0" xfId="0" applyFont="1" applyFill="1" applyBorder="1" applyAlignment="1">
      <alignment horizontal="center" vertical="center" readingOrder="1"/>
    </xf>
    <xf numFmtId="0" fontId="3" fillId="3" borderId="1" xfId="0" applyFont="1" applyFill="1" applyBorder="1" applyAlignment="1">
      <alignment horizontal="right" readingOrder="2"/>
    </xf>
    <xf numFmtId="0" fontId="33" fillId="3" borderId="1" xfId="0" quotePrefix="1" applyFont="1" applyFill="1" applyBorder="1" applyAlignment="1">
      <alignment horizontal="right" readingOrder="2"/>
    </xf>
    <xf numFmtId="0" fontId="34" fillId="3" borderId="1" xfId="2" applyFont="1" applyFill="1" applyBorder="1" applyAlignment="1">
      <alignment vertical="center"/>
    </xf>
    <xf numFmtId="3" fontId="3" fillId="0" borderId="9" xfId="0" applyNumberFormat="1" applyFont="1" applyFill="1" applyBorder="1" applyAlignment="1">
      <alignment horizontal="center" readingOrder="1"/>
    </xf>
    <xf numFmtId="0" fontId="16" fillId="3" borderId="0" xfId="2" applyFont="1" applyFill="1" applyBorder="1" applyAlignment="1">
      <alignment horizontal="left" vertical="center" indent="1"/>
    </xf>
    <xf numFmtId="0" fontId="16" fillId="3" borderId="10" xfId="2" applyFont="1" applyFill="1" applyBorder="1" applyAlignment="1">
      <alignment horizontal="left" vertical="center" indent="1"/>
    </xf>
    <xf numFmtId="0" fontId="5" fillId="0" borderId="0" xfId="0" applyFont="1" applyFill="1" applyBorder="1" applyAlignment="1">
      <alignment horizontal="center" vertical="center" readingOrder="1"/>
    </xf>
    <xf numFmtId="3" fontId="19" fillId="0" borderId="11" xfId="0" applyNumberFormat="1" applyFont="1" applyFill="1" applyBorder="1" applyAlignment="1">
      <alignment horizontal="center" readingOrder="1"/>
    </xf>
    <xf numFmtId="0" fontId="16" fillId="3" borderId="9" xfId="2" applyFont="1" applyFill="1" applyBorder="1" applyAlignment="1">
      <alignment horizontal="left" vertical="center" indent="1"/>
    </xf>
    <xf numFmtId="0" fontId="35" fillId="0" borderId="1" xfId="0" applyFont="1" applyBorder="1" applyAlignment="1">
      <alignment horizontal="center"/>
    </xf>
    <xf numFmtId="3" fontId="36" fillId="0" borderId="1" xfId="0" applyNumberFormat="1" applyFont="1" applyFill="1" applyBorder="1" applyAlignment="1">
      <alignment horizontal="center" readingOrder="1"/>
    </xf>
    <xf numFmtId="0" fontId="5" fillId="0" borderId="0" xfId="0" applyFont="1" applyFill="1" applyBorder="1" applyAlignment="1">
      <alignment horizontal="center" vertical="center" readingOrder="1"/>
    </xf>
    <xf numFmtId="1" fontId="39" fillId="0" borderId="0" xfId="0" applyNumberFormat="1" applyFont="1" applyBorder="1"/>
    <xf numFmtId="3" fontId="13" fillId="0" borderId="0" xfId="0" applyNumberFormat="1" applyFont="1" applyBorder="1"/>
    <xf numFmtId="0" fontId="10" fillId="0" borderId="0" xfId="0" applyFont="1" applyFill="1" applyAlignment="1">
      <alignment horizontal="center" vertical="center" readingOrder="1"/>
    </xf>
    <xf numFmtId="3" fontId="3" fillId="0" borderId="3" xfId="0" applyNumberFormat="1" applyFont="1" applyFill="1" applyBorder="1" applyAlignment="1">
      <alignment horizontal="center" readingOrder="1"/>
    </xf>
    <xf numFmtId="3" fontId="3" fillId="0" borderId="0" xfId="0" applyNumberFormat="1" applyFont="1" applyFill="1" applyBorder="1" applyAlignment="1">
      <alignment horizontal="center" readingOrder="1"/>
    </xf>
    <xf numFmtId="0" fontId="20" fillId="3" borderId="1" xfId="0" quotePrefix="1" applyFont="1" applyFill="1" applyBorder="1" applyAlignment="1">
      <alignment horizontal="right" vertical="center" readingOrder="2"/>
    </xf>
    <xf numFmtId="0" fontId="25" fillId="0" borderId="0" xfId="2" applyFont="1" applyFill="1" applyBorder="1" applyAlignment="1">
      <alignment horizontal="left" vertical="center" indent="1"/>
    </xf>
    <xf numFmtId="0" fontId="19" fillId="3" borderId="1" xfId="0" applyFont="1" applyFill="1" applyBorder="1" applyAlignment="1">
      <alignment horizontal="right" readingOrder="2"/>
    </xf>
    <xf numFmtId="0" fontId="25" fillId="3" borderId="0" xfId="2" applyFont="1" applyFill="1" applyBorder="1" applyAlignment="1">
      <alignment horizontal="left" vertical="center" indent="1"/>
    </xf>
    <xf numFmtId="0" fontId="1" fillId="3" borderId="0" xfId="0" applyFont="1" applyFill="1" applyAlignment="1">
      <alignment readingOrder="1"/>
    </xf>
    <xf numFmtId="0" fontId="10" fillId="0" borderId="0" xfId="0" applyFont="1" applyFill="1" applyAlignment="1">
      <alignment horizontal="center" vertical="center" readingOrder="1"/>
    </xf>
    <xf numFmtId="0" fontId="5" fillId="0" borderId="0" xfId="0" applyFont="1" applyFill="1" applyBorder="1" applyAlignment="1">
      <alignment horizontal="center" vertical="center" readingOrder="1"/>
    </xf>
    <xf numFmtId="0" fontId="5" fillId="0" borderId="0" xfId="0" applyFont="1" applyFill="1" applyBorder="1" applyAlignment="1">
      <alignment horizontal="center" vertical="center" readingOrder="1"/>
    </xf>
    <xf numFmtId="0" fontId="20" fillId="3" borderId="1" xfId="0" applyFont="1" applyFill="1" applyBorder="1" applyAlignment="1">
      <alignment horizontal="right" indent="3" readingOrder="2"/>
    </xf>
    <xf numFmtId="0" fontId="14" fillId="3" borderId="1" xfId="0" quotePrefix="1" applyFont="1" applyFill="1" applyBorder="1" applyAlignment="1">
      <alignment horizontal="right" indent="3" readingOrder="2"/>
    </xf>
    <xf numFmtId="0" fontId="44" fillId="3" borderId="1" xfId="0" applyFont="1" applyFill="1" applyBorder="1" applyAlignment="1">
      <alignment horizontal="right" readingOrder="2"/>
    </xf>
    <xf numFmtId="0" fontId="14" fillId="3" borderId="1" xfId="0" applyFont="1" applyFill="1" applyBorder="1" applyAlignment="1">
      <alignment horizontal="right" readingOrder="2"/>
    </xf>
    <xf numFmtId="0" fontId="45" fillId="3" borderId="1" xfId="0" quotePrefix="1" applyFont="1" applyFill="1" applyBorder="1" applyAlignment="1">
      <alignment horizontal="right" readingOrder="2"/>
    </xf>
    <xf numFmtId="0" fontId="20" fillId="3" borderId="1" xfId="0" quotePrefix="1" applyFont="1" applyFill="1" applyBorder="1" applyAlignment="1">
      <alignment horizontal="right" indent="3" readingOrder="2"/>
    </xf>
    <xf numFmtId="0" fontId="27" fillId="0" borderId="0" xfId="2" quotePrefix="1" applyFont="1" applyBorder="1" applyAlignment="1">
      <alignment horizontal="right"/>
    </xf>
    <xf numFmtId="0" fontId="12" fillId="3" borderId="1" xfId="0" applyFont="1" applyFill="1" applyBorder="1" applyAlignment="1">
      <alignment horizontal="right" readingOrder="2"/>
    </xf>
    <xf numFmtId="3" fontId="35" fillId="0" borderId="1" xfId="0" applyNumberFormat="1" applyFont="1" applyBorder="1" applyAlignment="1">
      <alignment horizontal="center" vertical="center"/>
    </xf>
    <xf numFmtId="0" fontId="12" fillId="3" borderId="1" xfId="0" quotePrefix="1" applyFont="1" applyFill="1" applyBorder="1" applyAlignment="1">
      <alignment horizontal="right" indent="3" readingOrder="2"/>
    </xf>
    <xf numFmtId="0" fontId="14" fillId="3" borderId="1" xfId="0" quotePrefix="1" applyFont="1" applyFill="1" applyBorder="1" applyAlignment="1">
      <alignment horizontal="right" indent="1" readingOrder="2"/>
    </xf>
    <xf numFmtId="0" fontId="3" fillId="3" borderId="1" xfId="0" applyFont="1" applyFill="1" applyBorder="1" applyAlignment="1">
      <alignment horizontal="right" indent="1" readingOrder="2"/>
    </xf>
    <xf numFmtId="0" fontId="14" fillId="3" borderId="9" xfId="0" quotePrefix="1" applyFont="1" applyFill="1" applyBorder="1" applyAlignment="1">
      <alignment horizontal="right" indent="1" readingOrder="2"/>
    </xf>
    <xf numFmtId="0" fontId="14" fillId="3" borderId="12" xfId="0" quotePrefix="1" applyFont="1" applyFill="1" applyBorder="1" applyAlignment="1">
      <alignment horizontal="right" indent="1" readingOrder="2"/>
    </xf>
    <xf numFmtId="0" fontId="17" fillId="3" borderId="1" xfId="2" applyFont="1" applyFill="1" applyBorder="1" applyAlignment="1">
      <alignment horizontal="left" vertical="center" wrapText="1"/>
    </xf>
    <xf numFmtId="0" fontId="5" fillId="0" borderId="0" xfId="0" applyFont="1" applyFill="1" applyBorder="1" applyAlignment="1">
      <alignment horizontal="center" vertical="center" readingOrder="1"/>
    </xf>
    <xf numFmtId="3" fontId="0" fillId="0" borderId="0" xfId="0" applyNumberFormat="1" applyBorder="1"/>
    <xf numFmtId="0" fontId="47" fillId="0" borderId="0" xfId="2" applyFont="1" applyBorder="1" applyAlignment="1">
      <alignment horizontal="center" vertical="center" readingOrder="1"/>
    </xf>
    <xf numFmtId="0" fontId="47" fillId="0" borderId="0" xfId="2" applyFont="1" applyBorder="1" applyAlignment="1">
      <alignment horizontal="center" vertical="center"/>
    </xf>
    <xf numFmtId="3" fontId="3" fillId="4" borderId="1" xfId="0" applyNumberFormat="1" applyFont="1" applyFill="1" applyBorder="1" applyAlignment="1">
      <alignment horizontal="center" readingOrder="1"/>
    </xf>
    <xf numFmtId="168" fontId="48" fillId="0" borderId="0" xfId="0" applyNumberFormat="1" applyFont="1" applyBorder="1"/>
    <xf numFmtId="0" fontId="48" fillId="0" borderId="0" xfId="0" applyFont="1" applyBorder="1"/>
    <xf numFmtId="0" fontId="49" fillId="0" borderId="0" xfId="0" applyFont="1" applyBorder="1"/>
    <xf numFmtId="168" fontId="49" fillId="0" borderId="0" xfId="0" applyNumberFormat="1" applyFont="1" applyBorder="1"/>
    <xf numFmtId="168" fontId="49" fillId="0" borderId="0" xfId="0" applyNumberFormat="1" applyFont="1" applyBorder="1" applyAlignment="1">
      <alignment horizontal="center"/>
    </xf>
    <xf numFmtId="3" fontId="19" fillId="0" borderId="0" xfId="0" applyNumberFormat="1" applyFont="1" applyFill="1" applyBorder="1" applyAlignment="1">
      <alignment horizontal="center" readingOrder="1"/>
    </xf>
    <xf numFmtId="168" fontId="50" fillId="0" borderId="0" xfId="0" applyNumberFormat="1" applyFont="1" applyBorder="1"/>
    <xf numFmtId="0" fontId="50" fillId="0" borderId="0" xfId="0" applyFont="1" applyBorder="1"/>
    <xf numFmtId="0" fontId="15" fillId="0" borderId="0" xfId="11"/>
    <xf numFmtId="0" fontId="1" fillId="0" borderId="0" xfId="11" applyFont="1" applyFill="1" applyAlignment="1">
      <alignment readingOrder="1"/>
    </xf>
    <xf numFmtId="0" fontId="15" fillId="0" borderId="0" xfId="11" applyBorder="1"/>
    <xf numFmtId="0" fontId="15" fillId="0" borderId="0" xfId="11" applyFill="1" applyBorder="1"/>
    <xf numFmtId="0" fontId="15" fillId="0" borderId="0" xfId="11" applyFill="1"/>
    <xf numFmtId="0" fontId="5" fillId="0" borderId="0" xfId="11" applyFont="1" applyFill="1" applyBorder="1" applyAlignment="1">
      <alignment horizontal="center" vertical="center" readingOrder="1"/>
    </xf>
    <xf numFmtId="0" fontId="4" fillId="2" borderId="5" xfId="11" applyFont="1" applyFill="1" applyBorder="1" applyAlignment="1">
      <alignment horizontal="center" vertical="center" wrapText="1" readingOrder="1"/>
    </xf>
    <xf numFmtId="0" fontId="2" fillId="2" borderId="6" xfId="11" applyFont="1" applyFill="1" applyBorder="1" applyAlignment="1">
      <alignment horizontal="center" vertical="center" wrapText="1" readingOrder="1"/>
    </xf>
    <xf numFmtId="168" fontId="15" fillId="0" borderId="0" xfId="11" applyNumberFormat="1" applyBorder="1"/>
    <xf numFmtId="168" fontId="15" fillId="0" borderId="0" xfId="11" applyNumberFormat="1"/>
    <xf numFmtId="0" fontId="6" fillId="0" borderId="0" xfId="11" applyFont="1" applyBorder="1"/>
    <xf numFmtId="168" fontId="6" fillId="0" borderId="0" xfId="11" applyNumberFormat="1" applyFont="1" applyBorder="1"/>
    <xf numFmtId="168" fontId="6" fillId="0" borderId="0" xfId="11" applyNumberFormat="1" applyFont="1"/>
    <xf numFmtId="0" fontId="6" fillId="0" borderId="0" xfId="11" applyFont="1"/>
    <xf numFmtId="0" fontId="13" fillId="0" borderId="0" xfId="11" applyFont="1" applyBorder="1"/>
    <xf numFmtId="1" fontId="39" fillId="0" borderId="0" xfId="11" applyNumberFormat="1" applyFont="1" applyBorder="1"/>
    <xf numFmtId="168" fontId="13" fillId="0" borderId="0" xfId="11" applyNumberFormat="1" applyFont="1" applyBorder="1"/>
    <xf numFmtId="168" fontId="13" fillId="0" borderId="0" xfId="11" applyNumberFormat="1" applyFont="1"/>
    <xf numFmtId="0" fontId="13" fillId="0" borderId="0" xfId="11" applyFont="1"/>
    <xf numFmtId="0" fontId="9" fillId="0" borderId="0" xfId="11" applyFont="1" applyBorder="1"/>
    <xf numFmtId="0" fontId="9" fillId="0" borderId="0" xfId="11" applyFont="1"/>
    <xf numFmtId="0" fontId="8" fillId="0" borderId="0" xfId="11" applyFont="1" applyBorder="1"/>
    <xf numFmtId="0" fontId="8" fillId="0" borderId="0" xfId="11" applyFont="1"/>
    <xf numFmtId="0" fontId="15" fillId="4" borderId="0" xfId="11" applyFill="1" applyBorder="1"/>
    <xf numFmtId="0" fontId="15" fillId="4" borderId="0" xfId="11" applyFill="1"/>
    <xf numFmtId="0" fontId="1" fillId="3" borderId="0" xfId="11" applyFont="1" applyFill="1" applyAlignment="1">
      <alignment readingOrder="1"/>
    </xf>
    <xf numFmtId="3" fontId="35" fillId="0" borderId="1" xfId="0" applyNumberFormat="1" applyFont="1" applyFill="1" applyBorder="1" applyAlignment="1">
      <alignment horizontal="center" vertical="center"/>
    </xf>
    <xf numFmtId="3" fontId="8" fillId="0" borderId="1" xfId="2" applyNumberFormat="1" applyFont="1" applyFill="1" applyBorder="1" applyAlignment="1">
      <alignment horizontal="center" vertical="center" readingOrder="1"/>
    </xf>
    <xf numFmtId="3" fontId="19" fillId="0" borderId="11" xfId="11" applyNumberFormat="1" applyFont="1" applyFill="1" applyBorder="1" applyAlignment="1">
      <alignment horizontal="center" readingOrder="1"/>
    </xf>
    <xf numFmtId="3" fontId="19" fillId="0" borderId="1" xfId="11" applyNumberFormat="1" applyFont="1" applyFill="1" applyBorder="1" applyAlignment="1">
      <alignment horizontal="center" readingOrder="1"/>
    </xf>
    <xf numFmtId="3" fontId="18" fillId="0" borderId="1" xfId="11" applyNumberFormat="1" applyFont="1" applyFill="1" applyBorder="1" applyAlignment="1">
      <alignment horizontal="center" readingOrder="1"/>
    </xf>
    <xf numFmtId="3" fontId="3" fillId="0" borderId="1" xfId="11" applyNumberFormat="1" applyFont="1" applyFill="1" applyBorder="1" applyAlignment="1">
      <alignment horizontal="center" readingOrder="1"/>
    </xf>
    <xf numFmtId="3" fontId="35" fillId="0" borderId="1" xfId="11" applyNumberFormat="1" applyFont="1" applyFill="1" applyBorder="1" applyAlignment="1">
      <alignment horizontal="center" vertical="center"/>
    </xf>
    <xf numFmtId="3" fontId="14" fillId="0" borderId="1" xfId="11" applyNumberFormat="1" applyFont="1" applyFill="1" applyBorder="1" applyAlignment="1">
      <alignment horizontal="center" readingOrder="1"/>
    </xf>
    <xf numFmtId="3" fontId="3" fillId="0" borderId="2" xfId="11" applyNumberFormat="1" applyFont="1" applyFill="1" applyBorder="1" applyAlignment="1">
      <alignment horizontal="center" readingOrder="1"/>
    </xf>
    <xf numFmtId="0" fontId="7" fillId="0" borderId="0" xfId="0" applyFont="1" applyFill="1" applyBorder="1" applyAlignment="1">
      <alignment horizontal="center" vertical="center" readingOrder="1"/>
    </xf>
    <xf numFmtId="0" fontId="10" fillId="0" borderId="0" xfId="0" applyFont="1" applyFill="1" applyAlignment="1">
      <alignment horizontal="center" vertical="center" readingOrder="1"/>
    </xf>
    <xf numFmtId="0" fontId="5" fillId="0" borderId="0" xfId="0" applyFont="1" applyFill="1" applyBorder="1" applyAlignment="1">
      <alignment horizontal="center" vertical="center" readingOrder="1"/>
    </xf>
    <xf numFmtId="0" fontId="28" fillId="5" borderId="13" xfId="0" applyFont="1" applyFill="1" applyBorder="1" applyAlignment="1">
      <alignment horizontal="center" vertical="center"/>
    </xf>
    <xf numFmtId="0" fontId="28" fillId="5" borderId="14" xfId="0" applyFont="1" applyFill="1" applyBorder="1" applyAlignment="1">
      <alignment horizontal="center" vertical="center"/>
    </xf>
    <xf numFmtId="0" fontId="28" fillId="5" borderId="7" xfId="0" applyFont="1" applyFill="1" applyBorder="1" applyAlignment="1">
      <alignment horizontal="center" vertical="center"/>
    </xf>
    <xf numFmtId="0" fontId="28" fillId="5" borderId="8" xfId="0" applyFont="1" applyFill="1" applyBorder="1" applyAlignment="1">
      <alignment horizontal="center" vertical="center"/>
    </xf>
    <xf numFmtId="0" fontId="7" fillId="0" borderId="0" xfId="11" applyFont="1" applyFill="1" applyBorder="1" applyAlignment="1">
      <alignment horizontal="center" vertical="center" readingOrder="1"/>
    </xf>
    <xf numFmtId="0" fontId="10" fillId="0" borderId="0" xfId="11" applyFont="1" applyFill="1" applyAlignment="1">
      <alignment horizontal="center" vertical="center" readingOrder="1"/>
    </xf>
    <xf numFmtId="0" fontId="5" fillId="0" borderId="0" xfId="11" applyFont="1" applyFill="1" applyBorder="1" applyAlignment="1">
      <alignment horizontal="center" vertical="center" readingOrder="1"/>
    </xf>
    <xf numFmtId="0" fontId="28" fillId="5" borderId="13" xfId="11" applyFont="1" applyFill="1" applyBorder="1" applyAlignment="1">
      <alignment horizontal="center" vertical="center"/>
    </xf>
    <xf numFmtId="0" fontId="28" fillId="5" borderId="14" xfId="11" applyFont="1" applyFill="1" applyBorder="1" applyAlignment="1">
      <alignment horizontal="center" vertical="center"/>
    </xf>
    <xf numFmtId="0" fontId="28" fillId="5" borderId="7" xfId="11" applyFont="1" applyFill="1" applyBorder="1" applyAlignment="1">
      <alignment horizontal="center" vertical="center"/>
    </xf>
    <xf numFmtId="0" fontId="28" fillId="5" borderId="8" xfId="11" applyFont="1" applyFill="1" applyBorder="1" applyAlignment="1">
      <alignment horizontal="center" vertical="center"/>
    </xf>
  </cellXfs>
  <cellStyles count="12">
    <cellStyle name="MS_Arabic" xfId="1" xr:uid="{00000000-0005-0000-0000-000000000000}"/>
    <cellStyle name="Normal" xfId="0" builtinId="0"/>
    <cellStyle name="Normal 2" xfId="3" xr:uid="{00000000-0005-0000-0000-000002000000}"/>
    <cellStyle name="Normal 2 2" xfId="11" xr:uid="{00000000-0005-0000-0000-000003000000}"/>
    <cellStyle name="Normal 3" xfId="9" xr:uid="{00000000-0005-0000-0000-000004000000}"/>
    <cellStyle name="Normal 4" xfId="10" xr:uid="{00000000-0005-0000-0000-000005000000}"/>
    <cellStyle name="Normal_wafaa file_12_22-24_26-34" xfId="2" xr:uid="{00000000-0005-0000-0000-000006000000}"/>
    <cellStyle name="عادي_artim" xfId="4" xr:uid="{00000000-0005-0000-0000-000007000000}"/>
    <cellStyle name="عملة [0]_رسم" xfId="5" xr:uid="{00000000-0005-0000-0000-000008000000}"/>
    <cellStyle name="عملة_رسم" xfId="6" xr:uid="{00000000-0005-0000-0000-000009000000}"/>
    <cellStyle name="فاصلة [0]_رسم" xfId="7" xr:uid="{00000000-0005-0000-0000-00000A000000}"/>
    <cellStyle name="فاصلة_رسم" xfId="8" xr:uid="{00000000-0005-0000-0000-00000B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Time%20Series\Time%20Series%20_new%20web%20site%20(final)\New%20website\debt\for%20upload%20-%20khaled%20&amp;%20wafaa%20(final%2029%20sept%202019)\NIB\NIB-Quar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2005 "/>
      <sheetName val="2005-2006"/>
      <sheetName val="2006-2007 "/>
      <sheetName val="2007-2008 "/>
      <sheetName val="2008-2009"/>
      <sheetName val="2009-2010"/>
      <sheetName val="2010-2011  "/>
      <sheetName val="2011-2012 "/>
      <sheetName val="2012-2013 "/>
      <sheetName val="2013-2014  "/>
      <sheetName val="2014-2015  "/>
      <sheetName val="2015-2016  "/>
      <sheetName val="2016-2017   "/>
      <sheetName val="2017-2018  "/>
      <sheetName val="2018-2019  "/>
    </sheetNames>
    <sheetDataSet>
      <sheetData sheetId="0">
        <row r="8">
          <cell r="F8">
            <v>321393</v>
          </cell>
        </row>
      </sheetData>
      <sheetData sheetId="1">
        <row r="8">
          <cell r="C8">
            <v>321718</v>
          </cell>
          <cell r="F8">
            <v>354962</v>
          </cell>
        </row>
        <row r="17">
          <cell r="F17">
            <v>142622</v>
          </cell>
        </row>
        <row r="18">
          <cell r="F18">
            <v>50196</v>
          </cell>
        </row>
        <row r="20">
          <cell r="F20">
            <v>3757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54"/>
  <sheetViews>
    <sheetView view="pageBreakPreview" topLeftCell="A21" zoomScale="50" zoomScaleNormal="75" zoomScaleSheetLayoutView="50" workbookViewId="0">
      <selection activeCell="A4" sqref="A4:F51"/>
    </sheetView>
  </sheetViews>
  <sheetFormatPr defaultRowHeight="12.5"/>
  <cols>
    <col min="1" max="1" width="74.54296875" customWidth="1"/>
    <col min="2" max="2" width="90.81640625" style="1" customWidth="1"/>
    <col min="3" max="6" width="18.453125" customWidth="1"/>
    <col min="7" max="9" width="14.26953125" style="28" bestFit="1" customWidth="1"/>
    <col min="10" max="10" width="10.7265625" style="28" bestFit="1" customWidth="1"/>
    <col min="11" max="19" width="9.1796875" style="28"/>
    <col min="25" max="25" width="9.26953125" bestFit="1" customWidth="1"/>
  </cols>
  <sheetData>
    <row r="1" spans="1:25" ht="15" hidden="1" customHeight="1"/>
    <row r="2" spans="1:25" ht="23" hidden="1">
      <c r="B2" s="164" t="s">
        <v>5</v>
      </c>
      <c r="C2" s="164"/>
      <c r="D2" s="164"/>
      <c r="E2" s="164"/>
      <c r="F2" s="164"/>
    </row>
    <row r="3" spans="1:25" ht="23" hidden="1">
      <c r="B3" s="165" t="s">
        <v>4</v>
      </c>
      <c r="C3" s="165"/>
      <c r="D3" s="165"/>
      <c r="E3" s="165"/>
      <c r="F3" s="165"/>
    </row>
    <row r="4" spans="1:25" s="5" customFormat="1" ht="45" customHeight="1">
      <c r="A4" s="166" t="s">
        <v>6</v>
      </c>
      <c r="B4" s="166"/>
      <c r="C4" s="166"/>
      <c r="D4" s="166"/>
      <c r="E4" s="166"/>
      <c r="F4" s="166"/>
      <c r="G4" s="29"/>
      <c r="H4" s="29"/>
      <c r="I4" s="29"/>
      <c r="J4" s="29"/>
      <c r="K4" s="29"/>
      <c r="L4" s="29"/>
      <c r="M4" s="29"/>
      <c r="N4" s="29"/>
      <c r="O4" s="29"/>
      <c r="P4" s="29"/>
      <c r="Q4" s="29"/>
      <c r="R4" s="29"/>
      <c r="S4" s="29"/>
    </row>
    <row r="5" spans="1:25" s="5" customFormat="1" ht="45" customHeight="1" thickBot="1">
      <c r="A5" s="42"/>
      <c r="B5" s="42"/>
      <c r="C5" s="42"/>
      <c r="D5" s="42"/>
      <c r="E5" s="42"/>
      <c r="F5" s="41" t="s">
        <v>52</v>
      </c>
      <c r="G5" s="116"/>
      <c r="H5" s="116"/>
      <c r="I5" s="116"/>
      <c r="J5" s="30"/>
      <c r="K5" s="30"/>
      <c r="L5" s="29"/>
      <c r="M5" s="29"/>
      <c r="N5" s="29"/>
      <c r="O5" s="29"/>
      <c r="P5" s="29"/>
      <c r="Q5" s="29"/>
      <c r="R5" s="29"/>
      <c r="S5" s="29"/>
    </row>
    <row r="6" spans="1:25" ht="25.5" customHeight="1" thickTop="1" thickBot="1">
      <c r="A6" s="167" t="s">
        <v>55</v>
      </c>
      <c r="B6" s="168"/>
      <c r="C6" s="53" t="s">
        <v>172</v>
      </c>
      <c r="D6" s="53" t="s">
        <v>173</v>
      </c>
      <c r="E6" s="53" t="s">
        <v>174</v>
      </c>
      <c r="F6" s="53" t="s">
        <v>3</v>
      </c>
      <c r="G6" s="117"/>
      <c r="H6" s="117"/>
      <c r="I6" s="117"/>
    </row>
    <row r="7" spans="1:25" ht="36" customHeight="1" thickTop="1" thickBot="1">
      <c r="A7" s="169"/>
      <c r="B7" s="170"/>
      <c r="C7" s="51" t="s">
        <v>57</v>
      </c>
      <c r="D7" s="51" t="s">
        <v>58</v>
      </c>
      <c r="E7" s="52" t="s">
        <v>83</v>
      </c>
      <c r="F7" s="51" t="s">
        <v>88</v>
      </c>
    </row>
    <row r="8" spans="1:25" ht="20.149999999999999" customHeight="1" thickTop="1">
      <c r="A8" s="103" t="s">
        <v>152</v>
      </c>
      <c r="B8" s="24" t="s">
        <v>7</v>
      </c>
      <c r="C8" s="47">
        <v>443892</v>
      </c>
      <c r="D8" s="47">
        <v>455311</v>
      </c>
      <c r="E8" s="47">
        <v>471252</v>
      </c>
      <c r="F8" s="47">
        <v>504681</v>
      </c>
      <c r="G8" s="32"/>
      <c r="H8" s="32"/>
      <c r="I8" s="32"/>
      <c r="J8" s="32"/>
      <c r="K8" s="117"/>
      <c r="P8" s="32"/>
      <c r="Q8" s="32"/>
      <c r="R8" s="32"/>
      <c r="S8" s="32"/>
      <c r="T8" s="4"/>
      <c r="U8" s="4"/>
      <c r="V8" s="4"/>
      <c r="W8" s="4"/>
      <c r="X8" s="4"/>
      <c r="Y8" s="4"/>
    </row>
    <row r="9" spans="1:25" s="8" customFormat="1" ht="20.149999999999999" customHeight="1">
      <c r="A9" s="17" t="s">
        <v>151</v>
      </c>
      <c r="B9" s="16" t="s">
        <v>8</v>
      </c>
      <c r="C9" s="47">
        <f t="shared" ref="C9:F9" si="0">C10+C28+C29+C30+C31+C32</f>
        <v>306190</v>
      </c>
      <c r="D9" s="47">
        <f t="shared" si="0"/>
        <v>314682</v>
      </c>
      <c r="E9" s="47">
        <f t="shared" si="0"/>
        <v>333331</v>
      </c>
      <c r="F9" s="47">
        <f t="shared" si="0"/>
        <v>349169</v>
      </c>
      <c r="G9" s="33"/>
      <c r="H9" s="33"/>
      <c r="I9" s="34"/>
      <c r="J9" s="34"/>
      <c r="K9" s="34"/>
      <c r="L9" s="34"/>
      <c r="M9" s="34"/>
      <c r="N9" s="34"/>
      <c r="O9" s="34"/>
      <c r="P9" s="33"/>
      <c r="Q9" s="33"/>
      <c r="R9" s="33"/>
      <c r="S9" s="33"/>
      <c r="T9" s="9"/>
      <c r="U9" s="9"/>
      <c r="V9" s="9"/>
      <c r="W9" s="9"/>
      <c r="X9" s="9"/>
      <c r="Y9" s="9"/>
    </row>
    <row r="10" spans="1:25" s="7" customFormat="1" ht="20.149999999999999" customHeight="1">
      <c r="A10" s="95" t="s">
        <v>27</v>
      </c>
      <c r="B10" s="16" t="s">
        <v>9</v>
      </c>
      <c r="C10" s="86">
        <f t="shared" ref="C10:F10" si="1">C11+C24</f>
        <v>306516</v>
      </c>
      <c r="D10" s="86">
        <f t="shared" si="1"/>
        <v>327781</v>
      </c>
      <c r="E10" s="86">
        <f t="shared" si="1"/>
        <v>328016</v>
      </c>
      <c r="F10" s="86">
        <f t="shared" si="1"/>
        <v>340898</v>
      </c>
      <c r="G10" s="35"/>
      <c r="H10" s="35"/>
      <c r="I10" s="35"/>
      <c r="J10" s="35"/>
      <c r="K10" s="36"/>
      <c r="L10" s="36"/>
      <c r="M10" s="36"/>
      <c r="N10" s="36"/>
      <c r="O10" s="36"/>
      <c r="P10" s="35"/>
      <c r="Q10" s="35"/>
      <c r="R10" s="35"/>
      <c r="S10" s="35"/>
      <c r="T10" s="6"/>
      <c r="U10" s="6"/>
      <c r="V10" s="6"/>
      <c r="W10" s="6"/>
      <c r="X10" s="6"/>
      <c r="Y10" s="6"/>
    </row>
    <row r="11" spans="1:25" s="7" customFormat="1" ht="20.149999999999999" customHeight="1">
      <c r="A11" s="95" t="s">
        <v>111</v>
      </c>
      <c r="B11" s="16" t="s">
        <v>112</v>
      </c>
      <c r="C11" s="48">
        <f t="shared" ref="C11:F11" si="2">C12+C13+C14+C17+C18+C19+C20+C21+C22+C23</f>
        <v>198361</v>
      </c>
      <c r="D11" s="48">
        <f t="shared" si="2"/>
        <v>207156</v>
      </c>
      <c r="E11" s="48">
        <f t="shared" si="2"/>
        <v>211108</v>
      </c>
      <c r="F11" s="48">
        <f t="shared" si="2"/>
        <v>215991</v>
      </c>
      <c r="G11" s="35"/>
      <c r="H11" s="36"/>
      <c r="I11" s="36"/>
      <c r="J11" s="36"/>
      <c r="K11" s="36"/>
      <c r="L11" s="36"/>
      <c r="M11" s="36"/>
      <c r="N11" s="36"/>
      <c r="O11" s="36"/>
      <c r="P11" s="35"/>
      <c r="Q11" s="35"/>
      <c r="R11" s="35"/>
      <c r="S11" s="35"/>
      <c r="T11" s="6"/>
      <c r="U11" s="6"/>
      <c r="V11" s="6"/>
      <c r="W11" s="6"/>
      <c r="X11" s="6"/>
      <c r="Y11" s="6"/>
    </row>
    <row r="12" spans="1:25" s="7" customFormat="1" ht="20.149999999999999" customHeight="1">
      <c r="A12" s="20" t="s">
        <v>28</v>
      </c>
      <c r="B12" s="11" t="s">
        <v>10</v>
      </c>
      <c r="C12" s="49">
        <f>181788-C13-C15-C17</f>
        <v>159162</v>
      </c>
      <c r="D12" s="49">
        <f>190792-D13-D15-D17</f>
        <v>159162</v>
      </c>
      <c r="E12" s="49">
        <f>195462-E13-E15-E17</f>
        <v>159162</v>
      </c>
      <c r="F12" s="49">
        <f>200284-F13-F15-F17</f>
        <v>164162</v>
      </c>
      <c r="G12" s="36"/>
      <c r="H12" s="35"/>
      <c r="I12" s="36"/>
      <c r="J12" s="36"/>
      <c r="K12" s="36"/>
      <c r="L12" s="36"/>
      <c r="M12" s="36"/>
      <c r="N12" s="36"/>
      <c r="O12" s="36"/>
      <c r="P12" s="35"/>
      <c r="Q12" s="35"/>
      <c r="R12" s="35"/>
      <c r="S12" s="35"/>
      <c r="T12" s="6"/>
      <c r="U12" s="6"/>
      <c r="V12" s="6"/>
      <c r="W12" s="6"/>
      <c r="X12" s="6"/>
      <c r="Y12" s="6"/>
    </row>
    <row r="13" spans="1:25" s="8" customFormat="1" ht="20.149999999999999" customHeight="1">
      <c r="A13" s="19" t="s">
        <v>29</v>
      </c>
      <c r="B13" s="11" t="s">
        <v>11</v>
      </c>
      <c r="C13" s="49">
        <v>4000</v>
      </c>
      <c r="D13" s="49">
        <v>4000</v>
      </c>
      <c r="E13" s="49">
        <v>4000</v>
      </c>
      <c r="F13" s="49">
        <v>4000</v>
      </c>
      <c r="G13" s="34"/>
      <c r="H13" s="33"/>
      <c r="I13" s="34"/>
      <c r="J13" s="34"/>
      <c r="K13" s="34"/>
      <c r="L13" s="34"/>
      <c r="M13" s="34"/>
      <c r="N13" s="34"/>
      <c r="O13" s="34"/>
      <c r="P13" s="33"/>
      <c r="Q13" s="33"/>
      <c r="R13" s="33"/>
      <c r="S13" s="33"/>
      <c r="T13" s="9"/>
      <c r="U13" s="9"/>
      <c r="V13" s="9"/>
      <c r="W13" s="9"/>
      <c r="X13" s="9"/>
      <c r="Y13" s="9"/>
    </row>
    <row r="14" spans="1:25" s="7" customFormat="1" ht="20.149999999999999" customHeight="1">
      <c r="A14" s="20" t="s">
        <v>153</v>
      </c>
      <c r="B14" s="11" t="s">
        <v>84</v>
      </c>
      <c r="C14" s="49">
        <f>C15+C16</f>
        <v>5626</v>
      </c>
      <c r="D14" s="49">
        <f t="shared" ref="D14:F14" si="3">D15+D16</f>
        <v>5630</v>
      </c>
      <c r="E14" s="49">
        <f t="shared" si="3"/>
        <v>5300</v>
      </c>
      <c r="F14" s="49">
        <f t="shared" si="3"/>
        <v>5122</v>
      </c>
      <c r="G14" s="36"/>
      <c r="H14" s="33"/>
      <c r="I14" s="36"/>
      <c r="J14" s="36"/>
      <c r="K14" s="36"/>
      <c r="L14" s="36"/>
      <c r="M14" s="36"/>
      <c r="N14" s="36"/>
      <c r="O14" s="36"/>
      <c r="P14" s="35"/>
      <c r="Q14" s="35"/>
      <c r="R14" s="35"/>
      <c r="S14" s="35"/>
      <c r="T14" s="6"/>
      <c r="U14" s="6"/>
      <c r="V14" s="6"/>
      <c r="W14" s="6"/>
      <c r="X14" s="6"/>
      <c r="Y14" s="6"/>
    </row>
    <row r="15" spans="1:25" s="7" customFormat="1" ht="20.149999999999999" customHeight="1">
      <c r="A15" s="101" t="s">
        <v>31</v>
      </c>
      <c r="B15" s="12" t="s">
        <v>12</v>
      </c>
      <c r="C15" s="49">
        <v>5626</v>
      </c>
      <c r="D15" s="49">
        <v>5630</v>
      </c>
      <c r="E15" s="49">
        <v>5300</v>
      </c>
      <c r="F15" s="49">
        <v>5122</v>
      </c>
      <c r="G15" s="36"/>
      <c r="H15" s="33"/>
      <c r="I15" s="36"/>
      <c r="J15" s="36"/>
      <c r="K15" s="36"/>
      <c r="L15" s="36"/>
      <c r="M15" s="36"/>
      <c r="N15" s="36"/>
      <c r="O15" s="36"/>
      <c r="P15" s="35"/>
      <c r="Q15" s="35"/>
      <c r="R15" s="35"/>
      <c r="S15" s="35"/>
      <c r="T15" s="6"/>
      <c r="U15" s="6"/>
      <c r="V15" s="6"/>
      <c r="W15" s="6"/>
      <c r="X15" s="6"/>
      <c r="Y15" s="6"/>
    </row>
    <row r="16" spans="1:25" ht="20.149999999999999" customHeight="1">
      <c r="A16" s="101" t="s">
        <v>32</v>
      </c>
      <c r="B16" s="12" t="s">
        <v>13</v>
      </c>
      <c r="C16" s="49">
        <v>0</v>
      </c>
      <c r="D16" s="49">
        <v>0</v>
      </c>
      <c r="E16" s="49">
        <v>0</v>
      </c>
      <c r="F16" s="49">
        <v>0</v>
      </c>
      <c r="P16" s="32"/>
      <c r="Q16" s="32"/>
      <c r="R16" s="32"/>
      <c r="S16" s="32"/>
      <c r="T16" s="4"/>
      <c r="U16" s="4"/>
      <c r="V16" s="4"/>
      <c r="W16" s="4"/>
      <c r="X16" s="4"/>
      <c r="Y16" s="4"/>
    </row>
    <row r="17" spans="1:25" ht="20.149999999999999" customHeight="1">
      <c r="A17" s="19" t="s">
        <v>33</v>
      </c>
      <c r="B17" s="13" t="s">
        <v>14</v>
      </c>
      <c r="C17" s="49">
        <v>13000</v>
      </c>
      <c r="D17" s="49">
        <v>22000</v>
      </c>
      <c r="E17" s="49">
        <v>27000</v>
      </c>
      <c r="F17" s="49">
        <v>27000</v>
      </c>
      <c r="P17" s="32"/>
      <c r="Q17" s="32"/>
      <c r="R17" s="32"/>
      <c r="S17" s="32"/>
      <c r="T17" s="4"/>
      <c r="U17" s="4"/>
      <c r="V17" s="4"/>
      <c r="W17" s="4"/>
      <c r="X17" s="4"/>
      <c r="Y17" s="4"/>
    </row>
    <row r="18" spans="1:25" ht="20.149999999999999" customHeight="1">
      <c r="A18" s="19" t="s">
        <v>34</v>
      </c>
      <c r="B18" s="13" t="s">
        <v>15</v>
      </c>
      <c r="C18" s="49">
        <v>2000</v>
      </c>
      <c r="D18" s="49">
        <v>2000</v>
      </c>
      <c r="E18" s="49">
        <v>2000</v>
      </c>
      <c r="F18" s="49">
        <v>2000</v>
      </c>
      <c r="I18" s="32"/>
      <c r="P18" s="32"/>
      <c r="Q18" s="32"/>
      <c r="R18" s="32"/>
      <c r="S18" s="32"/>
      <c r="T18" s="4"/>
      <c r="U18" s="4"/>
      <c r="V18" s="4"/>
      <c r="W18" s="4"/>
      <c r="X18" s="4"/>
      <c r="Y18" s="4"/>
    </row>
    <row r="19" spans="1:25" s="3" customFormat="1" ht="20.149999999999999" customHeight="1">
      <c r="A19" s="19" t="s">
        <v>35</v>
      </c>
      <c r="B19" s="13" t="s">
        <v>16</v>
      </c>
      <c r="C19" s="49">
        <v>129</v>
      </c>
      <c r="D19" s="49">
        <v>124</v>
      </c>
      <c r="E19" s="49">
        <v>124</v>
      </c>
      <c r="F19" s="49">
        <v>124</v>
      </c>
      <c r="G19" s="37"/>
      <c r="H19" s="37"/>
      <c r="I19" s="38"/>
      <c r="J19" s="38"/>
      <c r="K19" s="37"/>
      <c r="L19" s="37"/>
      <c r="M19" s="37"/>
      <c r="N19" s="37"/>
      <c r="O19" s="37"/>
      <c r="P19" s="32"/>
      <c r="Q19" s="32"/>
      <c r="R19" s="32"/>
      <c r="S19" s="32"/>
      <c r="T19" s="4"/>
      <c r="U19" s="4"/>
      <c r="V19" s="4"/>
      <c r="W19" s="4"/>
      <c r="X19" s="4"/>
      <c r="Y19" s="4"/>
    </row>
    <row r="20" spans="1:25" ht="20.149999999999999" customHeight="1">
      <c r="A20" s="19" t="s">
        <v>46</v>
      </c>
      <c r="B20" s="13" t="s">
        <v>17</v>
      </c>
      <c r="C20" s="49">
        <v>13020</v>
      </c>
      <c r="D20" s="49">
        <v>12816</v>
      </c>
      <c r="E20" s="49">
        <v>12092</v>
      </c>
      <c r="F20" s="49">
        <v>12070</v>
      </c>
      <c r="H20" s="39"/>
      <c r="I20" s="32"/>
      <c r="P20" s="32"/>
      <c r="Q20" s="32"/>
      <c r="R20" s="32"/>
      <c r="S20" s="32"/>
      <c r="T20" s="4"/>
      <c r="U20" s="4"/>
      <c r="V20" s="4"/>
      <c r="W20" s="4"/>
      <c r="X20" s="4"/>
      <c r="Y20" s="4"/>
    </row>
    <row r="21" spans="1:25" ht="19.5" customHeight="1">
      <c r="A21" s="19" t="s">
        <v>36</v>
      </c>
      <c r="B21" s="13" t="s">
        <v>18</v>
      </c>
      <c r="C21" s="49">
        <v>1424</v>
      </c>
      <c r="D21" s="49">
        <v>1424</v>
      </c>
      <c r="E21" s="49">
        <v>1430</v>
      </c>
      <c r="F21" s="49">
        <v>1513</v>
      </c>
      <c r="J21" s="32"/>
      <c r="P21" s="32"/>
      <c r="Q21" s="32"/>
      <c r="R21" s="32"/>
      <c r="S21" s="32"/>
      <c r="T21" s="4"/>
      <c r="U21" s="4"/>
      <c r="V21" s="4"/>
      <c r="W21" s="4"/>
      <c r="X21" s="4"/>
      <c r="Y21" s="4"/>
    </row>
    <row r="22" spans="1:25" ht="20.149999999999999" customHeight="1">
      <c r="A22" s="19" t="s">
        <v>142</v>
      </c>
      <c r="B22" s="13" t="s">
        <v>19</v>
      </c>
      <c r="C22" s="49">
        <v>0</v>
      </c>
      <c r="D22" s="49">
        <v>0</v>
      </c>
      <c r="E22" s="49">
        <v>0</v>
      </c>
      <c r="F22" s="49">
        <v>0</v>
      </c>
      <c r="H22" s="32"/>
      <c r="P22" s="32"/>
      <c r="Q22" s="32"/>
      <c r="R22" s="32"/>
      <c r="S22" s="32"/>
      <c r="T22" s="4"/>
      <c r="U22" s="4"/>
      <c r="V22" s="4"/>
      <c r="W22" s="4"/>
      <c r="X22" s="4"/>
      <c r="Y22" s="4"/>
    </row>
    <row r="23" spans="1:25" ht="20.149999999999999" customHeight="1">
      <c r="A23" s="104" t="s">
        <v>37</v>
      </c>
      <c r="B23" s="13" t="s">
        <v>20</v>
      </c>
      <c r="C23" s="49">
        <v>0</v>
      </c>
      <c r="D23" s="49">
        <v>0</v>
      </c>
      <c r="E23" s="49">
        <v>0</v>
      </c>
      <c r="F23" s="49">
        <v>0</v>
      </c>
      <c r="P23" s="32"/>
      <c r="Q23" s="32"/>
      <c r="R23" s="32"/>
      <c r="S23" s="32"/>
      <c r="T23" s="4"/>
      <c r="U23" s="4"/>
      <c r="V23" s="4"/>
      <c r="W23" s="4"/>
      <c r="X23" s="4"/>
      <c r="Y23" s="4"/>
    </row>
    <row r="24" spans="1:25" ht="20.149999999999999" customHeight="1">
      <c r="A24" s="105" t="s">
        <v>38</v>
      </c>
      <c r="B24" s="78" t="s">
        <v>21</v>
      </c>
      <c r="C24" s="47">
        <f t="shared" ref="C24:F24" si="4">C25+C26+C27</f>
        <v>108155</v>
      </c>
      <c r="D24" s="47">
        <f t="shared" si="4"/>
        <v>120625</v>
      </c>
      <c r="E24" s="47">
        <f t="shared" si="4"/>
        <v>116908</v>
      </c>
      <c r="F24" s="47">
        <f t="shared" si="4"/>
        <v>124907</v>
      </c>
      <c r="H24" s="32"/>
      <c r="P24" s="32"/>
      <c r="Q24" s="32"/>
      <c r="R24" s="32"/>
      <c r="S24" s="32"/>
      <c r="T24" s="4"/>
      <c r="U24" s="4"/>
      <c r="V24" s="4"/>
      <c r="W24" s="4"/>
      <c r="X24" s="4"/>
      <c r="Y24" s="4"/>
    </row>
    <row r="25" spans="1:25" ht="20.149999999999999" customHeight="1">
      <c r="A25" s="106" t="s">
        <v>32</v>
      </c>
      <c r="B25" s="25" t="s">
        <v>13</v>
      </c>
      <c r="C25" s="49">
        <v>108155</v>
      </c>
      <c r="D25" s="49">
        <v>120625</v>
      </c>
      <c r="E25" s="49">
        <v>116908</v>
      </c>
      <c r="F25" s="49">
        <v>124907</v>
      </c>
      <c r="K25" s="32"/>
      <c r="P25" s="32"/>
      <c r="Q25" s="32"/>
      <c r="R25" s="32"/>
      <c r="S25" s="32"/>
      <c r="T25" s="4"/>
      <c r="U25" s="4"/>
      <c r="V25" s="4"/>
      <c r="W25" s="4"/>
      <c r="X25" s="4"/>
      <c r="Y25" s="4"/>
    </row>
    <row r="26" spans="1:25" ht="20.149999999999999" customHeight="1">
      <c r="A26" s="106" t="s">
        <v>31</v>
      </c>
      <c r="B26" s="25" t="s">
        <v>12</v>
      </c>
      <c r="C26" s="49">
        <v>0</v>
      </c>
      <c r="D26" s="49">
        <v>0</v>
      </c>
      <c r="E26" s="49">
        <v>0</v>
      </c>
      <c r="F26" s="49">
        <v>0</v>
      </c>
      <c r="J26" s="32"/>
      <c r="P26" s="32"/>
      <c r="Q26" s="32"/>
      <c r="R26" s="32"/>
      <c r="S26" s="32"/>
      <c r="T26" s="4"/>
      <c r="U26" s="4"/>
      <c r="V26" s="4"/>
      <c r="W26" s="4"/>
      <c r="X26" s="4"/>
      <c r="Y26" s="4"/>
    </row>
    <row r="27" spans="1:25" s="72" customFormat="1" ht="20.149999999999999" customHeight="1">
      <c r="A27" s="102" t="s">
        <v>135</v>
      </c>
      <c r="B27" s="25" t="s">
        <v>22</v>
      </c>
      <c r="C27" s="68">
        <v>0</v>
      </c>
      <c r="D27" s="68">
        <v>0</v>
      </c>
      <c r="E27" s="68">
        <v>0</v>
      </c>
      <c r="F27" s="68">
        <v>0</v>
      </c>
      <c r="G27" s="69"/>
      <c r="H27" s="70"/>
      <c r="I27" s="69"/>
      <c r="J27" s="69"/>
      <c r="K27" s="69"/>
      <c r="L27" s="69"/>
      <c r="M27" s="69"/>
      <c r="N27" s="69"/>
      <c r="O27" s="69"/>
      <c r="P27" s="70"/>
      <c r="Q27" s="70"/>
      <c r="R27" s="70"/>
      <c r="S27" s="70"/>
      <c r="T27" s="71"/>
      <c r="U27" s="71"/>
      <c r="V27" s="71"/>
      <c r="W27" s="71"/>
      <c r="X27" s="71"/>
      <c r="Y27" s="71"/>
    </row>
    <row r="28" spans="1:25" s="74" customFormat="1" ht="20.149999999999999" customHeight="1">
      <c r="A28" s="17" t="s">
        <v>39</v>
      </c>
      <c r="B28" s="16" t="s">
        <v>23</v>
      </c>
      <c r="C28" s="47">
        <v>0</v>
      </c>
      <c r="D28" s="47">
        <v>0</v>
      </c>
      <c r="E28" s="47">
        <v>0</v>
      </c>
      <c r="F28" s="47">
        <v>0</v>
      </c>
      <c r="G28" s="73"/>
      <c r="H28" s="73"/>
      <c r="I28" s="73"/>
      <c r="J28" s="73"/>
      <c r="K28" s="73"/>
      <c r="L28" s="73"/>
      <c r="M28" s="73"/>
      <c r="N28" s="73"/>
      <c r="O28" s="73"/>
      <c r="P28" s="57"/>
      <c r="Q28" s="57"/>
      <c r="R28" s="57"/>
      <c r="S28" s="57"/>
      <c r="T28" s="58"/>
      <c r="U28" s="58"/>
      <c r="V28" s="58"/>
      <c r="W28" s="58"/>
      <c r="X28" s="58"/>
      <c r="Y28" s="58"/>
    </row>
    <row r="29" spans="1:25" ht="20.149999999999999" customHeight="1">
      <c r="A29" s="17" t="s">
        <v>40</v>
      </c>
      <c r="B29" s="16" t="s">
        <v>24</v>
      </c>
      <c r="C29" s="47">
        <v>0</v>
      </c>
      <c r="D29" s="47">
        <v>0</v>
      </c>
      <c r="E29" s="47">
        <v>0</v>
      </c>
      <c r="F29" s="47">
        <v>0</v>
      </c>
      <c r="P29" s="32"/>
      <c r="Q29" s="32"/>
      <c r="R29" s="32"/>
      <c r="S29" s="32"/>
      <c r="T29" s="4"/>
      <c r="U29" s="4"/>
      <c r="V29" s="4"/>
      <c r="W29" s="4"/>
      <c r="X29" s="4"/>
      <c r="Y29" s="4"/>
    </row>
    <row r="30" spans="1:25" ht="21" customHeight="1">
      <c r="A30" s="95" t="s">
        <v>137</v>
      </c>
      <c r="B30" s="16" t="s">
        <v>103</v>
      </c>
      <c r="C30" s="47">
        <v>0</v>
      </c>
      <c r="D30" s="47">
        <v>0</v>
      </c>
      <c r="E30" s="47">
        <v>0</v>
      </c>
      <c r="F30" s="47">
        <v>0</v>
      </c>
      <c r="I30" s="32"/>
      <c r="P30" s="32"/>
      <c r="Q30" s="32"/>
      <c r="R30" s="32"/>
      <c r="S30" s="32"/>
      <c r="T30" s="4"/>
      <c r="U30" s="4"/>
      <c r="V30" s="4"/>
      <c r="W30" s="4"/>
      <c r="X30" s="4"/>
      <c r="Y30" s="4"/>
    </row>
    <row r="31" spans="1:25" ht="20.149999999999999" customHeight="1">
      <c r="A31" s="95" t="s">
        <v>41</v>
      </c>
      <c r="B31" s="16" t="s">
        <v>25</v>
      </c>
      <c r="C31" s="47">
        <v>-136853</v>
      </c>
      <c r="D31" s="47">
        <v>-151156</v>
      </c>
      <c r="E31" s="47">
        <v>-134700</v>
      </c>
      <c r="F31" s="47">
        <v>-135480</v>
      </c>
      <c r="P31" s="32"/>
      <c r="Q31" s="32"/>
      <c r="R31" s="32"/>
      <c r="S31" s="32"/>
      <c r="T31" s="4"/>
      <c r="U31" s="4"/>
      <c r="V31" s="4"/>
      <c r="W31" s="4"/>
      <c r="X31" s="4"/>
      <c r="Y31" s="4"/>
    </row>
    <row r="32" spans="1:25" ht="20.149999999999999" customHeight="1">
      <c r="A32" s="95" t="s">
        <v>104</v>
      </c>
      <c r="B32" s="16" t="s">
        <v>105</v>
      </c>
      <c r="C32" s="47">
        <v>136527</v>
      </c>
      <c r="D32" s="47">
        <v>138057</v>
      </c>
      <c r="E32" s="47">
        <v>140015</v>
      </c>
      <c r="F32" s="47">
        <v>143751</v>
      </c>
      <c r="P32" s="32"/>
      <c r="Q32" s="32"/>
      <c r="R32" s="32"/>
      <c r="S32" s="32"/>
      <c r="T32" s="4"/>
      <c r="U32" s="4"/>
      <c r="V32" s="4"/>
      <c r="W32" s="4"/>
      <c r="X32" s="4"/>
      <c r="Y32" s="4"/>
    </row>
    <row r="33" spans="1:25" ht="20.149999999999999" customHeight="1">
      <c r="A33" s="17" t="s">
        <v>148</v>
      </c>
      <c r="B33" s="115" t="s">
        <v>150</v>
      </c>
      <c r="C33" s="47">
        <v>47176</v>
      </c>
      <c r="D33" s="47">
        <v>47176</v>
      </c>
      <c r="E33" s="47">
        <v>47176</v>
      </c>
      <c r="F33" s="47">
        <v>47176</v>
      </c>
      <c r="H33" s="32"/>
      <c r="P33" s="32"/>
      <c r="Q33" s="32"/>
      <c r="R33" s="32"/>
      <c r="S33" s="32"/>
      <c r="T33" s="4"/>
      <c r="U33" s="4"/>
      <c r="V33" s="4"/>
      <c r="W33" s="4"/>
      <c r="X33" s="4"/>
      <c r="Y33" s="4"/>
    </row>
    <row r="34" spans="1:25" ht="23.25" customHeight="1">
      <c r="A34" s="111" t="s">
        <v>160</v>
      </c>
      <c r="B34" s="14" t="s">
        <v>161</v>
      </c>
      <c r="C34" s="49">
        <v>-16211</v>
      </c>
      <c r="D34" s="49">
        <v>-13086</v>
      </c>
      <c r="E34" s="49">
        <v>-14297</v>
      </c>
      <c r="F34" s="49">
        <v>-11089</v>
      </c>
      <c r="G34" s="32"/>
      <c r="P34" s="32"/>
      <c r="Q34" s="32"/>
      <c r="R34" s="32"/>
      <c r="S34" s="32"/>
      <c r="T34" s="4"/>
      <c r="U34" s="4"/>
      <c r="V34" s="4"/>
      <c r="W34" s="4"/>
      <c r="X34" s="4"/>
      <c r="Y34" s="4"/>
    </row>
    <row r="35" spans="1:25" ht="21.75" customHeight="1">
      <c r="A35" s="112" t="s">
        <v>162</v>
      </c>
      <c r="B35" s="14" t="s">
        <v>163</v>
      </c>
      <c r="C35" s="49">
        <v>55337</v>
      </c>
      <c r="D35" s="49">
        <v>56103</v>
      </c>
      <c r="E35" s="49">
        <v>56739</v>
      </c>
      <c r="F35" s="49">
        <v>58265</v>
      </c>
      <c r="G35" s="32"/>
      <c r="P35" s="32"/>
      <c r="Q35" s="32"/>
      <c r="R35" s="32"/>
      <c r="S35" s="32"/>
      <c r="T35" s="4"/>
      <c r="U35" s="4"/>
      <c r="V35" s="4"/>
      <c r="W35" s="4"/>
      <c r="X35" s="4"/>
      <c r="Y35" s="4"/>
    </row>
    <row r="36" spans="1:25" ht="20.149999999999999" customHeight="1">
      <c r="A36" s="17" t="s">
        <v>42</v>
      </c>
      <c r="B36" s="115" t="s">
        <v>146</v>
      </c>
      <c r="C36" s="47" t="s">
        <v>48</v>
      </c>
      <c r="D36" s="47" t="s">
        <v>48</v>
      </c>
      <c r="E36" s="47" t="s">
        <v>48</v>
      </c>
      <c r="F36" s="47">
        <f>F37-F38</f>
        <v>317636</v>
      </c>
      <c r="P36" s="32"/>
      <c r="Q36" s="32"/>
      <c r="R36" s="32"/>
      <c r="S36" s="32"/>
      <c r="T36" s="4"/>
      <c r="U36" s="4"/>
      <c r="V36" s="4"/>
      <c r="W36" s="4"/>
      <c r="X36" s="4"/>
      <c r="Y36" s="4"/>
    </row>
    <row r="37" spans="1:25" ht="19.5" customHeight="1">
      <c r="A37" s="111" t="s">
        <v>43</v>
      </c>
      <c r="B37" s="11" t="s">
        <v>149</v>
      </c>
      <c r="C37" s="49" t="s">
        <v>48</v>
      </c>
      <c r="D37" s="49" t="s">
        <v>48</v>
      </c>
      <c r="E37" s="49" t="s">
        <v>48</v>
      </c>
      <c r="F37" s="49">
        <f>'[1]2004-2005 '!F8</f>
        <v>321393</v>
      </c>
    </row>
    <row r="38" spans="1:25" ht="24" customHeight="1">
      <c r="A38" s="112" t="s">
        <v>143</v>
      </c>
      <c r="B38" s="11" t="s">
        <v>26</v>
      </c>
      <c r="C38" s="49" t="s">
        <v>48</v>
      </c>
      <c r="D38" s="49" t="s">
        <v>48</v>
      </c>
      <c r="E38" s="49" t="s">
        <v>48</v>
      </c>
      <c r="F38" s="49">
        <f>'[1]2005-2006'!F20</f>
        <v>3757</v>
      </c>
    </row>
    <row r="39" spans="1:25" ht="20.25" customHeight="1">
      <c r="A39" s="17" t="s">
        <v>44</v>
      </c>
      <c r="B39" s="16" t="s">
        <v>145</v>
      </c>
      <c r="C39" s="47" t="s">
        <v>48</v>
      </c>
      <c r="D39" s="47" t="s">
        <v>48</v>
      </c>
      <c r="E39" s="47" t="s">
        <v>48</v>
      </c>
      <c r="F39" s="47">
        <f>F40+F41+F42</f>
        <v>208140</v>
      </c>
    </row>
    <row r="40" spans="1:25" ht="26.25" customHeight="1">
      <c r="A40" s="111" t="s">
        <v>45</v>
      </c>
      <c r="B40" s="84" t="s">
        <v>165</v>
      </c>
      <c r="C40" s="49" t="s">
        <v>48</v>
      </c>
      <c r="D40" s="49" t="s">
        <v>48</v>
      </c>
      <c r="E40" s="49" t="s">
        <v>48</v>
      </c>
      <c r="F40" s="49">
        <v>6124</v>
      </c>
    </row>
    <row r="41" spans="1:25" ht="25.5" customHeight="1">
      <c r="A41" s="113" t="s">
        <v>47</v>
      </c>
      <c r="B41" s="80" t="s">
        <v>169</v>
      </c>
      <c r="C41" s="49" t="s">
        <v>48</v>
      </c>
      <c r="D41" s="49" t="s">
        <v>48</v>
      </c>
      <c r="E41" s="49" t="s">
        <v>48</v>
      </c>
      <c r="F41" s="49">
        <v>143751</v>
      </c>
    </row>
    <row r="42" spans="1:25" ht="24.75" customHeight="1">
      <c r="A42" s="114" t="s">
        <v>144</v>
      </c>
      <c r="B42" s="81" t="s">
        <v>167</v>
      </c>
      <c r="C42" s="50" t="s">
        <v>48</v>
      </c>
      <c r="D42" s="50" t="s">
        <v>48</v>
      </c>
      <c r="E42" s="50" t="s">
        <v>48</v>
      </c>
      <c r="F42" s="50">
        <v>58265</v>
      </c>
    </row>
    <row r="43" spans="1:25" ht="15.5">
      <c r="A43" s="27" t="s">
        <v>49</v>
      </c>
      <c r="B43" s="43"/>
      <c r="C43" s="27"/>
      <c r="D43" s="27"/>
      <c r="E43" s="27"/>
      <c r="F43" s="27"/>
      <c r="G43" s="27"/>
      <c r="H43" s="27"/>
      <c r="I43" s="27"/>
      <c r="J43" s="27"/>
      <c r="K43" s="27"/>
      <c r="L43" s="45"/>
      <c r="M43" s="45"/>
      <c r="N43" s="45"/>
      <c r="O43" s="45"/>
      <c r="P43" s="45"/>
      <c r="Q43"/>
      <c r="R43"/>
      <c r="S43"/>
    </row>
    <row r="44" spans="1:25" ht="15.5">
      <c r="A44" s="27" t="s">
        <v>50</v>
      </c>
      <c r="B44" s="43"/>
      <c r="C44" s="27"/>
      <c r="D44" s="27"/>
      <c r="E44" s="27"/>
      <c r="F44" s="27"/>
      <c r="G44" s="27"/>
      <c r="H44" s="27"/>
      <c r="I44" s="27"/>
      <c r="J44" s="27"/>
      <c r="K44" s="27"/>
      <c r="L44" s="45"/>
      <c r="M44" s="45"/>
      <c r="N44" s="45"/>
      <c r="O44" s="45"/>
      <c r="P44" s="45"/>
      <c r="Q44"/>
      <c r="R44"/>
      <c r="S44"/>
    </row>
    <row r="45" spans="1:25" ht="15.5">
      <c r="A45" s="27" t="s">
        <v>85</v>
      </c>
      <c r="B45" s="43"/>
      <c r="C45" s="27"/>
      <c r="D45" s="27"/>
      <c r="E45" s="27"/>
      <c r="F45" s="27"/>
      <c r="G45" s="27"/>
      <c r="H45" s="27"/>
      <c r="I45" s="27"/>
      <c r="J45" s="27"/>
      <c r="K45" s="27"/>
      <c r="L45" s="45"/>
      <c r="M45" s="45"/>
      <c r="N45" s="45"/>
      <c r="O45" s="45"/>
      <c r="P45" s="45"/>
      <c r="Q45"/>
      <c r="R45"/>
      <c r="S45"/>
    </row>
    <row r="46" spans="1:25" ht="15.5">
      <c r="A46" s="27" t="s">
        <v>53</v>
      </c>
      <c r="B46" s="43"/>
      <c r="C46" s="27"/>
      <c r="D46" s="27"/>
      <c r="E46" s="27"/>
      <c r="F46" s="27"/>
      <c r="G46" s="27"/>
      <c r="H46" s="27"/>
      <c r="I46" s="27"/>
      <c r="J46" s="27"/>
      <c r="K46" s="27"/>
      <c r="L46" s="45"/>
      <c r="M46" s="45"/>
      <c r="N46" s="45"/>
      <c r="O46" s="45"/>
      <c r="P46" s="45"/>
      <c r="Q46"/>
      <c r="R46"/>
      <c r="S46"/>
    </row>
    <row r="47" spans="1:25" ht="15.5">
      <c r="A47" s="27" t="s">
        <v>86</v>
      </c>
      <c r="B47" s="43"/>
      <c r="C47" s="27"/>
      <c r="D47" s="27"/>
      <c r="E47" s="27"/>
      <c r="F47" s="27"/>
      <c r="G47" s="27"/>
      <c r="H47" s="27"/>
      <c r="I47" s="27"/>
      <c r="J47" s="27"/>
      <c r="K47" s="27"/>
      <c r="L47" s="45"/>
      <c r="M47" s="45"/>
      <c r="N47" s="45"/>
      <c r="O47" s="45"/>
      <c r="P47" s="45"/>
      <c r="Q47"/>
      <c r="R47"/>
      <c r="S47"/>
    </row>
    <row r="48" spans="1:25" ht="15.5">
      <c r="A48" s="27" t="s">
        <v>54</v>
      </c>
      <c r="B48" s="43"/>
      <c r="C48" s="27"/>
      <c r="D48" s="27"/>
      <c r="E48" s="27"/>
      <c r="F48" s="27"/>
      <c r="G48" s="27"/>
      <c r="H48" s="27"/>
      <c r="I48" s="27"/>
      <c r="J48" s="27"/>
      <c r="K48" s="27"/>
      <c r="L48" s="45"/>
      <c r="M48" s="45"/>
      <c r="N48" s="45"/>
      <c r="O48" s="45"/>
      <c r="P48" s="45"/>
      <c r="Q48"/>
      <c r="R48"/>
      <c r="S48"/>
    </row>
    <row r="49" spans="1:19" ht="15.5">
      <c r="A49" s="27" t="s">
        <v>87</v>
      </c>
      <c r="B49" s="43"/>
      <c r="C49" s="27"/>
      <c r="D49" s="27"/>
      <c r="E49" s="27"/>
      <c r="F49" s="27"/>
      <c r="G49" s="27"/>
      <c r="H49" s="27"/>
      <c r="I49" s="27"/>
      <c r="J49" s="27"/>
      <c r="K49" s="27"/>
      <c r="L49" s="45"/>
      <c r="M49" s="45"/>
      <c r="N49" s="45"/>
      <c r="O49" s="45"/>
      <c r="P49" s="45"/>
      <c r="Q49"/>
      <c r="R49"/>
      <c r="S49"/>
    </row>
    <row r="50" spans="1:19" ht="15.5">
      <c r="A50" s="96" t="s">
        <v>51</v>
      </c>
      <c r="B50" s="43"/>
      <c r="C50" s="27"/>
      <c r="D50" s="27"/>
      <c r="E50" s="27"/>
      <c r="F50" s="27"/>
      <c r="G50" s="27"/>
      <c r="H50" s="27"/>
    </row>
    <row r="51" spans="1:19" ht="18.75" customHeight="1">
      <c r="A51" s="96" t="s">
        <v>175</v>
      </c>
      <c r="B51" s="44"/>
      <c r="C51" s="27"/>
      <c r="D51" s="27"/>
      <c r="E51" s="27"/>
      <c r="F51" s="27"/>
      <c r="G51" s="27"/>
      <c r="H51" s="27"/>
    </row>
    <row r="52" spans="1:19">
      <c r="D52" s="28"/>
      <c r="E52" s="28"/>
      <c r="F52" s="28"/>
    </row>
    <row r="53" spans="1:19">
      <c r="D53" s="118"/>
      <c r="E53" s="118"/>
      <c r="F53" s="119"/>
    </row>
    <row r="54" spans="1:19">
      <c r="D54" s="28"/>
      <c r="E54" s="28"/>
      <c r="F54" s="28"/>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51"/>
  <sheetViews>
    <sheetView view="pageBreakPreview" topLeftCell="A21" zoomScale="50" zoomScaleNormal="75" zoomScaleSheetLayoutView="50" workbookViewId="0">
      <selection activeCell="A6" sqref="A6:F51"/>
    </sheetView>
  </sheetViews>
  <sheetFormatPr defaultRowHeight="12.5"/>
  <cols>
    <col min="1" max="1" width="74.54296875" customWidth="1"/>
    <col min="2" max="2" width="90.81640625" style="1" customWidth="1"/>
    <col min="3" max="6" width="18.453125" customWidth="1"/>
    <col min="7" max="7" width="11.7265625" style="28" customWidth="1"/>
    <col min="8" max="8" width="12.81640625" style="28" bestFit="1" customWidth="1"/>
    <col min="9" max="9" width="11.1796875" style="28" bestFit="1" customWidth="1"/>
    <col min="10" max="10" width="10.7265625" style="28" bestFit="1" customWidth="1"/>
    <col min="11" max="19" width="9.1796875" style="28"/>
    <col min="25" max="25" width="9.26953125" bestFit="1" customWidth="1"/>
  </cols>
  <sheetData>
    <row r="1" spans="1:25" ht="15" hidden="1" customHeight="1"/>
    <row r="2" spans="1:25" ht="23" hidden="1">
      <c r="B2" s="164" t="s">
        <v>5</v>
      </c>
      <c r="C2" s="164"/>
      <c r="D2" s="164"/>
      <c r="E2" s="164"/>
      <c r="F2" s="164"/>
    </row>
    <row r="3" spans="1:25" ht="23" hidden="1">
      <c r="B3" s="165" t="s">
        <v>4</v>
      </c>
      <c r="C3" s="165"/>
      <c r="D3" s="165"/>
      <c r="E3" s="165"/>
      <c r="F3" s="165"/>
    </row>
    <row r="4" spans="1:25" s="5" customFormat="1" ht="45" customHeight="1">
      <c r="A4" s="166" t="s">
        <v>6</v>
      </c>
      <c r="B4" s="166"/>
      <c r="C4" s="166"/>
      <c r="D4" s="166"/>
      <c r="E4" s="166"/>
      <c r="F4" s="166"/>
      <c r="G4" s="29"/>
      <c r="H4" s="29"/>
      <c r="I4" s="29"/>
      <c r="J4" s="29"/>
      <c r="K4" s="29"/>
      <c r="L4" s="29"/>
      <c r="M4" s="29"/>
      <c r="N4" s="29"/>
      <c r="O4" s="29"/>
      <c r="P4" s="29"/>
      <c r="Q4" s="29"/>
      <c r="R4" s="29"/>
      <c r="S4" s="29"/>
    </row>
    <row r="5" spans="1:25" s="5" customFormat="1" ht="45" customHeight="1" thickBot="1">
      <c r="A5" s="42"/>
      <c r="B5" s="42"/>
      <c r="C5" s="126"/>
      <c r="D5" s="126"/>
      <c r="E5" s="126"/>
      <c r="F5" s="41" t="s">
        <v>52</v>
      </c>
      <c r="G5" s="30"/>
      <c r="H5" s="30"/>
      <c r="I5" s="30"/>
      <c r="J5" s="30"/>
      <c r="K5" s="30"/>
      <c r="L5" s="29"/>
      <c r="M5" s="29"/>
      <c r="N5" s="29"/>
      <c r="O5" s="29"/>
      <c r="P5" s="29"/>
      <c r="Q5" s="29"/>
      <c r="R5" s="29"/>
      <c r="S5" s="29"/>
    </row>
    <row r="6" spans="1:25" ht="25.5" customHeight="1" thickTop="1" thickBot="1">
      <c r="A6" s="167" t="s">
        <v>55</v>
      </c>
      <c r="B6" s="168"/>
      <c r="C6" s="53" t="s">
        <v>172</v>
      </c>
      <c r="D6" s="53" t="s">
        <v>173</v>
      </c>
      <c r="E6" s="53" t="s">
        <v>174</v>
      </c>
      <c r="F6" s="53" t="s">
        <v>3</v>
      </c>
      <c r="I6" s="31"/>
    </row>
    <row r="7" spans="1:25" ht="36" customHeight="1" thickTop="1" thickBot="1">
      <c r="A7" s="169"/>
      <c r="B7" s="170"/>
      <c r="C7" s="51" t="s">
        <v>80</v>
      </c>
      <c r="D7" s="51" t="s">
        <v>81</v>
      </c>
      <c r="E7" s="52" t="s">
        <v>82</v>
      </c>
      <c r="F7" s="51" t="s">
        <v>89</v>
      </c>
    </row>
    <row r="8" spans="1:25" ht="20.149999999999999" customHeight="1" thickTop="1">
      <c r="A8" s="23" t="s">
        <v>171</v>
      </c>
      <c r="B8" s="24" t="s">
        <v>7</v>
      </c>
      <c r="C8" s="47">
        <f>C9+C33+318238-203313</f>
        <v>521511</v>
      </c>
      <c r="D8" s="47">
        <f>D9+D33+319894-204684</f>
        <v>524611</v>
      </c>
      <c r="E8" s="47">
        <f>E9+E33+321562-189451</f>
        <v>550376</v>
      </c>
      <c r="F8" s="47">
        <f>F9+F33+F36-F39</f>
        <v>587405</v>
      </c>
      <c r="G8" s="32"/>
      <c r="P8" s="32"/>
      <c r="Q8" s="32"/>
      <c r="R8" s="32"/>
      <c r="S8" s="32"/>
      <c r="T8" s="4"/>
      <c r="U8" s="4"/>
      <c r="V8" s="4"/>
      <c r="W8" s="4"/>
      <c r="X8" s="4"/>
      <c r="Y8" s="4"/>
    </row>
    <row r="9" spans="1:25" s="8" customFormat="1" ht="20.149999999999999" customHeight="1">
      <c r="A9" s="21" t="s">
        <v>151</v>
      </c>
      <c r="B9" s="16" t="s">
        <v>8</v>
      </c>
      <c r="C9" s="47">
        <f t="shared" ref="C9:F9" si="0">C10+C28+C29+C30+C31+C32</f>
        <v>355094</v>
      </c>
      <c r="D9" s="47">
        <f t="shared" si="0"/>
        <v>357643</v>
      </c>
      <c r="E9" s="47">
        <f t="shared" si="0"/>
        <v>374034</v>
      </c>
      <c r="F9" s="47">
        <f t="shared" si="0"/>
        <v>387719</v>
      </c>
      <c r="G9" s="33"/>
      <c r="H9" s="33"/>
      <c r="I9" s="33"/>
      <c r="J9" s="33"/>
      <c r="K9" s="34"/>
      <c r="L9" s="34"/>
      <c r="M9" s="34"/>
      <c r="N9" s="34"/>
      <c r="O9" s="34"/>
      <c r="P9" s="33"/>
      <c r="Q9" s="33"/>
      <c r="R9" s="33"/>
      <c r="S9" s="33"/>
      <c r="T9" s="9"/>
      <c r="U9" s="9"/>
      <c r="V9" s="9"/>
      <c r="W9" s="9"/>
      <c r="X9" s="9"/>
      <c r="Y9" s="9"/>
    </row>
    <row r="10" spans="1:25" s="7" customFormat="1" ht="20.149999999999999" customHeight="1">
      <c r="A10" s="18" t="s">
        <v>27</v>
      </c>
      <c r="B10" s="16" t="s">
        <v>9</v>
      </c>
      <c r="C10" s="86">
        <f>C11+C24</f>
        <v>325983</v>
      </c>
      <c r="D10" s="86">
        <f t="shared" ref="D10:F10" si="1">D11+D24</f>
        <v>327998</v>
      </c>
      <c r="E10" s="86">
        <f t="shared" si="1"/>
        <v>339977</v>
      </c>
      <c r="F10" s="86">
        <f t="shared" si="1"/>
        <v>349957</v>
      </c>
      <c r="G10" s="35"/>
      <c r="H10" s="36"/>
      <c r="I10" s="36"/>
      <c r="J10" s="36"/>
      <c r="K10" s="36"/>
      <c r="L10" s="36"/>
      <c r="M10" s="36"/>
      <c r="N10" s="36"/>
      <c r="O10" s="36"/>
      <c r="P10" s="35"/>
      <c r="Q10" s="35"/>
      <c r="R10" s="35"/>
      <c r="S10" s="35"/>
      <c r="T10" s="6"/>
      <c r="U10" s="6"/>
      <c r="V10" s="6"/>
      <c r="W10" s="6"/>
      <c r="X10" s="6"/>
      <c r="Y10" s="6"/>
    </row>
    <row r="11" spans="1:25" s="7" customFormat="1" ht="20.149999999999999" customHeight="1">
      <c r="A11" s="18" t="s">
        <v>111</v>
      </c>
      <c r="B11" s="16" t="s">
        <v>112</v>
      </c>
      <c r="C11" s="48">
        <f>C12+C13+C14+C17+C18+C19+C20+C21+C22+C23</f>
        <v>223007</v>
      </c>
      <c r="D11" s="48">
        <f t="shared" ref="D11:F11" si="2">D12+D13+D14+D17+D18+D19+D20+D21+D22+D23</f>
        <v>232082</v>
      </c>
      <c r="E11" s="48">
        <f t="shared" si="2"/>
        <v>240861</v>
      </c>
      <c r="F11" s="48">
        <f t="shared" si="2"/>
        <v>246813</v>
      </c>
      <c r="G11" s="35"/>
      <c r="H11" s="36"/>
      <c r="I11" s="36"/>
      <c r="J11" s="36"/>
      <c r="K11" s="36"/>
      <c r="L11" s="36"/>
      <c r="M11" s="36"/>
      <c r="N11" s="36"/>
      <c r="O11" s="36"/>
      <c r="P11" s="35"/>
      <c r="Q11" s="35"/>
      <c r="R11" s="35"/>
      <c r="S11" s="35"/>
      <c r="T11" s="6"/>
      <c r="U11" s="6"/>
      <c r="V11" s="6"/>
      <c r="W11" s="6"/>
      <c r="X11" s="6"/>
      <c r="Y11" s="6"/>
    </row>
    <row r="12" spans="1:25" s="7" customFormat="1" ht="20.149999999999999" customHeight="1">
      <c r="A12" s="20" t="s">
        <v>28</v>
      </c>
      <c r="B12" s="11" t="s">
        <v>10</v>
      </c>
      <c r="C12" s="49">
        <v>164162</v>
      </c>
      <c r="D12" s="49">
        <v>163692</v>
      </c>
      <c r="E12" s="49">
        <v>163089</v>
      </c>
      <c r="F12" s="49">
        <v>164016</v>
      </c>
      <c r="G12" s="36"/>
      <c r="H12" s="35"/>
      <c r="I12" s="36"/>
      <c r="J12" s="36"/>
      <c r="K12" s="36"/>
      <c r="L12" s="36"/>
      <c r="M12" s="36"/>
      <c r="N12" s="36"/>
      <c r="O12" s="36"/>
      <c r="P12" s="35"/>
      <c r="Q12" s="35"/>
      <c r="R12" s="35"/>
      <c r="S12" s="35"/>
      <c r="T12" s="6"/>
      <c r="U12" s="6"/>
      <c r="V12" s="6"/>
      <c r="W12" s="6"/>
      <c r="X12" s="6"/>
      <c r="Y12" s="6"/>
    </row>
    <row r="13" spans="1:25" s="8" customFormat="1" ht="20.149999999999999" customHeight="1">
      <c r="A13" s="19" t="s">
        <v>29</v>
      </c>
      <c r="B13" s="11" t="s">
        <v>11</v>
      </c>
      <c r="C13" s="49">
        <v>4000</v>
      </c>
      <c r="D13" s="49">
        <v>4000</v>
      </c>
      <c r="E13" s="49">
        <v>4000</v>
      </c>
      <c r="F13" s="49">
        <v>4000</v>
      </c>
      <c r="G13" s="34"/>
      <c r="H13" s="33"/>
      <c r="I13" s="34"/>
      <c r="J13" s="34"/>
      <c r="K13" s="34"/>
      <c r="L13" s="34"/>
      <c r="M13" s="34"/>
      <c r="N13" s="34"/>
      <c r="O13" s="34"/>
      <c r="P13" s="33"/>
      <c r="Q13" s="33"/>
      <c r="R13" s="33"/>
      <c r="S13" s="33"/>
      <c r="T13" s="9"/>
      <c r="U13" s="9"/>
      <c r="V13" s="9"/>
      <c r="W13" s="9"/>
      <c r="X13" s="9"/>
      <c r="Y13" s="9"/>
    </row>
    <row r="14" spans="1:25" s="7" customFormat="1" ht="20.149999999999999" customHeight="1">
      <c r="A14" s="108" t="s">
        <v>30</v>
      </c>
      <c r="B14" s="11" t="s">
        <v>84</v>
      </c>
      <c r="C14" s="49">
        <f>C15+C16</f>
        <v>5199</v>
      </c>
      <c r="D14" s="49">
        <f t="shared" ref="D14:F14" si="3">D15+D16</f>
        <v>5281</v>
      </c>
      <c r="E14" s="49">
        <f t="shared" si="3"/>
        <v>5141</v>
      </c>
      <c r="F14" s="49">
        <f t="shared" si="3"/>
        <v>5109</v>
      </c>
      <c r="G14" s="36"/>
      <c r="H14" s="33"/>
      <c r="I14" s="36"/>
      <c r="J14" s="36"/>
      <c r="K14" s="36"/>
      <c r="L14" s="36"/>
      <c r="M14" s="36"/>
      <c r="N14" s="36"/>
      <c r="O14" s="36"/>
      <c r="P14" s="35"/>
      <c r="Q14" s="35"/>
      <c r="R14" s="35"/>
      <c r="S14" s="35"/>
      <c r="T14" s="6"/>
      <c r="U14" s="6"/>
      <c r="V14" s="6"/>
      <c r="W14" s="6"/>
      <c r="X14" s="6"/>
      <c r="Y14" s="6"/>
    </row>
    <row r="15" spans="1:25" s="7" customFormat="1" ht="20.149999999999999" customHeight="1">
      <c r="A15" s="101" t="s">
        <v>31</v>
      </c>
      <c r="B15" s="12" t="s">
        <v>12</v>
      </c>
      <c r="C15" s="49">
        <v>5199</v>
      </c>
      <c r="D15" s="49">
        <v>5281</v>
      </c>
      <c r="E15" s="49">
        <v>5141</v>
      </c>
      <c r="F15" s="49">
        <v>5109</v>
      </c>
      <c r="G15" s="36"/>
      <c r="H15" s="33"/>
      <c r="I15" s="36"/>
      <c r="J15" s="36"/>
      <c r="K15" s="36"/>
      <c r="L15" s="36"/>
      <c r="M15" s="36"/>
      <c r="N15" s="36"/>
      <c r="O15" s="36"/>
      <c r="P15" s="35"/>
      <c r="Q15" s="35"/>
      <c r="R15" s="35"/>
      <c r="S15" s="35"/>
      <c r="T15" s="6"/>
      <c r="U15" s="6"/>
      <c r="V15" s="6"/>
      <c r="W15" s="6"/>
      <c r="X15" s="6"/>
      <c r="Y15" s="6"/>
    </row>
    <row r="16" spans="1:25" ht="20.149999999999999" customHeight="1">
      <c r="A16" s="101" t="s">
        <v>32</v>
      </c>
      <c r="B16" s="12" t="s">
        <v>13</v>
      </c>
      <c r="C16" s="49">
        <v>0</v>
      </c>
      <c r="D16" s="49">
        <v>0</v>
      </c>
      <c r="E16" s="49">
        <v>0</v>
      </c>
      <c r="F16" s="49">
        <v>0</v>
      </c>
      <c r="P16" s="32"/>
      <c r="Q16" s="32"/>
      <c r="R16" s="32"/>
      <c r="S16" s="32"/>
      <c r="T16" s="4"/>
      <c r="U16" s="4"/>
      <c r="V16" s="4"/>
      <c r="W16" s="4"/>
      <c r="X16" s="4"/>
      <c r="Y16" s="4"/>
    </row>
    <row r="17" spans="1:25" ht="20.149999999999999" customHeight="1">
      <c r="A17" s="10" t="s">
        <v>33</v>
      </c>
      <c r="B17" s="13" t="s">
        <v>14</v>
      </c>
      <c r="C17" s="49">
        <v>34000</v>
      </c>
      <c r="D17" s="49">
        <v>43500</v>
      </c>
      <c r="E17" s="49">
        <v>53000</v>
      </c>
      <c r="F17" s="49">
        <v>58000</v>
      </c>
      <c r="P17" s="32"/>
      <c r="Q17" s="32"/>
      <c r="R17" s="32"/>
      <c r="S17" s="32"/>
      <c r="T17" s="4"/>
      <c r="U17" s="4"/>
      <c r="V17" s="4"/>
      <c r="W17" s="4"/>
      <c r="X17" s="4"/>
      <c r="Y17" s="4"/>
    </row>
    <row r="18" spans="1:25" ht="20.149999999999999" customHeight="1">
      <c r="A18" s="10" t="s">
        <v>34</v>
      </c>
      <c r="B18" s="13" t="s">
        <v>15</v>
      </c>
      <c r="C18" s="49">
        <v>2000</v>
      </c>
      <c r="D18" s="49">
        <v>2000</v>
      </c>
      <c r="E18" s="49">
        <v>2000</v>
      </c>
      <c r="F18" s="49">
        <v>2000</v>
      </c>
      <c r="I18" s="32"/>
      <c r="P18" s="32"/>
      <c r="Q18" s="32"/>
      <c r="R18" s="32"/>
      <c r="S18" s="32"/>
      <c r="T18" s="4"/>
      <c r="U18" s="4"/>
      <c r="V18" s="4"/>
      <c r="W18" s="4"/>
      <c r="X18" s="4"/>
      <c r="Y18" s="4"/>
    </row>
    <row r="19" spans="1:25" s="3" customFormat="1" ht="20.149999999999999" customHeight="1">
      <c r="A19" s="10" t="s">
        <v>35</v>
      </c>
      <c r="B19" s="13" t="s">
        <v>16</v>
      </c>
      <c r="C19" s="49">
        <v>125</v>
      </c>
      <c r="D19" s="49">
        <v>122</v>
      </c>
      <c r="E19" s="49">
        <v>122</v>
      </c>
      <c r="F19" s="49">
        <v>122</v>
      </c>
      <c r="G19" s="37"/>
      <c r="H19" s="37"/>
      <c r="I19" s="38"/>
      <c r="J19" s="38"/>
      <c r="K19" s="37"/>
      <c r="L19" s="37"/>
      <c r="M19" s="37"/>
      <c r="N19" s="37"/>
      <c r="O19" s="37"/>
      <c r="P19" s="32"/>
      <c r="Q19" s="32"/>
      <c r="R19" s="32"/>
      <c r="S19" s="32"/>
      <c r="T19" s="4"/>
      <c r="U19" s="4"/>
      <c r="V19" s="4"/>
      <c r="W19" s="4"/>
      <c r="X19" s="4"/>
      <c r="Y19" s="4"/>
    </row>
    <row r="20" spans="1:25" ht="20.149999999999999" customHeight="1">
      <c r="A20" s="10" t="s">
        <v>46</v>
      </c>
      <c r="B20" s="13" t="s">
        <v>17</v>
      </c>
      <c r="C20" s="49">
        <v>12008</v>
      </c>
      <c r="D20" s="49">
        <v>11969</v>
      </c>
      <c r="E20" s="49">
        <v>11991</v>
      </c>
      <c r="F20" s="49">
        <v>12014</v>
      </c>
      <c r="H20" s="39"/>
      <c r="I20" s="32"/>
      <c r="P20" s="32"/>
      <c r="Q20" s="32"/>
      <c r="R20" s="32"/>
      <c r="S20" s="32"/>
      <c r="T20" s="4"/>
      <c r="U20" s="4"/>
      <c r="V20" s="4"/>
      <c r="W20" s="4"/>
      <c r="X20" s="4"/>
      <c r="Y20" s="4"/>
    </row>
    <row r="21" spans="1:25" ht="19.5" customHeight="1">
      <c r="A21" s="10" t="s">
        <v>36</v>
      </c>
      <c r="B21" s="13" t="s">
        <v>18</v>
      </c>
      <c r="C21" s="49">
        <v>1513</v>
      </c>
      <c r="D21" s="49">
        <v>1518</v>
      </c>
      <c r="E21" s="49">
        <v>1518</v>
      </c>
      <c r="F21" s="49">
        <v>1552</v>
      </c>
      <c r="J21" s="32"/>
      <c r="P21" s="32"/>
      <c r="Q21" s="32"/>
      <c r="R21" s="32"/>
      <c r="S21" s="32"/>
      <c r="T21" s="4"/>
      <c r="U21" s="4"/>
      <c r="V21" s="4"/>
      <c r="W21" s="4"/>
      <c r="X21" s="4"/>
      <c r="Y21" s="4"/>
    </row>
    <row r="22" spans="1:25" ht="20.149999999999999" customHeight="1">
      <c r="A22" s="10" t="s">
        <v>142</v>
      </c>
      <c r="B22" s="13" t="s">
        <v>19</v>
      </c>
      <c r="C22" s="49">
        <v>0</v>
      </c>
      <c r="D22" s="49">
        <v>0</v>
      </c>
      <c r="E22" s="49">
        <v>0</v>
      </c>
      <c r="F22" s="49">
        <v>0</v>
      </c>
      <c r="H22" s="32"/>
      <c r="P22" s="32"/>
      <c r="Q22" s="32"/>
      <c r="R22" s="32"/>
      <c r="S22" s="32"/>
      <c r="T22" s="4"/>
      <c r="U22" s="4"/>
      <c r="V22" s="4"/>
      <c r="W22" s="4"/>
      <c r="X22" s="4"/>
      <c r="Y22" s="4"/>
    </row>
    <row r="23" spans="1:25" ht="20.149999999999999" customHeight="1">
      <c r="A23" s="76" t="s">
        <v>37</v>
      </c>
      <c r="B23" s="13" t="s">
        <v>20</v>
      </c>
      <c r="C23" s="49">
        <v>0</v>
      </c>
      <c r="D23" s="49">
        <v>0</v>
      </c>
      <c r="E23" s="49">
        <v>0</v>
      </c>
      <c r="F23" s="49">
        <v>0</v>
      </c>
      <c r="P23" s="32"/>
      <c r="Q23" s="32"/>
      <c r="R23" s="32"/>
      <c r="S23" s="32"/>
      <c r="T23" s="4"/>
      <c r="U23" s="4"/>
      <c r="V23" s="4"/>
      <c r="W23" s="4"/>
      <c r="X23" s="4"/>
      <c r="Y23" s="4"/>
    </row>
    <row r="24" spans="1:25" ht="20.149999999999999" customHeight="1">
      <c r="A24" s="77" t="s">
        <v>38</v>
      </c>
      <c r="B24" s="78" t="s">
        <v>21</v>
      </c>
      <c r="C24" s="47">
        <f t="shared" ref="C24:F24" si="4">C25+C26+C27</f>
        <v>102976</v>
      </c>
      <c r="D24" s="47">
        <f t="shared" si="4"/>
        <v>95916</v>
      </c>
      <c r="E24" s="47">
        <f t="shared" si="4"/>
        <v>99116</v>
      </c>
      <c r="F24" s="47">
        <f t="shared" si="4"/>
        <v>103144</v>
      </c>
      <c r="H24" s="32"/>
      <c r="P24" s="32"/>
      <c r="Q24" s="32"/>
      <c r="R24" s="32"/>
      <c r="S24" s="32"/>
      <c r="T24" s="4"/>
      <c r="U24" s="4"/>
      <c r="V24" s="4"/>
      <c r="W24" s="4"/>
      <c r="X24" s="4"/>
      <c r="Y24" s="4"/>
    </row>
    <row r="25" spans="1:25" ht="20.149999999999999" customHeight="1">
      <c r="A25" s="110" t="s">
        <v>32</v>
      </c>
      <c r="B25" s="25" t="s">
        <v>13</v>
      </c>
      <c r="C25" s="49">
        <v>102976</v>
      </c>
      <c r="D25" s="49">
        <v>95916</v>
      </c>
      <c r="E25" s="49">
        <v>99116</v>
      </c>
      <c r="F25" s="49">
        <v>103144</v>
      </c>
      <c r="K25" s="32"/>
      <c r="P25" s="32"/>
      <c r="Q25" s="32"/>
      <c r="R25" s="32"/>
      <c r="S25" s="32"/>
      <c r="T25" s="4"/>
      <c r="U25" s="4"/>
      <c r="V25" s="4"/>
      <c r="W25" s="4"/>
      <c r="X25" s="4"/>
      <c r="Y25" s="4"/>
    </row>
    <row r="26" spans="1:25" ht="20.149999999999999" customHeight="1">
      <c r="A26" s="110" t="s">
        <v>31</v>
      </c>
      <c r="B26" s="25" t="s">
        <v>12</v>
      </c>
      <c r="C26" s="49">
        <v>0</v>
      </c>
      <c r="D26" s="49">
        <v>0</v>
      </c>
      <c r="E26" s="49">
        <v>0</v>
      </c>
      <c r="F26" s="49">
        <v>0</v>
      </c>
      <c r="J26" s="32"/>
      <c r="P26" s="32"/>
      <c r="Q26" s="32"/>
      <c r="R26" s="32"/>
      <c r="S26" s="32"/>
      <c r="T26" s="4"/>
      <c r="U26" s="4"/>
      <c r="V26" s="4"/>
      <c r="W26" s="4"/>
      <c r="X26" s="4"/>
      <c r="Y26" s="4"/>
    </row>
    <row r="27" spans="1:25" ht="20.149999999999999" customHeight="1">
      <c r="A27" s="102" t="s">
        <v>135</v>
      </c>
      <c r="B27" s="25" t="s">
        <v>22</v>
      </c>
      <c r="C27" s="68">
        <v>0</v>
      </c>
      <c r="D27" s="68">
        <v>0</v>
      </c>
      <c r="E27" s="68">
        <v>0</v>
      </c>
      <c r="F27" s="68">
        <v>0</v>
      </c>
      <c r="H27" s="32"/>
      <c r="P27" s="32"/>
      <c r="Q27" s="32"/>
      <c r="R27" s="32"/>
      <c r="S27" s="32"/>
      <c r="T27" s="4"/>
      <c r="U27" s="4"/>
      <c r="V27" s="4"/>
      <c r="W27" s="4"/>
      <c r="X27" s="4"/>
      <c r="Y27" s="4"/>
    </row>
    <row r="28" spans="1:25" s="2" customFormat="1" ht="20.149999999999999" customHeight="1">
      <c r="A28" s="17" t="s">
        <v>39</v>
      </c>
      <c r="B28" s="16" t="s">
        <v>23</v>
      </c>
      <c r="C28" s="47">
        <v>0</v>
      </c>
      <c r="D28" s="47">
        <v>0</v>
      </c>
      <c r="E28" s="47">
        <v>0</v>
      </c>
      <c r="F28" s="47">
        <v>0</v>
      </c>
      <c r="G28" s="40"/>
      <c r="H28" s="40"/>
      <c r="I28" s="40"/>
      <c r="J28" s="40"/>
      <c r="K28" s="40"/>
      <c r="L28" s="40"/>
      <c r="M28" s="40"/>
      <c r="N28" s="40"/>
      <c r="O28" s="40"/>
      <c r="P28" s="32"/>
      <c r="Q28" s="32"/>
      <c r="R28" s="32"/>
      <c r="S28" s="32"/>
      <c r="T28" s="4"/>
      <c r="U28" s="4"/>
      <c r="V28" s="4"/>
      <c r="W28" s="4"/>
      <c r="X28" s="4"/>
      <c r="Y28" s="4"/>
    </row>
    <row r="29" spans="1:25" ht="20.149999999999999" customHeight="1">
      <c r="A29" s="17" t="s">
        <v>40</v>
      </c>
      <c r="B29" s="16" t="s">
        <v>24</v>
      </c>
      <c r="C29" s="47">
        <v>0</v>
      </c>
      <c r="D29" s="47">
        <v>0</v>
      </c>
      <c r="E29" s="47">
        <v>0</v>
      </c>
      <c r="F29" s="47">
        <v>0</v>
      </c>
      <c r="P29" s="32"/>
      <c r="Q29" s="32"/>
      <c r="R29" s="32"/>
      <c r="S29" s="32"/>
      <c r="T29" s="4"/>
      <c r="U29" s="4"/>
      <c r="V29" s="4"/>
      <c r="W29" s="4"/>
      <c r="X29" s="4"/>
      <c r="Y29" s="4"/>
    </row>
    <row r="30" spans="1:25" ht="21" customHeight="1">
      <c r="A30" s="18" t="s">
        <v>137</v>
      </c>
      <c r="B30" s="16" t="s">
        <v>103</v>
      </c>
      <c r="C30" s="47">
        <v>0</v>
      </c>
      <c r="D30" s="47">
        <v>0</v>
      </c>
      <c r="E30" s="47">
        <v>0</v>
      </c>
      <c r="F30" s="47">
        <v>0</v>
      </c>
      <c r="I30" s="32"/>
      <c r="P30" s="32"/>
      <c r="Q30" s="32"/>
      <c r="R30" s="32"/>
      <c r="S30" s="32"/>
      <c r="T30" s="4"/>
      <c r="U30" s="4"/>
      <c r="V30" s="4"/>
      <c r="W30" s="4"/>
      <c r="X30" s="4"/>
      <c r="Y30" s="4"/>
    </row>
    <row r="31" spans="1:25" ht="20.149999999999999" customHeight="1">
      <c r="A31" s="18" t="s">
        <v>41</v>
      </c>
      <c r="B31" s="16" t="s">
        <v>25</v>
      </c>
      <c r="C31" s="47">
        <v>-114411</v>
      </c>
      <c r="D31" s="47">
        <v>-114840</v>
      </c>
      <c r="E31" s="47">
        <v>-104350</v>
      </c>
      <c r="F31" s="47">
        <v>-104860</v>
      </c>
      <c r="P31" s="32"/>
      <c r="Q31" s="32"/>
      <c r="R31" s="32"/>
      <c r="S31" s="32"/>
      <c r="T31" s="4"/>
      <c r="U31" s="4"/>
      <c r="V31" s="4"/>
      <c r="W31" s="4"/>
      <c r="X31" s="4"/>
      <c r="Y31" s="4"/>
    </row>
    <row r="32" spans="1:25" s="63" customFormat="1" ht="20.149999999999999" customHeight="1">
      <c r="A32" s="18" t="s">
        <v>104</v>
      </c>
      <c r="B32" s="16" t="s">
        <v>105</v>
      </c>
      <c r="C32" s="64">
        <v>143522</v>
      </c>
      <c r="D32" s="64">
        <v>144485</v>
      </c>
      <c r="E32" s="64">
        <v>138407</v>
      </c>
      <c r="F32" s="64">
        <v>142622</v>
      </c>
      <c r="G32" s="60"/>
      <c r="H32" s="60"/>
      <c r="I32" s="60"/>
      <c r="J32" s="60"/>
      <c r="K32" s="60"/>
      <c r="L32" s="60"/>
      <c r="M32" s="60"/>
      <c r="N32" s="60"/>
      <c r="O32" s="60"/>
      <c r="P32" s="61"/>
      <c r="Q32" s="61"/>
      <c r="R32" s="61"/>
      <c r="S32" s="61"/>
      <c r="T32" s="62"/>
      <c r="U32" s="62"/>
      <c r="V32" s="62"/>
      <c r="W32" s="62"/>
      <c r="X32" s="62"/>
      <c r="Y32" s="62"/>
    </row>
    <row r="33" spans="1:25" ht="20.149999999999999" customHeight="1">
      <c r="A33" s="17" t="s">
        <v>148</v>
      </c>
      <c r="B33" s="115" t="s">
        <v>150</v>
      </c>
      <c r="C33" s="47">
        <f>C34+C35</f>
        <v>51492</v>
      </c>
      <c r="D33" s="47">
        <f>D34+D35</f>
        <v>51758</v>
      </c>
      <c r="E33" s="47">
        <v>44231</v>
      </c>
      <c r="F33" s="47">
        <v>47387</v>
      </c>
      <c r="H33" s="32"/>
      <c r="P33" s="32"/>
      <c r="Q33" s="32"/>
      <c r="R33" s="32"/>
      <c r="S33" s="32"/>
      <c r="T33" s="4"/>
      <c r="U33" s="4"/>
      <c r="V33" s="4"/>
      <c r="W33" s="4"/>
      <c r="X33" s="4"/>
      <c r="Y33" s="4"/>
    </row>
    <row r="34" spans="1:25" ht="23.25" customHeight="1">
      <c r="A34" s="111" t="s">
        <v>160</v>
      </c>
      <c r="B34" s="14" t="s">
        <v>161</v>
      </c>
      <c r="C34" s="49">
        <v>-8299</v>
      </c>
      <c r="D34" s="49">
        <v>-8441</v>
      </c>
      <c r="E34" s="49">
        <v>-6813</v>
      </c>
      <c r="F34" s="49">
        <v>-2809</v>
      </c>
      <c r="G34" s="32"/>
      <c r="P34" s="32"/>
      <c r="Q34" s="32"/>
      <c r="R34" s="32"/>
      <c r="S34" s="32"/>
      <c r="T34" s="4"/>
      <c r="U34" s="4"/>
      <c r="V34" s="4"/>
      <c r="W34" s="4"/>
      <c r="X34" s="4"/>
      <c r="Y34" s="4"/>
    </row>
    <row r="35" spans="1:25" ht="21.75" customHeight="1">
      <c r="A35" s="112" t="s">
        <v>162</v>
      </c>
      <c r="B35" s="14" t="s">
        <v>163</v>
      </c>
      <c r="C35" s="49">
        <v>59791</v>
      </c>
      <c r="D35" s="49">
        <v>60199</v>
      </c>
      <c r="E35" s="49">
        <v>51044</v>
      </c>
      <c r="F35" s="49">
        <v>50196</v>
      </c>
      <c r="G35" s="32"/>
      <c r="P35" s="32"/>
      <c r="Q35" s="32"/>
      <c r="R35" s="32"/>
      <c r="S35" s="32"/>
      <c r="T35" s="4"/>
      <c r="U35" s="4"/>
      <c r="V35" s="4"/>
      <c r="W35" s="4"/>
      <c r="X35" s="4"/>
      <c r="Y35" s="4"/>
    </row>
    <row r="36" spans="1:25" ht="20.149999999999999" customHeight="1">
      <c r="A36" s="17" t="s">
        <v>42</v>
      </c>
      <c r="B36" s="115" t="s">
        <v>146</v>
      </c>
      <c r="C36" s="47" t="s">
        <v>48</v>
      </c>
      <c r="D36" s="47" t="s">
        <v>48</v>
      </c>
      <c r="E36" s="47" t="s">
        <v>48</v>
      </c>
      <c r="F36" s="47">
        <v>351205</v>
      </c>
      <c r="P36" s="32"/>
      <c r="Q36" s="32"/>
      <c r="R36" s="32"/>
      <c r="S36" s="32"/>
      <c r="T36" s="4"/>
      <c r="U36" s="4"/>
      <c r="V36" s="4"/>
      <c r="W36" s="4"/>
      <c r="X36" s="4"/>
      <c r="Y36" s="4"/>
    </row>
    <row r="37" spans="1:25" ht="19.5" customHeight="1">
      <c r="A37" s="111" t="s">
        <v>43</v>
      </c>
      <c r="B37" s="11" t="s">
        <v>149</v>
      </c>
      <c r="C37" s="49" t="s">
        <v>48</v>
      </c>
      <c r="D37" s="49" t="s">
        <v>48</v>
      </c>
      <c r="E37" s="49" t="s">
        <v>48</v>
      </c>
      <c r="F37" s="49">
        <f>'[1]2005-2006'!F8</f>
        <v>354962</v>
      </c>
      <c r="G37" s="117"/>
    </row>
    <row r="38" spans="1:25" ht="24" customHeight="1">
      <c r="A38" s="112" t="s">
        <v>143</v>
      </c>
      <c r="B38" s="11" t="s">
        <v>26</v>
      </c>
      <c r="C38" s="49" t="s">
        <v>48</v>
      </c>
      <c r="D38" s="49" t="s">
        <v>48</v>
      </c>
      <c r="E38" s="49" t="s">
        <v>48</v>
      </c>
      <c r="F38" s="49">
        <f>'[1]2005-2006'!F20</f>
        <v>3757</v>
      </c>
    </row>
    <row r="39" spans="1:25" ht="20.25" customHeight="1">
      <c r="A39" s="17" t="s">
        <v>44</v>
      </c>
      <c r="B39" s="16" t="s">
        <v>145</v>
      </c>
      <c r="C39" s="47" t="s">
        <v>48</v>
      </c>
      <c r="D39" s="47" t="s">
        <v>48</v>
      </c>
      <c r="E39" s="47" t="s">
        <v>48</v>
      </c>
      <c r="F39" s="47">
        <v>198906</v>
      </c>
    </row>
    <row r="40" spans="1:25" ht="26.25" customHeight="1">
      <c r="A40" s="111" t="s">
        <v>45</v>
      </c>
      <c r="B40" s="80" t="s">
        <v>165</v>
      </c>
      <c r="C40" s="49" t="s">
        <v>48</v>
      </c>
      <c r="D40" s="49" t="s">
        <v>48</v>
      </c>
      <c r="E40" s="49" t="s">
        <v>48</v>
      </c>
      <c r="F40" s="49">
        <v>6088</v>
      </c>
    </row>
    <row r="41" spans="1:25" ht="25.5" customHeight="1">
      <c r="A41" s="113" t="s">
        <v>47</v>
      </c>
      <c r="B41" s="80" t="s">
        <v>169</v>
      </c>
      <c r="C41" s="120" t="s">
        <v>48</v>
      </c>
      <c r="D41" s="120" t="s">
        <v>48</v>
      </c>
      <c r="E41" s="120" t="s">
        <v>48</v>
      </c>
      <c r="F41" s="120">
        <f>'[1]2005-2006'!F17</f>
        <v>142622</v>
      </c>
    </row>
    <row r="42" spans="1:25" ht="24.75" customHeight="1">
      <c r="A42" s="114" t="s">
        <v>144</v>
      </c>
      <c r="B42" s="81" t="s">
        <v>167</v>
      </c>
      <c r="C42" s="50" t="s">
        <v>48</v>
      </c>
      <c r="D42" s="50" t="s">
        <v>48</v>
      </c>
      <c r="E42" s="50" t="s">
        <v>48</v>
      </c>
      <c r="F42" s="50">
        <f>'[1]2005-2006'!F18</f>
        <v>50196</v>
      </c>
    </row>
    <row r="43" spans="1:25" ht="15.5">
      <c r="A43" s="27" t="s">
        <v>49</v>
      </c>
      <c r="B43" s="43"/>
      <c r="C43" s="27"/>
      <c r="D43" s="27"/>
      <c r="E43" s="27"/>
      <c r="F43" s="27"/>
      <c r="G43" s="27"/>
      <c r="H43" s="27"/>
      <c r="I43" s="27"/>
      <c r="J43" s="27"/>
      <c r="K43" s="27"/>
      <c r="L43" s="45"/>
      <c r="M43" s="45"/>
      <c r="N43" s="45"/>
      <c r="O43" s="45"/>
      <c r="P43" s="45"/>
      <c r="Q43"/>
      <c r="R43"/>
      <c r="S43"/>
    </row>
    <row r="44" spans="1:25" ht="15.5">
      <c r="A44" s="27" t="s">
        <v>50</v>
      </c>
      <c r="B44" s="43"/>
      <c r="C44" s="27"/>
      <c r="D44" s="27"/>
      <c r="E44" s="27"/>
      <c r="F44" s="27"/>
      <c r="G44" s="27"/>
      <c r="H44" s="27"/>
      <c r="I44" s="27"/>
      <c r="J44" s="27"/>
      <c r="K44" s="27"/>
      <c r="L44" s="45"/>
      <c r="M44" s="45"/>
      <c r="N44" s="45"/>
      <c r="O44" s="45"/>
      <c r="P44" s="45"/>
      <c r="Q44"/>
      <c r="R44"/>
      <c r="S44"/>
    </row>
    <row r="45" spans="1:25" ht="15.5">
      <c r="A45" s="27" t="s">
        <v>85</v>
      </c>
      <c r="B45" s="43"/>
      <c r="C45" s="27"/>
      <c r="D45" s="27"/>
      <c r="E45" s="27"/>
      <c r="F45" s="27"/>
      <c r="G45" s="27"/>
      <c r="H45" s="27"/>
      <c r="I45" s="27"/>
      <c r="J45" s="27"/>
      <c r="K45" s="27"/>
      <c r="L45" s="45"/>
      <c r="M45" s="45"/>
      <c r="N45" s="45"/>
      <c r="O45" s="45"/>
      <c r="P45" s="45"/>
      <c r="Q45"/>
      <c r="R45"/>
      <c r="S45"/>
    </row>
    <row r="46" spans="1:25" ht="15.5">
      <c r="A46" s="27" t="s">
        <v>53</v>
      </c>
      <c r="B46" s="43"/>
      <c r="C46" s="27"/>
      <c r="D46" s="27"/>
      <c r="E46" s="27"/>
      <c r="F46" s="27"/>
      <c r="G46" s="27"/>
      <c r="H46" s="27"/>
      <c r="I46" s="27"/>
      <c r="J46" s="27"/>
      <c r="K46" s="27"/>
      <c r="L46" s="45"/>
      <c r="M46" s="45"/>
      <c r="N46" s="45"/>
      <c r="O46" s="45"/>
      <c r="P46" s="45"/>
      <c r="Q46"/>
      <c r="R46"/>
      <c r="S46"/>
    </row>
    <row r="47" spans="1:25" ht="15.5">
      <c r="A47" s="27" t="s">
        <v>86</v>
      </c>
      <c r="B47" s="43"/>
      <c r="C47" s="27"/>
      <c r="D47" s="27"/>
      <c r="E47" s="27"/>
      <c r="F47" s="27"/>
      <c r="G47" s="27"/>
      <c r="H47" s="27"/>
      <c r="I47" s="27"/>
      <c r="J47" s="27"/>
      <c r="K47" s="27"/>
      <c r="L47" s="45"/>
      <c r="M47" s="45"/>
      <c r="N47" s="45"/>
      <c r="O47" s="45"/>
      <c r="P47" s="45"/>
      <c r="Q47"/>
      <c r="R47"/>
      <c r="S47"/>
    </row>
    <row r="48" spans="1:25" ht="15.5">
      <c r="A48" s="27" t="s">
        <v>54</v>
      </c>
      <c r="B48" s="43"/>
      <c r="C48" s="27"/>
      <c r="D48" s="27"/>
      <c r="E48" s="27"/>
      <c r="F48" s="27"/>
      <c r="G48" s="27"/>
      <c r="H48" s="27"/>
      <c r="I48" s="27"/>
      <c r="J48" s="27"/>
      <c r="K48" s="27"/>
      <c r="L48" s="45"/>
      <c r="M48" s="45"/>
      <c r="N48" s="45"/>
      <c r="O48" s="45"/>
      <c r="P48" s="45"/>
      <c r="Q48"/>
      <c r="R48"/>
      <c r="S48"/>
    </row>
    <row r="49" spans="1:19" ht="15.5">
      <c r="A49" s="27" t="s">
        <v>87</v>
      </c>
      <c r="B49" s="43"/>
      <c r="C49" s="27"/>
      <c r="D49" s="27"/>
      <c r="E49" s="27"/>
      <c r="F49" s="27"/>
      <c r="G49" s="27"/>
      <c r="H49" s="27"/>
      <c r="I49" s="27"/>
      <c r="J49" s="27"/>
      <c r="K49" s="27"/>
      <c r="L49" s="45"/>
      <c r="M49" s="45"/>
      <c r="N49" s="45"/>
      <c r="O49" s="45"/>
      <c r="P49" s="45"/>
      <c r="Q49"/>
      <c r="R49"/>
      <c r="S49"/>
    </row>
    <row r="50" spans="1:19" ht="15.5">
      <c r="A50" s="96" t="s">
        <v>51</v>
      </c>
      <c r="B50" s="43"/>
      <c r="C50" s="27"/>
      <c r="D50" s="27"/>
      <c r="E50" s="27"/>
      <c r="F50" s="27"/>
      <c r="G50" s="27"/>
      <c r="H50" s="27"/>
    </row>
    <row r="51" spans="1:19" ht="18.75" customHeight="1">
      <c r="A51" s="96" t="s">
        <v>175</v>
      </c>
      <c r="B51" s="44"/>
      <c r="C51" s="27"/>
      <c r="D51" s="27"/>
      <c r="E51" s="27"/>
      <c r="F51" s="27"/>
      <c r="G51" s="27"/>
      <c r="H51" s="27"/>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Y51"/>
  <sheetViews>
    <sheetView view="pageBreakPreview" topLeftCell="A4" zoomScale="50" zoomScaleNormal="75" zoomScaleSheetLayoutView="50" workbookViewId="0">
      <selection activeCell="A4" sqref="A4:F51"/>
    </sheetView>
  </sheetViews>
  <sheetFormatPr defaultRowHeight="12.5"/>
  <cols>
    <col min="1" max="1" width="74.54296875" customWidth="1"/>
    <col min="2" max="2" width="90.81640625" style="1" customWidth="1"/>
    <col min="3" max="6" width="18.453125" customWidth="1"/>
    <col min="7" max="7" width="11.7265625" style="28" customWidth="1"/>
    <col min="8" max="8" width="12.81640625" style="28" bestFit="1" customWidth="1"/>
    <col min="9" max="9" width="11.1796875" style="28" bestFit="1" customWidth="1"/>
    <col min="10" max="10" width="10.7265625" style="28" bestFit="1" customWidth="1"/>
    <col min="11" max="19" width="9.1796875" style="28"/>
    <col min="25" max="25" width="9.26953125" bestFit="1" customWidth="1"/>
  </cols>
  <sheetData>
    <row r="1" spans="1:25" ht="15" hidden="1" customHeight="1"/>
    <row r="2" spans="1:25" ht="23" hidden="1">
      <c r="B2" s="164" t="s">
        <v>5</v>
      </c>
      <c r="C2" s="164"/>
      <c r="D2" s="164"/>
      <c r="E2" s="164"/>
      <c r="F2" s="164"/>
    </row>
    <row r="3" spans="1:25" ht="23" hidden="1">
      <c r="B3" s="165" t="s">
        <v>4</v>
      </c>
      <c r="C3" s="165"/>
      <c r="D3" s="165"/>
      <c r="E3" s="165"/>
      <c r="F3" s="165"/>
    </row>
    <row r="4" spans="1:25" s="5" customFormat="1" ht="45" customHeight="1">
      <c r="A4" s="166" t="s">
        <v>6</v>
      </c>
      <c r="B4" s="166"/>
      <c r="C4" s="166"/>
      <c r="D4" s="166"/>
      <c r="E4" s="166"/>
      <c r="F4" s="166"/>
      <c r="G4" s="29"/>
      <c r="H4" s="29"/>
      <c r="I4" s="29"/>
      <c r="J4" s="29"/>
      <c r="K4" s="29"/>
      <c r="L4" s="29"/>
      <c r="M4" s="29"/>
      <c r="N4" s="29"/>
      <c r="O4" s="29"/>
      <c r="P4" s="29"/>
      <c r="Q4" s="29"/>
      <c r="R4" s="29"/>
      <c r="S4" s="29"/>
    </row>
    <row r="5" spans="1:25" s="5" customFormat="1" ht="45" customHeight="1" thickBot="1">
      <c r="A5" s="42"/>
      <c r="B5" s="42"/>
      <c r="C5" s="42"/>
      <c r="D5" s="42"/>
      <c r="E5" s="42"/>
      <c r="F5" s="41" t="s">
        <v>52</v>
      </c>
      <c r="G5" s="30"/>
      <c r="H5" s="30"/>
      <c r="I5" s="30"/>
      <c r="J5" s="30"/>
      <c r="K5" s="30"/>
      <c r="L5" s="29"/>
      <c r="M5" s="29"/>
      <c r="N5" s="29"/>
      <c r="O5" s="29"/>
      <c r="P5" s="29"/>
      <c r="Q5" s="29"/>
      <c r="R5" s="29"/>
      <c r="S5" s="29"/>
    </row>
    <row r="6" spans="1:25" ht="25.5" customHeight="1" thickTop="1" thickBot="1">
      <c r="A6" s="167" t="s">
        <v>55</v>
      </c>
      <c r="B6" s="168"/>
      <c r="C6" s="53" t="s">
        <v>172</v>
      </c>
      <c r="D6" s="53" t="s">
        <v>173</v>
      </c>
      <c r="E6" s="53" t="s">
        <v>174</v>
      </c>
      <c r="F6" s="53" t="s">
        <v>3</v>
      </c>
      <c r="I6" s="31"/>
    </row>
    <row r="7" spans="1:25" ht="36" customHeight="1" thickTop="1" thickBot="1">
      <c r="A7" s="169"/>
      <c r="B7" s="170"/>
      <c r="C7" s="51" t="s">
        <v>77</v>
      </c>
      <c r="D7" s="51" t="s">
        <v>78</v>
      </c>
      <c r="E7" s="52" t="s">
        <v>79</v>
      </c>
      <c r="F7" s="51" t="s">
        <v>90</v>
      </c>
    </row>
    <row r="8" spans="1:25" ht="20.149999999999999" customHeight="1" thickTop="1">
      <c r="A8" s="23" t="s">
        <v>171</v>
      </c>
      <c r="B8" s="24" t="s">
        <v>7</v>
      </c>
      <c r="C8" s="47">
        <v>598483</v>
      </c>
      <c r="D8" s="47">
        <v>606996</v>
      </c>
      <c r="E8" s="47">
        <v>619468</v>
      </c>
      <c r="F8" s="47">
        <f>F9+F33+F36-F39</f>
        <v>630966</v>
      </c>
      <c r="G8" s="32"/>
      <c r="P8" s="32"/>
      <c r="Q8" s="32"/>
      <c r="R8" s="32"/>
      <c r="S8" s="32"/>
      <c r="T8" s="4"/>
      <c r="U8" s="4"/>
      <c r="V8" s="4"/>
      <c r="W8" s="4"/>
      <c r="X8" s="4"/>
      <c r="Y8" s="4"/>
    </row>
    <row r="9" spans="1:25" s="8" customFormat="1" ht="20.149999999999999" customHeight="1">
      <c r="A9" s="21" t="s">
        <v>151</v>
      </c>
      <c r="B9" s="16" t="s">
        <v>8</v>
      </c>
      <c r="C9" s="47">
        <f>C10+C28+C29+C30+C31+C32</f>
        <v>446634</v>
      </c>
      <c r="D9" s="47">
        <f>D10+D28+D29+D30+D31+D32</f>
        <v>453411</v>
      </c>
      <c r="E9" s="47">
        <f>E10+E28+E29+E30+E31+E32</f>
        <v>468327</v>
      </c>
      <c r="F9" s="47">
        <f>F10+F28+F29+F30+F31+F32</f>
        <v>478173</v>
      </c>
      <c r="G9" s="33"/>
      <c r="H9" s="33"/>
      <c r="I9" s="33"/>
      <c r="J9" s="33"/>
      <c r="K9" s="34"/>
      <c r="L9" s="34"/>
      <c r="M9" s="34"/>
      <c r="N9" s="34"/>
      <c r="O9" s="34"/>
      <c r="P9" s="33"/>
      <c r="Q9" s="33"/>
      <c r="R9" s="33"/>
      <c r="S9" s="33"/>
      <c r="T9" s="9"/>
      <c r="U9" s="9"/>
      <c r="V9" s="9"/>
      <c r="W9" s="9"/>
      <c r="X9" s="9"/>
      <c r="Y9" s="9"/>
    </row>
    <row r="10" spans="1:25" s="7" customFormat="1" ht="20.149999999999999" customHeight="1">
      <c r="A10" s="18" t="s">
        <v>27</v>
      </c>
      <c r="B10" s="16" t="s">
        <v>9</v>
      </c>
      <c r="C10" s="86">
        <f>C11+C24</f>
        <v>550599</v>
      </c>
      <c r="D10" s="86">
        <f t="shared" ref="D10:F10" si="0">D11+D24</f>
        <v>549541</v>
      </c>
      <c r="E10" s="86">
        <f t="shared" si="0"/>
        <v>551834</v>
      </c>
      <c r="F10" s="86">
        <f t="shared" si="0"/>
        <v>562897</v>
      </c>
      <c r="G10" s="35"/>
      <c r="H10" s="36"/>
      <c r="I10" s="36"/>
      <c r="J10" s="36"/>
      <c r="K10" s="36"/>
      <c r="L10" s="36"/>
      <c r="M10" s="36"/>
      <c r="N10" s="36"/>
      <c r="O10" s="36"/>
      <c r="P10" s="35"/>
      <c r="Q10" s="35"/>
      <c r="R10" s="35"/>
      <c r="S10" s="35"/>
      <c r="T10" s="6"/>
      <c r="U10" s="6"/>
      <c r="V10" s="6"/>
      <c r="W10" s="6"/>
      <c r="X10" s="6"/>
      <c r="Y10" s="6"/>
    </row>
    <row r="11" spans="1:25" s="7" customFormat="1" ht="20.149999999999999" customHeight="1">
      <c r="A11" s="18" t="s">
        <v>111</v>
      </c>
      <c r="B11" s="16" t="s">
        <v>112</v>
      </c>
      <c r="C11" s="48">
        <f>C12+C13+C14+C17+C18+C19+C20+C21+C22+C23</f>
        <v>443242</v>
      </c>
      <c r="D11" s="48">
        <f t="shared" ref="D11:F11" si="1">D12+D13+D14+D17+D18+D19+D20+D21+D22+D23</f>
        <v>443184</v>
      </c>
      <c r="E11" s="48">
        <f t="shared" si="1"/>
        <v>441177</v>
      </c>
      <c r="F11" s="48">
        <f t="shared" si="1"/>
        <v>444240</v>
      </c>
      <c r="G11" s="35"/>
      <c r="H11" s="36"/>
      <c r="I11" s="36"/>
      <c r="J11" s="36"/>
      <c r="K11" s="36"/>
      <c r="L11" s="36"/>
      <c r="M11" s="36"/>
      <c r="N11" s="36"/>
      <c r="O11" s="36"/>
      <c r="P11" s="35"/>
      <c r="Q11" s="35"/>
      <c r="R11" s="35"/>
      <c r="S11" s="35"/>
      <c r="T11" s="6"/>
      <c r="U11" s="6"/>
      <c r="V11" s="6"/>
      <c r="W11" s="6"/>
      <c r="X11" s="6"/>
      <c r="Y11" s="6"/>
    </row>
    <row r="12" spans="1:25" s="7" customFormat="1" ht="20.149999999999999" customHeight="1">
      <c r="A12" s="20" t="s">
        <v>28</v>
      </c>
      <c r="B12" s="11" t="s">
        <v>10</v>
      </c>
      <c r="C12" s="49">
        <v>164017</v>
      </c>
      <c r="D12" s="49">
        <v>164017</v>
      </c>
      <c r="E12" s="49">
        <v>164017</v>
      </c>
      <c r="F12" s="49">
        <f>230848-F17-F13-F15</f>
        <v>165980</v>
      </c>
      <c r="G12" s="36"/>
      <c r="H12" s="35"/>
      <c r="I12" s="36"/>
      <c r="J12" s="36"/>
      <c r="K12" s="36"/>
      <c r="L12" s="36"/>
      <c r="M12" s="36"/>
      <c r="N12" s="36"/>
      <c r="O12" s="36"/>
      <c r="P12" s="35"/>
      <c r="Q12" s="35"/>
      <c r="R12" s="35"/>
      <c r="S12" s="35"/>
      <c r="T12" s="6"/>
      <c r="U12" s="6"/>
      <c r="V12" s="6"/>
      <c r="W12" s="6"/>
      <c r="X12" s="6"/>
      <c r="Y12" s="6"/>
    </row>
    <row r="13" spans="1:25" s="8" customFormat="1" ht="20.149999999999999" customHeight="1">
      <c r="A13" s="19" t="s">
        <v>29</v>
      </c>
      <c r="B13" s="11" t="s">
        <v>11</v>
      </c>
      <c r="C13" s="49">
        <v>4000</v>
      </c>
      <c r="D13" s="49">
        <v>4000</v>
      </c>
      <c r="E13" s="49">
        <v>4000</v>
      </c>
      <c r="F13" s="49">
        <v>4000</v>
      </c>
      <c r="G13" s="34"/>
      <c r="H13" s="33"/>
      <c r="I13" s="34"/>
      <c r="J13" s="34"/>
      <c r="K13" s="34"/>
      <c r="L13" s="34"/>
      <c r="M13" s="34"/>
      <c r="N13" s="34"/>
      <c r="O13" s="34"/>
      <c r="P13" s="33"/>
      <c r="Q13" s="33"/>
      <c r="R13" s="33"/>
      <c r="S13" s="33"/>
      <c r="T13" s="9"/>
      <c r="U13" s="9"/>
      <c r="V13" s="9"/>
      <c r="W13" s="9"/>
      <c r="X13" s="9"/>
      <c r="Y13" s="9"/>
    </row>
    <row r="14" spans="1:25" s="7" customFormat="1" ht="20.149999999999999" customHeight="1">
      <c r="A14" s="108" t="s">
        <v>30</v>
      </c>
      <c r="B14" s="11" t="s">
        <v>84</v>
      </c>
      <c r="C14" s="49">
        <f>C15+C16</f>
        <v>3857</v>
      </c>
      <c r="D14" s="49">
        <f t="shared" ref="D14:F14" si="2">D15+D16</f>
        <v>3855</v>
      </c>
      <c r="E14" s="49">
        <f t="shared" si="2"/>
        <v>3872</v>
      </c>
      <c r="F14" s="49">
        <f t="shared" si="2"/>
        <v>3868</v>
      </c>
      <c r="G14" s="36"/>
      <c r="H14" s="33"/>
      <c r="I14" s="36"/>
      <c r="J14" s="36"/>
      <c r="K14" s="36"/>
      <c r="L14" s="36"/>
      <c r="M14" s="36"/>
      <c r="N14" s="36"/>
      <c r="O14" s="36"/>
      <c r="P14" s="35"/>
      <c r="Q14" s="35"/>
      <c r="R14" s="35"/>
      <c r="S14" s="35"/>
      <c r="T14" s="6"/>
      <c r="U14" s="6"/>
      <c r="V14" s="6"/>
      <c r="W14" s="6"/>
      <c r="X14" s="6"/>
      <c r="Y14" s="6"/>
    </row>
    <row r="15" spans="1:25" s="7" customFormat="1" ht="20.149999999999999" customHeight="1">
      <c r="A15" s="101" t="s">
        <v>31</v>
      </c>
      <c r="B15" s="12" t="s">
        <v>12</v>
      </c>
      <c r="C15" s="49">
        <v>3857</v>
      </c>
      <c r="D15" s="49">
        <v>3855</v>
      </c>
      <c r="E15" s="49">
        <v>3872</v>
      </c>
      <c r="F15" s="49">
        <v>3868</v>
      </c>
      <c r="G15" s="36"/>
      <c r="H15" s="33"/>
      <c r="I15" s="36"/>
      <c r="J15" s="36"/>
      <c r="K15" s="36"/>
      <c r="L15" s="36"/>
      <c r="M15" s="36"/>
      <c r="N15" s="36"/>
      <c r="O15" s="36"/>
      <c r="P15" s="35"/>
      <c r="Q15" s="35"/>
      <c r="R15" s="35"/>
      <c r="S15" s="35"/>
      <c r="T15" s="6"/>
      <c r="U15" s="6"/>
      <c r="V15" s="6"/>
      <c r="W15" s="6"/>
      <c r="X15" s="6"/>
      <c r="Y15" s="6"/>
    </row>
    <row r="16" spans="1:25" ht="20.149999999999999" customHeight="1">
      <c r="A16" s="101" t="s">
        <v>32</v>
      </c>
      <c r="B16" s="12" t="s">
        <v>13</v>
      </c>
      <c r="C16" s="49">
        <v>0</v>
      </c>
      <c r="D16" s="49">
        <v>0</v>
      </c>
      <c r="E16" s="49">
        <v>0</v>
      </c>
      <c r="F16" s="49">
        <v>0</v>
      </c>
      <c r="P16" s="32"/>
      <c r="Q16" s="32"/>
      <c r="R16" s="32"/>
      <c r="S16" s="32"/>
      <c r="T16" s="4"/>
      <c r="U16" s="4"/>
      <c r="V16" s="4"/>
      <c r="W16" s="4"/>
      <c r="X16" s="4"/>
      <c r="Y16" s="4"/>
    </row>
    <row r="17" spans="1:25" ht="20.149999999999999" customHeight="1">
      <c r="A17" s="10" t="s">
        <v>33</v>
      </c>
      <c r="B17" s="13" t="s">
        <v>14</v>
      </c>
      <c r="C17" s="49">
        <v>58000</v>
      </c>
      <c r="D17" s="49">
        <v>58000</v>
      </c>
      <c r="E17" s="49">
        <v>56000</v>
      </c>
      <c r="F17" s="49">
        <v>57000</v>
      </c>
      <c r="P17" s="32"/>
      <c r="Q17" s="32"/>
      <c r="R17" s="32"/>
      <c r="S17" s="32"/>
      <c r="T17" s="4"/>
      <c r="U17" s="4"/>
      <c r="V17" s="4"/>
      <c r="W17" s="4"/>
      <c r="X17" s="4"/>
      <c r="Y17" s="4"/>
    </row>
    <row r="18" spans="1:25" ht="20.149999999999999" customHeight="1">
      <c r="A18" s="10" t="s">
        <v>34</v>
      </c>
      <c r="B18" s="13" t="s">
        <v>15</v>
      </c>
      <c r="C18" s="49">
        <v>2000</v>
      </c>
      <c r="D18" s="49">
        <v>2000</v>
      </c>
      <c r="E18" s="49">
        <v>2000</v>
      </c>
      <c r="F18" s="49">
        <v>2000</v>
      </c>
      <c r="I18" s="32"/>
      <c r="P18" s="32"/>
      <c r="Q18" s="32"/>
      <c r="R18" s="32"/>
      <c r="S18" s="32"/>
      <c r="T18" s="4"/>
      <c r="U18" s="4"/>
      <c r="V18" s="4"/>
      <c r="W18" s="4"/>
      <c r="X18" s="4"/>
      <c r="Y18" s="4"/>
    </row>
    <row r="19" spans="1:25" s="3" customFormat="1" ht="20.149999999999999" customHeight="1">
      <c r="A19" s="10" t="s">
        <v>35</v>
      </c>
      <c r="B19" s="13" t="s">
        <v>16</v>
      </c>
      <c r="C19" s="49">
        <v>123</v>
      </c>
      <c r="D19" s="49">
        <v>119</v>
      </c>
      <c r="E19" s="49">
        <v>119</v>
      </c>
      <c r="F19" s="49">
        <v>119</v>
      </c>
      <c r="G19" s="37"/>
      <c r="H19" s="37"/>
      <c r="I19" s="38"/>
      <c r="J19" s="38"/>
      <c r="K19" s="37"/>
      <c r="L19" s="37"/>
      <c r="M19" s="37"/>
      <c r="N19" s="37"/>
      <c r="O19" s="37"/>
      <c r="P19" s="32"/>
      <c r="Q19" s="32"/>
      <c r="R19" s="32"/>
      <c r="S19" s="32"/>
      <c r="T19" s="4"/>
      <c r="U19" s="4"/>
      <c r="V19" s="4"/>
      <c r="W19" s="4"/>
      <c r="X19" s="4"/>
      <c r="Y19" s="4"/>
    </row>
    <row r="20" spans="1:25" ht="20.149999999999999" customHeight="1">
      <c r="A20" s="10" t="s">
        <v>46</v>
      </c>
      <c r="B20" s="13" t="s">
        <v>17</v>
      </c>
      <c r="C20" s="49">
        <v>11968</v>
      </c>
      <c r="D20" s="49">
        <v>11910</v>
      </c>
      <c r="E20" s="49">
        <v>11886</v>
      </c>
      <c r="F20" s="49">
        <v>11886</v>
      </c>
      <c r="H20" s="39"/>
      <c r="I20" s="32"/>
      <c r="P20" s="32"/>
      <c r="Q20" s="32"/>
      <c r="R20" s="32"/>
      <c r="S20" s="32"/>
      <c r="T20" s="4"/>
      <c r="U20" s="4"/>
      <c r="V20" s="4"/>
      <c r="W20" s="4"/>
      <c r="X20" s="4"/>
      <c r="Y20" s="4"/>
    </row>
    <row r="21" spans="1:25" ht="19.5" customHeight="1">
      <c r="A21" s="10" t="s">
        <v>36</v>
      </c>
      <c r="B21" s="13" t="s">
        <v>18</v>
      </c>
      <c r="C21" s="49">
        <v>1552</v>
      </c>
      <c r="D21" s="49">
        <v>1558</v>
      </c>
      <c r="E21" s="49">
        <v>1558</v>
      </c>
      <c r="F21" s="49">
        <v>1588</v>
      </c>
      <c r="J21" s="32"/>
      <c r="P21" s="32"/>
      <c r="Q21" s="32"/>
      <c r="R21" s="32"/>
      <c r="S21" s="32"/>
      <c r="T21" s="4"/>
      <c r="U21" s="4"/>
      <c r="V21" s="4"/>
      <c r="W21" s="4"/>
      <c r="X21" s="4"/>
      <c r="Y21" s="4"/>
    </row>
    <row r="22" spans="1:25" ht="20.149999999999999" customHeight="1">
      <c r="A22" s="10" t="s">
        <v>142</v>
      </c>
      <c r="B22" s="13" t="s">
        <v>19</v>
      </c>
      <c r="C22" s="49">
        <v>197725</v>
      </c>
      <c r="D22" s="49">
        <v>197725</v>
      </c>
      <c r="E22" s="49">
        <v>197725</v>
      </c>
      <c r="F22" s="49">
        <v>197799</v>
      </c>
      <c r="H22" s="32"/>
      <c r="P22" s="32"/>
      <c r="Q22" s="32"/>
      <c r="R22" s="32"/>
      <c r="S22" s="32"/>
      <c r="T22" s="4"/>
      <c r="U22" s="4"/>
      <c r="V22" s="4"/>
      <c r="W22" s="4"/>
      <c r="X22" s="4"/>
      <c r="Y22" s="4"/>
    </row>
    <row r="23" spans="1:25" ht="20.149999999999999" customHeight="1">
      <c r="A23" s="76" t="s">
        <v>37</v>
      </c>
      <c r="B23" s="13" t="s">
        <v>20</v>
      </c>
      <c r="C23" s="49">
        <v>0</v>
      </c>
      <c r="D23" s="49">
        <v>0</v>
      </c>
      <c r="E23" s="49">
        <v>0</v>
      </c>
      <c r="F23" s="49">
        <v>0</v>
      </c>
      <c r="P23" s="32"/>
      <c r="Q23" s="32"/>
      <c r="R23" s="32"/>
      <c r="S23" s="32"/>
      <c r="T23" s="4"/>
      <c r="U23" s="4"/>
      <c r="V23" s="4"/>
      <c r="W23" s="4"/>
      <c r="X23" s="4"/>
      <c r="Y23" s="4"/>
    </row>
    <row r="24" spans="1:25" ht="20.149999999999999" customHeight="1">
      <c r="A24" s="77" t="s">
        <v>38</v>
      </c>
      <c r="B24" s="78" t="s">
        <v>21</v>
      </c>
      <c r="C24" s="47">
        <f t="shared" ref="C24:F24" si="3">C25+C26+C27</f>
        <v>107357</v>
      </c>
      <c r="D24" s="47">
        <f t="shared" si="3"/>
        <v>106357</v>
      </c>
      <c r="E24" s="47">
        <f t="shared" si="3"/>
        <v>110657</v>
      </c>
      <c r="F24" s="47">
        <f t="shared" si="3"/>
        <v>118657</v>
      </c>
      <c r="H24" s="32"/>
      <c r="P24" s="32"/>
      <c r="Q24" s="32"/>
      <c r="R24" s="32"/>
      <c r="S24" s="32"/>
      <c r="T24" s="4"/>
      <c r="U24" s="4"/>
      <c r="V24" s="4"/>
      <c r="W24" s="4"/>
      <c r="X24" s="4"/>
      <c r="Y24" s="4"/>
    </row>
    <row r="25" spans="1:25" ht="20.149999999999999" customHeight="1">
      <c r="A25" s="110" t="s">
        <v>32</v>
      </c>
      <c r="B25" s="25" t="s">
        <v>13</v>
      </c>
      <c r="C25" s="49">
        <v>107357</v>
      </c>
      <c r="D25" s="49">
        <v>106357</v>
      </c>
      <c r="E25" s="49">
        <v>110657</v>
      </c>
      <c r="F25" s="49">
        <v>118657</v>
      </c>
      <c r="K25" s="32"/>
      <c r="P25" s="32"/>
      <c r="Q25" s="32"/>
      <c r="R25" s="32"/>
      <c r="S25" s="32"/>
      <c r="T25" s="4"/>
      <c r="U25" s="4"/>
      <c r="V25" s="4"/>
      <c r="W25" s="4"/>
      <c r="X25" s="4"/>
      <c r="Y25" s="4"/>
    </row>
    <row r="26" spans="1:25" ht="20.149999999999999" customHeight="1">
      <c r="A26" s="110" t="s">
        <v>31</v>
      </c>
      <c r="B26" s="25" t="s">
        <v>12</v>
      </c>
      <c r="C26" s="49">
        <v>0</v>
      </c>
      <c r="D26" s="49">
        <v>0</v>
      </c>
      <c r="E26" s="49">
        <v>0</v>
      </c>
      <c r="F26" s="49">
        <v>0</v>
      </c>
      <c r="J26" s="32"/>
      <c r="P26" s="32"/>
      <c r="Q26" s="32"/>
      <c r="R26" s="32"/>
      <c r="S26" s="32"/>
      <c r="T26" s="4"/>
      <c r="U26" s="4"/>
      <c r="V26" s="4"/>
      <c r="W26" s="4"/>
      <c r="X26" s="4"/>
      <c r="Y26" s="4"/>
    </row>
    <row r="27" spans="1:25" ht="20.149999999999999" customHeight="1">
      <c r="A27" s="102" t="s">
        <v>135</v>
      </c>
      <c r="B27" s="25" t="s">
        <v>22</v>
      </c>
      <c r="C27" s="47">
        <v>0</v>
      </c>
      <c r="D27" s="47">
        <v>0</v>
      </c>
      <c r="E27" s="47">
        <v>0</v>
      </c>
      <c r="F27" s="47">
        <v>0</v>
      </c>
      <c r="H27" s="32"/>
      <c r="P27" s="32"/>
      <c r="Q27" s="32"/>
      <c r="R27" s="32"/>
      <c r="S27" s="32"/>
      <c r="T27" s="4"/>
      <c r="U27" s="4"/>
      <c r="V27" s="4"/>
      <c r="W27" s="4"/>
      <c r="X27" s="4"/>
      <c r="Y27" s="4"/>
    </row>
    <row r="28" spans="1:25" s="2" customFormat="1" ht="20.149999999999999" customHeight="1">
      <c r="A28" s="17" t="s">
        <v>39</v>
      </c>
      <c r="B28" s="16" t="s">
        <v>23</v>
      </c>
      <c r="C28" s="47">
        <v>0</v>
      </c>
      <c r="D28" s="47">
        <v>0</v>
      </c>
      <c r="E28" s="47">
        <v>0</v>
      </c>
      <c r="F28" s="47">
        <v>0</v>
      </c>
      <c r="G28" s="40"/>
      <c r="H28" s="40"/>
      <c r="I28" s="40"/>
      <c r="J28" s="40"/>
      <c r="K28" s="40"/>
      <c r="L28" s="40"/>
      <c r="M28" s="40"/>
      <c r="N28" s="40"/>
      <c r="O28" s="40"/>
      <c r="P28" s="32"/>
      <c r="Q28" s="32"/>
      <c r="R28" s="32"/>
      <c r="S28" s="32"/>
      <c r="T28" s="4"/>
      <c r="U28" s="4"/>
      <c r="V28" s="4"/>
      <c r="W28" s="4"/>
      <c r="X28" s="4"/>
      <c r="Y28" s="4"/>
    </row>
    <row r="29" spans="1:25" ht="20.149999999999999" customHeight="1">
      <c r="A29" s="17" t="s">
        <v>40</v>
      </c>
      <c r="B29" s="16" t="s">
        <v>24</v>
      </c>
      <c r="C29" s="47">
        <v>0</v>
      </c>
      <c r="D29" s="47">
        <v>0</v>
      </c>
      <c r="E29" s="47">
        <v>0</v>
      </c>
      <c r="F29" s="47">
        <v>4517</v>
      </c>
      <c r="P29" s="32"/>
      <c r="Q29" s="32"/>
      <c r="R29" s="32"/>
      <c r="S29" s="32"/>
      <c r="T29" s="4"/>
      <c r="U29" s="4"/>
      <c r="V29" s="4"/>
      <c r="W29" s="4"/>
      <c r="X29" s="4"/>
      <c r="Y29" s="4"/>
    </row>
    <row r="30" spans="1:25" ht="21" customHeight="1">
      <c r="A30" s="18" t="s">
        <v>137</v>
      </c>
      <c r="B30" s="16" t="s">
        <v>103</v>
      </c>
      <c r="C30" s="47">
        <v>0</v>
      </c>
      <c r="D30" s="47">
        <v>0</v>
      </c>
      <c r="E30" s="47">
        <v>0</v>
      </c>
      <c r="F30" s="47">
        <v>0</v>
      </c>
      <c r="I30" s="32"/>
      <c r="P30" s="32"/>
      <c r="Q30" s="32"/>
      <c r="R30" s="32"/>
      <c r="S30" s="32"/>
      <c r="T30" s="4"/>
      <c r="U30" s="4"/>
      <c r="V30" s="4"/>
      <c r="W30" s="4"/>
      <c r="X30" s="4"/>
      <c r="Y30" s="4"/>
    </row>
    <row r="31" spans="1:25" ht="20.149999999999999" customHeight="1">
      <c r="A31" s="18" t="s">
        <v>41</v>
      </c>
      <c r="B31" s="16" t="s">
        <v>25</v>
      </c>
      <c r="C31" s="47">
        <v>-103965</v>
      </c>
      <c r="D31" s="47">
        <v>-96130</v>
      </c>
      <c r="E31" s="47">
        <v>-83507</v>
      </c>
      <c r="F31" s="47">
        <v>-89241</v>
      </c>
      <c r="P31" s="32"/>
      <c r="Q31" s="32"/>
      <c r="R31" s="32"/>
      <c r="S31" s="32"/>
      <c r="T31" s="4"/>
      <c r="U31" s="4"/>
      <c r="V31" s="4"/>
      <c r="W31" s="4"/>
      <c r="X31" s="4"/>
      <c r="Y31" s="4"/>
    </row>
    <row r="32" spans="1:25" s="63" customFormat="1" ht="20.149999999999999" customHeight="1">
      <c r="A32" s="18" t="s">
        <v>104</v>
      </c>
      <c r="B32" s="16" t="s">
        <v>105</v>
      </c>
      <c r="C32" s="64">
        <v>0</v>
      </c>
      <c r="D32" s="64">
        <v>0</v>
      </c>
      <c r="E32" s="64">
        <v>0</v>
      </c>
      <c r="F32" s="64">
        <v>0</v>
      </c>
      <c r="G32" s="60"/>
      <c r="H32" s="60"/>
      <c r="I32" s="60"/>
      <c r="J32" s="60"/>
      <c r="K32" s="60"/>
      <c r="L32" s="60"/>
      <c r="M32" s="60"/>
      <c r="N32" s="60"/>
      <c r="O32" s="60"/>
      <c r="P32" s="61"/>
      <c r="Q32" s="61"/>
      <c r="R32" s="61"/>
      <c r="S32" s="61"/>
      <c r="T32" s="62"/>
      <c r="U32" s="62"/>
      <c r="V32" s="62"/>
      <c r="W32" s="62"/>
      <c r="X32" s="62"/>
      <c r="Y32" s="62"/>
    </row>
    <row r="33" spans="1:25" ht="20.149999999999999" customHeight="1">
      <c r="A33" s="17" t="s">
        <v>148</v>
      </c>
      <c r="B33" s="115" t="s">
        <v>150</v>
      </c>
      <c r="C33" s="47">
        <v>49412</v>
      </c>
      <c r="D33" s="47">
        <v>50228</v>
      </c>
      <c r="E33" s="47">
        <v>46255</v>
      </c>
      <c r="F33" s="47">
        <v>44557</v>
      </c>
      <c r="H33" s="32"/>
      <c r="P33" s="32"/>
      <c r="Q33" s="32"/>
      <c r="R33" s="32"/>
      <c r="S33" s="32"/>
      <c r="T33" s="4"/>
      <c r="U33" s="4"/>
      <c r="V33" s="4"/>
      <c r="W33" s="4"/>
      <c r="X33" s="4"/>
      <c r="Y33" s="4"/>
    </row>
    <row r="34" spans="1:25" ht="23.25" customHeight="1">
      <c r="A34" s="111" t="s">
        <v>160</v>
      </c>
      <c r="B34" s="14" t="s">
        <v>161</v>
      </c>
      <c r="C34" s="49">
        <v>-2098</v>
      </c>
      <c r="D34" s="49">
        <v>-1644</v>
      </c>
      <c r="E34" s="49">
        <v>-5326</v>
      </c>
      <c r="F34" s="49">
        <v>-7177</v>
      </c>
      <c r="G34" s="32"/>
      <c r="P34" s="32"/>
      <c r="Q34" s="32"/>
      <c r="R34" s="32"/>
      <c r="S34" s="32"/>
      <c r="T34" s="4"/>
      <c r="U34" s="4"/>
      <c r="V34" s="4"/>
      <c r="W34" s="4"/>
      <c r="X34" s="4"/>
      <c r="Y34" s="4"/>
    </row>
    <row r="35" spans="1:25" ht="21.75" customHeight="1">
      <c r="A35" s="112" t="s">
        <v>162</v>
      </c>
      <c r="B35" s="14" t="s">
        <v>163</v>
      </c>
      <c r="C35" s="49">
        <v>51510</v>
      </c>
      <c r="D35" s="49">
        <v>51872</v>
      </c>
      <c r="E35" s="49">
        <v>51581</v>
      </c>
      <c r="F35" s="49">
        <v>51734</v>
      </c>
      <c r="G35" s="32"/>
      <c r="P35" s="32"/>
      <c r="Q35" s="32"/>
      <c r="R35" s="32"/>
      <c r="S35" s="32"/>
      <c r="T35" s="4"/>
      <c r="U35" s="4"/>
      <c r="V35" s="4"/>
      <c r="W35" s="4"/>
      <c r="X35" s="4"/>
      <c r="Y35" s="4"/>
    </row>
    <row r="36" spans="1:25" ht="20.149999999999999" customHeight="1">
      <c r="A36" s="17" t="s">
        <v>42</v>
      </c>
      <c r="B36" s="115" t="s">
        <v>146</v>
      </c>
      <c r="C36" s="47" t="s">
        <v>48</v>
      </c>
      <c r="D36" s="47" t="s">
        <v>48</v>
      </c>
      <c r="E36" s="47" t="s">
        <v>48</v>
      </c>
      <c r="F36" s="47">
        <f>F37-F38</f>
        <v>166201</v>
      </c>
      <c r="P36" s="32"/>
      <c r="Q36" s="32"/>
      <c r="R36" s="32"/>
      <c r="S36" s="32"/>
      <c r="T36" s="4"/>
      <c r="U36" s="4"/>
      <c r="V36" s="4"/>
      <c r="W36" s="4"/>
      <c r="X36" s="4"/>
      <c r="Y36" s="4"/>
    </row>
    <row r="37" spans="1:25" ht="19.5" customHeight="1">
      <c r="A37" s="111" t="s">
        <v>43</v>
      </c>
      <c r="B37" s="11" t="s">
        <v>149</v>
      </c>
      <c r="C37" s="49" t="s">
        <v>48</v>
      </c>
      <c r="D37" s="49" t="s">
        <v>48</v>
      </c>
      <c r="E37" s="49" t="s">
        <v>48</v>
      </c>
      <c r="F37" s="49">
        <v>169152</v>
      </c>
    </row>
    <row r="38" spans="1:25" ht="24" customHeight="1">
      <c r="A38" s="112" t="s">
        <v>143</v>
      </c>
      <c r="B38" s="11" t="s">
        <v>26</v>
      </c>
      <c r="C38" s="49" t="s">
        <v>48</v>
      </c>
      <c r="D38" s="49" t="s">
        <v>48</v>
      </c>
      <c r="E38" s="49" t="s">
        <v>48</v>
      </c>
      <c r="F38" s="49">
        <v>2951</v>
      </c>
    </row>
    <row r="39" spans="1:25" ht="20.25" customHeight="1">
      <c r="A39" s="17" t="s">
        <v>44</v>
      </c>
      <c r="B39" s="16" t="s">
        <v>145</v>
      </c>
      <c r="C39" s="47" t="s">
        <v>48</v>
      </c>
      <c r="D39" s="47" t="s">
        <v>48</v>
      </c>
      <c r="E39" s="47" t="s">
        <v>48</v>
      </c>
      <c r="F39" s="47">
        <f>F40+F41+F42</f>
        <v>57965</v>
      </c>
    </row>
    <row r="40" spans="1:25" ht="26.25" customHeight="1">
      <c r="A40" s="111" t="s">
        <v>45</v>
      </c>
      <c r="B40" s="84" t="s">
        <v>165</v>
      </c>
      <c r="C40" s="49" t="s">
        <v>48</v>
      </c>
      <c r="D40" s="49" t="s">
        <v>48</v>
      </c>
      <c r="E40" s="49" t="s">
        <v>48</v>
      </c>
      <c r="F40" s="49">
        <v>6231</v>
      </c>
    </row>
    <row r="41" spans="1:25" ht="25.5" customHeight="1">
      <c r="A41" s="113" t="s">
        <v>47</v>
      </c>
      <c r="B41" s="80" t="s">
        <v>169</v>
      </c>
      <c r="C41" s="49" t="s">
        <v>48</v>
      </c>
      <c r="D41" s="49" t="s">
        <v>48</v>
      </c>
      <c r="E41" s="49" t="s">
        <v>48</v>
      </c>
      <c r="F41" s="49">
        <v>0</v>
      </c>
    </row>
    <row r="42" spans="1:25" ht="24.75" customHeight="1">
      <c r="A42" s="114" t="s">
        <v>144</v>
      </c>
      <c r="B42" s="81" t="s">
        <v>167</v>
      </c>
      <c r="C42" s="50" t="s">
        <v>48</v>
      </c>
      <c r="D42" s="50" t="s">
        <v>48</v>
      </c>
      <c r="E42" s="50" t="s">
        <v>48</v>
      </c>
      <c r="F42" s="50">
        <v>51734</v>
      </c>
    </row>
    <row r="43" spans="1:25" ht="15.5">
      <c r="A43" s="27" t="s">
        <v>49</v>
      </c>
      <c r="B43" s="43"/>
      <c r="C43" s="27"/>
      <c r="D43" s="27"/>
      <c r="E43" s="27"/>
      <c r="F43" s="27"/>
      <c r="G43" s="27"/>
      <c r="H43" s="27"/>
      <c r="I43" s="27"/>
      <c r="J43" s="27"/>
      <c r="K43" s="27"/>
      <c r="L43" s="45"/>
      <c r="M43" s="45"/>
      <c r="N43" s="45"/>
      <c r="O43" s="45"/>
      <c r="P43" s="45"/>
      <c r="Q43"/>
      <c r="R43"/>
      <c r="S43"/>
    </row>
    <row r="44" spans="1:25" ht="15.5">
      <c r="A44" s="27" t="s">
        <v>50</v>
      </c>
      <c r="B44" s="43"/>
      <c r="C44" s="27"/>
      <c r="D44" s="27"/>
      <c r="E44" s="27"/>
      <c r="F44" s="27"/>
      <c r="G44" s="27"/>
      <c r="H44" s="27"/>
      <c r="I44" s="27"/>
      <c r="J44" s="27"/>
      <c r="K44" s="27"/>
      <c r="L44" s="45"/>
      <c r="M44" s="45"/>
      <c r="N44" s="45"/>
      <c r="O44" s="45"/>
      <c r="P44" s="45"/>
      <c r="Q44"/>
      <c r="R44"/>
      <c r="S44"/>
    </row>
    <row r="45" spans="1:25" ht="15.5">
      <c r="A45" s="27" t="s">
        <v>85</v>
      </c>
      <c r="B45" s="43"/>
      <c r="C45" s="27"/>
      <c r="D45" s="27"/>
      <c r="E45" s="27"/>
      <c r="F45" s="27"/>
      <c r="G45" s="27"/>
      <c r="H45" s="27"/>
      <c r="I45" s="27"/>
      <c r="J45" s="27"/>
      <c r="K45" s="27"/>
      <c r="L45" s="45"/>
      <c r="M45" s="45"/>
      <c r="N45" s="45"/>
      <c r="O45" s="45"/>
      <c r="P45" s="45"/>
      <c r="Q45"/>
      <c r="R45"/>
      <c r="S45"/>
    </row>
    <row r="46" spans="1:25" ht="15.5">
      <c r="A46" s="27" t="s">
        <v>53</v>
      </c>
      <c r="B46" s="43"/>
      <c r="C46" s="27"/>
      <c r="D46" s="27"/>
      <c r="E46" s="27"/>
      <c r="F46" s="27"/>
      <c r="G46" s="27"/>
      <c r="H46" s="27"/>
      <c r="I46" s="27"/>
      <c r="J46" s="27"/>
      <c r="K46" s="27"/>
      <c r="L46" s="45"/>
      <c r="M46" s="45"/>
      <c r="N46" s="45"/>
      <c r="O46" s="45"/>
      <c r="P46" s="45"/>
      <c r="Q46"/>
      <c r="R46"/>
      <c r="S46"/>
    </row>
    <row r="47" spans="1:25" ht="15.5">
      <c r="A47" s="27" t="s">
        <v>86</v>
      </c>
      <c r="B47" s="43"/>
      <c r="C47" s="27"/>
      <c r="D47" s="27"/>
      <c r="E47" s="27"/>
      <c r="F47" s="27"/>
      <c r="G47" s="27"/>
      <c r="H47" s="27"/>
      <c r="I47" s="27"/>
      <c r="J47" s="27"/>
      <c r="K47" s="27"/>
      <c r="L47" s="45"/>
      <c r="M47" s="45"/>
      <c r="N47" s="45"/>
      <c r="O47" s="45"/>
      <c r="P47" s="45"/>
      <c r="Q47"/>
      <c r="R47"/>
      <c r="S47"/>
    </row>
    <row r="48" spans="1:25" ht="15.5">
      <c r="A48" s="27" t="s">
        <v>54</v>
      </c>
      <c r="B48" s="43"/>
      <c r="C48" s="27"/>
      <c r="D48" s="27"/>
      <c r="E48" s="27"/>
      <c r="F48" s="27"/>
      <c r="G48" s="27"/>
      <c r="H48" s="27"/>
      <c r="I48" s="27"/>
      <c r="J48" s="27"/>
      <c r="K48" s="27"/>
      <c r="L48" s="45"/>
      <c r="M48" s="45"/>
      <c r="N48" s="45"/>
      <c r="O48" s="45"/>
      <c r="P48" s="45"/>
      <c r="Q48"/>
      <c r="R48"/>
      <c r="S48"/>
    </row>
    <row r="49" spans="1:19" ht="15.5">
      <c r="A49" s="27" t="s">
        <v>87</v>
      </c>
      <c r="B49" s="43"/>
      <c r="C49" s="27"/>
      <c r="D49" s="27"/>
      <c r="E49" s="27"/>
      <c r="F49" s="27"/>
      <c r="G49" s="27"/>
      <c r="H49" s="27"/>
      <c r="I49" s="27"/>
      <c r="J49" s="27"/>
      <c r="K49" s="27"/>
      <c r="L49" s="45"/>
      <c r="M49" s="45"/>
      <c r="N49" s="45"/>
      <c r="O49" s="45"/>
      <c r="P49" s="45"/>
      <c r="Q49"/>
      <c r="R49"/>
      <c r="S49"/>
    </row>
    <row r="50" spans="1:19" ht="15.5">
      <c r="A50" s="96" t="s">
        <v>51</v>
      </c>
      <c r="B50" s="43"/>
      <c r="C50" s="27"/>
      <c r="D50" s="27"/>
      <c r="E50" s="27"/>
      <c r="F50" s="27"/>
      <c r="G50" s="27"/>
      <c r="H50" s="27"/>
    </row>
    <row r="51" spans="1:19" ht="18.75" customHeight="1">
      <c r="A51" s="96" t="s">
        <v>175</v>
      </c>
      <c r="B51" s="44"/>
      <c r="C51" s="27"/>
      <c r="D51" s="27"/>
      <c r="E51" s="27"/>
      <c r="F51" s="27"/>
      <c r="G51" s="27"/>
      <c r="H51" s="27"/>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51"/>
  <sheetViews>
    <sheetView view="pageBreakPreview" topLeftCell="A19" zoomScale="50" zoomScaleNormal="75" zoomScaleSheetLayoutView="50" workbookViewId="0">
      <selection activeCell="A4" sqref="A4:F51"/>
    </sheetView>
  </sheetViews>
  <sheetFormatPr defaultRowHeight="12.5"/>
  <cols>
    <col min="1" max="1" width="74.54296875" customWidth="1"/>
    <col min="2" max="2" width="90.81640625" style="1" customWidth="1"/>
    <col min="3" max="6" width="18.453125" customWidth="1"/>
    <col min="7" max="7" width="16.7265625" style="28" customWidth="1"/>
    <col min="8" max="8" width="17" style="28" bestFit="1" customWidth="1"/>
    <col min="9" max="9" width="11.1796875" style="28" bestFit="1" customWidth="1"/>
    <col min="10" max="10" width="15.453125" style="28" customWidth="1"/>
    <col min="11" max="19" width="9.1796875" style="28"/>
    <col min="25" max="25" width="9.26953125" bestFit="1" customWidth="1"/>
  </cols>
  <sheetData>
    <row r="1" spans="1:25" ht="15" hidden="1" customHeight="1"/>
    <row r="2" spans="1:25" ht="23" hidden="1">
      <c r="B2" s="164" t="s">
        <v>5</v>
      </c>
      <c r="C2" s="164"/>
      <c r="D2" s="164"/>
      <c r="E2" s="164"/>
      <c r="F2" s="164"/>
    </row>
    <row r="3" spans="1:25" ht="23" hidden="1">
      <c r="B3" s="165" t="s">
        <v>4</v>
      </c>
      <c r="C3" s="165"/>
      <c r="D3" s="165"/>
      <c r="E3" s="165"/>
      <c r="F3" s="165"/>
    </row>
    <row r="4" spans="1:25" s="5" customFormat="1" ht="45" customHeight="1">
      <c r="A4" s="166" t="s">
        <v>6</v>
      </c>
      <c r="B4" s="166"/>
      <c r="C4" s="166"/>
      <c r="D4" s="166"/>
      <c r="E4" s="166"/>
      <c r="F4" s="166"/>
      <c r="G4" s="29"/>
      <c r="H4" s="29"/>
      <c r="I4" s="29"/>
      <c r="J4" s="29"/>
      <c r="K4" s="29"/>
      <c r="L4" s="29"/>
      <c r="M4" s="29"/>
      <c r="N4" s="29"/>
      <c r="O4" s="29"/>
      <c r="P4" s="29"/>
      <c r="Q4" s="29"/>
      <c r="R4" s="29"/>
      <c r="S4" s="29"/>
    </row>
    <row r="5" spans="1:25" s="5" customFormat="1" ht="45" customHeight="1" thickBot="1">
      <c r="A5" s="42"/>
      <c r="B5" s="42"/>
      <c r="C5" s="42"/>
      <c r="D5" s="42"/>
      <c r="E5" s="42"/>
      <c r="F5" s="41" t="s">
        <v>52</v>
      </c>
      <c r="G5" s="30"/>
      <c r="H5" s="30"/>
      <c r="I5" s="30"/>
      <c r="J5" s="30"/>
      <c r="K5" s="30"/>
      <c r="L5" s="29"/>
      <c r="M5" s="29"/>
      <c r="N5" s="29"/>
      <c r="O5" s="29"/>
      <c r="P5" s="29"/>
      <c r="Q5" s="29"/>
      <c r="R5" s="29"/>
      <c r="S5" s="29"/>
    </row>
    <row r="6" spans="1:25" ht="25.5" customHeight="1" thickTop="1" thickBot="1">
      <c r="A6" s="167" t="s">
        <v>55</v>
      </c>
      <c r="B6" s="168"/>
      <c r="C6" s="53" t="s">
        <v>172</v>
      </c>
      <c r="D6" s="53" t="s">
        <v>173</v>
      </c>
      <c r="E6" s="53" t="s">
        <v>174</v>
      </c>
      <c r="F6" s="53" t="s">
        <v>3</v>
      </c>
      <c r="I6" s="31"/>
    </row>
    <row r="7" spans="1:25" ht="36" customHeight="1" thickTop="1" thickBot="1">
      <c r="A7" s="169"/>
      <c r="B7" s="170"/>
      <c r="C7" s="51" t="s">
        <v>74</v>
      </c>
      <c r="D7" s="51" t="s">
        <v>75</v>
      </c>
      <c r="E7" s="52" t="s">
        <v>76</v>
      </c>
      <c r="F7" s="51" t="s">
        <v>91</v>
      </c>
    </row>
    <row r="8" spans="1:25" ht="20.149999999999999" customHeight="1" thickTop="1">
      <c r="A8" s="23" t="s">
        <v>171</v>
      </c>
      <c r="B8" s="24" t="s">
        <v>7</v>
      </c>
      <c r="C8" s="47">
        <v>651013</v>
      </c>
      <c r="D8" s="47">
        <v>670643</v>
      </c>
      <c r="E8" s="47">
        <v>685796</v>
      </c>
      <c r="F8" s="47">
        <f>F9+F33+F36-F39</f>
        <v>658307</v>
      </c>
      <c r="G8" s="127"/>
      <c r="H8" s="128"/>
      <c r="I8" s="128"/>
      <c r="J8" s="128"/>
      <c r="P8" s="32"/>
      <c r="Q8" s="32"/>
      <c r="R8" s="32"/>
      <c r="S8" s="32"/>
      <c r="T8" s="4"/>
      <c r="U8" s="4"/>
      <c r="V8" s="4"/>
      <c r="W8" s="4"/>
      <c r="X8" s="4"/>
      <c r="Y8" s="4"/>
    </row>
    <row r="9" spans="1:25" s="8" customFormat="1" ht="20.149999999999999" customHeight="1">
      <c r="A9" s="21" t="s">
        <v>151</v>
      </c>
      <c r="B9" s="16" t="s">
        <v>8</v>
      </c>
      <c r="C9" s="47">
        <f>C10+C28+C29+C30+C31+C32</f>
        <v>491962</v>
      </c>
      <c r="D9" s="47">
        <f>D10+D28+D29+D30+D31+D32</f>
        <v>502155</v>
      </c>
      <c r="E9" s="47">
        <f>E10+E28+E29+E30+E31+E32</f>
        <v>511173</v>
      </c>
      <c r="F9" s="47">
        <f>F10+F28+F29+F30+F31+F32</f>
        <v>478811</v>
      </c>
      <c r="G9" s="33"/>
      <c r="H9" s="33"/>
      <c r="I9" s="33"/>
      <c r="J9" s="33"/>
      <c r="K9" s="34"/>
      <c r="L9" s="34"/>
      <c r="M9" s="34"/>
      <c r="N9" s="34"/>
      <c r="O9" s="34"/>
      <c r="P9" s="33"/>
      <c r="Q9" s="33"/>
      <c r="R9" s="33"/>
      <c r="S9" s="33"/>
      <c r="T9" s="9"/>
      <c r="U9" s="9"/>
      <c r="V9" s="9"/>
      <c r="W9" s="9"/>
      <c r="X9" s="9"/>
      <c r="Y9" s="9"/>
    </row>
    <row r="10" spans="1:25" s="7" customFormat="1" ht="20.149999999999999" customHeight="1">
      <c r="A10" s="18" t="s">
        <v>27</v>
      </c>
      <c r="B10" s="16" t="s">
        <v>9</v>
      </c>
      <c r="C10" s="86">
        <f>C11+C24</f>
        <v>575686</v>
      </c>
      <c r="D10" s="86">
        <f t="shared" ref="D10:F10" si="0">D11+D24</f>
        <v>596772</v>
      </c>
      <c r="E10" s="86">
        <f t="shared" si="0"/>
        <v>608439</v>
      </c>
      <c r="F10" s="86">
        <f t="shared" si="0"/>
        <v>568960</v>
      </c>
      <c r="G10" s="35"/>
      <c r="H10" s="36"/>
      <c r="I10" s="36"/>
      <c r="J10" s="36"/>
      <c r="K10" s="36"/>
      <c r="L10" s="36"/>
      <c r="M10" s="36"/>
      <c r="N10" s="36"/>
      <c r="O10" s="36"/>
      <c r="P10" s="35"/>
      <c r="Q10" s="35"/>
      <c r="R10" s="35"/>
      <c r="S10" s="35"/>
      <c r="T10" s="6"/>
      <c r="U10" s="6"/>
      <c r="V10" s="6"/>
      <c r="W10" s="6"/>
      <c r="X10" s="6"/>
      <c r="Y10" s="6"/>
    </row>
    <row r="11" spans="1:25" s="7" customFormat="1" ht="20.149999999999999" customHeight="1">
      <c r="A11" s="18" t="s">
        <v>111</v>
      </c>
      <c r="B11" s="16" t="s">
        <v>112</v>
      </c>
      <c r="C11" s="48">
        <f>C12+C13+C14+C17+C18+C19+C20+C21+C22+C23</f>
        <v>445029</v>
      </c>
      <c r="D11" s="48">
        <f t="shared" ref="D11" si="1">D12+D13+D14+D17+D18+D19+D20+D21+D22+D23</f>
        <v>450815</v>
      </c>
      <c r="E11" s="48">
        <f>E12+E13+E14+E17+E18+E19+E20+E21+E22+E23</f>
        <v>458982</v>
      </c>
      <c r="F11" s="48">
        <f>F12+F13+F14+F17+F18+F19+F20+F21+F22+F23</f>
        <v>422521</v>
      </c>
      <c r="G11" s="121"/>
      <c r="H11" s="121"/>
      <c r="I11" s="36"/>
      <c r="J11" s="36"/>
      <c r="K11" s="36"/>
      <c r="L11" s="36"/>
      <c r="M11" s="36"/>
      <c r="N11" s="36"/>
      <c r="O11" s="36"/>
      <c r="P11" s="35"/>
      <c r="Q11" s="35"/>
      <c r="R11" s="35"/>
      <c r="S11" s="35"/>
      <c r="T11" s="6"/>
      <c r="U11" s="6"/>
      <c r="V11" s="6"/>
      <c r="W11" s="6"/>
      <c r="X11" s="6"/>
      <c r="Y11" s="6"/>
    </row>
    <row r="12" spans="1:25" s="7" customFormat="1" ht="20.149999999999999" customHeight="1">
      <c r="A12" s="20" t="s">
        <v>28</v>
      </c>
      <c r="B12" s="11" t="s">
        <v>10</v>
      </c>
      <c r="C12" s="49">
        <f>231869-C13-C15-C17</f>
        <v>164944</v>
      </c>
      <c r="D12" s="49">
        <f>237764-D17-D15-D13</f>
        <v>164944</v>
      </c>
      <c r="E12" s="49">
        <v>164694</v>
      </c>
      <c r="F12" s="49">
        <f>208628-F13-F15-F17</f>
        <v>122378</v>
      </c>
      <c r="G12" s="122"/>
      <c r="H12" s="121"/>
      <c r="I12" s="36"/>
      <c r="J12" s="36"/>
      <c r="K12" s="36"/>
      <c r="L12" s="36"/>
      <c r="M12" s="36"/>
      <c r="N12" s="36"/>
      <c r="O12" s="36"/>
      <c r="P12" s="35"/>
      <c r="Q12" s="35"/>
      <c r="R12" s="35"/>
      <c r="S12" s="35"/>
      <c r="T12" s="6"/>
      <c r="U12" s="6"/>
      <c r="V12" s="6"/>
      <c r="W12" s="6"/>
      <c r="X12" s="6"/>
      <c r="Y12" s="6"/>
    </row>
    <row r="13" spans="1:25" s="8" customFormat="1" ht="20.149999999999999" customHeight="1">
      <c r="A13" s="19" t="s">
        <v>29</v>
      </c>
      <c r="B13" s="11" t="s">
        <v>11</v>
      </c>
      <c r="C13" s="49">
        <v>4000</v>
      </c>
      <c r="D13" s="49">
        <v>4000</v>
      </c>
      <c r="E13" s="49">
        <v>4000</v>
      </c>
      <c r="F13" s="49">
        <v>4000</v>
      </c>
      <c r="G13" s="123"/>
      <c r="H13" s="124"/>
      <c r="I13" s="34"/>
      <c r="J13" s="34"/>
      <c r="K13" s="34"/>
      <c r="L13" s="34"/>
      <c r="M13" s="34"/>
      <c r="N13" s="34"/>
      <c r="O13" s="34"/>
      <c r="P13" s="33"/>
      <c r="Q13" s="33"/>
      <c r="R13" s="33"/>
      <c r="S13" s="33"/>
      <c r="T13" s="9"/>
      <c r="U13" s="9"/>
      <c r="V13" s="9"/>
      <c r="W13" s="9"/>
      <c r="X13" s="9"/>
      <c r="Y13" s="9"/>
    </row>
    <row r="14" spans="1:25" s="7" customFormat="1" ht="20.149999999999999" customHeight="1">
      <c r="A14" s="108" t="s">
        <v>30</v>
      </c>
      <c r="B14" s="11" t="s">
        <v>84</v>
      </c>
      <c r="C14" s="49">
        <f>C15+C16</f>
        <v>3925</v>
      </c>
      <c r="D14" s="49">
        <f t="shared" ref="D14:F14" si="2">D15+D16</f>
        <v>3820</v>
      </c>
      <c r="E14" s="49">
        <f t="shared" si="2"/>
        <v>3863</v>
      </c>
      <c r="F14" s="49">
        <f t="shared" si="2"/>
        <v>3862</v>
      </c>
      <c r="H14" s="124"/>
      <c r="I14" s="36"/>
      <c r="J14" s="36"/>
      <c r="K14" s="36"/>
      <c r="L14" s="36"/>
      <c r="M14" s="36"/>
      <c r="N14" s="36"/>
      <c r="O14" s="36"/>
      <c r="P14" s="35"/>
      <c r="Q14" s="35"/>
      <c r="R14" s="35"/>
      <c r="S14" s="35"/>
      <c r="T14" s="6"/>
      <c r="U14" s="6"/>
      <c r="V14" s="6"/>
      <c r="W14" s="6"/>
      <c r="X14" s="6"/>
      <c r="Y14" s="6"/>
    </row>
    <row r="15" spans="1:25" s="7" customFormat="1" ht="20.149999999999999" customHeight="1">
      <c r="A15" s="101" t="s">
        <v>31</v>
      </c>
      <c r="B15" s="12" t="s">
        <v>12</v>
      </c>
      <c r="C15" s="49">
        <v>3925</v>
      </c>
      <c r="D15" s="49">
        <v>3820</v>
      </c>
      <c r="E15" s="49">
        <v>3751</v>
      </c>
      <c r="F15" s="49">
        <v>3750</v>
      </c>
      <c r="G15" s="122"/>
      <c r="H15" s="124"/>
      <c r="I15" s="36"/>
      <c r="J15" s="36"/>
      <c r="K15" s="36"/>
      <c r="L15" s="36"/>
      <c r="M15" s="36"/>
      <c r="N15" s="36"/>
      <c r="O15" s="36"/>
      <c r="P15" s="35"/>
      <c r="Q15" s="35"/>
      <c r="R15" s="35"/>
      <c r="S15" s="35"/>
      <c r="T15" s="6"/>
      <c r="U15" s="6"/>
      <c r="V15" s="6"/>
      <c r="W15" s="6"/>
      <c r="X15" s="6"/>
      <c r="Y15" s="6"/>
    </row>
    <row r="16" spans="1:25" ht="20.149999999999999" customHeight="1">
      <c r="A16" s="101" t="s">
        <v>32</v>
      </c>
      <c r="B16" s="12" t="s">
        <v>13</v>
      </c>
      <c r="C16" s="49">
        <v>0</v>
      </c>
      <c r="D16" s="49">
        <v>0</v>
      </c>
      <c r="E16" s="49">
        <v>112</v>
      </c>
      <c r="F16" s="49">
        <v>112</v>
      </c>
      <c r="G16" s="123"/>
      <c r="H16" s="123"/>
      <c r="P16" s="32"/>
      <c r="Q16" s="32"/>
      <c r="R16" s="32"/>
      <c r="S16" s="32"/>
      <c r="T16" s="4"/>
      <c r="U16" s="4"/>
      <c r="V16" s="4"/>
      <c r="W16" s="4"/>
      <c r="X16" s="4"/>
      <c r="Y16" s="4"/>
    </row>
    <row r="17" spans="1:25" ht="20.149999999999999" customHeight="1">
      <c r="A17" s="10" t="s">
        <v>33</v>
      </c>
      <c r="B17" s="13" t="s">
        <v>14</v>
      </c>
      <c r="C17" s="49">
        <v>59000</v>
      </c>
      <c r="D17" s="49">
        <v>65000</v>
      </c>
      <c r="E17" s="120">
        <v>73500</v>
      </c>
      <c r="F17" s="49">
        <v>78500</v>
      </c>
      <c r="H17" s="123"/>
      <c r="P17" s="32"/>
      <c r="Q17" s="32"/>
      <c r="R17" s="32"/>
      <c r="S17" s="32"/>
      <c r="T17" s="4"/>
      <c r="U17" s="4"/>
      <c r="V17" s="4"/>
      <c r="W17" s="4"/>
      <c r="X17" s="4"/>
      <c r="Y17" s="4"/>
    </row>
    <row r="18" spans="1:25" ht="20.149999999999999" customHeight="1">
      <c r="A18" s="10" t="s">
        <v>34</v>
      </c>
      <c r="B18" s="13" t="s">
        <v>15</v>
      </c>
      <c r="C18" s="49">
        <v>2000</v>
      </c>
      <c r="D18" s="49">
        <v>2000</v>
      </c>
      <c r="E18" s="49">
        <v>2000</v>
      </c>
      <c r="F18" s="49">
        <v>2000</v>
      </c>
      <c r="G18" s="123"/>
      <c r="H18" s="123"/>
      <c r="I18" s="32"/>
      <c r="P18" s="32"/>
      <c r="Q18" s="32"/>
      <c r="R18" s="32"/>
      <c r="S18" s="32"/>
      <c r="T18" s="4"/>
      <c r="U18" s="4"/>
      <c r="V18" s="4"/>
      <c r="W18" s="4"/>
      <c r="X18" s="4"/>
      <c r="Y18" s="4"/>
    </row>
    <row r="19" spans="1:25" s="3" customFormat="1" ht="20.149999999999999" customHeight="1">
      <c r="A19" s="10" t="s">
        <v>35</v>
      </c>
      <c r="B19" s="13" t="s">
        <v>16</v>
      </c>
      <c r="C19" s="49">
        <v>122</v>
      </c>
      <c r="D19" s="49">
        <v>117</v>
      </c>
      <c r="E19" s="49">
        <v>117</v>
      </c>
      <c r="F19" s="49">
        <v>117</v>
      </c>
      <c r="G19" s="123"/>
      <c r="H19" s="122"/>
      <c r="I19" s="38"/>
      <c r="J19" s="38"/>
      <c r="K19" s="37"/>
      <c r="L19" s="37"/>
      <c r="M19" s="37"/>
      <c r="N19" s="37"/>
      <c r="O19" s="37"/>
      <c r="P19" s="32"/>
      <c r="Q19" s="32"/>
      <c r="R19" s="32"/>
      <c r="S19" s="32"/>
      <c r="T19" s="4"/>
      <c r="U19" s="4"/>
      <c r="V19" s="4"/>
      <c r="W19" s="4"/>
      <c r="X19" s="4"/>
      <c r="Y19" s="4"/>
    </row>
    <row r="20" spans="1:25" ht="20.149999999999999" customHeight="1">
      <c r="A20" s="10" t="s">
        <v>46</v>
      </c>
      <c r="B20" s="13" t="s">
        <v>17</v>
      </c>
      <c r="C20" s="49">
        <v>11651</v>
      </c>
      <c r="D20" s="49">
        <v>11547</v>
      </c>
      <c r="E20" s="49">
        <v>11416</v>
      </c>
      <c r="F20" s="49">
        <v>11126</v>
      </c>
      <c r="G20" s="122"/>
      <c r="H20" s="125"/>
      <c r="I20" s="32"/>
      <c r="P20" s="32"/>
      <c r="Q20" s="32"/>
      <c r="R20" s="32"/>
      <c r="S20" s="32"/>
      <c r="T20" s="4"/>
      <c r="U20" s="4"/>
      <c r="V20" s="4"/>
      <c r="W20" s="4"/>
      <c r="X20" s="4"/>
      <c r="Y20" s="4"/>
    </row>
    <row r="21" spans="1:25" ht="19.5" customHeight="1">
      <c r="A21" s="10" t="s">
        <v>36</v>
      </c>
      <c r="B21" s="13" t="s">
        <v>18</v>
      </c>
      <c r="C21" s="49">
        <v>1588</v>
      </c>
      <c r="D21" s="49">
        <v>1588</v>
      </c>
      <c r="E21" s="49">
        <v>1593</v>
      </c>
      <c r="F21" s="49">
        <v>1636</v>
      </c>
      <c r="G21" s="123"/>
      <c r="H21" s="123"/>
      <c r="J21" s="32"/>
      <c r="P21" s="32"/>
      <c r="Q21" s="32"/>
      <c r="R21" s="32"/>
      <c r="S21" s="32"/>
      <c r="T21" s="4"/>
      <c r="U21" s="4"/>
      <c r="V21" s="4"/>
      <c r="W21" s="4"/>
      <c r="X21" s="4"/>
      <c r="Y21" s="4"/>
    </row>
    <row r="22" spans="1:25" ht="20.149999999999999" customHeight="1">
      <c r="A22" s="10" t="s">
        <v>142</v>
      </c>
      <c r="B22" s="13" t="s">
        <v>19</v>
      </c>
      <c r="C22" s="49">
        <v>197799</v>
      </c>
      <c r="D22" s="49">
        <v>197799</v>
      </c>
      <c r="E22" s="49">
        <v>197799</v>
      </c>
      <c r="F22" s="49">
        <v>198902</v>
      </c>
      <c r="G22" s="123"/>
      <c r="H22" s="32"/>
      <c r="P22" s="32"/>
      <c r="Q22" s="32"/>
      <c r="R22" s="32"/>
      <c r="S22" s="32"/>
      <c r="T22" s="4"/>
      <c r="U22" s="4"/>
      <c r="V22" s="4"/>
      <c r="W22" s="4"/>
      <c r="X22" s="4"/>
      <c r="Y22" s="4"/>
    </row>
    <row r="23" spans="1:25" ht="20.149999999999999" customHeight="1">
      <c r="A23" s="76" t="s">
        <v>37</v>
      </c>
      <c r="B23" s="13" t="s">
        <v>20</v>
      </c>
      <c r="C23" s="49">
        <v>0</v>
      </c>
      <c r="D23" s="49">
        <v>0</v>
      </c>
      <c r="E23" s="49">
        <v>0</v>
      </c>
      <c r="F23" s="49">
        <v>0</v>
      </c>
      <c r="P23" s="32"/>
      <c r="Q23" s="32"/>
      <c r="R23" s="32"/>
      <c r="S23" s="32"/>
      <c r="T23" s="4"/>
      <c r="U23" s="4"/>
      <c r="V23" s="4"/>
      <c r="W23" s="4"/>
      <c r="X23" s="4"/>
      <c r="Y23" s="4"/>
    </row>
    <row r="24" spans="1:25" ht="20.149999999999999" customHeight="1">
      <c r="A24" s="77" t="s">
        <v>38</v>
      </c>
      <c r="B24" s="78" t="s">
        <v>21</v>
      </c>
      <c r="C24" s="47">
        <f t="shared" ref="C24:F24" si="3">C25+C26+C27</f>
        <v>130657</v>
      </c>
      <c r="D24" s="47">
        <f t="shared" si="3"/>
        <v>145957</v>
      </c>
      <c r="E24" s="47">
        <f t="shared" si="3"/>
        <v>149457</v>
      </c>
      <c r="F24" s="47">
        <f t="shared" si="3"/>
        <v>146439</v>
      </c>
      <c r="G24" s="123"/>
      <c r="H24" s="32"/>
      <c r="P24" s="32"/>
      <c r="Q24" s="32"/>
      <c r="R24" s="32"/>
      <c r="S24" s="32"/>
      <c r="T24" s="4"/>
      <c r="U24" s="4"/>
      <c r="V24" s="4"/>
      <c r="W24" s="4"/>
      <c r="X24" s="4"/>
      <c r="Y24" s="4"/>
    </row>
    <row r="25" spans="1:25" ht="20.149999999999999" customHeight="1">
      <c r="A25" s="110" t="s">
        <v>32</v>
      </c>
      <c r="B25" s="25" t="s">
        <v>13</v>
      </c>
      <c r="C25" s="49">
        <v>130657</v>
      </c>
      <c r="D25" s="49">
        <v>145957</v>
      </c>
      <c r="E25" s="49">
        <v>149457</v>
      </c>
      <c r="F25" s="49">
        <v>146439</v>
      </c>
      <c r="K25" s="32"/>
      <c r="P25" s="32"/>
      <c r="Q25" s="32"/>
      <c r="R25" s="32"/>
      <c r="S25" s="32"/>
      <c r="T25" s="4"/>
      <c r="U25" s="4"/>
      <c r="V25" s="4"/>
      <c r="W25" s="4"/>
      <c r="X25" s="4"/>
      <c r="Y25" s="4"/>
    </row>
    <row r="26" spans="1:25" ht="20.149999999999999" customHeight="1">
      <c r="A26" s="110" t="s">
        <v>31</v>
      </c>
      <c r="B26" s="25" t="s">
        <v>12</v>
      </c>
      <c r="C26" s="49">
        <v>0</v>
      </c>
      <c r="D26" s="49">
        <v>0</v>
      </c>
      <c r="E26" s="49">
        <v>0</v>
      </c>
      <c r="F26" s="49">
        <v>0</v>
      </c>
      <c r="J26" s="32"/>
      <c r="P26" s="32"/>
      <c r="Q26" s="32"/>
      <c r="R26" s="32"/>
      <c r="S26" s="32"/>
      <c r="T26" s="4"/>
      <c r="U26" s="4"/>
      <c r="V26" s="4"/>
      <c r="W26" s="4"/>
      <c r="X26" s="4"/>
      <c r="Y26" s="4"/>
    </row>
    <row r="27" spans="1:25" ht="20.149999999999999" customHeight="1">
      <c r="A27" s="102" t="s">
        <v>135</v>
      </c>
      <c r="B27" s="25" t="s">
        <v>22</v>
      </c>
      <c r="C27" s="68">
        <v>0</v>
      </c>
      <c r="D27" s="68">
        <v>0</v>
      </c>
      <c r="E27" s="68">
        <v>0</v>
      </c>
      <c r="F27" s="68">
        <v>0</v>
      </c>
      <c r="H27" s="32"/>
      <c r="P27" s="32"/>
      <c r="Q27" s="32"/>
      <c r="R27" s="32"/>
      <c r="S27" s="32"/>
      <c r="T27" s="4"/>
      <c r="U27" s="4"/>
      <c r="V27" s="4"/>
      <c r="W27" s="4"/>
      <c r="X27" s="4"/>
      <c r="Y27" s="4"/>
    </row>
    <row r="28" spans="1:25" s="2" customFormat="1" ht="20.149999999999999" customHeight="1">
      <c r="A28" s="17" t="s">
        <v>39</v>
      </c>
      <c r="B28" s="16" t="s">
        <v>23</v>
      </c>
      <c r="C28" s="47">
        <v>0</v>
      </c>
      <c r="D28" s="47">
        <v>0</v>
      </c>
      <c r="E28" s="47">
        <v>0</v>
      </c>
      <c r="F28" s="47">
        <v>0</v>
      </c>
      <c r="G28" s="40"/>
      <c r="H28" s="40"/>
      <c r="I28" s="40"/>
      <c r="J28" s="40"/>
      <c r="K28" s="40"/>
      <c r="L28" s="40"/>
      <c r="M28" s="40"/>
      <c r="N28" s="40"/>
      <c r="O28" s="40"/>
      <c r="P28" s="32"/>
      <c r="Q28" s="32"/>
      <c r="R28" s="32"/>
      <c r="S28" s="32"/>
      <c r="T28" s="4"/>
      <c r="U28" s="4"/>
      <c r="V28" s="4"/>
      <c r="W28" s="4"/>
      <c r="X28" s="4"/>
      <c r="Y28" s="4"/>
    </row>
    <row r="29" spans="1:25" ht="20.149999999999999" customHeight="1">
      <c r="A29" s="17" t="s">
        <v>40</v>
      </c>
      <c r="B29" s="16" t="s">
        <v>24</v>
      </c>
      <c r="C29" s="47">
        <v>4012</v>
      </c>
      <c r="D29" s="47">
        <v>3677</v>
      </c>
      <c r="E29" s="47">
        <v>2797</v>
      </c>
      <c r="F29" s="47">
        <v>2343</v>
      </c>
      <c r="P29" s="32"/>
      <c r="Q29" s="32"/>
      <c r="R29" s="32"/>
      <c r="S29" s="32"/>
      <c r="T29" s="4"/>
      <c r="U29" s="4"/>
      <c r="V29" s="4"/>
      <c r="W29" s="4"/>
      <c r="X29" s="4"/>
      <c r="Y29" s="4"/>
    </row>
    <row r="30" spans="1:25" ht="21" customHeight="1">
      <c r="A30" s="18" t="s">
        <v>137</v>
      </c>
      <c r="B30" s="16" t="s">
        <v>103</v>
      </c>
      <c r="C30" s="47">
        <v>0</v>
      </c>
      <c r="D30" s="47">
        <v>0</v>
      </c>
      <c r="E30" s="47">
        <v>0</v>
      </c>
      <c r="F30" s="47">
        <v>0</v>
      </c>
      <c r="I30" s="32"/>
      <c r="P30" s="32"/>
      <c r="Q30" s="32"/>
      <c r="R30" s="32"/>
      <c r="S30" s="32"/>
      <c r="T30" s="4"/>
      <c r="U30" s="4"/>
      <c r="V30" s="4"/>
      <c r="W30" s="4"/>
      <c r="X30" s="4"/>
      <c r="Y30" s="4"/>
    </row>
    <row r="31" spans="1:25" ht="20.149999999999999" customHeight="1">
      <c r="A31" s="18" t="s">
        <v>41</v>
      </c>
      <c r="B31" s="16" t="s">
        <v>25</v>
      </c>
      <c r="C31" s="47">
        <v>-87736</v>
      </c>
      <c r="D31" s="47">
        <v>-98294</v>
      </c>
      <c r="E31" s="47">
        <v>-100063</v>
      </c>
      <c r="F31" s="47">
        <v>-92492</v>
      </c>
      <c r="P31" s="32"/>
      <c r="Q31" s="32"/>
      <c r="R31" s="32"/>
      <c r="S31" s="32"/>
      <c r="T31" s="4"/>
      <c r="U31" s="4"/>
      <c r="V31" s="4"/>
      <c r="W31" s="4"/>
      <c r="X31" s="4"/>
      <c r="Y31" s="4"/>
    </row>
    <row r="32" spans="1:25" s="63" customFormat="1" ht="20.149999999999999" customHeight="1">
      <c r="A32" s="18" t="s">
        <v>104</v>
      </c>
      <c r="B32" s="16" t="s">
        <v>105</v>
      </c>
      <c r="C32" s="64">
        <v>0</v>
      </c>
      <c r="D32" s="64">
        <v>0</v>
      </c>
      <c r="E32" s="64">
        <v>0</v>
      </c>
      <c r="F32" s="64">
        <v>0</v>
      </c>
      <c r="G32" s="60"/>
      <c r="H32" s="60"/>
      <c r="I32" s="60"/>
      <c r="J32" s="60"/>
      <c r="K32" s="60"/>
      <c r="L32" s="60"/>
      <c r="M32" s="60"/>
      <c r="N32" s="60"/>
      <c r="O32" s="60"/>
      <c r="P32" s="61"/>
      <c r="Q32" s="61"/>
      <c r="R32" s="61"/>
      <c r="S32" s="61"/>
      <c r="T32" s="62"/>
      <c r="U32" s="62"/>
      <c r="V32" s="62"/>
      <c r="W32" s="62"/>
      <c r="X32" s="62"/>
      <c r="Y32" s="62"/>
    </row>
    <row r="33" spans="1:25" ht="20.149999999999999" customHeight="1">
      <c r="A33" s="17" t="s">
        <v>148</v>
      </c>
      <c r="B33" s="115" t="s">
        <v>150</v>
      </c>
      <c r="C33" s="47">
        <v>42387</v>
      </c>
      <c r="D33" s="47">
        <v>49241</v>
      </c>
      <c r="E33" s="47">
        <v>49889</v>
      </c>
      <c r="F33" s="47">
        <v>50123</v>
      </c>
      <c r="H33" s="32"/>
      <c r="P33" s="32"/>
      <c r="Q33" s="32"/>
      <c r="R33" s="32"/>
      <c r="S33" s="32"/>
      <c r="T33" s="4"/>
      <c r="U33" s="4"/>
      <c r="V33" s="4"/>
      <c r="W33" s="4"/>
      <c r="X33" s="4"/>
      <c r="Y33" s="4"/>
    </row>
    <row r="34" spans="1:25" ht="23.25" customHeight="1">
      <c r="A34" s="111" t="s">
        <v>160</v>
      </c>
      <c r="B34" s="14" t="s">
        <v>161</v>
      </c>
      <c r="C34" s="49">
        <v>-10232</v>
      </c>
      <c r="D34" s="49">
        <v>-3729</v>
      </c>
      <c r="E34" s="49">
        <v>-1854</v>
      </c>
      <c r="F34" s="49">
        <v>-1156</v>
      </c>
      <c r="G34" s="32"/>
      <c r="P34" s="32"/>
      <c r="Q34" s="32"/>
      <c r="R34" s="32"/>
      <c r="S34" s="32"/>
      <c r="T34" s="4"/>
      <c r="U34" s="4"/>
      <c r="V34" s="4"/>
      <c r="W34" s="4"/>
      <c r="X34" s="4"/>
      <c r="Y34" s="4"/>
    </row>
    <row r="35" spans="1:25" ht="21.75" customHeight="1">
      <c r="A35" s="112" t="s">
        <v>162</v>
      </c>
      <c r="B35" s="14" t="s">
        <v>163</v>
      </c>
      <c r="C35" s="49">
        <v>52619</v>
      </c>
      <c r="D35" s="49">
        <v>52970</v>
      </c>
      <c r="E35" s="49">
        <v>51743</v>
      </c>
      <c r="F35" s="49">
        <v>51279</v>
      </c>
      <c r="G35" s="32"/>
      <c r="P35" s="32"/>
      <c r="Q35" s="32"/>
      <c r="R35" s="32"/>
      <c r="S35" s="32"/>
      <c r="T35" s="4"/>
      <c r="U35" s="4"/>
      <c r="V35" s="4"/>
      <c r="W35" s="4"/>
      <c r="X35" s="4"/>
      <c r="Y35" s="4"/>
    </row>
    <row r="36" spans="1:25" ht="20.149999999999999" customHeight="1">
      <c r="A36" s="17" t="s">
        <v>42</v>
      </c>
      <c r="B36" s="115" t="s">
        <v>146</v>
      </c>
      <c r="C36" s="47" t="s">
        <v>48</v>
      </c>
      <c r="D36" s="47" t="s">
        <v>48</v>
      </c>
      <c r="E36" s="47" t="s">
        <v>48</v>
      </c>
      <c r="F36" s="47">
        <f>F37-F38</f>
        <v>189180</v>
      </c>
      <c r="P36" s="32"/>
      <c r="Q36" s="32"/>
      <c r="R36" s="32"/>
      <c r="S36" s="32"/>
      <c r="T36" s="4"/>
      <c r="U36" s="4"/>
      <c r="V36" s="4"/>
      <c r="W36" s="4"/>
      <c r="X36" s="4"/>
      <c r="Y36" s="4"/>
    </row>
    <row r="37" spans="1:25" ht="19.5" customHeight="1">
      <c r="A37" s="111" t="s">
        <v>43</v>
      </c>
      <c r="B37" s="11" t="s">
        <v>149</v>
      </c>
      <c r="C37" s="49" t="s">
        <v>48</v>
      </c>
      <c r="D37" s="49" t="s">
        <v>48</v>
      </c>
      <c r="E37" s="49" t="s">
        <v>48</v>
      </c>
      <c r="F37" s="49">
        <v>193071</v>
      </c>
    </row>
    <row r="38" spans="1:25" ht="24" customHeight="1">
      <c r="A38" s="112" t="s">
        <v>143</v>
      </c>
      <c r="B38" s="11" t="s">
        <v>26</v>
      </c>
      <c r="C38" s="49" t="s">
        <v>48</v>
      </c>
      <c r="D38" s="49" t="s">
        <v>48</v>
      </c>
      <c r="E38" s="49" t="s">
        <v>48</v>
      </c>
      <c r="F38" s="49">
        <v>3891</v>
      </c>
    </row>
    <row r="39" spans="1:25" ht="20.25" customHeight="1">
      <c r="A39" s="17" t="s">
        <v>44</v>
      </c>
      <c r="B39" s="16" t="s">
        <v>145</v>
      </c>
      <c r="C39" s="47" t="s">
        <v>48</v>
      </c>
      <c r="D39" s="47" t="s">
        <v>48</v>
      </c>
      <c r="E39" s="47" t="s">
        <v>48</v>
      </c>
      <c r="F39" s="47">
        <f>F40+F41+F42</f>
        <v>59807</v>
      </c>
    </row>
    <row r="40" spans="1:25" ht="26.25" customHeight="1">
      <c r="A40" s="111" t="s">
        <v>45</v>
      </c>
      <c r="B40" s="84" t="s">
        <v>165</v>
      </c>
      <c r="C40" s="49" t="s">
        <v>48</v>
      </c>
      <c r="D40" s="49" t="s">
        <v>48</v>
      </c>
      <c r="E40" s="49" t="s">
        <v>48</v>
      </c>
      <c r="F40" s="49">
        <v>8528</v>
      </c>
    </row>
    <row r="41" spans="1:25" ht="25.5" customHeight="1">
      <c r="A41" s="113" t="s">
        <v>47</v>
      </c>
      <c r="B41" s="80" t="s">
        <v>169</v>
      </c>
      <c r="C41" s="49" t="s">
        <v>48</v>
      </c>
      <c r="D41" s="49" t="s">
        <v>48</v>
      </c>
      <c r="E41" s="49" t="s">
        <v>48</v>
      </c>
      <c r="F41" s="49">
        <v>0</v>
      </c>
    </row>
    <row r="42" spans="1:25" ht="24.75" customHeight="1">
      <c r="A42" s="114" t="s">
        <v>144</v>
      </c>
      <c r="B42" s="81" t="s">
        <v>167</v>
      </c>
      <c r="C42" s="50" t="s">
        <v>48</v>
      </c>
      <c r="D42" s="50" t="s">
        <v>48</v>
      </c>
      <c r="E42" s="50" t="s">
        <v>48</v>
      </c>
      <c r="F42" s="50">
        <v>51279</v>
      </c>
    </row>
    <row r="43" spans="1:25" ht="15.5">
      <c r="A43" s="27" t="s">
        <v>49</v>
      </c>
      <c r="B43" s="43"/>
      <c r="C43" s="27"/>
      <c r="D43" s="27"/>
      <c r="E43" s="27"/>
      <c r="F43" s="27"/>
      <c r="G43" s="27"/>
      <c r="H43" s="27"/>
      <c r="I43" s="27"/>
      <c r="J43" s="27"/>
      <c r="K43" s="27"/>
      <c r="L43" s="45"/>
      <c r="M43" s="45"/>
      <c r="N43" s="45"/>
      <c r="O43" s="45"/>
      <c r="P43" s="45"/>
      <c r="Q43"/>
      <c r="R43"/>
      <c r="S43"/>
    </row>
    <row r="44" spans="1:25" ht="15.5">
      <c r="A44" s="27" t="s">
        <v>50</v>
      </c>
      <c r="B44" s="43"/>
      <c r="C44" s="27"/>
      <c r="D44" s="27"/>
      <c r="E44" s="27"/>
      <c r="F44" s="27"/>
      <c r="G44" s="27"/>
      <c r="H44" s="27"/>
      <c r="I44" s="27"/>
      <c r="J44" s="27"/>
      <c r="K44" s="27"/>
      <c r="L44" s="45"/>
      <c r="M44" s="45"/>
      <c r="N44" s="45"/>
      <c r="O44" s="45"/>
      <c r="P44" s="45"/>
      <c r="Q44"/>
      <c r="R44"/>
      <c r="S44"/>
    </row>
    <row r="45" spans="1:25" ht="15.5">
      <c r="A45" s="27" t="s">
        <v>85</v>
      </c>
      <c r="B45" s="43"/>
      <c r="C45" s="27"/>
      <c r="D45" s="27"/>
      <c r="E45" s="27"/>
      <c r="F45" s="27"/>
      <c r="G45" s="27"/>
      <c r="H45" s="27"/>
      <c r="I45" s="27"/>
      <c r="J45" s="27"/>
      <c r="K45" s="27"/>
      <c r="L45" s="45"/>
      <c r="M45" s="45"/>
      <c r="N45" s="45"/>
      <c r="O45" s="45"/>
      <c r="P45" s="45"/>
      <c r="Q45"/>
      <c r="R45"/>
      <c r="S45"/>
    </row>
    <row r="46" spans="1:25" ht="15.5">
      <c r="A46" s="27" t="s">
        <v>53</v>
      </c>
      <c r="B46" s="43"/>
      <c r="C46" s="27"/>
      <c r="D46" s="27"/>
      <c r="E46" s="27"/>
      <c r="F46" s="27"/>
      <c r="G46" s="27"/>
      <c r="H46" s="27"/>
      <c r="I46" s="27"/>
      <c r="J46" s="27"/>
      <c r="K46" s="27"/>
      <c r="L46" s="45"/>
      <c r="M46" s="45"/>
      <c r="N46" s="45"/>
      <c r="O46" s="45"/>
      <c r="P46" s="45"/>
      <c r="Q46"/>
      <c r="R46"/>
      <c r="S46"/>
    </row>
    <row r="47" spans="1:25" ht="15.5">
      <c r="A47" s="27" t="s">
        <v>86</v>
      </c>
      <c r="B47" s="43"/>
      <c r="C47" s="27"/>
      <c r="D47" s="27"/>
      <c r="E47" s="27"/>
      <c r="F47" s="27"/>
      <c r="G47" s="27"/>
      <c r="H47" s="27"/>
      <c r="I47" s="27"/>
      <c r="J47" s="27"/>
      <c r="K47" s="27"/>
      <c r="L47" s="45"/>
      <c r="M47" s="45"/>
      <c r="N47" s="45"/>
      <c r="O47" s="45"/>
      <c r="P47" s="45"/>
      <c r="Q47"/>
      <c r="R47"/>
      <c r="S47"/>
    </row>
    <row r="48" spans="1:25" ht="15.5">
      <c r="A48" s="27" t="s">
        <v>54</v>
      </c>
      <c r="B48" s="43"/>
      <c r="C48" s="27"/>
      <c r="D48" s="27"/>
      <c r="E48" s="27"/>
      <c r="F48" s="27"/>
      <c r="G48" s="27"/>
      <c r="H48" s="27"/>
      <c r="I48" s="27"/>
      <c r="J48" s="27"/>
      <c r="K48" s="27"/>
      <c r="L48" s="45"/>
      <c r="M48" s="45"/>
      <c r="N48" s="45"/>
      <c r="O48" s="45"/>
      <c r="P48" s="45"/>
      <c r="Q48"/>
      <c r="R48"/>
      <c r="S48"/>
    </row>
    <row r="49" spans="1:19" ht="15.5">
      <c r="A49" s="27" t="s">
        <v>87</v>
      </c>
      <c r="B49" s="43"/>
      <c r="C49" s="27"/>
      <c r="D49" s="27"/>
      <c r="E49" s="27"/>
      <c r="F49" s="27"/>
      <c r="G49" s="27"/>
      <c r="H49" s="27"/>
      <c r="I49" s="27"/>
      <c r="J49" s="27"/>
      <c r="K49" s="27"/>
      <c r="L49" s="45"/>
      <c r="M49" s="45"/>
      <c r="N49" s="45"/>
      <c r="O49" s="45"/>
      <c r="P49" s="45"/>
      <c r="Q49"/>
      <c r="R49"/>
      <c r="S49"/>
    </row>
    <row r="50" spans="1:19" ht="15.5">
      <c r="A50" s="27" t="s">
        <v>51</v>
      </c>
      <c r="B50" s="43"/>
      <c r="C50" s="27"/>
      <c r="D50" s="27"/>
      <c r="E50" s="27"/>
      <c r="F50" s="27"/>
      <c r="G50" s="27"/>
      <c r="H50" s="27"/>
    </row>
    <row r="51" spans="1:19" ht="18.75" customHeight="1">
      <c r="A51" s="27" t="s">
        <v>175</v>
      </c>
      <c r="B51" s="44"/>
      <c r="C51" s="27"/>
      <c r="D51" s="27"/>
      <c r="E51" s="27"/>
      <c r="F51" s="27"/>
      <c r="G51" s="27"/>
      <c r="H51" s="27"/>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51"/>
  <sheetViews>
    <sheetView view="pageBreakPreview" topLeftCell="A7" zoomScale="40" zoomScaleNormal="75" zoomScaleSheetLayoutView="40" workbookViewId="0">
      <selection activeCell="A4" sqref="A4:F51"/>
    </sheetView>
  </sheetViews>
  <sheetFormatPr defaultRowHeight="12.5"/>
  <cols>
    <col min="1" max="1" width="74.54296875" customWidth="1"/>
    <col min="2" max="2" width="90.81640625" style="1" customWidth="1"/>
    <col min="3" max="6" width="18.453125" customWidth="1"/>
    <col min="7" max="7" width="14.81640625" style="28" customWidth="1"/>
    <col min="8" max="8" width="12.81640625" style="28" bestFit="1" customWidth="1"/>
    <col min="9" max="9" width="11.1796875" style="28" bestFit="1" customWidth="1"/>
    <col min="10" max="10" width="10.1796875" style="28" bestFit="1" customWidth="1"/>
    <col min="11" max="19" width="9.1796875" style="28"/>
    <col min="25" max="25" width="9.26953125" bestFit="1" customWidth="1"/>
  </cols>
  <sheetData>
    <row r="1" spans="1:25" ht="15" hidden="1" customHeight="1"/>
    <row r="2" spans="1:25" ht="23" hidden="1">
      <c r="B2" s="164" t="s">
        <v>5</v>
      </c>
      <c r="C2" s="164"/>
      <c r="D2" s="164"/>
      <c r="E2" s="164"/>
      <c r="F2" s="164"/>
    </row>
    <row r="3" spans="1:25" ht="23" hidden="1">
      <c r="B3" s="165" t="s">
        <v>4</v>
      </c>
      <c r="C3" s="165"/>
      <c r="D3" s="165"/>
      <c r="E3" s="165"/>
      <c r="F3" s="165"/>
    </row>
    <row r="4" spans="1:25" s="5" customFormat="1" ht="45" customHeight="1">
      <c r="A4" s="166" t="s">
        <v>6</v>
      </c>
      <c r="B4" s="166"/>
      <c r="C4" s="166"/>
      <c r="D4" s="166"/>
      <c r="E4" s="166"/>
      <c r="F4" s="166"/>
      <c r="G4" s="29"/>
      <c r="H4" s="29"/>
      <c r="I4" s="29"/>
      <c r="J4" s="29"/>
      <c r="K4" s="29"/>
      <c r="L4" s="29"/>
      <c r="M4" s="29"/>
      <c r="N4" s="29"/>
      <c r="O4" s="29"/>
      <c r="P4" s="29"/>
      <c r="Q4" s="29"/>
      <c r="R4" s="29"/>
      <c r="S4" s="29"/>
    </row>
    <row r="5" spans="1:25" s="5" customFormat="1" ht="45" customHeight="1" thickBot="1">
      <c r="A5" s="42"/>
      <c r="B5" s="42"/>
      <c r="C5" s="42"/>
      <c r="D5" s="42"/>
      <c r="E5" s="42"/>
      <c r="F5" s="41" t="s">
        <v>52</v>
      </c>
      <c r="G5" s="30"/>
      <c r="H5" s="30"/>
      <c r="I5" s="30"/>
      <c r="J5" s="30"/>
      <c r="K5" s="30"/>
      <c r="L5" s="29"/>
      <c r="M5" s="29"/>
      <c r="N5" s="29"/>
      <c r="O5" s="29"/>
      <c r="P5" s="29"/>
      <c r="Q5" s="29"/>
      <c r="R5" s="29"/>
      <c r="S5" s="29"/>
    </row>
    <row r="6" spans="1:25" ht="25.5" customHeight="1" thickTop="1" thickBot="1">
      <c r="A6" s="167" t="s">
        <v>55</v>
      </c>
      <c r="B6" s="168"/>
      <c r="C6" s="53" t="s">
        <v>0</v>
      </c>
      <c r="D6" s="53" t="s">
        <v>1</v>
      </c>
      <c r="E6" s="53" t="s">
        <v>2</v>
      </c>
      <c r="F6" s="53" t="s">
        <v>3</v>
      </c>
      <c r="I6" s="31"/>
    </row>
    <row r="7" spans="1:25" ht="36" customHeight="1" thickTop="1" thickBot="1">
      <c r="A7" s="169"/>
      <c r="B7" s="170"/>
      <c r="C7" s="51" t="s">
        <v>71</v>
      </c>
      <c r="D7" s="51" t="s">
        <v>72</v>
      </c>
      <c r="E7" s="52" t="s">
        <v>73</v>
      </c>
      <c r="F7" s="51" t="s">
        <v>92</v>
      </c>
    </row>
    <row r="8" spans="1:25" ht="20.149999999999999" customHeight="1" thickTop="1">
      <c r="A8" s="23" t="s">
        <v>171</v>
      </c>
      <c r="B8" s="24" t="s">
        <v>7</v>
      </c>
      <c r="C8" s="47">
        <f>C9+C33+C36-C39</f>
        <v>691030</v>
      </c>
      <c r="D8" s="47">
        <f t="shared" ref="D8:F8" si="0">D9+D33+D36-D39</f>
        <v>711076</v>
      </c>
      <c r="E8" s="47">
        <f t="shared" si="0"/>
        <v>734185</v>
      </c>
      <c r="F8" s="47">
        <f t="shared" si="0"/>
        <v>755297</v>
      </c>
      <c r="G8" s="33"/>
      <c r="H8" s="34"/>
      <c r="I8" s="34"/>
      <c r="J8" s="34"/>
      <c r="P8" s="32"/>
      <c r="Q8" s="32"/>
      <c r="R8" s="32"/>
      <c r="S8" s="32"/>
      <c r="T8" s="4"/>
      <c r="U8" s="4"/>
      <c r="V8" s="4"/>
      <c r="W8" s="4"/>
      <c r="X8" s="4"/>
      <c r="Y8" s="4"/>
    </row>
    <row r="9" spans="1:25" s="8" customFormat="1" ht="20.149999999999999" customHeight="1">
      <c r="A9" s="21" t="s">
        <v>151</v>
      </c>
      <c r="B9" s="16" t="s">
        <v>8</v>
      </c>
      <c r="C9" s="47">
        <f>C10+C28+C29+C30+C31+C32</f>
        <v>512582</v>
      </c>
      <c r="D9" s="47">
        <f>D10+D28+D29+D30+D31+D32</f>
        <v>528944</v>
      </c>
      <c r="E9" s="47">
        <f>E10+E28+E29+E30+E31+E32</f>
        <v>553162</v>
      </c>
      <c r="F9" s="47">
        <f>F10+F28+F29+F30+F31+F32</f>
        <v>562327</v>
      </c>
      <c r="G9" s="33"/>
      <c r="H9" s="33"/>
      <c r="I9" s="34"/>
      <c r="J9" s="34"/>
      <c r="K9" s="34"/>
      <c r="L9" s="34"/>
      <c r="M9" s="34"/>
      <c r="N9" s="34"/>
      <c r="O9" s="34"/>
      <c r="P9" s="33"/>
      <c r="Q9" s="33"/>
      <c r="R9" s="33"/>
      <c r="S9" s="33"/>
      <c r="T9" s="9"/>
      <c r="U9" s="9"/>
      <c r="V9" s="9"/>
      <c r="W9" s="9"/>
      <c r="X9" s="9"/>
      <c r="Y9" s="9"/>
    </row>
    <row r="10" spans="1:25" s="7" customFormat="1" ht="20.149999999999999" customHeight="1">
      <c r="A10" s="18" t="s">
        <v>27</v>
      </c>
      <c r="B10" s="16" t="s">
        <v>9</v>
      </c>
      <c r="C10" s="86">
        <f>C11+C24</f>
        <v>588368</v>
      </c>
      <c r="D10" s="86">
        <f t="shared" ref="D10:F10" si="1">D11+D24</f>
        <v>626401</v>
      </c>
      <c r="E10" s="86">
        <f t="shared" si="1"/>
        <v>652139</v>
      </c>
      <c r="F10" s="86">
        <f t="shared" si="1"/>
        <v>681838</v>
      </c>
      <c r="G10" s="35"/>
      <c r="H10" s="36"/>
      <c r="I10" s="36"/>
      <c r="J10" s="36"/>
      <c r="K10" s="36"/>
      <c r="L10" s="36"/>
      <c r="M10" s="36"/>
      <c r="N10" s="36"/>
      <c r="O10" s="36"/>
      <c r="P10" s="35"/>
      <c r="Q10" s="35"/>
      <c r="R10" s="35"/>
      <c r="S10" s="35"/>
      <c r="T10" s="6"/>
      <c r="U10" s="6"/>
      <c r="V10" s="6"/>
      <c r="W10" s="6"/>
      <c r="X10" s="6"/>
      <c r="Y10" s="6"/>
    </row>
    <row r="11" spans="1:25" s="7" customFormat="1" ht="20.149999999999999" customHeight="1">
      <c r="A11" s="18" t="s">
        <v>111</v>
      </c>
      <c r="B11" s="16" t="s">
        <v>112</v>
      </c>
      <c r="C11" s="48">
        <f>C12+C13+C14+C17+C18+C19+C20+C21+C22+C23</f>
        <v>422928</v>
      </c>
      <c r="D11" s="48">
        <f t="shared" ref="D11:F11" si="2">D12+D13+D14+D17+D18+D19+D20+D21+D22+D23</f>
        <v>420461</v>
      </c>
      <c r="E11" s="48">
        <f t="shared" si="2"/>
        <v>431699</v>
      </c>
      <c r="F11" s="48">
        <f t="shared" si="2"/>
        <v>442758</v>
      </c>
      <c r="G11" s="35"/>
      <c r="H11" s="36"/>
      <c r="I11" s="36"/>
      <c r="J11" s="36"/>
      <c r="K11" s="36"/>
      <c r="L11" s="36"/>
      <c r="M11" s="36"/>
      <c r="N11" s="36"/>
      <c r="O11" s="36"/>
      <c r="P11" s="35"/>
      <c r="Q11" s="35"/>
      <c r="R11" s="35"/>
      <c r="S11" s="35"/>
      <c r="T11" s="6"/>
      <c r="U11" s="6"/>
      <c r="V11" s="6"/>
      <c r="W11" s="6"/>
      <c r="X11" s="6"/>
      <c r="Y11" s="6"/>
    </row>
    <row r="12" spans="1:25" s="7" customFormat="1" ht="20.149999999999999" customHeight="1">
      <c r="A12" s="20" t="s">
        <v>28</v>
      </c>
      <c r="B12" s="11" t="s">
        <v>10</v>
      </c>
      <c r="C12" s="49">
        <v>122292</v>
      </c>
      <c r="D12" s="49">
        <v>122378</v>
      </c>
      <c r="E12" s="49">
        <v>122378</v>
      </c>
      <c r="F12" s="49">
        <v>121708</v>
      </c>
      <c r="G12" s="36"/>
      <c r="H12" s="35"/>
      <c r="I12" s="36"/>
      <c r="J12" s="36"/>
      <c r="K12" s="36"/>
      <c r="L12" s="36"/>
      <c r="M12" s="36"/>
      <c r="N12" s="36"/>
      <c r="O12" s="36"/>
      <c r="P12" s="35"/>
      <c r="Q12" s="35"/>
      <c r="R12" s="35"/>
      <c r="S12" s="35"/>
      <c r="T12" s="6"/>
      <c r="U12" s="6"/>
      <c r="V12" s="6"/>
      <c r="W12" s="6"/>
      <c r="X12" s="6"/>
      <c r="Y12" s="6"/>
    </row>
    <row r="13" spans="1:25" s="8" customFormat="1" ht="20.149999999999999" customHeight="1">
      <c r="A13" s="19" t="s">
        <v>29</v>
      </c>
      <c r="B13" s="11" t="s">
        <v>11</v>
      </c>
      <c r="C13" s="49">
        <v>4000</v>
      </c>
      <c r="D13" s="49">
        <v>4000</v>
      </c>
      <c r="E13" s="49">
        <v>4000</v>
      </c>
      <c r="F13" s="49">
        <v>4000</v>
      </c>
      <c r="G13" s="34"/>
      <c r="H13" s="33"/>
      <c r="I13" s="34"/>
      <c r="J13" s="34"/>
      <c r="K13" s="34"/>
      <c r="L13" s="34"/>
      <c r="M13" s="34"/>
      <c r="N13" s="34"/>
      <c r="O13" s="34"/>
      <c r="P13" s="33"/>
      <c r="Q13" s="33"/>
      <c r="R13" s="33"/>
      <c r="S13" s="33"/>
      <c r="T13" s="9"/>
      <c r="U13" s="9"/>
      <c r="V13" s="9"/>
      <c r="W13" s="9"/>
      <c r="X13" s="9"/>
      <c r="Y13" s="9"/>
    </row>
    <row r="14" spans="1:25" s="7" customFormat="1" ht="20.149999999999999" customHeight="1">
      <c r="A14" s="108" t="s">
        <v>30</v>
      </c>
      <c r="B14" s="11" t="s">
        <v>84</v>
      </c>
      <c r="C14" s="49">
        <f>C15+C16</f>
        <v>4064</v>
      </c>
      <c r="D14" s="49">
        <f t="shared" ref="D14:F14" si="3">D15+D16</f>
        <v>6415</v>
      </c>
      <c r="E14" s="49">
        <f t="shared" si="3"/>
        <v>7390</v>
      </c>
      <c r="F14" s="49">
        <f t="shared" si="3"/>
        <v>7809</v>
      </c>
      <c r="G14" s="36"/>
      <c r="H14" s="33"/>
      <c r="I14" s="36"/>
      <c r="J14" s="36"/>
      <c r="K14" s="36"/>
      <c r="L14" s="36"/>
      <c r="M14" s="36"/>
      <c r="N14" s="36"/>
      <c r="O14" s="36"/>
      <c r="P14" s="35"/>
      <c r="Q14" s="35"/>
      <c r="R14" s="35"/>
      <c r="S14" s="35"/>
      <c r="T14" s="6"/>
      <c r="U14" s="6"/>
      <c r="V14" s="6"/>
      <c r="W14" s="6"/>
      <c r="X14" s="6"/>
      <c r="Y14" s="6"/>
    </row>
    <row r="15" spans="1:25" s="7" customFormat="1" ht="20.149999999999999" customHeight="1">
      <c r="A15" s="101" t="s">
        <v>31</v>
      </c>
      <c r="B15" s="12" t="s">
        <v>12</v>
      </c>
      <c r="C15" s="49">
        <v>3952</v>
      </c>
      <c r="D15" s="49">
        <v>3952</v>
      </c>
      <c r="E15" s="49">
        <v>4067</v>
      </c>
      <c r="F15" s="49">
        <v>4036</v>
      </c>
      <c r="G15" s="36"/>
      <c r="H15" s="33"/>
      <c r="I15" s="36"/>
      <c r="J15" s="36"/>
      <c r="K15" s="36"/>
      <c r="L15" s="36"/>
      <c r="M15" s="36"/>
      <c r="N15" s="36"/>
      <c r="O15" s="36"/>
      <c r="P15" s="35"/>
      <c r="Q15" s="35"/>
      <c r="R15" s="35"/>
      <c r="S15" s="35"/>
      <c r="T15" s="6"/>
      <c r="U15" s="6"/>
      <c r="V15" s="6"/>
      <c r="W15" s="6"/>
      <c r="X15" s="6"/>
      <c r="Y15" s="6"/>
    </row>
    <row r="16" spans="1:25" ht="20.149999999999999" customHeight="1">
      <c r="A16" s="101" t="s">
        <v>32</v>
      </c>
      <c r="B16" s="12" t="s">
        <v>13</v>
      </c>
      <c r="C16" s="49">
        <v>112</v>
      </c>
      <c r="D16" s="49">
        <v>2463</v>
      </c>
      <c r="E16" s="49">
        <v>3323</v>
      </c>
      <c r="F16" s="49">
        <v>3773</v>
      </c>
      <c r="P16" s="32"/>
      <c r="Q16" s="32"/>
      <c r="R16" s="32"/>
      <c r="S16" s="32"/>
      <c r="T16" s="4"/>
      <c r="U16" s="4"/>
      <c r="V16" s="4"/>
      <c r="W16" s="4"/>
      <c r="X16" s="4"/>
      <c r="Y16" s="4"/>
    </row>
    <row r="17" spans="1:25" ht="20.149999999999999" customHeight="1">
      <c r="A17" s="10" t="s">
        <v>33</v>
      </c>
      <c r="B17" s="13" t="s">
        <v>14</v>
      </c>
      <c r="C17" s="49">
        <v>78500</v>
      </c>
      <c r="D17" s="49">
        <v>73500</v>
      </c>
      <c r="E17" s="49">
        <v>83500</v>
      </c>
      <c r="F17" s="49">
        <v>92500</v>
      </c>
      <c r="P17" s="32"/>
      <c r="Q17" s="32"/>
      <c r="R17" s="32"/>
      <c r="S17" s="32"/>
      <c r="T17" s="4"/>
      <c r="U17" s="4"/>
      <c r="V17" s="4"/>
      <c r="W17" s="4"/>
      <c r="X17" s="4"/>
      <c r="Y17" s="4"/>
    </row>
    <row r="18" spans="1:25" ht="20.149999999999999" customHeight="1">
      <c r="A18" s="10" t="s">
        <v>34</v>
      </c>
      <c r="B18" s="13" t="s">
        <v>15</v>
      </c>
      <c r="C18" s="49">
        <v>2000</v>
      </c>
      <c r="D18" s="49">
        <v>2000</v>
      </c>
      <c r="E18" s="49">
        <v>2000</v>
      </c>
      <c r="F18" s="49">
        <v>2000</v>
      </c>
      <c r="I18" s="32"/>
      <c r="P18" s="32"/>
      <c r="Q18" s="32"/>
      <c r="R18" s="32"/>
      <c r="S18" s="32"/>
      <c r="T18" s="4"/>
      <c r="U18" s="4"/>
      <c r="V18" s="4"/>
      <c r="W18" s="4"/>
      <c r="X18" s="4"/>
      <c r="Y18" s="4"/>
    </row>
    <row r="19" spans="1:25" s="3" customFormat="1" ht="20.149999999999999" customHeight="1">
      <c r="A19" s="10" t="s">
        <v>35</v>
      </c>
      <c r="B19" s="13" t="s">
        <v>16</v>
      </c>
      <c r="C19" s="49">
        <v>120</v>
      </c>
      <c r="D19" s="49">
        <v>116</v>
      </c>
      <c r="E19" s="49">
        <v>116</v>
      </c>
      <c r="F19" s="49">
        <v>116</v>
      </c>
      <c r="G19" s="37"/>
      <c r="H19" s="37"/>
      <c r="I19" s="38"/>
      <c r="J19" s="38"/>
      <c r="K19" s="37"/>
      <c r="L19" s="37"/>
      <c r="M19" s="37"/>
      <c r="N19" s="37"/>
      <c r="O19" s="37"/>
      <c r="P19" s="32"/>
      <c r="Q19" s="32"/>
      <c r="R19" s="32"/>
      <c r="S19" s="32"/>
      <c r="T19" s="4"/>
      <c r="U19" s="4"/>
      <c r="V19" s="4"/>
      <c r="W19" s="4"/>
      <c r="X19" s="4"/>
      <c r="Y19" s="4"/>
    </row>
    <row r="20" spans="1:25" ht="20.149999999999999" customHeight="1">
      <c r="A20" s="10" t="s">
        <v>46</v>
      </c>
      <c r="B20" s="13" t="s">
        <v>17</v>
      </c>
      <c r="C20" s="49">
        <v>11404</v>
      </c>
      <c r="D20" s="49">
        <v>11504</v>
      </c>
      <c r="E20" s="49">
        <v>11767</v>
      </c>
      <c r="F20" s="49">
        <v>11677</v>
      </c>
      <c r="H20" s="39"/>
      <c r="I20" s="32"/>
      <c r="P20" s="32"/>
      <c r="Q20" s="32"/>
      <c r="R20" s="32"/>
      <c r="S20" s="32"/>
      <c r="T20" s="4"/>
      <c r="U20" s="4"/>
      <c r="V20" s="4"/>
      <c r="W20" s="4"/>
      <c r="X20" s="4"/>
      <c r="Y20" s="4"/>
    </row>
    <row r="21" spans="1:25" ht="19.5" customHeight="1">
      <c r="A21" s="10" t="s">
        <v>36</v>
      </c>
      <c r="B21" s="13" t="s">
        <v>18</v>
      </c>
      <c r="C21" s="49">
        <v>1646</v>
      </c>
      <c r="D21" s="49">
        <v>1646</v>
      </c>
      <c r="E21" s="49">
        <v>1646</v>
      </c>
      <c r="F21" s="49">
        <v>1700</v>
      </c>
      <c r="J21" s="32"/>
      <c r="P21" s="32"/>
      <c r="Q21" s="32"/>
      <c r="R21" s="32"/>
      <c r="S21" s="32"/>
      <c r="T21" s="4"/>
      <c r="U21" s="4"/>
      <c r="V21" s="4"/>
      <c r="W21" s="4"/>
      <c r="X21" s="4"/>
      <c r="Y21" s="4"/>
    </row>
    <row r="22" spans="1:25" ht="20.149999999999999" customHeight="1">
      <c r="A22" s="10" t="s">
        <v>142</v>
      </c>
      <c r="B22" s="13" t="s">
        <v>19</v>
      </c>
      <c r="C22" s="49">
        <v>198902</v>
      </c>
      <c r="D22" s="49">
        <v>198902</v>
      </c>
      <c r="E22" s="49">
        <v>198902</v>
      </c>
      <c r="F22" s="49">
        <v>201248</v>
      </c>
      <c r="H22" s="32"/>
      <c r="P22" s="32"/>
      <c r="Q22" s="32"/>
      <c r="R22" s="32"/>
      <c r="S22" s="32"/>
      <c r="T22" s="4"/>
      <c r="U22" s="4"/>
      <c r="V22" s="4"/>
      <c r="W22" s="4"/>
      <c r="X22" s="4"/>
      <c r="Y22" s="4"/>
    </row>
    <row r="23" spans="1:25" ht="20.149999999999999" customHeight="1">
      <c r="A23" s="76" t="s">
        <v>37</v>
      </c>
      <c r="B23" s="13" t="s">
        <v>20</v>
      </c>
      <c r="C23" s="49">
        <v>0</v>
      </c>
      <c r="D23" s="49">
        <v>0</v>
      </c>
      <c r="E23" s="49">
        <v>0</v>
      </c>
      <c r="F23" s="49">
        <v>0</v>
      </c>
      <c r="P23" s="32"/>
      <c r="Q23" s="32"/>
      <c r="R23" s="32"/>
      <c r="S23" s="32"/>
      <c r="T23" s="4"/>
      <c r="U23" s="4"/>
      <c r="V23" s="4"/>
      <c r="W23" s="4"/>
      <c r="X23" s="4"/>
      <c r="Y23" s="4"/>
    </row>
    <row r="24" spans="1:25" ht="20.149999999999999" customHeight="1">
      <c r="A24" s="77" t="s">
        <v>38</v>
      </c>
      <c r="B24" s="78" t="s">
        <v>21</v>
      </c>
      <c r="C24" s="47">
        <f>C25+C26+C27</f>
        <v>165440</v>
      </c>
      <c r="D24" s="47">
        <f t="shared" ref="D24:F24" si="4">D25+D26+D27</f>
        <v>205940</v>
      </c>
      <c r="E24" s="47">
        <f t="shared" si="4"/>
        <v>220440</v>
      </c>
      <c r="F24" s="47">
        <f t="shared" si="4"/>
        <v>239080</v>
      </c>
      <c r="H24" s="32"/>
      <c r="P24" s="32"/>
      <c r="Q24" s="32"/>
      <c r="R24" s="32"/>
      <c r="S24" s="32"/>
      <c r="T24" s="4"/>
      <c r="U24" s="4"/>
      <c r="V24" s="4"/>
      <c r="W24" s="4"/>
      <c r="X24" s="4"/>
      <c r="Y24" s="4"/>
    </row>
    <row r="25" spans="1:25" ht="20.149999999999999" customHeight="1">
      <c r="A25" s="110" t="s">
        <v>32</v>
      </c>
      <c r="B25" s="25" t="s">
        <v>13</v>
      </c>
      <c r="C25" s="49">
        <v>165440</v>
      </c>
      <c r="D25" s="49">
        <v>205940</v>
      </c>
      <c r="E25" s="49">
        <v>220440</v>
      </c>
      <c r="F25" s="49">
        <v>239080</v>
      </c>
      <c r="K25" s="32"/>
      <c r="P25" s="32"/>
      <c r="Q25" s="32"/>
      <c r="R25" s="32"/>
      <c r="S25" s="32"/>
      <c r="T25" s="4"/>
      <c r="U25" s="4"/>
      <c r="V25" s="4"/>
      <c r="W25" s="4"/>
      <c r="X25" s="4"/>
      <c r="Y25" s="4"/>
    </row>
    <row r="26" spans="1:25" ht="20.149999999999999" customHeight="1">
      <c r="A26" s="110" t="s">
        <v>31</v>
      </c>
      <c r="B26" s="25" t="s">
        <v>12</v>
      </c>
      <c r="C26" s="49">
        <v>0</v>
      </c>
      <c r="D26" s="49">
        <v>0</v>
      </c>
      <c r="E26" s="49">
        <v>0</v>
      </c>
      <c r="F26" s="49">
        <v>0</v>
      </c>
      <c r="J26" s="32"/>
      <c r="P26" s="32"/>
      <c r="Q26" s="32"/>
      <c r="R26" s="32"/>
      <c r="S26" s="32"/>
      <c r="T26" s="4"/>
      <c r="U26" s="4"/>
      <c r="V26" s="4"/>
      <c r="W26" s="4"/>
      <c r="X26" s="4"/>
      <c r="Y26" s="4"/>
    </row>
    <row r="27" spans="1:25" ht="20.149999999999999" customHeight="1">
      <c r="A27" s="102" t="s">
        <v>135</v>
      </c>
      <c r="B27" s="25" t="s">
        <v>22</v>
      </c>
      <c r="C27" s="68">
        <v>0</v>
      </c>
      <c r="D27" s="68">
        <v>0</v>
      </c>
      <c r="E27" s="68">
        <v>0</v>
      </c>
      <c r="F27" s="68">
        <v>0</v>
      </c>
      <c r="H27" s="32"/>
      <c r="P27" s="32"/>
      <c r="Q27" s="32"/>
      <c r="R27" s="32"/>
      <c r="S27" s="32"/>
      <c r="T27" s="4"/>
      <c r="U27" s="4"/>
      <c r="V27" s="4"/>
      <c r="W27" s="4"/>
      <c r="X27" s="4"/>
      <c r="Y27" s="4"/>
    </row>
    <row r="28" spans="1:25" s="2" customFormat="1" ht="20.149999999999999" customHeight="1">
      <c r="A28" s="17" t="s">
        <v>39</v>
      </c>
      <c r="B28" s="16" t="s">
        <v>23</v>
      </c>
      <c r="C28" s="47">
        <v>0</v>
      </c>
      <c r="D28" s="47">
        <v>0</v>
      </c>
      <c r="E28" s="47">
        <v>0</v>
      </c>
      <c r="F28" s="47">
        <v>0</v>
      </c>
      <c r="G28" s="40"/>
      <c r="H28" s="40"/>
      <c r="I28" s="40"/>
      <c r="J28" s="40"/>
      <c r="K28" s="40"/>
      <c r="L28" s="40"/>
      <c r="M28" s="40"/>
      <c r="N28" s="40"/>
      <c r="O28" s="40"/>
      <c r="P28" s="32"/>
      <c r="Q28" s="32"/>
      <c r="R28" s="32"/>
      <c r="S28" s="32"/>
      <c r="T28" s="4"/>
      <c r="U28" s="4"/>
      <c r="V28" s="4"/>
      <c r="W28" s="4"/>
      <c r="X28" s="4"/>
      <c r="Y28" s="4"/>
    </row>
    <row r="29" spans="1:25" ht="20.149999999999999" customHeight="1">
      <c r="A29" s="17" t="s">
        <v>40</v>
      </c>
      <c r="B29" s="16" t="s">
        <v>24</v>
      </c>
      <c r="C29" s="47">
        <v>2343</v>
      </c>
      <c r="D29" s="47">
        <v>2343</v>
      </c>
      <c r="E29" s="47">
        <v>2343</v>
      </c>
      <c r="F29" s="47">
        <v>2343</v>
      </c>
      <c r="P29" s="32"/>
      <c r="Q29" s="32"/>
      <c r="R29" s="32"/>
      <c r="S29" s="32"/>
      <c r="T29" s="4"/>
      <c r="U29" s="4"/>
      <c r="V29" s="4"/>
      <c r="W29" s="4"/>
      <c r="X29" s="4"/>
      <c r="Y29" s="4"/>
    </row>
    <row r="30" spans="1:25" ht="21" customHeight="1">
      <c r="A30" s="18" t="s">
        <v>137</v>
      </c>
      <c r="B30" s="16" t="s">
        <v>103</v>
      </c>
      <c r="C30" s="68">
        <v>0</v>
      </c>
      <c r="D30" s="68">
        <v>0</v>
      </c>
      <c r="E30" s="68">
        <v>0</v>
      </c>
      <c r="F30" s="68">
        <v>0</v>
      </c>
      <c r="I30" s="32"/>
      <c r="P30" s="32"/>
      <c r="Q30" s="32"/>
      <c r="R30" s="32"/>
      <c r="S30" s="32"/>
      <c r="T30" s="4"/>
      <c r="U30" s="4"/>
      <c r="V30" s="4"/>
      <c r="W30" s="4"/>
      <c r="X30" s="4"/>
      <c r="Y30" s="4"/>
    </row>
    <row r="31" spans="1:25" ht="20.149999999999999" customHeight="1">
      <c r="A31" s="18" t="s">
        <v>41</v>
      </c>
      <c r="B31" s="16" t="s">
        <v>25</v>
      </c>
      <c r="C31" s="47">
        <v>-78129</v>
      </c>
      <c r="D31" s="47">
        <v>-99800</v>
      </c>
      <c r="E31" s="47">
        <v>-101320</v>
      </c>
      <c r="F31" s="47">
        <v>-121854</v>
      </c>
      <c r="P31" s="32"/>
      <c r="Q31" s="32"/>
      <c r="R31" s="32"/>
      <c r="S31" s="32"/>
      <c r="T31" s="4"/>
      <c r="U31" s="4"/>
      <c r="V31" s="4"/>
      <c r="W31" s="4"/>
      <c r="X31" s="4"/>
      <c r="Y31" s="4"/>
    </row>
    <row r="32" spans="1:25" s="63" customFormat="1" ht="20.149999999999999" customHeight="1">
      <c r="A32" s="18" t="s">
        <v>104</v>
      </c>
      <c r="B32" s="16" t="s">
        <v>105</v>
      </c>
      <c r="C32" s="64">
        <v>0</v>
      </c>
      <c r="D32" s="64">
        <v>0</v>
      </c>
      <c r="E32" s="64">
        <v>0</v>
      </c>
      <c r="F32" s="64">
        <v>0</v>
      </c>
      <c r="G32" s="60"/>
      <c r="H32" s="60"/>
      <c r="I32" s="60"/>
      <c r="J32" s="60"/>
      <c r="K32" s="60"/>
      <c r="L32" s="60"/>
      <c r="M32" s="60"/>
      <c r="N32" s="60"/>
      <c r="O32" s="60"/>
      <c r="P32" s="61"/>
      <c r="Q32" s="61"/>
      <c r="R32" s="61"/>
      <c r="S32" s="61"/>
      <c r="T32" s="62"/>
      <c r="U32" s="62"/>
      <c r="V32" s="62"/>
      <c r="W32" s="62"/>
      <c r="X32" s="62"/>
      <c r="Y32" s="62"/>
    </row>
    <row r="33" spans="1:25" ht="20.149999999999999" customHeight="1">
      <c r="A33" s="17" t="s">
        <v>148</v>
      </c>
      <c r="B33" s="115" t="s">
        <v>150</v>
      </c>
      <c r="C33" s="47">
        <v>50727</v>
      </c>
      <c r="D33" s="47">
        <v>55600</v>
      </c>
      <c r="E33" s="47">
        <v>55257</v>
      </c>
      <c r="F33" s="47">
        <v>52255</v>
      </c>
      <c r="H33" s="32"/>
      <c r="P33" s="32"/>
      <c r="Q33" s="32"/>
      <c r="R33" s="32"/>
      <c r="S33" s="32"/>
      <c r="T33" s="4"/>
      <c r="U33" s="4"/>
      <c r="V33" s="4"/>
      <c r="W33" s="4"/>
      <c r="X33" s="4"/>
      <c r="Y33" s="4"/>
    </row>
    <row r="34" spans="1:25" ht="23.25" customHeight="1">
      <c r="A34" s="111" t="s">
        <v>160</v>
      </c>
      <c r="B34" s="14" t="s">
        <v>161</v>
      </c>
      <c r="C34" s="49">
        <v>-2096</v>
      </c>
      <c r="D34" s="49">
        <v>2953</v>
      </c>
      <c r="E34" s="49">
        <v>2952</v>
      </c>
      <c r="F34" s="49">
        <v>2193</v>
      </c>
      <c r="G34" s="32"/>
      <c r="P34" s="32"/>
      <c r="Q34" s="32"/>
      <c r="R34" s="32"/>
      <c r="S34" s="32"/>
      <c r="T34" s="4"/>
      <c r="U34" s="4"/>
      <c r="V34" s="4"/>
      <c r="W34" s="4"/>
      <c r="X34" s="4"/>
      <c r="Y34" s="4"/>
    </row>
    <row r="35" spans="1:25" ht="21.75" customHeight="1">
      <c r="A35" s="112" t="s">
        <v>162</v>
      </c>
      <c r="B35" s="14" t="s">
        <v>163</v>
      </c>
      <c r="C35" s="49">
        <v>52823</v>
      </c>
      <c r="D35" s="49">
        <v>52647</v>
      </c>
      <c r="E35" s="49">
        <v>52305</v>
      </c>
      <c r="F35" s="49">
        <v>50062</v>
      </c>
      <c r="G35" s="32"/>
      <c r="P35" s="32"/>
      <c r="Q35" s="32"/>
      <c r="R35" s="32"/>
      <c r="S35" s="32"/>
      <c r="T35" s="4"/>
      <c r="U35" s="4"/>
      <c r="V35" s="4"/>
      <c r="W35" s="4"/>
      <c r="X35" s="4"/>
      <c r="Y35" s="4"/>
    </row>
    <row r="36" spans="1:25" ht="20.149999999999999" customHeight="1">
      <c r="A36" s="17" t="s">
        <v>42</v>
      </c>
      <c r="B36" s="115" t="s">
        <v>146</v>
      </c>
      <c r="C36" s="47">
        <f>C37-C38</f>
        <v>189216</v>
      </c>
      <c r="D36" s="47">
        <f t="shared" ref="D36" si="5">D37-D38</f>
        <v>190695</v>
      </c>
      <c r="E36" s="47">
        <f>E37-E38</f>
        <v>188920</v>
      </c>
      <c r="F36" s="47">
        <f>F37-F38</f>
        <v>200754</v>
      </c>
      <c r="P36" s="32"/>
      <c r="Q36" s="32"/>
      <c r="R36" s="32"/>
      <c r="S36" s="32"/>
      <c r="T36" s="4"/>
      <c r="U36" s="4"/>
      <c r="V36" s="4"/>
      <c r="W36" s="4"/>
      <c r="X36" s="4"/>
      <c r="Y36" s="4"/>
    </row>
    <row r="37" spans="1:25" ht="19.5" customHeight="1">
      <c r="A37" s="111" t="s">
        <v>43</v>
      </c>
      <c r="B37" s="11" t="s">
        <v>149</v>
      </c>
      <c r="C37" s="49">
        <v>192282</v>
      </c>
      <c r="D37" s="49">
        <v>192602</v>
      </c>
      <c r="E37" s="49">
        <v>192030</v>
      </c>
      <c r="F37" s="49">
        <v>205560</v>
      </c>
    </row>
    <row r="38" spans="1:25" ht="24" customHeight="1">
      <c r="A38" s="112" t="s">
        <v>143</v>
      </c>
      <c r="B38" s="11" t="s">
        <v>26</v>
      </c>
      <c r="C38" s="49">
        <v>3066</v>
      </c>
      <c r="D38" s="49">
        <v>1907</v>
      </c>
      <c r="E38" s="49">
        <v>3110</v>
      </c>
      <c r="F38" s="49">
        <v>4806</v>
      </c>
    </row>
    <row r="39" spans="1:25" ht="20.25" customHeight="1">
      <c r="A39" s="17" t="s">
        <v>44</v>
      </c>
      <c r="B39" s="16" t="s">
        <v>145</v>
      </c>
      <c r="C39" s="47">
        <f>SUM(C40:C42)</f>
        <v>61495</v>
      </c>
      <c r="D39" s="47">
        <f t="shared" ref="D39" si="6">SUM(D40:D42)</f>
        <v>64163</v>
      </c>
      <c r="E39" s="47">
        <f>SUM(E40:E42)</f>
        <v>63154</v>
      </c>
      <c r="F39" s="47">
        <f>F40+F41+F42</f>
        <v>60039</v>
      </c>
    </row>
    <row r="40" spans="1:25" ht="26.25" customHeight="1">
      <c r="A40" s="111" t="s">
        <v>45</v>
      </c>
      <c r="B40" s="84" t="s">
        <v>165</v>
      </c>
      <c r="C40" s="49">
        <v>8672</v>
      </c>
      <c r="D40" s="49">
        <v>11516</v>
      </c>
      <c r="E40" s="49">
        <v>10849</v>
      </c>
      <c r="F40" s="49">
        <v>9977</v>
      </c>
    </row>
    <row r="41" spans="1:25" ht="25.5" customHeight="1">
      <c r="A41" s="113" t="s">
        <v>47</v>
      </c>
      <c r="B41" s="80" t="s">
        <v>169</v>
      </c>
      <c r="C41" s="49">
        <v>0</v>
      </c>
      <c r="D41" s="49">
        <v>0</v>
      </c>
      <c r="E41" s="49">
        <v>0</v>
      </c>
      <c r="F41" s="49">
        <v>0</v>
      </c>
    </row>
    <row r="42" spans="1:25" ht="24.75" customHeight="1">
      <c r="A42" s="114" t="s">
        <v>144</v>
      </c>
      <c r="B42" s="81" t="s">
        <v>167</v>
      </c>
      <c r="C42" s="50">
        <v>52823</v>
      </c>
      <c r="D42" s="50">
        <v>52647</v>
      </c>
      <c r="E42" s="50">
        <v>52305</v>
      </c>
      <c r="F42" s="50">
        <v>50062</v>
      </c>
    </row>
    <row r="43" spans="1:25" ht="15.5">
      <c r="A43" s="27" t="s">
        <v>49</v>
      </c>
      <c r="B43" s="43"/>
      <c r="C43" s="27"/>
      <c r="D43" s="27"/>
      <c r="E43" s="27"/>
      <c r="F43" s="27"/>
      <c r="G43" s="27"/>
      <c r="H43" s="27"/>
      <c r="I43" s="27"/>
      <c r="J43" s="27"/>
      <c r="K43" s="27"/>
      <c r="L43" s="45"/>
      <c r="M43" s="45"/>
      <c r="N43" s="45"/>
      <c r="O43" s="45"/>
      <c r="P43" s="45"/>
      <c r="Q43"/>
      <c r="R43"/>
      <c r="S43"/>
    </row>
    <row r="44" spans="1:25" ht="15.5">
      <c r="A44" s="27" t="s">
        <v>50</v>
      </c>
      <c r="B44" s="43"/>
      <c r="C44" s="27"/>
      <c r="D44" s="27"/>
      <c r="E44" s="27"/>
      <c r="F44" s="27"/>
      <c r="G44" s="27"/>
      <c r="H44" s="27"/>
      <c r="I44" s="27"/>
      <c r="J44" s="27"/>
      <c r="K44" s="27"/>
      <c r="L44" s="45"/>
      <c r="M44" s="45"/>
      <c r="N44" s="45"/>
      <c r="O44" s="45"/>
      <c r="P44" s="45"/>
      <c r="Q44"/>
      <c r="R44"/>
      <c r="S44"/>
    </row>
    <row r="45" spans="1:25" ht="15.5">
      <c r="A45" s="27" t="s">
        <v>85</v>
      </c>
      <c r="B45" s="43"/>
      <c r="C45" s="27"/>
      <c r="D45" s="27"/>
      <c r="E45" s="27"/>
      <c r="F45" s="27"/>
      <c r="G45" s="27"/>
      <c r="H45" s="27"/>
      <c r="I45" s="27"/>
      <c r="J45" s="27"/>
      <c r="K45" s="27"/>
      <c r="L45" s="45"/>
      <c r="M45" s="45"/>
      <c r="N45" s="45"/>
      <c r="O45" s="45"/>
      <c r="P45" s="45"/>
      <c r="Q45"/>
      <c r="R45"/>
      <c r="S45"/>
    </row>
    <row r="46" spans="1:25" ht="15.5">
      <c r="A46" s="27" t="s">
        <v>53</v>
      </c>
      <c r="B46" s="43"/>
      <c r="C46" s="27"/>
      <c r="D46" s="27"/>
      <c r="E46" s="27"/>
      <c r="F46" s="27"/>
      <c r="G46" s="27"/>
      <c r="H46" s="27"/>
      <c r="I46" s="27"/>
      <c r="J46" s="27"/>
      <c r="K46" s="27"/>
      <c r="L46" s="45"/>
      <c r="M46" s="45"/>
      <c r="N46" s="45"/>
      <c r="O46" s="45"/>
      <c r="P46" s="45"/>
      <c r="Q46"/>
      <c r="R46"/>
      <c r="S46"/>
    </row>
    <row r="47" spans="1:25" ht="15.5">
      <c r="A47" s="27" t="s">
        <v>86</v>
      </c>
      <c r="B47" s="43"/>
      <c r="C47" s="27"/>
      <c r="D47" s="27"/>
      <c r="E47" s="27"/>
      <c r="F47" s="27"/>
      <c r="G47" s="27"/>
      <c r="H47" s="27"/>
      <c r="I47" s="27"/>
      <c r="J47" s="27"/>
      <c r="K47" s="27"/>
      <c r="L47" s="45"/>
      <c r="M47" s="45"/>
      <c r="N47" s="45"/>
      <c r="O47" s="45"/>
      <c r="P47" s="45"/>
      <c r="Q47"/>
      <c r="R47"/>
      <c r="S47"/>
    </row>
    <row r="48" spans="1:25" ht="15.5">
      <c r="A48" s="27" t="s">
        <v>54</v>
      </c>
      <c r="B48" s="43"/>
      <c r="C48" s="27"/>
      <c r="D48" s="27"/>
      <c r="E48" s="27"/>
      <c r="F48" s="27"/>
      <c r="G48" s="27"/>
      <c r="H48" s="27"/>
      <c r="I48" s="27"/>
      <c r="J48" s="27"/>
      <c r="K48" s="27"/>
      <c r="L48" s="45"/>
      <c r="M48" s="45"/>
      <c r="N48" s="45"/>
      <c r="O48" s="45"/>
      <c r="P48" s="45"/>
      <c r="Q48"/>
      <c r="R48"/>
      <c r="S48"/>
    </row>
    <row r="49" spans="1:19" ht="15.5">
      <c r="A49" s="27" t="s">
        <v>87</v>
      </c>
      <c r="B49" s="43"/>
      <c r="C49" s="27"/>
      <c r="D49" s="27"/>
      <c r="E49" s="27"/>
      <c r="F49" s="27"/>
      <c r="G49" s="27"/>
      <c r="H49" s="27"/>
      <c r="I49" s="27"/>
      <c r="J49" s="27"/>
      <c r="K49" s="27"/>
      <c r="L49" s="45"/>
      <c r="M49" s="45"/>
      <c r="N49" s="45"/>
      <c r="O49" s="45"/>
      <c r="P49" s="45"/>
      <c r="Q49"/>
      <c r="R49"/>
      <c r="S49"/>
    </row>
    <row r="50" spans="1:19" ht="15.5">
      <c r="A50" s="27"/>
      <c r="B50" s="43"/>
      <c r="C50" s="27"/>
      <c r="D50" s="27"/>
      <c r="E50" s="27"/>
      <c r="F50" s="27"/>
      <c r="G50" s="27"/>
      <c r="H50" s="27"/>
    </row>
    <row r="51" spans="1:19" ht="18.75" customHeight="1">
      <c r="A51" s="27"/>
      <c r="B51" s="44"/>
      <c r="C51" s="27"/>
      <c r="D51" s="27"/>
      <c r="E51" s="27"/>
      <c r="F51" s="27"/>
      <c r="G51" s="27"/>
      <c r="H51" s="27"/>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Y49"/>
  <sheetViews>
    <sheetView view="pageBreakPreview" topLeftCell="A4" zoomScale="50" zoomScaleNormal="75" zoomScaleSheetLayoutView="50" workbookViewId="0">
      <selection activeCell="A4" sqref="A4:F49"/>
    </sheetView>
  </sheetViews>
  <sheetFormatPr defaultRowHeight="12.5"/>
  <cols>
    <col min="1" max="1" width="74.54296875" customWidth="1"/>
    <col min="2" max="2" width="90.81640625" style="1" customWidth="1"/>
    <col min="3" max="6" width="18.453125" customWidth="1"/>
    <col min="7" max="7" width="11.7265625" style="28" customWidth="1"/>
    <col min="8" max="8" width="12.81640625" style="28" bestFit="1" customWidth="1"/>
    <col min="9" max="9" width="11.1796875" style="28" bestFit="1" customWidth="1"/>
    <col min="10" max="10" width="10.7265625" style="28" bestFit="1" customWidth="1"/>
    <col min="11" max="19" width="9.1796875" style="28"/>
    <col min="25" max="25" width="9.26953125" bestFit="1" customWidth="1"/>
  </cols>
  <sheetData>
    <row r="1" spans="1:25" ht="15" hidden="1" customHeight="1"/>
    <row r="2" spans="1:25" ht="23" hidden="1">
      <c r="B2" s="164" t="s">
        <v>5</v>
      </c>
      <c r="C2" s="164"/>
      <c r="D2" s="164"/>
      <c r="E2" s="164"/>
      <c r="F2" s="164"/>
    </row>
    <row r="3" spans="1:25" ht="23" hidden="1">
      <c r="B3" s="165" t="s">
        <v>4</v>
      </c>
      <c r="C3" s="165"/>
      <c r="D3" s="165"/>
      <c r="E3" s="165"/>
      <c r="F3" s="165"/>
    </row>
    <row r="4" spans="1:25" s="5" customFormat="1" ht="45" customHeight="1">
      <c r="A4" s="166" t="s">
        <v>6</v>
      </c>
      <c r="B4" s="166"/>
      <c r="C4" s="166"/>
      <c r="D4" s="166"/>
      <c r="E4" s="166"/>
      <c r="F4" s="166"/>
      <c r="G4" s="29"/>
      <c r="H4" s="29"/>
      <c r="I4" s="29"/>
      <c r="J4" s="29"/>
      <c r="K4" s="29"/>
      <c r="L4" s="29"/>
      <c r="M4" s="29"/>
      <c r="N4" s="29"/>
      <c r="O4" s="29"/>
      <c r="P4" s="29"/>
      <c r="Q4" s="29"/>
      <c r="R4" s="29"/>
      <c r="S4" s="29"/>
    </row>
    <row r="5" spans="1:25" s="5" customFormat="1" ht="45" customHeight="1" thickBot="1">
      <c r="A5" s="42"/>
      <c r="B5" s="42"/>
      <c r="C5" s="42"/>
      <c r="D5" s="42"/>
      <c r="E5" s="42"/>
      <c r="F5" s="41" t="s">
        <v>52</v>
      </c>
      <c r="G5" s="30"/>
      <c r="H5" s="30"/>
      <c r="I5" s="30"/>
      <c r="J5" s="30"/>
      <c r="K5" s="30"/>
      <c r="L5" s="29"/>
      <c r="M5" s="29"/>
      <c r="N5" s="29"/>
      <c r="O5" s="29"/>
      <c r="P5" s="29"/>
      <c r="Q5" s="29"/>
      <c r="R5" s="29"/>
      <c r="S5" s="29"/>
    </row>
    <row r="6" spans="1:25" ht="25.5" customHeight="1" thickTop="1" thickBot="1">
      <c r="A6" s="167" t="s">
        <v>55</v>
      </c>
      <c r="B6" s="168"/>
      <c r="C6" s="53" t="s">
        <v>0</v>
      </c>
      <c r="D6" s="53" t="s">
        <v>1</v>
      </c>
      <c r="E6" s="53" t="s">
        <v>2</v>
      </c>
      <c r="F6" s="53" t="s">
        <v>3</v>
      </c>
      <c r="I6" s="31"/>
    </row>
    <row r="7" spans="1:25" ht="36" customHeight="1" thickTop="1" thickBot="1">
      <c r="A7" s="169"/>
      <c r="B7" s="170"/>
      <c r="C7" s="51" t="s">
        <v>68</v>
      </c>
      <c r="D7" s="51" t="s">
        <v>69</v>
      </c>
      <c r="E7" s="52" t="s">
        <v>70</v>
      </c>
      <c r="F7" s="51" t="s">
        <v>93</v>
      </c>
    </row>
    <row r="8" spans="1:25" ht="20.149999999999999" customHeight="1" thickTop="1">
      <c r="A8" s="23" t="s">
        <v>171</v>
      </c>
      <c r="B8" s="24" t="s">
        <v>7</v>
      </c>
      <c r="C8" s="47">
        <f>C9+C33+C36-C39</f>
        <v>805039</v>
      </c>
      <c r="D8" s="47">
        <f>D9+D33+D36-D39</f>
        <v>828791</v>
      </c>
      <c r="E8" s="47">
        <f>E9+E33+E36-E39</f>
        <v>863297</v>
      </c>
      <c r="F8" s="47">
        <f>F9+F33+F36-F39</f>
        <v>888715</v>
      </c>
      <c r="G8" s="32"/>
      <c r="P8" s="32"/>
      <c r="Q8" s="32"/>
      <c r="R8" s="32"/>
      <c r="S8" s="32"/>
      <c r="T8" s="4"/>
      <c r="U8" s="4"/>
      <c r="V8" s="4"/>
      <c r="W8" s="4"/>
      <c r="X8" s="4"/>
      <c r="Y8" s="4"/>
    </row>
    <row r="9" spans="1:25" s="8" customFormat="1" ht="20.149999999999999" customHeight="1">
      <c r="A9" s="21" t="s">
        <v>151</v>
      </c>
      <c r="B9" s="16" t="s">
        <v>8</v>
      </c>
      <c r="C9" s="47">
        <f>C10+C29+C31</f>
        <v>611582</v>
      </c>
      <c r="D9" s="47">
        <f>D10+D29+D31</f>
        <v>634765</v>
      </c>
      <c r="E9" s="47">
        <f>E10+E29+E31</f>
        <v>667249</v>
      </c>
      <c r="F9" s="47">
        <f>F10+F29+F31</f>
        <v>663818</v>
      </c>
      <c r="G9" s="33"/>
      <c r="H9" s="33"/>
      <c r="I9" s="34"/>
      <c r="J9" s="34"/>
      <c r="K9" s="34"/>
      <c r="L9" s="34"/>
      <c r="M9" s="34"/>
      <c r="N9" s="34"/>
      <c r="O9" s="34"/>
      <c r="P9" s="33"/>
      <c r="Q9" s="33"/>
      <c r="R9" s="33"/>
      <c r="S9" s="33"/>
      <c r="T9" s="9"/>
      <c r="U9" s="9"/>
      <c r="V9" s="9"/>
      <c r="W9" s="9"/>
      <c r="X9" s="9"/>
      <c r="Y9" s="9"/>
    </row>
    <row r="10" spans="1:25" s="7" customFormat="1" ht="20.149999999999999" customHeight="1">
      <c r="A10" s="18" t="s">
        <v>27</v>
      </c>
      <c r="B10" s="16" t="s">
        <v>9</v>
      </c>
      <c r="C10" s="86">
        <f>C11+C24</f>
        <v>719522</v>
      </c>
      <c r="D10" s="86">
        <f t="shared" ref="D10:F10" si="0">D11+D24</f>
        <v>732006</v>
      </c>
      <c r="E10" s="86">
        <f t="shared" si="0"/>
        <v>780042</v>
      </c>
      <c r="F10" s="86">
        <f t="shared" si="0"/>
        <v>779232</v>
      </c>
      <c r="G10" s="35"/>
      <c r="H10" s="36"/>
      <c r="I10" s="36"/>
      <c r="J10" s="36"/>
      <c r="K10" s="36"/>
      <c r="L10" s="36"/>
      <c r="M10" s="36"/>
      <c r="N10" s="36"/>
      <c r="O10" s="36"/>
      <c r="P10" s="35"/>
      <c r="Q10" s="35"/>
      <c r="R10" s="35"/>
      <c r="S10" s="35"/>
      <c r="T10" s="6"/>
      <c r="U10" s="6"/>
      <c r="V10" s="6"/>
      <c r="W10" s="6"/>
      <c r="X10" s="6"/>
      <c r="Y10" s="6"/>
    </row>
    <row r="11" spans="1:25" s="7" customFormat="1" ht="20.149999999999999" customHeight="1">
      <c r="A11" s="18" t="s">
        <v>111</v>
      </c>
      <c r="B11" s="16" t="s">
        <v>112</v>
      </c>
      <c r="C11" s="48">
        <f>C12+C13+C14+C17+C18+C19+C20+C21+C22+C23</f>
        <v>469142</v>
      </c>
      <c r="D11" s="48">
        <f t="shared" ref="D11:F11" si="1">D12+D13+D14+D17+D18+D19+D20+D21+D22+D23</f>
        <v>480255</v>
      </c>
      <c r="E11" s="48">
        <f t="shared" si="1"/>
        <v>494774</v>
      </c>
      <c r="F11" s="48">
        <f t="shared" si="1"/>
        <v>513111</v>
      </c>
      <c r="G11" s="35"/>
      <c r="H11" s="36"/>
      <c r="I11" s="36"/>
      <c r="J11" s="36"/>
      <c r="K11" s="36"/>
      <c r="L11" s="36"/>
      <c r="M11" s="36"/>
      <c r="N11" s="36"/>
      <c r="O11" s="36"/>
      <c r="P11" s="35"/>
      <c r="Q11" s="35"/>
      <c r="R11" s="35"/>
      <c r="S11" s="35"/>
      <c r="T11" s="6"/>
      <c r="U11" s="6"/>
      <c r="V11" s="6"/>
      <c r="W11" s="6"/>
      <c r="X11" s="6"/>
      <c r="Y11" s="6"/>
    </row>
    <row r="12" spans="1:25" s="7" customFormat="1" ht="20.149999999999999" customHeight="1">
      <c r="A12" s="20" t="s">
        <v>28</v>
      </c>
      <c r="B12" s="11" t="s">
        <v>10</v>
      </c>
      <c r="C12" s="49">
        <v>130771</v>
      </c>
      <c r="D12" s="49">
        <v>127541</v>
      </c>
      <c r="E12" s="49">
        <v>124559</v>
      </c>
      <c r="F12" s="49">
        <v>121533</v>
      </c>
      <c r="G12" s="36"/>
      <c r="H12" s="35"/>
      <c r="I12" s="36"/>
      <c r="J12" s="36"/>
      <c r="K12" s="36"/>
      <c r="L12" s="36"/>
      <c r="M12" s="36"/>
      <c r="N12" s="36"/>
      <c r="O12" s="36"/>
      <c r="P12" s="35"/>
      <c r="Q12" s="35"/>
      <c r="R12" s="35"/>
      <c r="S12" s="35"/>
      <c r="T12" s="6"/>
      <c r="U12" s="6"/>
      <c r="V12" s="6"/>
      <c r="W12" s="6"/>
      <c r="X12" s="6"/>
      <c r="Y12" s="6"/>
    </row>
    <row r="13" spans="1:25" s="8" customFormat="1" ht="20.149999999999999" customHeight="1">
      <c r="A13" s="19" t="s">
        <v>29</v>
      </c>
      <c r="B13" s="11" t="s">
        <v>11</v>
      </c>
      <c r="C13" s="49">
        <v>4000</v>
      </c>
      <c r="D13" s="49">
        <v>4000</v>
      </c>
      <c r="E13" s="49">
        <v>4000</v>
      </c>
      <c r="F13" s="49">
        <v>4000</v>
      </c>
      <c r="G13" s="34"/>
      <c r="H13" s="33"/>
      <c r="I13" s="34"/>
      <c r="J13" s="34"/>
      <c r="K13" s="34"/>
      <c r="L13" s="34"/>
      <c r="M13" s="34"/>
      <c r="N13" s="34"/>
      <c r="O13" s="34"/>
      <c r="P13" s="33"/>
      <c r="Q13" s="33"/>
      <c r="R13" s="33"/>
      <c r="S13" s="33"/>
      <c r="T13" s="9"/>
      <c r="U13" s="9"/>
      <c r="V13" s="9"/>
      <c r="W13" s="9"/>
      <c r="X13" s="9"/>
      <c r="Y13" s="9"/>
    </row>
    <row r="14" spans="1:25" s="7" customFormat="1" ht="20.149999999999999" customHeight="1">
      <c r="A14" s="108" t="s">
        <v>30</v>
      </c>
      <c r="B14" s="11" t="s">
        <v>84</v>
      </c>
      <c r="C14" s="49">
        <f>C15+C16</f>
        <v>7830</v>
      </c>
      <c r="D14" s="49">
        <f t="shared" ref="D14:F14" si="2">D15+D16</f>
        <v>8007</v>
      </c>
      <c r="E14" s="49">
        <f t="shared" si="2"/>
        <v>7896</v>
      </c>
      <c r="F14" s="49">
        <f t="shared" si="2"/>
        <v>9813</v>
      </c>
      <c r="G14" s="36"/>
      <c r="H14" s="33"/>
      <c r="I14" s="36"/>
      <c r="J14" s="36"/>
      <c r="K14" s="36"/>
      <c r="L14" s="36"/>
      <c r="M14" s="36"/>
      <c r="N14" s="36"/>
      <c r="O14" s="36"/>
      <c r="P14" s="35"/>
      <c r="Q14" s="35"/>
      <c r="R14" s="35"/>
      <c r="S14" s="35"/>
      <c r="T14" s="6"/>
      <c r="U14" s="6"/>
      <c r="V14" s="6"/>
      <c r="W14" s="6"/>
      <c r="X14" s="6"/>
      <c r="Y14" s="6"/>
    </row>
    <row r="15" spans="1:25" s="7" customFormat="1" ht="20.149999999999999" customHeight="1">
      <c r="A15" s="101" t="s">
        <v>31</v>
      </c>
      <c r="B15" s="12" t="s">
        <v>12</v>
      </c>
      <c r="C15" s="49">
        <v>4029</v>
      </c>
      <c r="D15" s="49">
        <v>4134</v>
      </c>
      <c r="E15" s="49">
        <v>4144</v>
      </c>
      <c r="F15" s="49">
        <v>6005</v>
      </c>
      <c r="G15" s="36"/>
      <c r="H15" s="33"/>
      <c r="I15" s="36"/>
      <c r="J15" s="36"/>
      <c r="K15" s="36"/>
      <c r="L15" s="36"/>
      <c r="M15" s="36"/>
      <c r="N15" s="36"/>
      <c r="O15" s="36"/>
      <c r="P15" s="35"/>
      <c r="Q15" s="35"/>
      <c r="R15" s="35"/>
      <c r="S15" s="35"/>
      <c r="T15" s="6"/>
      <c r="U15" s="6"/>
      <c r="V15" s="6"/>
      <c r="W15" s="6"/>
      <c r="X15" s="6"/>
      <c r="Y15" s="6"/>
    </row>
    <row r="16" spans="1:25" ht="20.149999999999999" customHeight="1">
      <c r="A16" s="101" t="s">
        <v>32</v>
      </c>
      <c r="B16" s="12" t="s">
        <v>13</v>
      </c>
      <c r="C16" s="49">
        <v>3801</v>
      </c>
      <c r="D16" s="49">
        <v>3873</v>
      </c>
      <c r="E16" s="49">
        <v>3752</v>
      </c>
      <c r="F16" s="49">
        <v>3808</v>
      </c>
      <c r="P16" s="32"/>
      <c r="Q16" s="32"/>
      <c r="R16" s="32"/>
      <c r="S16" s="32"/>
      <c r="T16" s="4"/>
      <c r="U16" s="4"/>
      <c r="V16" s="4"/>
      <c r="W16" s="4"/>
      <c r="X16" s="4"/>
      <c r="Y16" s="4"/>
    </row>
    <row r="17" spans="1:25" ht="20.149999999999999" customHeight="1">
      <c r="A17" s="10" t="s">
        <v>33</v>
      </c>
      <c r="B17" s="13" t="s">
        <v>14</v>
      </c>
      <c r="C17" s="49">
        <v>110000</v>
      </c>
      <c r="D17" s="49">
        <v>124200</v>
      </c>
      <c r="E17" s="49">
        <v>141767</v>
      </c>
      <c r="F17" s="49">
        <v>159767</v>
      </c>
      <c r="P17" s="32"/>
      <c r="Q17" s="32"/>
      <c r="R17" s="32"/>
      <c r="S17" s="32"/>
      <c r="T17" s="4"/>
      <c r="U17" s="4"/>
      <c r="V17" s="4"/>
      <c r="W17" s="4"/>
      <c r="X17" s="4"/>
      <c r="Y17" s="4"/>
    </row>
    <row r="18" spans="1:25" ht="20.149999999999999" customHeight="1">
      <c r="A18" s="10" t="s">
        <v>34</v>
      </c>
      <c r="B18" s="13" t="s">
        <v>15</v>
      </c>
      <c r="C18" s="49">
        <v>2000</v>
      </c>
      <c r="D18" s="49">
        <v>2000</v>
      </c>
      <c r="E18" s="49">
        <v>2000</v>
      </c>
      <c r="F18" s="49">
        <v>2000</v>
      </c>
      <c r="I18" s="32"/>
      <c r="P18" s="32"/>
      <c r="Q18" s="32"/>
      <c r="R18" s="32"/>
      <c r="S18" s="32"/>
      <c r="T18" s="4"/>
      <c r="U18" s="4"/>
      <c r="V18" s="4"/>
      <c r="W18" s="4"/>
      <c r="X18" s="4"/>
      <c r="Y18" s="4"/>
    </row>
    <row r="19" spans="1:25" s="3" customFormat="1" ht="20.149999999999999" customHeight="1">
      <c r="A19" s="10" t="s">
        <v>35</v>
      </c>
      <c r="B19" s="13" t="s">
        <v>16</v>
      </c>
      <c r="C19" s="49">
        <v>119</v>
      </c>
      <c r="D19" s="49">
        <v>114</v>
      </c>
      <c r="E19" s="49">
        <v>114</v>
      </c>
      <c r="F19" s="49">
        <v>114</v>
      </c>
      <c r="G19" s="37"/>
      <c r="H19" s="37"/>
      <c r="I19" s="38"/>
      <c r="J19" s="38"/>
      <c r="K19" s="37"/>
      <c r="L19" s="37"/>
      <c r="M19" s="37"/>
      <c r="N19" s="37"/>
      <c r="O19" s="37"/>
      <c r="P19" s="32"/>
      <c r="Q19" s="32"/>
      <c r="R19" s="32"/>
      <c r="S19" s="32"/>
      <c r="T19" s="4"/>
      <c r="U19" s="4"/>
      <c r="V19" s="4"/>
      <c r="W19" s="4"/>
      <c r="X19" s="4"/>
      <c r="Y19" s="4"/>
    </row>
    <row r="20" spans="1:25" ht="20.149999999999999" customHeight="1">
      <c r="A20" s="10" t="s">
        <v>46</v>
      </c>
      <c r="B20" s="13" t="s">
        <v>17</v>
      </c>
      <c r="C20" s="49">
        <v>11474</v>
      </c>
      <c r="D20" s="49">
        <v>11445</v>
      </c>
      <c r="E20" s="49">
        <v>11487</v>
      </c>
      <c r="F20" s="49">
        <v>11883</v>
      </c>
      <c r="H20" s="39"/>
      <c r="I20" s="32"/>
      <c r="P20" s="32"/>
      <c r="Q20" s="32"/>
      <c r="R20" s="32"/>
      <c r="S20" s="32"/>
      <c r="T20" s="4"/>
      <c r="U20" s="4"/>
      <c r="V20" s="4"/>
      <c r="W20" s="4"/>
      <c r="X20" s="4"/>
      <c r="Y20" s="4"/>
    </row>
    <row r="21" spans="1:25" ht="19.5" customHeight="1">
      <c r="A21" s="10" t="s">
        <v>36</v>
      </c>
      <c r="B21" s="13" t="s">
        <v>18</v>
      </c>
      <c r="C21" s="49">
        <v>1700</v>
      </c>
      <c r="D21" s="49">
        <v>1700</v>
      </c>
      <c r="E21" s="49">
        <v>1703</v>
      </c>
      <c r="F21" s="49">
        <v>1764</v>
      </c>
      <c r="J21" s="32"/>
      <c r="P21" s="32"/>
      <c r="Q21" s="32"/>
      <c r="R21" s="32"/>
      <c r="S21" s="32"/>
      <c r="T21" s="4"/>
      <c r="U21" s="4"/>
      <c r="V21" s="4"/>
      <c r="W21" s="4"/>
      <c r="X21" s="4"/>
      <c r="Y21" s="4"/>
    </row>
    <row r="22" spans="1:25" ht="20.149999999999999" customHeight="1">
      <c r="A22" s="10" t="s">
        <v>142</v>
      </c>
      <c r="B22" s="13" t="s">
        <v>19</v>
      </c>
      <c r="C22" s="49">
        <v>201248</v>
      </c>
      <c r="D22" s="49">
        <v>201248</v>
      </c>
      <c r="E22" s="49">
        <v>201248</v>
      </c>
      <c r="F22" s="49">
        <v>202237</v>
      </c>
      <c r="H22" s="32"/>
      <c r="P22" s="32"/>
      <c r="Q22" s="32"/>
      <c r="R22" s="32"/>
      <c r="S22" s="32"/>
      <c r="T22" s="4"/>
      <c r="U22" s="4"/>
      <c r="V22" s="4"/>
      <c r="W22" s="4"/>
      <c r="X22" s="4"/>
      <c r="Y22" s="4"/>
    </row>
    <row r="23" spans="1:25" ht="20.149999999999999" customHeight="1">
      <c r="A23" s="76" t="s">
        <v>37</v>
      </c>
      <c r="B23" s="13" t="s">
        <v>20</v>
      </c>
      <c r="C23" s="49">
        <v>0</v>
      </c>
      <c r="D23" s="49">
        <v>0</v>
      </c>
      <c r="E23" s="49">
        <v>0</v>
      </c>
      <c r="F23" s="49">
        <v>0</v>
      </c>
      <c r="P23" s="32"/>
      <c r="Q23" s="32"/>
      <c r="R23" s="32"/>
      <c r="S23" s="32"/>
      <c r="T23" s="4"/>
      <c r="U23" s="4"/>
      <c r="V23" s="4"/>
      <c r="W23" s="4"/>
      <c r="X23" s="4"/>
      <c r="Y23" s="4"/>
    </row>
    <row r="24" spans="1:25" ht="20.149999999999999" customHeight="1">
      <c r="A24" s="77" t="s">
        <v>38</v>
      </c>
      <c r="B24" s="78" t="s">
        <v>21</v>
      </c>
      <c r="C24" s="47">
        <f t="shared" ref="C24:F24" si="3">C25+C26+C27</f>
        <v>250380</v>
      </c>
      <c r="D24" s="47">
        <f t="shared" si="3"/>
        <v>251751</v>
      </c>
      <c r="E24" s="47">
        <f t="shared" si="3"/>
        <v>285268</v>
      </c>
      <c r="F24" s="47">
        <f t="shared" si="3"/>
        <v>266121</v>
      </c>
      <c r="H24" s="32"/>
      <c r="P24" s="32"/>
      <c r="Q24" s="32"/>
      <c r="R24" s="32"/>
      <c r="S24" s="32"/>
      <c r="T24" s="4"/>
      <c r="U24" s="4"/>
      <c r="V24" s="4"/>
      <c r="W24" s="4"/>
      <c r="X24" s="4"/>
      <c r="Y24" s="4"/>
    </row>
    <row r="25" spans="1:25" ht="20.149999999999999" customHeight="1">
      <c r="A25" s="110" t="s">
        <v>32</v>
      </c>
      <c r="B25" s="25" t="s">
        <v>13</v>
      </c>
      <c r="C25" s="49">
        <v>250380</v>
      </c>
      <c r="D25" s="49">
        <v>251751</v>
      </c>
      <c r="E25" s="49">
        <v>285268</v>
      </c>
      <c r="F25" s="49">
        <v>266121</v>
      </c>
      <c r="K25" s="32"/>
      <c r="P25" s="32"/>
      <c r="Q25" s="32"/>
      <c r="R25" s="32"/>
      <c r="S25" s="32"/>
      <c r="T25" s="4"/>
      <c r="U25" s="4"/>
      <c r="V25" s="4"/>
      <c r="W25" s="4"/>
      <c r="X25" s="4"/>
      <c r="Y25" s="4"/>
    </row>
    <row r="26" spans="1:25" ht="20.149999999999999" customHeight="1">
      <c r="A26" s="110" t="s">
        <v>31</v>
      </c>
      <c r="B26" s="25" t="s">
        <v>12</v>
      </c>
      <c r="C26" s="49">
        <v>0</v>
      </c>
      <c r="D26" s="49">
        <v>0</v>
      </c>
      <c r="E26" s="49">
        <v>0</v>
      </c>
      <c r="F26" s="49">
        <v>0</v>
      </c>
      <c r="J26" s="32"/>
      <c r="P26" s="32"/>
      <c r="Q26" s="32"/>
      <c r="R26" s="32"/>
      <c r="S26" s="32"/>
      <c r="T26" s="4"/>
      <c r="U26" s="4"/>
      <c r="V26" s="4"/>
      <c r="W26" s="4"/>
      <c r="X26" s="4"/>
      <c r="Y26" s="4"/>
    </row>
    <row r="27" spans="1:25" ht="20.149999999999999" customHeight="1">
      <c r="A27" s="102" t="s">
        <v>135</v>
      </c>
      <c r="B27" s="25" t="s">
        <v>22</v>
      </c>
      <c r="C27" s="68">
        <v>0</v>
      </c>
      <c r="D27" s="68">
        <v>0</v>
      </c>
      <c r="E27" s="68">
        <v>0</v>
      </c>
      <c r="F27" s="68">
        <v>0</v>
      </c>
      <c r="H27" s="32"/>
      <c r="P27" s="32"/>
      <c r="Q27" s="32"/>
      <c r="R27" s="32"/>
      <c r="S27" s="32"/>
      <c r="T27" s="4"/>
      <c r="U27" s="4"/>
      <c r="V27" s="4"/>
      <c r="W27" s="4"/>
      <c r="X27" s="4"/>
      <c r="Y27" s="4"/>
    </row>
    <row r="28" spans="1:25" s="2" customFormat="1" ht="20.149999999999999" customHeight="1">
      <c r="A28" s="17" t="s">
        <v>39</v>
      </c>
      <c r="B28" s="16" t="s">
        <v>23</v>
      </c>
      <c r="C28" s="47">
        <v>0</v>
      </c>
      <c r="D28" s="47">
        <v>0</v>
      </c>
      <c r="E28" s="47">
        <v>0</v>
      </c>
      <c r="F28" s="47">
        <v>0</v>
      </c>
      <c r="G28" s="40"/>
      <c r="H28" s="40"/>
      <c r="I28" s="40"/>
      <c r="J28" s="40"/>
      <c r="K28" s="40"/>
      <c r="L28" s="40"/>
      <c r="M28" s="40"/>
      <c r="N28" s="40"/>
      <c r="O28" s="40"/>
      <c r="P28" s="32"/>
      <c r="Q28" s="32"/>
      <c r="R28" s="32"/>
      <c r="S28" s="32"/>
      <c r="T28" s="4"/>
      <c r="U28" s="4"/>
      <c r="V28" s="4"/>
      <c r="W28" s="4"/>
      <c r="X28" s="4"/>
      <c r="Y28" s="4"/>
    </row>
    <row r="29" spans="1:25" ht="20.149999999999999" customHeight="1">
      <c r="A29" s="17" t="s">
        <v>40</v>
      </c>
      <c r="B29" s="16" t="s">
        <v>24</v>
      </c>
      <c r="C29" s="47">
        <v>2343</v>
      </c>
      <c r="D29" s="47">
        <v>2343</v>
      </c>
      <c r="E29" s="47">
        <v>2343</v>
      </c>
      <c r="F29" s="47">
        <v>2343</v>
      </c>
      <c r="P29" s="32"/>
      <c r="Q29" s="32"/>
      <c r="R29" s="32"/>
      <c r="S29" s="32"/>
      <c r="T29" s="4"/>
      <c r="U29" s="4"/>
      <c r="V29" s="4"/>
      <c r="W29" s="4"/>
      <c r="X29" s="4"/>
      <c r="Y29" s="4"/>
    </row>
    <row r="30" spans="1:25" ht="21" customHeight="1">
      <c r="A30" s="18" t="s">
        <v>137</v>
      </c>
      <c r="B30" s="16" t="s">
        <v>103</v>
      </c>
      <c r="C30" s="47">
        <v>0</v>
      </c>
      <c r="D30" s="47">
        <v>0</v>
      </c>
      <c r="E30" s="47">
        <v>0</v>
      </c>
      <c r="F30" s="47">
        <v>0</v>
      </c>
      <c r="I30" s="32"/>
      <c r="P30" s="32"/>
      <c r="Q30" s="32"/>
      <c r="R30" s="32"/>
      <c r="S30" s="32"/>
      <c r="T30" s="4"/>
      <c r="U30" s="4"/>
      <c r="V30" s="4"/>
      <c r="W30" s="4"/>
      <c r="X30" s="4"/>
      <c r="Y30" s="4"/>
    </row>
    <row r="31" spans="1:25" ht="20.149999999999999" customHeight="1">
      <c r="A31" s="18" t="s">
        <v>41</v>
      </c>
      <c r="B31" s="16" t="s">
        <v>25</v>
      </c>
      <c r="C31" s="47">
        <v>-110283</v>
      </c>
      <c r="D31" s="47">
        <v>-99584</v>
      </c>
      <c r="E31" s="47">
        <v>-115136</v>
      </c>
      <c r="F31" s="47">
        <v>-117757</v>
      </c>
      <c r="P31" s="32"/>
      <c r="Q31" s="32"/>
      <c r="R31" s="32"/>
      <c r="S31" s="32"/>
      <c r="T31" s="4"/>
      <c r="U31" s="4"/>
      <c r="V31" s="4"/>
      <c r="W31" s="4"/>
      <c r="X31" s="4"/>
      <c r="Y31" s="4"/>
    </row>
    <row r="32" spans="1:25" ht="20.149999999999999" customHeight="1">
      <c r="A32" s="18" t="s">
        <v>104</v>
      </c>
      <c r="B32" s="16" t="s">
        <v>105</v>
      </c>
      <c r="C32" s="49">
        <v>0</v>
      </c>
      <c r="D32" s="49">
        <v>0</v>
      </c>
      <c r="E32" s="49">
        <v>0</v>
      </c>
      <c r="F32" s="49">
        <v>0</v>
      </c>
      <c r="P32" s="32"/>
      <c r="Q32" s="32"/>
      <c r="R32" s="32"/>
      <c r="S32" s="32"/>
      <c r="T32" s="4"/>
      <c r="U32" s="4"/>
      <c r="V32" s="4"/>
      <c r="W32" s="4"/>
      <c r="X32" s="4"/>
      <c r="Y32" s="4"/>
    </row>
    <row r="33" spans="1:25" s="63" customFormat="1" ht="20.149999999999999" customHeight="1">
      <c r="A33" s="17" t="s">
        <v>148</v>
      </c>
      <c r="B33" s="115" t="s">
        <v>150</v>
      </c>
      <c r="C33" s="47">
        <f t="shared" ref="C33:F33" si="4">C34+C35</f>
        <v>55135</v>
      </c>
      <c r="D33" s="47">
        <f t="shared" si="4"/>
        <v>56441</v>
      </c>
      <c r="E33" s="47">
        <f t="shared" si="4"/>
        <v>53473</v>
      </c>
      <c r="F33" s="47">
        <f t="shared" si="4"/>
        <v>67771</v>
      </c>
      <c r="G33" s="60"/>
      <c r="H33" s="61"/>
      <c r="I33" s="60"/>
      <c r="J33" s="60"/>
      <c r="K33" s="60"/>
      <c r="L33" s="60"/>
      <c r="M33" s="60"/>
      <c r="N33" s="60"/>
      <c r="O33" s="60"/>
      <c r="P33" s="61"/>
      <c r="Q33" s="61"/>
      <c r="R33" s="61"/>
      <c r="S33" s="61"/>
      <c r="T33" s="62"/>
      <c r="U33" s="62"/>
      <c r="V33" s="62"/>
      <c r="W33" s="62"/>
      <c r="X33" s="62"/>
      <c r="Y33" s="62"/>
    </row>
    <row r="34" spans="1:25" ht="23.25" customHeight="1">
      <c r="A34" s="111" t="s">
        <v>160</v>
      </c>
      <c r="B34" s="14" t="s">
        <v>161</v>
      </c>
      <c r="C34" s="49">
        <v>3812</v>
      </c>
      <c r="D34" s="49">
        <v>5232</v>
      </c>
      <c r="E34" s="49">
        <v>2424</v>
      </c>
      <c r="F34" s="49">
        <v>16302</v>
      </c>
      <c r="G34" s="32"/>
      <c r="P34" s="32"/>
      <c r="Q34" s="32"/>
      <c r="R34" s="32"/>
      <c r="S34" s="32"/>
      <c r="T34" s="4"/>
      <c r="U34" s="4"/>
      <c r="V34" s="4"/>
      <c r="W34" s="4"/>
      <c r="X34" s="4"/>
      <c r="Y34" s="4"/>
    </row>
    <row r="35" spans="1:25" ht="21.75" customHeight="1">
      <c r="A35" s="112" t="s">
        <v>162</v>
      </c>
      <c r="B35" s="14" t="s">
        <v>163</v>
      </c>
      <c r="C35" s="49">
        <v>51323</v>
      </c>
      <c r="D35" s="49">
        <v>51209</v>
      </c>
      <c r="E35" s="49">
        <v>51049</v>
      </c>
      <c r="F35" s="49">
        <v>51469</v>
      </c>
      <c r="G35" s="32"/>
      <c r="P35" s="32"/>
      <c r="Q35" s="32"/>
      <c r="R35" s="32"/>
      <c r="S35" s="32"/>
      <c r="T35" s="4"/>
      <c r="U35" s="4"/>
      <c r="V35" s="4"/>
      <c r="W35" s="4"/>
      <c r="X35" s="4"/>
      <c r="Y35" s="4"/>
    </row>
    <row r="36" spans="1:25" ht="20.149999999999999" customHeight="1">
      <c r="A36" s="17" t="s">
        <v>42</v>
      </c>
      <c r="B36" s="115" t="s">
        <v>146</v>
      </c>
      <c r="C36" s="47">
        <f t="shared" ref="C36:F36" si="5">C37-C38</f>
        <v>198252</v>
      </c>
      <c r="D36" s="47">
        <f t="shared" si="5"/>
        <v>201104</v>
      </c>
      <c r="E36" s="47">
        <f t="shared" si="5"/>
        <v>207918</v>
      </c>
      <c r="F36" s="47">
        <f t="shared" si="5"/>
        <v>222259</v>
      </c>
      <c r="P36" s="32"/>
      <c r="Q36" s="32"/>
      <c r="R36" s="32"/>
      <c r="S36" s="32"/>
      <c r="T36" s="4"/>
      <c r="U36" s="4"/>
      <c r="V36" s="4"/>
      <c r="W36" s="4"/>
      <c r="X36" s="4"/>
      <c r="Y36" s="4"/>
    </row>
    <row r="37" spans="1:25" ht="19.5" customHeight="1">
      <c r="A37" s="111" t="s">
        <v>43</v>
      </c>
      <c r="B37" s="11" t="s">
        <v>149</v>
      </c>
      <c r="C37" s="49">
        <v>202778</v>
      </c>
      <c r="D37" s="49">
        <v>210210</v>
      </c>
      <c r="E37" s="49">
        <v>211293</v>
      </c>
      <c r="F37" s="49">
        <v>227769</v>
      </c>
    </row>
    <row r="38" spans="1:25" ht="24" customHeight="1">
      <c r="A38" s="112" t="s">
        <v>143</v>
      </c>
      <c r="B38" s="11" t="s">
        <v>26</v>
      </c>
      <c r="C38" s="49">
        <v>4526</v>
      </c>
      <c r="D38" s="49">
        <v>9106</v>
      </c>
      <c r="E38" s="49">
        <v>3375</v>
      </c>
      <c r="F38" s="49">
        <v>5510</v>
      </c>
    </row>
    <row r="39" spans="1:25" ht="20.25" customHeight="1">
      <c r="A39" s="17" t="s">
        <v>44</v>
      </c>
      <c r="B39" s="16" t="s">
        <v>145</v>
      </c>
      <c r="C39" s="47">
        <f t="shared" ref="C39:F39" si="6">SUM(C40:C42)</f>
        <v>59930</v>
      </c>
      <c r="D39" s="47">
        <f t="shared" si="6"/>
        <v>63519</v>
      </c>
      <c r="E39" s="47">
        <f t="shared" si="6"/>
        <v>65343</v>
      </c>
      <c r="F39" s="47">
        <f t="shared" si="6"/>
        <v>65133</v>
      </c>
    </row>
    <row r="40" spans="1:25" ht="26.25" customHeight="1">
      <c r="A40" s="111" t="s">
        <v>45</v>
      </c>
      <c r="B40" s="84" t="s">
        <v>165</v>
      </c>
      <c r="C40" s="49">
        <v>8607</v>
      </c>
      <c r="D40" s="49">
        <v>12310</v>
      </c>
      <c r="E40" s="49">
        <v>14294</v>
      </c>
      <c r="F40" s="49">
        <v>13664</v>
      </c>
    </row>
    <row r="41" spans="1:25" ht="25.5" customHeight="1">
      <c r="A41" s="113" t="s">
        <v>47</v>
      </c>
      <c r="B41" s="80" t="s">
        <v>169</v>
      </c>
      <c r="C41" s="49">
        <v>0</v>
      </c>
      <c r="D41" s="49">
        <v>0</v>
      </c>
      <c r="E41" s="49">
        <v>0</v>
      </c>
      <c r="F41" s="49">
        <v>0</v>
      </c>
    </row>
    <row r="42" spans="1:25" ht="24.75" customHeight="1">
      <c r="A42" s="114" t="s">
        <v>144</v>
      </c>
      <c r="B42" s="81" t="s">
        <v>167</v>
      </c>
      <c r="C42" s="50">
        <v>51323</v>
      </c>
      <c r="D42" s="50">
        <v>51209</v>
      </c>
      <c r="E42" s="50">
        <v>51049</v>
      </c>
      <c r="F42" s="50">
        <v>51469</v>
      </c>
    </row>
    <row r="43" spans="1:25" ht="15.5">
      <c r="A43" s="27" t="s">
        <v>49</v>
      </c>
      <c r="B43" s="43"/>
      <c r="C43" s="27"/>
      <c r="D43" s="27"/>
      <c r="E43" s="27"/>
      <c r="F43" s="27"/>
      <c r="G43" s="27"/>
      <c r="H43" s="27"/>
      <c r="I43" s="27"/>
      <c r="J43" s="27"/>
      <c r="K43" s="27"/>
      <c r="L43" s="45"/>
      <c r="M43" s="45"/>
      <c r="N43" s="45"/>
      <c r="O43" s="45"/>
      <c r="P43" s="45"/>
      <c r="Q43"/>
      <c r="R43"/>
      <c r="S43"/>
    </row>
    <row r="44" spans="1:25" ht="15.5">
      <c r="A44" s="27" t="s">
        <v>50</v>
      </c>
      <c r="B44" s="43"/>
      <c r="C44" s="27"/>
      <c r="D44" s="27"/>
      <c r="E44" s="27"/>
      <c r="F44" s="27"/>
      <c r="G44" s="27"/>
      <c r="H44" s="27"/>
      <c r="I44" s="27"/>
      <c r="J44" s="27"/>
      <c r="K44" s="27"/>
      <c r="L44" s="45"/>
      <c r="M44" s="45"/>
      <c r="N44" s="45"/>
      <c r="O44" s="45"/>
      <c r="P44" s="45"/>
      <c r="Q44"/>
      <c r="R44"/>
      <c r="S44"/>
    </row>
    <row r="45" spans="1:25" ht="15.5">
      <c r="A45" s="27" t="s">
        <v>85</v>
      </c>
      <c r="B45" s="43"/>
      <c r="C45" s="27"/>
      <c r="D45" s="27"/>
      <c r="E45" s="27"/>
      <c r="F45" s="27"/>
      <c r="G45" s="27"/>
      <c r="H45" s="27"/>
      <c r="I45" s="27"/>
      <c r="J45" s="27"/>
      <c r="K45" s="27"/>
      <c r="L45" s="45"/>
      <c r="M45" s="45"/>
      <c r="N45" s="45"/>
      <c r="O45" s="45"/>
      <c r="P45" s="45"/>
      <c r="Q45"/>
      <c r="R45"/>
      <c r="S45"/>
    </row>
    <row r="46" spans="1:25" ht="15.5">
      <c r="A46" s="27" t="s">
        <v>53</v>
      </c>
      <c r="B46" s="43"/>
      <c r="C46" s="27"/>
      <c r="D46" s="27"/>
      <c r="E46" s="27"/>
      <c r="F46" s="27"/>
      <c r="G46" s="27"/>
      <c r="H46" s="27"/>
      <c r="I46" s="27"/>
      <c r="J46" s="27"/>
      <c r="K46" s="27"/>
      <c r="L46" s="45"/>
      <c r="M46" s="45"/>
      <c r="N46" s="45"/>
      <c r="O46" s="45"/>
      <c r="P46" s="45"/>
      <c r="Q46"/>
      <c r="R46"/>
      <c r="S46"/>
    </row>
    <row r="47" spans="1:25" ht="15.5">
      <c r="A47" s="27" t="s">
        <v>86</v>
      </c>
      <c r="B47" s="43"/>
      <c r="C47" s="27"/>
      <c r="D47" s="27"/>
      <c r="E47" s="27"/>
      <c r="F47" s="27"/>
      <c r="G47" s="27"/>
      <c r="H47" s="27"/>
      <c r="I47" s="27"/>
      <c r="J47" s="27"/>
      <c r="K47" s="27"/>
      <c r="L47" s="45"/>
      <c r="M47" s="45"/>
      <c r="N47" s="45"/>
      <c r="O47" s="45"/>
      <c r="P47" s="45"/>
      <c r="Q47"/>
      <c r="R47"/>
      <c r="S47"/>
    </row>
    <row r="48" spans="1:25" ht="15.5">
      <c r="A48" s="27" t="s">
        <v>54</v>
      </c>
      <c r="B48" s="43"/>
      <c r="C48" s="27"/>
      <c r="D48" s="27"/>
      <c r="E48" s="27"/>
      <c r="F48" s="27"/>
      <c r="G48" s="27"/>
      <c r="H48" s="27"/>
      <c r="I48" s="27"/>
      <c r="J48" s="27"/>
      <c r="K48" s="27"/>
      <c r="L48" s="45"/>
      <c r="M48" s="45"/>
      <c r="N48" s="45"/>
      <c r="O48" s="45"/>
      <c r="P48" s="45"/>
      <c r="Q48"/>
      <c r="R48"/>
      <c r="S48"/>
    </row>
    <row r="49" spans="1:19" ht="15.5">
      <c r="A49" s="27" t="s">
        <v>87</v>
      </c>
      <c r="B49" s="43"/>
      <c r="C49" s="27"/>
      <c r="D49" s="27"/>
      <c r="E49" s="27"/>
      <c r="F49" s="27"/>
      <c r="G49" s="27"/>
      <c r="H49" s="27"/>
      <c r="I49" s="27"/>
      <c r="J49" s="27"/>
      <c r="K49" s="27"/>
      <c r="L49" s="45"/>
      <c r="M49" s="45"/>
      <c r="N49" s="45"/>
      <c r="O49" s="45"/>
      <c r="P49" s="45"/>
      <c r="Q49"/>
      <c r="R49"/>
      <c r="S49"/>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3"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Y50"/>
  <sheetViews>
    <sheetView view="pageBreakPreview" topLeftCell="A4" zoomScale="50" zoomScaleNormal="75" zoomScaleSheetLayoutView="50" workbookViewId="0">
      <selection activeCell="A4" sqref="A4:F49"/>
    </sheetView>
  </sheetViews>
  <sheetFormatPr defaultRowHeight="12.5"/>
  <cols>
    <col min="1" max="1" width="74.54296875" customWidth="1"/>
    <col min="2" max="2" width="90.81640625" style="1" customWidth="1"/>
    <col min="3" max="6" width="18.453125" customWidth="1"/>
    <col min="7" max="7" width="11.7265625" style="28" customWidth="1"/>
    <col min="8" max="8" width="12.81640625" style="28" bestFit="1" customWidth="1"/>
    <col min="9" max="9" width="11.1796875" style="28" bestFit="1" customWidth="1"/>
    <col min="10" max="10" width="10.7265625" style="28" bestFit="1" customWidth="1"/>
    <col min="11" max="19" width="9.1796875" style="28"/>
    <col min="25" max="25" width="9.26953125" bestFit="1" customWidth="1"/>
  </cols>
  <sheetData>
    <row r="1" spans="1:25" ht="15" hidden="1" customHeight="1"/>
    <row r="2" spans="1:25" ht="23" hidden="1">
      <c r="B2" s="164" t="s">
        <v>5</v>
      </c>
      <c r="C2" s="164"/>
      <c r="D2" s="164"/>
      <c r="E2" s="164"/>
      <c r="F2" s="164"/>
    </row>
    <row r="3" spans="1:25" ht="23" hidden="1">
      <c r="B3" s="165" t="s">
        <v>4</v>
      </c>
      <c r="C3" s="165"/>
      <c r="D3" s="165"/>
      <c r="E3" s="165"/>
      <c r="F3" s="165"/>
    </row>
    <row r="4" spans="1:25" s="5" customFormat="1" ht="45" customHeight="1">
      <c r="A4" s="166" t="s">
        <v>6</v>
      </c>
      <c r="B4" s="166"/>
      <c r="C4" s="166"/>
      <c r="D4" s="166"/>
      <c r="E4" s="166"/>
      <c r="F4" s="166"/>
      <c r="G4" s="29"/>
      <c r="H4" s="29"/>
      <c r="I4" s="29"/>
      <c r="J4" s="29"/>
      <c r="K4" s="29"/>
      <c r="L4" s="29"/>
      <c r="M4" s="29"/>
      <c r="N4" s="29"/>
      <c r="O4" s="29"/>
      <c r="P4" s="29"/>
      <c r="Q4" s="29"/>
      <c r="R4" s="29"/>
      <c r="S4" s="29"/>
    </row>
    <row r="5" spans="1:25" s="5" customFormat="1" ht="45" customHeight="1" thickBot="1">
      <c r="A5" s="42"/>
      <c r="B5" s="42"/>
      <c r="C5" s="42"/>
      <c r="D5" s="42"/>
      <c r="E5" s="42"/>
      <c r="F5" s="41" t="s">
        <v>52</v>
      </c>
      <c r="G5" s="30"/>
      <c r="H5" s="30"/>
      <c r="I5" s="30"/>
      <c r="J5" s="30"/>
      <c r="K5" s="30"/>
      <c r="L5" s="29"/>
      <c r="M5" s="29"/>
      <c r="N5" s="29"/>
      <c r="O5" s="29"/>
      <c r="P5" s="29"/>
      <c r="Q5" s="29"/>
      <c r="R5" s="29"/>
      <c r="S5" s="29"/>
    </row>
    <row r="6" spans="1:25" ht="25.5" customHeight="1" thickTop="1" thickBot="1">
      <c r="A6" s="167" t="s">
        <v>55</v>
      </c>
      <c r="B6" s="168"/>
      <c r="C6" s="53" t="s">
        <v>0</v>
      </c>
      <c r="D6" s="53" t="s">
        <v>1</v>
      </c>
      <c r="E6" s="53" t="s">
        <v>2</v>
      </c>
      <c r="F6" s="53" t="s">
        <v>3</v>
      </c>
      <c r="I6" s="31"/>
    </row>
    <row r="7" spans="1:25" ht="36" customHeight="1" thickTop="1" thickBot="1">
      <c r="A7" s="169"/>
      <c r="B7" s="170"/>
      <c r="C7" s="51" t="s">
        <v>65</v>
      </c>
      <c r="D7" s="51" t="s">
        <v>66</v>
      </c>
      <c r="E7" s="52" t="s">
        <v>67</v>
      </c>
      <c r="F7" s="51" t="s">
        <v>94</v>
      </c>
    </row>
    <row r="8" spans="1:25" ht="20.149999999999999" customHeight="1" thickTop="1">
      <c r="A8" s="23" t="s">
        <v>171</v>
      </c>
      <c r="B8" s="24" t="s">
        <v>7</v>
      </c>
      <c r="C8" s="47">
        <f>C9+C33+C36-C39</f>
        <v>938878</v>
      </c>
      <c r="D8" s="47">
        <f>D9+D33+D36-D39</f>
        <v>962277</v>
      </c>
      <c r="E8" s="47">
        <f>E9+E33+E36-E39</f>
        <v>1001927</v>
      </c>
      <c r="F8" s="47">
        <f>F9+F33+F36-F39</f>
        <v>1044898</v>
      </c>
      <c r="G8" s="32"/>
      <c r="P8" s="32"/>
      <c r="Q8" s="32"/>
      <c r="R8" s="32"/>
      <c r="S8" s="32"/>
      <c r="T8" s="4"/>
      <c r="U8" s="4"/>
      <c r="V8" s="4"/>
      <c r="W8" s="4"/>
      <c r="X8" s="4"/>
      <c r="Y8" s="4"/>
    </row>
    <row r="9" spans="1:25" s="8" customFormat="1" ht="20.149999999999999" customHeight="1">
      <c r="A9" s="21" t="s">
        <v>151</v>
      </c>
      <c r="B9" s="16" t="s">
        <v>8</v>
      </c>
      <c r="C9" s="47">
        <f>C10+C28+C29+C31</f>
        <v>718779</v>
      </c>
      <c r="D9" s="47">
        <f>D10+D28+D29+D31</f>
        <v>738869</v>
      </c>
      <c r="E9" s="47">
        <f>E10+E28+E29+E31</f>
        <v>778884</v>
      </c>
      <c r="F9" s="47">
        <v>808113</v>
      </c>
      <c r="G9" s="33"/>
      <c r="H9" s="33"/>
      <c r="I9" s="34"/>
      <c r="J9" s="34"/>
      <c r="K9" s="34"/>
      <c r="L9" s="34"/>
      <c r="M9" s="34"/>
      <c r="N9" s="34"/>
      <c r="O9" s="34"/>
      <c r="P9" s="33"/>
      <c r="Q9" s="33"/>
      <c r="R9" s="33"/>
      <c r="S9" s="33"/>
      <c r="T9" s="9"/>
      <c r="U9" s="9"/>
      <c r="V9" s="9"/>
      <c r="W9" s="9"/>
      <c r="X9" s="9"/>
      <c r="Y9" s="9"/>
    </row>
    <row r="10" spans="1:25" s="7" customFormat="1" ht="20.149999999999999" customHeight="1">
      <c r="A10" s="18" t="s">
        <v>27</v>
      </c>
      <c r="B10" s="16" t="s">
        <v>9</v>
      </c>
      <c r="C10" s="86">
        <f>C11+C24</f>
        <v>812418</v>
      </c>
      <c r="D10" s="86">
        <f t="shared" ref="D10:F10" si="0">D11+D24</f>
        <v>847923</v>
      </c>
      <c r="E10" s="86">
        <f t="shared" si="0"/>
        <v>879155</v>
      </c>
      <c r="F10" s="86">
        <f t="shared" si="0"/>
        <v>916976</v>
      </c>
      <c r="G10" s="35"/>
      <c r="H10" s="36"/>
      <c r="I10" s="36"/>
      <c r="J10" s="36"/>
      <c r="K10" s="36"/>
      <c r="L10" s="36"/>
      <c r="M10" s="36"/>
      <c r="N10" s="36"/>
      <c r="O10" s="36"/>
      <c r="P10" s="35"/>
      <c r="Q10" s="35"/>
      <c r="R10" s="35"/>
      <c r="S10" s="35"/>
      <c r="T10" s="6"/>
      <c r="U10" s="6"/>
      <c r="V10" s="6"/>
      <c r="W10" s="6"/>
      <c r="X10" s="6"/>
      <c r="Y10" s="6"/>
    </row>
    <row r="11" spans="1:25" s="7" customFormat="1" ht="20.149999999999999" customHeight="1">
      <c r="A11" s="18" t="s">
        <v>111</v>
      </c>
      <c r="B11" s="16" t="s">
        <v>112</v>
      </c>
      <c r="C11" s="48">
        <f>C12+C13+C14+C17+C18+C19+C20+C21+C22+C23</f>
        <v>543631</v>
      </c>
      <c r="D11" s="48">
        <f t="shared" ref="D11:F11" si="1">D12+D13+D14+D17+D18+D19+D20+D21+D22+D23</f>
        <v>566058</v>
      </c>
      <c r="E11" s="48">
        <f t="shared" si="1"/>
        <v>558765</v>
      </c>
      <c r="F11" s="48">
        <f t="shared" si="1"/>
        <v>560873</v>
      </c>
      <c r="G11" s="35"/>
      <c r="H11" s="36"/>
      <c r="I11" s="36"/>
      <c r="J11" s="36"/>
      <c r="K11" s="36"/>
      <c r="L11" s="36"/>
      <c r="M11" s="36"/>
      <c r="N11" s="36"/>
      <c r="O11" s="36"/>
      <c r="P11" s="35"/>
      <c r="Q11" s="35"/>
      <c r="R11" s="35"/>
      <c r="S11" s="35"/>
      <c r="T11" s="6"/>
      <c r="U11" s="6"/>
      <c r="V11" s="6"/>
      <c r="W11" s="6"/>
      <c r="X11" s="6"/>
      <c r="Y11" s="6"/>
    </row>
    <row r="12" spans="1:25" s="7" customFormat="1" ht="20.149999999999999" customHeight="1">
      <c r="A12" s="20" t="s">
        <v>28</v>
      </c>
      <c r="B12" s="11" t="s">
        <v>10</v>
      </c>
      <c r="C12" s="49">
        <v>130596</v>
      </c>
      <c r="D12" s="49">
        <v>130596</v>
      </c>
      <c r="E12" s="49">
        <v>130596</v>
      </c>
      <c r="F12" s="49">
        <v>130596</v>
      </c>
      <c r="G12" s="36"/>
      <c r="H12" s="35"/>
      <c r="I12" s="36"/>
      <c r="J12" s="36"/>
      <c r="K12" s="36"/>
      <c r="L12" s="36"/>
      <c r="M12" s="36"/>
      <c r="N12" s="36"/>
      <c r="O12" s="36"/>
      <c r="P12" s="35"/>
      <c r="Q12" s="35"/>
      <c r="R12" s="35"/>
      <c r="S12" s="35"/>
      <c r="T12" s="6"/>
      <c r="U12" s="6"/>
      <c r="V12" s="6"/>
      <c r="W12" s="6"/>
      <c r="X12" s="6"/>
      <c r="Y12" s="6"/>
    </row>
    <row r="13" spans="1:25" s="8" customFormat="1" ht="20.149999999999999" customHeight="1">
      <c r="A13" s="19" t="s">
        <v>29</v>
      </c>
      <c r="B13" s="11" t="s">
        <v>11</v>
      </c>
      <c r="C13" s="49">
        <v>4000</v>
      </c>
      <c r="D13" s="49">
        <v>4000</v>
      </c>
      <c r="E13" s="49">
        <v>4000</v>
      </c>
      <c r="F13" s="49">
        <v>4000</v>
      </c>
      <c r="G13" s="34"/>
      <c r="H13" s="33"/>
      <c r="I13" s="34"/>
      <c r="J13" s="34"/>
      <c r="K13" s="34"/>
      <c r="L13" s="34"/>
      <c r="M13" s="34"/>
      <c r="N13" s="34"/>
      <c r="O13" s="34"/>
      <c r="P13" s="33"/>
      <c r="Q13" s="33"/>
      <c r="R13" s="33"/>
      <c r="S13" s="33"/>
      <c r="T13" s="9"/>
      <c r="U13" s="9"/>
      <c r="V13" s="9"/>
      <c r="W13" s="9"/>
      <c r="X13" s="9"/>
      <c r="Y13" s="9"/>
    </row>
    <row r="14" spans="1:25" s="7" customFormat="1" ht="20.149999999999999" customHeight="1">
      <c r="A14" s="108" t="s">
        <v>30</v>
      </c>
      <c r="B14" s="11" t="s">
        <v>84</v>
      </c>
      <c r="C14" s="49">
        <f>C15+C16</f>
        <v>9764</v>
      </c>
      <c r="D14" s="49">
        <f t="shared" ref="D14:F14" si="2">D15+D16</f>
        <v>9958</v>
      </c>
      <c r="E14" s="49">
        <f t="shared" si="2"/>
        <v>11269</v>
      </c>
      <c r="F14" s="49">
        <f t="shared" si="2"/>
        <v>11537</v>
      </c>
      <c r="G14" s="36"/>
      <c r="H14" s="33"/>
      <c r="I14" s="36"/>
      <c r="J14" s="36"/>
      <c r="K14" s="36"/>
      <c r="L14" s="36"/>
      <c r="M14" s="36"/>
      <c r="N14" s="36"/>
      <c r="O14" s="36"/>
      <c r="P14" s="35"/>
      <c r="Q14" s="35"/>
      <c r="R14" s="35"/>
      <c r="S14" s="35"/>
      <c r="T14" s="6"/>
      <c r="U14" s="6"/>
      <c r="V14" s="6"/>
      <c r="W14" s="6"/>
      <c r="X14" s="6"/>
      <c r="Y14" s="6"/>
    </row>
    <row r="15" spans="1:25" s="7" customFormat="1" ht="20.149999999999999" customHeight="1">
      <c r="A15" s="101" t="s">
        <v>31</v>
      </c>
      <c r="B15" s="12" t="s">
        <v>12</v>
      </c>
      <c r="C15" s="49">
        <v>5967</v>
      </c>
      <c r="D15" s="49">
        <v>6176</v>
      </c>
      <c r="E15" s="49">
        <v>7316</v>
      </c>
      <c r="F15" s="49">
        <v>7583</v>
      </c>
      <c r="G15" s="36"/>
      <c r="H15" s="33"/>
      <c r="I15" s="36"/>
      <c r="J15" s="36"/>
      <c r="K15" s="36"/>
      <c r="L15" s="36"/>
      <c r="M15" s="36"/>
      <c r="N15" s="36"/>
      <c r="O15" s="36"/>
      <c r="P15" s="35"/>
      <c r="Q15" s="35"/>
      <c r="R15" s="35"/>
      <c r="S15" s="35"/>
      <c r="T15" s="6"/>
      <c r="U15" s="6"/>
      <c r="V15" s="6"/>
      <c r="W15" s="6"/>
      <c r="X15" s="6"/>
      <c r="Y15" s="6"/>
    </row>
    <row r="16" spans="1:25" ht="20.149999999999999" customHeight="1">
      <c r="A16" s="101" t="s">
        <v>32</v>
      </c>
      <c r="B16" s="12" t="s">
        <v>13</v>
      </c>
      <c r="C16" s="49">
        <v>3797</v>
      </c>
      <c r="D16" s="49">
        <v>3782</v>
      </c>
      <c r="E16" s="49">
        <v>3953</v>
      </c>
      <c r="F16" s="49">
        <v>3954</v>
      </c>
      <c r="P16" s="32"/>
      <c r="Q16" s="32"/>
      <c r="R16" s="32"/>
      <c r="S16" s="32"/>
      <c r="T16" s="4"/>
      <c r="U16" s="4"/>
      <c r="V16" s="4"/>
      <c r="W16" s="4"/>
      <c r="X16" s="4"/>
      <c r="Y16" s="4"/>
    </row>
    <row r="17" spans="1:25" ht="20.149999999999999" customHeight="1">
      <c r="A17" s="10" t="s">
        <v>33</v>
      </c>
      <c r="B17" s="13" t="s">
        <v>14</v>
      </c>
      <c r="C17" s="49">
        <v>181267</v>
      </c>
      <c r="D17" s="49">
        <v>203267</v>
      </c>
      <c r="E17" s="49">
        <v>206767</v>
      </c>
      <c r="F17" s="49">
        <v>206767</v>
      </c>
      <c r="P17" s="32"/>
      <c r="Q17" s="32"/>
      <c r="R17" s="32"/>
      <c r="S17" s="32"/>
      <c r="T17" s="4"/>
      <c r="U17" s="4"/>
      <c r="V17" s="4"/>
      <c r="W17" s="4"/>
      <c r="X17" s="4"/>
      <c r="Y17" s="4"/>
    </row>
    <row r="18" spans="1:25" ht="20.149999999999999" customHeight="1">
      <c r="A18" s="10" t="s">
        <v>34</v>
      </c>
      <c r="B18" s="13" t="s">
        <v>15</v>
      </c>
      <c r="C18" s="49">
        <v>2000</v>
      </c>
      <c r="D18" s="49">
        <v>2000</v>
      </c>
      <c r="E18" s="49">
        <v>2000</v>
      </c>
      <c r="F18" s="49">
        <v>2000</v>
      </c>
      <c r="I18" s="32"/>
      <c r="P18" s="32"/>
      <c r="Q18" s="32"/>
      <c r="R18" s="32"/>
      <c r="S18" s="32"/>
      <c r="T18" s="4"/>
      <c r="U18" s="4"/>
      <c r="V18" s="4"/>
      <c r="W18" s="4"/>
      <c r="X18" s="4"/>
      <c r="Y18" s="4"/>
    </row>
    <row r="19" spans="1:25" s="3" customFormat="1" ht="20.149999999999999" customHeight="1">
      <c r="A19" s="10" t="s">
        <v>35</v>
      </c>
      <c r="B19" s="13" t="s">
        <v>16</v>
      </c>
      <c r="C19" s="49">
        <v>121</v>
      </c>
      <c r="D19" s="49">
        <v>115</v>
      </c>
      <c r="E19" s="49">
        <v>115</v>
      </c>
      <c r="F19" s="49">
        <v>115</v>
      </c>
      <c r="G19" s="37"/>
      <c r="H19" s="37"/>
      <c r="I19" s="38"/>
      <c r="J19" s="38"/>
      <c r="K19" s="37"/>
      <c r="L19" s="37"/>
      <c r="M19" s="37"/>
      <c r="N19" s="37"/>
      <c r="O19" s="37"/>
      <c r="P19" s="32"/>
      <c r="Q19" s="32"/>
      <c r="R19" s="32"/>
      <c r="S19" s="32"/>
      <c r="T19" s="4"/>
      <c r="U19" s="4"/>
      <c r="V19" s="4"/>
      <c r="W19" s="4"/>
      <c r="X19" s="4"/>
      <c r="Y19" s="4"/>
    </row>
    <row r="20" spans="1:25" ht="20.149999999999999" customHeight="1">
      <c r="A20" s="10" t="s">
        <v>46</v>
      </c>
      <c r="B20" s="13" t="s">
        <v>17</v>
      </c>
      <c r="C20" s="49">
        <v>11882</v>
      </c>
      <c r="D20" s="49">
        <v>12112</v>
      </c>
      <c r="E20" s="49">
        <v>0</v>
      </c>
      <c r="F20" s="49">
        <v>0</v>
      </c>
      <c r="H20" s="39"/>
      <c r="I20" s="32"/>
      <c r="P20" s="32"/>
      <c r="Q20" s="32"/>
      <c r="R20" s="32"/>
      <c r="S20" s="32"/>
      <c r="T20" s="4"/>
      <c r="U20" s="4"/>
      <c r="V20" s="4"/>
      <c r="W20" s="4"/>
      <c r="X20" s="4"/>
      <c r="Y20" s="4"/>
    </row>
    <row r="21" spans="1:25" ht="19.5" customHeight="1">
      <c r="A21" s="10" t="s">
        <v>36</v>
      </c>
      <c r="B21" s="13" t="s">
        <v>18</v>
      </c>
      <c r="C21" s="49">
        <v>1764</v>
      </c>
      <c r="D21" s="49">
        <v>1773</v>
      </c>
      <c r="E21" s="49">
        <v>1781</v>
      </c>
      <c r="F21" s="49">
        <v>1830</v>
      </c>
      <c r="J21" s="32"/>
      <c r="P21" s="32"/>
      <c r="Q21" s="32"/>
      <c r="R21" s="32"/>
      <c r="S21" s="32"/>
      <c r="T21" s="4"/>
      <c r="U21" s="4"/>
      <c r="V21" s="4"/>
      <c r="W21" s="4"/>
      <c r="X21" s="4"/>
      <c r="Y21" s="4"/>
    </row>
    <row r="22" spans="1:25" ht="20.149999999999999" customHeight="1">
      <c r="A22" s="10" t="s">
        <v>142</v>
      </c>
      <c r="B22" s="13" t="s">
        <v>19</v>
      </c>
      <c r="C22" s="49">
        <v>202237</v>
      </c>
      <c r="D22" s="49">
        <v>202237</v>
      </c>
      <c r="E22" s="49">
        <v>202237</v>
      </c>
      <c r="F22" s="49">
        <v>204028</v>
      </c>
      <c r="H22" s="32"/>
      <c r="P22" s="32"/>
      <c r="Q22" s="32"/>
      <c r="R22" s="32"/>
      <c r="S22" s="32"/>
      <c r="T22" s="4"/>
      <c r="U22" s="4"/>
      <c r="V22" s="4"/>
      <c r="W22" s="4"/>
      <c r="X22" s="4"/>
      <c r="Y22" s="4"/>
    </row>
    <row r="23" spans="1:25" ht="20.149999999999999" customHeight="1">
      <c r="A23" s="76" t="s">
        <v>37</v>
      </c>
      <c r="B23" s="13" t="s">
        <v>20</v>
      </c>
      <c r="C23" s="49">
        <v>0</v>
      </c>
      <c r="D23" s="49">
        <v>0</v>
      </c>
      <c r="E23" s="49">
        <v>0</v>
      </c>
      <c r="F23" s="49">
        <v>0</v>
      </c>
      <c r="P23" s="32"/>
      <c r="Q23" s="32"/>
      <c r="R23" s="32"/>
      <c r="S23" s="32"/>
      <c r="T23" s="4"/>
      <c r="U23" s="4"/>
      <c r="V23" s="4"/>
      <c r="W23" s="4"/>
      <c r="X23" s="4"/>
      <c r="Y23" s="4"/>
    </row>
    <row r="24" spans="1:25" ht="20.149999999999999" customHeight="1">
      <c r="A24" s="77" t="s">
        <v>38</v>
      </c>
      <c r="B24" s="78" t="s">
        <v>21</v>
      </c>
      <c r="C24" s="47">
        <f t="shared" ref="C24:F24" si="3">C25+C26+C27</f>
        <v>268787</v>
      </c>
      <c r="D24" s="47">
        <f t="shared" si="3"/>
        <v>281865</v>
      </c>
      <c r="E24" s="47">
        <f t="shared" si="3"/>
        <v>320390</v>
      </c>
      <c r="F24" s="47">
        <f t="shared" si="3"/>
        <v>356103</v>
      </c>
      <c r="H24" s="32"/>
      <c r="P24" s="32"/>
      <c r="Q24" s="32"/>
      <c r="R24" s="32"/>
      <c r="S24" s="32"/>
      <c r="T24" s="4"/>
      <c r="U24" s="4"/>
      <c r="V24" s="4"/>
      <c r="W24" s="4"/>
      <c r="X24" s="4"/>
      <c r="Y24" s="4"/>
    </row>
    <row r="25" spans="1:25" ht="20.149999999999999" customHeight="1">
      <c r="A25" s="110" t="s">
        <v>32</v>
      </c>
      <c r="B25" s="25" t="s">
        <v>13</v>
      </c>
      <c r="C25" s="49">
        <v>268787</v>
      </c>
      <c r="D25" s="49">
        <v>281865</v>
      </c>
      <c r="E25" s="49">
        <v>320390</v>
      </c>
      <c r="F25" s="49">
        <v>356103</v>
      </c>
      <c r="K25" s="32"/>
      <c r="P25" s="32"/>
      <c r="Q25" s="32"/>
      <c r="R25" s="32"/>
      <c r="S25" s="32"/>
      <c r="T25" s="4"/>
      <c r="U25" s="4"/>
      <c r="V25" s="4"/>
      <c r="W25" s="4"/>
      <c r="X25" s="4"/>
      <c r="Y25" s="4"/>
    </row>
    <row r="26" spans="1:25" ht="20.149999999999999" customHeight="1">
      <c r="A26" s="110" t="s">
        <v>31</v>
      </c>
      <c r="B26" s="25" t="s">
        <v>12</v>
      </c>
      <c r="C26" s="49">
        <v>0</v>
      </c>
      <c r="D26" s="49">
        <v>0</v>
      </c>
      <c r="E26" s="49">
        <v>0</v>
      </c>
      <c r="F26" s="49">
        <v>0</v>
      </c>
      <c r="J26" s="32"/>
      <c r="P26" s="32"/>
      <c r="Q26" s="32"/>
      <c r="R26" s="32"/>
      <c r="S26" s="32"/>
      <c r="T26" s="4"/>
      <c r="U26" s="4"/>
      <c r="V26" s="4"/>
      <c r="W26" s="4"/>
      <c r="X26" s="4"/>
      <c r="Y26" s="4"/>
    </row>
    <row r="27" spans="1:25" ht="20.149999999999999" customHeight="1">
      <c r="A27" s="102" t="s">
        <v>135</v>
      </c>
      <c r="B27" s="25" t="s">
        <v>22</v>
      </c>
      <c r="C27" s="68">
        <v>0</v>
      </c>
      <c r="D27" s="68">
        <v>0</v>
      </c>
      <c r="E27" s="68">
        <v>0</v>
      </c>
      <c r="F27" s="68">
        <v>0</v>
      </c>
      <c r="H27" s="32"/>
      <c r="P27" s="32"/>
      <c r="Q27" s="32"/>
      <c r="R27" s="32"/>
      <c r="S27" s="32"/>
      <c r="T27" s="4"/>
      <c r="U27" s="4"/>
      <c r="V27" s="4"/>
      <c r="W27" s="4"/>
      <c r="X27" s="4"/>
      <c r="Y27" s="4"/>
    </row>
    <row r="28" spans="1:25" s="2" customFormat="1" ht="20.149999999999999" customHeight="1">
      <c r="A28" s="17" t="s">
        <v>39</v>
      </c>
      <c r="B28" s="16" t="s">
        <v>23</v>
      </c>
      <c r="C28" s="47">
        <v>1500</v>
      </c>
      <c r="D28" s="47">
        <v>0</v>
      </c>
      <c r="E28" s="47">
        <v>2000</v>
      </c>
      <c r="F28" s="47">
        <v>2000</v>
      </c>
      <c r="G28" s="40"/>
      <c r="H28" s="40"/>
      <c r="I28" s="40"/>
      <c r="J28" s="40"/>
      <c r="K28" s="40"/>
      <c r="L28" s="40"/>
      <c r="M28" s="40"/>
      <c r="N28" s="40"/>
      <c r="O28" s="40"/>
      <c r="P28" s="32"/>
      <c r="Q28" s="32"/>
      <c r="R28" s="32"/>
      <c r="S28" s="32"/>
      <c r="T28" s="4"/>
      <c r="U28" s="4"/>
      <c r="V28" s="4"/>
      <c r="W28" s="4"/>
      <c r="X28" s="4"/>
      <c r="Y28" s="4"/>
    </row>
    <row r="29" spans="1:25" ht="20.149999999999999" customHeight="1">
      <c r="A29" s="17" t="s">
        <v>40</v>
      </c>
      <c r="B29" s="16" t="s">
        <v>24</v>
      </c>
      <c r="C29" s="47">
        <v>2343</v>
      </c>
      <c r="D29" s="47">
        <v>2343</v>
      </c>
      <c r="E29" s="47">
        <v>2343</v>
      </c>
      <c r="F29" s="47">
        <v>2343</v>
      </c>
      <c r="P29" s="32"/>
      <c r="Q29" s="32"/>
      <c r="R29" s="32"/>
      <c r="S29" s="32"/>
      <c r="T29" s="4"/>
      <c r="U29" s="4"/>
      <c r="V29" s="4"/>
      <c r="W29" s="4"/>
      <c r="X29" s="4"/>
      <c r="Y29" s="4"/>
    </row>
    <row r="30" spans="1:25" ht="21" customHeight="1">
      <c r="A30" s="18" t="s">
        <v>137</v>
      </c>
      <c r="B30" s="16" t="s">
        <v>103</v>
      </c>
      <c r="C30" s="47">
        <v>0</v>
      </c>
      <c r="D30" s="47">
        <v>0</v>
      </c>
      <c r="E30" s="47">
        <v>0</v>
      </c>
      <c r="F30" s="47">
        <v>0</v>
      </c>
      <c r="I30" s="32"/>
      <c r="P30" s="32"/>
      <c r="Q30" s="32"/>
      <c r="R30" s="32"/>
      <c r="S30" s="32"/>
      <c r="T30" s="4"/>
      <c r="U30" s="4"/>
      <c r="V30" s="4"/>
      <c r="W30" s="4"/>
      <c r="X30" s="4"/>
      <c r="Y30" s="4"/>
    </row>
    <row r="31" spans="1:25" ht="20.149999999999999" customHeight="1">
      <c r="A31" s="18" t="s">
        <v>41</v>
      </c>
      <c r="B31" s="16" t="s">
        <v>25</v>
      </c>
      <c r="C31" s="47">
        <v>-97482</v>
      </c>
      <c r="D31" s="47">
        <v>-111397</v>
      </c>
      <c r="E31" s="47">
        <v>-104614</v>
      </c>
      <c r="F31" s="47">
        <v>-113206</v>
      </c>
      <c r="P31" s="32"/>
      <c r="Q31" s="32"/>
      <c r="R31" s="32"/>
      <c r="S31" s="32"/>
      <c r="T31" s="4"/>
      <c r="U31" s="4"/>
      <c r="V31" s="4"/>
      <c r="W31" s="4"/>
      <c r="X31" s="4"/>
      <c r="Y31" s="4"/>
    </row>
    <row r="32" spans="1:25" s="63" customFormat="1" ht="20.149999999999999" customHeight="1">
      <c r="A32" s="18" t="s">
        <v>104</v>
      </c>
      <c r="B32" s="16" t="s">
        <v>105</v>
      </c>
      <c r="C32" s="64">
        <v>0</v>
      </c>
      <c r="D32" s="64">
        <v>0</v>
      </c>
      <c r="E32" s="64">
        <v>0</v>
      </c>
      <c r="F32" s="64">
        <v>0</v>
      </c>
      <c r="G32" s="60"/>
      <c r="H32" s="60"/>
      <c r="I32" s="60"/>
      <c r="J32" s="60"/>
      <c r="K32" s="60"/>
      <c r="L32" s="60"/>
      <c r="M32" s="60"/>
      <c r="N32" s="60"/>
      <c r="O32" s="60"/>
      <c r="P32" s="61"/>
      <c r="Q32" s="61"/>
      <c r="R32" s="61"/>
      <c r="S32" s="61"/>
      <c r="T32" s="62"/>
      <c r="U32" s="62"/>
      <c r="V32" s="62"/>
      <c r="W32" s="62"/>
      <c r="X32" s="62"/>
      <c r="Y32" s="62"/>
    </row>
    <row r="33" spans="1:25" ht="20.149999999999999" customHeight="1">
      <c r="A33" s="17" t="s">
        <v>148</v>
      </c>
      <c r="B33" s="115" t="s">
        <v>150</v>
      </c>
      <c r="C33" s="47">
        <f t="shared" ref="C33:F33" si="4">C34+C35</f>
        <v>67313</v>
      </c>
      <c r="D33" s="47">
        <f t="shared" si="4"/>
        <v>70115</v>
      </c>
      <c r="E33" s="47">
        <f t="shared" si="4"/>
        <v>67645</v>
      </c>
      <c r="F33" s="47">
        <f t="shared" si="4"/>
        <v>66290</v>
      </c>
      <c r="H33" s="32"/>
      <c r="P33" s="32"/>
      <c r="Q33" s="32"/>
      <c r="R33" s="32"/>
      <c r="S33" s="32"/>
      <c r="T33" s="4"/>
      <c r="U33" s="4"/>
      <c r="V33" s="4"/>
      <c r="W33" s="4"/>
      <c r="X33" s="4"/>
      <c r="Y33" s="4"/>
    </row>
    <row r="34" spans="1:25" ht="23.25" customHeight="1">
      <c r="A34" s="111" t="s">
        <v>160</v>
      </c>
      <c r="B34" s="14" t="s">
        <v>161</v>
      </c>
      <c r="C34" s="49">
        <v>15050</v>
      </c>
      <c r="D34" s="49">
        <v>17448</v>
      </c>
      <c r="E34" s="49">
        <v>14981</v>
      </c>
      <c r="F34" s="49">
        <v>14149</v>
      </c>
      <c r="G34" s="32"/>
      <c r="P34" s="32"/>
      <c r="Q34" s="32"/>
      <c r="R34" s="32"/>
      <c r="S34" s="32"/>
      <c r="T34" s="4"/>
      <c r="U34" s="4"/>
      <c r="V34" s="4"/>
      <c r="W34" s="4"/>
      <c r="X34" s="4"/>
      <c r="Y34" s="4"/>
    </row>
    <row r="35" spans="1:25" ht="21.75" customHeight="1">
      <c r="A35" s="112" t="s">
        <v>162</v>
      </c>
      <c r="B35" s="14" t="s">
        <v>163</v>
      </c>
      <c r="C35" s="49">
        <v>52263</v>
      </c>
      <c r="D35" s="49">
        <v>52667</v>
      </c>
      <c r="E35" s="49">
        <v>52664</v>
      </c>
      <c r="F35" s="49">
        <v>52141</v>
      </c>
      <c r="G35" s="32"/>
      <c r="P35" s="32"/>
      <c r="Q35" s="32"/>
      <c r="R35" s="32"/>
      <c r="S35" s="32"/>
      <c r="T35" s="4"/>
      <c r="U35" s="4"/>
      <c r="V35" s="4"/>
      <c r="W35" s="4"/>
      <c r="X35" s="4"/>
      <c r="Y35" s="4"/>
    </row>
    <row r="36" spans="1:25" ht="20.149999999999999" customHeight="1">
      <c r="A36" s="17" t="s">
        <v>42</v>
      </c>
      <c r="B36" s="115" t="s">
        <v>146</v>
      </c>
      <c r="C36" s="47">
        <f t="shared" ref="C36:F36" si="5">C37-C38</f>
        <v>220813</v>
      </c>
      <c r="D36" s="47">
        <f t="shared" si="5"/>
        <v>222292</v>
      </c>
      <c r="E36" s="47">
        <f t="shared" si="5"/>
        <v>224550</v>
      </c>
      <c r="F36" s="47">
        <f t="shared" si="5"/>
        <v>238179</v>
      </c>
      <c r="P36" s="32"/>
      <c r="Q36" s="32"/>
      <c r="R36" s="32"/>
      <c r="S36" s="32"/>
      <c r="T36" s="4"/>
      <c r="U36" s="4"/>
      <c r="V36" s="4"/>
      <c r="W36" s="4"/>
      <c r="X36" s="4"/>
      <c r="Y36" s="4"/>
    </row>
    <row r="37" spans="1:25" ht="19.5" customHeight="1">
      <c r="A37" s="111" t="s">
        <v>43</v>
      </c>
      <c r="B37" s="11" t="s">
        <v>149</v>
      </c>
      <c r="C37" s="49">
        <v>228031</v>
      </c>
      <c r="D37" s="49">
        <v>228677</v>
      </c>
      <c r="E37" s="49">
        <v>229136</v>
      </c>
      <c r="F37" s="49">
        <v>240851</v>
      </c>
    </row>
    <row r="38" spans="1:25" ht="24" customHeight="1">
      <c r="A38" s="112" t="s">
        <v>143</v>
      </c>
      <c r="B38" s="11" t="s">
        <v>26</v>
      </c>
      <c r="C38" s="49">
        <v>7218</v>
      </c>
      <c r="D38" s="49">
        <v>6385</v>
      </c>
      <c r="E38" s="49">
        <v>4586</v>
      </c>
      <c r="F38" s="49">
        <v>2672</v>
      </c>
    </row>
    <row r="39" spans="1:25" ht="20.25" customHeight="1">
      <c r="A39" s="17" t="s">
        <v>44</v>
      </c>
      <c r="B39" s="16" t="s">
        <v>145</v>
      </c>
      <c r="C39" s="47">
        <f t="shared" ref="C39:F39" si="6">SUM(C40:C42)</f>
        <v>68027</v>
      </c>
      <c r="D39" s="47">
        <f t="shared" si="6"/>
        <v>68999</v>
      </c>
      <c r="E39" s="47">
        <f t="shared" si="6"/>
        <v>69152</v>
      </c>
      <c r="F39" s="47">
        <f t="shared" si="6"/>
        <v>67684</v>
      </c>
    </row>
    <row r="40" spans="1:25" ht="26.25" customHeight="1">
      <c r="A40" s="111" t="s">
        <v>45</v>
      </c>
      <c r="B40" s="84" t="s">
        <v>165</v>
      </c>
      <c r="C40" s="49">
        <v>15764</v>
      </c>
      <c r="D40" s="49">
        <v>16332</v>
      </c>
      <c r="E40" s="49">
        <v>16488</v>
      </c>
      <c r="F40" s="49">
        <v>15543</v>
      </c>
    </row>
    <row r="41" spans="1:25" ht="25.5" customHeight="1">
      <c r="A41" s="113" t="s">
        <v>47</v>
      </c>
      <c r="B41" s="80" t="s">
        <v>169</v>
      </c>
      <c r="C41" s="49">
        <v>0</v>
      </c>
      <c r="D41" s="49">
        <v>0</v>
      </c>
      <c r="E41" s="49">
        <v>0</v>
      </c>
      <c r="F41" s="49">
        <v>0</v>
      </c>
    </row>
    <row r="42" spans="1:25" ht="24.75" customHeight="1">
      <c r="A42" s="114" t="s">
        <v>144</v>
      </c>
      <c r="B42" s="81" t="s">
        <v>167</v>
      </c>
      <c r="C42" s="50">
        <v>52263</v>
      </c>
      <c r="D42" s="50">
        <v>52667</v>
      </c>
      <c r="E42" s="50">
        <v>52664</v>
      </c>
      <c r="F42" s="50">
        <v>52141</v>
      </c>
    </row>
    <row r="43" spans="1:25" ht="15.5">
      <c r="A43" s="27" t="s">
        <v>49</v>
      </c>
      <c r="B43" s="43"/>
      <c r="C43" s="27"/>
      <c r="D43" s="27"/>
      <c r="E43" s="27"/>
      <c r="F43" s="27"/>
      <c r="G43" s="27"/>
      <c r="H43" s="27"/>
      <c r="I43" s="27"/>
      <c r="J43" s="27"/>
      <c r="K43" s="27"/>
      <c r="L43" s="45"/>
      <c r="M43" s="45"/>
      <c r="N43" s="45"/>
      <c r="O43" s="45"/>
      <c r="P43" s="45"/>
      <c r="Q43"/>
      <c r="R43"/>
      <c r="S43"/>
    </row>
    <row r="44" spans="1:25" ht="15.5">
      <c r="A44" s="27" t="s">
        <v>50</v>
      </c>
      <c r="B44" s="43"/>
      <c r="C44" s="27"/>
      <c r="D44" s="27"/>
      <c r="E44" s="27"/>
      <c r="F44" s="27"/>
      <c r="G44" s="27"/>
      <c r="H44" s="27"/>
      <c r="I44" s="27"/>
      <c r="J44" s="27"/>
      <c r="K44" s="27"/>
      <c r="L44" s="45"/>
      <c r="M44" s="45"/>
      <c r="N44" s="45"/>
      <c r="O44" s="45"/>
      <c r="P44" s="45"/>
      <c r="Q44"/>
      <c r="R44"/>
      <c r="S44"/>
    </row>
    <row r="45" spans="1:25" ht="15.5">
      <c r="A45" s="27" t="s">
        <v>85</v>
      </c>
      <c r="B45" s="43"/>
      <c r="C45" s="27"/>
      <c r="D45" s="27"/>
      <c r="E45" s="27"/>
      <c r="F45" s="27"/>
      <c r="G45" s="27"/>
      <c r="H45" s="27"/>
      <c r="I45" s="27"/>
      <c r="J45" s="27"/>
      <c r="K45" s="27"/>
      <c r="L45" s="45"/>
      <c r="M45" s="45"/>
      <c r="N45" s="45"/>
      <c r="O45" s="45"/>
      <c r="P45" s="45"/>
      <c r="Q45"/>
      <c r="R45"/>
      <c r="S45"/>
    </row>
    <row r="46" spans="1:25" ht="15.5">
      <c r="A46" s="27" t="s">
        <v>53</v>
      </c>
      <c r="B46" s="43"/>
      <c r="C46" s="27"/>
      <c r="D46" s="27"/>
      <c r="E46" s="27"/>
      <c r="F46" s="27"/>
      <c r="G46" s="27"/>
      <c r="H46" s="27"/>
      <c r="I46" s="27"/>
      <c r="J46" s="27"/>
      <c r="K46" s="27"/>
      <c r="L46" s="45"/>
      <c r="M46" s="45"/>
      <c r="N46" s="45"/>
      <c r="O46" s="45"/>
      <c r="P46" s="45"/>
      <c r="Q46"/>
      <c r="R46"/>
      <c r="S46"/>
    </row>
    <row r="47" spans="1:25" ht="15.5">
      <c r="A47" s="27" t="s">
        <v>86</v>
      </c>
      <c r="B47" s="43"/>
      <c r="C47" s="27"/>
      <c r="D47" s="27"/>
      <c r="E47" s="27"/>
      <c r="F47" s="27"/>
      <c r="G47" s="27"/>
      <c r="H47" s="27"/>
      <c r="I47" s="27"/>
      <c r="J47" s="27"/>
      <c r="K47" s="27"/>
      <c r="L47" s="45"/>
      <c r="M47" s="45"/>
      <c r="N47" s="45"/>
      <c r="O47" s="45"/>
      <c r="P47" s="45"/>
      <c r="Q47"/>
      <c r="R47"/>
      <c r="S47"/>
    </row>
    <row r="48" spans="1:25" ht="15.5">
      <c r="A48" s="27" t="s">
        <v>54</v>
      </c>
      <c r="B48" s="43"/>
      <c r="C48" s="27"/>
      <c r="D48" s="27"/>
      <c r="E48" s="27"/>
      <c r="F48" s="27"/>
      <c r="G48" s="27"/>
      <c r="H48" s="27"/>
      <c r="I48" s="27"/>
      <c r="J48" s="27"/>
      <c r="K48" s="27"/>
      <c r="L48" s="45"/>
      <c r="M48" s="45"/>
      <c r="N48" s="45"/>
      <c r="O48" s="45"/>
      <c r="P48" s="45"/>
      <c r="Q48"/>
      <c r="R48"/>
      <c r="S48"/>
    </row>
    <row r="49" spans="1:19" ht="15.5">
      <c r="A49" s="27" t="s">
        <v>87</v>
      </c>
      <c r="B49" s="43"/>
      <c r="C49" s="27"/>
      <c r="D49" s="27"/>
      <c r="E49" s="27"/>
      <c r="F49" s="27"/>
      <c r="G49" s="27"/>
      <c r="H49" s="27"/>
      <c r="I49" s="27"/>
      <c r="J49" s="27"/>
      <c r="K49" s="27"/>
      <c r="L49" s="45"/>
      <c r="M49" s="45"/>
      <c r="N49" s="45"/>
      <c r="O49" s="45"/>
      <c r="P49" s="45"/>
      <c r="Q49"/>
      <c r="R49"/>
      <c r="S49"/>
    </row>
    <row r="50" spans="1:19" ht="16.5" customHeight="1">
      <c r="A50" s="26"/>
      <c r="B50" s="43"/>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3"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Y49"/>
  <sheetViews>
    <sheetView view="pageBreakPreview" topLeftCell="A4" zoomScale="50" zoomScaleNormal="75" zoomScaleSheetLayoutView="50" workbookViewId="0">
      <selection activeCell="A4" sqref="A4:F49"/>
    </sheetView>
  </sheetViews>
  <sheetFormatPr defaultRowHeight="12.5"/>
  <cols>
    <col min="1" max="1" width="74.54296875" customWidth="1"/>
    <col min="2" max="2" width="90.81640625" style="1" customWidth="1"/>
    <col min="3" max="6" width="18.453125" customWidth="1"/>
    <col min="7" max="7" width="11.7265625" style="28" customWidth="1"/>
    <col min="8" max="8" width="12.81640625" style="28" bestFit="1" customWidth="1"/>
    <col min="9" max="9" width="11.1796875" style="28" bestFit="1" customWidth="1"/>
    <col min="10" max="10" width="10.7265625" style="28" bestFit="1" customWidth="1"/>
    <col min="11" max="19" width="9.1796875" style="28"/>
    <col min="25" max="25" width="9.26953125" bestFit="1" customWidth="1"/>
  </cols>
  <sheetData>
    <row r="1" spans="1:25" ht="15" hidden="1" customHeight="1"/>
    <row r="2" spans="1:25" ht="23" hidden="1">
      <c r="B2" s="164" t="s">
        <v>5</v>
      </c>
      <c r="C2" s="164"/>
      <c r="D2" s="164"/>
      <c r="E2" s="164"/>
      <c r="F2" s="164"/>
    </row>
    <row r="3" spans="1:25" ht="23" hidden="1">
      <c r="B3" s="165" t="s">
        <v>4</v>
      </c>
      <c r="C3" s="165"/>
      <c r="D3" s="165"/>
      <c r="E3" s="165"/>
      <c r="F3" s="165"/>
    </row>
    <row r="4" spans="1:25" s="5" customFormat="1" ht="45" customHeight="1">
      <c r="A4" s="166" t="s">
        <v>6</v>
      </c>
      <c r="B4" s="166"/>
      <c r="C4" s="166"/>
      <c r="D4" s="166"/>
      <c r="E4" s="166"/>
      <c r="F4" s="166"/>
      <c r="G4" s="29"/>
      <c r="H4" s="29"/>
      <c r="I4" s="29"/>
      <c r="J4" s="29"/>
      <c r="K4" s="29"/>
      <c r="L4" s="29"/>
      <c r="M4" s="29"/>
      <c r="N4" s="29"/>
      <c r="O4" s="29"/>
      <c r="P4" s="29"/>
      <c r="Q4" s="29"/>
      <c r="R4" s="29"/>
      <c r="S4" s="29"/>
    </row>
    <row r="5" spans="1:25" s="5" customFormat="1" ht="45" customHeight="1" thickBot="1">
      <c r="A5" s="42"/>
      <c r="B5" s="42"/>
      <c r="C5" s="42"/>
      <c r="D5" s="42"/>
      <c r="E5" s="42"/>
      <c r="F5" s="41" t="s">
        <v>52</v>
      </c>
      <c r="G5" s="30"/>
      <c r="H5" s="30"/>
      <c r="I5" s="30"/>
      <c r="J5" s="30"/>
      <c r="K5" s="30"/>
      <c r="L5" s="29"/>
      <c r="M5" s="29"/>
      <c r="N5" s="29"/>
      <c r="O5" s="29"/>
      <c r="P5" s="29"/>
      <c r="Q5" s="29"/>
      <c r="R5" s="29"/>
      <c r="S5" s="29"/>
    </row>
    <row r="6" spans="1:25" ht="25.5" customHeight="1" thickTop="1" thickBot="1">
      <c r="A6" s="167" t="s">
        <v>55</v>
      </c>
      <c r="B6" s="168"/>
      <c r="C6" s="53" t="s">
        <v>0</v>
      </c>
      <c r="D6" s="53" t="s">
        <v>1</v>
      </c>
      <c r="E6" s="53" t="s">
        <v>2</v>
      </c>
      <c r="F6" s="53" t="s">
        <v>3</v>
      </c>
      <c r="I6" s="31"/>
    </row>
    <row r="7" spans="1:25" ht="36" customHeight="1" thickTop="1" thickBot="1">
      <c r="A7" s="169"/>
      <c r="B7" s="170"/>
      <c r="C7" s="51" t="s">
        <v>62</v>
      </c>
      <c r="D7" s="51" t="s">
        <v>63</v>
      </c>
      <c r="E7" s="52" t="s">
        <v>64</v>
      </c>
      <c r="F7" s="51" t="s">
        <v>95</v>
      </c>
    </row>
    <row r="8" spans="1:25" ht="20.149999999999999" customHeight="1" thickTop="1">
      <c r="A8" s="23" t="s">
        <v>171</v>
      </c>
      <c r="B8" s="24" t="s">
        <v>7</v>
      </c>
      <c r="C8" s="47">
        <f>C9+C33+C36-C39</f>
        <v>1095722</v>
      </c>
      <c r="D8" s="47">
        <f>D9+D33+D36-D39</f>
        <v>1132990</v>
      </c>
      <c r="E8" s="47">
        <f>E9+E33+E36-E39</f>
        <v>1183090</v>
      </c>
      <c r="F8" s="47">
        <f>F9+F33+F36-F39</f>
        <v>1238137</v>
      </c>
      <c r="G8" s="32"/>
      <c r="P8" s="32"/>
      <c r="Q8" s="32"/>
      <c r="R8" s="32"/>
      <c r="S8" s="32"/>
      <c r="T8" s="4"/>
      <c r="U8" s="4"/>
      <c r="V8" s="4"/>
      <c r="W8" s="4"/>
      <c r="X8" s="4"/>
      <c r="Y8" s="4"/>
    </row>
    <row r="9" spans="1:25" s="8" customFormat="1" ht="20.149999999999999" customHeight="1">
      <c r="A9" s="21" t="s">
        <v>151</v>
      </c>
      <c r="B9" s="16" t="s">
        <v>8</v>
      </c>
      <c r="C9" s="47">
        <f>C10+C28+C29+C30+C31+C32</f>
        <v>856681</v>
      </c>
      <c r="D9" s="47">
        <f>D10+D28+D29+D30+D31+D32</f>
        <v>894620</v>
      </c>
      <c r="E9" s="47">
        <f>E10+E28+E29+E30+E31+E32</f>
        <v>945088</v>
      </c>
      <c r="F9" s="47">
        <f>F10+F28+F29+F30+F31+F32</f>
        <v>990529</v>
      </c>
      <c r="G9" s="33"/>
      <c r="H9" s="33"/>
      <c r="I9" s="34"/>
      <c r="J9" s="34"/>
      <c r="K9" s="34"/>
      <c r="L9" s="34"/>
      <c r="M9" s="34"/>
      <c r="N9" s="34"/>
      <c r="O9" s="34"/>
      <c r="P9" s="33"/>
      <c r="Q9" s="33"/>
      <c r="R9" s="33"/>
      <c r="S9" s="33"/>
      <c r="T9" s="9"/>
      <c r="U9" s="9"/>
      <c r="V9" s="9"/>
      <c r="W9" s="9"/>
      <c r="X9" s="9"/>
      <c r="Y9" s="9"/>
    </row>
    <row r="10" spans="1:25" s="7" customFormat="1" ht="20.149999999999999" customHeight="1">
      <c r="A10" s="18" t="s">
        <v>27</v>
      </c>
      <c r="B10" s="16" t="s">
        <v>9</v>
      </c>
      <c r="C10" s="86">
        <f>C11+C24</f>
        <v>919783</v>
      </c>
      <c r="D10" s="86">
        <f t="shared" ref="D10:F10" si="0">D11+D24</f>
        <v>951717</v>
      </c>
      <c r="E10" s="86">
        <f t="shared" si="0"/>
        <v>981975</v>
      </c>
      <c r="F10" s="86">
        <f t="shared" si="0"/>
        <v>1078162</v>
      </c>
      <c r="G10" s="35"/>
      <c r="H10" s="36"/>
      <c r="I10" s="36"/>
      <c r="J10" s="36"/>
      <c r="K10" s="36"/>
      <c r="L10" s="36"/>
      <c r="M10" s="36"/>
      <c r="N10" s="36"/>
      <c r="O10" s="36"/>
      <c r="P10" s="35"/>
      <c r="Q10" s="35"/>
      <c r="R10" s="35"/>
      <c r="S10" s="35"/>
      <c r="T10" s="6"/>
      <c r="U10" s="6"/>
      <c r="V10" s="6"/>
      <c r="W10" s="6"/>
      <c r="X10" s="6"/>
      <c r="Y10" s="6"/>
    </row>
    <row r="11" spans="1:25" s="7" customFormat="1" ht="20.149999999999999" customHeight="1">
      <c r="A11" s="18" t="s">
        <v>111</v>
      </c>
      <c r="B11" s="16" t="s">
        <v>112</v>
      </c>
      <c r="C11" s="48">
        <f>C12+C13+C14+C17+C18+C19+C20+C21+C22+C23</f>
        <v>569855</v>
      </c>
      <c r="D11" s="48">
        <f t="shared" ref="D11:F11" si="1">D12+D13+D14+D17+D18+D19+D20+D21+D22+D23</f>
        <v>580476</v>
      </c>
      <c r="E11" s="48">
        <f t="shared" si="1"/>
        <v>599102</v>
      </c>
      <c r="F11" s="48">
        <f t="shared" si="1"/>
        <v>669554</v>
      </c>
      <c r="G11" s="35"/>
      <c r="H11" s="36"/>
      <c r="I11" s="36"/>
      <c r="J11" s="36"/>
      <c r="K11" s="36"/>
      <c r="L11" s="36"/>
      <c r="M11" s="36"/>
      <c r="N11" s="36"/>
      <c r="O11" s="36"/>
      <c r="P11" s="35"/>
      <c r="Q11" s="35"/>
      <c r="R11" s="35"/>
      <c r="S11" s="35"/>
      <c r="T11" s="6"/>
      <c r="U11" s="6"/>
      <c r="V11" s="6"/>
      <c r="W11" s="6"/>
      <c r="X11" s="6"/>
      <c r="Y11" s="6"/>
    </row>
    <row r="12" spans="1:25" s="7" customFormat="1" ht="20.149999999999999" customHeight="1">
      <c r="A12" s="20" t="s">
        <v>28</v>
      </c>
      <c r="B12" s="11" t="s">
        <v>10</v>
      </c>
      <c r="C12" s="49">
        <v>129096</v>
      </c>
      <c r="D12" s="49">
        <v>129096</v>
      </c>
      <c r="E12" s="49">
        <v>129096</v>
      </c>
      <c r="F12" s="49">
        <v>178830</v>
      </c>
      <c r="G12" s="36"/>
      <c r="H12" s="35"/>
      <c r="I12" s="36"/>
      <c r="J12" s="36"/>
      <c r="K12" s="36"/>
      <c r="L12" s="36"/>
      <c r="M12" s="36"/>
      <c r="N12" s="36"/>
      <c r="O12" s="36"/>
      <c r="P12" s="35"/>
      <c r="Q12" s="35"/>
      <c r="R12" s="35"/>
      <c r="S12" s="35"/>
      <c r="T12" s="6"/>
      <c r="U12" s="6"/>
      <c r="V12" s="6"/>
      <c r="W12" s="6"/>
      <c r="X12" s="6"/>
      <c r="Y12" s="6"/>
    </row>
    <row r="13" spans="1:25" s="8" customFormat="1" ht="20.149999999999999" customHeight="1">
      <c r="A13" s="19" t="s">
        <v>29</v>
      </c>
      <c r="B13" s="11" t="s">
        <v>11</v>
      </c>
      <c r="C13" s="49">
        <v>4000</v>
      </c>
      <c r="D13" s="49">
        <v>4000</v>
      </c>
      <c r="E13" s="49">
        <v>4000</v>
      </c>
      <c r="F13" s="49">
        <v>4000</v>
      </c>
      <c r="G13" s="34"/>
      <c r="H13" s="33"/>
      <c r="I13" s="34"/>
      <c r="J13" s="34"/>
      <c r="K13" s="34"/>
      <c r="L13" s="34"/>
      <c r="M13" s="34"/>
      <c r="N13" s="34"/>
      <c r="O13" s="34"/>
      <c r="P13" s="33"/>
      <c r="Q13" s="33"/>
      <c r="R13" s="33"/>
      <c r="S13" s="33"/>
      <c r="T13" s="9"/>
      <c r="U13" s="9"/>
      <c r="V13" s="9"/>
      <c r="W13" s="9"/>
      <c r="X13" s="9"/>
      <c r="Y13" s="9"/>
    </row>
    <row r="14" spans="1:25" s="7" customFormat="1" ht="20.149999999999999" customHeight="1">
      <c r="A14" s="108" t="s">
        <v>30</v>
      </c>
      <c r="B14" s="11" t="s">
        <v>84</v>
      </c>
      <c r="C14" s="49">
        <f>C15+C16</f>
        <v>7516</v>
      </c>
      <c r="D14" s="49">
        <f t="shared" ref="D14:F14" si="2">D15+D16</f>
        <v>7837</v>
      </c>
      <c r="E14" s="49">
        <f t="shared" si="2"/>
        <v>7963</v>
      </c>
      <c r="F14" s="49">
        <f t="shared" si="2"/>
        <v>8113</v>
      </c>
      <c r="G14" s="36"/>
      <c r="H14" s="33"/>
      <c r="I14" s="36"/>
      <c r="J14" s="36"/>
      <c r="K14" s="36"/>
      <c r="L14" s="36"/>
      <c r="M14" s="36"/>
      <c r="N14" s="36"/>
      <c r="O14" s="36"/>
      <c r="P14" s="35"/>
      <c r="Q14" s="35"/>
      <c r="R14" s="35"/>
      <c r="S14" s="35"/>
      <c r="T14" s="6"/>
      <c r="U14" s="6"/>
      <c r="V14" s="6"/>
      <c r="W14" s="6"/>
      <c r="X14" s="6"/>
      <c r="Y14" s="6"/>
    </row>
    <row r="15" spans="1:25" s="7" customFormat="1" ht="20.149999999999999" customHeight="1">
      <c r="A15" s="101" t="s">
        <v>31</v>
      </c>
      <c r="B15" s="12" t="s">
        <v>12</v>
      </c>
      <c r="C15" s="49">
        <v>3438</v>
      </c>
      <c r="D15" s="49">
        <v>3755</v>
      </c>
      <c r="E15" s="49">
        <v>3799</v>
      </c>
      <c r="F15" s="49">
        <v>3834</v>
      </c>
      <c r="G15" s="36"/>
      <c r="H15" s="33"/>
      <c r="I15" s="36"/>
      <c r="J15" s="36"/>
      <c r="K15" s="36"/>
      <c r="L15" s="36"/>
      <c r="M15" s="36"/>
      <c r="N15" s="36"/>
      <c r="O15" s="36"/>
      <c r="P15" s="35"/>
      <c r="Q15" s="35"/>
      <c r="R15" s="35"/>
      <c r="S15" s="35"/>
      <c r="T15" s="6"/>
      <c r="U15" s="6"/>
      <c r="V15" s="6"/>
      <c r="W15" s="6"/>
      <c r="X15" s="6"/>
      <c r="Y15" s="6"/>
    </row>
    <row r="16" spans="1:25" ht="20.149999999999999" customHeight="1">
      <c r="A16" s="101" t="s">
        <v>32</v>
      </c>
      <c r="B16" s="12" t="s">
        <v>13</v>
      </c>
      <c r="C16" s="49">
        <v>4078</v>
      </c>
      <c r="D16" s="49">
        <v>4082</v>
      </c>
      <c r="E16" s="49">
        <v>4164</v>
      </c>
      <c r="F16" s="49">
        <v>4279</v>
      </c>
      <c r="P16" s="32"/>
      <c r="Q16" s="32"/>
      <c r="R16" s="32"/>
      <c r="S16" s="32"/>
      <c r="T16" s="4"/>
      <c r="U16" s="4"/>
      <c r="V16" s="4"/>
      <c r="W16" s="4"/>
      <c r="X16" s="4"/>
      <c r="Y16" s="4"/>
    </row>
    <row r="17" spans="1:25" ht="20.149999999999999" customHeight="1">
      <c r="A17" s="10" t="s">
        <v>33</v>
      </c>
      <c r="B17" s="13" t="s">
        <v>14</v>
      </c>
      <c r="C17" s="49">
        <v>221267</v>
      </c>
      <c r="D17" s="49">
        <v>231567</v>
      </c>
      <c r="E17" s="49">
        <v>250067</v>
      </c>
      <c r="F17" s="49">
        <v>270567</v>
      </c>
      <c r="P17" s="32"/>
      <c r="Q17" s="32"/>
      <c r="R17" s="32"/>
      <c r="S17" s="32"/>
      <c r="T17" s="4"/>
      <c r="U17" s="4"/>
      <c r="V17" s="4"/>
      <c r="W17" s="4"/>
      <c r="X17" s="4"/>
      <c r="Y17" s="4"/>
    </row>
    <row r="18" spans="1:25" ht="20.149999999999999" customHeight="1">
      <c r="A18" s="10" t="s">
        <v>34</v>
      </c>
      <c r="B18" s="13" t="s">
        <v>15</v>
      </c>
      <c r="C18" s="49">
        <v>2000</v>
      </c>
      <c r="D18" s="49">
        <v>2000</v>
      </c>
      <c r="E18" s="49">
        <v>2000</v>
      </c>
      <c r="F18" s="49">
        <v>2000</v>
      </c>
      <c r="I18" s="32"/>
      <c r="P18" s="32"/>
      <c r="Q18" s="32"/>
      <c r="R18" s="32"/>
      <c r="S18" s="32"/>
      <c r="T18" s="4"/>
      <c r="U18" s="4"/>
      <c r="V18" s="4"/>
      <c r="W18" s="4"/>
      <c r="X18" s="4"/>
      <c r="Y18" s="4"/>
    </row>
    <row r="19" spans="1:25" s="3" customFormat="1" ht="20.149999999999999" customHeight="1">
      <c r="A19" s="10" t="s">
        <v>35</v>
      </c>
      <c r="B19" s="13" t="s">
        <v>16</v>
      </c>
      <c r="C19" s="49">
        <v>118</v>
      </c>
      <c r="D19" s="49">
        <v>111</v>
      </c>
      <c r="E19" s="49">
        <v>111</v>
      </c>
      <c r="F19" s="49">
        <v>111</v>
      </c>
      <c r="G19" s="37"/>
      <c r="H19" s="37"/>
      <c r="I19" s="38"/>
      <c r="J19" s="38"/>
      <c r="K19" s="37"/>
      <c r="L19" s="37"/>
      <c r="M19" s="37"/>
      <c r="N19" s="37"/>
      <c r="O19" s="37"/>
      <c r="P19" s="32"/>
      <c r="Q19" s="32"/>
      <c r="R19" s="32"/>
      <c r="S19" s="32"/>
      <c r="T19" s="4"/>
      <c r="U19" s="4"/>
      <c r="V19" s="4"/>
      <c r="W19" s="4"/>
      <c r="X19" s="4"/>
      <c r="Y19" s="4"/>
    </row>
    <row r="20" spans="1:25" ht="20.149999999999999" customHeight="1">
      <c r="A20" s="10" t="s">
        <v>46</v>
      </c>
      <c r="B20" s="13" t="s">
        <v>17</v>
      </c>
      <c r="C20" s="49">
        <v>0</v>
      </c>
      <c r="D20" s="49">
        <v>0</v>
      </c>
      <c r="E20" s="49">
        <v>0</v>
      </c>
      <c r="F20" s="49">
        <v>0</v>
      </c>
      <c r="H20" s="39"/>
      <c r="I20" s="32"/>
      <c r="P20" s="32"/>
      <c r="Q20" s="32"/>
      <c r="R20" s="32"/>
      <c r="S20" s="32"/>
      <c r="T20" s="4"/>
      <c r="U20" s="4"/>
      <c r="V20" s="4"/>
      <c r="W20" s="4"/>
      <c r="X20" s="4"/>
      <c r="Y20" s="4"/>
    </row>
    <row r="21" spans="1:25" ht="19.5" customHeight="1">
      <c r="A21" s="10" t="s">
        <v>36</v>
      </c>
      <c r="B21" s="13" t="s">
        <v>18</v>
      </c>
      <c r="C21" s="49">
        <v>1830</v>
      </c>
      <c r="D21" s="49">
        <v>1837</v>
      </c>
      <c r="E21" s="49">
        <v>1837</v>
      </c>
      <c r="F21" s="49">
        <v>1905</v>
      </c>
      <c r="J21" s="32"/>
      <c r="P21" s="32"/>
      <c r="Q21" s="32"/>
      <c r="R21" s="32"/>
      <c r="S21" s="32"/>
      <c r="T21" s="4"/>
      <c r="U21" s="4"/>
      <c r="V21" s="4"/>
      <c r="W21" s="4"/>
      <c r="X21" s="4"/>
      <c r="Y21" s="4"/>
    </row>
    <row r="22" spans="1:25" ht="20.149999999999999" customHeight="1">
      <c r="A22" s="10" t="s">
        <v>142</v>
      </c>
      <c r="B22" s="13" t="s">
        <v>19</v>
      </c>
      <c r="C22" s="49">
        <v>204028</v>
      </c>
      <c r="D22" s="49">
        <v>204028</v>
      </c>
      <c r="E22" s="49">
        <v>204028</v>
      </c>
      <c r="F22" s="49">
        <v>204028</v>
      </c>
      <c r="H22" s="32"/>
      <c r="P22" s="32"/>
      <c r="Q22" s="32"/>
      <c r="R22" s="32"/>
      <c r="S22" s="32"/>
      <c r="T22" s="4"/>
      <c r="U22" s="4"/>
      <c r="V22" s="4"/>
      <c r="W22" s="4"/>
      <c r="X22" s="4"/>
      <c r="Y22" s="4"/>
    </row>
    <row r="23" spans="1:25" ht="20.149999999999999" customHeight="1">
      <c r="A23" s="76" t="s">
        <v>37</v>
      </c>
      <c r="B23" s="13" t="s">
        <v>20</v>
      </c>
      <c r="C23" s="49">
        <v>0</v>
      </c>
      <c r="D23" s="49">
        <v>0</v>
      </c>
      <c r="E23" s="49">
        <v>0</v>
      </c>
      <c r="F23" s="49">
        <v>0</v>
      </c>
      <c r="P23" s="32"/>
      <c r="Q23" s="32"/>
      <c r="R23" s="32"/>
      <c r="S23" s="32"/>
      <c r="T23" s="4"/>
      <c r="U23" s="4"/>
      <c r="V23" s="4"/>
      <c r="W23" s="4"/>
      <c r="X23" s="4"/>
      <c r="Y23" s="4"/>
    </row>
    <row r="24" spans="1:25" ht="20.149999999999999" customHeight="1">
      <c r="A24" s="77" t="s">
        <v>38</v>
      </c>
      <c r="B24" s="78" t="s">
        <v>21</v>
      </c>
      <c r="C24" s="47">
        <f t="shared" ref="C24:F24" si="3">C25+C26+C27</f>
        <v>349928</v>
      </c>
      <c r="D24" s="47">
        <f t="shared" si="3"/>
        <v>371241</v>
      </c>
      <c r="E24" s="47">
        <f t="shared" si="3"/>
        <v>382873</v>
      </c>
      <c r="F24" s="47">
        <f t="shared" si="3"/>
        <v>408608</v>
      </c>
      <c r="H24" s="32"/>
      <c r="P24" s="32"/>
      <c r="Q24" s="32"/>
      <c r="R24" s="32"/>
      <c r="S24" s="32"/>
      <c r="T24" s="4"/>
      <c r="U24" s="4"/>
      <c r="V24" s="4"/>
      <c r="W24" s="4"/>
      <c r="X24" s="4"/>
      <c r="Y24" s="4"/>
    </row>
    <row r="25" spans="1:25" ht="20.149999999999999" customHeight="1">
      <c r="A25" s="110" t="s">
        <v>32</v>
      </c>
      <c r="B25" s="25" t="s">
        <v>13</v>
      </c>
      <c r="C25" s="49">
        <v>349928</v>
      </c>
      <c r="D25" s="49">
        <v>356001</v>
      </c>
      <c r="E25" s="49">
        <v>357058</v>
      </c>
      <c r="F25" s="49">
        <v>373398</v>
      </c>
      <c r="K25" s="32"/>
      <c r="P25" s="32"/>
      <c r="Q25" s="32"/>
      <c r="R25" s="32"/>
      <c r="S25" s="32"/>
      <c r="T25" s="4"/>
      <c r="U25" s="4"/>
      <c r="V25" s="4"/>
      <c r="W25" s="4"/>
      <c r="X25" s="4"/>
      <c r="Y25" s="4"/>
    </row>
    <row r="26" spans="1:25" ht="20.149999999999999" customHeight="1">
      <c r="A26" s="110" t="s">
        <v>31</v>
      </c>
      <c r="B26" s="25" t="s">
        <v>12</v>
      </c>
      <c r="C26" s="49">
        <v>0</v>
      </c>
      <c r="D26" s="49">
        <v>15240</v>
      </c>
      <c r="E26" s="49">
        <v>25815</v>
      </c>
      <c r="F26" s="49">
        <v>35210</v>
      </c>
      <c r="J26" s="32"/>
      <c r="P26" s="32"/>
      <c r="Q26" s="32"/>
      <c r="R26" s="32"/>
      <c r="S26" s="32"/>
      <c r="T26" s="4"/>
      <c r="U26" s="4"/>
      <c r="V26" s="4"/>
      <c r="W26" s="4"/>
      <c r="X26" s="4"/>
      <c r="Y26" s="4"/>
    </row>
    <row r="27" spans="1:25" ht="20.149999999999999" customHeight="1">
      <c r="A27" s="102" t="s">
        <v>135</v>
      </c>
      <c r="B27" s="25" t="s">
        <v>22</v>
      </c>
      <c r="C27" s="68">
        <v>0</v>
      </c>
      <c r="D27" s="68">
        <v>0</v>
      </c>
      <c r="E27" s="68">
        <v>0</v>
      </c>
      <c r="F27" s="68">
        <v>0</v>
      </c>
      <c r="H27" s="32"/>
      <c r="P27" s="32"/>
      <c r="Q27" s="32"/>
      <c r="R27" s="32"/>
      <c r="S27" s="32"/>
      <c r="T27" s="4"/>
      <c r="U27" s="4"/>
      <c r="V27" s="4"/>
      <c r="W27" s="4"/>
      <c r="X27" s="4"/>
      <c r="Y27" s="4"/>
    </row>
    <row r="28" spans="1:25" s="2" customFormat="1" ht="20.149999999999999" customHeight="1">
      <c r="A28" s="17" t="s">
        <v>39</v>
      </c>
      <c r="B28" s="16" t="s">
        <v>23</v>
      </c>
      <c r="C28" s="47">
        <v>8056</v>
      </c>
      <c r="D28" s="47">
        <v>8122</v>
      </c>
      <c r="E28" s="47">
        <v>8380</v>
      </c>
      <c r="F28" s="47">
        <v>13036</v>
      </c>
      <c r="G28" s="40"/>
      <c r="H28" s="40"/>
      <c r="I28" s="40"/>
      <c r="J28" s="40"/>
      <c r="K28" s="40"/>
      <c r="L28" s="40"/>
      <c r="M28" s="40"/>
      <c r="N28" s="40"/>
      <c r="O28" s="40"/>
      <c r="P28" s="32"/>
      <c r="Q28" s="32"/>
      <c r="R28" s="32"/>
      <c r="S28" s="32"/>
      <c r="T28" s="4"/>
      <c r="U28" s="4"/>
      <c r="V28" s="4"/>
      <c r="W28" s="4"/>
      <c r="X28" s="4"/>
      <c r="Y28" s="4"/>
    </row>
    <row r="29" spans="1:25" ht="20.149999999999999" customHeight="1">
      <c r="A29" s="17" t="s">
        <v>40</v>
      </c>
      <c r="B29" s="16" t="s">
        <v>24</v>
      </c>
      <c r="C29" s="47">
        <v>2143</v>
      </c>
      <c r="D29" s="47">
        <v>2143</v>
      </c>
      <c r="E29" s="47">
        <v>2143</v>
      </c>
      <c r="F29" s="47">
        <v>1725</v>
      </c>
      <c r="P29" s="32"/>
      <c r="Q29" s="32"/>
      <c r="R29" s="32"/>
      <c r="S29" s="32"/>
      <c r="T29" s="4"/>
      <c r="U29" s="4"/>
      <c r="V29" s="4"/>
      <c r="W29" s="4"/>
      <c r="X29" s="4"/>
      <c r="Y29" s="4"/>
    </row>
    <row r="30" spans="1:25" ht="21" customHeight="1">
      <c r="A30" s="18" t="s">
        <v>137</v>
      </c>
      <c r="B30" s="16" t="s">
        <v>103</v>
      </c>
      <c r="C30" s="47">
        <v>0</v>
      </c>
      <c r="D30" s="47">
        <v>0</v>
      </c>
      <c r="E30" s="47">
        <v>0</v>
      </c>
      <c r="F30" s="47">
        <v>193</v>
      </c>
      <c r="I30" s="32"/>
      <c r="P30" s="32"/>
      <c r="Q30" s="32"/>
      <c r="R30" s="32"/>
      <c r="S30" s="32"/>
      <c r="T30" s="4"/>
      <c r="U30" s="4"/>
      <c r="V30" s="4"/>
      <c r="W30" s="4"/>
      <c r="X30" s="4"/>
      <c r="Y30" s="4"/>
    </row>
    <row r="31" spans="1:25" ht="20.149999999999999" customHeight="1">
      <c r="A31" s="18" t="s">
        <v>41</v>
      </c>
      <c r="B31" s="16" t="s">
        <v>25</v>
      </c>
      <c r="C31" s="47">
        <v>-73301</v>
      </c>
      <c r="D31" s="47">
        <v>-67362</v>
      </c>
      <c r="E31" s="47">
        <v>-47410</v>
      </c>
      <c r="F31" s="47">
        <v>-102587</v>
      </c>
      <c r="P31" s="32"/>
      <c r="Q31" s="32"/>
      <c r="R31" s="32"/>
      <c r="S31" s="32"/>
      <c r="T31" s="4"/>
      <c r="U31" s="4"/>
      <c r="V31" s="4"/>
      <c r="W31" s="4"/>
      <c r="X31" s="4"/>
      <c r="Y31" s="4"/>
    </row>
    <row r="32" spans="1:25" s="59" customFormat="1" ht="20.149999999999999" customHeight="1">
      <c r="A32" s="18" t="s">
        <v>104</v>
      </c>
      <c r="B32" s="16" t="s">
        <v>105</v>
      </c>
      <c r="C32" s="55">
        <v>0</v>
      </c>
      <c r="D32" s="55">
        <v>0</v>
      </c>
      <c r="E32" s="55">
        <v>0</v>
      </c>
      <c r="F32" s="55">
        <v>0</v>
      </c>
      <c r="G32" s="56"/>
      <c r="H32" s="56"/>
      <c r="I32" s="56"/>
      <c r="J32" s="56"/>
      <c r="K32" s="56"/>
      <c r="L32" s="56"/>
      <c r="M32" s="56"/>
      <c r="N32" s="56"/>
      <c r="O32" s="56"/>
      <c r="P32" s="57"/>
      <c r="Q32" s="57"/>
      <c r="R32" s="57"/>
      <c r="S32" s="57"/>
      <c r="T32" s="58"/>
      <c r="U32" s="58"/>
      <c r="V32" s="58"/>
      <c r="W32" s="58"/>
      <c r="X32" s="58"/>
      <c r="Y32" s="58"/>
    </row>
    <row r="33" spans="1:25" s="63" customFormat="1" ht="20.149999999999999" customHeight="1">
      <c r="A33" s="17" t="s">
        <v>148</v>
      </c>
      <c r="B33" s="115" t="s">
        <v>150</v>
      </c>
      <c r="C33" s="47">
        <f t="shared" ref="C33:F33" si="4">C34+C35</f>
        <v>67881</v>
      </c>
      <c r="D33" s="47">
        <f t="shared" si="4"/>
        <v>66529</v>
      </c>
      <c r="E33" s="47">
        <f t="shared" si="4"/>
        <v>64928</v>
      </c>
      <c r="F33" s="47">
        <f t="shared" si="4"/>
        <v>63112</v>
      </c>
      <c r="G33" s="60"/>
      <c r="H33" s="61"/>
      <c r="I33" s="60"/>
      <c r="J33" s="60"/>
      <c r="K33" s="60"/>
      <c r="L33" s="60"/>
      <c r="M33" s="60"/>
      <c r="N33" s="60"/>
      <c r="O33" s="60"/>
      <c r="P33" s="61"/>
      <c r="Q33" s="61"/>
      <c r="R33" s="61"/>
      <c r="S33" s="61"/>
      <c r="T33" s="62"/>
      <c r="U33" s="62"/>
      <c r="V33" s="62"/>
      <c r="W33" s="62"/>
      <c r="X33" s="62"/>
      <c r="Y33" s="62"/>
    </row>
    <row r="34" spans="1:25" ht="23.25" customHeight="1">
      <c r="A34" s="111" t="s">
        <v>160</v>
      </c>
      <c r="B34" s="14" t="s">
        <v>161</v>
      </c>
      <c r="C34" s="49">
        <v>14706</v>
      </c>
      <c r="D34" s="49">
        <v>13454</v>
      </c>
      <c r="E34" s="49">
        <v>12299</v>
      </c>
      <c r="F34" s="49">
        <v>10457</v>
      </c>
      <c r="G34" s="32"/>
      <c r="P34" s="32"/>
      <c r="Q34" s="32"/>
      <c r="R34" s="32"/>
      <c r="S34" s="32"/>
      <c r="T34" s="4"/>
      <c r="U34" s="4"/>
      <c r="V34" s="4"/>
      <c r="W34" s="4"/>
      <c r="X34" s="4"/>
      <c r="Y34" s="4"/>
    </row>
    <row r="35" spans="1:25" ht="21.75" customHeight="1">
      <c r="A35" s="112" t="s">
        <v>162</v>
      </c>
      <c r="B35" s="14" t="s">
        <v>163</v>
      </c>
      <c r="C35" s="49">
        <v>53175</v>
      </c>
      <c r="D35" s="49">
        <v>53075</v>
      </c>
      <c r="E35" s="49">
        <v>52629</v>
      </c>
      <c r="F35" s="49">
        <v>52655</v>
      </c>
      <c r="G35" s="32"/>
      <c r="P35" s="32"/>
      <c r="Q35" s="32"/>
      <c r="R35" s="32"/>
      <c r="S35" s="32"/>
      <c r="T35" s="4"/>
      <c r="U35" s="4"/>
      <c r="V35" s="4"/>
      <c r="W35" s="4"/>
      <c r="X35" s="4"/>
      <c r="Y35" s="4"/>
    </row>
    <row r="36" spans="1:25" ht="20.149999999999999" customHeight="1">
      <c r="A36" s="17" t="s">
        <v>42</v>
      </c>
      <c r="B36" s="115" t="s">
        <v>146</v>
      </c>
      <c r="C36" s="47">
        <f t="shared" ref="C36:F36" si="5">C37-C38</f>
        <v>239606</v>
      </c>
      <c r="D36" s="47">
        <f t="shared" si="5"/>
        <v>239729</v>
      </c>
      <c r="E36" s="47">
        <f t="shared" si="5"/>
        <v>239988</v>
      </c>
      <c r="F36" s="47">
        <f t="shared" si="5"/>
        <v>251028</v>
      </c>
      <c r="P36" s="32"/>
      <c r="Q36" s="32"/>
      <c r="R36" s="32"/>
      <c r="S36" s="32"/>
      <c r="T36" s="4"/>
      <c r="U36" s="4"/>
      <c r="V36" s="4"/>
      <c r="W36" s="4"/>
      <c r="X36" s="4"/>
      <c r="Y36" s="4"/>
    </row>
    <row r="37" spans="1:25" ht="19.5" customHeight="1">
      <c r="A37" s="111" t="s">
        <v>43</v>
      </c>
      <c r="B37" s="11" t="s">
        <v>149</v>
      </c>
      <c r="C37" s="49">
        <v>241923</v>
      </c>
      <c r="D37" s="49">
        <v>241249</v>
      </c>
      <c r="E37" s="49">
        <v>241869</v>
      </c>
      <c r="F37" s="49">
        <v>253679</v>
      </c>
    </row>
    <row r="38" spans="1:25" ht="24" customHeight="1">
      <c r="A38" s="112" t="s">
        <v>143</v>
      </c>
      <c r="B38" s="11" t="s">
        <v>26</v>
      </c>
      <c r="C38" s="49">
        <v>2317</v>
      </c>
      <c r="D38" s="49">
        <v>1520</v>
      </c>
      <c r="E38" s="49">
        <v>1881</v>
      </c>
      <c r="F38" s="49">
        <v>2651</v>
      </c>
    </row>
    <row r="39" spans="1:25" ht="20.25" customHeight="1">
      <c r="A39" s="17" t="s">
        <v>44</v>
      </c>
      <c r="B39" s="16" t="s">
        <v>145</v>
      </c>
      <c r="C39" s="47">
        <f t="shared" ref="C39" si="6">SUM(C40:C42)</f>
        <v>68446</v>
      </c>
      <c r="D39" s="47">
        <f>SUM(D40:D42)</f>
        <v>67888</v>
      </c>
      <c r="E39" s="47">
        <f>SUM(E40:E42)</f>
        <v>66914</v>
      </c>
      <c r="F39" s="47">
        <f>SUM(F40:F42)</f>
        <v>66532</v>
      </c>
    </row>
    <row r="40" spans="1:25" ht="26.25" customHeight="1">
      <c r="A40" s="111" t="s">
        <v>45</v>
      </c>
      <c r="B40" s="84" t="s">
        <v>165</v>
      </c>
      <c r="C40" s="49">
        <v>15271</v>
      </c>
      <c r="D40" s="49">
        <v>14813</v>
      </c>
      <c r="E40" s="49">
        <v>14285</v>
      </c>
      <c r="F40" s="49">
        <v>13877</v>
      </c>
    </row>
    <row r="41" spans="1:25" ht="25.5" customHeight="1">
      <c r="A41" s="113" t="s">
        <v>47</v>
      </c>
      <c r="B41" s="80" t="s">
        <v>169</v>
      </c>
      <c r="C41" s="49">
        <v>0</v>
      </c>
      <c r="D41" s="49">
        <v>0</v>
      </c>
      <c r="E41" s="49">
        <v>0</v>
      </c>
      <c r="F41" s="49">
        <v>0</v>
      </c>
    </row>
    <row r="42" spans="1:25" ht="24.75" customHeight="1">
      <c r="A42" s="114" t="s">
        <v>144</v>
      </c>
      <c r="B42" s="81" t="s">
        <v>167</v>
      </c>
      <c r="C42" s="50">
        <v>53175</v>
      </c>
      <c r="D42" s="50">
        <v>53075</v>
      </c>
      <c r="E42" s="50">
        <v>52629</v>
      </c>
      <c r="F42" s="50">
        <v>52655</v>
      </c>
    </row>
    <row r="43" spans="1:25" ht="15.5">
      <c r="A43" s="27" t="s">
        <v>49</v>
      </c>
      <c r="B43" s="43"/>
      <c r="C43" s="27"/>
      <c r="D43" s="27"/>
      <c r="E43" s="27"/>
      <c r="F43" s="27"/>
      <c r="G43" s="27"/>
      <c r="H43" s="27"/>
      <c r="I43" s="27"/>
      <c r="J43" s="27"/>
      <c r="K43" s="27"/>
      <c r="L43" s="45"/>
      <c r="M43" s="45"/>
      <c r="N43" s="45"/>
      <c r="O43" s="45"/>
      <c r="P43" s="45"/>
      <c r="Q43"/>
      <c r="R43"/>
      <c r="S43"/>
    </row>
    <row r="44" spans="1:25" ht="15.5">
      <c r="A44" s="27" t="s">
        <v>50</v>
      </c>
      <c r="B44" s="43"/>
      <c r="C44" s="27"/>
      <c r="D44" s="27"/>
      <c r="E44" s="27"/>
      <c r="F44" s="27"/>
      <c r="G44" s="27"/>
      <c r="H44" s="27"/>
      <c r="I44" s="27"/>
      <c r="J44" s="27"/>
      <c r="K44" s="27"/>
      <c r="L44" s="45"/>
      <c r="M44" s="45"/>
      <c r="N44" s="45"/>
      <c r="O44" s="45"/>
      <c r="P44" s="45"/>
      <c r="Q44"/>
      <c r="R44"/>
      <c r="S44"/>
    </row>
    <row r="45" spans="1:25" ht="15.5">
      <c r="A45" s="27" t="s">
        <v>85</v>
      </c>
      <c r="B45" s="43"/>
      <c r="C45" s="27"/>
      <c r="D45" s="27"/>
      <c r="E45" s="27"/>
      <c r="F45" s="27"/>
      <c r="G45" s="27"/>
      <c r="H45" s="27"/>
      <c r="I45" s="27"/>
      <c r="J45" s="27"/>
      <c r="K45" s="27"/>
      <c r="L45" s="45"/>
      <c r="M45" s="45"/>
      <c r="N45" s="45"/>
      <c r="O45" s="45"/>
      <c r="P45" s="45"/>
      <c r="Q45"/>
      <c r="R45"/>
      <c r="S45"/>
    </row>
    <row r="46" spans="1:25" ht="15.5">
      <c r="A46" s="27" t="s">
        <v>53</v>
      </c>
      <c r="B46" s="43"/>
      <c r="C46" s="27"/>
      <c r="D46" s="27"/>
      <c r="E46" s="27"/>
      <c r="F46" s="27"/>
      <c r="G46" s="27"/>
      <c r="H46" s="27"/>
      <c r="I46" s="27"/>
      <c r="J46" s="27"/>
      <c r="K46" s="27"/>
      <c r="L46" s="45"/>
      <c r="M46" s="45"/>
      <c r="N46" s="45"/>
      <c r="O46" s="45"/>
      <c r="P46" s="45"/>
      <c r="Q46"/>
      <c r="R46"/>
      <c r="S46"/>
    </row>
    <row r="47" spans="1:25" ht="15.5">
      <c r="A47" s="27" t="s">
        <v>86</v>
      </c>
      <c r="B47" s="43"/>
      <c r="C47" s="27"/>
      <c r="D47" s="27"/>
      <c r="E47" s="27"/>
      <c r="F47" s="27"/>
      <c r="G47" s="27"/>
      <c r="H47" s="27"/>
      <c r="I47" s="27"/>
      <c r="J47" s="27"/>
      <c r="K47" s="27"/>
      <c r="L47" s="45"/>
      <c r="M47" s="45"/>
      <c r="N47" s="45"/>
      <c r="O47" s="45"/>
      <c r="P47" s="45"/>
      <c r="Q47"/>
      <c r="R47"/>
      <c r="S47"/>
    </row>
    <row r="48" spans="1:25" ht="15.5">
      <c r="A48" s="27" t="s">
        <v>54</v>
      </c>
      <c r="B48" s="43"/>
      <c r="C48" s="27"/>
      <c r="D48" s="27"/>
      <c r="E48" s="27"/>
      <c r="F48" s="27"/>
      <c r="G48" s="27"/>
      <c r="H48" s="27"/>
      <c r="I48" s="27"/>
      <c r="J48" s="27"/>
      <c r="K48" s="27"/>
      <c r="L48" s="45"/>
      <c r="M48" s="45"/>
      <c r="N48" s="45"/>
      <c r="O48" s="45"/>
      <c r="P48" s="45"/>
      <c r="Q48"/>
      <c r="R48"/>
      <c r="S48"/>
    </row>
    <row r="49" spans="1:19" ht="15.5">
      <c r="A49" s="27" t="s">
        <v>87</v>
      </c>
      <c r="B49" s="43"/>
      <c r="C49" s="27"/>
      <c r="D49" s="27"/>
      <c r="E49" s="27"/>
      <c r="F49" s="27"/>
      <c r="G49" s="27"/>
      <c r="H49" s="27"/>
      <c r="I49" s="27"/>
      <c r="J49" s="27"/>
      <c r="K49" s="27"/>
      <c r="L49" s="45"/>
      <c r="M49" s="45"/>
      <c r="N49" s="45"/>
      <c r="O49" s="45"/>
      <c r="P49" s="45"/>
      <c r="Q49"/>
      <c r="R49"/>
      <c r="S49"/>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3"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Y51"/>
  <sheetViews>
    <sheetView topLeftCell="A13" zoomScale="50" zoomScaleNormal="50" zoomScaleSheetLayoutView="88" workbookViewId="0">
      <selection activeCell="A4" sqref="A4:F49"/>
    </sheetView>
  </sheetViews>
  <sheetFormatPr defaultRowHeight="12.5"/>
  <cols>
    <col min="1" max="1" width="74.54296875" customWidth="1"/>
    <col min="2" max="2" width="100.54296875" style="1" customWidth="1"/>
    <col min="3" max="3" width="20.26953125" customWidth="1"/>
    <col min="4" max="4" width="19.453125" customWidth="1"/>
    <col min="5" max="5" width="20.7265625" customWidth="1"/>
    <col min="6" max="6" width="19.453125" customWidth="1"/>
    <col min="7" max="7" width="11.7265625" style="28" customWidth="1"/>
    <col min="8" max="8" width="12.81640625" style="28" bestFit="1" customWidth="1"/>
    <col min="9" max="9" width="11.1796875" style="28" bestFit="1" customWidth="1"/>
    <col min="10" max="10" width="10.7265625" style="28" bestFit="1" customWidth="1"/>
    <col min="11" max="19" width="9.1796875" style="28"/>
    <col min="25" max="25" width="9.26953125" bestFit="1" customWidth="1"/>
  </cols>
  <sheetData>
    <row r="1" spans="1:25" ht="15" hidden="1" customHeight="1"/>
    <row r="2" spans="1:25" ht="23" hidden="1">
      <c r="B2" s="164" t="s">
        <v>5</v>
      </c>
      <c r="C2" s="164"/>
      <c r="D2" s="164"/>
      <c r="E2" s="164"/>
      <c r="F2" s="164"/>
    </row>
    <row r="3" spans="1:25" ht="23" hidden="1">
      <c r="B3" s="165" t="s">
        <v>4</v>
      </c>
      <c r="C3" s="165"/>
      <c r="D3" s="165"/>
      <c r="E3" s="165"/>
      <c r="F3" s="165"/>
    </row>
    <row r="4" spans="1:25" s="5" customFormat="1" ht="45" customHeight="1">
      <c r="A4" s="166" t="s">
        <v>6</v>
      </c>
      <c r="B4" s="166"/>
      <c r="C4" s="166"/>
      <c r="D4" s="166"/>
      <c r="E4" s="166"/>
      <c r="F4" s="166"/>
      <c r="G4" s="29"/>
      <c r="H4" s="29"/>
      <c r="I4" s="29"/>
      <c r="J4" s="29"/>
      <c r="K4" s="29"/>
      <c r="L4" s="29"/>
      <c r="M4" s="29"/>
      <c r="N4" s="29"/>
      <c r="O4" s="29"/>
      <c r="P4" s="29"/>
      <c r="Q4" s="29"/>
      <c r="R4" s="29"/>
      <c r="S4" s="29"/>
    </row>
    <row r="5" spans="1:25" s="5" customFormat="1" ht="45" customHeight="1" thickBot="1">
      <c r="A5" s="42"/>
      <c r="B5" s="42"/>
      <c r="C5" s="42"/>
      <c r="D5" s="42"/>
      <c r="E5" s="42"/>
      <c r="F5" s="30" t="s">
        <v>52</v>
      </c>
      <c r="G5" s="30"/>
      <c r="H5" s="30"/>
      <c r="I5" s="30"/>
      <c r="J5" s="30"/>
      <c r="K5" s="30"/>
      <c r="L5" s="29"/>
      <c r="M5" s="29"/>
      <c r="N5" s="29"/>
      <c r="O5" s="29"/>
      <c r="P5" s="29"/>
      <c r="Q5" s="29"/>
      <c r="R5" s="29"/>
      <c r="S5" s="29"/>
    </row>
    <row r="6" spans="1:25" ht="25.5" customHeight="1" thickTop="1" thickBot="1">
      <c r="A6" s="167" t="s">
        <v>55</v>
      </c>
      <c r="B6" s="168"/>
      <c r="C6" s="53" t="s">
        <v>0</v>
      </c>
      <c r="D6" s="53" t="s">
        <v>1</v>
      </c>
      <c r="E6" s="53" t="s">
        <v>2</v>
      </c>
      <c r="F6" s="53" t="s">
        <v>3</v>
      </c>
      <c r="I6" s="31"/>
    </row>
    <row r="7" spans="1:25" ht="36" customHeight="1" thickTop="1" thickBot="1">
      <c r="A7" s="169"/>
      <c r="B7" s="170"/>
      <c r="C7" s="66" t="s">
        <v>61</v>
      </c>
      <c r="D7" s="66" t="s">
        <v>60</v>
      </c>
      <c r="E7" s="67" t="s">
        <v>59</v>
      </c>
      <c r="F7" s="66" t="s">
        <v>96</v>
      </c>
    </row>
    <row r="8" spans="1:25" ht="20.149999999999999" customHeight="1" thickTop="1">
      <c r="A8" s="23" t="s">
        <v>171</v>
      </c>
      <c r="B8" s="24" t="s">
        <v>7</v>
      </c>
      <c r="C8" s="47">
        <f>C9+C33+C36-C39</f>
        <v>1331160</v>
      </c>
      <c r="D8" s="47">
        <f>D9+D33+D36-D39</f>
        <v>1380101</v>
      </c>
      <c r="E8" s="47">
        <f>E9+E33+E36-E39</f>
        <v>1460464</v>
      </c>
      <c r="F8" s="47">
        <f>F9+F33+F36-F39</f>
        <v>1527378</v>
      </c>
      <c r="G8" s="32"/>
      <c r="P8" s="32"/>
      <c r="Q8" s="32"/>
      <c r="R8" s="32"/>
      <c r="S8" s="32"/>
      <c r="T8" s="4"/>
      <c r="U8" s="4"/>
      <c r="V8" s="4"/>
      <c r="W8" s="4"/>
      <c r="X8" s="4"/>
      <c r="Y8" s="4"/>
    </row>
    <row r="9" spans="1:25" s="8" customFormat="1" ht="20.149999999999999" customHeight="1">
      <c r="A9" s="21" t="s">
        <v>151</v>
      </c>
      <c r="B9" s="16" t="s">
        <v>8</v>
      </c>
      <c r="C9" s="47">
        <f>C10+C28+C29+C30+C31+C32</f>
        <v>1079675</v>
      </c>
      <c r="D9" s="47">
        <f>D10+D28+D29+D30+D31+D32</f>
        <v>1126598</v>
      </c>
      <c r="E9" s="47">
        <f>E10+E28+E29+E30+E31</f>
        <v>1211209</v>
      </c>
      <c r="F9" s="47">
        <f>F10+F28+F29+F30+F31</f>
        <v>1261141</v>
      </c>
      <c r="G9" s="33"/>
      <c r="H9" s="33"/>
      <c r="I9" s="34"/>
      <c r="J9" s="34"/>
      <c r="K9" s="34"/>
      <c r="L9" s="34"/>
      <c r="M9" s="34"/>
      <c r="N9" s="34"/>
      <c r="O9" s="34"/>
      <c r="P9" s="33"/>
      <c r="Q9" s="33"/>
      <c r="R9" s="33"/>
      <c r="S9" s="33"/>
      <c r="T9" s="9"/>
      <c r="U9" s="9"/>
      <c r="V9" s="9"/>
      <c r="W9" s="9"/>
      <c r="X9" s="9"/>
      <c r="Y9" s="9"/>
    </row>
    <row r="10" spans="1:25" s="7" customFormat="1" ht="20.149999999999999" customHeight="1">
      <c r="A10" s="18" t="s">
        <v>27</v>
      </c>
      <c r="B10" s="16" t="s">
        <v>9</v>
      </c>
      <c r="C10" s="86">
        <f>C11+C24</f>
        <v>1123701</v>
      </c>
      <c r="D10" s="86">
        <f t="shared" ref="D10:F10" si="0">D11+D24</f>
        <v>1157873</v>
      </c>
      <c r="E10" s="86">
        <f t="shared" si="0"/>
        <v>1181349</v>
      </c>
      <c r="F10" s="86">
        <f t="shared" si="0"/>
        <v>1269289</v>
      </c>
      <c r="G10" s="35"/>
      <c r="H10" s="36"/>
      <c r="I10" s="36"/>
      <c r="J10" s="36"/>
      <c r="K10" s="36"/>
      <c r="L10" s="36"/>
      <c r="M10" s="36"/>
      <c r="N10" s="36"/>
      <c r="O10" s="36"/>
      <c r="P10" s="35"/>
      <c r="Q10" s="35"/>
      <c r="R10" s="35"/>
      <c r="S10" s="35"/>
      <c r="T10" s="6"/>
      <c r="U10" s="6"/>
      <c r="V10" s="6"/>
      <c r="W10" s="6"/>
      <c r="X10" s="6"/>
      <c r="Y10" s="6"/>
    </row>
    <row r="11" spans="1:25" s="7" customFormat="1" ht="20.149999999999999" customHeight="1">
      <c r="A11" s="18" t="s">
        <v>111</v>
      </c>
      <c r="B11" s="16" t="s">
        <v>112</v>
      </c>
      <c r="C11" s="48">
        <f>C12+C13+C14+C17+C18+C19+C20+C21+C22+C23</f>
        <v>706725</v>
      </c>
      <c r="D11" s="48">
        <f t="shared" ref="D11:F11" si="1">D12+D13+D14+D17+D18+D19+D20+D21+D22+D23</f>
        <v>725254</v>
      </c>
      <c r="E11" s="48">
        <f t="shared" si="1"/>
        <v>721903</v>
      </c>
      <c r="F11" s="48">
        <f t="shared" si="1"/>
        <v>786024</v>
      </c>
      <c r="G11" s="35"/>
      <c r="H11" s="36"/>
      <c r="I11" s="36"/>
      <c r="J11" s="36"/>
      <c r="K11" s="36"/>
      <c r="L11" s="36"/>
      <c r="M11" s="36"/>
      <c r="N11" s="36"/>
      <c r="O11" s="36"/>
      <c r="P11" s="35"/>
      <c r="Q11" s="35"/>
      <c r="R11" s="35"/>
      <c r="S11" s="35"/>
      <c r="T11" s="6"/>
      <c r="U11" s="6"/>
      <c r="V11" s="6"/>
      <c r="W11" s="6"/>
      <c r="X11" s="6"/>
      <c r="Y11" s="6"/>
    </row>
    <row r="12" spans="1:25" s="7" customFormat="1" ht="20.149999999999999" customHeight="1">
      <c r="A12" s="20" t="s">
        <v>28</v>
      </c>
      <c r="B12" s="11" t="s">
        <v>10</v>
      </c>
      <c r="C12" s="49">
        <v>178830</v>
      </c>
      <c r="D12" s="49">
        <v>178830</v>
      </c>
      <c r="E12" s="49">
        <v>178830</v>
      </c>
      <c r="F12" s="49">
        <v>238830</v>
      </c>
      <c r="G12" s="36"/>
      <c r="H12" s="35"/>
      <c r="I12" s="36"/>
      <c r="J12" s="36"/>
      <c r="K12" s="36"/>
      <c r="L12" s="36"/>
      <c r="M12" s="36"/>
      <c r="N12" s="36"/>
      <c r="O12" s="36"/>
      <c r="P12" s="35"/>
      <c r="Q12" s="35"/>
      <c r="R12" s="35"/>
      <c r="S12" s="35"/>
      <c r="T12" s="6"/>
      <c r="U12" s="6"/>
      <c r="V12" s="6"/>
      <c r="W12" s="6"/>
      <c r="X12" s="6"/>
      <c r="Y12" s="6"/>
    </row>
    <row r="13" spans="1:25" s="8" customFormat="1" ht="20.149999999999999" customHeight="1">
      <c r="A13" s="19" t="s">
        <v>29</v>
      </c>
      <c r="B13" s="11" t="s">
        <v>11</v>
      </c>
      <c r="C13" s="49">
        <v>4000</v>
      </c>
      <c r="D13" s="49">
        <v>4000</v>
      </c>
      <c r="E13" s="49">
        <v>0</v>
      </c>
      <c r="F13" s="49">
        <v>0</v>
      </c>
      <c r="G13" s="34"/>
      <c r="H13" s="33"/>
      <c r="I13" s="34"/>
      <c r="J13" s="34"/>
      <c r="K13" s="34"/>
      <c r="L13" s="34"/>
      <c r="M13" s="34"/>
      <c r="N13" s="34"/>
      <c r="O13" s="34"/>
      <c r="P13" s="33"/>
      <c r="Q13" s="33"/>
      <c r="R13" s="33"/>
      <c r="S13" s="33"/>
      <c r="T13" s="9"/>
      <c r="U13" s="9"/>
      <c r="V13" s="9"/>
      <c r="W13" s="9"/>
      <c r="X13" s="9"/>
      <c r="Y13" s="9"/>
    </row>
    <row r="14" spans="1:25" s="7" customFormat="1" ht="20.149999999999999" customHeight="1">
      <c r="A14" s="108" t="s">
        <v>30</v>
      </c>
      <c r="B14" s="11" t="s">
        <v>84</v>
      </c>
      <c r="C14" s="49">
        <f>C15+C16</f>
        <v>3801</v>
      </c>
      <c r="D14" s="49">
        <f t="shared" ref="D14:F14" si="2">D15+D16</f>
        <v>3696</v>
      </c>
      <c r="E14" s="49">
        <f t="shared" si="2"/>
        <v>4005</v>
      </c>
      <c r="F14" s="49">
        <f t="shared" si="2"/>
        <v>5539</v>
      </c>
      <c r="G14" s="36"/>
      <c r="H14" s="33"/>
      <c r="I14" s="36"/>
      <c r="J14" s="36"/>
      <c r="K14" s="36"/>
      <c r="L14" s="36"/>
      <c r="M14" s="36"/>
      <c r="N14" s="36"/>
      <c r="O14" s="36"/>
      <c r="P14" s="35"/>
      <c r="Q14" s="35"/>
      <c r="R14" s="35"/>
      <c r="S14" s="35"/>
      <c r="T14" s="6"/>
      <c r="U14" s="6"/>
      <c r="V14" s="6"/>
      <c r="W14" s="6"/>
      <c r="X14" s="6"/>
      <c r="Y14" s="6"/>
    </row>
    <row r="15" spans="1:25" s="7" customFormat="1" ht="19.5" customHeight="1">
      <c r="A15" s="101" t="s">
        <v>31</v>
      </c>
      <c r="B15" s="12" t="s">
        <v>12</v>
      </c>
      <c r="C15" s="49">
        <v>3801</v>
      </c>
      <c r="D15" s="49">
        <v>3696</v>
      </c>
      <c r="E15" s="49">
        <v>4005</v>
      </c>
      <c r="F15" s="49">
        <v>5539</v>
      </c>
      <c r="G15" s="36"/>
      <c r="H15" s="33"/>
      <c r="I15" s="36"/>
      <c r="J15" s="36"/>
      <c r="K15" s="36"/>
      <c r="L15" s="36"/>
      <c r="M15" s="36"/>
      <c r="N15" s="36"/>
      <c r="O15" s="36"/>
      <c r="P15" s="35"/>
      <c r="Q15" s="35"/>
      <c r="R15" s="35"/>
      <c r="S15" s="35"/>
      <c r="T15" s="6"/>
      <c r="U15" s="6"/>
      <c r="V15" s="6"/>
      <c r="W15" s="6"/>
      <c r="X15" s="6"/>
      <c r="Y15" s="6"/>
    </row>
    <row r="16" spans="1:25" ht="20.149999999999999" customHeight="1">
      <c r="A16" s="101" t="s">
        <v>32</v>
      </c>
      <c r="B16" s="12" t="s">
        <v>13</v>
      </c>
      <c r="C16" s="49">
        <v>0</v>
      </c>
      <c r="D16" s="49">
        <v>0</v>
      </c>
      <c r="E16" s="49">
        <v>0</v>
      </c>
      <c r="F16" s="49">
        <v>0</v>
      </c>
      <c r="P16" s="32"/>
      <c r="Q16" s="32"/>
      <c r="R16" s="32"/>
      <c r="S16" s="32"/>
      <c r="T16" s="4"/>
      <c r="U16" s="4"/>
      <c r="V16" s="4"/>
      <c r="W16" s="4"/>
      <c r="X16" s="4"/>
      <c r="Y16" s="4"/>
    </row>
    <row r="17" spans="1:25" ht="20.149999999999999" customHeight="1">
      <c r="A17" s="10" t="s">
        <v>33</v>
      </c>
      <c r="B17" s="13" t="s">
        <v>14</v>
      </c>
      <c r="C17" s="49">
        <v>296567</v>
      </c>
      <c r="D17" s="49">
        <v>312317</v>
      </c>
      <c r="E17" s="49">
        <v>312817</v>
      </c>
      <c r="F17" s="49">
        <v>315478</v>
      </c>
      <c r="P17" s="32"/>
      <c r="Q17" s="32"/>
      <c r="R17" s="32"/>
      <c r="S17" s="32"/>
      <c r="T17" s="4"/>
      <c r="U17" s="4"/>
      <c r="V17" s="4"/>
      <c r="W17" s="4"/>
      <c r="X17" s="4"/>
      <c r="Y17" s="4"/>
    </row>
    <row r="18" spans="1:25" ht="20.149999999999999" customHeight="1">
      <c r="A18" s="10" t="s">
        <v>34</v>
      </c>
      <c r="B18" s="13" t="s">
        <v>15</v>
      </c>
      <c r="C18" s="49">
        <v>2000</v>
      </c>
      <c r="D18" s="49">
        <v>2000</v>
      </c>
      <c r="E18" s="49">
        <v>2000</v>
      </c>
      <c r="F18" s="49">
        <v>2000</v>
      </c>
      <c r="I18" s="32"/>
      <c r="P18" s="32"/>
      <c r="Q18" s="32"/>
      <c r="R18" s="32"/>
      <c r="S18" s="32"/>
      <c r="T18" s="4"/>
      <c r="U18" s="4"/>
      <c r="V18" s="4"/>
      <c r="W18" s="4"/>
      <c r="X18" s="4"/>
      <c r="Y18" s="4"/>
    </row>
    <row r="19" spans="1:25" s="3" customFormat="1" ht="20.149999999999999" customHeight="1">
      <c r="A19" s="10" t="s">
        <v>35</v>
      </c>
      <c r="B19" s="13" t="s">
        <v>16</v>
      </c>
      <c r="C19" s="49">
        <v>115</v>
      </c>
      <c r="D19" s="49">
        <v>106</v>
      </c>
      <c r="E19" s="49">
        <v>106</v>
      </c>
      <c r="F19" s="49">
        <v>106</v>
      </c>
      <c r="G19" s="37"/>
      <c r="H19" s="37"/>
      <c r="I19" s="38"/>
      <c r="J19" s="38"/>
      <c r="K19" s="37"/>
      <c r="L19" s="37"/>
      <c r="M19" s="37"/>
      <c r="N19" s="37"/>
      <c r="O19" s="37"/>
      <c r="P19" s="32"/>
      <c r="Q19" s="32"/>
      <c r="R19" s="32"/>
      <c r="S19" s="32"/>
      <c r="T19" s="4"/>
      <c r="U19" s="4"/>
      <c r="V19" s="4"/>
      <c r="W19" s="4"/>
      <c r="X19" s="4"/>
      <c r="Y19" s="4"/>
    </row>
    <row r="20" spans="1:25" ht="20.149999999999999" customHeight="1">
      <c r="A20" s="10" t="s">
        <v>46</v>
      </c>
      <c r="B20" s="13" t="s">
        <v>17</v>
      </c>
      <c r="C20" s="49">
        <v>0</v>
      </c>
      <c r="D20" s="49">
        <v>0</v>
      </c>
      <c r="E20" s="49">
        <v>0</v>
      </c>
      <c r="F20" s="49">
        <v>0</v>
      </c>
      <c r="H20" s="39"/>
      <c r="I20" s="32"/>
      <c r="P20" s="32"/>
      <c r="Q20" s="32"/>
      <c r="R20" s="32"/>
      <c r="S20" s="32"/>
      <c r="T20" s="4"/>
      <c r="U20" s="4"/>
      <c r="V20" s="4"/>
      <c r="W20" s="4"/>
      <c r="X20" s="4"/>
      <c r="Y20" s="4"/>
    </row>
    <row r="21" spans="1:25" ht="19.5" customHeight="1">
      <c r="A21" s="10" t="s">
        <v>36</v>
      </c>
      <c r="B21" s="13" t="s">
        <v>18</v>
      </c>
      <c r="C21" s="49">
        <v>1905</v>
      </c>
      <c r="D21" s="49">
        <v>1912</v>
      </c>
      <c r="E21" s="49">
        <v>1912</v>
      </c>
      <c r="F21" s="49">
        <v>1998</v>
      </c>
      <c r="J21" s="32"/>
      <c r="P21" s="32"/>
      <c r="Q21" s="32"/>
      <c r="R21" s="32"/>
      <c r="S21" s="32"/>
      <c r="T21" s="4"/>
      <c r="U21" s="4"/>
      <c r="V21" s="4"/>
      <c r="W21" s="4"/>
      <c r="X21" s="4"/>
      <c r="Y21" s="4"/>
    </row>
    <row r="22" spans="1:25" ht="20.149999999999999" customHeight="1">
      <c r="A22" s="10" t="s">
        <v>142</v>
      </c>
      <c r="B22" s="13" t="s">
        <v>19</v>
      </c>
      <c r="C22" s="49">
        <v>219507</v>
      </c>
      <c r="D22" s="49">
        <v>219507</v>
      </c>
      <c r="E22" s="49">
        <v>219507</v>
      </c>
      <c r="F22" s="49">
        <v>219507</v>
      </c>
      <c r="H22" s="32"/>
      <c r="P22" s="32"/>
      <c r="Q22" s="32"/>
      <c r="R22" s="32"/>
      <c r="S22" s="32"/>
      <c r="T22" s="4"/>
      <c r="U22" s="4"/>
      <c r="V22" s="4"/>
      <c r="W22" s="4"/>
      <c r="X22" s="4"/>
      <c r="Y22" s="4"/>
    </row>
    <row r="23" spans="1:25" ht="20.149999999999999" customHeight="1">
      <c r="A23" s="76" t="s">
        <v>37</v>
      </c>
      <c r="B23" s="13" t="s">
        <v>20</v>
      </c>
      <c r="C23" s="49">
        <v>0</v>
      </c>
      <c r="D23" s="49">
        <v>2886</v>
      </c>
      <c r="E23" s="49">
        <v>2726</v>
      </c>
      <c r="F23" s="49">
        <v>2566</v>
      </c>
      <c r="P23" s="32"/>
      <c r="Q23" s="32"/>
      <c r="R23" s="32"/>
      <c r="S23" s="32"/>
      <c r="T23" s="4"/>
      <c r="U23" s="4"/>
      <c r="V23" s="4"/>
      <c r="W23" s="4"/>
      <c r="X23" s="4"/>
      <c r="Y23" s="4"/>
    </row>
    <row r="24" spans="1:25" ht="20.149999999999999" customHeight="1">
      <c r="A24" s="77" t="s">
        <v>38</v>
      </c>
      <c r="B24" s="78" t="s">
        <v>21</v>
      </c>
      <c r="C24" s="47">
        <f t="shared" ref="C24:F24" si="3">C25+C26+C27</f>
        <v>416976</v>
      </c>
      <c r="D24" s="47">
        <f t="shared" si="3"/>
        <v>432619</v>
      </c>
      <c r="E24" s="47">
        <f t="shared" si="3"/>
        <v>459446</v>
      </c>
      <c r="F24" s="47">
        <f t="shared" si="3"/>
        <v>483265</v>
      </c>
      <c r="H24" s="32"/>
      <c r="P24" s="32"/>
      <c r="Q24" s="32"/>
      <c r="R24" s="32"/>
      <c r="S24" s="32"/>
      <c r="T24" s="4"/>
      <c r="U24" s="4"/>
      <c r="V24" s="4"/>
      <c r="W24" s="4"/>
      <c r="X24" s="4"/>
      <c r="Y24" s="4"/>
    </row>
    <row r="25" spans="1:25" ht="20.149999999999999" customHeight="1">
      <c r="A25" s="110" t="s">
        <v>32</v>
      </c>
      <c r="B25" s="25" t="s">
        <v>13</v>
      </c>
      <c r="C25" s="49">
        <v>377555</v>
      </c>
      <c r="D25" s="49">
        <v>383742</v>
      </c>
      <c r="E25" s="49">
        <v>406106</v>
      </c>
      <c r="F25" s="49">
        <v>425847</v>
      </c>
      <c r="K25" s="32"/>
      <c r="P25" s="32"/>
      <c r="Q25" s="32"/>
      <c r="R25" s="32"/>
      <c r="S25" s="32"/>
      <c r="T25" s="4"/>
      <c r="U25" s="4"/>
      <c r="V25" s="4"/>
      <c r="W25" s="4"/>
      <c r="X25" s="4"/>
      <c r="Y25" s="4"/>
    </row>
    <row r="26" spans="1:25" ht="20.149999999999999" customHeight="1">
      <c r="A26" s="110" t="s">
        <v>31</v>
      </c>
      <c r="B26" s="25" t="s">
        <v>12</v>
      </c>
      <c r="C26" s="49">
        <v>35407</v>
      </c>
      <c r="D26" s="49">
        <v>39282</v>
      </c>
      <c r="E26" s="49">
        <v>43311</v>
      </c>
      <c r="F26" s="49">
        <v>46914</v>
      </c>
      <c r="J26" s="32"/>
      <c r="P26" s="32"/>
      <c r="Q26" s="32"/>
      <c r="R26" s="32"/>
      <c r="S26" s="32"/>
      <c r="T26" s="4"/>
      <c r="U26" s="4"/>
      <c r="V26" s="4"/>
      <c r="W26" s="4"/>
      <c r="X26" s="4"/>
      <c r="Y26" s="4"/>
    </row>
    <row r="27" spans="1:25" ht="20.149999999999999" customHeight="1">
      <c r="A27" s="102" t="s">
        <v>135</v>
      </c>
      <c r="B27" s="25" t="s">
        <v>22</v>
      </c>
      <c r="C27" s="68">
        <v>4014</v>
      </c>
      <c r="D27" s="68">
        <v>9595</v>
      </c>
      <c r="E27" s="68">
        <v>10029</v>
      </c>
      <c r="F27" s="68">
        <v>10504</v>
      </c>
      <c r="H27" s="32"/>
      <c r="P27" s="32"/>
      <c r="Q27" s="32"/>
      <c r="R27" s="32"/>
      <c r="S27" s="32"/>
      <c r="T27" s="4"/>
      <c r="U27" s="4"/>
      <c r="V27" s="4"/>
      <c r="W27" s="4"/>
      <c r="X27" s="4"/>
      <c r="Y27" s="4"/>
    </row>
    <row r="28" spans="1:25" s="2" customFormat="1" ht="20.149999999999999" customHeight="1">
      <c r="A28" s="17" t="s">
        <v>39</v>
      </c>
      <c r="B28" s="16" t="s">
        <v>23</v>
      </c>
      <c r="C28" s="47">
        <v>24756</v>
      </c>
      <c r="D28" s="47">
        <v>25578</v>
      </c>
      <c r="E28" s="47">
        <v>26308</v>
      </c>
      <c r="F28" s="47">
        <v>25348</v>
      </c>
      <c r="G28" s="40"/>
      <c r="H28" s="40"/>
      <c r="I28" s="40"/>
      <c r="J28" s="40"/>
      <c r="K28" s="40"/>
      <c r="L28" s="40"/>
      <c r="M28" s="40"/>
      <c r="N28" s="40"/>
      <c r="O28" s="40"/>
      <c r="P28" s="32"/>
      <c r="Q28" s="32"/>
      <c r="R28" s="32"/>
      <c r="S28" s="32"/>
      <c r="T28" s="4"/>
      <c r="U28" s="4"/>
      <c r="V28" s="4"/>
      <c r="W28" s="4"/>
      <c r="X28" s="4"/>
      <c r="Y28" s="4"/>
    </row>
    <row r="29" spans="1:25" ht="20.149999999999999" customHeight="1">
      <c r="A29" s="17" t="s">
        <v>40</v>
      </c>
      <c r="B29" s="16" t="s">
        <v>24</v>
      </c>
      <c r="C29" s="47">
        <v>1525</v>
      </c>
      <c r="D29" s="47">
        <v>1225</v>
      </c>
      <c r="E29" s="47">
        <v>1225</v>
      </c>
      <c r="F29" s="47">
        <v>1225</v>
      </c>
      <c r="P29" s="32"/>
      <c r="Q29" s="32"/>
      <c r="R29" s="32"/>
      <c r="S29" s="32"/>
      <c r="T29" s="4"/>
      <c r="U29" s="4"/>
      <c r="V29" s="4"/>
      <c r="W29" s="4"/>
      <c r="X29" s="4"/>
      <c r="Y29" s="4"/>
    </row>
    <row r="30" spans="1:25" ht="21" customHeight="1">
      <c r="A30" s="18" t="s">
        <v>137</v>
      </c>
      <c r="B30" s="16" t="s">
        <v>103</v>
      </c>
      <c r="C30" s="47">
        <v>627</v>
      </c>
      <c r="D30" s="47">
        <v>986</v>
      </c>
      <c r="E30" s="47">
        <v>1231</v>
      </c>
      <c r="F30" s="47">
        <v>1421</v>
      </c>
      <c r="I30" s="32"/>
      <c r="P30" s="32"/>
      <c r="Q30" s="32"/>
      <c r="R30" s="32"/>
      <c r="S30" s="32"/>
      <c r="T30" s="4"/>
      <c r="U30" s="4"/>
      <c r="V30" s="4"/>
      <c r="W30" s="4"/>
      <c r="X30" s="4"/>
      <c r="Y30" s="4"/>
    </row>
    <row r="31" spans="1:25" ht="20.149999999999999" customHeight="1">
      <c r="A31" s="18" t="s">
        <v>41</v>
      </c>
      <c r="B31" s="16" t="s">
        <v>25</v>
      </c>
      <c r="C31" s="47">
        <v>-70934</v>
      </c>
      <c r="D31" s="47">
        <v>-59064</v>
      </c>
      <c r="E31" s="47">
        <v>1096</v>
      </c>
      <c r="F31" s="47">
        <v>-36142</v>
      </c>
      <c r="P31" s="32"/>
      <c r="Q31" s="32"/>
      <c r="R31" s="32"/>
      <c r="S31" s="32"/>
      <c r="T31" s="4"/>
      <c r="U31" s="4"/>
      <c r="V31" s="4"/>
      <c r="W31" s="4"/>
      <c r="X31" s="4"/>
      <c r="Y31" s="4"/>
    </row>
    <row r="32" spans="1:25" ht="19.5" customHeight="1">
      <c r="A32" s="18" t="s">
        <v>104</v>
      </c>
      <c r="B32" s="16" t="s">
        <v>105</v>
      </c>
      <c r="C32" s="47">
        <v>0</v>
      </c>
      <c r="D32" s="47">
        <v>0</v>
      </c>
      <c r="E32" s="47">
        <v>0</v>
      </c>
      <c r="F32" s="47">
        <v>0</v>
      </c>
      <c r="P32" s="32"/>
      <c r="Q32" s="32"/>
      <c r="R32" s="32"/>
      <c r="S32" s="32"/>
      <c r="T32" s="4"/>
      <c r="U32" s="4"/>
      <c r="V32" s="4"/>
      <c r="W32" s="4"/>
      <c r="X32" s="4"/>
      <c r="Y32" s="4"/>
    </row>
    <row r="33" spans="1:25" ht="20.149999999999999" customHeight="1">
      <c r="A33" s="17" t="s">
        <v>148</v>
      </c>
      <c r="B33" s="115" t="s">
        <v>150</v>
      </c>
      <c r="C33" s="47">
        <f t="shared" ref="C33:F33" si="4">C34+C35</f>
        <v>66393</v>
      </c>
      <c r="D33" s="47">
        <f t="shared" si="4"/>
        <v>68885</v>
      </c>
      <c r="E33" s="47">
        <f t="shared" si="4"/>
        <v>63747</v>
      </c>
      <c r="F33" s="47">
        <f t="shared" si="4"/>
        <v>63256</v>
      </c>
      <c r="H33" s="32"/>
      <c r="P33" s="32"/>
      <c r="Q33" s="32"/>
      <c r="R33" s="32"/>
      <c r="S33" s="32"/>
      <c r="T33" s="4"/>
      <c r="U33" s="4"/>
      <c r="V33" s="4"/>
      <c r="W33" s="4"/>
      <c r="X33" s="4"/>
      <c r="Y33" s="4"/>
    </row>
    <row r="34" spans="1:25" ht="23.25" customHeight="1">
      <c r="A34" s="111" t="s">
        <v>160</v>
      </c>
      <c r="B34" s="14" t="s">
        <v>161</v>
      </c>
      <c r="C34" s="49">
        <v>12526</v>
      </c>
      <c r="D34" s="49">
        <v>13863</v>
      </c>
      <c r="E34" s="49">
        <v>9475</v>
      </c>
      <c r="F34" s="49">
        <v>11943</v>
      </c>
      <c r="G34" s="32"/>
      <c r="P34" s="32"/>
      <c r="Q34" s="32"/>
      <c r="R34" s="32"/>
      <c r="S34" s="32"/>
      <c r="T34" s="4"/>
      <c r="U34" s="4"/>
      <c r="V34" s="4"/>
      <c r="W34" s="4"/>
      <c r="X34" s="4"/>
      <c r="Y34" s="4"/>
    </row>
    <row r="35" spans="1:25" ht="21.75" customHeight="1">
      <c r="A35" s="112" t="s">
        <v>162</v>
      </c>
      <c r="B35" s="14" t="s">
        <v>163</v>
      </c>
      <c r="C35" s="49">
        <v>53867</v>
      </c>
      <c r="D35" s="49">
        <v>55022</v>
      </c>
      <c r="E35" s="49">
        <v>54272</v>
      </c>
      <c r="F35" s="49">
        <v>51313</v>
      </c>
      <c r="G35" s="32"/>
      <c r="P35" s="32"/>
      <c r="Q35" s="32"/>
      <c r="R35" s="32"/>
      <c r="S35" s="32"/>
      <c r="T35" s="4"/>
      <c r="U35" s="4"/>
      <c r="V35" s="4"/>
      <c r="W35" s="4"/>
      <c r="X35" s="4"/>
      <c r="Y35" s="4"/>
    </row>
    <row r="36" spans="1:25" ht="20.149999999999999" customHeight="1">
      <c r="A36" s="17" t="s">
        <v>42</v>
      </c>
      <c r="B36" s="115" t="s">
        <v>146</v>
      </c>
      <c r="C36" s="47">
        <f t="shared" ref="C36:F36" si="5">C37-C38</f>
        <v>252248</v>
      </c>
      <c r="D36" s="47">
        <f t="shared" si="5"/>
        <v>253143</v>
      </c>
      <c r="E36" s="47">
        <f t="shared" si="5"/>
        <v>252588</v>
      </c>
      <c r="F36" s="47">
        <f t="shared" si="5"/>
        <v>266595</v>
      </c>
      <c r="P36" s="32"/>
      <c r="Q36" s="32"/>
      <c r="R36" s="32"/>
      <c r="S36" s="32"/>
      <c r="T36" s="4"/>
      <c r="U36" s="4"/>
      <c r="V36" s="4"/>
      <c r="W36" s="4"/>
      <c r="X36" s="4"/>
      <c r="Y36" s="4"/>
    </row>
    <row r="37" spans="1:25" ht="19.5" customHeight="1">
      <c r="A37" s="111" t="s">
        <v>43</v>
      </c>
      <c r="B37" s="11" t="s">
        <v>149</v>
      </c>
      <c r="C37" s="49">
        <v>253950</v>
      </c>
      <c r="D37" s="49">
        <v>254740</v>
      </c>
      <c r="E37" s="49">
        <v>254135</v>
      </c>
      <c r="F37" s="49">
        <v>268388</v>
      </c>
    </row>
    <row r="38" spans="1:25" ht="24" customHeight="1">
      <c r="A38" s="112" t="s">
        <v>143</v>
      </c>
      <c r="B38" s="11" t="s">
        <v>26</v>
      </c>
      <c r="C38" s="49">
        <v>1702</v>
      </c>
      <c r="D38" s="49">
        <v>1597</v>
      </c>
      <c r="E38" s="49">
        <v>1547</v>
      </c>
      <c r="F38" s="49">
        <v>1793</v>
      </c>
    </row>
    <row r="39" spans="1:25" ht="20.25" customHeight="1">
      <c r="A39" s="17" t="s">
        <v>44</v>
      </c>
      <c r="B39" s="16" t="s">
        <v>145</v>
      </c>
      <c r="C39" s="47">
        <f>SUM(C40:C42)</f>
        <v>67156</v>
      </c>
      <c r="D39" s="47">
        <f>SUM(D40:D42)</f>
        <v>68525</v>
      </c>
      <c r="E39" s="47">
        <v>67080</v>
      </c>
      <c r="F39" s="47">
        <f>F40+F42</f>
        <v>63614</v>
      </c>
    </row>
    <row r="40" spans="1:25" ht="26.25" customHeight="1">
      <c r="A40" s="111" t="s">
        <v>45</v>
      </c>
      <c r="B40" s="84" t="s">
        <v>165</v>
      </c>
      <c r="C40" s="49">
        <v>13289</v>
      </c>
      <c r="D40" s="49">
        <v>13503</v>
      </c>
      <c r="E40" s="49">
        <v>12808</v>
      </c>
      <c r="F40" s="49">
        <v>12301</v>
      </c>
    </row>
    <row r="41" spans="1:25" ht="25.5" customHeight="1">
      <c r="A41" s="113" t="s">
        <v>47</v>
      </c>
      <c r="B41" s="80" t="s">
        <v>169</v>
      </c>
      <c r="C41" s="49">
        <v>0</v>
      </c>
      <c r="D41" s="49">
        <v>0</v>
      </c>
      <c r="E41" s="49">
        <v>0</v>
      </c>
      <c r="F41" s="49">
        <v>0</v>
      </c>
    </row>
    <row r="42" spans="1:25" ht="24.75" customHeight="1">
      <c r="A42" s="114" t="s">
        <v>144</v>
      </c>
      <c r="B42" s="81" t="s">
        <v>167</v>
      </c>
      <c r="C42" s="50">
        <v>53867</v>
      </c>
      <c r="D42" s="50">
        <v>55022</v>
      </c>
      <c r="E42" s="50">
        <v>54272</v>
      </c>
      <c r="F42" s="50">
        <v>51313</v>
      </c>
    </row>
    <row r="43" spans="1:25" ht="15.5">
      <c r="A43" s="27" t="s">
        <v>49</v>
      </c>
      <c r="B43" s="43"/>
      <c r="C43" s="27"/>
      <c r="D43" s="27"/>
      <c r="E43" s="27"/>
      <c r="F43" s="27"/>
      <c r="G43" s="54"/>
      <c r="H43" s="54"/>
      <c r="I43" s="54"/>
      <c r="J43" s="54"/>
      <c r="K43" s="54"/>
      <c r="L43" s="45"/>
      <c r="M43" s="45"/>
      <c r="N43" s="45"/>
      <c r="O43" s="45"/>
      <c r="P43" s="45"/>
      <c r="Q43"/>
      <c r="R43"/>
      <c r="S43"/>
    </row>
    <row r="44" spans="1:25" ht="15.5">
      <c r="A44" s="27" t="s">
        <v>50</v>
      </c>
      <c r="B44" s="43"/>
      <c r="C44" s="27"/>
      <c r="D44" s="27"/>
      <c r="E44" s="27"/>
      <c r="F44" s="27"/>
      <c r="G44" s="54"/>
      <c r="H44" s="54"/>
      <c r="I44" s="54"/>
      <c r="J44" s="54"/>
      <c r="K44" s="54"/>
      <c r="L44" s="45"/>
      <c r="M44" s="45"/>
      <c r="N44" s="45"/>
      <c r="O44" s="45"/>
      <c r="P44" s="45"/>
      <c r="Q44"/>
      <c r="R44"/>
      <c r="S44"/>
    </row>
    <row r="45" spans="1:25" ht="15.5">
      <c r="A45" s="27" t="s">
        <v>85</v>
      </c>
      <c r="B45" s="43"/>
      <c r="C45" s="27"/>
      <c r="D45" s="27"/>
      <c r="E45" s="27"/>
      <c r="F45" s="27"/>
      <c r="G45" s="54"/>
      <c r="H45" s="54"/>
      <c r="I45" s="54"/>
      <c r="J45" s="54"/>
      <c r="K45" s="54"/>
      <c r="L45" s="45"/>
      <c r="M45" s="45"/>
      <c r="N45" s="45"/>
      <c r="O45" s="45"/>
      <c r="P45" s="45"/>
      <c r="Q45"/>
      <c r="R45"/>
      <c r="S45"/>
    </row>
    <row r="46" spans="1:25" ht="15.5">
      <c r="A46" s="27" t="s">
        <v>53</v>
      </c>
      <c r="B46" s="43"/>
      <c r="C46" s="27"/>
      <c r="D46" s="27"/>
      <c r="E46" s="27"/>
      <c r="F46" s="27"/>
      <c r="G46" s="54"/>
      <c r="H46" s="54"/>
      <c r="I46" s="54"/>
      <c r="J46" s="54"/>
      <c r="K46" s="54"/>
      <c r="L46" s="45"/>
      <c r="M46" s="45"/>
      <c r="N46" s="45"/>
      <c r="O46" s="45"/>
      <c r="P46" s="45"/>
      <c r="Q46"/>
      <c r="R46"/>
      <c r="S46"/>
    </row>
    <row r="47" spans="1:25" ht="15.5">
      <c r="A47" s="27" t="s">
        <v>86</v>
      </c>
      <c r="B47" s="43"/>
      <c r="C47" s="27"/>
      <c r="D47" s="27"/>
      <c r="E47" s="27"/>
      <c r="F47" s="27"/>
      <c r="G47" s="54"/>
      <c r="H47" s="54"/>
      <c r="I47" s="54"/>
      <c r="J47" s="54"/>
      <c r="K47" s="54"/>
      <c r="L47" s="45"/>
      <c r="M47" s="45"/>
      <c r="N47" s="45"/>
      <c r="O47" s="45"/>
      <c r="P47" s="45"/>
      <c r="Q47"/>
      <c r="R47"/>
      <c r="S47"/>
    </row>
    <row r="48" spans="1:25" ht="15.5">
      <c r="A48" s="27" t="s">
        <v>54</v>
      </c>
      <c r="B48" s="43"/>
      <c r="C48" s="27"/>
      <c r="D48" s="27"/>
      <c r="E48" s="27"/>
      <c r="F48" s="27"/>
      <c r="G48" s="54"/>
      <c r="H48" s="54"/>
      <c r="I48" s="54"/>
      <c r="J48" s="54"/>
      <c r="K48" s="54"/>
      <c r="L48" s="45"/>
      <c r="M48" s="45"/>
      <c r="N48" s="45"/>
      <c r="O48" s="45"/>
      <c r="P48" s="45"/>
      <c r="Q48"/>
      <c r="R48"/>
      <c r="S48"/>
    </row>
    <row r="49" spans="1:19" ht="15.5">
      <c r="A49" s="27" t="s">
        <v>87</v>
      </c>
      <c r="B49" s="43"/>
      <c r="C49" s="27"/>
      <c r="D49" s="27"/>
      <c r="E49" s="27"/>
      <c r="F49" s="27"/>
      <c r="G49" s="54"/>
      <c r="H49" s="54"/>
      <c r="I49" s="54"/>
      <c r="J49" s="54"/>
      <c r="K49" s="54"/>
      <c r="L49" s="45"/>
      <c r="M49" s="45"/>
      <c r="N49" s="45"/>
      <c r="O49" s="45"/>
      <c r="P49" s="45"/>
      <c r="Q49"/>
      <c r="R49"/>
      <c r="S49"/>
    </row>
    <row r="50" spans="1:19">
      <c r="G50" s="45"/>
      <c r="H50" s="45"/>
      <c r="I50" s="45"/>
      <c r="J50" s="45"/>
      <c r="K50" s="45"/>
    </row>
    <row r="51" spans="1:19">
      <c r="G51" s="45"/>
      <c r="H51" s="45"/>
      <c r="I51" s="45"/>
      <c r="J51" s="45"/>
      <c r="K51" s="45"/>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2"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52"/>
  <sheetViews>
    <sheetView topLeftCell="A13" zoomScale="40" zoomScaleNormal="40" zoomScaleSheetLayoutView="88" workbookViewId="0">
      <selection activeCell="A4" sqref="A4:F50"/>
    </sheetView>
  </sheetViews>
  <sheetFormatPr defaultRowHeight="12.5"/>
  <cols>
    <col min="1" max="1" width="74.54296875" customWidth="1"/>
    <col min="2" max="2" width="100.54296875" style="1" customWidth="1"/>
    <col min="3" max="3" width="20.26953125" customWidth="1"/>
    <col min="4" max="4" width="19.453125" customWidth="1"/>
    <col min="5" max="5" width="20.7265625" customWidth="1"/>
    <col min="6" max="6" width="19.453125" customWidth="1"/>
    <col min="7" max="7" width="11.7265625" style="28" customWidth="1"/>
    <col min="8" max="8" width="12.81640625" style="28" bestFit="1" customWidth="1"/>
    <col min="9" max="9" width="11.1796875" style="28" bestFit="1" customWidth="1"/>
    <col min="10" max="10" width="10.7265625" style="28" bestFit="1" customWidth="1"/>
    <col min="11" max="19" width="9.1796875" style="28"/>
    <col min="25" max="25" width="9.26953125" bestFit="1" customWidth="1"/>
  </cols>
  <sheetData>
    <row r="1" spans="1:25" ht="15" hidden="1" customHeight="1"/>
    <row r="2" spans="1:25" ht="23" hidden="1">
      <c r="B2" s="164" t="s">
        <v>5</v>
      </c>
      <c r="C2" s="164"/>
      <c r="D2" s="164"/>
      <c r="E2" s="164"/>
      <c r="F2" s="164"/>
    </row>
    <row r="3" spans="1:25" ht="23" hidden="1">
      <c r="B3" s="165" t="s">
        <v>4</v>
      </c>
      <c r="C3" s="165"/>
      <c r="D3" s="165"/>
      <c r="E3" s="165"/>
      <c r="F3" s="165"/>
    </row>
    <row r="4" spans="1:25" s="5" customFormat="1" ht="45" customHeight="1">
      <c r="A4" s="166" t="s">
        <v>6</v>
      </c>
      <c r="B4" s="166"/>
      <c r="C4" s="166"/>
      <c r="D4" s="166"/>
      <c r="E4" s="166"/>
      <c r="F4" s="166"/>
      <c r="G4" s="29"/>
      <c r="H4" s="29"/>
      <c r="I4" s="29"/>
      <c r="J4" s="29"/>
      <c r="K4" s="29"/>
      <c r="L4" s="29"/>
      <c r="M4" s="29"/>
      <c r="N4" s="29"/>
      <c r="O4" s="29"/>
      <c r="P4" s="29"/>
      <c r="Q4" s="29"/>
      <c r="R4" s="29"/>
      <c r="S4" s="29"/>
    </row>
    <row r="5" spans="1:25" s="5" customFormat="1" ht="45" customHeight="1" thickBot="1">
      <c r="A5" s="65"/>
      <c r="B5" s="65"/>
      <c r="C5" s="65"/>
      <c r="D5" s="65"/>
      <c r="E5" s="65"/>
      <c r="F5" s="30" t="s">
        <v>52</v>
      </c>
      <c r="G5" s="30"/>
      <c r="H5" s="30"/>
      <c r="I5" s="30"/>
      <c r="J5" s="30"/>
      <c r="K5" s="30"/>
      <c r="L5" s="29"/>
      <c r="M5" s="29"/>
      <c r="N5" s="29"/>
      <c r="O5" s="29"/>
      <c r="P5" s="29"/>
      <c r="Q5" s="29"/>
      <c r="R5" s="29"/>
      <c r="S5" s="29"/>
    </row>
    <row r="6" spans="1:25" ht="25.5" customHeight="1" thickTop="1" thickBot="1">
      <c r="A6" s="167" t="s">
        <v>55</v>
      </c>
      <c r="B6" s="168"/>
      <c r="C6" s="53" t="s">
        <v>0</v>
      </c>
      <c r="D6" s="53" t="s">
        <v>1</v>
      </c>
      <c r="E6" s="53" t="s">
        <v>2</v>
      </c>
      <c r="F6" s="53" t="s">
        <v>3</v>
      </c>
      <c r="I6" s="31"/>
    </row>
    <row r="7" spans="1:25" ht="36" customHeight="1" thickTop="1" thickBot="1">
      <c r="A7" s="169"/>
      <c r="B7" s="170"/>
      <c r="C7" s="66" t="s">
        <v>97</v>
      </c>
      <c r="D7" s="66" t="s">
        <v>98</v>
      </c>
      <c r="E7" s="67" t="s">
        <v>99</v>
      </c>
      <c r="F7" s="66" t="s">
        <v>100</v>
      </c>
    </row>
    <row r="8" spans="1:25" ht="20.149999999999999" customHeight="1" thickTop="1">
      <c r="A8" s="23" t="s">
        <v>171</v>
      </c>
      <c r="B8" s="24" t="s">
        <v>7</v>
      </c>
      <c r="C8" s="47">
        <f>C9+C34+C37-C40</f>
        <v>1593401</v>
      </c>
      <c r="D8" s="47">
        <f>D9+D34+D37-D40</f>
        <v>1651755</v>
      </c>
      <c r="E8" s="47">
        <f>E9+E34+E37-E40</f>
        <v>1708116</v>
      </c>
      <c r="F8" s="47">
        <f>F9+F34+F37-F40</f>
        <v>1816582</v>
      </c>
      <c r="G8" s="32"/>
      <c r="P8" s="32"/>
      <c r="Q8" s="32"/>
      <c r="R8" s="32"/>
      <c r="S8" s="32"/>
      <c r="T8" s="4"/>
      <c r="U8" s="4"/>
      <c r="V8" s="4"/>
      <c r="W8" s="4"/>
      <c r="X8" s="4"/>
      <c r="Y8" s="4"/>
    </row>
    <row r="9" spans="1:25" s="8" customFormat="1" ht="20.149999999999999" customHeight="1">
      <c r="A9" s="21" t="s">
        <v>151</v>
      </c>
      <c r="B9" s="16" t="s">
        <v>8</v>
      </c>
      <c r="C9" s="47">
        <f>C10+C29+C30+C31+C32</f>
        <v>1327468</v>
      </c>
      <c r="D9" s="47">
        <f t="shared" ref="D9:F9" si="0">D10+D29+D30+D31+D32</f>
        <v>1387201</v>
      </c>
      <c r="E9" s="47">
        <f t="shared" si="0"/>
        <v>1445168</v>
      </c>
      <c r="F9" s="47">
        <f t="shared" si="0"/>
        <v>1538459</v>
      </c>
      <c r="G9" s="33"/>
      <c r="H9" s="33"/>
      <c r="I9" s="34"/>
      <c r="J9" s="34"/>
      <c r="K9" s="34"/>
      <c r="L9" s="34"/>
      <c r="M9" s="34"/>
      <c r="N9" s="34"/>
      <c r="O9" s="34"/>
      <c r="P9" s="33"/>
      <c r="Q9" s="33"/>
      <c r="R9" s="33"/>
      <c r="S9" s="33"/>
      <c r="T9" s="9"/>
      <c r="U9" s="9"/>
      <c r="V9" s="9"/>
      <c r="W9" s="9"/>
      <c r="X9" s="9"/>
      <c r="Y9" s="9"/>
    </row>
    <row r="10" spans="1:25" s="7" customFormat="1" ht="20.149999999999999" customHeight="1">
      <c r="A10" s="18" t="s">
        <v>27</v>
      </c>
      <c r="B10" s="16" t="s">
        <v>9</v>
      </c>
      <c r="C10" s="48">
        <f>C11+C25</f>
        <v>1309294</v>
      </c>
      <c r="D10" s="48">
        <f>D11+D25</f>
        <v>1359678</v>
      </c>
      <c r="E10" s="48">
        <f t="shared" ref="E10:F10" si="1">E11+E25</f>
        <v>1427696</v>
      </c>
      <c r="F10" s="48">
        <f t="shared" si="1"/>
        <v>1478846</v>
      </c>
      <c r="G10" s="35"/>
      <c r="H10" s="36"/>
      <c r="I10" s="36"/>
      <c r="J10" s="36"/>
      <c r="K10" s="36"/>
      <c r="L10" s="36"/>
      <c r="M10" s="36"/>
      <c r="N10" s="36"/>
      <c r="O10" s="36"/>
      <c r="P10" s="35"/>
      <c r="Q10" s="35"/>
      <c r="R10" s="35"/>
      <c r="S10" s="35"/>
      <c r="T10" s="6"/>
      <c r="U10" s="6"/>
      <c r="V10" s="6"/>
      <c r="W10" s="6"/>
      <c r="X10" s="6"/>
      <c r="Y10" s="6"/>
    </row>
    <row r="11" spans="1:25" s="7" customFormat="1" ht="20.149999999999999" customHeight="1">
      <c r="A11" s="18" t="s">
        <v>111</v>
      </c>
      <c r="B11" s="16" t="s">
        <v>112</v>
      </c>
      <c r="C11" s="48">
        <f>C12+C13+C14+C15+C18+C19+C20+C21+C22+C23+C24</f>
        <v>805936</v>
      </c>
      <c r="D11" s="48">
        <f t="shared" ref="D11:F11" si="2">D12+D13+D14+D15+D18+D19+D20+D21+D22+D23+D24</f>
        <v>847196</v>
      </c>
      <c r="E11" s="48">
        <f t="shared" si="2"/>
        <v>899895</v>
      </c>
      <c r="F11" s="48">
        <f t="shared" si="2"/>
        <v>944176</v>
      </c>
      <c r="G11" s="35"/>
      <c r="H11" s="36"/>
      <c r="I11" s="36"/>
      <c r="J11" s="36"/>
      <c r="K11" s="36"/>
      <c r="L11" s="36"/>
      <c r="M11" s="36"/>
      <c r="N11" s="36"/>
      <c r="O11" s="36"/>
      <c r="P11" s="35"/>
      <c r="Q11" s="35"/>
      <c r="R11" s="35"/>
      <c r="S11" s="35"/>
      <c r="T11" s="6"/>
      <c r="U11" s="6"/>
      <c r="V11" s="6"/>
      <c r="W11" s="6"/>
      <c r="X11" s="6"/>
      <c r="Y11" s="6"/>
    </row>
    <row r="12" spans="1:25" s="7" customFormat="1" ht="20.149999999999999" customHeight="1">
      <c r="A12" s="20" t="s">
        <v>28</v>
      </c>
      <c r="B12" s="11" t="s">
        <v>10</v>
      </c>
      <c r="C12" s="49">
        <v>240330</v>
      </c>
      <c r="D12" s="49">
        <v>240330</v>
      </c>
      <c r="E12" s="49">
        <v>240330</v>
      </c>
      <c r="F12" s="49">
        <v>240330</v>
      </c>
      <c r="G12" s="36"/>
      <c r="H12" s="35"/>
      <c r="I12" s="36"/>
      <c r="J12" s="36"/>
      <c r="K12" s="36"/>
      <c r="L12" s="36"/>
      <c r="M12" s="36"/>
      <c r="N12" s="36"/>
      <c r="O12" s="36"/>
      <c r="P12" s="35"/>
      <c r="Q12" s="35"/>
      <c r="R12" s="35"/>
      <c r="S12" s="35"/>
      <c r="T12" s="6"/>
      <c r="U12" s="6"/>
      <c r="V12" s="6"/>
      <c r="W12" s="6"/>
      <c r="X12" s="6"/>
      <c r="Y12" s="6"/>
    </row>
    <row r="13" spans="1:25" s="8" customFormat="1" ht="20.149999999999999" customHeight="1">
      <c r="A13" s="19" t="s">
        <v>29</v>
      </c>
      <c r="B13" s="11" t="s">
        <v>11</v>
      </c>
      <c r="C13" s="49">
        <v>0</v>
      </c>
      <c r="D13" s="49">
        <v>0</v>
      </c>
      <c r="E13" s="49">
        <v>0</v>
      </c>
      <c r="F13" s="49">
        <v>0</v>
      </c>
      <c r="G13" s="34"/>
      <c r="H13" s="33"/>
      <c r="I13" s="34"/>
      <c r="J13" s="34"/>
      <c r="K13" s="34"/>
      <c r="L13" s="34"/>
      <c r="M13" s="34"/>
      <c r="N13" s="34"/>
      <c r="O13" s="34"/>
      <c r="P13" s="33"/>
      <c r="Q13" s="33"/>
      <c r="R13" s="33"/>
      <c r="S13" s="33"/>
      <c r="T13" s="9"/>
      <c r="U13" s="9"/>
      <c r="V13" s="9"/>
      <c r="W13" s="9"/>
      <c r="X13" s="9"/>
      <c r="Y13" s="9"/>
    </row>
    <row r="14" spans="1:25" s="7" customFormat="1" ht="20.149999999999999" customHeight="1">
      <c r="A14" s="108" t="s">
        <v>101</v>
      </c>
      <c r="B14" s="11" t="s">
        <v>102</v>
      </c>
      <c r="C14" s="49">
        <v>0</v>
      </c>
      <c r="D14" s="49">
        <v>20786</v>
      </c>
      <c r="E14" s="49">
        <v>20843</v>
      </c>
      <c r="F14" s="49">
        <v>21390</v>
      </c>
      <c r="G14" s="36"/>
      <c r="H14" s="33"/>
      <c r="I14" s="36"/>
      <c r="J14" s="36"/>
      <c r="K14" s="36"/>
      <c r="L14" s="36"/>
      <c r="M14" s="36"/>
      <c r="N14" s="36"/>
      <c r="O14" s="36"/>
      <c r="P14" s="35"/>
      <c r="Q14" s="35"/>
      <c r="R14" s="35"/>
      <c r="S14" s="35"/>
      <c r="T14" s="6"/>
      <c r="U14" s="6"/>
      <c r="V14" s="6"/>
      <c r="W14" s="6"/>
      <c r="X14" s="6"/>
      <c r="Y14" s="6"/>
    </row>
    <row r="15" spans="1:25" s="7" customFormat="1" ht="20.149999999999999" customHeight="1">
      <c r="A15" s="20" t="s">
        <v>30</v>
      </c>
      <c r="B15" s="15" t="s">
        <v>170</v>
      </c>
      <c r="C15" s="49">
        <f>C16+C17</f>
        <v>5720</v>
      </c>
      <c r="D15" s="49">
        <f t="shared" ref="D15:F15" si="3">D16+D17</f>
        <v>5781</v>
      </c>
      <c r="E15" s="49">
        <f t="shared" si="3"/>
        <v>5907</v>
      </c>
      <c r="F15" s="49">
        <f t="shared" si="3"/>
        <v>6166</v>
      </c>
      <c r="G15" s="36"/>
      <c r="H15" s="33"/>
      <c r="I15" s="36"/>
      <c r="J15" s="36"/>
      <c r="K15" s="36"/>
      <c r="L15" s="36"/>
      <c r="M15" s="36"/>
      <c r="N15" s="36"/>
      <c r="O15" s="36"/>
      <c r="P15" s="35"/>
      <c r="Q15" s="35"/>
      <c r="R15" s="35"/>
      <c r="S15" s="35"/>
      <c r="T15" s="6"/>
      <c r="U15" s="6"/>
      <c r="V15" s="6"/>
      <c r="W15" s="6"/>
      <c r="X15" s="6"/>
      <c r="Y15" s="6"/>
    </row>
    <row r="16" spans="1:25" ht="20.149999999999999" customHeight="1">
      <c r="A16" s="101" t="s">
        <v>31</v>
      </c>
      <c r="B16" s="12" t="s">
        <v>12</v>
      </c>
      <c r="C16" s="49">
        <v>5720</v>
      </c>
      <c r="D16" s="49">
        <v>5781</v>
      </c>
      <c r="E16" s="49">
        <v>5907</v>
      </c>
      <c r="F16" s="49">
        <v>6166</v>
      </c>
      <c r="P16" s="32"/>
      <c r="Q16" s="32"/>
      <c r="R16" s="32"/>
      <c r="S16" s="32"/>
      <c r="T16" s="4"/>
      <c r="U16" s="4"/>
      <c r="V16" s="4"/>
      <c r="W16" s="4"/>
      <c r="X16" s="4"/>
      <c r="Y16" s="4"/>
    </row>
    <row r="17" spans="1:25" ht="20.149999999999999" customHeight="1">
      <c r="A17" s="110" t="s">
        <v>32</v>
      </c>
      <c r="B17" s="12" t="s">
        <v>13</v>
      </c>
      <c r="C17" s="49">
        <v>0</v>
      </c>
      <c r="D17" s="49">
        <v>0</v>
      </c>
      <c r="E17" s="49">
        <v>0</v>
      </c>
      <c r="F17" s="49">
        <v>0</v>
      </c>
      <c r="P17" s="32"/>
      <c r="Q17" s="32"/>
      <c r="R17" s="32"/>
      <c r="S17" s="32"/>
      <c r="T17" s="4"/>
      <c r="U17" s="4"/>
      <c r="V17" s="4"/>
      <c r="W17" s="4"/>
      <c r="X17" s="4"/>
      <c r="Y17" s="4"/>
    </row>
    <row r="18" spans="1:25" ht="20.149999999999999" customHeight="1">
      <c r="A18" s="10" t="s">
        <v>33</v>
      </c>
      <c r="B18" s="13" t="s">
        <v>14</v>
      </c>
      <c r="C18" s="49">
        <v>319671</v>
      </c>
      <c r="D18" s="49">
        <v>340251</v>
      </c>
      <c r="E18" s="49">
        <v>392928</v>
      </c>
      <c r="F18" s="49">
        <v>436510</v>
      </c>
      <c r="I18" s="32"/>
      <c r="P18" s="32"/>
      <c r="Q18" s="32"/>
      <c r="R18" s="32"/>
      <c r="S18" s="32"/>
      <c r="T18" s="4"/>
      <c r="U18" s="4"/>
      <c r="V18" s="4"/>
      <c r="W18" s="4"/>
      <c r="X18" s="4"/>
      <c r="Y18" s="4"/>
    </row>
    <row r="19" spans="1:25" s="3" customFormat="1" ht="20.149999999999999" customHeight="1">
      <c r="A19" s="10" t="s">
        <v>34</v>
      </c>
      <c r="B19" s="13" t="s">
        <v>15</v>
      </c>
      <c r="C19" s="49">
        <v>2000</v>
      </c>
      <c r="D19" s="49">
        <v>2000</v>
      </c>
      <c r="E19" s="49">
        <v>2000</v>
      </c>
      <c r="F19" s="49">
        <v>2000</v>
      </c>
      <c r="G19" s="37"/>
      <c r="H19" s="37"/>
      <c r="I19" s="38"/>
      <c r="J19" s="38"/>
      <c r="K19" s="37"/>
      <c r="L19" s="37"/>
      <c r="M19" s="37"/>
      <c r="N19" s="37"/>
      <c r="O19" s="37"/>
      <c r="P19" s="32"/>
      <c r="Q19" s="32"/>
      <c r="R19" s="32"/>
      <c r="S19" s="32"/>
      <c r="T19" s="4"/>
      <c r="U19" s="4"/>
      <c r="V19" s="4"/>
      <c r="W19" s="4"/>
      <c r="X19" s="4"/>
      <c r="Y19" s="4"/>
    </row>
    <row r="20" spans="1:25" ht="20.149999999999999" customHeight="1">
      <c r="A20" s="10" t="s">
        <v>35</v>
      </c>
      <c r="B20" s="13" t="s">
        <v>16</v>
      </c>
      <c r="C20" s="49">
        <v>108</v>
      </c>
      <c r="D20" s="49">
        <v>101</v>
      </c>
      <c r="E20" s="49">
        <v>101</v>
      </c>
      <c r="F20" s="49">
        <v>101</v>
      </c>
      <c r="H20" s="39"/>
      <c r="I20" s="32"/>
      <c r="P20" s="32"/>
      <c r="Q20" s="32"/>
      <c r="R20" s="32"/>
      <c r="S20" s="32"/>
      <c r="T20" s="4"/>
      <c r="U20" s="4"/>
      <c r="V20" s="4"/>
      <c r="W20" s="4"/>
      <c r="X20" s="4"/>
      <c r="Y20" s="4"/>
    </row>
    <row r="21" spans="1:25" ht="19.5" customHeight="1">
      <c r="A21" s="10" t="s">
        <v>46</v>
      </c>
      <c r="B21" s="13" t="s">
        <v>17</v>
      </c>
      <c r="C21" s="49">
        <v>0</v>
      </c>
      <c r="D21" s="49">
        <v>0</v>
      </c>
      <c r="E21" s="49">
        <v>0</v>
      </c>
      <c r="F21" s="49">
        <v>0</v>
      </c>
      <c r="J21" s="32"/>
      <c r="P21" s="32"/>
      <c r="Q21" s="32"/>
      <c r="R21" s="32"/>
      <c r="S21" s="32"/>
      <c r="T21" s="4"/>
      <c r="U21" s="4"/>
      <c r="V21" s="4"/>
      <c r="W21" s="4"/>
      <c r="X21" s="4"/>
      <c r="Y21" s="4"/>
    </row>
    <row r="22" spans="1:25" ht="20.149999999999999" customHeight="1">
      <c r="A22" s="10" t="s">
        <v>36</v>
      </c>
      <c r="B22" s="13" t="s">
        <v>18</v>
      </c>
      <c r="C22" s="49">
        <v>1998</v>
      </c>
      <c r="D22" s="49">
        <v>1998</v>
      </c>
      <c r="E22" s="49">
        <v>1998</v>
      </c>
      <c r="F22" s="49">
        <v>2051</v>
      </c>
      <c r="H22" s="32"/>
      <c r="P22" s="32"/>
      <c r="Q22" s="32"/>
      <c r="R22" s="32"/>
      <c r="S22" s="32"/>
      <c r="T22" s="4"/>
      <c r="U22" s="4"/>
      <c r="V22" s="4"/>
      <c r="W22" s="4"/>
      <c r="X22" s="4"/>
      <c r="Y22" s="4"/>
    </row>
    <row r="23" spans="1:25" ht="20.149999999999999" customHeight="1">
      <c r="A23" s="10" t="s">
        <v>142</v>
      </c>
      <c r="B23" s="13" t="s">
        <v>19</v>
      </c>
      <c r="C23" s="49">
        <v>233704</v>
      </c>
      <c r="D23" s="49">
        <v>233704</v>
      </c>
      <c r="E23" s="49">
        <v>233704</v>
      </c>
      <c r="F23" s="49">
        <v>233704</v>
      </c>
      <c r="P23" s="32"/>
      <c r="Q23" s="32"/>
      <c r="R23" s="32"/>
      <c r="S23" s="32"/>
      <c r="T23" s="4"/>
      <c r="U23" s="4"/>
      <c r="V23" s="4"/>
      <c r="W23" s="4"/>
      <c r="X23" s="4"/>
      <c r="Y23" s="4"/>
    </row>
    <row r="24" spans="1:25" ht="20.149999999999999" customHeight="1">
      <c r="A24" s="76" t="s">
        <v>37</v>
      </c>
      <c r="B24" s="13" t="s">
        <v>20</v>
      </c>
      <c r="C24" s="68">
        <v>2405</v>
      </c>
      <c r="D24" s="68">
        <v>2245</v>
      </c>
      <c r="E24" s="68">
        <v>2084</v>
      </c>
      <c r="F24" s="68">
        <v>1924</v>
      </c>
      <c r="H24" s="32"/>
      <c r="P24" s="32"/>
      <c r="Q24" s="32"/>
      <c r="R24" s="32"/>
      <c r="S24" s="32"/>
      <c r="T24" s="4"/>
      <c r="U24" s="4"/>
      <c r="V24" s="4"/>
      <c r="W24" s="4"/>
      <c r="X24" s="4"/>
      <c r="Y24" s="4"/>
    </row>
    <row r="25" spans="1:25" ht="20.149999999999999" customHeight="1">
      <c r="A25" s="77" t="s">
        <v>38</v>
      </c>
      <c r="B25" s="78" t="s">
        <v>21</v>
      </c>
      <c r="C25" s="47">
        <f>SUM(C26:C28)</f>
        <v>503358</v>
      </c>
      <c r="D25" s="47">
        <f t="shared" ref="D25:F25" si="4">SUM(D26:D28)</f>
        <v>512482</v>
      </c>
      <c r="E25" s="47">
        <f t="shared" si="4"/>
        <v>527801</v>
      </c>
      <c r="F25" s="47">
        <f t="shared" si="4"/>
        <v>534670</v>
      </c>
      <c r="K25" s="32"/>
      <c r="P25" s="32"/>
      <c r="Q25" s="32"/>
      <c r="R25" s="32"/>
      <c r="S25" s="32"/>
      <c r="T25" s="4"/>
      <c r="U25" s="4"/>
      <c r="V25" s="4"/>
      <c r="W25" s="4"/>
      <c r="X25" s="4"/>
      <c r="Y25" s="4"/>
    </row>
    <row r="26" spans="1:25" ht="20.149999999999999" customHeight="1">
      <c r="A26" s="110" t="s">
        <v>32</v>
      </c>
      <c r="B26" s="25" t="s">
        <v>13</v>
      </c>
      <c r="C26" s="49">
        <v>446265</v>
      </c>
      <c r="D26" s="49">
        <v>453932</v>
      </c>
      <c r="E26" s="49">
        <v>467276</v>
      </c>
      <c r="F26" s="49">
        <v>471521</v>
      </c>
      <c r="J26" s="32"/>
      <c r="P26" s="32"/>
      <c r="Q26" s="32"/>
      <c r="R26" s="32"/>
      <c r="S26" s="32"/>
      <c r="T26" s="4"/>
      <c r="U26" s="4"/>
      <c r="V26" s="4"/>
      <c r="W26" s="4"/>
      <c r="X26" s="4"/>
      <c r="Y26" s="4"/>
    </row>
    <row r="27" spans="1:25" ht="20.149999999999999" customHeight="1">
      <c r="A27" s="110" t="s">
        <v>31</v>
      </c>
      <c r="B27" s="25" t="s">
        <v>12</v>
      </c>
      <c r="C27" s="68">
        <v>46059</v>
      </c>
      <c r="D27" s="68">
        <v>46818</v>
      </c>
      <c r="E27" s="68">
        <v>48757</v>
      </c>
      <c r="F27" s="68">
        <v>51166</v>
      </c>
      <c r="H27" s="32"/>
      <c r="P27" s="32"/>
      <c r="Q27" s="32"/>
      <c r="R27" s="32"/>
      <c r="S27" s="32"/>
      <c r="T27" s="4"/>
      <c r="U27" s="4"/>
      <c r="V27" s="4"/>
      <c r="W27" s="4"/>
      <c r="X27" s="4"/>
      <c r="Y27" s="4"/>
    </row>
    <row r="28" spans="1:25" s="2" customFormat="1" ht="20.149999999999999" customHeight="1">
      <c r="A28" s="102" t="s">
        <v>135</v>
      </c>
      <c r="B28" s="25" t="s">
        <v>22</v>
      </c>
      <c r="C28" s="68">
        <v>11034</v>
      </c>
      <c r="D28" s="68">
        <v>11732</v>
      </c>
      <c r="E28" s="68">
        <v>11768</v>
      </c>
      <c r="F28" s="68">
        <v>11983</v>
      </c>
      <c r="G28" s="40"/>
      <c r="H28" s="40"/>
      <c r="I28" s="40"/>
      <c r="J28" s="40"/>
      <c r="K28" s="40"/>
      <c r="L28" s="40"/>
      <c r="M28" s="40"/>
      <c r="N28" s="40"/>
      <c r="O28" s="40"/>
      <c r="P28" s="32"/>
      <c r="Q28" s="32"/>
      <c r="R28" s="32"/>
      <c r="S28" s="32"/>
      <c r="T28" s="4"/>
      <c r="U28" s="4"/>
      <c r="V28" s="4"/>
      <c r="W28" s="4"/>
      <c r="X28" s="4"/>
      <c r="Y28" s="4"/>
    </row>
    <row r="29" spans="1:25" ht="20.149999999999999" customHeight="1">
      <c r="A29" s="17" t="s">
        <v>39</v>
      </c>
      <c r="B29" s="16" t="s">
        <v>23</v>
      </c>
      <c r="C29" s="47">
        <v>24370</v>
      </c>
      <c r="D29" s="47">
        <v>15593</v>
      </c>
      <c r="E29" s="47">
        <v>15285</v>
      </c>
      <c r="F29" s="47">
        <v>15686</v>
      </c>
      <c r="P29" s="32"/>
      <c r="Q29" s="32"/>
      <c r="R29" s="32"/>
      <c r="S29" s="32"/>
      <c r="T29" s="4"/>
      <c r="U29" s="4"/>
      <c r="V29" s="4"/>
      <c r="W29" s="4"/>
      <c r="X29" s="4"/>
      <c r="Y29" s="4"/>
    </row>
    <row r="30" spans="1:25" ht="21" customHeight="1">
      <c r="A30" s="17" t="s">
        <v>40</v>
      </c>
      <c r="B30" s="16" t="s">
        <v>24</v>
      </c>
      <c r="C30" s="47">
        <v>1225</v>
      </c>
      <c r="D30" s="47">
        <v>1225</v>
      </c>
      <c r="E30" s="47">
        <v>1225</v>
      </c>
      <c r="F30" s="47">
        <v>1225</v>
      </c>
      <c r="I30" s="32"/>
      <c r="P30" s="32"/>
      <c r="Q30" s="32"/>
      <c r="R30" s="32"/>
      <c r="S30" s="32"/>
      <c r="T30" s="4"/>
      <c r="U30" s="4"/>
      <c r="V30" s="4"/>
      <c r="W30" s="4"/>
      <c r="X30" s="4"/>
      <c r="Y30" s="4"/>
    </row>
    <row r="31" spans="1:25" ht="20.149999999999999" customHeight="1">
      <c r="A31" s="18" t="s">
        <v>137</v>
      </c>
      <c r="B31" s="16" t="s">
        <v>103</v>
      </c>
      <c r="C31" s="47">
        <v>1537</v>
      </c>
      <c r="D31" s="47">
        <v>1796</v>
      </c>
      <c r="E31" s="47">
        <v>1984</v>
      </c>
      <c r="F31" s="47">
        <v>2256</v>
      </c>
      <c r="P31" s="32"/>
      <c r="Q31" s="32"/>
      <c r="R31" s="32"/>
      <c r="S31" s="32"/>
      <c r="T31" s="4"/>
      <c r="U31" s="4"/>
      <c r="V31" s="4"/>
      <c r="W31" s="4"/>
      <c r="X31" s="4"/>
      <c r="Y31" s="4"/>
    </row>
    <row r="32" spans="1:25" ht="20.149999999999999" customHeight="1">
      <c r="A32" s="18" t="s">
        <v>41</v>
      </c>
      <c r="B32" s="16" t="s">
        <v>25</v>
      </c>
      <c r="C32" s="47">
        <v>-8958</v>
      </c>
      <c r="D32" s="47">
        <v>8909</v>
      </c>
      <c r="E32" s="47">
        <v>-1022</v>
      </c>
      <c r="F32" s="47">
        <v>40446</v>
      </c>
      <c r="P32" s="32"/>
      <c r="Q32" s="32"/>
      <c r="R32" s="32"/>
      <c r="S32" s="32"/>
      <c r="T32" s="4"/>
      <c r="U32" s="4"/>
      <c r="V32" s="4"/>
      <c r="W32" s="4"/>
      <c r="X32" s="4"/>
      <c r="Y32" s="4"/>
    </row>
    <row r="33" spans="1:25" ht="20.149999999999999" customHeight="1">
      <c r="A33" s="18" t="s">
        <v>104</v>
      </c>
      <c r="B33" s="16" t="s">
        <v>105</v>
      </c>
      <c r="C33" s="47">
        <v>0</v>
      </c>
      <c r="D33" s="47">
        <v>0</v>
      </c>
      <c r="E33" s="47">
        <v>0</v>
      </c>
      <c r="F33" s="47">
        <v>0</v>
      </c>
      <c r="H33" s="32"/>
      <c r="P33" s="32"/>
      <c r="Q33" s="32"/>
      <c r="R33" s="32"/>
      <c r="S33" s="32"/>
      <c r="T33" s="4"/>
      <c r="U33" s="4"/>
      <c r="V33" s="4"/>
      <c r="W33" s="4"/>
      <c r="X33" s="4"/>
      <c r="Y33" s="4"/>
    </row>
    <row r="34" spans="1:25" ht="23.25" customHeight="1">
      <c r="A34" s="17" t="s">
        <v>148</v>
      </c>
      <c r="B34" s="115" t="s">
        <v>150</v>
      </c>
      <c r="C34" s="47">
        <f>C35+C36</f>
        <v>62671</v>
      </c>
      <c r="D34" s="47">
        <f t="shared" ref="D34:F34" si="5">D35+D36</f>
        <v>60796</v>
      </c>
      <c r="E34" s="47">
        <f t="shared" si="5"/>
        <v>57892</v>
      </c>
      <c r="F34" s="47">
        <f t="shared" si="5"/>
        <v>58360</v>
      </c>
      <c r="G34" s="32"/>
      <c r="P34" s="32"/>
      <c r="Q34" s="32"/>
      <c r="R34" s="32"/>
      <c r="S34" s="32"/>
      <c r="T34" s="4"/>
      <c r="U34" s="4"/>
      <c r="V34" s="4"/>
      <c r="W34" s="4"/>
      <c r="X34" s="4"/>
      <c r="Y34" s="4"/>
    </row>
    <row r="35" spans="1:25" ht="21.75" customHeight="1">
      <c r="A35" s="111" t="s">
        <v>160</v>
      </c>
      <c r="B35" s="14" t="s">
        <v>161</v>
      </c>
      <c r="C35" s="49">
        <v>11214</v>
      </c>
      <c r="D35" s="49">
        <v>8806</v>
      </c>
      <c r="E35" s="49">
        <v>5721</v>
      </c>
      <c r="F35" s="49">
        <v>6331</v>
      </c>
      <c r="G35" s="32"/>
      <c r="P35" s="32"/>
      <c r="Q35" s="32"/>
      <c r="R35" s="32"/>
      <c r="S35" s="32"/>
      <c r="T35" s="4"/>
      <c r="U35" s="4"/>
      <c r="V35" s="4"/>
      <c r="W35" s="4"/>
      <c r="X35" s="4"/>
      <c r="Y35" s="4"/>
    </row>
    <row r="36" spans="1:25" ht="20.149999999999999" customHeight="1">
      <c r="A36" s="112" t="s">
        <v>162</v>
      </c>
      <c r="B36" s="14" t="s">
        <v>163</v>
      </c>
      <c r="C36" s="49">
        <v>51457</v>
      </c>
      <c r="D36" s="49">
        <v>51990</v>
      </c>
      <c r="E36" s="49">
        <v>52171</v>
      </c>
      <c r="F36" s="49">
        <v>52029</v>
      </c>
      <c r="P36" s="32"/>
      <c r="Q36" s="32"/>
      <c r="R36" s="32"/>
      <c r="S36" s="32"/>
      <c r="T36" s="4"/>
      <c r="U36" s="4"/>
      <c r="V36" s="4"/>
      <c r="W36" s="4"/>
      <c r="X36" s="4"/>
      <c r="Y36" s="4"/>
    </row>
    <row r="37" spans="1:25" ht="19.5" customHeight="1">
      <c r="A37" s="17" t="s">
        <v>42</v>
      </c>
      <c r="B37" s="115" t="s">
        <v>146</v>
      </c>
      <c r="C37" s="47">
        <f>C38-C39</f>
        <v>266110</v>
      </c>
      <c r="D37" s="47">
        <f t="shared" ref="D37:F37" si="6">D38-D39</f>
        <v>265446</v>
      </c>
      <c r="E37" s="47">
        <f t="shared" si="6"/>
        <v>266989</v>
      </c>
      <c r="F37" s="47">
        <f t="shared" si="6"/>
        <v>280946</v>
      </c>
    </row>
    <row r="38" spans="1:25" ht="24" customHeight="1">
      <c r="A38" s="111" t="s">
        <v>43</v>
      </c>
      <c r="B38" s="11" t="s">
        <v>149</v>
      </c>
      <c r="C38" s="49">
        <v>269174</v>
      </c>
      <c r="D38" s="49">
        <v>268714</v>
      </c>
      <c r="E38" s="49">
        <v>268850</v>
      </c>
      <c r="F38" s="49">
        <v>282674</v>
      </c>
    </row>
    <row r="39" spans="1:25" ht="20.25" customHeight="1">
      <c r="A39" s="112" t="s">
        <v>143</v>
      </c>
      <c r="B39" s="11" t="s">
        <v>26</v>
      </c>
      <c r="C39" s="49">
        <v>3064</v>
      </c>
      <c r="D39" s="49">
        <v>3268</v>
      </c>
      <c r="E39" s="49">
        <v>1861</v>
      </c>
      <c r="F39" s="49">
        <v>1728</v>
      </c>
    </row>
    <row r="40" spans="1:25" ht="26.25" customHeight="1">
      <c r="A40" s="17" t="s">
        <v>44</v>
      </c>
      <c r="B40" s="16" t="s">
        <v>145</v>
      </c>
      <c r="C40" s="47">
        <f>SUM(C41:C43)</f>
        <v>62848</v>
      </c>
      <c r="D40" s="47">
        <f t="shared" ref="D40:F40" si="7">SUM(D41:D43)</f>
        <v>61688</v>
      </c>
      <c r="E40" s="47">
        <f t="shared" si="7"/>
        <v>61933</v>
      </c>
      <c r="F40" s="47">
        <f t="shared" si="7"/>
        <v>61183</v>
      </c>
    </row>
    <row r="41" spans="1:25" ht="25.5" customHeight="1">
      <c r="A41" s="111" t="s">
        <v>45</v>
      </c>
      <c r="B41" s="84" t="s">
        <v>165</v>
      </c>
      <c r="C41" s="49">
        <v>11391</v>
      </c>
      <c r="D41" s="49">
        <v>9698</v>
      </c>
      <c r="E41" s="49">
        <v>9762</v>
      </c>
      <c r="F41" s="49">
        <v>9154</v>
      </c>
    </row>
    <row r="42" spans="1:25" ht="24.75" customHeight="1">
      <c r="A42" s="113" t="s">
        <v>47</v>
      </c>
      <c r="B42" s="80" t="s">
        <v>169</v>
      </c>
      <c r="C42" s="49">
        <v>0</v>
      </c>
      <c r="D42" s="79">
        <v>0</v>
      </c>
      <c r="E42" s="79">
        <v>0</v>
      </c>
      <c r="F42" s="79">
        <v>0</v>
      </c>
    </row>
    <row r="43" spans="1:25" s="46" customFormat="1" ht="24.75" customHeight="1">
      <c r="A43" s="114" t="s">
        <v>144</v>
      </c>
      <c r="B43" s="81" t="s">
        <v>167</v>
      </c>
      <c r="C43" s="50">
        <v>51457</v>
      </c>
      <c r="D43" s="50">
        <v>51990</v>
      </c>
      <c r="E43" s="50">
        <v>52171</v>
      </c>
      <c r="F43" s="50">
        <v>52029</v>
      </c>
      <c r="G43" s="45"/>
      <c r="H43" s="45"/>
      <c r="I43" s="45"/>
      <c r="J43" s="45"/>
      <c r="K43" s="45"/>
      <c r="L43" s="45"/>
      <c r="M43" s="45"/>
      <c r="N43" s="45"/>
      <c r="O43" s="45"/>
      <c r="P43" s="45"/>
      <c r="Q43" s="45"/>
      <c r="R43" s="45"/>
      <c r="S43" s="45"/>
    </row>
    <row r="44" spans="1:25" ht="15.5">
      <c r="A44" s="27" t="s">
        <v>49</v>
      </c>
      <c r="B44" s="43"/>
      <c r="C44" s="27"/>
      <c r="D44" s="27"/>
      <c r="E44" s="27"/>
      <c r="F44" s="27"/>
      <c r="G44" s="54"/>
      <c r="H44" s="54"/>
      <c r="I44" s="54"/>
      <c r="J44" s="54"/>
      <c r="K44" s="54"/>
      <c r="L44" s="45"/>
      <c r="M44" s="45"/>
      <c r="N44" s="45"/>
      <c r="O44" s="45"/>
      <c r="P44" s="45"/>
      <c r="Q44"/>
      <c r="R44"/>
      <c r="S44"/>
    </row>
    <row r="45" spans="1:25" ht="15.5">
      <c r="A45" s="27" t="s">
        <v>50</v>
      </c>
      <c r="B45" s="43"/>
      <c r="C45" s="27"/>
      <c r="D45" s="27"/>
      <c r="E45" s="27"/>
      <c r="F45" s="27"/>
      <c r="G45" s="54"/>
      <c r="H45" s="54"/>
      <c r="I45" s="54"/>
      <c r="J45" s="54"/>
      <c r="K45" s="54"/>
      <c r="L45" s="45"/>
      <c r="M45" s="45"/>
      <c r="N45" s="45"/>
      <c r="O45" s="45"/>
      <c r="P45" s="45"/>
      <c r="Q45"/>
      <c r="R45"/>
      <c r="S45"/>
    </row>
    <row r="46" spans="1:25" ht="15.5">
      <c r="A46" s="27" t="s">
        <v>85</v>
      </c>
      <c r="B46" s="43"/>
      <c r="C46" s="27"/>
      <c r="D46" s="27"/>
      <c r="E46" s="27"/>
      <c r="F46" s="27"/>
      <c r="G46" s="54"/>
      <c r="H46" s="54"/>
      <c r="I46" s="54"/>
      <c r="J46" s="54"/>
      <c r="K46" s="54"/>
      <c r="L46" s="45"/>
      <c r="M46" s="45"/>
      <c r="N46" s="45"/>
      <c r="O46" s="45"/>
      <c r="P46" s="45"/>
      <c r="Q46"/>
      <c r="R46"/>
      <c r="S46"/>
    </row>
    <row r="47" spans="1:25" ht="15.5">
      <c r="A47" s="27" t="s">
        <v>53</v>
      </c>
      <c r="B47" s="43"/>
      <c r="C47" s="27"/>
      <c r="D47" s="27"/>
      <c r="E47" s="27"/>
      <c r="F47" s="27"/>
      <c r="G47" s="54"/>
      <c r="H47" s="54"/>
      <c r="I47" s="54"/>
      <c r="J47" s="54"/>
      <c r="K47" s="54"/>
      <c r="L47" s="45"/>
      <c r="M47" s="45"/>
      <c r="N47" s="45"/>
      <c r="O47" s="45"/>
      <c r="P47" s="45"/>
      <c r="Q47"/>
      <c r="R47"/>
      <c r="S47"/>
    </row>
    <row r="48" spans="1:25" ht="15.5">
      <c r="A48" s="27" t="s">
        <v>86</v>
      </c>
      <c r="B48" s="43"/>
      <c r="C48" s="27"/>
      <c r="D48" s="27"/>
      <c r="E48" s="27"/>
      <c r="F48" s="27"/>
      <c r="G48" s="54"/>
      <c r="H48" s="54"/>
      <c r="I48" s="54"/>
      <c r="J48" s="54"/>
      <c r="K48" s="54"/>
      <c r="L48" s="45"/>
      <c r="M48" s="45"/>
      <c r="N48" s="45"/>
      <c r="O48" s="45"/>
      <c r="P48" s="45"/>
      <c r="Q48"/>
      <c r="R48"/>
      <c r="S48"/>
    </row>
    <row r="49" spans="1:19" ht="15.5">
      <c r="A49" s="27" t="s">
        <v>54</v>
      </c>
      <c r="B49" s="43"/>
      <c r="C49" s="27"/>
      <c r="D49" s="27"/>
      <c r="E49" s="27"/>
      <c r="F49" s="27"/>
      <c r="G49" s="54"/>
      <c r="H49" s="54"/>
      <c r="I49" s="54"/>
      <c r="J49" s="54"/>
      <c r="K49" s="54"/>
      <c r="L49" s="45"/>
      <c r="M49" s="45"/>
      <c r="N49" s="45"/>
      <c r="O49" s="45"/>
      <c r="P49" s="45"/>
      <c r="Q49"/>
      <c r="R49"/>
      <c r="S49"/>
    </row>
    <row r="50" spans="1:19" ht="15.5">
      <c r="A50" s="27" t="s">
        <v>87</v>
      </c>
      <c r="B50" s="43"/>
      <c r="C50" s="27"/>
      <c r="D50" s="27"/>
      <c r="E50" s="27"/>
      <c r="F50" s="27"/>
      <c r="G50" s="54"/>
      <c r="H50" s="54"/>
      <c r="I50" s="54"/>
      <c r="J50" s="54"/>
      <c r="K50" s="54"/>
      <c r="L50" s="45"/>
      <c r="M50" s="45"/>
      <c r="N50" s="45"/>
      <c r="O50" s="45"/>
      <c r="P50" s="45"/>
      <c r="Q50"/>
      <c r="R50"/>
      <c r="S50"/>
    </row>
    <row r="51" spans="1:19">
      <c r="G51" s="45"/>
      <c r="H51" s="45"/>
      <c r="I51" s="45"/>
      <c r="J51" s="45"/>
      <c r="K51" s="45"/>
    </row>
    <row r="52" spans="1:19">
      <c r="G52" s="45"/>
      <c r="H52" s="45"/>
      <c r="I52" s="45"/>
      <c r="J52" s="45"/>
      <c r="K52" s="45"/>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2"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Y52"/>
  <sheetViews>
    <sheetView topLeftCell="A19" zoomScale="40" zoomScaleNormal="40" zoomScaleSheetLayoutView="88" workbookViewId="0">
      <selection activeCell="A4" sqref="A4:F51"/>
    </sheetView>
  </sheetViews>
  <sheetFormatPr defaultRowHeight="12.5"/>
  <cols>
    <col min="1" max="1" width="74.54296875" customWidth="1"/>
    <col min="2" max="2" width="100.54296875" style="1" customWidth="1"/>
    <col min="3" max="3" width="20.26953125" customWidth="1"/>
    <col min="4" max="4" width="19.453125" customWidth="1"/>
    <col min="5" max="5" width="20.7265625" customWidth="1"/>
    <col min="6" max="6" width="19.453125" customWidth="1"/>
    <col min="7" max="7" width="11.7265625" style="28" customWidth="1"/>
    <col min="8" max="8" width="12.81640625" style="28" bestFit="1" customWidth="1"/>
    <col min="9" max="9" width="11.1796875" style="28" bestFit="1" customWidth="1"/>
    <col min="10" max="10" width="10.7265625" style="28" bestFit="1" customWidth="1"/>
    <col min="11" max="19" width="9.1796875" style="28"/>
    <col min="25" max="25" width="9.26953125" bestFit="1" customWidth="1"/>
  </cols>
  <sheetData>
    <row r="1" spans="1:25" ht="15" hidden="1" customHeight="1"/>
    <row r="2" spans="1:25" ht="23" hidden="1">
      <c r="B2" s="164" t="s">
        <v>5</v>
      </c>
      <c r="C2" s="164"/>
      <c r="D2" s="164"/>
      <c r="E2" s="164"/>
      <c r="F2" s="164"/>
    </row>
    <row r="3" spans="1:25" ht="23" hidden="1">
      <c r="B3" s="165" t="s">
        <v>4</v>
      </c>
      <c r="C3" s="165"/>
      <c r="D3" s="165"/>
      <c r="E3" s="165"/>
      <c r="F3" s="165"/>
    </row>
    <row r="4" spans="1:25" s="5" customFormat="1" ht="45" customHeight="1">
      <c r="A4" s="166" t="s">
        <v>6</v>
      </c>
      <c r="B4" s="166"/>
      <c r="C4" s="166"/>
      <c r="D4" s="166"/>
      <c r="E4" s="166"/>
      <c r="F4" s="166"/>
      <c r="G4" s="29"/>
      <c r="H4" s="29"/>
      <c r="I4" s="29"/>
      <c r="J4" s="29"/>
      <c r="K4" s="29"/>
      <c r="L4" s="29"/>
      <c r="M4" s="29"/>
      <c r="N4" s="29"/>
      <c r="O4" s="29"/>
      <c r="P4" s="29"/>
      <c r="Q4" s="29"/>
      <c r="R4" s="29"/>
      <c r="S4" s="29"/>
    </row>
    <row r="5" spans="1:25" s="5" customFormat="1" ht="45" customHeight="1" thickBot="1">
      <c r="A5" s="75"/>
      <c r="B5" s="75"/>
      <c r="C5" s="75"/>
      <c r="D5" s="75"/>
      <c r="E5" s="75"/>
      <c r="F5" s="30" t="s">
        <v>52</v>
      </c>
      <c r="G5" s="30"/>
      <c r="H5" s="30"/>
      <c r="I5" s="30"/>
      <c r="J5" s="30"/>
      <c r="K5" s="30"/>
      <c r="L5" s="29"/>
      <c r="M5" s="29"/>
      <c r="N5" s="29"/>
      <c r="O5" s="29"/>
      <c r="P5" s="29"/>
      <c r="Q5" s="29"/>
      <c r="R5" s="29"/>
      <c r="S5" s="29"/>
    </row>
    <row r="6" spans="1:25" ht="25.5" customHeight="1" thickTop="1" thickBot="1">
      <c r="A6" s="167" t="s">
        <v>55</v>
      </c>
      <c r="B6" s="168"/>
      <c r="C6" s="53" t="s">
        <v>0</v>
      </c>
      <c r="D6" s="53" t="s">
        <v>1</v>
      </c>
      <c r="E6" s="53" t="s">
        <v>2</v>
      </c>
      <c r="F6" s="53" t="s">
        <v>3</v>
      </c>
      <c r="I6" s="31"/>
    </row>
    <row r="7" spans="1:25" ht="36" customHeight="1" thickTop="1" thickBot="1">
      <c r="A7" s="169"/>
      <c r="B7" s="170"/>
      <c r="C7" s="66" t="s">
        <v>106</v>
      </c>
      <c r="D7" s="66" t="s">
        <v>107</v>
      </c>
      <c r="E7" s="67" t="s">
        <v>108</v>
      </c>
      <c r="F7" s="66" t="s">
        <v>109</v>
      </c>
    </row>
    <row r="8" spans="1:25" ht="20.149999999999999" customHeight="1" thickTop="1">
      <c r="A8" s="23" t="s">
        <v>171</v>
      </c>
      <c r="B8" s="24" t="s">
        <v>7</v>
      </c>
      <c r="C8" s="83">
        <f>C9+C34+C37-C40</f>
        <v>1838558</v>
      </c>
      <c r="D8" s="83">
        <f>D9+D34+D37-D40</f>
        <v>1924739</v>
      </c>
      <c r="E8" s="83">
        <f>E9+E34+E37-E40</f>
        <v>2016465</v>
      </c>
      <c r="F8" s="83">
        <v>2116345</v>
      </c>
      <c r="G8" s="32"/>
      <c r="P8" s="32"/>
      <c r="Q8" s="32"/>
      <c r="R8" s="32"/>
      <c r="S8" s="32"/>
      <c r="T8" s="4"/>
      <c r="U8" s="4"/>
      <c r="V8" s="4"/>
      <c r="W8" s="4"/>
      <c r="X8" s="4"/>
      <c r="Y8" s="4"/>
    </row>
    <row r="9" spans="1:25" s="8" customFormat="1" ht="20.149999999999999" customHeight="1">
      <c r="A9" s="21" t="s">
        <v>151</v>
      </c>
      <c r="B9" s="16" t="s">
        <v>8</v>
      </c>
      <c r="C9" s="47">
        <f>C10+C29+C30+C31+C32</f>
        <v>1614764</v>
      </c>
      <c r="D9" s="47">
        <f t="shared" ref="D9:E9" si="0">D10+D29+D30+D31+D32</f>
        <v>1691837</v>
      </c>
      <c r="E9" s="47">
        <f t="shared" si="0"/>
        <v>1780521</v>
      </c>
      <c r="F9" s="47">
        <v>1871332</v>
      </c>
      <c r="G9" s="33"/>
      <c r="H9" s="33"/>
      <c r="I9" s="34"/>
      <c r="J9" s="34"/>
      <c r="K9" s="34"/>
      <c r="L9" s="34"/>
      <c r="M9" s="34"/>
      <c r="N9" s="34"/>
      <c r="O9" s="34"/>
      <c r="P9" s="33"/>
      <c r="Q9" s="33"/>
      <c r="R9" s="33"/>
      <c r="S9" s="33"/>
      <c r="T9" s="9"/>
      <c r="U9" s="9"/>
      <c r="V9" s="9"/>
      <c r="W9" s="9"/>
      <c r="X9" s="9"/>
      <c r="Y9" s="9"/>
    </row>
    <row r="10" spans="1:25" s="7" customFormat="1" ht="20.149999999999999" customHeight="1">
      <c r="A10" s="95" t="s">
        <v>27</v>
      </c>
      <c r="B10" s="16" t="s">
        <v>9</v>
      </c>
      <c r="C10" s="48">
        <f>C11+C25</f>
        <v>1504700</v>
      </c>
      <c r="D10" s="48">
        <f t="shared" ref="D10:E10" si="1">D11+D25</f>
        <v>1642549</v>
      </c>
      <c r="E10" s="48">
        <f t="shared" si="1"/>
        <v>1697437</v>
      </c>
      <c r="F10" s="48">
        <v>1722165</v>
      </c>
      <c r="G10" s="35"/>
      <c r="H10" s="36"/>
      <c r="I10" s="36"/>
      <c r="J10" s="36"/>
      <c r="K10" s="36"/>
      <c r="L10" s="36"/>
      <c r="M10" s="36"/>
      <c r="N10" s="36"/>
      <c r="O10" s="36"/>
      <c r="P10" s="35"/>
      <c r="Q10" s="35"/>
      <c r="R10" s="35"/>
      <c r="S10" s="35"/>
      <c r="T10" s="6"/>
      <c r="U10" s="6"/>
      <c r="V10" s="6"/>
      <c r="W10" s="6"/>
      <c r="X10" s="6"/>
      <c r="Y10" s="6"/>
    </row>
    <row r="11" spans="1:25" s="7" customFormat="1" ht="20.149999999999999" customHeight="1">
      <c r="A11" s="95" t="s">
        <v>111</v>
      </c>
      <c r="B11" s="16" t="s">
        <v>112</v>
      </c>
      <c r="C11" s="48">
        <f>C12+C13+C14+C15+C18+C19+C20+C21+C22+C23+C24</f>
        <v>963191</v>
      </c>
      <c r="D11" s="48">
        <f t="shared" ref="D11:E11" si="2">D12+D13+D14+D15+D18+D19+D20+D21+D22+D23+D24</f>
        <v>1086196</v>
      </c>
      <c r="E11" s="48">
        <f t="shared" si="2"/>
        <v>1124694</v>
      </c>
      <c r="F11" s="48">
        <f>F12+F13+F14+F15+F18+F19+F20+F21+F22+F23+F24</f>
        <v>1125969</v>
      </c>
      <c r="G11" s="35"/>
      <c r="H11" s="36"/>
      <c r="I11" s="36"/>
      <c r="J11" s="36"/>
      <c r="K11" s="36"/>
      <c r="L11" s="36"/>
      <c r="M11" s="36"/>
      <c r="N11" s="36"/>
      <c r="O11" s="36"/>
      <c r="P11" s="35"/>
      <c r="Q11" s="35"/>
      <c r="R11" s="35"/>
      <c r="S11" s="35"/>
      <c r="T11" s="6"/>
      <c r="U11" s="6"/>
      <c r="V11" s="6"/>
      <c r="W11" s="6"/>
      <c r="X11" s="6"/>
      <c r="Y11" s="6"/>
    </row>
    <row r="12" spans="1:25" s="7" customFormat="1" ht="20.149999999999999" customHeight="1">
      <c r="A12" s="20" t="s">
        <v>28</v>
      </c>
      <c r="B12" s="11" t="s">
        <v>10</v>
      </c>
      <c r="C12" s="49">
        <v>210330</v>
      </c>
      <c r="D12" s="49">
        <v>300330</v>
      </c>
      <c r="E12" s="49">
        <v>290330</v>
      </c>
      <c r="F12" s="49">
        <v>240330</v>
      </c>
      <c r="G12" s="36"/>
      <c r="H12" s="35"/>
      <c r="I12" s="36"/>
      <c r="J12" s="36"/>
      <c r="K12" s="36"/>
      <c r="L12" s="36"/>
      <c r="M12" s="36"/>
      <c r="N12" s="36"/>
      <c r="O12" s="36"/>
      <c r="P12" s="35"/>
      <c r="Q12" s="35"/>
      <c r="R12" s="35"/>
      <c r="S12" s="35"/>
      <c r="T12" s="6"/>
      <c r="U12" s="6"/>
      <c r="V12" s="6"/>
      <c r="W12" s="6"/>
      <c r="X12" s="6"/>
      <c r="Y12" s="6"/>
    </row>
    <row r="13" spans="1:25" s="8" customFormat="1" ht="20.149999999999999" customHeight="1">
      <c r="A13" s="19" t="s">
        <v>29</v>
      </c>
      <c r="B13" s="11" t="s">
        <v>11</v>
      </c>
      <c r="C13" s="49">
        <v>21390</v>
      </c>
      <c r="D13" s="49">
        <v>21390</v>
      </c>
      <c r="E13" s="49">
        <v>22560</v>
      </c>
      <c r="F13" s="49">
        <v>0</v>
      </c>
      <c r="G13" s="34"/>
      <c r="H13" s="33"/>
      <c r="I13" s="34"/>
      <c r="J13" s="34"/>
      <c r="K13" s="34"/>
      <c r="L13" s="34"/>
      <c r="M13" s="34"/>
      <c r="N13" s="34"/>
      <c r="O13" s="34"/>
      <c r="P13" s="33"/>
      <c r="Q13" s="33"/>
      <c r="R13" s="33"/>
      <c r="S13" s="33"/>
      <c r="T13" s="9"/>
      <c r="U13" s="9"/>
      <c r="V13" s="9"/>
      <c r="W13" s="9"/>
      <c r="X13" s="9"/>
      <c r="Y13" s="9"/>
    </row>
    <row r="14" spans="1:25" s="7" customFormat="1" ht="20.149999999999999" customHeight="1">
      <c r="A14" s="20" t="s">
        <v>101</v>
      </c>
      <c r="B14" s="11" t="s">
        <v>102</v>
      </c>
      <c r="C14" s="85">
        <v>0</v>
      </c>
      <c r="D14" s="85">
        <v>0</v>
      </c>
      <c r="E14" s="85">
        <v>0</v>
      </c>
      <c r="F14" s="49">
        <v>22560</v>
      </c>
      <c r="G14" s="36"/>
      <c r="H14" s="33"/>
      <c r="I14" s="36"/>
      <c r="J14" s="36"/>
      <c r="K14" s="36"/>
      <c r="L14" s="36"/>
      <c r="M14" s="36"/>
      <c r="N14" s="36"/>
      <c r="O14" s="36"/>
      <c r="P14" s="35"/>
      <c r="Q14" s="35"/>
      <c r="R14" s="35"/>
      <c r="S14" s="35"/>
      <c r="T14" s="6"/>
      <c r="U14" s="6"/>
      <c r="V14" s="6"/>
      <c r="W14" s="6"/>
      <c r="X14" s="6"/>
      <c r="Y14" s="6"/>
    </row>
    <row r="15" spans="1:25" s="7" customFormat="1" ht="20.149999999999999" customHeight="1">
      <c r="A15" s="20" t="s">
        <v>30</v>
      </c>
      <c r="B15" s="15" t="s">
        <v>170</v>
      </c>
      <c r="C15" s="49">
        <f>C16+C17</f>
        <v>6069</v>
      </c>
      <c r="D15" s="49">
        <f t="shared" ref="D15:F15" si="3">D16+D17</f>
        <v>4742</v>
      </c>
      <c r="E15" s="49">
        <f t="shared" si="3"/>
        <v>5072</v>
      </c>
      <c r="F15" s="49">
        <f t="shared" si="3"/>
        <v>6108</v>
      </c>
      <c r="G15" s="36"/>
      <c r="H15" s="33"/>
      <c r="I15" s="36"/>
      <c r="J15" s="36"/>
      <c r="K15" s="36"/>
      <c r="L15" s="36"/>
      <c r="M15" s="36"/>
      <c r="N15" s="36"/>
      <c r="O15" s="36"/>
      <c r="P15" s="35"/>
      <c r="Q15" s="35"/>
      <c r="R15" s="35"/>
      <c r="S15" s="35"/>
      <c r="T15" s="6"/>
      <c r="U15" s="6"/>
      <c r="V15" s="6"/>
      <c r="W15" s="6"/>
      <c r="X15" s="6"/>
      <c r="Y15" s="6"/>
    </row>
    <row r="16" spans="1:25" ht="20.149999999999999" customHeight="1">
      <c r="A16" s="101" t="s">
        <v>31</v>
      </c>
      <c r="B16" s="12" t="s">
        <v>12</v>
      </c>
      <c r="C16" s="49">
        <v>6069</v>
      </c>
      <c r="D16" s="49">
        <v>4742</v>
      </c>
      <c r="E16" s="49">
        <v>5072</v>
      </c>
      <c r="F16" s="49">
        <v>6108</v>
      </c>
      <c r="P16" s="32"/>
      <c r="Q16" s="32"/>
      <c r="R16" s="32"/>
      <c r="S16" s="32"/>
      <c r="T16" s="4"/>
      <c r="U16" s="4"/>
      <c r="V16" s="4"/>
      <c r="W16" s="4"/>
      <c r="X16" s="4"/>
      <c r="Y16" s="4"/>
    </row>
    <row r="17" spans="1:25" ht="20.149999999999999" customHeight="1">
      <c r="A17" s="110" t="s">
        <v>32</v>
      </c>
      <c r="B17" s="12" t="s">
        <v>13</v>
      </c>
      <c r="C17" s="49">
        <v>0</v>
      </c>
      <c r="D17" s="49">
        <v>0</v>
      </c>
      <c r="E17" s="49">
        <v>0</v>
      </c>
      <c r="F17" s="49">
        <v>0</v>
      </c>
      <c r="P17" s="32"/>
      <c r="Q17" s="32"/>
      <c r="R17" s="32"/>
      <c r="S17" s="32"/>
      <c r="T17" s="4"/>
      <c r="U17" s="4"/>
      <c r="V17" s="4"/>
      <c r="W17" s="4"/>
      <c r="X17" s="4"/>
      <c r="Y17" s="4"/>
    </row>
    <row r="18" spans="1:25" ht="20.149999999999999" customHeight="1">
      <c r="A18" s="19" t="s">
        <v>128</v>
      </c>
      <c r="B18" s="13" t="s">
        <v>14</v>
      </c>
      <c r="C18" s="49">
        <v>471454</v>
      </c>
      <c r="D18" s="49">
        <v>505939</v>
      </c>
      <c r="E18" s="49">
        <v>546590</v>
      </c>
      <c r="F18" s="49">
        <v>596940</v>
      </c>
      <c r="I18" s="32"/>
      <c r="P18" s="32"/>
      <c r="Q18" s="32"/>
      <c r="R18" s="32"/>
      <c r="S18" s="32"/>
      <c r="T18" s="4"/>
      <c r="U18" s="4"/>
      <c r="V18" s="4"/>
      <c r="W18" s="4"/>
      <c r="X18" s="4"/>
      <c r="Y18" s="4"/>
    </row>
    <row r="19" spans="1:25" s="3" customFormat="1" ht="20.149999999999999" customHeight="1">
      <c r="A19" s="10" t="s">
        <v>34</v>
      </c>
      <c r="B19" s="13" t="s">
        <v>15</v>
      </c>
      <c r="C19" s="49">
        <v>2000</v>
      </c>
      <c r="D19" s="49">
        <v>2000</v>
      </c>
      <c r="E19" s="49">
        <v>2000</v>
      </c>
      <c r="F19" s="49">
        <v>2000</v>
      </c>
      <c r="G19" s="37"/>
      <c r="H19" s="37"/>
      <c r="I19" s="38"/>
      <c r="J19" s="38"/>
      <c r="K19" s="37"/>
      <c r="L19" s="37"/>
      <c r="M19" s="37"/>
      <c r="N19" s="37"/>
      <c r="O19" s="37"/>
      <c r="P19" s="32"/>
      <c r="Q19" s="32"/>
      <c r="R19" s="32"/>
      <c r="S19" s="32"/>
      <c r="T19" s="4"/>
      <c r="U19" s="4"/>
      <c r="V19" s="4"/>
      <c r="W19" s="4"/>
      <c r="X19" s="4"/>
      <c r="Y19" s="4"/>
    </row>
    <row r="20" spans="1:25" ht="20.149999999999999" customHeight="1">
      <c r="A20" s="10" t="s">
        <v>35</v>
      </c>
      <c r="B20" s="13" t="s">
        <v>16</v>
      </c>
      <c r="C20" s="49">
        <v>101</v>
      </c>
      <c r="D20" s="49">
        <v>92</v>
      </c>
      <c r="E20" s="49">
        <v>92</v>
      </c>
      <c r="F20" s="49">
        <v>92</v>
      </c>
      <c r="H20" s="39"/>
      <c r="I20" s="32"/>
      <c r="P20" s="32"/>
      <c r="Q20" s="32"/>
      <c r="R20" s="32"/>
      <c r="S20" s="32"/>
      <c r="T20" s="4"/>
      <c r="U20" s="4"/>
      <c r="V20" s="4"/>
      <c r="W20" s="4"/>
      <c r="X20" s="4"/>
      <c r="Y20" s="4"/>
    </row>
    <row r="21" spans="1:25" ht="19.5" customHeight="1">
      <c r="A21" s="10" t="s">
        <v>46</v>
      </c>
      <c r="B21" s="13" t="s">
        <v>17</v>
      </c>
      <c r="C21" s="49">
        <v>0</v>
      </c>
      <c r="D21" s="49">
        <v>0</v>
      </c>
      <c r="E21" s="49">
        <v>0</v>
      </c>
      <c r="F21" s="49">
        <v>0</v>
      </c>
      <c r="J21" s="32"/>
      <c r="P21" s="32"/>
      <c r="Q21" s="32"/>
      <c r="R21" s="32"/>
      <c r="S21" s="32"/>
      <c r="T21" s="4"/>
      <c r="U21" s="4"/>
      <c r="V21" s="4"/>
      <c r="W21" s="4"/>
      <c r="X21" s="4"/>
      <c r="Y21" s="4"/>
    </row>
    <row r="22" spans="1:25" ht="20.149999999999999" customHeight="1">
      <c r="A22" s="10" t="s">
        <v>36</v>
      </c>
      <c r="B22" s="13" t="s">
        <v>18</v>
      </c>
      <c r="C22" s="49">
        <v>2051</v>
      </c>
      <c r="D22" s="49">
        <v>2068</v>
      </c>
      <c r="E22" s="49">
        <v>2075</v>
      </c>
      <c r="F22" s="49">
        <v>2124</v>
      </c>
      <c r="H22" s="32"/>
      <c r="P22" s="32"/>
      <c r="Q22" s="32"/>
      <c r="R22" s="32"/>
      <c r="S22" s="32"/>
      <c r="T22" s="4"/>
      <c r="U22" s="4"/>
      <c r="V22" s="4"/>
      <c r="W22" s="4"/>
      <c r="X22" s="4"/>
      <c r="Y22" s="4"/>
    </row>
    <row r="23" spans="1:25" ht="20.149999999999999" customHeight="1">
      <c r="A23" s="10" t="s">
        <v>142</v>
      </c>
      <c r="B23" s="13" t="s">
        <v>19</v>
      </c>
      <c r="C23" s="49">
        <v>248032</v>
      </c>
      <c r="D23" s="49">
        <v>248032</v>
      </c>
      <c r="E23" s="49">
        <v>254532</v>
      </c>
      <c r="F23" s="49">
        <v>254532</v>
      </c>
      <c r="P23" s="32"/>
      <c r="Q23" s="32"/>
      <c r="R23" s="32"/>
      <c r="S23" s="32"/>
      <c r="T23" s="4"/>
      <c r="U23" s="4"/>
      <c r="V23" s="4"/>
      <c r="W23" s="4"/>
      <c r="X23" s="4"/>
      <c r="Y23" s="4"/>
    </row>
    <row r="24" spans="1:25" ht="20.149999999999999" customHeight="1">
      <c r="A24" s="76" t="s">
        <v>37</v>
      </c>
      <c r="B24" s="13" t="s">
        <v>20</v>
      </c>
      <c r="C24" s="68">
        <v>1764</v>
      </c>
      <c r="D24" s="68">
        <v>1603</v>
      </c>
      <c r="E24" s="68">
        <v>1443</v>
      </c>
      <c r="F24" s="68">
        <v>1283</v>
      </c>
      <c r="H24" s="32"/>
      <c r="P24" s="32"/>
      <c r="Q24" s="32"/>
      <c r="R24" s="32"/>
      <c r="S24" s="32"/>
      <c r="T24" s="4"/>
      <c r="U24" s="4"/>
      <c r="V24" s="4"/>
      <c r="W24" s="4"/>
      <c r="X24" s="4"/>
      <c r="Y24" s="4"/>
    </row>
    <row r="25" spans="1:25" ht="20.149999999999999" customHeight="1">
      <c r="A25" s="77" t="s">
        <v>38</v>
      </c>
      <c r="B25" s="78" t="s">
        <v>21</v>
      </c>
      <c r="C25" s="47">
        <v>541509</v>
      </c>
      <c r="D25" s="47">
        <v>556353</v>
      </c>
      <c r="E25" s="47">
        <v>572743</v>
      </c>
      <c r="F25" s="47">
        <v>596196</v>
      </c>
      <c r="K25" s="32"/>
      <c r="P25" s="32"/>
      <c r="Q25" s="32"/>
      <c r="R25" s="32"/>
      <c r="S25" s="32"/>
      <c r="T25" s="4"/>
      <c r="U25" s="4"/>
      <c r="V25" s="4"/>
      <c r="W25" s="4"/>
      <c r="X25" s="4"/>
      <c r="Y25" s="4"/>
    </row>
    <row r="26" spans="1:25" ht="20.149999999999999" customHeight="1">
      <c r="A26" s="110" t="s">
        <v>32</v>
      </c>
      <c r="B26" s="25" t="s">
        <v>13</v>
      </c>
      <c r="C26" s="49">
        <v>478546</v>
      </c>
      <c r="D26" s="49">
        <v>493590</v>
      </c>
      <c r="E26" s="49">
        <v>508442</v>
      </c>
      <c r="F26" s="49">
        <v>531543</v>
      </c>
      <c r="J26" s="32"/>
      <c r="P26" s="32"/>
      <c r="Q26" s="32"/>
      <c r="R26" s="32"/>
      <c r="S26" s="32"/>
      <c r="T26" s="4"/>
      <c r="U26" s="4"/>
      <c r="V26" s="4"/>
      <c r="W26" s="4"/>
      <c r="X26" s="4"/>
      <c r="Y26" s="4"/>
    </row>
    <row r="27" spans="1:25" ht="20.149999999999999" customHeight="1">
      <c r="A27" s="110" t="s">
        <v>31</v>
      </c>
      <c r="B27" s="25" t="s">
        <v>12</v>
      </c>
      <c r="C27" s="68">
        <v>51166</v>
      </c>
      <c r="D27" s="68">
        <v>51000</v>
      </c>
      <c r="E27" s="68">
        <v>53185</v>
      </c>
      <c r="F27" s="68">
        <v>53307</v>
      </c>
      <c r="H27" s="32"/>
      <c r="P27" s="32"/>
      <c r="Q27" s="32"/>
      <c r="R27" s="32"/>
      <c r="S27" s="32"/>
      <c r="T27" s="4"/>
      <c r="U27" s="4"/>
      <c r="V27" s="4"/>
      <c r="W27" s="4"/>
      <c r="X27" s="4"/>
      <c r="Y27" s="4"/>
    </row>
    <row r="28" spans="1:25" s="2" customFormat="1" ht="20.149999999999999" customHeight="1">
      <c r="A28" s="102" t="s">
        <v>135</v>
      </c>
      <c r="B28" s="25" t="s">
        <v>22</v>
      </c>
      <c r="C28" s="68">
        <v>11797</v>
      </c>
      <c r="D28" s="68">
        <v>11763</v>
      </c>
      <c r="E28" s="68">
        <v>11116</v>
      </c>
      <c r="F28" s="68">
        <v>11346</v>
      </c>
      <c r="G28" s="40"/>
      <c r="H28" s="40"/>
      <c r="I28" s="40"/>
      <c r="J28" s="40"/>
      <c r="K28" s="40"/>
      <c r="L28" s="40"/>
      <c r="M28" s="40"/>
      <c r="N28" s="40"/>
      <c r="O28" s="40"/>
      <c r="P28" s="32"/>
      <c r="Q28" s="32"/>
      <c r="R28" s="32"/>
      <c r="S28" s="32"/>
      <c r="T28" s="4"/>
      <c r="U28" s="4"/>
      <c r="V28" s="4"/>
      <c r="W28" s="4"/>
      <c r="X28" s="4"/>
      <c r="Y28" s="4"/>
    </row>
    <row r="29" spans="1:25" ht="20.149999999999999" customHeight="1">
      <c r="A29" s="17" t="s">
        <v>39</v>
      </c>
      <c r="B29" s="16" t="s">
        <v>23</v>
      </c>
      <c r="C29" s="47">
        <v>12478</v>
      </c>
      <c r="D29" s="47">
        <v>9269</v>
      </c>
      <c r="E29" s="47">
        <v>6392</v>
      </c>
      <c r="F29" s="47">
        <v>5640</v>
      </c>
      <c r="P29" s="32"/>
      <c r="Q29" s="32"/>
      <c r="R29" s="32"/>
      <c r="S29" s="32"/>
      <c r="T29" s="4"/>
      <c r="U29" s="4"/>
      <c r="V29" s="4"/>
      <c r="W29" s="4"/>
      <c r="X29" s="4"/>
      <c r="Y29" s="4"/>
    </row>
    <row r="30" spans="1:25" ht="21" customHeight="1">
      <c r="A30" s="17" t="s">
        <v>40</v>
      </c>
      <c r="B30" s="16" t="s">
        <v>24</v>
      </c>
      <c r="C30" s="47">
        <v>1225</v>
      </c>
      <c r="D30" s="47">
        <v>925</v>
      </c>
      <c r="E30" s="47">
        <v>450</v>
      </c>
      <c r="F30" s="47">
        <v>450</v>
      </c>
      <c r="I30" s="32"/>
      <c r="P30" s="32"/>
      <c r="Q30" s="32"/>
      <c r="R30" s="32"/>
      <c r="S30" s="32"/>
      <c r="T30" s="4"/>
      <c r="U30" s="4"/>
      <c r="V30" s="4"/>
      <c r="W30" s="4"/>
      <c r="X30" s="4"/>
      <c r="Y30" s="4"/>
    </row>
    <row r="31" spans="1:25" ht="20.149999999999999" customHeight="1">
      <c r="A31" s="18" t="s">
        <v>137</v>
      </c>
      <c r="B31" s="16" t="s">
        <v>103</v>
      </c>
      <c r="C31" s="47">
        <v>2353</v>
      </c>
      <c r="D31" s="47">
        <v>2331</v>
      </c>
      <c r="E31" s="47">
        <v>2436</v>
      </c>
      <c r="F31" s="47">
        <v>2207</v>
      </c>
      <c r="P31" s="32"/>
      <c r="Q31" s="32"/>
      <c r="R31" s="32"/>
      <c r="S31" s="32"/>
      <c r="T31" s="4"/>
      <c r="U31" s="4"/>
      <c r="V31" s="4"/>
      <c r="W31" s="4"/>
      <c r="X31" s="4"/>
      <c r="Y31" s="4"/>
    </row>
    <row r="32" spans="1:25" ht="20.149999999999999" customHeight="1">
      <c r="A32" s="18" t="s">
        <v>41</v>
      </c>
      <c r="B32" s="16" t="s">
        <v>25</v>
      </c>
      <c r="C32" s="47">
        <v>94008</v>
      </c>
      <c r="D32" s="47">
        <v>36763</v>
      </c>
      <c r="E32" s="47">
        <v>73806</v>
      </c>
      <c r="F32" s="47">
        <v>140870</v>
      </c>
      <c r="P32" s="32"/>
      <c r="Q32" s="32"/>
      <c r="R32" s="32"/>
      <c r="S32" s="32"/>
      <c r="T32" s="4"/>
      <c r="U32" s="4"/>
      <c r="V32" s="4"/>
      <c r="W32" s="4"/>
      <c r="X32" s="4"/>
      <c r="Y32" s="4"/>
    </row>
    <row r="33" spans="1:25" ht="20.149999999999999" customHeight="1">
      <c r="A33" s="18" t="s">
        <v>104</v>
      </c>
      <c r="B33" s="16" t="s">
        <v>105</v>
      </c>
      <c r="C33" s="47">
        <v>0</v>
      </c>
      <c r="D33" s="47">
        <v>0</v>
      </c>
      <c r="E33" s="47">
        <v>0</v>
      </c>
      <c r="F33" s="47">
        <v>0</v>
      </c>
      <c r="H33" s="32"/>
      <c r="P33" s="32"/>
      <c r="Q33" s="32"/>
      <c r="R33" s="32"/>
      <c r="S33" s="32"/>
      <c r="T33" s="4"/>
      <c r="U33" s="4"/>
      <c r="V33" s="4"/>
      <c r="W33" s="4"/>
      <c r="X33" s="4"/>
      <c r="Y33" s="4"/>
    </row>
    <row r="34" spans="1:25" ht="23.25" customHeight="1">
      <c r="A34" s="17" t="s">
        <v>148</v>
      </c>
      <c r="B34" s="115" t="s">
        <v>150</v>
      </c>
      <c r="C34" s="47">
        <v>932</v>
      </c>
      <c r="D34" s="47">
        <v>6552</v>
      </c>
      <c r="E34" s="47">
        <v>6128</v>
      </c>
      <c r="F34" s="47">
        <v>11341</v>
      </c>
      <c r="G34" s="32"/>
      <c r="P34" s="32"/>
      <c r="Q34" s="32"/>
      <c r="R34" s="32"/>
      <c r="S34" s="32"/>
      <c r="T34" s="4"/>
      <c r="U34" s="4"/>
      <c r="V34" s="4"/>
      <c r="W34" s="4"/>
      <c r="X34" s="4"/>
      <c r="Y34" s="4"/>
    </row>
    <row r="35" spans="1:25" ht="21.75" customHeight="1">
      <c r="A35" s="111" t="s">
        <v>160</v>
      </c>
      <c r="B35" s="14" t="s">
        <v>161</v>
      </c>
      <c r="C35" s="49">
        <v>-52525</v>
      </c>
      <c r="D35" s="49">
        <v>-46657</v>
      </c>
      <c r="E35" s="49">
        <v>-46914</v>
      </c>
      <c r="F35" s="49">
        <v>-41524</v>
      </c>
      <c r="G35" s="32"/>
      <c r="P35" s="32"/>
      <c r="Q35" s="32"/>
      <c r="R35" s="32"/>
      <c r="S35" s="32"/>
      <c r="T35" s="4"/>
      <c r="U35" s="4"/>
      <c r="V35" s="4"/>
      <c r="W35" s="4"/>
      <c r="X35" s="4"/>
      <c r="Y35" s="4"/>
    </row>
    <row r="36" spans="1:25" ht="20.149999999999999" customHeight="1">
      <c r="A36" s="112" t="s">
        <v>162</v>
      </c>
      <c r="B36" s="14" t="s">
        <v>163</v>
      </c>
      <c r="C36" s="49">
        <v>53457</v>
      </c>
      <c r="D36" s="49">
        <v>53209</v>
      </c>
      <c r="E36" s="49">
        <v>53042</v>
      </c>
      <c r="F36" s="49">
        <v>52865</v>
      </c>
      <c r="P36" s="32"/>
      <c r="Q36" s="32"/>
      <c r="R36" s="32"/>
      <c r="S36" s="32"/>
      <c r="T36" s="4"/>
      <c r="U36" s="4"/>
      <c r="V36" s="4"/>
      <c r="W36" s="4"/>
      <c r="X36" s="4"/>
      <c r="Y36" s="4"/>
    </row>
    <row r="37" spans="1:25" ht="19.5" customHeight="1">
      <c r="A37" s="17" t="s">
        <v>42</v>
      </c>
      <c r="B37" s="115" t="s">
        <v>146</v>
      </c>
      <c r="C37" s="47">
        <v>284779</v>
      </c>
      <c r="D37" s="47">
        <v>286995</v>
      </c>
      <c r="E37" s="47">
        <v>290055</v>
      </c>
      <c r="F37" s="47">
        <v>293902</v>
      </c>
    </row>
    <row r="38" spans="1:25" ht="24" customHeight="1">
      <c r="A38" s="111" t="s">
        <v>43</v>
      </c>
      <c r="B38" s="11" t="s">
        <v>149</v>
      </c>
      <c r="C38" s="49">
        <v>285969</v>
      </c>
      <c r="D38" s="49">
        <v>289138</v>
      </c>
      <c r="E38" s="49">
        <v>292666</v>
      </c>
      <c r="F38" s="49">
        <v>295339</v>
      </c>
    </row>
    <row r="39" spans="1:25" ht="20.25" customHeight="1">
      <c r="A39" s="112" t="s">
        <v>143</v>
      </c>
      <c r="B39" s="11" t="s">
        <v>26</v>
      </c>
      <c r="C39" s="49">
        <v>1190</v>
      </c>
      <c r="D39" s="49">
        <v>2143</v>
      </c>
      <c r="E39" s="49">
        <v>2611</v>
      </c>
      <c r="F39" s="49">
        <v>1437</v>
      </c>
    </row>
    <row r="40" spans="1:25" ht="26.25" customHeight="1">
      <c r="A40" s="17" t="s">
        <v>44</v>
      </c>
      <c r="B40" s="16" t="s">
        <v>145</v>
      </c>
      <c r="C40" s="47">
        <f>C41+C43</f>
        <v>61917</v>
      </c>
      <c r="D40" s="47">
        <f t="shared" ref="D40:E40" si="4">D41+D43</f>
        <v>60645</v>
      </c>
      <c r="E40" s="47">
        <f t="shared" si="4"/>
        <v>60239</v>
      </c>
      <c r="F40" s="47">
        <v>60230</v>
      </c>
    </row>
    <row r="41" spans="1:25" ht="25.5" customHeight="1">
      <c r="A41" s="111" t="s">
        <v>45</v>
      </c>
      <c r="B41" s="84" t="s">
        <v>165</v>
      </c>
      <c r="C41" s="49">
        <v>8460</v>
      </c>
      <c r="D41" s="49">
        <v>7436</v>
      </c>
      <c r="E41" s="49">
        <v>7197</v>
      </c>
      <c r="F41" s="49">
        <v>7365</v>
      </c>
    </row>
    <row r="42" spans="1:25" ht="24.75" customHeight="1">
      <c r="A42" s="113" t="s">
        <v>47</v>
      </c>
      <c r="B42" s="80" t="s">
        <v>169</v>
      </c>
      <c r="C42" s="49">
        <v>0</v>
      </c>
      <c r="D42" s="49">
        <v>0</v>
      </c>
      <c r="E42" s="49">
        <v>0</v>
      </c>
      <c r="F42" s="49">
        <v>0</v>
      </c>
    </row>
    <row r="43" spans="1:25" s="46" customFormat="1" ht="24.75" customHeight="1">
      <c r="A43" s="114" t="s">
        <v>144</v>
      </c>
      <c r="B43" s="81" t="s">
        <v>167</v>
      </c>
      <c r="C43" s="50">
        <v>53457</v>
      </c>
      <c r="D43" s="50">
        <v>53209</v>
      </c>
      <c r="E43" s="50">
        <v>53042</v>
      </c>
      <c r="F43" s="50">
        <v>52865</v>
      </c>
      <c r="G43" s="45"/>
      <c r="H43" s="45"/>
      <c r="I43" s="45"/>
      <c r="J43" s="45"/>
      <c r="K43" s="45"/>
      <c r="L43" s="45"/>
      <c r="M43" s="45"/>
      <c r="N43" s="45"/>
      <c r="O43" s="45"/>
      <c r="P43" s="45"/>
      <c r="Q43" s="45"/>
      <c r="R43" s="45"/>
      <c r="S43" s="45"/>
    </row>
    <row r="44" spans="1:25" ht="18.75" customHeight="1">
      <c r="A44" s="27" t="s">
        <v>49</v>
      </c>
      <c r="B44" s="43"/>
      <c r="C44" s="27"/>
      <c r="D44" s="27"/>
      <c r="E44" s="27"/>
      <c r="F44" s="27"/>
      <c r="G44" s="54"/>
      <c r="H44" s="54"/>
      <c r="I44" s="54"/>
      <c r="J44" s="54"/>
      <c r="K44" s="54"/>
      <c r="L44" s="45"/>
      <c r="M44" s="45"/>
      <c r="N44" s="45"/>
      <c r="O44" s="45"/>
      <c r="P44" s="45"/>
      <c r="Q44"/>
      <c r="R44"/>
      <c r="S44"/>
    </row>
    <row r="45" spans="1:25" ht="18.75" customHeight="1">
      <c r="A45" s="27" t="s">
        <v>126</v>
      </c>
      <c r="B45" s="43"/>
      <c r="C45" s="27"/>
      <c r="D45" s="27"/>
      <c r="E45" s="27"/>
      <c r="F45" s="27"/>
      <c r="G45" s="54"/>
      <c r="H45" s="54"/>
      <c r="I45" s="54"/>
      <c r="J45" s="54"/>
      <c r="K45" s="54"/>
      <c r="L45" s="45"/>
      <c r="M45" s="45"/>
      <c r="N45" s="45"/>
      <c r="O45" s="45"/>
      <c r="P45" s="45"/>
      <c r="Q45"/>
      <c r="R45"/>
      <c r="S45"/>
    </row>
    <row r="46" spans="1:25" ht="18.75" customHeight="1">
      <c r="A46" s="27" t="s">
        <v>85</v>
      </c>
      <c r="B46" s="43"/>
      <c r="C46" s="27"/>
      <c r="D46" s="27"/>
      <c r="E46" s="27"/>
      <c r="F46" s="27"/>
      <c r="G46" s="54"/>
      <c r="H46" s="54"/>
      <c r="I46" s="54"/>
      <c r="J46" s="54"/>
      <c r="K46" s="54"/>
      <c r="L46" s="45"/>
      <c r="M46" s="45"/>
      <c r="N46" s="45"/>
      <c r="O46" s="45"/>
      <c r="P46" s="45"/>
      <c r="Q46"/>
      <c r="R46"/>
      <c r="S46"/>
    </row>
    <row r="47" spans="1:25" ht="18.75" customHeight="1">
      <c r="A47" s="27" t="s">
        <v>53</v>
      </c>
      <c r="B47" s="43"/>
      <c r="C47" s="27"/>
      <c r="D47" s="27"/>
      <c r="E47" s="27"/>
      <c r="F47" s="27"/>
      <c r="G47" s="54"/>
      <c r="H47" s="54"/>
      <c r="I47" s="54"/>
      <c r="J47" s="54"/>
      <c r="K47" s="54"/>
      <c r="L47" s="45"/>
      <c r="M47" s="45"/>
      <c r="N47" s="45"/>
      <c r="O47" s="45"/>
      <c r="P47" s="45"/>
      <c r="Q47"/>
      <c r="R47"/>
      <c r="S47"/>
    </row>
    <row r="48" spans="1:25" ht="18.75" customHeight="1">
      <c r="A48" s="27" t="s">
        <v>86</v>
      </c>
      <c r="B48" s="43"/>
      <c r="C48" s="27"/>
      <c r="D48" s="27"/>
      <c r="E48" s="27"/>
      <c r="F48" s="27"/>
      <c r="G48" s="54"/>
      <c r="H48" s="54"/>
      <c r="I48" s="54"/>
      <c r="J48" s="54"/>
      <c r="K48" s="54"/>
      <c r="L48" s="45"/>
      <c r="M48" s="45"/>
      <c r="N48" s="45"/>
      <c r="O48" s="45"/>
      <c r="P48" s="45"/>
      <c r="Q48"/>
      <c r="R48"/>
      <c r="S48"/>
    </row>
    <row r="49" spans="1:19" ht="18.75" customHeight="1">
      <c r="A49" s="27" t="s">
        <v>54</v>
      </c>
      <c r="B49" s="43"/>
      <c r="C49" s="27"/>
      <c r="D49" s="27"/>
      <c r="E49" s="27"/>
      <c r="F49" s="27"/>
      <c r="G49" s="54"/>
      <c r="H49" s="54"/>
      <c r="I49" s="54"/>
      <c r="J49" s="54"/>
      <c r="K49" s="54"/>
      <c r="L49" s="45"/>
      <c r="M49" s="45"/>
      <c r="N49" s="45"/>
      <c r="O49" s="45"/>
      <c r="P49" s="45"/>
      <c r="Q49"/>
      <c r="R49"/>
      <c r="S49"/>
    </row>
    <row r="50" spans="1:19" ht="18.75" customHeight="1">
      <c r="A50" s="27" t="s">
        <v>87</v>
      </c>
      <c r="B50" s="27"/>
      <c r="C50" s="27"/>
      <c r="D50" s="27"/>
      <c r="E50" s="27"/>
      <c r="F50" s="27"/>
      <c r="G50" s="54"/>
      <c r="H50" s="54"/>
      <c r="I50" s="54"/>
      <c r="J50" s="54"/>
      <c r="K50" s="54"/>
      <c r="L50" s="45"/>
      <c r="M50" s="45"/>
      <c r="N50" s="45"/>
      <c r="O50" s="45"/>
      <c r="P50" s="45"/>
      <c r="Q50"/>
      <c r="R50"/>
      <c r="S50"/>
    </row>
    <row r="51" spans="1:19" ht="18.75" customHeight="1">
      <c r="A51" s="27" t="s">
        <v>123</v>
      </c>
      <c r="B51" s="27"/>
      <c r="C51" s="27"/>
      <c r="D51" s="27"/>
      <c r="E51" s="27"/>
      <c r="F51" s="27"/>
      <c r="G51" s="45"/>
      <c r="H51" s="45"/>
      <c r="I51" s="45"/>
      <c r="J51" s="45"/>
      <c r="K51" s="45"/>
    </row>
    <row r="52" spans="1:19">
      <c r="G52" s="45"/>
      <c r="H52" s="45"/>
      <c r="I52" s="45"/>
      <c r="J52" s="45"/>
      <c r="K52" s="45"/>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2"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S51"/>
  <sheetViews>
    <sheetView topLeftCell="A16" zoomScale="40" zoomScaleNormal="40" zoomScaleSheetLayoutView="88" workbookViewId="0">
      <selection activeCell="A4" sqref="A4:F51"/>
    </sheetView>
  </sheetViews>
  <sheetFormatPr defaultRowHeight="12.5"/>
  <cols>
    <col min="1" max="1" width="74.54296875" customWidth="1"/>
    <col min="2" max="2" width="100.54296875" style="1" customWidth="1"/>
    <col min="3" max="3" width="20.26953125" customWidth="1"/>
    <col min="4" max="4" width="19.453125" customWidth="1"/>
    <col min="5" max="5" width="20.7265625" customWidth="1"/>
    <col min="6" max="6" width="19.453125" customWidth="1"/>
    <col min="7" max="7" width="9.1796875" style="28"/>
    <col min="8" max="9" width="11.453125" style="28" bestFit="1" customWidth="1"/>
    <col min="10" max="11" width="13.26953125" style="28" bestFit="1" customWidth="1"/>
    <col min="12" max="13" width="9.1796875" style="28"/>
    <col min="19" max="19" width="9.26953125" bestFit="1" customWidth="1"/>
  </cols>
  <sheetData>
    <row r="1" spans="1:19" ht="15" hidden="1" customHeight="1"/>
    <row r="2" spans="1:19" ht="23" hidden="1">
      <c r="B2" s="164" t="s">
        <v>5</v>
      </c>
      <c r="C2" s="164"/>
      <c r="D2" s="164"/>
      <c r="E2" s="164"/>
      <c r="F2" s="164"/>
    </row>
    <row r="3" spans="1:19" ht="23" hidden="1">
      <c r="B3" s="165" t="s">
        <v>4</v>
      </c>
      <c r="C3" s="165"/>
      <c r="D3" s="165"/>
      <c r="E3" s="165"/>
      <c r="F3" s="165"/>
    </row>
    <row r="4" spans="1:19" s="5" customFormat="1" ht="45" customHeight="1">
      <c r="A4" s="166" t="s">
        <v>6</v>
      </c>
      <c r="B4" s="166"/>
      <c r="C4" s="166"/>
      <c r="D4" s="166"/>
      <c r="E4" s="166"/>
      <c r="F4" s="166"/>
      <c r="G4" s="29"/>
      <c r="H4" s="29"/>
      <c r="I4" s="29"/>
      <c r="J4" s="29"/>
      <c r="K4" s="29"/>
      <c r="L4" s="29"/>
      <c r="M4" s="29"/>
    </row>
    <row r="5" spans="1:19" s="5" customFormat="1" ht="45" customHeight="1" thickBot="1">
      <c r="A5" s="82"/>
      <c r="B5" s="82"/>
      <c r="C5" s="82"/>
      <c r="D5" s="82"/>
      <c r="E5" s="82"/>
      <c r="F5" s="30" t="s">
        <v>52</v>
      </c>
      <c r="G5" s="29"/>
      <c r="H5" s="29"/>
      <c r="I5" s="29"/>
      <c r="J5" s="29"/>
      <c r="K5" s="29"/>
      <c r="L5" s="29"/>
      <c r="M5" s="29"/>
    </row>
    <row r="6" spans="1:19" ht="25.5" customHeight="1" thickTop="1" thickBot="1">
      <c r="A6" s="167" t="s">
        <v>55</v>
      </c>
      <c r="B6" s="168"/>
      <c r="C6" s="53" t="s">
        <v>0</v>
      </c>
      <c r="D6" s="53" t="s">
        <v>1</v>
      </c>
      <c r="E6" s="53" t="s">
        <v>2</v>
      </c>
      <c r="F6" s="53" t="s">
        <v>3</v>
      </c>
    </row>
    <row r="7" spans="1:19" ht="36" customHeight="1" thickTop="1" thickBot="1">
      <c r="A7" s="169"/>
      <c r="B7" s="170"/>
      <c r="C7" s="66" t="s">
        <v>110</v>
      </c>
      <c r="D7" s="66" t="s">
        <v>113</v>
      </c>
      <c r="E7" s="67" t="s">
        <v>114</v>
      </c>
      <c r="F7" s="66" t="s">
        <v>115</v>
      </c>
    </row>
    <row r="8" spans="1:19" ht="20.149999999999999" customHeight="1" thickTop="1">
      <c r="A8" s="23" t="s">
        <v>171</v>
      </c>
      <c r="B8" s="24" t="s">
        <v>7</v>
      </c>
      <c r="C8" s="83">
        <f>C9+C34+C37-C40</f>
        <v>2259245</v>
      </c>
      <c r="D8" s="83">
        <f>D9+D34+D37-D40</f>
        <v>2368300</v>
      </c>
      <c r="E8" s="83">
        <f>E9+E34+E37-E40</f>
        <v>2496466</v>
      </c>
      <c r="F8" s="83">
        <f>F9+F34+F37-F40</f>
        <v>2620662</v>
      </c>
      <c r="J8" s="32"/>
      <c r="K8" s="32"/>
      <c r="L8" s="32"/>
      <c r="M8" s="32"/>
      <c r="N8" s="4"/>
      <c r="O8" s="4"/>
      <c r="P8" s="4"/>
      <c r="Q8" s="4"/>
      <c r="R8" s="4"/>
      <c r="S8" s="4"/>
    </row>
    <row r="9" spans="1:19" s="8" customFormat="1" ht="20.149999999999999" customHeight="1">
      <c r="A9" s="21" t="s">
        <v>151</v>
      </c>
      <c r="B9" s="16" t="s">
        <v>8</v>
      </c>
      <c r="C9" s="47">
        <f>C10+C29+C30+C31+C32</f>
        <v>1981475</v>
      </c>
      <c r="D9" s="47">
        <f t="shared" ref="D9:F9" si="0">D10+D29+D30+D31+D32</f>
        <v>2100020</v>
      </c>
      <c r="E9" s="47">
        <f t="shared" si="0"/>
        <v>2207467</v>
      </c>
      <c r="F9" s="47">
        <f t="shared" si="0"/>
        <v>2285644</v>
      </c>
      <c r="G9" s="34"/>
      <c r="H9" s="34"/>
      <c r="I9" s="34"/>
      <c r="J9" s="33"/>
      <c r="K9" s="33"/>
      <c r="L9" s="33"/>
      <c r="M9" s="33"/>
      <c r="N9" s="9"/>
      <c r="O9" s="9"/>
      <c r="P9" s="9"/>
      <c r="Q9" s="9"/>
      <c r="R9" s="9"/>
      <c r="S9" s="9"/>
    </row>
    <row r="10" spans="1:19" s="7" customFormat="1" ht="20.149999999999999" customHeight="1">
      <c r="A10" s="22" t="s">
        <v>27</v>
      </c>
      <c r="B10" s="16" t="s">
        <v>9</v>
      </c>
      <c r="C10" s="48">
        <f>C12+C13+C14+C16+C17+C18+C19+C20+C21+C22+C23+C24+C25</f>
        <v>1797720</v>
      </c>
      <c r="D10" s="48">
        <f t="shared" ref="D10:F10" si="1">D12+D13+D14+D16+D17+D18+D19+D20+D21+D22+D23+D24+D25</f>
        <v>1893950</v>
      </c>
      <c r="E10" s="48">
        <f t="shared" si="1"/>
        <v>2222517</v>
      </c>
      <c r="F10" s="48">
        <f t="shared" si="1"/>
        <v>2290527</v>
      </c>
      <c r="G10" s="36"/>
      <c r="H10" s="37"/>
      <c r="I10" s="37"/>
      <c r="J10" s="38"/>
      <c r="K10" s="38"/>
      <c r="L10" s="35"/>
      <c r="M10" s="35"/>
      <c r="N10" s="6"/>
      <c r="O10" s="6"/>
      <c r="P10" s="6"/>
      <c r="Q10" s="6"/>
      <c r="R10" s="6"/>
      <c r="S10" s="6"/>
    </row>
    <row r="11" spans="1:19" s="7" customFormat="1" ht="20.149999999999999" customHeight="1">
      <c r="A11" s="95" t="s">
        <v>111</v>
      </c>
      <c r="B11" s="16" t="s">
        <v>112</v>
      </c>
      <c r="C11" s="48">
        <f>C12+C13+C14+C15+C18+C19+C20+C21+C22+C23+C24</f>
        <v>1176830</v>
      </c>
      <c r="D11" s="48">
        <f t="shared" ref="D11:F11" si="2">D12+D13+D14+D15+D18+D19+D20+D21+D22+D23+D24</f>
        <v>1253090</v>
      </c>
      <c r="E11" s="48">
        <f t="shared" si="2"/>
        <v>1524768</v>
      </c>
      <c r="F11" s="48">
        <f t="shared" si="2"/>
        <v>1474532</v>
      </c>
      <c r="G11" s="36"/>
      <c r="H11" s="89"/>
      <c r="I11" s="89"/>
      <c r="J11" s="89"/>
      <c r="K11" s="89"/>
      <c r="L11" s="35"/>
      <c r="M11" s="35"/>
      <c r="N11" s="6"/>
      <c r="O11" s="6"/>
      <c r="P11" s="6"/>
      <c r="Q11" s="6"/>
      <c r="R11" s="6"/>
      <c r="S11" s="6"/>
    </row>
    <row r="12" spans="1:19" s="7" customFormat="1" ht="20.149999999999999" customHeight="1">
      <c r="A12" s="20" t="s">
        <v>28</v>
      </c>
      <c r="B12" s="11" t="s">
        <v>10</v>
      </c>
      <c r="C12" s="49">
        <v>241830</v>
      </c>
      <c r="D12" s="49">
        <v>241830</v>
      </c>
      <c r="E12" s="49">
        <v>461830</v>
      </c>
      <c r="F12" s="49">
        <v>390830</v>
      </c>
      <c r="G12" s="36"/>
      <c r="H12" s="36"/>
      <c r="I12" s="36"/>
      <c r="J12" s="35"/>
      <c r="K12" s="35"/>
      <c r="L12" s="35"/>
      <c r="M12" s="35"/>
      <c r="N12" s="6"/>
      <c r="O12" s="6"/>
      <c r="P12" s="6"/>
      <c r="Q12" s="6"/>
      <c r="R12" s="6"/>
      <c r="S12" s="6"/>
    </row>
    <row r="13" spans="1:19" s="8" customFormat="1" ht="20.149999999999999" customHeight="1">
      <c r="A13" s="19" t="s">
        <v>29</v>
      </c>
      <c r="B13" s="11" t="s">
        <v>11</v>
      </c>
      <c r="C13" s="49">
        <v>0</v>
      </c>
      <c r="D13" s="49">
        <v>0</v>
      </c>
      <c r="E13" s="49">
        <v>0</v>
      </c>
      <c r="F13" s="49">
        <v>0</v>
      </c>
      <c r="G13" s="34"/>
      <c r="H13" s="34"/>
      <c r="I13" s="34"/>
      <c r="J13" s="33"/>
      <c r="K13" s="33"/>
      <c r="L13" s="33"/>
      <c r="M13" s="33"/>
      <c r="N13" s="9"/>
      <c r="O13" s="9"/>
      <c r="P13" s="9"/>
      <c r="Q13" s="9"/>
      <c r="R13" s="9"/>
      <c r="S13" s="9"/>
    </row>
    <row r="14" spans="1:19" s="7" customFormat="1" ht="20.149999999999999" customHeight="1">
      <c r="A14" s="20" t="s">
        <v>101</v>
      </c>
      <c r="B14" s="11" t="s">
        <v>102</v>
      </c>
      <c r="C14" s="49">
        <v>23160</v>
      </c>
      <c r="D14" s="49">
        <v>23160</v>
      </c>
      <c r="E14" s="49">
        <v>26310</v>
      </c>
      <c r="F14" s="49">
        <v>26310</v>
      </c>
      <c r="G14" s="36"/>
      <c r="H14" s="36"/>
      <c r="I14" s="36"/>
      <c r="J14" s="35"/>
      <c r="K14" s="35"/>
      <c r="L14" s="35"/>
      <c r="M14" s="35"/>
      <c r="N14" s="6"/>
      <c r="O14" s="6"/>
      <c r="P14" s="6"/>
      <c r="Q14" s="6"/>
      <c r="R14" s="6"/>
      <c r="S14" s="6"/>
    </row>
    <row r="15" spans="1:19" s="7" customFormat="1" ht="20.149999999999999" customHeight="1">
      <c r="A15" s="20" t="s">
        <v>30</v>
      </c>
      <c r="B15" s="15" t="s">
        <v>170</v>
      </c>
      <c r="C15" s="49">
        <f>C16+C17</f>
        <v>7407</v>
      </c>
      <c r="D15" s="49">
        <f t="shared" ref="D15:F15" si="3">D16+D17</f>
        <v>7638</v>
      </c>
      <c r="E15" s="49">
        <f t="shared" si="3"/>
        <v>8647</v>
      </c>
      <c r="F15" s="49">
        <f t="shared" si="3"/>
        <v>8832</v>
      </c>
      <c r="G15" s="36"/>
      <c r="H15" s="36"/>
      <c r="I15" s="36"/>
      <c r="J15" s="35"/>
      <c r="K15" s="35"/>
      <c r="L15" s="35"/>
      <c r="M15" s="35"/>
      <c r="N15" s="6"/>
      <c r="O15" s="6"/>
      <c r="P15" s="6"/>
      <c r="Q15" s="6"/>
      <c r="R15" s="6"/>
      <c r="S15" s="6"/>
    </row>
    <row r="16" spans="1:19" ht="20.149999999999999" customHeight="1">
      <c r="A16" s="101" t="s">
        <v>31</v>
      </c>
      <c r="B16" s="12" t="s">
        <v>12</v>
      </c>
      <c r="C16" s="49">
        <v>7407</v>
      </c>
      <c r="D16" s="49">
        <v>7638</v>
      </c>
      <c r="E16" s="49">
        <v>8647</v>
      </c>
      <c r="F16" s="49">
        <v>8832</v>
      </c>
      <c r="J16" s="32"/>
      <c r="K16" s="32"/>
      <c r="L16" s="32"/>
      <c r="M16" s="32"/>
      <c r="N16" s="4"/>
      <c r="O16" s="4"/>
      <c r="P16" s="4"/>
      <c r="Q16" s="4"/>
      <c r="R16" s="4"/>
      <c r="S16" s="4"/>
    </row>
    <row r="17" spans="1:19" ht="20.149999999999999" customHeight="1">
      <c r="A17" s="106" t="s">
        <v>32</v>
      </c>
      <c r="B17" s="12" t="s">
        <v>13</v>
      </c>
      <c r="C17" s="49">
        <v>0</v>
      </c>
      <c r="D17" s="49">
        <v>0</v>
      </c>
      <c r="E17" s="49">
        <v>0</v>
      </c>
      <c r="F17" s="49">
        <v>0</v>
      </c>
      <c r="J17" s="32"/>
      <c r="K17" s="32"/>
      <c r="L17" s="32"/>
      <c r="M17" s="32"/>
      <c r="N17" s="4"/>
      <c r="O17" s="4"/>
      <c r="P17" s="4"/>
      <c r="Q17" s="4"/>
      <c r="R17" s="4"/>
      <c r="S17" s="4"/>
    </row>
    <row r="18" spans="1:19" ht="20.149999999999999" customHeight="1">
      <c r="A18" s="19" t="s">
        <v>128</v>
      </c>
      <c r="B18" s="13" t="s">
        <v>14</v>
      </c>
      <c r="C18" s="49">
        <v>630440</v>
      </c>
      <c r="D18" s="49">
        <v>685815</v>
      </c>
      <c r="E18" s="49">
        <v>726978</v>
      </c>
      <c r="F18" s="49">
        <v>745005</v>
      </c>
      <c r="J18" s="32"/>
      <c r="K18" s="32"/>
      <c r="L18" s="32"/>
      <c r="M18" s="32"/>
      <c r="N18" s="4"/>
      <c r="O18" s="4"/>
      <c r="P18" s="4"/>
      <c r="Q18" s="4"/>
      <c r="R18" s="4"/>
      <c r="S18" s="4"/>
    </row>
    <row r="19" spans="1:19" s="3" customFormat="1" ht="20.149999999999999" customHeight="1">
      <c r="A19" s="10" t="s">
        <v>34</v>
      </c>
      <c r="B19" s="13" t="s">
        <v>15</v>
      </c>
      <c r="C19" s="49">
        <v>2000</v>
      </c>
      <c r="D19" s="49">
        <v>2000</v>
      </c>
      <c r="E19" s="49">
        <v>2000</v>
      </c>
      <c r="F19" s="49">
        <v>2000</v>
      </c>
      <c r="G19" s="37"/>
      <c r="H19" s="37"/>
      <c r="I19" s="37"/>
      <c r="J19" s="32"/>
      <c r="K19" s="32"/>
      <c r="L19" s="32"/>
      <c r="M19" s="32"/>
      <c r="N19" s="4"/>
      <c r="O19" s="4"/>
      <c r="P19" s="4"/>
      <c r="Q19" s="4"/>
      <c r="R19" s="4"/>
      <c r="S19" s="4"/>
    </row>
    <row r="20" spans="1:19" ht="20.149999999999999" customHeight="1">
      <c r="A20" s="10" t="s">
        <v>35</v>
      </c>
      <c r="B20" s="13" t="s">
        <v>16</v>
      </c>
      <c r="C20" s="49">
        <v>92</v>
      </c>
      <c r="D20" s="49">
        <v>62</v>
      </c>
      <c r="E20" s="49">
        <v>62</v>
      </c>
      <c r="F20" s="49">
        <v>62</v>
      </c>
      <c r="J20" s="32"/>
      <c r="K20" s="32"/>
      <c r="L20" s="32"/>
      <c r="M20" s="32"/>
      <c r="N20" s="4"/>
      <c r="O20" s="4"/>
      <c r="P20" s="4"/>
      <c r="Q20" s="4"/>
      <c r="R20" s="4"/>
      <c r="S20" s="4"/>
    </row>
    <row r="21" spans="1:19" ht="19.5" customHeight="1">
      <c r="A21" s="10" t="s">
        <v>46</v>
      </c>
      <c r="B21" s="13" t="s">
        <v>17</v>
      </c>
      <c r="C21" s="49">
        <v>0</v>
      </c>
      <c r="D21" s="49">
        <v>0</v>
      </c>
      <c r="E21" s="49">
        <v>0</v>
      </c>
      <c r="F21" s="49">
        <v>0</v>
      </c>
      <c r="J21" s="32"/>
      <c r="K21" s="32"/>
      <c r="L21" s="32"/>
      <c r="M21" s="32"/>
      <c r="N21" s="4"/>
      <c r="O21" s="4"/>
      <c r="P21" s="4"/>
      <c r="Q21" s="4"/>
      <c r="R21" s="4"/>
      <c r="S21" s="4"/>
    </row>
    <row r="22" spans="1:19" ht="20.149999999999999" customHeight="1">
      <c r="A22" s="10" t="s">
        <v>36</v>
      </c>
      <c r="B22" s="13" t="s">
        <v>18</v>
      </c>
      <c r="C22" s="49">
        <v>2124</v>
      </c>
      <c r="D22" s="49">
        <v>2134</v>
      </c>
      <c r="E22" s="49">
        <v>2150</v>
      </c>
      <c r="F22" s="49">
        <v>2199</v>
      </c>
      <c r="J22" s="32"/>
      <c r="K22" s="32"/>
      <c r="L22" s="32"/>
      <c r="M22" s="32"/>
      <c r="N22" s="4"/>
      <c r="O22" s="4"/>
      <c r="P22" s="4"/>
      <c r="Q22" s="4"/>
      <c r="R22" s="4"/>
      <c r="S22" s="4"/>
    </row>
    <row r="23" spans="1:19" ht="20.149999999999999" customHeight="1">
      <c r="A23" s="10" t="s">
        <v>142</v>
      </c>
      <c r="B23" s="13" t="s">
        <v>19</v>
      </c>
      <c r="C23" s="49">
        <v>268655</v>
      </c>
      <c r="D23" s="49">
        <v>289489</v>
      </c>
      <c r="E23" s="49">
        <v>295989</v>
      </c>
      <c r="F23" s="49">
        <v>298653</v>
      </c>
      <c r="J23" s="32"/>
      <c r="K23" s="32"/>
      <c r="L23" s="32"/>
      <c r="M23" s="32"/>
      <c r="N23" s="4"/>
      <c r="O23" s="4"/>
      <c r="P23" s="4"/>
      <c r="Q23" s="4"/>
      <c r="R23" s="4"/>
      <c r="S23" s="4"/>
    </row>
    <row r="24" spans="1:19" ht="20.149999999999999" customHeight="1">
      <c r="A24" s="76" t="s">
        <v>37</v>
      </c>
      <c r="B24" s="13" t="s">
        <v>20</v>
      </c>
      <c r="C24" s="49">
        <v>1122</v>
      </c>
      <c r="D24" s="49">
        <v>962</v>
      </c>
      <c r="E24" s="49">
        <v>802</v>
      </c>
      <c r="F24" s="49">
        <v>641</v>
      </c>
      <c r="J24" s="32"/>
      <c r="K24" s="32"/>
      <c r="L24" s="32"/>
      <c r="M24" s="32"/>
      <c r="N24" s="4"/>
      <c r="O24" s="4"/>
      <c r="P24" s="4"/>
      <c r="Q24" s="4"/>
      <c r="R24" s="4"/>
      <c r="S24" s="4"/>
    </row>
    <row r="25" spans="1:19" ht="20.149999999999999" customHeight="1">
      <c r="A25" s="77" t="s">
        <v>38</v>
      </c>
      <c r="B25" s="78" t="s">
        <v>21</v>
      </c>
      <c r="C25" s="47">
        <f>SUM(C26:C28)</f>
        <v>620890</v>
      </c>
      <c r="D25" s="47">
        <f t="shared" ref="D25:F25" si="4">SUM(D26:D28)</f>
        <v>640860</v>
      </c>
      <c r="E25" s="47">
        <f t="shared" si="4"/>
        <v>697749</v>
      </c>
      <c r="F25" s="47">
        <f t="shared" si="4"/>
        <v>815995</v>
      </c>
      <c r="J25" s="32"/>
      <c r="K25" s="32"/>
      <c r="L25" s="32"/>
      <c r="M25" s="32"/>
      <c r="N25" s="4"/>
      <c r="O25" s="4"/>
      <c r="P25" s="4"/>
      <c r="Q25" s="4"/>
      <c r="R25" s="4"/>
      <c r="S25" s="4"/>
    </row>
    <row r="26" spans="1:19" ht="20.149999999999999" customHeight="1">
      <c r="A26" s="110" t="s">
        <v>32</v>
      </c>
      <c r="B26" s="25" t="s">
        <v>13</v>
      </c>
      <c r="C26" s="49">
        <v>554452</v>
      </c>
      <c r="D26" s="49">
        <v>574490</v>
      </c>
      <c r="E26" s="49">
        <v>605240</v>
      </c>
      <c r="F26" s="49">
        <v>656740</v>
      </c>
      <c r="J26" s="32"/>
      <c r="K26" s="32"/>
      <c r="L26" s="32"/>
      <c r="M26" s="32"/>
      <c r="N26" s="4"/>
      <c r="O26" s="4"/>
      <c r="P26" s="4"/>
      <c r="Q26" s="4"/>
      <c r="R26" s="4"/>
      <c r="S26" s="4"/>
    </row>
    <row r="27" spans="1:19" ht="20.149999999999999" customHeight="1">
      <c r="A27" s="110" t="s">
        <v>31</v>
      </c>
      <c r="B27" s="25" t="s">
        <v>12</v>
      </c>
      <c r="C27" s="49">
        <v>54725</v>
      </c>
      <c r="D27" s="49">
        <v>54456</v>
      </c>
      <c r="E27" s="49">
        <v>78461</v>
      </c>
      <c r="F27" s="49">
        <v>145576</v>
      </c>
      <c r="J27" s="32"/>
      <c r="K27" s="32"/>
      <c r="L27" s="32"/>
      <c r="M27" s="32"/>
      <c r="N27" s="4"/>
      <c r="O27" s="4"/>
      <c r="P27" s="4"/>
      <c r="Q27" s="4"/>
      <c r="R27" s="4"/>
      <c r="S27" s="4"/>
    </row>
    <row r="28" spans="1:19" s="2" customFormat="1" ht="20.149999999999999" customHeight="1">
      <c r="A28" s="102" t="s">
        <v>135</v>
      </c>
      <c r="B28" s="25" t="s">
        <v>22</v>
      </c>
      <c r="C28" s="49">
        <v>11713</v>
      </c>
      <c r="D28" s="49">
        <v>11914</v>
      </c>
      <c r="E28" s="49">
        <v>14048</v>
      </c>
      <c r="F28" s="49">
        <v>13679</v>
      </c>
      <c r="G28" s="40"/>
      <c r="H28" s="40"/>
      <c r="I28" s="40"/>
      <c r="J28" s="32"/>
      <c r="K28" s="32"/>
      <c r="L28" s="32"/>
      <c r="M28" s="32"/>
      <c r="N28" s="4"/>
      <c r="O28" s="4"/>
      <c r="P28" s="4"/>
      <c r="Q28" s="4"/>
      <c r="R28" s="4"/>
      <c r="S28" s="4"/>
    </row>
    <row r="29" spans="1:19" ht="20.149999999999999" customHeight="1">
      <c r="A29" s="17" t="s">
        <v>39</v>
      </c>
      <c r="B29" s="16" t="s">
        <v>23</v>
      </c>
      <c r="C29" s="47">
        <v>0</v>
      </c>
      <c r="D29" s="47">
        <v>0</v>
      </c>
      <c r="E29" s="47">
        <v>0</v>
      </c>
      <c r="F29" s="47">
        <v>0</v>
      </c>
      <c r="J29" s="32"/>
      <c r="K29" s="32"/>
      <c r="L29" s="32"/>
      <c r="M29" s="32"/>
      <c r="N29" s="4"/>
      <c r="O29" s="4"/>
      <c r="P29" s="4"/>
      <c r="Q29" s="4"/>
      <c r="R29" s="4"/>
      <c r="S29" s="4"/>
    </row>
    <row r="30" spans="1:19" ht="21" customHeight="1">
      <c r="A30" s="17" t="s">
        <v>40</v>
      </c>
      <c r="B30" s="16" t="s">
        <v>24</v>
      </c>
      <c r="C30" s="47">
        <v>450</v>
      </c>
      <c r="D30" s="47">
        <v>450</v>
      </c>
      <c r="E30" s="47">
        <v>250</v>
      </c>
      <c r="F30" s="47">
        <v>250</v>
      </c>
      <c r="J30" s="32"/>
      <c r="K30" s="32"/>
      <c r="L30" s="32"/>
      <c r="M30" s="32"/>
      <c r="N30" s="4"/>
      <c r="O30" s="4"/>
      <c r="P30" s="4"/>
      <c r="Q30" s="4"/>
      <c r="R30" s="4"/>
      <c r="S30" s="4"/>
    </row>
    <row r="31" spans="1:19" ht="20.149999999999999" customHeight="1">
      <c r="A31" s="18" t="s">
        <v>137</v>
      </c>
      <c r="B31" s="16" t="s">
        <v>103</v>
      </c>
      <c r="C31" s="47">
        <v>1748</v>
      </c>
      <c r="D31" s="47">
        <v>1371</v>
      </c>
      <c r="E31" s="47">
        <v>1227</v>
      </c>
      <c r="F31" s="47">
        <v>1125</v>
      </c>
      <c r="J31" s="32"/>
      <c r="K31" s="32"/>
      <c r="L31" s="32"/>
      <c r="M31" s="32"/>
      <c r="N31" s="4"/>
      <c r="O31" s="4"/>
      <c r="P31" s="4"/>
      <c r="Q31" s="4"/>
      <c r="R31" s="4"/>
      <c r="S31" s="4"/>
    </row>
    <row r="32" spans="1:19" ht="20.149999999999999" customHeight="1">
      <c r="A32" s="18" t="s">
        <v>41</v>
      </c>
      <c r="B32" s="16" t="s">
        <v>25</v>
      </c>
      <c r="C32" s="47">
        <v>181557</v>
      </c>
      <c r="D32" s="47">
        <v>204249</v>
      </c>
      <c r="E32" s="47">
        <v>-16527</v>
      </c>
      <c r="F32" s="47">
        <v>-6258</v>
      </c>
      <c r="J32" s="32"/>
      <c r="K32" s="32"/>
      <c r="L32" s="32"/>
      <c r="M32" s="32"/>
      <c r="N32" s="4"/>
      <c r="O32" s="4"/>
      <c r="P32" s="4"/>
      <c r="Q32" s="4"/>
      <c r="R32" s="4"/>
      <c r="S32" s="4"/>
    </row>
    <row r="33" spans="1:19" ht="20.149999999999999" customHeight="1">
      <c r="A33" s="18" t="s">
        <v>104</v>
      </c>
      <c r="B33" s="16" t="s">
        <v>105</v>
      </c>
      <c r="C33" s="47">
        <v>0</v>
      </c>
      <c r="D33" s="47">
        <v>0</v>
      </c>
      <c r="E33" s="47">
        <v>0</v>
      </c>
      <c r="F33" s="47">
        <v>0</v>
      </c>
      <c r="J33" s="32"/>
      <c r="K33" s="32"/>
      <c r="L33" s="32"/>
      <c r="M33" s="32"/>
      <c r="N33" s="4"/>
      <c r="O33" s="4"/>
      <c r="P33" s="4"/>
      <c r="Q33" s="4"/>
      <c r="R33" s="4"/>
      <c r="S33" s="4"/>
    </row>
    <row r="34" spans="1:19" ht="23.25" customHeight="1">
      <c r="A34" s="17" t="s">
        <v>148</v>
      </c>
      <c r="B34" s="115" t="s">
        <v>150</v>
      </c>
      <c r="C34" s="47">
        <f>C35+C36</f>
        <v>42190</v>
      </c>
      <c r="D34" s="47">
        <f t="shared" ref="D34:F34" si="5">D35+D36</f>
        <v>45890</v>
      </c>
      <c r="E34" s="47">
        <f t="shared" si="5"/>
        <v>62794</v>
      </c>
      <c r="F34" s="47">
        <f t="shared" si="5"/>
        <v>103720</v>
      </c>
      <c r="J34" s="32"/>
      <c r="K34" s="32"/>
      <c r="L34" s="32"/>
      <c r="M34" s="32"/>
      <c r="N34" s="4"/>
      <c r="O34" s="4"/>
      <c r="P34" s="4"/>
      <c r="Q34" s="4"/>
      <c r="R34" s="4"/>
      <c r="S34" s="4"/>
    </row>
    <row r="35" spans="1:19" ht="21.75" customHeight="1">
      <c r="A35" s="111" t="s">
        <v>160</v>
      </c>
      <c r="B35" s="14" t="s">
        <v>161</v>
      </c>
      <c r="C35" s="49">
        <v>-11830</v>
      </c>
      <c r="D35" s="49">
        <v>-4912</v>
      </c>
      <c r="E35" s="49">
        <v>11700</v>
      </c>
      <c r="F35" s="49">
        <v>52171</v>
      </c>
      <c r="J35" s="32"/>
      <c r="K35" s="32"/>
      <c r="L35" s="32"/>
      <c r="M35" s="32"/>
      <c r="N35" s="4"/>
      <c r="O35" s="4"/>
      <c r="P35" s="4"/>
      <c r="Q35" s="4"/>
      <c r="R35" s="4"/>
      <c r="S35" s="4"/>
    </row>
    <row r="36" spans="1:19" ht="20.149999999999999" customHeight="1">
      <c r="A36" s="112" t="s">
        <v>162</v>
      </c>
      <c r="B36" s="14" t="s">
        <v>163</v>
      </c>
      <c r="C36" s="49">
        <v>54020</v>
      </c>
      <c r="D36" s="49">
        <v>50802</v>
      </c>
      <c r="E36" s="49">
        <v>51094</v>
      </c>
      <c r="F36" s="49">
        <v>51549</v>
      </c>
      <c r="J36" s="32"/>
      <c r="K36" s="32"/>
      <c r="L36" s="32"/>
      <c r="M36" s="32"/>
      <c r="N36" s="4"/>
      <c r="O36" s="4"/>
      <c r="P36" s="4"/>
      <c r="Q36" s="4"/>
      <c r="R36" s="4"/>
      <c r="S36" s="4"/>
    </row>
    <row r="37" spans="1:19" ht="19.5" customHeight="1">
      <c r="A37" s="17" t="s">
        <v>42</v>
      </c>
      <c r="B37" s="115" t="s">
        <v>146</v>
      </c>
      <c r="C37" s="47">
        <f>C38-C39</f>
        <v>295838</v>
      </c>
      <c r="D37" s="47">
        <f t="shared" ref="D37:F37" si="6">D38-D39</f>
        <v>282974</v>
      </c>
      <c r="E37" s="47">
        <f t="shared" si="6"/>
        <v>297984</v>
      </c>
      <c r="F37" s="47">
        <f t="shared" si="6"/>
        <v>309591</v>
      </c>
    </row>
    <row r="38" spans="1:19" ht="24" customHeight="1">
      <c r="A38" s="111" t="s">
        <v>43</v>
      </c>
      <c r="B38" s="11" t="s">
        <v>149</v>
      </c>
      <c r="C38" s="49">
        <v>299210</v>
      </c>
      <c r="D38" s="49">
        <v>289681</v>
      </c>
      <c r="E38" s="49">
        <v>304742</v>
      </c>
      <c r="F38" s="49">
        <v>315201</v>
      </c>
    </row>
    <row r="39" spans="1:19" ht="20.25" customHeight="1">
      <c r="A39" s="112" t="s">
        <v>143</v>
      </c>
      <c r="B39" s="11" t="s">
        <v>26</v>
      </c>
      <c r="C39" s="49">
        <v>3372</v>
      </c>
      <c r="D39" s="49">
        <v>6707</v>
      </c>
      <c r="E39" s="49">
        <v>6758</v>
      </c>
      <c r="F39" s="49">
        <v>5610</v>
      </c>
    </row>
    <row r="40" spans="1:19" ht="26.25" customHeight="1">
      <c r="A40" s="17" t="s">
        <v>44</v>
      </c>
      <c r="B40" s="16" t="s">
        <v>145</v>
      </c>
      <c r="C40" s="47">
        <f>C41+C43</f>
        <v>60258</v>
      </c>
      <c r="D40" s="47">
        <f t="shared" ref="D40:F40" si="7">D41+D43</f>
        <v>60584</v>
      </c>
      <c r="E40" s="47">
        <f t="shared" si="7"/>
        <v>71779</v>
      </c>
      <c r="F40" s="47">
        <f t="shared" si="7"/>
        <v>78293</v>
      </c>
    </row>
    <row r="41" spans="1:19" ht="25.5" customHeight="1">
      <c r="A41" s="111" t="s">
        <v>45</v>
      </c>
      <c r="B41" s="84" t="s">
        <v>165</v>
      </c>
      <c r="C41" s="49">
        <v>6238</v>
      </c>
      <c r="D41" s="49">
        <v>9782</v>
      </c>
      <c r="E41" s="49">
        <v>20685</v>
      </c>
      <c r="F41" s="49">
        <v>26744</v>
      </c>
    </row>
    <row r="42" spans="1:19" ht="24.75" customHeight="1">
      <c r="A42" s="113" t="s">
        <v>47</v>
      </c>
      <c r="B42" s="80" t="s">
        <v>169</v>
      </c>
      <c r="C42" s="49">
        <v>0</v>
      </c>
      <c r="D42" s="49">
        <v>0</v>
      </c>
      <c r="E42" s="49">
        <v>0</v>
      </c>
      <c r="F42" s="49">
        <v>0</v>
      </c>
    </row>
    <row r="43" spans="1:19" s="46" customFormat="1" ht="24.75" customHeight="1">
      <c r="A43" s="114" t="s">
        <v>144</v>
      </c>
      <c r="B43" s="81" t="s">
        <v>167</v>
      </c>
      <c r="C43" s="50">
        <v>54020</v>
      </c>
      <c r="D43" s="50">
        <v>50802</v>
      </c>
      <c r="E43" s="50">
        <v>51094</v>
      </c>
      <c r="F43" s="50">
        <v>51549</v>
      </c>
      <c r="G43" s="45"/>
      <c r="H43" s="45"/>
      <c r="I43" s="45"/>
      <c r="J43" s="45"/>
      <c r="K43" s="45"/>
      <c r="L43" s="45"/>
      <c r="M43" s="45"/>
    </row>
    <row r="44" spans="1:19" ht="18.75" customHeight="1">
      <c r="A44" s="96" t="s">
        <v>49</v>
      </c>
      <c r="B44" s="43"/>
      <c r="C44" s="27"/>
      <c r="D44" s="27"/>
      <c r="E44" s="27"/>
      <c r="F44" s="27"/>
      <c r="G44" s="45"/>
      <c r="H44" s="45"/>
      <c r="I44" s="45"/>
      <c r="J44" s="45"/>
      <c r="K44"/>
      <c r="L44"/>
      <c r="M44"/>
    </row>
    <row r="45" spans="1:19" ht="18.75" customHeight="1">
      <c r="A45" s="27" t="s">
        <v>125</v>
      </c>
      <c r="B45" s="43"/>
      <c r="C45" s="27"/>
      <c r="D45" s="27"/>
      <c r="E45" s="27"/>
      <c r="F45" s="27"/>
      <c r="G45" s="45"/>
      <c r="H45" s="45"/>
      <c r="I45" s="45"/>
      <c r="J45" s="45"/>
      <c r="K45"/>
      <c r="L45"/>
      <c r="M45"/>
    </row>
    <row r="46" spans="1:19" ht="18.75" customHeight="1">
      <c r="A46" s="27" t="s">
        <v>85</v>
      </c>
      <c r="B46" s="43"/>
      <c r="C46" s="27"/>
      <c r="D46" s="27"/>
      <c r="E46" s="27"/>
      <c r="F46" s="27"/>
      <c r="G46" s="45"/>
      <c r="H46" s="45"/>
      <c r="I46" s="45"/>
      <c r="J46" s="45"/>
      <c r="K46"/>
      <c r="L46"/>
      <c r="M46"/>
    </row>
    <row r="47" spans="1:19" ht="18.75" customHeight="1">
      <c r="A47" s="27" t="s">
        <v>53</v>
      </c>
      <c r="B47" s="43"/>
      <c r="C47" s="27"/>
      <c r="D47" s="27"/>
      <c r="E47" s="27"/>
      <c r="F47" s="27"/>
      <c r="G47" s="45"/>
      <c r="H47" s="45"/>
      <c r="I47" s="45"/>
      <c r="J47" s="45"/>
      <c r="K47"/>
      <c r="L47"/>
      <c r="M47"/>
    </row>
    <row r="48" spans="1:19" ht="18.75" customHeight="1">
      <c r="A48" s="27" t="s">
        <v>86</v>
      </c>
      <c r="B48" s="43"/>
      <c r="C48" s="27"/>
      <c r="D48" s="27"/>
      <c r="E48" s="27"/>
      <c r="F48" s="27"/>
      <c r="G48" s="45"/>
      <c r="H48" s="45"/>
      <c r="I48" s="45"/>
      <c r="J48" s="45"/>
      <c r="K48"/>
      <c r="L48"/>
      <c r="M48"/>
    </row>
    <row r="49" spans="1:13" ht="18.75" customHeight="1">
      <c r="A49" s="27" t="s">
        <v>54</v>
      </c>
      <c r="B49" s="43"/>
      <c r="C49" s="27"/>
      <c r="D49" s="27"/>
      <c r="E49" s="27"/>
      <c r="F49" s="27"/>
      <c r="G49" s="45"/>
      <c r="H49" s="45"/>
      <c r="I49" s="45"/>
      <c r="J49" s="45"/>
      <c r="K49"/>
      <c r="L49"/>
      <c r="M49"/>
    </row>
    <row r="50" spans="1:13" ht="18.75" customHeight="1">
      <c r="A50" s="27" t="s">
        <v>87</v>
      </c>
      <c r="B50" s="43"/>
      <c r="C50" s="27"/>
      <c r="D50" s="27"/>
      <c r="E50" s="27"/>
      <c r="F50" s="27"/>
      <c r="G50" s="45"/>
      <c r="H50" s="45"/>
      <c r="I50" s="45"/>
      <c r="J50" s="45"/>
      <c r="K50"/>
      <c r="L50"/>
      <c r="M50"/>
    </row>
    <row r="51" spans="1:13" ht="18.75" customHeight="1">
      <c r="A51" s="27" t="s">
        <v>123</v>
      </c>
      <c r="B51" s="43"/>
      <c r="C51" s="43"/>
      <c r="D51" s="43"/>
      <c r="E51" s="43"/>
      <c r="F51" s="43"/>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2"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S56"/>
  <sheetViews>
    <sheetView topLeftCell="A31" zoomScale="50" zoomScaleNormal="50" zoomScaleSheetLayoutView="88" workbookViewId="0">
      <selection activeCell="A5" sqref="A5:F54"/>
    </sheetView>
  </sheetViews>
  <sheetFormatPr defaultRowHeight="12.5"/>
  <cols>
    <col min="1" max="1" width="74.54296875" customWidth="1"/>
    <col min="2" max="2" width="100.54296875" style="1" customWidth="1"/>
    <col min="3" max="3" width="20.26953125" customWidth="1"/>
    <col min="4" max="4" width="19.453125" customWidth="1"/>
    <col min="5" max="5" width="20.7265625" customWidth="1"/>
    <col min="6" max="6" width="19.453125" customWidth="1"/>
    <col min="7" max="8" width="9.1796875" style="28"/>
    <col min="9" max="9" width="12.81640625" style="28" bestFit="1" customWidth="1"/>
    <col min="10" max="12" width="13.453125" style="28" bestFit="1" customWidth="1"/>
    <col min="13" max="13" width="9.1796875" style="28"/>
    <col min="19" max="19" width="9.26953125" bestFit="1" customWidth="1"/>
  </cols>
  <sheetData>
    <row r="1" spans="1:19" ht="15" hidden="1" customHeight="1"/>
    <row r="2" spans="1:19" ht="23" hidden="1">
      <c r="B2" s="164" t="s">
        <v>5</v>
      </c>
      <c r="C2" s="164"/>
      <c r="D2" s="164"/>
      <c r="E2" s="164"/>
      <c r="F2" s="164"/>
    </row>
    <row r="3" spans="1:19" ht="23" hidden="1">
      <c r="B3" s="165" t="s">
        <v>4</v>
      </c>
      <c r="C3" s="165"/>
      <c r="D3" s="165"/>
      <c r="E3" s="165"/>
      <c r="F3" s="165"/>
    </row>
    <row r="4" spans="1:19" ht="18" customHeight="1">
      <c r="B4" s="90"/>
      <c r="C4" s="90"/>
      <c r="D4" s="90"/>
      <c r="E4" s="90"/>
      <c r="F4" s="90"/>
    </row>
    <row r="5" spans="1:19" s="5" customFormat="1" ht="33" customHeight="1">
      <c r="A5" s="166" t="s">
        <v>6</v>
      </c>
      <c r="B5" s="166"/>
      <c r="C5" s="166"/>
      <c r="D5" s="166"/>
      <c r="E5" s="166"/>
      <c r="F5" s="166"/>
      <c r="G5" s="29"/>
      <c r="H5" s="29"/>
      <c r="I5" s="29"/>
      <c r="J5" s="29"/>
      <c r="K5" s="29"/>
      <c r="L5" s="29"/>
      <c r="M5" s="29"/>
    </row>
    <row r="6" spans="1:19" s="5" customFormat="1" ht="18" customHeight="1" thickBot="1">
      <c r="A6" s="87"/>
      <c r="B6" s="87"/>
      <c r="C6" s="87"/>
      <c r="D6" s="87"/>
      <c r="E6" s="87"/>
      <c r="F6" s="30" t="s">
        <v>52</v>
      </c>
      <c r="G6" s="29"/>
      <c r="H6" s="29"/>
      <c r="I6" s="29"/>
      <c r="J6" s="29"/>
      <c r="K6" s="29"/>
      <c r="L6" s="29"/>
      <c r="M6" s="29"/>
    </row>
    <row r="7" spans="1:19" ht="25.5" customHeight="1" thickTop="1" thickBot="1">
      <c r="A7" s="167" t="s">
        <v>55</v>
      </c>
      <c r="B7" s="168"/>
      <c r="C7" s="53" t="s">
        <v>0</v>
      </c>
      <c r="D7" s="53" t="s">
        <v>1</v>
      </c>
      <c r="E7" s="53" t="s">
        <v>2</v>
      </c>
      <c r="F7" s="53" t="s">
        <v>136</v>
      </c>
    </row>
    <row r="8" spans="1:19" ht="36" customHeight="1" thickTop="1" thickBot="1">
      <c r="A8" s="169"/>
      <c r="B8" s="170"/>
      <c r="C8" s="66" t="s">
        <v>116</v>
      </c>
      <c r="D8" s="66" t="s">
        <v>117</v>
      </c>
      <c r="E8" s="67" t="s">
        <v>118</v>
      </c>
      <c r="F8" s="66" t="s">
        <v>119</v>
      </c>
    </row>
    <row r="9" spans="1:19" ht="20.149999999999999" customHeight="1" thickTop="1">
      <c r="A9" s="23" t="s">
        <v>152</v>
      </c>
      <c r="B9" s="24" t="s">
        <v>7</v>
      </c>
      <c r="C9" s="83">
        <f>C10+C36+C39-C42</f>
        <v>2758015</v>
      </c>
      <c r="D9" s="83">
        <f>D10+D36+D39-D42</f>
        <v>3052640</v>
      </c>
      <c r="E9" s="83">
        <f>E10+E36+E39-E42</f>
        <v>3073655</v>
      </c>
      <c r="F9" s="83">
        <f>F10+F36+F39-F42</f>
        <v>3160864</v>
      </c>
      <c r="J9" s="32"/>
      <c r="K9" s="32"/>
      <c r="L9" s="32"/>
      <c r="M9" s="32"/>
      <c r="N9" s="4"/>
      <c r="O9" s="4"/>
      <c r="P9" s="4"/>
      <c r="Q9" s="4"/>
      <c r="R9" s="4"/>
      <c r="S9" s="4"/>
    </row>
    <row r="10" spans="1:19" s="8" customFormat="1" ht="20.149999999999999" customHeight="1">
      <c r="A10" s="21" t="s">
        <v>151</v>
      </c>
      <c r="B10" s="16" t="s">
        <v>8</v>
      </c>
      <c r="C10" s="47">
        <f>C11+C31+C32+C33+C34+C35</f>
        <v>2403661</v>
      </c>
      <c r="D10" s="47">
        <f>D11+D31+D32+D33+D34+D35</f>
        <v>2596301</v>
      </c>
      <c r="E10" s="47">
        <f>E11+E31+E32+E33+E34+E35</f>
        <v>2648691</v>
      </c>
      <c r="F10" s="47">
        <f>F11+F31+F32+F33+F34+F35</f>
        <v>2685898</v>
      </c>
      <c r="G10" s="34"/>
      <c r="H10" s="34"/>
      <c r="I10" s="34"/>
      <c r="J10" s="33"/>
      <c r="K10" s="33"/>
      <c r="L10" s="33"/>
      <c r="M10" s="33"/>
      <c r="N10" s="9"/>
      <c r="O10" s="9"/>
      <c r="P10" s="9"/>
      <c r="Q10" s="9"/>
      <c r="R10" s="9"/>
      <c r="S10" s="9"/>
    </row>
    <row r="11" spans="1:19" s="7" customFormat="1" ht="20.149999999999999" customHeight="1">
      <c r="A11" s="18" t="s">
        <v>27</v>
      </c>
      <c r="B11" s="16" t="s">
        <v>9</v>
      </c>
      <c r="C11" s="48">
        <f>C12+C27</f>
        <v>2374881</v>
      </c>
      <c r="D11" s="48">
        <f>D12+D27</f>
        <v>2922002</v>
      </c>
      <c r="E11" s="48">
        <f>E12+E27</f>
        <v>2952472</v>
      </c>
      <c r="F11" s="48">
        <f>F12+F27</f>
        <v>3024480</v>
      </c>
      <c r="G11" s="36"/>
      <c r="H11" s="36"/>
      <c r="I11" s="88"/>
      <c r="J11" s="88"/>
      <c r="K11" s="88"/>
      <c r="L11" s="88"/>
      <c r="M11" s="35"/>
      <c r="N11" s="6"/>
      <c r="O11" s="6"/>
      <c r="P11" s="6"/>
      <c r="Q11" s="6"/>
      <c r="R11" s="6"/>
      <c r="S11" s="6"/>
    </row>
    <row r="12" spans="1:19" s="7" customFormat="1" ht="20.149999999999999" customHeight="1">
      <c r="A12" s="18" t="s">
        <v>111</v>
      </c>
      <c r="B12" s="16" t="s">
        <v>112</v>
      </c>
      <c r="C12" s="48">
        <f>C13+C14+C15+C16+C19+C20+C21+C22+C23+C24+C25+C26</f>
        <v>1528561</v>
      </c>
      <c r="D12" s="48">
        <f t="shared" ref="D12:F12" si="0">D13+D14+D15+D16+D19+D20+D21+D22+D23+D24+D25+D26</f>
        <v>1869371</v>
      </c>
      <c r="E12" s="48">
        <f t="shared" si="0"/>
        <v>1856421</v>
      </c>
      <c r="F12" s="48">
        <f t="shared" si="0"/>
        <v>1838777</v>
      </c>
      <c r="G12" s="36"/>
      <c r="H12" s="36"/>
      <c r="I12" s="36"/>
      <c r="J12" s="35"/>
      <c r="K12" s="35"/>
      <c r="L12" s="35"/>
      <c r="M12" s="35"/>
      <c r="N12" s="6"/>
      <c r="O12" s="6"/>
      <c r="P12" s="6"/>
      <c r="Q12" s="6"/>
      <c r="R12" s="6"/>
      <c r="S12" s="6"/>
    </row>
    <row r="13" spans="1:19" s="7" customFormat="1" ht="19.5" customHeight="1">
      <c r="A13" s="20" t="s">
        <v>28</v>
      </c>
      <c r="B13" s="11" t="s">
        <v>10</v>
      </c>
      <c r="C13" s="49">
        <v>392330</v>
      </c>
      <c r="D13" s="49">
        <v>642330</v>
      </c>
      <c r="E13" s="49">
        <v>642330</v>
      </c>
      <c r="F13" s="49">
        <v>642330</v>
      </c>
      <c r="G13" s="36"/>
      <c r="H13" s="36"/>
      <c r="I13" s="36"/>
      <c r="J13" s="35"/>
      <c r="K13" s="35"/>
      <c r="L13" s="35"/>
      <c r="M13" s="35"/>
      <c r="N13" s="6"/>
      <c r="O13" s="6"/>
      <c r="P13" s="6"/>
      <c r="Q13" s="6"/>
      <c r="R13" s="6"/>
      <c r="S13" s="6"/>
    </row>
    <row r="14" spans="1:19" s="8" customFormat="1" ht="20.149999999999999" customHeight="1">
      <c r="A14" s="19" t="s">
        <v>29</v>
      </c>
      <c r="B14" s="11" t="s">
        <v>11</v>
      </c>
      <c r="C14" s="49">
        <v>0</v>
      </c>
      <c r="D14" s="49">
        <v>0</v>
      </c>
      <c r="E14" s="49">
        <v>0</v>
      </c>
      <c r="F14" s="49">
        <v>0</v>
      </c>
      <c r="G14" s="34"/>
      <c r="H14" s="34"/>
      <c r="I14" s="34"/>
      <c r="J14" s="33"/>
      <c r="K14" s="33"/>
      <c r="L14" s="33"/>
      <c r="M14" s="33"/>
      <c r="N14" s="9"/>
      <c r="O14" s="9"/>
      <c r="P14" s="9"/>
      <c r="Q14" s="9"/>
      <c r="R14" s="9"/>
      <c r="S14" s="9"/>
    </row>
    <row r="15" spans="1:19" s="7" customFormat="1" ht="20.149999999999999" customHeight="1">
      <c r="A15" s="20" t="s">
        <v>101</v>
      </c>
      <c r="B15" s="11" t="s">
        <v>102</v>
      </c>
      <c r="C15" s="49">
        <v>26310</v>
      </c>
      <c r="D15" s="49">
        <v>51742</v>
      </c>
      <c r="E15" s="49">
        <v>49706</v>
      </c>
      <c r="F15" s="49">
        <v>49584</v>
      </c>
      <c r="G15" s="36"/>
      <c r="H15" s="36"/>
      <c r="I15" s="36"/>
      <c r="J15" s="35"/>
      <c r="K15" s="35"/>
      <c r="L15" s="35"/>
      <c r="M15" s="35"/>
      <c r="N15" s="6"/>
      <c r="O15" s="6"/>
      <c r="P15" s="6"/>
      <c r="Q15" s="6"/>
      <c r="R15" s="6"/>
      <c r="S15" s="6"/>
    </row>
    <row r="16" spans="1:19" s="7" customFormat="1" ht="20.149999999999999" customHeight="1">
      <c r="A16" s="20" t="s">
        <v>30</v>
      </c>
      <c r="B16" s="15" t="s">
        <v>170</v>
      </c>
      <c r="C16" s="49">
        <f>C17+C18</f>
        <v>7363</v>
      </c>
      <c r="D16" s="49">
        <f t="shared" ref="D16:F16" si="1">D17+D18</f>
        <v>14727</v>
      </c>
      <c r="E16" s="49">
        <f t="shared" si="1"/>
        <v>14766</v>
      </c>
      <c r="F16" s="49">
        <f t="shared" si="1"/>
        <v>18309</v>
      </c>
      <c r="G16" s="36"/>
      <c r="H16" s="36"/>
      <c r="I16" s="36"/>
      <c r="J16" s="35"/>
      <c r="K16" s="35"/>
      <c r="L16" s="35"/>
      <c r="M16" s="35"/>
      <c r="N16" s="6"/>
      <c r="O16" s="6"/>
      <c r="P16" s="6"/>
      <c r="Q16" s="6"/>
      <c r="R16" s="6"/>
      <c r="S16" s="6"/>
    </row>
    <row r="17" spans="1:19" ht="20.149999999999999" customHeight="1">
      <c r="A17" s="101" t="s">
        <v>31</v>
      </c>
      <c r="B17" s="12" t="s">
        <v>12</v>
      </c>
      <c r="C17" s="49">
        <v>7363</v>
      </c>
      <c r="D17" s="49">
        <v>14727</v>
      </c>
      <c r="E17" s="49">
        <v>14766</v>
      </c>
      <c r="F17" s="49">
        <v>18309</v>
      </c>
      <c r="J17" s="32"/>
      <c r="K17" s="32"/>
      <c r="L17" s="32"/>
      <c r="M17" s="32"/>
      <c r="N17" s="4"/>
      <c r="O17" s="4"/>
      <c r="P17" s="4"/>
      <c r="Q17" s="4"/>
      <c r="R17" s="4"/>
      <c r="S17" s="4"/>
    </row>
    <row r="18" spans="1:19" ht="20.149999999999999" customHeight="1">
      <c r="A18" s="106" t="s">
        <v>135</v>
      </c>
      <c r="B18" s="12" t="s">
        <v>22</v>
      </c>
      <c r="C18" s="49">
        <v>0</v>
      </c>
      <c r="D18" s="49">
        <v>0</v>
      </c>
      <c r="E18" s="49">
        <v>0</v>
      </c>
      <c r="F18" s="49">
        <v>0</v>
      </c>
      <c r="J18" s="32"/>
      <c r="K18" s="32"/>
      <c r="L18" s="32"/>
      <c r="M18" s="32"/>
      <c r="N18" s="4"/>
      <c r="O18" s="4"/>
      <c r="P18" s="4"/>
      <c r="Q18" s="4"/>
      <c r="R18" s="4"/>
      <c r="S18" s="4"/>
    </row>
    <row r="19" spans="1:19" ht="20.149999999999999" customHeight="1">
      <c r="A19" s="19" t="s">
        <v>129</v>
      </c>
      <c r="B19" s="13" t="s">
        <v>122</v>
      </c>
      <c r="C19" s="49">
        <v>783665</v>
      </c>
      <c r="D19" s="49">
        <v>769355</v>
      </c>
      <c r="E19" s="49">
        <v>749761</v>
      </c>
      <c r="F19" s="49">
        <v>728991</v>
      </c>
      <c r="J19" s="32"/>
      <c r="K19" s="32"/>
      <c r="L19" s="32"/>
      <c r="M19" s="32"/>
      <c r="N19" s="4"/>
      <c r="O19" s="4"/>
      <c r="P19" s="4"/>
      <c r="Q19" s="4"/>
      <c r="R19" s="4"/>
      <c r="S19" s="4"/>
    </row>
    <row r="20" spans="1:19" ht="19.5" customHeight="1">
      <c r="A20" s="93" t="s">
        <v>121</v>
      </c>
      <c r="B20" s="13" t="s">
        <v>183</v>
      </c>
      <c r="C20" s="49">
        <v>0</v>
      </c>
      <c r="D20" s="49">
        <v>72489</v>
      </c>
      <c r="E20" s="49">
        <v>72311</v>
      </c>
      <c r="F20" s="49">
        <v>72123</v>
      </c>
      <c r="J20" s="32"/>
      <c r="K20" s="32"/>
      <c r="L20" s="32"/>
      <c r="M20" s="32"/>
      <c r="N20" s="4"/>
      <c r="O20" s="4"/>
      <c r="P20" s="4"/>
      <c r="Q20" s="4"/>
      <c r="R20" s="4"/>
      <c r="S20" s="4"/>
    </row>
    <row r="21" spans="1:19" s="3" customFormat="1" ht="20.149999999999999" customHeight="1">
      <c r="A21" s="10" t="s">
        <v>34</v>
      </c>
      <c r="B21" s="13" t="s">
        <v>15</v>
      </c>
      <c r="C21" s="49">
        <v>2000</v>
      </c>
      <c r="D21" s="49">
        <v>2000</v>
      </c>
      <c r="E21" s="49">
        <v>2000</v>
      </c>
      <c r="F21" s="49">
        <v>2000</v>
      </c>
      <c r="G21" s="37"/>
      <c r="H21" s="37"/>
      <c r="I21" s="37"/>
      <c r="J21" s="32"/>
      <c r="K21" s="32"/>
      <c r="L21" s="32"/>
      <c r="M21" s="32"/>
      <c r="N21" s="4"/>
      <c r="O21" s="4"/>
      <c r="P21" s="4"/>
      <c r="Q21" s="4"/>
      <c r="R21" s="4"/>
      <c r="S21" s="4"/>
    </row>
    <row r="22" spans="1:19" ht="20.149999999999999" customHeight="1">
      <c r="A22" s="10" t="s">
        <v>35</v>
      </c>
      <c r="B22" s="13" t="s">
        <v>16</v>
      </c>
      <c r="C22" s="49">
        <v>62</v>
      </c>
      <c r="D22" s="49">
        <v>46</v>
      </c>
      <c r="E22" s="49">
        <v>46</v>
      </c>
      <c r="F22" s="49">
        <v>46</v>
      </c>
      <c r="J22" s="32"/>
      <c r="K22" s="32"/>
      <c r="L22" s="32"/>
      <c r="M22" s="32"/>
      <c r="N22" s="4"/>
      <c r="O22" s="4"/>
      <c r="P22" s="4"/>
      <c r="Q22" s="4"/>
      <c r="R22" s="4"/>
      <c r="S22" s="4"/>
    </row>
    <row r="23" spans="1:19" ht="19.5" customHeight="1">
      <c r="A23" s="10" t="s">
        <v>46</v>
      </c>
      <c r="B23" s="13" t="s">
        <v>17</v>
      </c>
      <c r="C23" s="49">
        <v>0</v>
      </c>
      <c r="D23" s="49">
        <v>0</v>
      </c>
      <c r="E23" s="49">
        <v>0</v>
      </c>
      <c r="F23" s="49">
        <v>0</v>
      </c>
      <c r="J23" s="32"/>
      <c r="K23" s="32"/>
      <c r="L23" s="32"/>
      <c r="M23" s="32"/>
      <c r="N23" s="4"/>
      <c r="O23" s="4"/>
      <c r="P23" s="4"/>
      <c r="Q23" s="4"/>
      <c r="R23" s="4"/>
      <c r="S23" s="4"/>
    </row>
    <row r="24" spans="1:19" ht="20.149999999999999" customHeight="1">
      <c r="A24" s="10" t="s">
        <v>36</v>
      </c>
      <c r="B24" s="13" t="s">
        <v>18</v>
      </c>
      <c r="C24" s="49">
        <v>2203</v>
      </c>
      <c r="D24" s="49">
        <v>2214</v>
      </c>
      <c r="E24" s="49">
        <v>2217</v>
      </c>
      <c r="F24" s="49">
        <v>2270</v>
      </c>
      <c r="J24" s="32"/>
      <c r="K24" s="32"/>
      <c r="L24" s="32"/>
      <c r="M24" s="32"/>
      <c r="N24" s="4"/>
      <c r="O24" s="4"/>
      <c r="P24" s="4"/>
      <c r="Q24" s="4"/>
      <c r="R24" s="4"/>
      <c r="S24" s="4"/>
    </row>
    <row r="25" spans="1:19" ht="20.149999999999999" customHeight="1">
      <c r="A25" s="10" t="s">
        <v>142</v>
      </c>
      <c r="B25" s="13" t="s">
        <v>19</v>
      </c>
      <c r="C25" s="49">
        <v>314147</v>
      </c>
      <c r="D25" s="49">
        <v>314147</v>
      </c>
      <c r="E25" s="49">
        <v>323124</v>
      </c>
      <c r="F25" s="49">
        <v>323124</v>
      </c>
      <c r="J25" s="32"/>
      <c r="K25" s="32"/>
      <c r="L25" s="32"/>
      <c r="M25" s="32"/>
      <c r="N25" s="4"/>
      <c r="O25" s="4"/>
      <c r="P25" s="4"/>
      <c r="Q25" s="4"/>
      <c r="R25" s="4"/>
      <c r="S25" s="4"/>
    </row>
    <row r="26" spans="1:19" ht="20.149999999999999" customHeight="1">
      <c r="A26" s="76" t="s">
        <v>37</v>
      </c>
      <c r="B26" s="13" t="s">
        <v>20</v>
      </c>
      <c r="C26" s="49">
        <v>481</v>
      </c>
      <c r="D26" s="49">
        <v>321</v>
      </c>
      <c r="E26" s="49">
        <v>160</v>
      </c>
      <c r="F26" s="49">
        <v>0</v>
      </c>
      <c r="J26" s="32"/>
      <c r="K26" s="32"/>
      <c r="L26" s="32"/>
      <c r="M26" s="32"/>
      <c r="N26" s="4"/>
      <c r="O26" s="4"/>
      <c r="P26" s="4"/>
      <c r="Q26" s="4"/>
      <c r="R26" s="4"/>
      <c r="S26" s="4"/>
    </row>
    <row r="27" spans="1:19" ht="20.149999999999999" customHeight="1">
      <c r="A27" s="77" t="s">
        <v>38</v>
      </c>
      <c r="B27" s="78" t="s">
        <v>21</v>
      </c>
      <c r="C27" s="47">
        <f>C28+C29+C30</f>
        <v>846320</v>
      </c>
      <c r="D27" s="47">
        <f>D28+D29+D30</f>
        <v>1052631</v>
      </c>
      <c r="E27" s="47">
        <f>E28+E29+E30</f>
        <v>1096051</v>
      </c>
      <c r="F27" s="47">
        <f>F28+F29+F30</f>
        <v>1185703</v>
      </c>
      <c r="J27" s="32"/>
      <c r="K27" s="32"/>
      <c r="L27" s="32"/>
      <c r="M27" s="32"/>
      <c r="N27" s="4"/>
      <c r="O27" s="4"/>
      <c r="P27" s="4"/>
      <c r="Q27" s="4"/>
      <c r="R27" s="4"/>
      <c r="S27" s="4"/>
    </row>
    <row r="28" spans="1:19" ht="20.149999999999999" customHeight="1">
      <c r="A28" s="110" t="s">
        <v>32</v>
      </c>
      <c r="B28" s="25" t="s">
        <v>13</v>
      </c>
      <c r="C28" s="49">
        <v>687116</v>
      </c>
      <c r="D28" s="49">
        <v>684721</v>
      </c>
      <c r="E28" s="49">
        <v>741091</v>
      </c>
      <c r="F28" s="49">
        <v>858004</v>
      </c>
      <c r="J28" s="32"/>
      <c r="K28" s="32"/>
      <c r="L28" s="32"/>
      <c r="M28" s="32"/>
      <c r="N28" s="4"/>
      <c r="O28" s="4"/>
      <c r="P28" s="4"/>
      <c r="Q28" s="4"/>
      <c r="R28" s="4"/>
      <c r="S28" s="4"/>
    </row>
    <row r="29" spans="1:19" ht="20.149999999999999" customHeight="1">
      <c r="A29" s="110" t="s">
        <v>31</v>
      </c>
      <c r="B29" s="25" t="s">
        <v>12</v>
      </c>
      <c r="C29" s="49">
        <v>145576</v>
      </c>
      <c r="D29" s="49">
        <v>341565</v>
      </c>
      <c r="E29" s="49">
        <v>328683</v>
      </c>
      <c r="F29" s="49">
        <v>300218</v>
      </c>
      <c r="J29" s="32"/>
      <c r="K29" s="32"/>
      <c r="L29" s="32"/>
      <c r="M29" s="32"/>
      <c r="N29" s="4"/>
      <c r="O29" s="4"/>
      <c r="P29" s="4"/>
      <c r="Q29" s="4"/>
      <c r="R29" s="4"/>
      <c r="S29" s="4"/>
    </row>
    <row r="30" spans="1:19" s="2" customFormat="1" ht="20.149999999999999" customHeight="1">
      <c r="A30" s="102" t="s">
        <v>135</v>
      </c>
      <c r="B30" s="25" t="s">
        <v>22</v>
      </c>
      <c r="C30" s="49">
        <v>13628</v>
      </c>
      <c r="D30" s="49">
        <v>26345</v>
      </c>
      <c r="E30" s="49">
        <v>26277</v>
      </c>
      <c r="F30" s="49">
        <v>27481</v>
      </c>
      <c r="G30" s="40"/>
      <c r="H30" s="40"/>
      <c r="I30" s="40"/>
      <c r="J30" s="32"/>
      <c r="K30" s="32"/>
      <c r="L30" s="32"/>
      <c r="M30" s="32"/>
      <c r="N30" s="4"/>
      <c r="O30" s="4"/>
      <c r="P30" s="4"/>
      <c r="Q30" s="4"/>
      <c r="R30" s="4"/>
      <c r="S30" s="4"/>
    </row>
    <row r="31" spans="1:19" ht="20.149999999999999" customHeight="1">
      <c r="A31" s="17" t="s">
        <v>39</v>
      </c>
      <c r="B31" s="16" t="s">
        <v>23</v>
      </c>
      <c r="C31" s="47">
        <v>0</v>
      </c>
      <c r="D31" s="47">
        <v>0</v>
      </c>
      <c r="E31" s="47">
        <v>0</v>
      </c>
      <c r="F31" s="47">
        <v>0</v>
      </c>
      <c r="J31" s="32"/>
      <c r="K31" s="32"/>
      <c r="L31" s="32"/>
      <c r="M31" s="32"/>
      <c r="N31" s="4"/>
      <c r="O31" s="4"/>
      <c r="P31" s="4"/>
      <c r="Q31" s="4"/>
      <c r="R31" s="4"/>
      <c r="S31" s="4"/>
    </row>
    <row r="32" spans="1:19" ht="21" customHeight="1">
      <c r="A32" s="17" t="s">
        <v>40</v>
      </c>
      <c r="B32" s="16" t="s">
        <v>24</v>
      </c>
      <c r="C32" s="47">
        <v>250</v>
      </c>
      <c r="D32" s="47">
        <v>250</v>
      </c>
      <c r="E32" s="47">
        <v>250</v>
      </c>
      <c r="F32" s="47">
        <v>250</v>
      </c>
      <c r="G32" s="28" t="s">
        <v>120</v>
      </c>
      <c r="J32" s="32"/>
      <c r="K32" s="32"/>
      <c r="L32" s="32"/>
      <c r="M32" s="32"/>
      <c r="N32" s="4"/>
      <c r="O32" s="4"/>
      <c r="P32" s="4"/>
      <c r="Q32" s="4"/>
      <c r="R32" s="4"/>
      <c r="S32" s="4"/>
    </row>
    <row r="33" spans="1:19" ht="20.149999999999999" customHeight="1">
      <c r="A33" s="18" t="s">
        <v>137</v>
      </c>
      <c r="B33" s="16" t="s">
        <v>103</v>
      </c>
      <c r="C33" s="47">
        <v>879</v>
      </c>
      <c r="D33" s="47">
        <v>1292</v>
      </c>
      <c r="E33" s="47">
        <v>786</v>
      </c>
      <c r="F33" s="47">
        <v>248</v>
      </c>
      <c r="J33" s="32"/>
      <c r="K33" s="32"/>
      <c r="L33" s="32"/>
      <c r="M33" s="32"/>
      <c r="N33" s="4"/>
      <c r="O33" s="4"/>
      <c r="P33" s="4"/>
      <c r="Q33" s="4"/>
      <c r="R33" s="4"/>
      <c r="S33" s="4"/>
    </row>
    <row r="34" spans="1:19" ht="20.149999999999999" customHeight="1">
      <c r="A34" s="18" t="s">
        <v>41</v>
      </c>
      <c r="B34" s="16" t="s">
        <v>25</v>
      </c>
      <c r="C34" s="47">
        <v>27651</v>
      </c>
      <c r="D34" s="47">
        <v>-327243</v>
      </c>
      <c r="E34" s="47">
        <v>-304817</v>
      </c>
      <c r="F34" s="47">
        <v>-339080</v>
      </c>
      <c r="J34" s="32"/>
      <c r="K34" s="32"/>
      <c r="L34" s="32"/>
      <c r="M34" s="32"/>
      <c r="N34" s="4"/>
      <c r="O34" s="4"/>
      <c r="P34" s="4"/>
      <c r="Q34" s="4"/>
      <c r="R34" s="4"/>
      <c r="S34" s="4"/>
    </row>
    <row r="35" spans="1:19" ht="20.149999999999999" customHeight="1">
      <c r="A35" s="18" t="s">
        <v>104</v>
      </c>
      <c r="B35" s="16" t="s">
        <v>105</v>
      </c>
      <c r="C35" s="47">
        <v>0</v>
      </c>
      <c r="D35" s="47">
        <v>0</v>
      </c>
      <c r="E35" s="47">
        <v>0</v>
      </c>
      <c r="F35" s="47">
        <v>0</v>
      </c>
      <c r="J35" s="32"/>
      <c r="K35" s="32"/>
      <c r="L35" s="32"/>
      <c r="M35" s="32"/>
      <c r="N35" s="4"/>
      <c r="O35" s="4"/>
      <c r="P35" s="4"/>
      <c r="Q35" s="4"/>
      <c r="R35" s="4"/>
      <c r="S35" s="4"/>
    </row>
    <row r="36" spans="1:19" ht="23.25" customHeight="1">
      <c r="A36" s="17" t="s">
        <v>148</v>
      </c>
      <c r="B36" s="115" t="s">
        <v>147</v>
      </c>
      <c r="C36" s="47">
        <f>C37+C38</f>
        <v>118909</v>
      </c>
      <c r="D36" s="47">
        <f>D37+D38</f>
        <v>216303</v>
      </c>
      <c r="E36" s="47">
        <f>E37+E38</f>
        <v>180618</v>
      </c>
      <c r="F36" s="47">
        <f>F37+F38</f>
        <v>222329</v>
      </c>
      <c r="J36" s="32"/>
      <c r="K36" s="32"/>
      <c r="L36" s="32"/>
      <c r="M36" s="32"/>
      <c r="N36" s="4"/>
      <c r="O36" s="4"/>
      <c r="P36" s="4"/>
      <c r="Q36" s="4"/>
      <c r="R36" s="4"/>
      <c r="S36" s="4"/>
    </row>
    <row r="37" spans="1:19" ht="21.75" customHeight="1">
      <c r="A37" s="111" t="s">
        <v>160</v>
      </c>
      <c r="B37" s="14" t="s">
        <v>161</v>
      </c>
      <c r="C37" s="49">
        <v>65676</v>
      </c>
      <c r="D37" s="49">
        <v>163247</v>
      </c>
      <c r="E37" s="49">
        <v>129227</v>
      </c>
      <c r="F37" s="49">
        <v>170713</v>
      </c>
      <c r="J37" s="32"/>
      <c r="K37" s="32"/>
      <c r="L37" s="32"/>
      <c r="M37" s="32"/>
      <c r="N37" s="4"/>
      <c r="O37" s="4"/>
      <c r="P37" s="4"/>
      <c r="Q37" s="4"/>
      <c r="R37" s="4"/>
      <c r="S37" s="4"/>
    </row>
    <row r="38" spans="1:19" ht="20.149999999999999" customHeight="1">
      <c r="A38" s="112" t="s">
        <v>162</v>
      </c>
      <c r="B38" s="14" t="s">
        <v>163</v>
      </c>
      <c r="C38" s="49">
        <v>53233</v>
      </c>
      <c r="D38" s="49">
        <v>53056</v>
      </c>
      <c r="E38" s="49">
        <v>51391</v>
      </c>
      <c r="F38" s="49">
        <v>51616</v>
      </c>
      <c r="G38" s="91"/>
      <c r="H38" s="92"/>
      <c r="I38" s="92"/>
      <c r="J38" s="32"/>
      <c r="K38" s="32"/>
      <c r="L38" s="32"/>
      <c r="M38" s="32"/>
      <c r="N38" s="4"/>
      <c r="O38" s="4"/>
      <c r="P38" s="4"/>
      <c r="Q38" s="4"/>
      <c r="R38" s="4"/>
      <c r="S38" s="4"/>
    </row>
    <row r="39" spans="1:19" ht="19.5" customHeight="1">
      <c r="A39" s="17" t="s">
        <v>42</v>
      </c>
      <c r="B39" s="115" t="s">
        <v>146</v>
      </c>
      <c r="C39" s="47">
        <f>C40-C41</f>
        <v>317431</v>
      </c>
      <c r="D39" s="47">
        <f>D40-D41</f>
        <v>321180</v>
      </c>
      <c r="E39" s="47">
        <f>E40-E41</f>
        <v>323700</v>
      </c>
      <c r="F39" s="47">
        <f>F40-F41</f>
        <v>336934</v>
      </c>
    </row>
    <row r="40" spans="1:19" ht="24" customHeight="1">
      <c r="A40" s="111" t="s">
        <v>43</v>
      </c>
      <c r="B40" s="11" t="s">
        <v>149</v>
      </c>
      <c r="C40" s="49">
        <v>322283</v>
      </c>
      <c r="D40" s="49">
        <v>322692</v>
      </c>
      <c r="E40" s="49">
        <v>328838</v>
      </c>
      <c r="F40" s="49">
        <v>344080</v>
      </c>
    </row>
    <row r="41" spans="1:19" ht="20.25" customHeight="1">
      <c r="A41" s="112" t="s">
        <v>143</v>
      </c>
      <c r="B41" s="11" t="s">
        <v>26</v>
      </c>
      <c r="C41" s="49">
        <v>4852</v>
      </c>
      <c r="D41" s="49">
        <v>1512</v>
      </c>
      <c r="E41" s="49">
        <v>5138</v>
      </c>
      <c r="F41" s="49">
        <v>7146</v>
      </c>
    </row>
    <row r="42" spans="1:19" ht="26.25" customHeight="1">
      <c r="A42" s="17" t="s">
        <v>44</v>
      </c>
      <c r="B42" s="16" t="s">
        <v>145</v>
      </c>
      <c r="C42" s="47">
        <f>C43+C45</f>
        <v>81986</v>
      </c>
      <c r="D42" s="47">
        <f>D43+D45</f>
        <v>81144</v>
      </c>
      <c r="E42" s="47">
        <f>E43+E45</f>
        <v>79354</v>
      </c>
      <c r="F42" s="47">
        <f>F43+F45</f>
        <v>84297</v>
      </c>
    </row>
    <row r="43" spans="1:19" ht="25.5" customHeight="1">
      <c r="A43" s="111" t="s">
        <v>45</v>
      </c>
      <c r="B43" s="84" t="s">
        <v>165</v>
      </c>
      <c r="C43" s="49">
        <v>28753</v>
      </c>
      <c r="D43" s="49">
        <v>28088.399999999998</v>
      </c>
      <c r="E43" s="49">
        <v>27963</v>
      </c>
      <c r="F43" s="49">
        <v>32681</v>
      </c>
    </row>
    <row r="44" spans="1:19" ht="24.75" customHeight="1">
      <c r="A44" s="113" t="s">
        <v>47</v>
      </c>
      <c r="B44" s="80" t="s">
        <v>169</v>
      </c>
      <c r="C44" s="49">
        <v>0</v>
      </c>
      <c r="D44" s="49">
        <v>0</v>
      </c>
      <c r="E44" s="49">
        <v>0</v>
      </c>
      <c r="F44" s="49">
        <v>0</v>
      </c>
    </row>
    <row r="45" spans="1:19" s="46" customFormat="1" ht="24.75" customHeight="1">
      <c r="A45" s="114" t="s">
        <v>144</v>
      </c>
      <c r="B45" s="81" t="s">
        <v>167</v>
      </c>
      <c r="C45" s="49">
        <v>53233</v>
      </c>
      <c r="D45" s="49">
        <v>53056</v>
      </c>
      <c r="E45" s="49">
        <v>51391</v>
      </c>
      <c r="F45" s="49">
        <v>51616</v>
      </c>
      <c r="G45" s="45"/>
      <c r="H45" s="45"/>
      <c r="I45" s="45"/>
      <c r="J45" s="45"/>
      <c r="K45" s="45"/>
      <c r="L45" s="45"/>
      <c r="M45" s="45"/>
    </row>
    <row r="46" spans="1:19" ht="20.25" customHeight="1">
      <c r="A46" s="27" t="s">
        <v>49</v>
      </c>
      <c r="B46" s="43"/>
      <c r="C46" s="27"/>
      <c r="D46" s="27"/>
      <c r="E46" s="27"/>
      <c r="F46" s="27"/>
      <c r="G46" s="45"/>
      <c r="H46" s="45"/>
      <c r="I46" s="45"/>
      <c r="J46" s="45"/>
      <c r="K46"/>
      <c r="L46"/>
      <c r="M46"/>
    </row>
    <row r="47" spans="1:19" ht="20.25" customHeight="1">
      <c r="A47" s="96" t="s">
        <v>138</v>
      </c>
      <c r="B47" s="43"/>
      <c r="C47" s="27"/>
      <c r="D47" s="27"/>
      <c r="E47" s="27"/>
      <c r="F47" s="27"/>
      <c r="G47" s="45"/>
      <c r="H47" s="45"/>
      <c r="I47" s="45"/>
      <c r="J47" s="45"/>
      <c r="K47"/>
      <c r="L47"/>
      <c r="M47"/>
    </row>
    <row r="48" spans="1:19" ht="20.25" customHeight="1">
      <c r="A48" s="27" t="s">
        <v>85</v>
      </c>
      <c r="B48" s="43"/>
      <c r="C48" s="27"/>
      <c r="D48" s="27"/>
      <c r="E48" s="27"/>
      <c r="F48" s="27"/>
      <c r="G48" s="45"/>
      <c r="H48" s="45"/>
      <c r="I48" s="45"/>
      <c r="J48" s="45"/>
      <c r="K48"/>
      <c r="L48"/>
      <c r="M48"/>
    </row>
    <row r="49" spans="1:13" ht="20.25" customHeight="1">
      <c r="A49" s="27" t="s">
        <v>53</v>
      </c>
      <c r="B49" s="43"/>
      <c r="C49" s="27"/>
      <c r="D49" s="27"/>
      <c r="E49" s="27"/>
      <c r="F49" s="27"/>
      <c r="G49" s="45"/>
      <c r="H49" s="45"/>
      <c r="I49" s="45"/>
      <c r="J49" s="45"/>
      <c r="K49"/>
      <c r="L49"/>
      <c r="M49"/>
    </row>
    <row r="50" spans="1:13" ht="20.25" customHeight="1">
      <c r="A50" s="96" t="s">
        <v>139</v>
      </c>
      <c r="B50" s="97"/>
      <c r="C50" s="96"/>
      <c r="D50" s="27"/>
      <c r="E50" s="27"/>
      <c r="F50" s="27"/>
      <c r="G50" s="45"/>
      <c r="H50" s="45"/>
      <c r="I50" s="45"/>
      <c r="J50" s="45"/>
      <c r="K50"/>
      <c r="L50"/>
      <c r="M50"/>
    </row>
    <row r="51" spans="1:13" ht="20.25" customHeight="1">
      <c r="A51" s="96" t="s">
        <v>127</v>
      </c>
      <c r="B51" s="97"/>
      <c r="C51" s="96"/>
      <c r="D51" s="27"/>
      <c r="E51" s="27"/>
      <c r="F51" s="27"/>
      <c r="G51" s="45"/>
      <c r="H51" s="45"/>
      <c r="I51" s="45"/>
      <c r="J51" s="45"/>
      <c r="K51"/>
      <c r="L51"/>
      <c r="M51"/>
    </row>
    <row r="52" spans="1:13" ht="20.25" customHeight="1">
      <c r="A52" s="27" t="s">
        <v>140</v>
      </c>
      <c r="B52" s="43"/>
      <c r="C52" s="27"/>
      <c r="D52" s="27"/>
      <c r="E52" s="27"/>
      <c r="F52" s="27"/>
      <c r="G52" s="45"/>
      <c r="H52" s="45"/>
      <c r="I52" s="45"/>
      <c r="J52" s="45"/>
      <c r="K52"/>
      <c r="L52"/>
      <c r="M52"/>
    </row>
    <row r="53" spans="1:13" ht="20.25" customHeight="1">
      <c r="A53" s="96" t="s">
        <v>123</v>
      </c>
      <c r="B53" s="27"/>
      <c r="C53" s="27"/>
      <c r="D53" s="27"/>
      <c r="E53" s="27"/>
      <c r="F53" s="27"/>
    </row>
    <row r="54" spans="1:13" ht="20.25" customHeight="1">
      <c r="A54" s="96" t="s">
        <v>124</v>
      </c>
      <c r="B54" s="27"/>
      <c r="C54" s="27"/>
      <c r="D54" s="27"/>
      <c r="E54" s="27"/>
      <c r="F54" s="27"/>
    </row>
    <row r="55" spans="1:13" ht="18.75" customHeight="1">
      <c r="A55" s="94"/>
      <c r="B55" s="94"/>
      <c r="C55" s="94"/>
      <c r="D55" s="94"/>
      <c r="E55" s="94"/>
      <c r="F55" s="94"/>
    </row>
    <row r="56" spans="1:13" ht="15.5">
      <c r="A56" s="94"/>
      <c r="B56" s="94"/>
      <c r="C56" s="94"/>
      <c r="D56" s="94"/>
      <c r="E56" s="94"/>
      <c r="F56" s="94"/>
    </row>
  </sheetData>
  <mergeCells count="4">
    <mergeCell ref="B2:F2"/>
    <mergeCell ref="B3:F3"/>
    <mergeCell ref="A5:F5"/>
    <mergeCell ref="A7:B8"/>
  </mergeCells>
  <conditionalFormatting sqref="A5:A6">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1"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S56"/>
  <sheetViews>
    <sheetView topLeftCell="A31" zoomScale="50" zoomScaleNormal="50" zoomScaleSheetLayoutView="88" workbookViewId="0">
      <selection activeCell="A5" sqref="A5:F54"/>
    </sheetView>
  </sheetViews>
  <sheetFormatPr defaultRowHeight="12.5"/>
  <cols>
    <col min="1" max="1" width="74.54296875" customWidth="1"/>
    <col min="2" max="2" width="100.54296875" style="1" customWidth="1"/>
    <col min="3" max="3" width="20.26953125" customWidth="1"/>
    <col min="4" max="4" width="19.453125" customWidth="1"/>
    <col min="5" max="5" width="20.7265625" customWidth="1"/>
    <col min="6" max="6" width="19.453125" customWidth="1"/>
    <col min="7" max="8" width="9.1796875" style="28"/>
    <col min="9" max="9" width="12.81640625" style="28" bestFit="1" customWidth="1"/>
    <col min="10" max="12" width="13.453125" style="28" bestFit="1" customWidth="1"/>
    <col min="13" max="13" width="9.1796875" style="28"/>
    <col min="19" max="19" width="9.26953125" bestFit="1" customWidth="1"/>
  </cols>
  <sheetData>
    <row r="1" spans="1:19" ht="15" hidden="1" customHeight="1"/>
    <row r="2" spans="1:19" ht="23" hidden="1">
      <c r="B2" s="164" t="s">
        <v>5</v>
      </c>
      <c r="C2" s="164"/>
      <c r="D2" s="164"/>
      <c r="E2" s="164"/>
      <c r="F2" s="164"/>
    </row>
    <row r="3" spans="1:19" ht="23" hidden="1">
      <c r="B3" s="165" t="s">
        <v>4</v>
      </c>
      <c r="C3" s="165"/>
      <c r="D3" s="165"/>
      <c r="E3" s="165"/>
      <c r="F3" s="165"/>
    </row>
    <row r="4" spans="1:19" ht="18" customHeight="1">
      <c r="B4" s="98"/>
      <c r="C4" s="98"/>
      <c r="D4" s="98"/>
      <c r="E4" s="98"/>
      <c r="F4" s="98"/>
    </row>
    <row r="5" spans="1:19" s="5" customFormat="1" ht="33" customHeight="1">
      <c r="A5" s="166" t="s">
        <v>6</v>
      </c>
      <c r="B5" s="166"/>
      <c r="C5" s="166"/>
      <c r="D5" s="166"/>
      <c r="E5" s="166"/>
      <c r="F5" s="166"/>
      <c r="G5" s="29"/>
      <c r="H5" s="29"/>
      <c r="I5" s="29"/>
      <c r="J5" s="29"/>
      <c r="K5" s="29"/>
      <c r="L5" s="29"/>
      <c r="M5" s="29"/>
    </row>
    <row r="6" spans="1:19" s="5" customFormat="1" ht="18" customHeight="1" thickBot="1">
      <c r="A6" s="99"/>
      <c r="B6" s="99"/>
      <c r="C6" s="99"/>
      <c r="D6" s="99"/>
      <c r="E6" s="99"/>
      <c r="F6" s="30" t="s">
        <v>52</v>
      </c>
      <c r="G6" s="29"/>
      <c r="H6" s="29"/>
      <c r="I6" s="29"/>
      <c r="J6" s="29"/>
      <c r="K6" s="29"/>
      <c r="L6" s="29"/>
      <c r="M6" s="29"/>
    </row>
    <row r="7" spans="1:19" ht="25.5" customHeight="1" thickTop="1" thickBot="1">
      <c r="A7" s="167" t="s">
        <v>55</v>
      </c>
      <c r="B7" s="168"/>
      <c r="C7" s="53" t="s">
        <v>134</v>
      </c>
      <c r="D7" s="53" t="s">
        <v>1</v>
      </c>
      <c r="E7" s="53" t="s">
        <v>2</v>
      </c>
      <c r="F7" s="53" t="s">
        <v>136</v>
      </c>
    </row>
    <row r="8" spans="1:19" ht="36" customHeight="1" thickTop="1" thickBot="1">
      <c r="A8" s="169"/>
      <c r="B8" s="170"/>
      <c r="C8" s="66" t="s">
        <v>130</v>
      </c>
      <c r="D8" s="66" t="s">
        <v>131</v>
      </c>
      <c r="E8" s="67" t="s">
        <v>132</v>
      </c>
      <c r="F8" s="66" t="s">
        <v>133</v>
      </c>
    </row>
    <row r="9" spans="1:19" ht="20.149999999999999" customHeight="1" thickTop="1">
      <c r="A9" s="23" t="s">
        <v>152</v>
      </c>
      <c r="B9" s="24" t="s">
        <v>7</v>
      </c>
      <c r="C9" s="83">
        <f>C10+C36+C39-C42</f>
        <v>3314365</v>
      </c>
      <c r="D9" s="83">
        <f>D10+D36+D39-D42</f>
        <v>3415926</v>
      </c>
      <c r="E9" s="83">
        <f>E10+E36+E39-E42</f>
        <v>3538035</v>
      </c>
      <c r="F9" s="83">
        <f>F10+F36+F39-F42</f>
        <v>3696401</v>
      </c>
      <c r="J9" s="32"/>
      <c r="K9" s="32"/>
      <c r="L9" s="32"/>
      <c r="M9" s="32"/>
      <c r="N9" s="4"/>
      <c r="O9" s="4"/>
      <c r="P9" s="4"/>
      <c r="Q9" s="4"/>
      <c r="R9" s="4"/>
      <c r="S9" s="4"/>
    </row>
    <row r="10" spans="1:19" s="8" customFormat="1" ht="20.149999999999999" customHeight="1">
      <c r="A10" s="21" t="s">
        <v>151</v>
      </c>
      <c r="B10" s="16" t="s">
        <v>8</v>
      </c>
      <c r="C10" s="47">
        <f>C11+C31+C32+C33+C34+C35</f>
        <v>2818264</v>
      </c>
      <c r="D10" s="47">
        <f>D11+D31+D32+D33+D34+D35</f>
        <v>2895148</v>
      </c>
      <c r="E10" s="47">
        <f>E11+E31+E32+E33+E34+E35</f>
        <v>3000618</v>
      </c>
      <c r="F10" s="47">
        <f>F11+F31+F32+F33+F34+F35</f>
        <v>3121804</v>
      </c>
      <c r="G10" s="34"/>
      <c r="H10" s="34"/>
      <c r="I10" s="34"/>
      <c r="J10" s="33"/>
      <c r="K10" s="33"/>
      <c r="L10" s="33"/>
      <c r="M10" s="33"/>
      <c r="N10" s="9"/>
      <c r="O10" s="9"/>
      <c r="P10" s="9"/>
      <c r="Q10" s="9"/>
      <c r="R10" s="9"/>
      <c r="S10" s="9"/>
    </row>
    <row r="11" spans="1:19" s="7" customFormat="1" ht="20.149999999999999" customHeight="1">
      <c r="A11" s="18" t="s">
        <v>27</v>
      </c>
      <c r="B11" s="16" t="s">
        <v>9</v>
      </c>
      <c r="C11" s="48">
        <f>C12+C27</f>
        <v>3157298</v>
      </c>
      <c r="D11" s="48">
        <f>D12+D27</f>
        <v>3253899</v>
      </c>
      <c r="E11" s="48">
        <f>E12+E27</f>
        <v>3373691</v>
      </c>
      <c r="F11" s="48">
        <f>F12+F27</f>
        <v>3405440</v>
      </c>
      <c r="G11" s="36"/>
      <c r="H11" s="36"/>
      <c r="I11" s="88"/>
      <c r="J11" s="88"/>
      <c r="K11" s="88"/>
      <c r="L11" s="88"/>
      <c r="M11" s="35"/>
      <c r="N11" s="6"/>
      <c r="O11" s="6"/>
      <c r="P11" s="6"/>
      <c r="Q11" s="6"/>
      <c r="R11" s="6"/>
      <c r="S11" s="6"/>
    </row>
    <row r="12" spans="1:19" s="7" customFormat="1" ht="20.149999999999999" customHeight="1">
      <c r="A12" s="18" t="s">
        <v>111</v>
      </c>
      <c r="B12" s="16" t="s">
        <v>112</v>
      </c>
      <c r="C12" s="48">
        <f>C13+C14+C15+C16+C19+C20+C21+C22+C23+C24+C25+C26</f>
        <v>1841498</v>
      </c>
      <c r="D12" s="48">
        <f t="shared" ref="D12:F12" si="0">D13+D14+D15+D16+D19+D20+D21+D22+D23+D24+D25+D26</f>
        <v>1826866</v>
      </c>
      <c r="E12" s="48">
        <f t="shared" si="0"/>
        <v>1842876</v>
      </c>
      <c r="F12" s="48">
        <f t="shared" si="0"/>
        <v>1858300</v>
      </c>
      <c r="G12" s="36"/>
      <c r="H12" s="36"/>
      <c r="I12" s="36"/>
      <c r="J12" s="35"/>
      <c r="K12" s="35"/>
      <c r="L12" s="35"/>
      <c r="M12" s="35"/>
      <c r="N12" s="6"/>
      <c r="O12" s="6"/>
      <c r="P12" s="6"/>
      <c r="Q12" s="6"/>
      <c r="R12" s="6"/>
      <c r="S12" s="6"/>
    </row>
    <row r="13" spans="1:19" s="7" customFormat="1" ht="19.5" customHeight="1">
      <c r="A13" s="20" t="s">
        <v>28</v>
      </c>
      <c r="B13" s="11" t="s">
        <v>10</v>
      </c>
      <c r="C13" s="49">
        <v>643830</v>
      </c>
      <c r="D13" s="49">
        <v>613830</v>
      </c>
      <c r="E13" s="49">
        <v>613830</v>
      </c>
      <c r="F13" s="49">
        <v>613830</v>
      </c>
      <c r="G13" s="36"/>
      <c r="H13" s="36"/>
      <c r="I13" s="36"/>
      <c r="J13" s="35"/>
      <c r="K13" s="35"/>
      <c r="L13" s="35"/>
      <c r="M13" s="35"/>
      <c r="N13" s="6"/>
      <c r="O13" s="6"/>
      <c r="P13" s="6"/>
      <c r="Q13" s="6"/>
      <c r="R13" s="6"/>
      <c r="S13" s="6"/>
    </row>
    <row r="14" spans="1:19" s="8" customFormat="1" ht="20.149999999999999" customHeight="1">
      <c r="A14" s="19" t="s">
        <v>29</v>
      </c>
      <c r="B14" s="11" t="s">
        <v>11</v>
      </c>
      <c r="C14" s="49">
        <v>0</v>
      </c>
      <c r="D14" s="49">
        <v>0</v>
      </c>
      <c r="E14" s="49">
        <v>0</v>
      </c>
      <c r="F14" s="49">
        <v>0</v>
      </c>
      <c r="G14" s="34"/>
      <c r="H14" s="34"/>
      <c r="I14" s="34"/>
      <c r="J14" s="33"/>
      <c r="K14" s="33"/>
      <c r="L14" s="33"/>
      <c r="M14" s="33"/>
      <c r="N14" s="9"/>
      <c r="O14" s="9"/>
      <c r="P14" s="9"/>
      <c r="Q14" s="9"/>
      <c r="R14" s="9"/>
      <c r="S14" s="9"/>
    </row>
    <row r="15" spans="1:19" s="7" customFormat="1" ht="20.149999999999999" customHeight="1">
      <c r="A15" s="20" t="s">
        <v>101</v>
      </c>
      <c r="B15" s="11" t="s">
        <v>102</v>
      </c>
      <c r="C15" s="49">
        <v>48403</v>
      </c>
      <c r="D15" s="49">
        <v>48819</v>
      </c>
      <c r="E15" s="49">
        <v>48324</v>
      </c>
      <c r="F15" s="49">
        <v>49018</v>
      </c>
      <c r="G15" s="36"/>
      <c r="H15" s="36"/>
      <c r="I15" s="36"/>
      <c r="J15" s="35"/>
      <c r="K15" s="35"/>
      <c r="L15" s="35"/>
      <c r="M15" s="35"/>
      <c r="N15" s="6"/>
      <c r="O15" s="6"/>
      <c r="P15" s="6"/>
      <c r="Q15" s="6"/>
      <c r="R15" s="6"/>
      <c r="S15" s="6"/>
    </row>
    <row r="16" spans="1:19" s="7" customFormat="1" ht="20.149999999999999" customHeight="1">
      <c r="A16" s="20" t="s">
        <v>30</v>
      </c>
      <c r="B16" s="15" t="s">
        <v>170</v>
      </c>
      <c r="C16" s="49">
        <f>C17+C18</f>
        <v>17764</v>
      </c>
      <c r="D16" s="49">
        <f t="shared" ref="D16:F16" si="1">D17+D18</f>
        <v>19756</v>
      </c>
      <c r="E16" s="49">
        <f t="shared" si="1"/>
        <v>32062</v>
      </c>
      <c r="F16" s="49">
        <f t="shared" si="1"/>
        <v>36336</v>
      </c>
      <c r="G16" s="36"/>
      <c r="H16" s="36"/>
      <c r="I16" s="36"/>
      <c r="J16" s="35"/>
      <c r="K16" s="35"/>
      <c r="L16" s="35"/>
      <c r="M16" s="35"/>
      <c r="N16" s="6"/>
      <c r="O16" s="6"/>
      <c r="P16" s="6"/>
      <c r="Q16" s="6"/>
      <c r="R16" s="6"/>
      <c r="S16" s="6"/>
    </row>
    <row r="17" spans="1:19" ht="20.149999999999999" customHeight="1">
      <c r="A17" s="101" t="s">
        <v>31</v>
      </c>
      <c r="B17" s="12" t="s">
        <v>12</v>
      </c>
      <c r="C17" s="49">
        <v>17764</v>
      </c>
      <c r="D17" s="49">
        <v>19756</v>
      </c>
      <c r="E17" s="49">
        <v>32062</v>
      </c>
      <c r="F17" s="49">
        <v>33573</v>
      </c>
      <c r="J17" s="32"/>
      <c r="K17" s="32"/>
      <c r="L17" s="32"/>
      <c r="M17" s="32"/>
      <c r="N17" s="4"/>
      <c r="O17" s="4"/>
      <c r="P17" s="4"/>
      <c r="Q17" s="4"/>
      <c r="R17" s="4"/>
      <c r="S17" s="4"/>
    </row>
    <row r="18" spans="1:19" ht="20.149999999999999" customHeight="1">
      <c r="A18" s="106" t="s">
        <v>135</v>
      </c>
      <c r="B18" s="12" t="s">
        <v>22</v>
      </c>
      <c r="C18" s="49">
        <v>0</v>
      </c>
      <c r="D18" s="49">
        <v>0</v>
      </c>
      <c r="E18" s="49">
        <v>0</v>
      </c>
      <c r="F18" s="49">
        <v>2763</v>
      </c>
      <c r="J18" s="32"/>
      <c r="K18" s="32"/>
      <c r="L18" s="32"/>
      <c r="M18" s="32"/>
      <c r="N18" s="4"/>
      <c r="O18" s="4"/>
      <c r="P18" s="4"/>
      <c r="Q18" s="4"/>
      <c r="R18" s="4"/>
      <c r="S18" s="4"/>
    </row>
    <row r="19" spans="1:19" ht="20.149999999999999" customHeight="1">
      <c r="A19" s="19" t="s">
        <v>129</v>
      </c>
      <c r="B19" s="13" t="s">
        <v>122</v>
      </c>
      <c r="C19" s="49">
        <v>719500</v>
      </c>
      <c r="D19" s="49">
        <v>734461</v>
      </c>
      <c r="E19" s="49">
        <v>732919</v>
      </c>
      <c r="F19" s="49">
        <v>740398</v>
      </c>
      <c r="J19" s="32"/>
      <c r="K19" s="32"/>
      <c r="L19" s="32"/>
      <c r="M19" s="32"/>
      <c r="N19" s="4"/>
      <c r="O19" s="4"/>
      <c r="P19" s="4"/>
      <c r="Q19" s="4"/>
      <c r="R19" s="4"/>
      <c r="S19" s="4"/>
    </row>
    <row r="20" spans="1:19" ht="19.5" customHeight="1">
      <c r="A20" s="93" t="s">
        <v>121</v>
      </c>
      <c r="B20" s="13" t="s">
        <v>183</v>
      </c>
      <c r="C20" s="49">
        <v>70373</v>
      </c>
      <c r="D20" s="49">
        <v>70650</v>
      </c>
      <c r="E20" s="49">
        <v>70308</v>
      </c>
      <c r="F20" s="49">
        <v>71299</v>
      </c>
      <c r="J20" s="32"/>
      <c r="K20" s="32"/>
      <c r="L20" s="32"/>
      <c r="M20" s="32"/>
      <c r="N20" s="4"/>
      <c r="O20" s="4"/>
      <c r="P20" s="4"/>
      <c r="Q20" s="4"/>
      <c r="R20" s="4"/>
      <c r="S20" s="4"/>
    </row>
    <row r="21" spans="1:19" s="3" customFormat="1" ht="20.149999999999999" customHeight="1">
      <c r="A21" s="10" t="s">
        <v>34</v>
      </c>
      <c r="B21" s="13" t="s">
        <v>15</v>
      </c>
      <c r="C21" s="49">
        <v>2000</v>
      </c>
      <c r="D21" s="49">
        <v>2000</v>
      </c>
      <c r="E21" s="49">
        <v>2000</v>
      </c>
      <c r="F21" s="49">
        <v>2000</v>
      </c>
      <c r="G21" s="37"/>
      <c r="H21" s="37"/>
      <c r="I21" s="37"/>
      <c r="J21" s="32"/>
      <c r="K21" s="32"/>
      <c r="L21" s="32"/>
      <c r="M21" s="32"/>
      <c r="N21" s="4"/>
      <c r="O21" s="4"/>
      <c r="P21" s="4"/>
      <c r="Q21" s="4"/>
      <c r="R21" s="4"/>
      <c r="S21" s="4"/>
    </row>
    <row r="22" spans="1:19" ht="20.149999999999999" customHeight="1">
      <c r="A22" s="10" t="s">
        <v>35</v>
      </c>
      <c r="B22" s="13" t="s">
        <v>16</v>
      </c>
      <c r="C22" s="49">
        <v>46</v>
      </c>
      <c r="D22" s="49">
        <v>48</v>
      </c>
      <c r="E22" s="49">
        <v>48</v>
      </c>
      <c r="F22" s="49">
        <v>48</v>
      </c>
      <c r="J22" s="32"/>
      <c r="K22" s="32"/>
      <c r="L22" s="32"/>
      <c r="M22" s="32"/>
      <c r="N22" s="4"/>
      <c r="O22" s="4"/>
      <c r="P22" s="4"/>
      <c r="Q22" s="4"/>
      <c r="R22" s="4"/>
      <c r="S22" s="4"/>
    </row>
    <row r="23" spans="1:19" ht="19.5" customHeight="1">
      <c r="A23" s="10" t="s">
        <v>46</v>
      </c>
      <c r="B23" s="13" t="s">
        <v>17</v>
      </c>
      <c r="C23" s="49">
        <v>0</v>
      </c>
      <c r="D23" s="49">
        <v>0</v>
      </c>
      <c r="E23" s="49">
        <v>0</v>
      </c>
      <c r="F23" s="49">
        <v>0</v>
      </c>
      <c r="J23" s="32"/>
      <c r="K23" s="32"/>
      <c r="L23" s="32"/>
      <c r="M23" s="32"/>
      <c r="N23" s="4"/>
      <c r="O23" s="4"/>
      <c r="P23" s="4"/>
      <c r="Q23" s="4"/>
      <c r="R23" s="4"/>
      <c r="S23" s="4"/>
    </row>
    <row r="24" spans="1:19" ht="20.149999999999999" customHeight="1">
      <c r="A24" s="10" t="s">
        <v>36</v>
      </c>
      <c r="B24" s="13" t="s">
        <v>18</v>
      </c>
      <c r="C24" s="49">
        <v>2280</v>
      </c>
      <c r="D24" s="49">
        <v>0</v>
      </c>
      <c r="E24" s="49">
        <v>0</v>
      </c>
      <c r="F24" s="49">
        <v>0</v>
      </c>
      <c r="J24" s="32"/>
      <c r="K24" s="32"/>
      <c r="L24" s="32"/>
      <c r="M24" s="32"/>
      <c r="N24" s="4"/>
      <c r="O24" s="4"/>
      <c r="P24" s="4"/>
      <c r="Q24" s="4"/>
      <c r="R24" s="4"/>
      <c r="S24" s="4"/>
    </row>
    <row r="25" spans="1:19" ht="20.149999999999999" customHeight="1">
      <c r="A25" s="10" t="s">
        <v>142</v>
      </c>
      <c r="B25" s="13" t="s">
        <v>19</v>
      </c>
      <c r="C25" s="49">
        <v>337302</v>
      </c>
      <c r="D25" s="49">
        <v>337302</v>
      </c>
      <c r="E25" s="49">
        <v>343385</v>
      </c>
      <c r="F25" s="49">
        <v>345371</v>
      </c>
      <c r="J25" s="32"/>
      <c r="K25" s="32"/>
      <c r="L25" s="32"/>
      <c r="M25" s="32"/>
      <c r="N25" s="4"/>
      <c r="O25" s="4"/>
      <c r="P25" s="4"/>
      <c r="Q25" s="4"/>
      <c r="R25" s="4"/>
      <c r="S25" s="4"/>
    </row>
    <row r="26" spans="1:19" ht="20.149999999999999" customHeight="1">
      <c r="A26" s="76" t="s">
        <v>37</v>
      </c>
      <c r="B26" s="13" t="s">
        <v>20</v>
      </c>
      <c r="C26" s="49">
        <v>0</v>
      </c>
      <c r="D26" s="49">
        <v>0</v>
      </c>
      <c r="E26" s="49">
        <v>0</v>
      </c>
      <c r="F26" s="49">
        <v>0</v>
      </c>
      <c r="J26" s="32"/>
      <c r="K26" s="32"/>
      <c r="L26" s="32"/>
      <c r="M26" s="32"/>
      <c r="N26" s="4"/>
      <c r="O26" s="4"/>
      <c r="P26" s="4"/>
      <c r="Q26" s="4"/>
      <c r="R26" s="4"/>
      <c r="S26" s="4"/>
    </row>
    <row r="27" spans="1:19" ht="20.149999999999999" customHeight="1">
      <c r="A27" s="77" t="s">
        <v>38</v>
      </c>
      <c r="B27" s="78" t="s">
        <v>21</v>
      </c>
      <c r="C27" s="47">
        <f>C28+C29+C30</f>
        <v>1315800</v>
      </c>
      <c r="D27" s="47">
        <f>D28+D29+D30</f>
        <v>1427033</v>
      </c>
      <c r="E27" s="47">
        <f>E28+E29+E30</f>
        <v>1530815</v>
      </c>
      <c r="F27" s="47">
        <f>F28+F29+F30</f>
        <v>1547140</v>
      </c>
      <c r="J27" s="32"/>
      <c r="K27" s="32"/>
      <c r="L27" s="32"/>
      <c r="M27" s="32"/>
      <c r="N27" s="4"/>
      <c r="O27" s="4"/>
      <c r="P27" s="4"/>
      <c r="Q27" s="4"/>
      <c r="R27" s="4"/>
      <c r="S27" s="4"/>
    </row>
    <row r="28" spans="1:19" ht="20.149999999999999" customHeight="1">
      <c r="A28" s="110" t="s">
        <v>32</v>
      </c>
      <c r="B28" s="25" t="s">
        <v>13</v>
      </c>
      <c r="C28" s="49">
        <v>994939</v>
      </c>
      <c r="D28" s="49">
        <v>1141119</v>
      </c>
      <c r="E28" s="49">
        <v>1211942</v>
      </c>
      <c r="F28" s="49">
        <v>1227566</v>
      </c>
      <c r="J28" s="32"/>
      <c r="K28" s="32"/>
      <c r="L28" s="32"/>
      <c r="M28" s="32"/>
      <c r="N28" s="4"/>
      <c r="O28" s="4"/>
      <c r="P28" s="4"/>
      <c r="Q28" s="4"/>
      <c r="R28" s="4"/>
      <c r="S28" s="4"/>
    </row>
    <row r="29" spans="1:19" ht="20.149999999999999" customHeight="1">
      <c r="A29" s="110" t="s">
        <v>31</v>
      </c>
      <c r="B29" s="25" t="s">
        <v>12</v>
      </c>
      <c r="C29" s="49">
        <v>292935</v>
      </c>
      <c r="D29" s="49">
        <v>257455</v>
      </c>
      <c r="E29" s="49">
        <v>289425</v>
      </c>
      <c r="F29" s="49">
        <v>291648</v>
      </c>
      <c r="J29" s="32"/>
      <c r="K29" s="32"/>
      <c r="L29" s="32"/>
      <c r="M29" s="32"/>
      <c r="N29" s="4"/>
      <c r="O29" s="4"/>
      <c r="P29" s="4"/>
      <c r="Q29" s="4"/>
      <c r="R29" s="4"/>
      <c r="S29" s="4"/>
    </row>
    <row r="30" spans="1:19" s="2" customFormat="1" ht="20.149999999999999" customHeight="1">
      <c r="A30" s="102" t="s">
        <v>135</v>
      </c>
      <c r="B30" s="25" t="s">
        <v>22</v>
      </c>
      <c r="C30" s="49">
        <v>27926</v>
      </c>
      <c r="D30" s="49">
        <v>28459</v>
      </c>
      <c r="E30" s="49">
        <v>29448</v>
      </c>
      <c r="F30" s="49">
        <v>27926</v>
      </c>
      <c r="G30" s="40"/>
      <c r="H30" s="40"/>
      <c r="I30" s="40"/>
      <c r="J30" s="32"/>
      <c r="K30" s="32"/>
      <c r="L30" s="32"/>
      <c r="M30" s="32"/>
      <c r="N30" s="4"/>
      <c r="O30" s="4"/>
      <c r="P30" s="4"/>
      <c r="Q30" s="4"/>
      <c r="R30" s="4"/>
      <c r="S30" s="4"/>
    </row>
    <row r="31" spans="1:19" ht="20.149999999999999" customHeight="1">
      <c r="A31" s="17" t="s">
        <v>39</v>
      </c>
      <c r="B31" s="16" t="s">
        <v>23</v>
      </c>
      <c r="C31" s="47">
        <v>0</v>
      </c>
      <c r="D31" s="47">
        <v>0</v>
      </c>
      <c r="E31" s="47">
        <v>0</v>
      </c>
      <c r="F31" s="47">
        <v>0</v>
      </c>
      <c r="J31" s="32"/>
      <c r="K31" s="32"/>
      <c r="L31" s="32"/>
      <c r="M31" s="32"/>
      <c r="N31" s="4"/>
      <c r="O31" s="4"/>
      <c r="P31" s="4"/>
      <c r="Q31" s="4"/>
      <c r="R31" s="4"/>
      <c r="S31" s="4"/>
    </row>
    <row r="32" spans="1:19" ht="21" customHeight="1">
      <c r="A32" s="17" t="s">
        <v>40</v>
      </c>
      <c r="B32" s="16" t="s">
        <v>24</v>
      </c>
      <c r="C32" s="47">
        <v>0</v>
      </c>
      <c r="D32" s="47">
        <v>0</v>
      </c>
      <c r="E32" s="47">
        <v>0</v>
      </c>
      <c r="F32" s="47">
        <v>0</v>
      </c>
      <c r="G32" s="28" t="s">
        <v>120</v>
      </c>
      <c r="J32" s="32"/>
      <c r="K32" s="32"/>
      <c r="L32" s="32"/>
      <c r="M32" s="32"/>
      <c r="N32" s="4"/>
      <c r="O32" s="4"/>
      <c r="P32" s="4"/>
      <c r="Q32" s="4"/>
      <c r="R32" s="4"/>
      <c r="S32" s="4"/>
    </row>
    <row r="33" spans="1:19" ht="20.149999999999999" customHeight="1">
      <c r="A33" s="18" t="s">
        <v>137</v>
      </c>
      <c r="B33" s="16" t="s">
        <v>103</v>
      </c>
      <c r="C33" s="47">
        <v>0</v>
      </c>
      <c r="D33" s="47">
        <v>0</v>
      </c>
      <c r="E33" s="47">
        <v>0</v>
      </c>
      <c r="F33" s="47">
        <v>0</v>
      </c>
      <c r="J33" s="32"/>
      <c r="K33" s="32"/>
      <c r="L33" s="32"/>
      <c r="M33" s="32"/>
      <c r="N33" s="4"/>
      <c r="O33" s="4"/>
      <c r="P33" s="4"/>
      <c r="Q33" s="4"/>
      <c r="R33" s="4"/>
      <c r="S33" s="4"/>
    </row>
    <row r="34" spans="1:19" ht="20.149999999999999" customHeight="1">
      <c r="A34" s="18" t="s">
        <v>41</v>
      </c>
      <c r="B34" s="16" t="s">
        <v>25</v>
      </c>
      <c r="C34" s="47">
        <v>-339034</v>
      </c>
      <c r="D34" s="47">
        <v>-358751</v>
      </c>
      <c r="E34" s="47">
        <v>-373073</v>
      </c>
      <c r="F34" s="47">
        <v>-283636</v>
      </c>
      <c r="J34" s="32"/>
      <c r="K34" s="32"/>
      <c r="L34" s="32"/>
      <c r="M34" s="32"/>
      <c r="N34" s="4"/>
      <c r="O34" s="4"/>
      <c r="P34" s="4"/>
      <c r="Q34" s="4"/>
      <c r="R34" s="4"/>
      <c r="S34" s="4"/>
    </row>
    <row r="35" spans="1:19" ht="20.149999999999999" customHeight="1">
      <c r="A35" s="18" t="s">
        <v>104</v>
      </c>
      <c r="B35" s="16" t="s">
        <v>105</v>
      </c>
      <c r="C35" s="47">
        <v>0</v>
      </c>
      <c r="D35" s="47">
        <v>0</v>
      </c>
      <c r="E35" s="47">
        <v>0</v>
      </c>
      <c r="F35" s="47">
        <v>0</v>
      </c>
      <c r="J35" s="32"/>
      <c r="K35" s="32"/>
      <c r="L35" s="32"/>
      <c r="M35" s="32"/>
      <c r="N35" s="4"/>
      <c r="O35" s="4"/>
      <c r="P35" s="4"/>
      <c r="Q35" s="4"/>
      <c r="R35" s="4"/>
      <c r="S35" s="4"/>
    </row>
    <row r="36" spans="1:19" ht="23.25" customHeight="1">
      <c r="A36" s="17" t="s">
        <v>148</v>
      </c>
      <c r="B36" s="115" t="s">
        <v>147</v>
      </c>
      <c r="C36" s="47">
        <f>C37+C38</f>
        <v>239013</v>
      </c>
      <c r="D36" s="47">
        <f>D37+D38</f>
        <v>278518</v>
      </c>
      <c r="E36" s="47">
        <f>E37+E38</f>
        <v>287289</v>
      </c>
      <c r="F36" s="47">
        <f>F37+F38</f>
        <v>317607</v>
      </c>
      <c r="J36" s="32"/>
      <c r="K36" s="32"/>
      <c r="L36" s="32"/>
      <c r="M36" s="32"/>
      <c r="N36" s="4"/>
      <c r="O36" s="4"/>
      <c r="P36" s="4"/>
      <c r="Q36" s="4"/>
      <c r="R36" s="4"/>
      <c r="S36" s="4"/>
    </row>
    <row r="37" spans="1:19" ht="21.75" customHeight="1">
      <c r="A37" s="111" t="s">
        <v>160</v>
      </c>
      <c r="B37" s="14" t="s">
        <v>161</v>
      </c>
      <c r="C37" s="49">
        <v>185275</v>
      </c>
      <c r="D37" s="49">
        <v>208303</v>
      </c>
      <c r="E37" s="49">
        <v>217571</v>
      </c>
      <c r="F37" s="49">
        <v>245916</v>
      </c>
      <c r="J37" s="32"/>
      <c r="K37" s="32"/>
      <c r="L37" s="32"/>
      <c r="M37" s="32"/>
      <c r="N37" s="4"/>
      <c r="O37" s="4"/>
      <c r="P37" s="4"/>
      <c r="Q37" s="4"/>
      <c r="R37" s="4"/>
      <c r="S37" s="4"/>
    </row>
    <row r="38" spans="1:19" ht="20.149999999999999" customHeight="1">
      <c r="A38" s="112" t="s">
        <v>162</v>
      </c>
      <c r="B38" s="14" t="s">
        <v>163</v>
      </c>
      <c r="C38" s="49">
        <v>53738</v>
      </c>
      <c r="D38" s="49">
        <v>70215</v>
      </c>
      <c r="E38" s="49">
        <v>69718</v>
      </c>
      <c r="F38" s="49">
        <v>71691</v>
      </c>
      <c r="G38" s="91"/>
      <c r="H38" s="92"/>
      <c r="I38" s="92"/>
      <c r="J38" s="32"/>
      <c r="K38" s="32"/>
      <c r="L38" s="32"/>
      <c r="M38" s="32"/>
      <c r="N38" s="4"/>
      <c r="O38" s="4"/>
      <c r="P38" s="4"/>
      <c r="Q38" s="4"/>
      <c r="R38" s="4"/>
      <c r="S38" s="4"/>
    </row>
    <row r="39" spans="1:19" ht="19.5" customHeight="1">
      <c r="A39" s="17" t="s">
        <v>42</v>
      </c>
      <c r="B39" s="115" t="s">
        <v>146</v>
      </c>
      <c r="C39" s="47">
        <f>C40-C41</f>
        <v>354945</v>
      </c>
      <c r="D39" s="47">
        <f>D40-D41</f>
        <v>370287</v>
      </c>
      <c r="E39" s="47">
        <f>E40-E41</f>
        <v>398909</v>
      </c>
      <c r="F39" s="47">
        <f>F40-F41</f>
        <v>473022</v>
      </c>
    </row>
    <row r="40" spans="1:19" ht="24" customHeight="1">
      <c r="A40" s="111" t="s">
        <v>43</v>
      </c>
      <c r="B40" s="11" t="s">
        <v>149</v>
      </c>
      <c r="C40" s="49">
        <v>363021</v>
      </c>
      <c r="D40" s="49">
        <v>378115</v>
      </c>
      <c r="E40" s="49">
        <v>407759</v>
      </c>
      <c r="F40" s="49">
        <v>484045</v>
      </c>
    </row>
    <row r="41" spans="1:19" ht="20.25" customHeight="1">
      <c r="A41" s="112" t="s">
        <v>143</v>
      </c>
      <c r="B41" s="11" t="s">
        <v>26</v>
      </c>
      <c r="C41" s="49">
        <v>8076</v>
      </c>
      <c r="D41" s="49">
        <v>7828</v>
      </c>
      <c r="E41" s="49">
        <v>8850</v>
      </c>
      <c r="F41" s="49">
        <v>11023</v>
      </c>
    </row>
    <row r="42" spans="1:19" ht="26.25" customHeight="1">
      <c r="A42" s="17" t="s">
        <v>44</v>
      </c>
      <c r="B42" s="16" t="s">
        <v>145</v>
      </c>
      <c r="C42" s="47">
        <f>SUM(C43:C45)</f>
        <v>97857</v>
      </c>
      <c r="D42" s="47">
        <f>D43+D45</f>
        <v>128027</v>
      </c>
      <c r="E42" s="47">
        <f>E43+E45</f>
        <v>148781</v>
      </c>
      <c r="F42" s="47">
        <f>F43+F45</f>
        <v>216032</v>
      </c>
    </row>
    <row r="43" spans="1:19" ht="25.5" customHeight="1">
      <c r="A43" s="111" t="s">
        <v>45</v>
      </c>
      <c r="B43" s="84" t="s">
        <v>165</v>
      </c>
      <c r="C43" s="49">
        <v>44119</v>
      </c>
      <c r="D43" s="49">
        <v>57812</v>
      </c>
      <c r="E43" s="49">
        <v>79063</v>
      </c>
      <c r="F43" s="49">
        <v>144341</v>
      </c>
    </row>
    <row r="44" spans="1:19" ht="24.75" customHeight="1">
      <c r="A44" s="113" t="s">
        <v>47</v>
      </c>
      <c r="B44" s="80" t="s">
        <v>169</v>
      </c>
      <c r="C44" s="49">
        <v>0</v>
      </c>
      <c r="D44" s="49">
        <v>0</v>
      </c>
      <c r="E44" s="49">
        <v>0</v>
      </c>
      <c r="F44" s="49">
        <v>0</v>
      </c>
    </row>
    <row r="45" spans="1:19" s="46" customFormat="1" ht="24.75" customHeight="1">
      <c r="A45" s="114" t="s">
        <v>144</v>
      </c>
      <c r="B45" s="81" t="s">
        <v>167</v>
      </c>
      <c r="C45" s="50">
        <v>53738</v>
      </c>
      <c r="D45" s="50">
        <v>70215</v>
      </c>
      <c r="E45" s="50">
        <v>69718</v>
      </c>
      <c r="F45" s="50">
        <v>71691</v>
      </c>
      <c r="G45" s="45"/>
      <c r="H45" s="45"/>
      <c r="I45" s="45"/>
      <c r="J45" s="45"/>
      <c r="K45" s="45"/>
      <c r="L45" s="45"/>
      <c r="M45" s="45"/>
    </row>
    <row r="46" spans="1:19" ht="20.25" customHeight="1">
      <c r="A46" s="96" t="s">
        <v>49</v>
      </c>
      <c r="B46" s="97"/>
      <c r="C46" s="96"/>
      <c r="D46" s="96"/>
      <c r="E46" s="96"/>
      <c r="F46" s="96"/>
      <c r="G46" s="45"/>
      <c r="H46" s="45"/>
      <c r="I46" s="45"/>
      <c r="J46" s="45"/>
      <c r="K46"/>
      <c r="L46"/>
      <c r="M46"/>
    </row>
    <row r="47" spans="1:19" ht="20.25" customHeight="1">
      <c r="A47" s="96" t="s">
        <v>141</v>
      </c>
      <c r="B47" s="97"/>
      <c r="C47" s="96"/>
      <c r="D47" s="96"/>
      <c r="E47" s="96"/>
      <c r="F47" s="96"/>
      <c r="G47" s="45"/>
      <c r="H47" s="45"/>
      <c r="I47" s="45"/>
      <c r="J47" s="45"/>
      <c r="K47"/>
      <c r="L47"/>
      <c r="M47"/>
    </row>
    <row r="48" spans="1:19" ht="20.25" customHeight="1">
      <c r="A48" s="96" t="s">
        <v>85</v>
      </c>
      <c r="B48" s="97"/>
      <c r="C48" s="96"/>
      <c r="D48" s="96"/>
      <c r="E48" s="96"/>
      <c r="F48" s="96"/>
      <c r="G48" s="45"/>
      <c r="H48" s="45"/>
      <c r="I48" s="45"/>
      <c r="J48" s="45"/>
      <c r="K48"/>
      <c r="L48"/>
      <c r="M48"/>
    </row>
    <row r="49" spans="1:13" ht="20.25" customHeight="1">
      <c r="A49" s="96" t="s">
        <v>53</v>
      </c>
      <c r="B49" s="97"/>
      <c r="C49" s="96"/>
      <c r="D49" s="96"/>
      <c r="E49" s="96"/>
      <c r="F49" s="96"/>
      <c r="G49" s="45"/>
      <c r="H49" s="45"/>
      <c r="I49" s="45"/>
      <c r="J49" s="45"/>
      <c r="K49"/>
      <c r="L49"/>
      <c r="M49"/>
    </row>
    <row r="50" spans="1:13" ht="20.25" customHeight="1">
      <c r="A50" s="96" t="s">
        <v>139</v>
      </c>
      <c r="B50" s="97"/>
      <c r="C50" s="96"/>
      <c r="D50" s="96"/>
      <c r="E50" s="96"/>
      <c r="F50" s="96"/>
      <c r="G50" s="45"/>
      <c r="H50" s="45"/>
      <c r="I50" s="45"/>
      <c r="J50" s="45"/>
      <c r="K50"/>
      <c r="L50"/>
      <c r="M50"/>
    </row>
    <row r="51" spans="1:13" ht="20.25" customHeight="1">
      <c r="A51" s="96" t="s">
        <v>127</v>
      </c>
      <c r="B51" s="97"/>
      <c r="C51" s="96"/>
      <c r="D51" s="96"/>
      <c r="E51" s="96"/>
      <c r="F51" s="96"/>
      <c r="G51" s="45"/>
      <c r="H51" s="45"/>
      <c r="I51" s="45"/>
      <c r="J51" s="45"/>
      <c r="K51"/>
      <c r="L51"/>
      <c r="M51"/>
    </row>
    <row r="52" spans="1:13" ht="20.25" customHeight="1">
      <c r="A52" s="96" t="s">
        <v>140</v>
      </c>
      <c r="B52" s="97"/>
      <c r="C52" s="96"/>
      <c r="D52" s="96"/>
      <c r="E52" s="96"/>
      <c r="F52" s="96"/>
      <c r="G52" s="45"/>
      <c r="H52" s="45"/>
      <c r="I52" s="45"/>
      <c r="J52" s="45"/>
      <c r="K52"/>
      <c r="L52"/>
      <c r="M52"/>
    </row>
    <row r="53" spans="1:13" ht="20.25" customHeight="1">
      <c r="A53" s="96" t="s">
        <v>123</v>
      </c>
      <c r="B53" s="96"/>
      <c r="C53" s="96"/>
      <c r="D53" s="96"/>
      <c r="E53" s="96"/>
      <c r="F53" s="96"/>
    </row>
    <row r="54" spans="1:13" ht="20.25" customHeight="1">
      <c r="A54" s="96" t="s">
        <v>124</v>
      </c>
      <c r="B54" s="96"/>
      <c r="C54" s="96"/>
      <c r="D54" s="96"/>
      <c r="E54" s="96"/>
      <c r="F54" s="96"/>
    </row>
    <row r="55" spans="1:13" ht="18.75" customHeight="1">
      <c r="A55" s="94"/>
      <c r="B55" s="94"/>
      <c r="C55" s="94"/>
      <c r="D55" s="94"/>
      <c r="E55" s="94"/>
      <c r="F55" s="94"/>
    </row>
    <row r="56" spans="1:13" ht="15.5">
      <c r="A56" s="94"/>
      <c r="B56" s="94"/>
      <c r="C56" s="94"/>
      <c r="D56" s="94"/>
      <c r="E56" s="94"/>
      <c r="F56" s="94"/>
    </row>
  </sheetData>
  <mergeCells count="4">
    <mergeCell ref="B2:F2"/>
    <mergeCell ref="B3:F3"/>
    <mergeCell ref="A5:F5"/>
    <mergeCell ref="A7:B8"/>
  </mergeCells>
  <conditionalFormatting sqref="A5:A6">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S53"/>
  <sheetViews>
    <sheetView topLeftCell="A4" zoomScale="50" zoomScaleNormal="50" zoomScaleSheetLayoutView="88" workbookViewId="0">
      <selection activeCell="F74" sqref="F74"/>
    </sheetView>
  </sheetViews>
  <sheetFormatPr defaultRowHeight="12.5"/>
  <cols>
    <col min="1" max="1" width="74.54296875" customWidth="1"/>
    <col min="2" max="2" width="100.54296875" style="1" customWidth="1"/>
    <col min="3" max="6" width="20.7265625" customWidth="1"/>
    <col min="7" max="8" width="9.1796875" style="28"/>
    <col min="9" max="9" width="12.81640625" style="28" bestFit="1" customWidth="1"/>
    <col min="10" max="12" width="13.453125" style="28" bestFit="1" customWidth="1"/>
    <col min="13" max="13" width="9.1796875" style="28"/>
    <col min="19" max="19" width="9.26953125" bestFit="1" customWidth="1"/>
  </cols>
  <sheetData>
    <row r="1" spans="1:19" ht="15" hidden="1" customHeight="1"/>
    <row r="2" spans="1:19" ht="23" hidden="1">
      <c r="B2" s="164" t="s">
        <v>5</v>
      </c>
      <c r="C2" s="164"/>
      <c r="D2" s="164"/>
      <c r="E2" s="164"/>
      <c r="F2" s="164"/>
    </row>
    <row r="3" spans="1:19" ht="23" hidden="1">
      <c r="B3" s="165" t="s">
        <v>4</v>
      </c>
      <c r="C3" s="165"/>
      <c r="D3" s="165"/>
      <c r="E3" s="165"/>
      <c r="F3" s="165"/>
    </row>
    <row r="4" spans="1:19" s="5" customFormat="1" ht="45" customHeight="1">
      <c r="A4" s="166" t="s">
        <v>6</v>
      </c>
      <c r="B4" s="166"/>
      <c r="C4" s="166"/>
      <c r="D4" s="166"/>
      <c r="E4" s="166"/>
      <c r="F4" s="166"/>
      <c r="G4" s="29"/>
      <c r="H4" s="29"/>
      <c r="I4" s="29"/>
      <c r="J4" s="29"/>
      <c r="K4" s="29"/>
      <c r="L4" s="29"/>
      <c r="M4" s="29"/>
    </row>
    <row r="5" spans="1:19" s="5" customFormat="1" ht="45" customHeight="1" thickBot="1">
      <c r="A5" s="100"/>
      <c r="B5" s="100"/>
      <c r="C5" s="100"/>
      <c r="D5" s="100"/>
      <c r="E5" s="100"/>
      <c r="F5" s="107" t="s">
        <v>52</v>
      </c>
      <c r="G5" s="29"/>
      <c r="H5" s="29"/>
      <c r="I5" s="29"/>
      <c r="J5" s="29"/>
      <c r="K5" s="29"/>
      <c r="L5" s="29"/>
      <c r="M5" s="29"/>
    </row>
    <row r="6" spans="1:19" ht="25.5" customHeight="1" thickTop="1" thickBot="1">
      <c r="A6" s="167" t="s">
        <v>55</v>
      </c>
      <c r="B6" s="168"/>
      <c r="C6" s="53" t="s">
        <v>0</v>
      </c>
      <c r="D6" s="53" t="s">
        <v>1</v>
      </c>
      <c r="E6" s="53" t="s">
        <v>2</v>
      </c>
      <c r="F6" s="53" t="s">
        <v>3</v>
      </c>
    </row>
    <row r="7" spans="1:19" ht="36" customHeight="1" thickTop="1" thickBot="1">
      <c r="A7" s="169"/>
      <c r="B7" s="170"/>
      <c r="C7" s="66" t="s">
        <v>154</v>
      </c>
      <c r="D7" s="66" t="s">
        <v>155</v>
      </c>
      <c r="E7" s="67" t="s">
        <v>156</v>
      </c>
      <c r="F7" s="66" t="s">
        <v>157</v>
      </c>
    </row>
    <row r="8" spans="1:19" ht="20.149999999999999" customHeight="1" thickTop="1">
      <c r="A8" s="23" t="s">
        <v>152</v>
      </c>
      <c r="B8" s="24" t="s">
        <v>7</v>
      </c>
      <c r="C8" s="83">
        <f>C9+C35+C38-C41</f>
        <v>3887819</v>
      </c>
      <c r="D8" s="83">
        <f t="shared" ref="D8:F8" si="0">D9+D35+D38-D41</f>
        <v>4107931</v>
      </c>
      <c r="E8" s="83">
        <f t="shared" si="0"/>
        <v>4204875</v>
      </c>
      <c r="F8" s="83">
        <f t="shared" si="0"/>
        <v>4282112</v>
      </c>
      <c r="J8" s="32"/>
      <c r="K8" s="32"/>
      <c r="L8" s="32"/>
      <c r="M8" s="32"/>
      <c r="N8" s="4"/>
      <c r="O8" s="4"/>
      <c r="P8" s="4"/>
      <c r="Q8" s="4"/>
      <c r="R8" s="4"/>
      <c r="S8" s="4"/>
    </row>
    <row r="9" spans="1:19" s="8" customFormat="1" ht="20.149999999999999" customHeight="1">
      <c r="A9" s="21" t="s">
        <v>56</v>
      </c>
      <c r="B9" s="16" t="s">
        <v>8</v>
      </c>
      <c r="C9" s="47">
        <f>C10+C30+C31+C32+C33+C34</f>
        <v>3298482</v>
      </c>
      <c r="D9" s="47">
        <f>D10+D30+D31+D32+D33+D34</f>
        <v>3504859</v>
      </c>
      <c r="E9" s="47">
        <f>E10+E30+E31+E32+E33+E34</f>
        <v>3630608</v>
      </c>
      <c r="F9" s="47">
        <f>F10+F30+F31+F32+F33+F34</f>
        <v>3730857</v>
      </c>
      <c r="G9" s="34"/>
      <c r="H9" s="34"/>
      <c r="I9" s="34"/>
      <c r="J9" s="33"/>
      <c r="K9" s="33"/>
      <c r="L9" s="33"/>
      <c r="M9" s="33"/>
      <c r="N9" s="9"/>
      <c r="O9" s="9"/>
      <c r="P9" s="9"/>
      <c r="Q9" s="9"/>
      <c r="R9" s="9"/>
      <c r="S9" s="9"/>
    </row>
    <row r="10" spans="1:19" s="7" customFormat="1" ht="20.149999999999999" customHeight="1">
      <c r="A10" s="18" t="s">
        <v>27</v>
      </c>
      <c r="B10" s="16" t="s">
        <v>9</v>
      </c>
      <c r="C10" s="48">
        <f>C11+C26</f>
        <v>3511419</v>
      </c>
      <c r="D10" s="48">
        <f>D11+D26</f>
        <v>3770739</v>
      </c>
      <c r="E10" s="48">
        <f>E11+E26</f>
        <v>3828756</v>
      </c>
      <c r="F10" s="48">
        <f>F11+F26</f>
        <v>3875002</v>
      </c>
      <c r="G10" s="36"/>
      <c r="H10" s="36"/>
      <c r="I10" s="88"/>
      <c r="J10" s="88"/>
      <c r="K10" s="88"/>
      <c r="L10" s="88"/>
      <c r="M10" s="35"/>
      <c r="N10" s="6"/>
      <c r="O10" s="6"/>
      <c r="P10" s="6"/>
      <c r="Q10" s="6"/>
      <c r="R10" s="6"/>
      <c r="S10" s="6"/>
    </row>
    <row r="11" spans="1:19" s="7" customFormat="1" ht="20.149999999999999" customHeight="1">
      <c r="A11" s="18" t="s">
        <v>111</v>
      </c>
      <c r="B11" s="16" t="s">
        <v>112</v>
      </c>
      <c r="C11" s="48">
        <f>C12+C13+C14+C16+C17+C18+C19+C20+C21+C22+C23+C24+C25</f>
        <v>1886772</v>
      </c>
      <c r="D11" s="48">
        <f t="shared" ref="D11:F11" si="1">D12+D13+D14+D16+D17+D18+D19+D20+D21+D22+D23+D24+D25</f>
        <v>2193171</v>
      </c>
      <c r="E11" s="48">
        <f t="shared" si="1"/>
        <v>2226242</v>
      </c>
      <c r="F11" s="48">
        <f t="shared" si="1"/>
        <v>2235971</v>
      </c>
      <c r="G11" s="36"/>
      <c r="H11" s="36"/>
      <c r="I11" s="36"/>
      <c r="J11" s="35"/>
      <c r="K11" s="35"/>
      <c r="L11" s="35"/>
      <c r="M11" s="35"/>
      <c r="N11" s="6"/>
      <c r="O11" s="6"/>
      <c r="P11" s="6"/>
      <c r="Q11" s="6"/>
      <c r="R11" s="6"/>
      <c r="S11" s="6"/>
    </row>
    <row r="12" spans="1:19" s="7" customFormat="1" ht="20.149999999999999" customHeight="1">
      <c r="A12" s="20" t="s">
        <v>28</v>
      </c>
      <c r="B12" s="11" t="s">
        <v>10</v>
      </c>
      <c r="C12" s="49">
        <v>616530</v>
      </c>
      <c r="D12" s="49">
        <v>616530</v>
      </c>
      <c r="E12" s="49">
        <v>616530</v>
      </c>
      <c r="F12" s="49">
        <v>616530</v>
      </c>
      <c r="G12" s="36"/>
      <c r="H12" s="36"/>
      <c r="I12" s="36"/>
      <c r="J12" s="35"/>
      <c r="K12" s="35"/>
      <c r="L12" s="35"/>
      <c r="M12" s="35"/>
      <c r="N12" s="6"/>
      <c r="O12" s="6"/>
      <c r="P12" s="6"/>
      <c r="Q12" s="6"/>
      <c r="R12" s="6"/>
      <c r="S12" s="6"/>
    </row>
    <row r="13" spans="1:19" s="8" customFormat="1" ht="20.149999999999999" customHeight="1">
      <c r="A13" s="19" t="s">
        <v>29</v>
      </c>
      <c r="B13" s="11" t="s">
        <v>11</v>
      </c>
      <c r="C13" s="49">
        <v>0</v>
      </c>
      <c r="D13" s="49">
        <v>0</v>
      </c>
      <c r="E13" s="49">
        <v>0</v>
      </c>
      <c r="F13" s="49">
        <v>0</v>
      </c>
      <c r="G13" s="34"/>
      <c r="H13" s="34"/>
      <c r="I13" s="34"/>
      <c r="J13" s="33"/>
      <c r="K13" s="33"/>
      <c r="L13" s="33"/>
      <c r="M13" s="33"/>
      <c r="N13" s="9"/>
      <c r="O13" s="9"/>
      <c r="P13" s="9"/>
      <c r="Q13" s="9"/>
      <c r="R13" s="9"/>
      <c r="S13" s="9"/>
    </row>
    <row r="14" spans="1:19" s="7" customFormat="1" ht="20.149999999999999" customHeight="1">
      <c r="A14" s="108" t="s">
        <v>101</v>
      </c>
      <c r="B14" s="11" t="s">
        <v>102</v>
      </c>
      <c r="C14" s="49">
        <v>49105</v>
      </c>
      <c r="D14" s="49">
        <v>49097</v>
      </c>
      <c r="E14" s="49">
        <v>47449</v>
      </c>
      <c r="F14" s="49">
        <v>45763</v>
      </c>
      <c r="G14" s="36"/>
      <c r="H14" s="36"/>
      <c r="I14" s="36"/>
      <c r="J14" s="35"/>
      <c r="K14" s="35"/>
      <c r="L14" s="35"/>
      <c r="M14" s="35"/>
      <c r="N14" s="6"/>
      <c r="O14" s="6"/>
      <c r="P14" s="6"/>
      <c r="Q14" s="6"/>
      <c r="R14" s="6"/>
      <c r="S14" s="6"/>
    </row>
    <row r="15" spans="1:19" s="7" customFormat="1" ht="20.149999999999999" customHeight="1">
      <c r="A15" s="20" t="s">
        <v>30</v>
      </c>
      <c r="B15" s="15" t="s">
        <v>170</v>
      </c>
      <c r="C15" s="109">
        <f>C16+C17</f>
        <v>38659</v>
      </c>
      <c r="D15" s="109">
        <f t="shared" ref="D15:F15" si="2">D16+D17</f>
        <v>41323</v>
      </c>
      <c r="E15" s="109">
        <f t="shared" si="2"/>
        <v>50437</v>
      </c>
      <c r="F15" s="155">
        <f t="shared" si="2"/>
        <v>52867</v>
      </c>
      <c r="G15" s="36"/>
      <c r="H15" s="36"/>
      <c r="I15" s="36"/>
      <c r="J15" s="35"/>
      <c r="K15" s="35"/>
      <c r="L15" s="35"/>
      <c r="M15" s="35"/>
      <c r="N15" s="6"/>
      <c r="O15" s="6"/>
      <c r="P15" s="6"/>
      <c r="Q15" s="6"/>
      <c r="R15" s="6"/>
      <c r="S15" s="6"/>
    </row>
    <row r="16" spans="1:19" ht="20.149999999999999" customHeight="1">
      <c r="A16" s="101" t="s">
        <v>31</v>
      </c>
      <c r="B16" s="12" t="s">
        <v>12</v>
      </c>
      <c r="C16" s="49">
        <v>35907</v>
      </c>
      <c r="D16" s="49">
        <v>38508</v>
      </c>
      <c r="E16" s="49">
        <v>47571</v>
      </c>
      <c r="F16" s="49">
        <v>49262</v>
      </c>
      <c r="J16" s="32"/>
      <c r="K16" s="32"/>
      <c r="L16" s="32"/>
      <c r="M16" s="32"/>
      <c r="N16" s="4"/>
      <c r="O16" s="4"/>
      <c r="P16" s="4"/>
      <c r="Q16" s="4"/>
      <c r="R16" s="4"/>
      <c r="S16" s="4"/>
    </row>
    <row r="17" spans="1:19" ht="20.149999999999999" customHeight="1">
      <c r="A17" s="110" t="s">
        <v>135</v>
      </c>
      <c r="B17" s="12" t="s">
        <v>22</v>
      </c>
      <c r="C17" s="49">
        <v>2752</v>
      </c>
      <c r="D17" s="49">
        <v>2815</v>
      </c>
      <c r="E17" s="49">
        <v>2866</v>
      </c>
      <c r="F17" s="49">
        <v>3605</v>
      </c>
      <c r="J17" s="32"/>
      <c r="K17" s="32"/>
      <c r="L17" s="32"/>
      <c r="M17" s="32"/>
      <c r="N17" s="4"/>
      <c r="O17" s="4"/>
      <c r="P17" s="4"/>
      <c r="Q17" s="4"/>
      <c r="R17" s="4"/>
      <c r="S17" s="4"/>
    </row>
    <row r="18" spans="1:19" ht="20.149999999999999" customHeight="1">
      <c r="A18" s="93" t="s">
        <v>158</v>
      </c>
      <c r="B18" s="13" t="s">
        <v>122</v>
      </c>
      <c r="C18" s="49">
        <v>749456</v>
      </c>
      <c r="D18" s="49">
        <v>1028180</v>
      </c>
      <c r="E18" s="49">
        <v>1051337</v>
      </c>
      <c r="F18" s="49">
        <v>1062923</v>
      </c>
      <c r="J18" s="32"/>
      <c r="K18" s="32"/>
      <c r="L18" s="32"/>
      <c r="M18" s="32"/>
      <c r="N18" s="4"/>
      <c r="O18" s="4"/>
      <c r="P18" s="4"/>
      <c r="Q18" s="4"/>
      <c r="R18" s="4"/>
      <c r="S18" s="4"/>
    </row>
    <row r="19" spans="1:19" ht="20.149999999999999" customHeight="1">
      <c r="A19" s="93" t="s">
        <v>121</v>
      </c>
      <c r="B19" s="13" t="s">
        <v>183</v>
      </c>
      <c r="C19" s="49">
        <v>71425</v>
      </c>
      <c r="D19" s="49">
        <v>93016</v>
      </c>
      <c r="E19" s="49">
        <v>89893</v>
      </c>
      <c r="F19" s="49">
        <v>86700</v>
      </c>
      <c r="J19" s="32"/>
      <c r="K19" s="32"/>
      <c r="L19" s="32"/>
      <c r="M19" s="32"/>
      <c r="N19" s="4"/>
      <c r="O19" s="4"/>
      <c r="P19" s="4"/>
      <c r="Q19" s="4"/>
      <c r="R19" s="4"/>
      <c r="S19" s="4"/>
    </row>
    <row r="20" spans="1:19" s="3" customFormat="1" ht="20.149999999999999" customHeight="1">
      <c r="A20" s="10" t="s">
        <v>34</v>
      </c>
      <c r="B20" s="13" t="s">
        <v>15</v>
      </c>
      <c r="C20" s="49">
        <v>2000</v>
      </c>
      <c r="D20" s="49">
        <v>2000</v>
      </c>
      <c r="E20" s="49">
        <v>2000</v>
      </c>
      <c r="F20" s="49">
        <v>2000</v>
      </c>
      <c r="G20" s="37"/>
      <c r="H20" s="37"/>
      <c r="I20" s="37"/>
      <c r="J20" s="32"/>
      <c r="K20" s="32"/>
      <c r="L20" s="32"/>
      <c r="M20" s="32"/>
      <c r="N20" s="4"/>
      <c r="O20" s="4"/>
      <c r="P20" s="4"/>
      <c r="Q20" s="4"/>
      <c r="R20" s="4"/>
      <c r="S20" s="4"/>
    </row>
    <row r="21" spans="1:19" ht="20.149999999999999" customHeight="1">
      <c r="A21" s="10" t="s">
        <v>35</v>
      </c>
      <c r="B21" s="13" t="s">
        <v>16</v>
      </c>
      <c r="C21" s="49">
        <v>48</v>
      </c>
      <c r="D21" s="49">
        <v>50</v>
      </c>
      <c r="E21" s="49">
        <v>50</v>
      </c>
      <c r="F21" s="49">
        <v>50</v>
      </c>
      <c r="J21" s="32"/>
      <c r="K21" s="32"/>
      <c r="L21" s="32"/>
      <c r="M21" s="32"/>
      <c r="N21" s="4"/>
      <c r="O21" s="4"/>
      <c r="P21" s="4"/>
      <c r="Q21" s="4"/>
      <c r="R21" s="4"/>
      <c r="S21" s="4"/>
    </row>
    <row r="22" spans="1:19" ht="19.5" customHeight="1">
      <c r="A22" s="10" t="s">
        <v>46</v>
      </c>
      <c r="B22" s="13" t="s">
        <v>17</v>
      </c>
      <c r="C22" s="49">
        <v>0</v>
      </c>
      <c r="D22" s="49">
        <v>0</v>
      </c>
      <c r="E22" s="49">
        <v>0</v>
      </c>
      <c r="F22" s="49">
        <v>0</v>
      </c>
      <c r="J22" s="32"/>
      <c r="K22" s="32"/>
      <c r="L22" s="32"/>
      <c r="M22" s="32"/>
      <c r="N22" s="4"/>
      <c r="O22" s="4"/>
      <c r="P22" s="4"/>
      <c r="Q22" s="4"/>
      <c r="R22" s="4"/>
      <c r="S22" s="4"/>
    </row>
    <row r="23" spans="1:19" ht="20.149999999999999" customHeight="1">
      <c r="A23" s="10" t="s">
        <v>36</v>
      </c>
      <c r="B23" s="13" t="s">
        <v>18</v>
      </c>
      <c r="C23" s="49">
        <v>0</v>
      </c>
      <c r="D23" s="49">
        <v>0</v>
      </c>
      <c r="E23" s="49">
        <v>0</v>
      </c>
      <c r="F23" s="49">
        <v>0</v>
      </c>
      <c r="J23" s="32"/>
      <c r="K23" s="32"/>
      <c r="L23" s="32"/>
      <c r="M23" s="32"/>
      <c r="N23" s="4"/>
      <c r="O23" s="4"/>
      <c r="P23" s="4"/>
      <c r="Q23" s="4"/>
      <c r="R23" s="4"/>
      <c r="S23" s="4"/>
    </row>
    <row r="24" spans="1:19" ht="20.149999999999999" customHeight="1">
      <c r="A24" s="10" t="s">
        <v>142</v>
      </c>
      <c r="B24" s="13" t="s">
        <v>19</v>
      </c>
      <c r="C24" s="49">
        <v>359549</v>
      </c>
      <c r="D24" s="49">
        <v>362975</v>
      </c>
      <c r="E24" s="49">
        <v>368546</v>
      </c>
      <c r="F24" s="49">
        <v>369138</v>
      </c>
      <c r="J24" s="32"/>
      <c r="K24" s="32"/>
      <c r="L24" s="32"/>
      <c r="M24" s="32"/>
      <c r="N24" s="4"/>
      <c r="O24" s="4"/>
      <c r="P24" s="4"/>
      <c r="Q24" s="4"/>
      <c r="R24" s="4"/>
      <c r="S24" s="4"/>
    </row>
    <row r="25" spans="1:19" ht="20.149999999999999" customHeight="1">
      <c r="A25" s="76" t="s">
        <v>37</v>
      </c>
      <c r="B25" s="13" t="s">
        <v>20</v>
      </c>
      <c r="C25" s="68">
        <v>0</v>
      </c>
      <c r="D25" s="68">
        <v>0</v>
      </c>
      <c r="E25" s="68">
        <v>0</v>
      </c>
      <c r="F25" s="68">
        <v>0</v>
      </c>
      <c r="J25" s="32"/>
      <c r="K25" s="32"/>
      <c r="L25" s="32"/>
      <c r="M25" s="32"/>
      <c r="N25" s="4"/>
      <c r="O25" s="4"/>
      <c r="P25" s="4"/>
      <c r="Q25" s="4"/>
      <c r="R25" s="4"/>
      <c r="S25" s="4"/>
    </row>
    <row r="26" spans="1:19" ht="20.149999999999999" customHeight="1">
      <c r="A26" s="77" t="s">
        <v>38</v>
      </c>
      <c r="B26" s="78" t="s">
        <v>21</v>
      </c>
      <c r="C26" s="47">
        <f>C27+C28+C29</f>
        <v>1624647</v>
      </c>
      <c r="D26" s="47">
        <f>D27+D28+D29</f>
        <v>1577568</v>
      </c>
      <c r="E26" s="47">
        <f>E27+E28+E29</f>
        <v>1602514</v>
      </c>
      <c r="F26" s="47">
        <f>F27+F28+F29</f>
        <v>1639031</v>
      </c>
      <c r="J26" s="32"/>
      <c r="K26" s="32"/>
      <c r="L26" s="32"/>
      <c r="M26" s="32"/>
      <c r="N26" s="4"/>
      <c r="O26" s="4"/>
      <c r="P26" s="4"/>
      <c r="Q26" s="4"/>
      <c r="R26" s="4"/>
      <c r="S26" s="4"/>
    </row>
    <row r="27" spans="1:19" ht="20.149999999999999" customHeight="1">
      <c r="A27" s="110" t="s">
        <v>32</v>
      </c>
      <c r="B27" s="25" t="s">
        <v>13</v>
      </c>
      <c r="C27" s="49">
        <v>1305319</v>
      </c>
      <c r="D27" s="49">
        <v>1301141</v>
      </c>
      <c r="E27" s="49">
        <v>1371319</v>
      </c>
      <c r="F27" s="49">
        <v>1417389</v>
      </c>
      <c r="J27" s="32"/>
      <c r="K27" s="32"/>
      <c r="L27" s="32"/>
      <c r="M27" s="32"/>
      <c r="N27" s="4"/>
      <c r="O27" s="4"/>
      <c r="P27" s="4"/>
      <c r="Q27" s="4"/>
      <c r="R27" s="4"/>
      <c r="S27" s="4"/>
    </row>
    <row r="28" spans="1:19" ht="20.149999999999999" customHeight="1">
      <c r="A28" s="110" t="s">
        <v>31</v>
      </c>
      <c r="B28" s="25" t="s">
        <v>12</v>
      </c>
      <c r="C28" s="68">
        <v>292163</v>
      </c>
      <c r="D28" s="68">
        <v>249605</v>
      </c>
      <c r="E28" s="68">
        <v>205770</v>
      </c>
      <c r="F28" s="68">
        <v>196796</v>
      </c>
      <c r="J28" s="32"/>
      <c r="K28" s="32"/>
      <c r="L28" s="32"/>
      <c r="M28" s="32"/>
      <c r="N28" s="4"/>
      <c r="O28" s="4"/>
      <c r="P28" s="4"/>
      <c r="Q28" s="4"/>
      <c r="R28" s="4"/>
      <c r="S28" s="4"/>
    </row>
    <row r="29" spans="1:19" s="2" customFormat="1" ht="20.149999999999999" customHeight="1">
      <c r="A29" s="102" t="s">
        <v>135</v>
      </c>
      <c r="B29" s="25" t="s">
        <v>22</v>
      </c>
      <c r="C29" s="68">
        <v>27165</v>
      </c>
      <c r="D29" s="68">
        <v>26822</v>
      </c>
      <c r="E29" s="68">
        <v>25425</v>
      </c>
      <c r="F29" s="68">
        <v>24846</v>
      </c>
      <c r="G29" s="40"/>
      <c r="H29" s="40"/>
      <c r="I29" s="40"/>
      <c r="J29" s="32"/>
      <c r="K29" s="32"/>
      <c r="L29" s="32"/>
      <c r="M29" s="32"/>
      <c r="N29" s="4"/>
      <c r="O29" s="4"/>
      <c r="P29" s="4"/>
      <c r="Q29" s="4"/>
      <c r="R29" s="4"/>
      <c r="S29" s="4"/>
    </row>
    <row r="30" spans="1:19" ht="20.149999999999999" customHeight="1">
      <c r="A30" s="17" t="s">
        <v>39</v>
      </c>
      <c r="B30" s="16" t="s">
        <v>23</v>
      </c>
      <c r="C30" s="47">
        <v>0</v>
      </c>
      <c r="D30" s="47">
        <v>0</v>
      </c>
      <c r="E30" s="47">
        <v>0</v>
      </c>
      <c r="F30" s="47">
        <v>0</v>
      </c>
      <c r="J30" s="32"/>
      <c r="K30" s="32"/>
      <c r="L30" s="32"/>
      <c r="M30" s="32"/>
      <c r="N30" s="4"/>
      <c r="O30" s="4"/>
      <c r="P30" s="4"/>
      <c r="Q30" s="4"/>
      <c r="R30" s="4"/>
      <c r="S30" s="4"/>
    </row>
    <row r="31" spans="1:19" ht="21" customHeight="1">
      <c r="A31" s="17" t="s">
        <v>40</v>
      </c>
      <c r="B31" s="16" t="s">
        <v>24</v>
      </c>
      <c r="C31" s="47">
        <v>0</v>
      </c>
      <c r="D31" s="47">
        <v>0</v>
      </c>
      <c r="E31" s="47">
        <v>0</v>
      </c>
      <c r="F31" s="47">
        <v>0</v>
      </c>
      <c r="J31" s="32"/>
      <c r="K31" s="32"/>
      <c r="L31" s="32"/>
      <c r="M31" s="32"/>
      <c r="N31" s="4"/>
      <c r="O31" s="4"/>
      <c r="P31" s="4"/>
      <c r="Q31" s="4"/>
      <c r="R31" s="4"/>
      <c r="S31" s="4"/>
    </row>
    <row r="32" spans="1:19" ht="20.149999999999999" customHeight="1">
      <c r="A32" s="18" t="s">
        <v>159</v>
      </c>
      <c r="B32" s="16" t="s">
        <v>103</v>
      </c>
      <c r="C32" s="47">
        <v>0</v>
      </c>
      <c r="D32" s="47">
        <v>0</v>
      </c>
      <c r="E32" s="47">
        <v>0</v>
      </c>
      <c r="F32" s="47">
        <v>0</v>
      </c>
      <c r="J32" s="32"/>
      <c r="K32" s="32"/>
      <c r="L32" s="32"/>
      <c r="M32" s="32"/>
      <c r="N32" s="4"/>
      <c r="O32" s="4"/>
      <c r="P32" s="4"/>
      <c r="Q32" s="4"/>
      <c r="R32" s="4"/>
      <c r="S32" s="4"/>
    </row>
    <row r="33" spans="1:19" ht="20.149999999999999" customHeight="1">
      <c r="A33" s="18" t="s">
        <v>41</v>
      </c>
      <c r="B33" s="16" t="s">
        <v>25</v>
      </c>
      <c r="C33" s="47">
        <v>-212937</v>
      </c>
      <c r="D33" s="47">
        <v>-265880</v>
      </c>
      <c r="E33" s="47">
        <v>-198148</v>
      </c>
      <c r="F33" s="47">
        <v>-144145</v>
      </c>
      <c r="J33" s="32"/>
      <c r="K33" s="32"/>
      <c r="L33" s="32"/>
      <c r="M33" s="32"/>
      <c r="N33" s="4"/>
      <c r="O33" s="4"/>
      <c r="P33" s="4"/>
      <c r="Q33" s="4"/>
      <c r="R33" s="4"/>
      <c r="S33" s="4"/>
    </row>
    <row r="34" spans="1:19" ht="20.149999999999999" customHeight="1">
      <c r="A34" s="18" t="s">
        <v>104</v>
      </c>
      <c r="B34" s="16" t="s">
        <v>105</v>
      </c>
      <c r="C34" s="47">
        <v>0</v>
      </c>
      <c r="D34" s="47">
        <v>0</v>
      </c>
      <c r="E34" s="47">
        <v>0</v>
      </c>
      <c r="F34" s="47">
        <v>0</v>
      </c>
      <c r="J34" s="32"/>
      <c r="K34" s="32"/>
      <c r="L34" s="32"/>
      <c r="M34" s="32"/>
      <c r="N34" s="4"/>
      <c r="O34" s="4"/>
      <c r="P34" s="4"/>
      <c r="Q34" s="4"/>
      <c r="R34" s="4"/>
      <c r="S34" s="4"/>
    </row>
    <row r="35" spans="1:19" ht="23.25" customHeight="1">
      <c r="A35" s="17" t="s">
        <v>148</v>
      </c>
      <c r="B35" s="16" t="s">
        <v>147</v>
      </c>
      <c r="C35" s="47">
        <f>C36+C37</f>
        <v>330323</v>
      </c>
      <c r="D35" s="47">
        <f>D36+D37</f>
        <v>340009</v>
      </c>
      <c r="E35" s="47">
        <f>E36+E37</f>
        <v>307606</v>
      </c>
      <c r="F35" s="47">
        <f>F36+F37</f>
        <v>282912</v>
      </c>
      <c r="J35" s="32"/>
      <c r="K35" s="32"/>
      <c r="L35" s="32"/>
      <c r="M35" s="32"/>
      <c r="N35" s="4"/>
      <c r="O35" s="4"/>
      <c r="P35" s="4"/>
      <c r="Q35" s="4"/>
      <c r="R35" s="4"/>
      <c r="S35" s="4"/>
    </row>
    <row r="36" spans="1:19" ht="21.75" customHeight="1">
      <c r="A36" s="111" t="s">
        <v>160</v>
      </c>
      <c r="B36" s="14" t="s">
        <v>161</v>
      </c>
      <c r="C36" s="49">
        <v>256069</v>
      </c>
      <c r="D36" s="49">
        <v>265964</v>
      </c>
      <c r="E36" s="49">
        <v>234667</v>
      </c>
      <c r="F36" s="49">
        <v>210880</v>
      </c>
      <c r="J36" s="32"/>
      <c r="K36" s="32"/>
      <c r="L36" s="32"/>
      <c r="M36" s="32"/>
      <c r="N36" s="4"/>
      <c r="O36" s="4"/>
      <c r="P36" s="4"/>
      <c r="Q36" s="4"/>
      <c r="R36" s="4"/>
      <c r="S36" s="4"/>
    </row>
    <row r="37" spans="1:19" ht="20.149999999999999" customHeight="1">
      <c r="A37" s="112" t="s">
        <v>162</v>
      </c>
      <c r="B37" s="14" t="s">
        <v>163</v>
      </c>
      <c r="C37" s="49">
        <v>74254</v>
      </c>
      <c r="D37" s="49">
        <v>74045</v>
      </c>
      <c r="E37" s="49">
        <v>72939</v>
      </c>
      <c r="F37" s="49">
        <v>72032</v>
      </c>
      <c r="J37" s="32"/>
      <c r="K37" s="32"/>
      <c r="L37" s="32"/>
      <c r="M37" s="32"/>
      <c r="N37" s="4"/>
      <c r="O37" s="4"/>
      <c r="P37" s="4"/>
      <c r="Q37" s="4"/>
      <c r="R37" s="4"/>
      <c r="S37" s="4"/>
    </row>
    <row r="38" spans="1:19" ht="19.5" customHeight="1">
      <c r="A38" s="17" t="s">
        <v>42</v>
      </c>
      <c r="B38" s="16" t="s">
        <v>146</v>
      </c>
      <c r="C38" s="47">
        <f>C39-C40</f>
        <v>517349</v>
      </c>
      <c r="D38" s="47">
        <f>D39-D40</f>
        <v>553737</v>
      </c>
      <c r="E38" s="47">
        <f>E39-E40</f>
        <v>591343</v>
      </c>
      <c r="F38" s="47">
        <f>F39-F40</f>
        <v>631018</v>
      </c>
    </row>
    <row r="39" spans="1:19" ht="24" customHeight="1">
      <c r="A39" s="111" t="s">
        <v>43</v>
      </c>
      <c r="B39" s="11" t="s">
        <v>164</v>
      </c>
      <c r="C39" s="49">
        <v>525186</v>
      </c>
      <c r="D39" s="49">
        <v>563340</v>
      </c>
      <c r="E39" s="49">
        <v>599077</v>
      </c>
      <c r="F39" s="156">
        <v>643252</v>
      </c>
    </row>
    <row r="40" spans="1:19" ht="20.25" customHeight="1">
      <c r="A40" s="112" t="s">
        <v>143</v>
      </c>
      <c r="B40" s="11" t="s">
        <v>26</v>
      </c>
      <c r="C40" s="49">
        <v>7837</v>
      </c>
      <c r="D40" s="49">
        <v>9603</v>
      </c>
      <c r="E40" s="49">
        <v>7734</v>
      </c>
      <c r="F40" s="156">
        <v>12234</v>
      </c>
    </row>
    <row r="41" spans="1:19" ht="26.25" customHeight="1">
      <c r="A41" s="17" t="s">
        <v>44</v>
      </c>
      <c r="B41" s="16" t="s">
        <v>145</v>
      </c>
      <c r="C41" s="47">
        <f>C42+C44</f>
        <v>258335</v>
      </c>
      <c r="D41" s="47">
        <f>D42+D44</f>
        <v>290674</v>
      </c>
      <c r="E41" s="47">
        <f>E42+E44</f>
        <v>324682</v>
      </c>
      <c r="F41" s="47">
        <f>F42+F44</f>
        <v>362675</v>
      </c>
    </row>
    <row r="42" spans="1:19" ht="25.5" customHeight="1">
      <c r="A42" s="111" t="s">
        <v>45</v>
      </c>
      <c r="B42" s="84" t="s">
        <v>165</v>
      </c>
      <c r="C42" s="49">
        <v>184081</v>
      </c>
      <c r="D42" s="49">
        <v>216629</v>
      </c>
      <c r="E42" s="49">
        <v>251743</v>
      </c>
      <c r="F42" s="49">
        <v>290643</v>
      </c>
    </row>
    <row r="43" spans="1:19" ht="24.75" customHeight="1">
      <c r="A43" s="113" t="s">
        <v>47</v>
      </c>
      <c r="B43" s="80" t="s">
        <v>166</v>
      </c>
      <c r="C43" s="49">
        <v>0</v>
      </c>
      <c r="D43" s="49">
        <v>0</v>
      </c>
      <c r="E43" s="49">
        <v>0</v>
      </c>
      <c r="F43" s="49">
        <v>0</v>
      </c>
    </row>
    <row r="44" spans="1:19" s="46" customFormat="1" ht="24.75" customHeight="1">
      <c r="A44" s="114" t="s">
        <v>144</v>
      </c>
      <c r="B44" s="81" t="s">
        <v>167</v>
      </c>
      <c r="C44" s="50">
        <v>74254</v>
      </c>
      <c r="D44" s="50">
        <v>74045</v>
      </c>
      <c r="E44" s="50">
        <v>72939</v>
      </c>
      <c r="F44" s="50">
        <v>72032</v>
      </c>
      <c r="G44" s="45"/>
      <c r="H44" s="45"/>
      <c r="I44" s="45"/>
      <c r="J44" s="45"/>
      <c r="K44" s="45"/>
      <c r="L44" s="45"/>
      <c r="M44" s="45"/>
    </row>
    <row r="45" spans="1:19" ht="15.5">
      <c r="A45" s="96" t="s">
        <v>49</v>
      </c>
      <c r="B45" s="97"/>
      <c r="C45" s="96"/>
      <c r="D45" s="96"/>
      <c r="E45" s="96"/>
      <c r="F45" s="96"/>
      <c r="G45" s="45"/>
      <c r="H45" s="45"/>
      <c r="I45" s="45"/>
      <c r="J45" s="45"/>
      <c r="K45"/>
      <c r="L45"/>
      <c r="M45"/>
    </row>
    <row r="46" spans="1:19" ht="15.5">
      <c r="A46" s="96" t="s">
        <v>141</v>
      </c>
      <c r="B46" s="97"/>
      <c r="C46" s="96"/>
      <c r="D46" s="96"/>
      <c r="E46" s="96"/>
      <c r="F46" s="96"/>
      <c r="G46" s="45"/>
      <c r="H46" s="45"/>
      <c r="I46" s="45"/>
      <c r="J46" s="45"/>
      <c r="K46"/>
      <c r="L46"/>
      <c r="M46"/>
    </row>
    <row r="47" spans="1:19" ht="15.5">
      <c r="A47" s="96" t="s">
        <v>85</v>
      </c>
      <c r="B47" s="97"/>
      <c r="C47" s="96"/>
      <c r="D47" s="96"/>
      <c r="E47" s="96"/>
      <c r="F47" s="96"/>
      <c r="G47" s="45"/>
      <c r="H47" s="45"/>
      <c r="I47" s="45"/>
      <c r="J47" s="45"/>
      <c r="K47"/>
      <c r="L47"/>
      <c r="M47"/>
    </row>
    <row r="48" spans="1:19" ht="15.5">
      <c r="A48" s="96" t="s">
        <v>53</v>
      </c>
      <c r="B48" s="97"/>
      <c r="C48" s="96"/>
      <c r="D48" s="96"/>
      <c r="E48" s="96"/>
      <c r="F48" s="96"/>
      <c r="G48" s="45"/>
      <c r="H48" s="45"/>
      <c r="I48" s="45"/>
      <c r="J48" s="45"/>
      <c r="K48"/>
      <c r="L48"/>
      <c r="M48"/>
    </row>
    <row r="49" spans="1:13" ht="15.5">
      <c r="A49" s="96" t="s">
        <v>139</v>
      </c>
      <c r="B49" s="97"/>
      <c r="C49" s="96"/>
      <c r="D49" s="96"/>
      <c r="E49" s="96"/>
      <c r="F49" s="96"/>
      <c r="G49" s="45"/>
      <c r="H49" s="45"/>
      <c r="I49" s="45"/>
      <c r="J49" s="45"/>
      <c r="K49"/>
      <c r="L49"/>
      <c r="M49"/>
    </row>
    <row r="50" spans="1:13" ht="15.5">
      <c r="A50" s="96" t="s">
        <v>127</v>
      </c>
      <c r="B50" s="97"/>
      <c r="C50" s="96"/>
      <c r="D50" s="96"/>
      <c r="E50" s="96"/>
      <c r="F50" s="96"/>
      <c r="G50" s="45"/>
      <c r="H50" s="45"/>
      <c r="I50" s="45"/>
      <c r="J50" s="45"/>
      <c r="K50"/>
      <c r="L50"/>
      <c r="M50"/>
    </row>
    <row r="51" spans="1:13" ht="15.5">
      <c r="A51" s="96" t="s">
        <v>140</v>
      </c>
      <c r="B51" s="97"/>
      <c r="C51" s="96"/>
      <c r="D51" s="96"/>
      <c r="E51" s="96"/>
      <c r="F51" s="96"/>
      <c r="G51" s="45"/>
      <c r="H51" s="45"/>
      <c r="I51" s="45"/>
      <c r="J51" s="45"/>
      <c r="K51"/>
      <c r="L51"/>
      <c r="M51"/>
    </row>
    <row r="52" spans="1:13" ht="15.5">
      <c r="A52" s="96" t="s">
        <v>168</v>
      </c>
      <c r="B52" s="96"/>
      <c r="C52" s="96"/>
      <c r="D52" s="96"/>
      <c r="E52" s="96"/>
      <c r="F52" s="96"/>
    </row>
    <row r="53" spans="1:13" ht="15.5">
      <c r="A53" s="96" t="s">
        <v>124</v>
      </c>
      <c r="B53" s="96"/>
      <c r="C53" s="96"/>
      <c r="D53" s="96"/>
      <c r="E53" s="96"/>
      <c r="F53" s="96"/>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S54"/>
  <sheetViews>
    <sheetView tabSelected="1" topLeftCell="A4" zoomScale="50" zoomScaleNormal="50" zoomScaleSheetLayoutView="88" workbookViewId="0">
      <selection activeCell="B21" sqref="B21"/>
    </sheetView>
  </sheetViews>
  <sheetFormatPr defaultColWidth="9.1796875" defaultRowHeight="12.5"/>
  <cols>
    <col min="1" max="1" width="74.54296875" style="129" customWidth="1"/>
    <col min="2" max="2" width="100.54296875" style="130" customWidth="1"/>
    <col min="3" max="5" width="20.7265625" style="129" customWidth="1"/>
    <col min="6" max="6" width="19.453125" style="129" customWidth="1"/>
    <col min="7" max="8" width="9.1796875" style="131"/>
    <col min="9" max="9" width="12.81640625" style="131" bestFit="1" customWidth="1"/>
    <col min="10" max="12" width="13.453125" style="131" bestFit="1" customWidth="1"/>
    <col min="13" max="13" width="9.1796875" style="131"/>
    <col min="14" max="18" width="9.1796875" style="129"/>
    <col min="19" max="19" width="9.26953125" style="129" bestFit="1" customWidth="1"/>
    <col min="20" max="16384" width="9.1796875" style="129"/>
  </cols>
  <sheetData>
    <row r="1" spans="1:19" ht="15" hidden="1" customHeight="1"/>
    <row r="2" spans="1:19" ht="23" hidden="1">
      <c r="B2" s="171" t="s">
        <v>5</v>
      </c>
      <c r="C2" s="171"/>
      <c r="D2" s="171"/>
      <c r="E2" s="171"/>
      <c r="F2" s="171"/>
    </row>
    <row r="3" spans="1:19" ht="23" hidden="1">
      <c r="B3" s="172" t="s">
        <v>4</v>
      </c>
      <c r="C3" s="172"/>
      <c r="D3" s="172"/>
      <c r="E3" s="172"/>
      <c r="F3" s="172"/>
    </row>
    <row r="4" spans="1:19" s="133" customFormat="1" ht="45" customHeight="1">
      <c r="A4" s="173" t="s">
        <v>6</v>
      </c>
      <c r="B4" s="173"/>
      <c r="C4" s="173"/>
      <c r="D4" s="173"/>
      <c r="E4" s="173"/>
      <c r="F4" s="173"/>
      <c r="G4" s="132"/>
      <c r="H4" s="132"/>
      <c r="I4" s="132"/>
      <c r="J4" s="132"/>
      <c r="K4" s="132"/>
      <c r="L4" s="132"/>
      <c r="M4" s="132"/>
    </row>
    <row r="5" spans="1:19" s="133" customFormat="1" ht="45" customHeight="1" thickBot="1">
      <c r="A5" s="134"/>
      <c r="B5" s="134"/>
      <c r="C5" s="134"/>
      <c r="E5" s="134"/>
      <c r="F5" s="107" t="s">
        <v>52</v>
      </c>
      <c r="G5" s="132"/>
      <c r="H5" s="132"/>
      <c r="I5" s="132"/>
      <c r="J5" s="132"/>
      <c r="K5" s="132"/>
      <c r="L5" s="132"/>
      <c r="M5" s="132"/>
    </row>
    <row r="6" spans="1:19" ht="25.5" customHeight="1" thickTop="1" thickBot="1">
      <c r="A6" s="174" t="s">
        <v>55</v>
      </c>
      <c r="B6" s="175"/>
      <c r="C6" s="135" t="s">
        <v>0</v>
      </c>
      <c r="D6" s="135" t="s">
        <v>1</v>
      </c>
      <c r="E6" s="135" t="s">
        <v>2</v>
      </c>
      <c r="F6" s="135" t="s">
        <v>3</v>
      </c>
    </row>
    <row r="7" spans="1:19" ht="36" customHeight="1" thickTop="1" thickBot="1">
      <c r="A7" s="176"/>
      <c r="B7" s="177"/>
      <c r="C7" s="136" t="s">
        <v>176</v>
      </c>
      <c r="D7" s="136" t="s">
        <v>177</v>
      </c>
      <c r="E7" s="136" t="s">
        <v>187</v>
      </c>
      <c r="F7" s="136" t="s">
        <v>188</v>
      </c>
    </row>
    <row r="8" spans="1:19" ht="20.149999999999999" customHeight="1" thickTop="1">
      <c r="A8" s="23" t="s">
        <v>152</v>
      </c>
      <c r="B8" s="24" t="s">
        <v>7</v>
      </c>
      <c r="C8" s="157">
        <f>C9+C35+C38-C41</f>
        <v>4188389</v>
      </c>
      <c r="D8" s="157">
        <f t="shared" ref="D8:F8" si="0">D9+D35+D38-D41</f>
        <v>4356867</v>
      </c>
      <c r="E8" s="157">
        <f t="shared" si="0"/>
        <v>4501983</v>
      </c>
      <c r="F8" s="157">
        <f t="shared" si="0"/>
        <v>4742107</v>
      </c>
      <c r="J8" s="137"/>
      <c r="K8" s="137"/>
      <c r="L8" s="137"/>
      <c r="M8" s="137"/>
      <c r="N8" s="138"/>
      <c r="O8" s="138"/>
      <c r="P8" s="138"/>
      <c r="Q8" s="138"/>
      <c r="R8" s="138"/>
      <c r="S8" s="138"/>
    </row>
    <row r="9" spans="1:19" s="142" customFormat="1" ht="20.149999999999999" customHeight="1">
      <c r="A9" s="21" t="s">
        <v>56</v>
      </c>
      <c r="B9" s="16" t="s">
        <v>8</v>
      </c>
      <c r="C9" s="158">
        <f>C10+C30+C31+C32+C33+C34</f>
        <v>3660597</v>
      </c>
      <c r="D9" s="158">
        <f>D10+D30+D31+D32+D33+D34</f>
        <v>3826732</v>
      </c>
      <c r="E9" s="158">
        <f t="shared" ref="E9:F9" si="1">E10+E30+E31+E32+E33+E34</f>
        <v>3966089</v>
      </c>
      <c r="F9" s="158">
        <f t="shared" si="1"/>
        <v>4163620</v>
      </c>
      <c r="G9" s="139"/>
      <c r="H9" s="139"/>
      <c r="I9" s="139"/>
      <c r="J9" s="140"/>
      <c r="K9" s="140"/>
      <c r="L9" s="140"/>
      <c r="M9" s="140"/>
      <c r="N9" s="141"/>
      <c r="O9" s="141"/>
      <c r="P9" s="141"/>
      <c r="Q9" s="141"/>
      <c r="R9" s="141"/>
      <c r="S9" s="141"/>
    </row>
    <row r="10" spans="1:19" s="147" customFormat="1" ht="20.149999999999999" customHeight="1">
      <c r="A10" s="18" t="s">
        <v>27</v>
      </c>
      <c r="B10" s="16" t="s">
        <v>9</v>
      </c>
      <c r="C10" s="159">
        <f>C11+C26</f>
        <v>3813770</v>
      </c>
      <c r="D10" s="159">
        <f>D11+D26</f>
        <v>4005127</v>
      </c>
      <c r="E10" s="159">
        <f t="shared" ref="E10:F10" si="2">E11+E26</f>
        <v>4182194</v>
      </c>
      <c r="F10" s="159">
        <f t="shared" si="2"/>
        <v>4325922</v>
      </c>
      <c r="G10" s="143"/>
      <c r="H10" s="143"/>
      <c r="I10" s="144"/>
      <c r="J10" s="144"/>
      <c r="K10" s="144"/>
      <c r="L10" s="144"/>
      <c r="M10" s="145"/>
      <c r="N10" s="146"/>
      <c r="O10" s="146"/>
      <c r="P10" s="146"/>
      <c r="Q10" s="146"/>
      <c r="R10" s="146"/>
      <c r="S10" s="146"/>
    </row>
    <row r="11" spans="1:19" s="147" customFormat="1" ht="20.149999999999999" customHeight="1">
      <c r="A11" s="18" t="s">
        <v>111</v>
      </c>
      <c r="B11" s="16" t="s">
        <v>112</v>
      </c>
      <c r="C11" s="159">
        <f>C12+C13+C14+C16+C17+C18+C19+C20+C21+C22+C23+C24+C25</f>
        <v>2144326</v>
      </c>
      <c r="D11" s="159">
        <f t="shared" ref="D11:F11" si="3">D12+D13+D14+D16+D17+D18+D19+D20+D21+D22+D23+D24+D25</f>
        <v>2288938</v>
      </c>
      <c r="E11" s="159">
        <f t="shared" si="3"/>
        <v>2497754</v>
      </c>
      <c r="F11" s="159">
        <f t="shared" si="3"/>
        <v>2557544</v>
      </c>
      <c r="G11" s="143"/>
      <c r="H11" s="143"/>
      <c r="I11" s="143"/>
      <c r="J11" s="145"/>
      <c r="K11" s="145"/>
      <c r="L11" s="145"/>
      <c r="M11" s="145"/>
      <c r="N11" s="146"/>
      <c r="O11" s="146"/>
      <c r="P11" s="146"/>
      <c r="Q11" s="146"/>
      <c r="R11" s="146"/>
      <c r="S11" s="146"/>
    </row>
    <row r="12" spans="1:19" s="147" customFormat="1" ht="19.5" customHeight="1">
      <c r="A12" s="20" t="s">
        <v>28</v>
      </c>
      <c r="B12" s="11" t="s">
        <v>10</v>
      </c>
      <c r="C12" s="160">
        <v>618930</v>
      </c>
      <c r="D12" s="160">
        <v>618930</v>
      </c>
      <c r="E12" s="160">
        <v>618930</v>
      </c>
      <c r="F12" s="160">
        <v>618930</v>
      </c>
      <c r="G12" s="143"/>
      <c r="H12" s="143"/>
      <c r="I12" s="143"/>
      <c r="J12" s="145"/>
      <c r="K12" s="145"/>
      <c r="L12" s="145"/>
      <c r="M12" s="145"/>
      <c r="N12" s="146"/>
      <c r="O12" s="146"/>
      <c r="P12" s="146"/>
      <c r="Q12" s="146"/>
      <c r="R12" s="146"/>
      <c r="S12" s="146"/>
    </row>
    <row r="13" spans="1:19" s="142" customFormat="1" ht="19.5" customHeight="1">
      <c r="A13" s="19" t="s">
        <v>29</v>
      </c>
      <c r="B13" s="11" t="s">
        <v>11</v>
      </c>
      <c r="C13" s="160">
        <v>0</v>
      </c>
      <c r="D13" s="160">
        <v>0</v>
      </c>
      <c r="E13" s="160">
        <v>0</v>
      </c>
      <c r="F13" s="160">
        <v>0</v>
      </c>
      <c r="G13" s="139"/>
      <c r="H13" s="139"/>
      <c r="I13" s="139"/>
      <c r="J13" s="140"/>
      <c r="K13" s="140"/>
      <c r="L13" s="140"/>
      <c r="M13" s="140"/>
      <c r="N13" s="141"/>
      <c r="O13" s="141"/>
      <c r="P13" s="141"/>
      <c r="Q13" s="141"/>
      <c r="R13" s="141"/>
      <c r="S13" s="141"/>
    </row>
    <row r="14" spans="1:19" s="147" customFormat="1" ht="20.149999999999999" customHeight="1">
      <c r="A14" s="108" t="s">
        <v>101</v>
      </c>
      <c r="B14" s="11" t="s">
        <v>102</v>
      </c>
      <c r="C14" s="160">
        <v>44570</v>
      </c>
      <c r="D14" s="160">
        <v>43937</v>
      </c>
      <c r="E14" s="160">
        <v>43143</v>
      </c>
      <c r="F14" s="160">
        <v>44199</v>
      </c>
      <c r="G14" s="143"/>
      <c r="H14" s="143"/>
      <c r="I14" s="143"/>
      <c r="J14" s="145"/>
      <c r="K14" s="145"/>
      <c r="L14" s="145"/>
      <c r="M14" s="145"/>
      <c r="N14" s="146"/>
      <c r="O14" s="146"/>
      <c r="P14" s="146"/>
      <c r="Q14" s="146"/>
      <c r="R14" s="146"/>
      <c r="S14" s="146"/>
    </row>
    <row r="15" spans="1:19" s="147" customFormat="1" ht="20.149999999999999" customHeight="1">
      <c r="A15" s="20" t="s">
        <v>30</v>
      </c>
      <c r="B15" s="15" t="s">
        <v>170</v>
      </c>
      <c r="C15" s="161">
        <f>C16+C17</f>
        <v>56215</v>
      </c>
      <c r="D15" s="161">
        <f>D16+D17</f>
        <v>57975</v>
      </c>
      <c r="E15" s="161">
        <v>67703</v>
      </c>
      <c r="F15" s="161">
        <v>73570</v>
      </c>
      <c r="G15" s="143"/>
      <c r="H15" s="143"/>
      <c r="I15" s="143"/>
      <c r="J15" s="145"/>
      <c r="K15" s="145"/>
      <c r="L15" s="145"/>
      <c r="M15" s="145"/>
      <c r="N15" s="146"/>
      <c r="O15" s="146"/>
      <c r="P15" s="146"/>
      <c r="Q15" s="146"/>
      <c r="R15" s="146"/>
      <c r="S15" s="146"/>
    </row>
    <row r="16" spans="1:19" ht="20.149999999999999" customHeight="1">
      <c r="A16" s="101" t="s">
        <v>31</v>
      </c>
      <c r="B16" s="12" t="s">
        <v>12</v>
      </c>
      <c r="C16" s="160">
        <v>52918</v>
      </c>
      <c r="D16" s="160">
        <v>54073</v>
      </c>
      <c r="E16" s="160">
        <v>63902</v>
      </c>
      <c r="F16" s="160">
        <v>68971</v>
      </c>
      <c r="J16" s="137"/>
      <c r="K16" s="137"/>
      <c r="L16" s="137"/>
      <c r="M16" s="137"/>
      <c r="N16" s="138"/>
      <c r="O16" s="138"/>
      <c r="P16" s="138"/>
      <c r="Q16" s="138"/>
      <c r="R16" s="138"/>
      <c r="S16" s="138"/>
    </row>
    <row r="17" spans="1:19" ht="20.149999999999999" customHeight="1">
      <c r="A17" s="110" t="s">
        <v>135</v>
      </c>
      <c r="B17" s="12" t="s">
        <v>22</v>
      </c>
      <c r="C17" s="160">
        <v>3297</v>
      </c>
      <c r="D17" s="160">
        <v>3902</v>
      </c>
      <c r="E17" s="160">
        <v>3801</v>
      </c>
      <c r="F17" s="160">
        <v>4599</v>
      </c>
      <c r="J17" s="137"/>
      <c r="K17" s="137"/>
      <c r="L17" s="137"/>
      <c r="M17" s="137"/>
      <c r="N17" s="138"/>
      <c r="O17" s="138"/>
      <c r="P17" s="138"/>
      <c r="Q17" s="138"/>
      <c r="R17" s="138"/>
      <c r="S17" s="138"/>
    </row>
    <row r="18" spans="1:19" ht="20.149999999999999" customHeight="1">
      <c r="A18" s="93" t="s">
        <v>158</v>
      </c>
      <c r="B18" s="13" t="s">
        <v>122</v>
      </c>
      <c r="C18" s="160">
        <v>1340121</v>
      </c>
      <c r="D18" s="160">
        <v>1484805</v>
      </c>
      <c r="E18" s="160">
        <v>1686191</v>
      </c>
      <c r="F18" s="160">
        <v>1737057</v>
      </c>
      <c r="J18" s="137"/>
      <c r="K18" s="137"/>
      <c r="L18" s="137"/>
      <c r="M18" s="137"/>
      <c r="N18" s="138"/>
      <c r="O18" s="138"/>
      <c r="P18" s="138"/>
      <c r="Q18" s="138"/>
      <c r="R18" s="138"/>
      <c r="S18" s="138"/>
    </row>
    <row r="19" spans="1:19" ht="20.149999999999999" customHeight="1">
      <c r="A19" s="93" t="s">
        <v>121</v>
      </c>
      <c r="B19" s="13" t="s">
        <v>183</v>
      </c>
      <c r="C19" s="160">
        <v>84440</v>
      </c>
      <c r="D19" s="160">
        <v>83240</v>
      </c>
      <c r="E19" s="160">
        <v>81736</v>
      </c>
      <c r="F19" s="160">
        <v>83737</v>
      </c>
      <c r="J19" s="137"/>
      <c r="K19" s="137"/>
      <c r="L19" s="137"/>
      <c r="M19" s="137"/>
      <c r="N19" s="138"/>
      <c r="O19" s="138"/>
      <c r="P19" s="138"/>
      <c r="Q19" s="138"/>
      <c r="R19" s="138"/>
      <c r="S19" s="138"/>
    </row>
    <row r="20" spans="1:19" s="149" customFormat="1" ht="20.149999999999999" customHeight="1">
      <c r="A20" s="10" t="s">
        <v>185</v>
      </c>
      <c r="B20" s="13" t="s">
        <v>181</v>
      </c>
      <c r="C20" s="160">
        <v>0</v>
      </c>
      <c r="D20" s="160">
        <v>0</v>
      </c>
      <c r="E20" s="160">
        <v>0</v>
      </c>
      <c r="F20" s="160">
        <v>0</v>
      </c>
      <c r="G20" s="148"/>
      <c r="H20" s="148"/>
      <c r="I20" s="148"/>
      <c r="J20" s="137"/>
      <c r="K20" s="137"/>
      <c r="L20" s="137"/>
      <c r="M20" s="137"/>
      <c r="N20" s="138"/>
      <c r="O20" s="138"/>
      <c r="P20" s="138"/>
      <c r="Q20" s="138"/>
      <c r="R20" s="138"/>
      <c r="S20" s="138"/>
    </row>
    <row r="21" spans="1:19" ht="20.149999999999999" customHeight="1">
      <c r="A21" s="10" t="s">
        <v>35</v>
      </c>
      <c r="B21" s="13" t="s">
        <v>16</v>
      </c>
      <c r="C21" s="160">
        <v>50</v>
      </c>
      <c r="D21" s="160">
        <v>51</v>
      </c>
      <c r="E21" s="160">
        <v>51</v>
      </c>
      <c r="F21" s="160">
        <v>51</v>
      </c>
      <c r="J21" s="137"/>
      <c r="K21" s="137"/>
      <c r="L21" s="137"/>
      <c r="M21" s="137"/>
      <c r="N21" s="138"/>
      <c r="O21" s="138"/>
      <c r="P21" s="138"/>
      <c r="Q21" s="138"/>
      <c r="R21" s="138"/>
      <c r="S21" s="138"/>
    </row>
    <row r="22" spans="1:19" ht="19.5" customHeight="1">
      <c r="A22" s="10" t="s">
        <v>46</v>
      </c>
      <c r="B22" s="13" t="s">
        <v>17</v>
      </c>
      <c r="C22" s="160">
        <v>0</v>
      </c>
      <c r="D22" s="160">
        <v>0</v>
      </c>
      <c r="E22" s="160">
        <v>0</v>
      </c>
      <c r="F22" s="160">
        <v>0</v>
      </c>
      <c r="J22" s="137"/>
      <c r="K22" s="137"/>
      <c r="L22" s="137"/>
      <c r="M22" s="137"/>
      <c r="N22" s="138"/>
      <c r="O22" s="138"/>
      <c r="P22" s="138"/>
      <c r="Q22" s="138"/>
      <c r="R22" s="138"/>
      <c r="S22" s="138"/>
    </row>
    <row r="23" spans="1:19" ht="20.149999999999999" customHeight="1">
      <c r="A23" s="10" t="s">
        <v>36</v>
      </c>
      <c r="B23" s="13" t="s">
        <v>18</v>
      </c>
      <c r="C23" s="160">
        <v>0</v>
      </c>
      <c r="D23" s="160">
        <v>0</v>
      </c>
      <c r="E23" s="160">
        <v>0</v>
      </c>
      <c r="F23" s="160">
        <v>0</v>
      </c>
      <c r="J23" s="137"/>
      <c r="K23" s="137"/>
      <c r="L23" s="137"/>
      <c r="M23" s="137"/>
      <c r="N23" s="138"/>
      <c r="O23" s="138"/>
      <c r="P23" s="138"/>
      <c r="Q23" s="138"/>
      <c r="R23" s="138"/>
      <c r="S23" s="138"/>
    </row>
    <row r="24" spans="1:19" ht="20.149999999999999" customHeight="1">
      <c r="A24" s="10" t="s">
        <v>186</v>
      </c>
      <c r="B24" s="13" t="s">
        <v>182</v>
      </c>
      <c r="C24" s="160">
        <v>0</v>
      </c>
      <c r="D24" s="160">
        <v>0</v>
      </c>
      <c r="E24" s="160">
        <v>0</v>
      </c>
      <c r="F24" s="160">
        <v>0</v>
      </c>
      <c r="J24" s="137"/>
      <c r="K24" s="137"/>
      <c r="L24" s="137"/>
      <c r="M24" s="137"/>
      <c r="N24" s="138"/>
      <c r="O24" s="138"/>
      <c r="P24" s="138"/>
      <c r="Q24" s="138"/>
      <c r="R24" s="138"/>
      <c r="S24" s="138"/>
    </row>
    <row r="25" spans="1:19" ht="20.149999999999999" customHeight="1">
      <c r="A25" s="76" t="s">
        <v>37</v>
      </c>
      <c r="B25" s="13" t="s">
        <v>20</v>
      </c>
      <c r="C25" s="162">
        <v>0</v>
      </c>
      <c r="D25" s="162">
        <v>0</v>
      </c>
      <c r="E25" s="162">
        <v>0</v>
      </c>
      <c r="F25" s="162">
        <v>0</v>
      </c>
      <c r="J25" s="137"/>
      <c r="K25" s="137"/>
      <c r="L25" s="137"/>
      <c r="M25" s="137"/>
      <c r="N25" s="138"/>
      <c r="O25" s="138"/>
      <c r="P25" s="138"/>
      <c r="Q25" s="138"/>
      <c r="R25" s="138"/>
      <c r="S25" s="138"/>
    </row>
    <row r="26" spans="1:19" ht="20.149999999999999" customHeight="1">
      <c r="A26" s="77" t="s">
        <v>38</v>
      </c>
      <c r="B26" s="78" t="s">
        <v>21</v>
      </c>
      <c r="C26" s="158">
        <f>C27+C28+C29</f>
        <v>1669444</v>
      </c>
      <c r="D26" s="158">
        <f>D27+D28+D29</f>
        <v>1716189</v>
      </c>
      <c r="E26" s="158">
        <f t="shared" ref="E26:F26" si="4">E27+E28+E29</f>
        <v>1684440</v>
      </c>
      <c r="F26" s="158">
        <f t="shared" si="4"/>
        <v>1768378</v>
      </c>
      <c r="J26" s="137"/>
      <c r="K26" s="137"/>
      <c r="L26" s="137"/>
      <c r="M26" s="137"/>
      <c r="N26" s="138"/>
      <c r="O26" s="138"/>
      <c r="P26" s="138"/>
      <c r="Q26" s="138"/>
      <c r="R26" s="138"/>
      <c r="S26" s="138"/>
    </row>
    <row r="27" spans="1:19" ht="20.149999999999999" customHeight="1">
      <c r="A27" s="110" t="s">
        <v>32</v>
      </c>
      <c r="B27" s="25" t="s">
        <v>13</v>
      </c>
      <c r="C27" s="160">
        <v>1454705</v>
      </c>
      <c r="D27" s="160">
        <v>1512708</v>
      </c>
      <c r="E27" s="160">
        <v>1485468</v>
      </c>
      <c r="F27" s="160">
        <v>1567759</v>
      </c>
      <c r="J27" s="137"/>
      <c r="K27" s="137"/>
      <c r="L27" s="137"/>
      <c r="M27" s="137"/>
      <c r="N27" s="138"/>
      <c r="O27" s="138"/>
      <c r="P27" s="138"/>
      <c r="Q27" s="138"/>
      <c r="R27" s="138"/>
      <c r="S27" s="138"/>
    </row>
    <row r="28" spans="1:19" ht="20.149999999999999" customHeight="1">
      <c r="A28" s="110" t="s">
        <v>31</v>
      </c>
      <c r="B28" s="25" t="s">
        <v>12</v>
      </c>
      <c r="C28" s="162">
        <v>191666</v>
      </c>
      <c r="D28" s="162">
        <v>180069</v>
      </c>
      <c r="E28" s="162">
        <v>176525</v>
      </c>
      <c r="F28" s="162">
        <v>177144</v>
      </c>
      <c r="J28" s="137"/>
      <c r="K28" s="137"/>
      <c r="L28" s="137"/>
      <c r="M28" s="137"/>
      <c r="N28" s="138"/>
      <c r="O28" s="138"/>
      <c r="P28" s="138"/>
      <c r="Q28" s="138"/>
      <c r="R28" s="138"/>
      <c r="S28" s="138"/>
    </row>
    <row r="29" spans="1:19" s="151" customFormat="1" ht="20.149999999999999" customHeight="1">
      <c r="A29" s="102" t="s">
        <v>135</v>
      </c>
      <c r="B29" s="25" t="s">
        <v>22</v>
      </c>
      <c r="C29" s="162">
        <v>23073</v>
      </c>
      <c r="D29" s="162">
        <v>23412</v>
      </c>
      <c r="E29" s="162">
        <v>22447</v>
      </c>
      <c r="F29" s="162">
        <v>23475</v>
      </c>
      <c r="G29" s="150"/>
      <c r="H29" s="150"/>
      <c r="I29" s="150"/>
      <c r="J29" s="137"/>
      <c r="K29" s="137"/>
      <c r="L29" s="137"/>
      <c r="M29" s="137"/>
      <c r="N29" s="138"/>
      <c r="O29" s="138"/>
      <c r="P29" s="138"/>
      <c r="Q29" s="138"/>
      <c r="R29" s="138"/>
      <c r="S29" s="138"/>
    </row>
    <row r="30" spans="1:19" ht="20.149999999999999" customHeight="1">
      <c r="A30" s="17" t="s">
        <v>39</v>
      </c>
      <c r="B30" s="16" t="s">
        <v>23</v>
      </c>
      <c r="C30" s="158">
        <v>0</v>
      </c>
      <c r="D30" s="158">
        <v>0</v>
      </c>
      <c r="E30" s="158">
        <v>0</v>
      </c>
      <c r="F30" s="158">
        <v>0</v>
      </c>
      <c r="J30" s="137"/>
      <c r="K30" s="137"/>
      <c r="L30" s="137"/>
      <c r="M30" s="137"/>
      <c r="N30" s="138"/>
      <c r="O30" s="138"/>
      <c r="P30" s="138"/>
      <c r="Q30" s="138"/>
      <c r="R30" s="138"/>
      <c r="S30" s="138"/>
    </row>
    <row r="31" spans="1:19" ht="21" customHeight="1">
      <c r="A31" s="17" t="s">
        <v>40</v>
      </c>
      <c r="B31" s="16" t="s">
        <v>24</v>
      </c>
      <c r="C31" s="158">
        <v>0</v>
      </c>
      <c r="D31" s="158">
        <v>0</v>
      </c>
      <c r="E31" s="158">
        <v>0</v>
      </c>
      <c r="F31" s="158">
        <v>0</v>
      </c>
      <c r="J31" s="137"/>
      <c r="K31" s="137"/>
      <c r="L31" s="137"/>
      <c r="M31" s="137"/>
      <c r="N31" s="138"/>
      <c r="O31" s="138"/>
      <c r="P31" s="138"/>
      <c r="Q31" s="138"/>
      <c r="R31" s="138"/>
      <c r="S31" s="138"/>
    </row>
    <row r="32" spans="1:19" ht="20.149999999999999" customHeight="1">
      <c r="A32" s="18" t="s">
        <v>159</v>
      </c>
      <c r="B32" s="16" t="s">
        <v>103</v>
      </c>
      <c r="C32" s="158">
        <v>0</v>
      </c>
      <c r="D32" s="158">
        <v>0</v>
      </c>
      <c r="E32" s="158">
        <v>0</v>
      </c>
      <c r="F32" s="158">
        <v>0</v>
      </c>
      <c r="J32" s="137"/>
      <c r="K32" s="137"/>
      <c r="L32" s="137"/>
      <c r="M32" s="137"/>
      <c r="N32" s="138"/>
      <c r="O32" s="138"/>
      <c r="P32" s="138"/>
      <c r="Q32" s="138"/>
      <c r="R32" s="138"/>
      <c r="S32" s="138"/>
    </row>
    <row r="33" spans="1:19" ht="20.149999999999999" customHeight="1">
      <c r="A33" s="18" t="s">
        <v>41</v>
      </c>
      <c r="B33" s="16" t="s">
        <v>25</v>
      </c>
      <c r="C33" s="158">
        <v>-153173</v>
      </c>
      <c r="D33" s="158">
        <v>-178395</v>
      </c>
      <c r="E33" s="158">
        <v>-216105</v>
      </c>
      <c r="F33" s="158">
        <v>-162302</v>
      </c>
      <c r="J33" s="137"/>
      <c r="K33" s="137"/>
      <c r="L33" s="137"/>
      <c r="M33" s="137"/>
      <c r="N33" s="138"/>
      <c r="O33" s="138"/>
      <c r="P33" s="138"/>
      <c r="Q33" s="138"/>
      <c r="R33" s="138"/>
      <c r="S33" s="138"/>
    </row>
    <row r="34" spans="1:19" ht="20.149999999999999" customHeight="1">
      <c r="A34" s="18" t="s">
        <v>104</v>
      </c>
      <c r="B34" s="16" t="s">
        <v>105</v>
      </c>
      <c r="C34" s="158">
        <v>0</v>
      </c>
      <c r="D34" s="158">
        <v>0</v>
      </c>
      <c r="E34" s="158">
        <v>0</v>
      </c>
      <c r="F34" s="158">
        <v>0</v>
      </c>
      <c r="J34" s="137"/>
      <c r="K34" s="137"/>
      <c r="L34" s="137"/>
      <c r="M34" s="137"/>
      <c r="N34" s="138"/>
      <c r="O34" s="138"/>
      <c r="P34" s="138"/>
      <c r="Q34" s="138"/>
      <c r="R34" s="138"/>
      <c r="S34" s="138"/>
    </row>
    <row r="35" spans="1:19" ht="23.25" customHeight="1">
      <c r="A35" s="17" t="s">
        <v>148</v>
      </c>
      <c r="B35" s="16" t="s">
        <v>147</v>
      </c>
      <c r="C35" s="158">
        <f>C36+C37</f>
        <v>251320</v>
      </c>
      <c r="D35" s="158">
        <f>D36+D37</f>
        <v>258133</v>
      </c>
      <c r="E35" s="158">
        <f t="shared" ref="E35:F35" si="5">E36+E37</f>
        <v>254364</v>
      </c>
      <c r="F35" s="158">
        <f t="shared" si="5"/>
        <v>286382</v>
      </c>
      <c r="J35" s="137"/>
      <c r="K35" s="137"/>
      <c r="L35" s="137"/>
      <c r="M35" s="137"/>
      <c r="N35" s="138"/>
      <c r="O35" s="138"/>
      <c r="P35" s="138"/>
      <c r="Q35" s="138"/>
      <c r="R35" s="138"/>
      <c r="S35" s="138"/>
    </row>
    <row r="36" spans="1:19" ht="21.75" customHeight="1">
      <c r="A36" s="111" t="s">
        <v>160</v>
      </c>
      <c r="B36" s="14" t="s">
        <v>161</v>
      </c>
      <c r="C36" s="160">
        <v>176641</v>
      </c>
      <c r="D36" s="160">
        <v>183514</v>
      </c>
      <c r="E36" s="160">
        <v>180198</v>
      </c>
      <c r="F36" s="160">
        <v>212600</v>
      </c>
      <c r="J36" s="137"/>
      <c r="K36" s="137"/>
      <c r="L36" s="137"/>
      <c r="M36" s="137"/>
      <c r="N36" s="138"/>
      <c r="O36" s="138"/>
      <c r="P36" s="138"/>
      <c r="Q36" s="138"/>
      <c r="R36" s="138"/>
      <c r="S36" s="138"/>
    </row>
    <row r="37" spans="1:19" ht="20.149999999999999" customHeight="1">
      <c r="A37" s="112" t="s">
        <v>162</v>
      </c>
      <c r="B37" s="14" t="s">
        <v>163</v>
      </c>
      <c r="C37" s="160">
        <v>74679</v>
      </c>
      <c r="D37" s="160">
        <v>74619</v>
      </c>
      <c r="E37" s="160">
        <v>74166</v>
      </c>
      <c r="F37" s="160">
        <v>73782</v>
      </c>
      <c r="J37" s="137"/>
      <c r="K37" s="137"/>
      <c r="L37" s="137"/>
      <c r="M37" s="137"/>
      <c r="N37" s="138"/>
      <c r="O37" s="138"/>
      <c r="P37" s="138"/>
      <c r="Q37" s="138"/>
      <c r="R37" s="138"/>
      <c r="S37" s="138"/>
    </row>
    <row r="38" spans="1:19" ht="19.5" customHeight="1">
      <c r="A38" s="17" t="s">
        <v>42</v>
      </c>
      <c r="B38" s="16" t="s">
        <v>146</v>
      </c>
      <c r="C38" s="158">
        <f>C39-C40</f>
        <v>685159</v>
      </c>
      <c r="D38" s="158">
        <f>D39-D40</f>
        <v>716890</v>
      </c>
      <c r="E38" s="158">
        <f t="shared" ref="E38:F38" si="6">E39-E40</f>
        <v>744778</v>
      </c>
      <c r="F38" s="158">
        <f t="shared" si="6"/>
        <v>713058</v>
      </c>
    </row>
    <row r="39" spans="1:19" ht="24" customHeight="1">
      <c r="A39" s="111" t="s">
        <v>43</v>
      </c>
      <c r="B39" s="11" t="s">
        <v>164</v>
      </c>
      <c r="C39" s="160">
        <v>699192</v>
      </c>
      <c r="D39" s="160">
        <v>724748</v>
      </c>
      <c r="E39" s="160">
        <v>754312</v>
      </c>
      <c r="F39" s="160">
        <v>726183</v>
      </c>
    </row>
    <row r="40" spans="1:19" ht="20.25" customHeight="1">
      <c r="A40" s="112" t="s">
        <v>143</v>
      </c>
      <c r="B40" s="11" t="s">
        <v>26</v>
      </c>
      <c r="C40" s="160">
        <v>14033</v>
      </c>
      <c r="D40" s="160">
        <v>7858</v>
      </c>
      <c r="E40" s="160">
        <v>9534</v>
      </c>
      <c r="F40" s="160">
        <v>13125</v>
      </c>
    </row>
    <row r="41" spans="1:19" ht="26.25" customHeight="1">
      <c r="A41" s="17" t="s">
        <v>44</v>
      </c>
      <c r="B41" s="16" t="s">
        <v>145</v>
      </c>
      <c r="C41" s="158">
        <f>C42+C44</f>
        <v>408687</v>
      </c>
      <c r="D41" s="158">
        <f>D42+D44</f>
        <v>444888</v>
      </c>
      <c r="E41" s="158">
        <f t="shared" ref="E41:F41" si="7">E42+E44</f>
        <v>463248</v>
      </c>
      <c r="F41" s="158">
        <f t="shared" si="7"/>
        <v>420953</v>
      </c>
    </row>
    <row r="42" spans="1:19" ht="25.5" customHeight="1">
      <c r="A42" s="111" t="s">
        <v>45</v>
      </c>
      <c r="B42" s="84" t="s">
        <v>165</v>
      </c>
      <c r="C42" s="160">
        <v>334008</v>
      </c>
      <c r="D42" s="160">
        <v>370269</v>
      </c>
      <c r="E42" s="160">
        <v>389082</v>
      </c>
      <c r="F42" s="160">
        <v>347171</v>
      </c>
    </row>
    <row r="43" spans="1:19" ht="24.75" customHeight="1">
      <c r="A43" s="113" t="s">
        <v>47</v>
      </c>
      <c r="B43" s="80" t="s">
        <v>166</v>
      </c>
      <c r="C43" s="160">
        <v>0</v>
      </c>
      <c r="D43" s="160">
        <v>0</v>
      </c>
      <c r="E43" s="160">
        <v>0</v>
      </c>
      <c r="F43" s="160">
        <v>0</v>
      </c>
    </row>
    <row r="44" spans="1:19" s="153" customFormat="1" ht="24.75" customHeight="1">
      <c r="A44" s="114" t="s">
        <v>144</v>
      </c>
      <c r="B44" s="81" t="s">
        <v>167</v>
      </c>
      <c r="C44" s="163">
        <v>74679</v>
      </c>
      <c r="D44" s="163">
        <v>74619</v>
      </c>
      <c r="E44" s="163">
        <v>74166</v>
      </c>
      <c r="F44" s="163">
        <v>73782</v>
      </c>
      <c r="G44" s="152"/>
      <c r="H44" s="152"/>
      <c r="I44" s="152"/>
      <c r="J44" s="152"/>
      <c r="K44" s="152"/>
      <c r="L44" s="152"/>
      <c r="M44" s="152"/>
    </row>
    <row r="45" spans="1:19" ht="15.5">
      <c r="A45" s="96" t="s">
        <v>49</v>
      </c>
      <c r="B45" s="154"/>
      <c r="C45" s="96"/>
      <c r="D45" s="96"/>
      <c r="E45" s="96"/>
      <c r="F45" s="96"/>
      <c r="G45" s="152"/>
      <c r="H45" s="152"/>
      <c r="I45" s="152"/>
      <c r="J45" s="152"/>
      <c r="K45" s="129"/>
      <c r="L45" s="129"/>
      <c r="M45" s="129"/>
    </row>
    <row r="46" spans="1:19" ht="15.5">
      <c r="A46" s="96" t="s">
        <v>178</v>
      </c>
      <c r="B46" s="154"/>
      <c r="C46" s="96"/>
      <c r="D46" s="96"/>
      <c r="E46" s="96"/>
      <c r="F46" s="96"/>
      <c r="G46" s="152"/>
      <c r="H46" s="152"/>
      <c r="I46" s="152"/>
      <c r="J46" s="152"/>
      <c r="K46" s="129"/>
      <c r="L46" s="129"/>
      <c r="M46" s="129"/>
    </row>
    <row r="47" spans="1:19" ht="15.5">
      <c r="A47" s="96" t="s">
        <v>179</v>
      </c>
      <c r="B47" s="154"/>
      <c r="C47" s="96"/>
      <c r="D47" s="96"/>
      <c r="E47" s="96"/>
      <c r="F47" s="96"/>
      <c r="G47" s="152"/>
      <c r="H47" s="152"/>
      <c r="I47" s="152"/>
      <c r="J47" s="152"/>
      <c r="K47" s="129"/>
      <c r="L47" s="129"/>
      <c r="M47" s="129"/>
    </row>
    <row r="48" spans="1:19" ht="15.5">
      <c r="A48" s="96" t="s">
        <v>53</v>
      </c>
      <c r="B48" s="154"/>
      <c r="C48" s="96"/>
      <c r="D48" s="96"/>
      <c r="E48" s="96"/>
      <c r="F48" s="96"/>
      <c r="G48" s="152"/>
      <c r="H48" s="152"/>
      <c r="I48" s="152"/>
      <c r="J48" s="152"/>
      <c r="K48" s="129"/>
      <c r="L48" s="129"/>
      <c r="M48" s="129"/>
    </row>
    <row r="49" spans="1:13" ht="15.5">
      <c r="A49" s="96" t="s">
        <v>139</v>
      </c>
      <c r="B49" s="154"/>
      <c r="C49" s="96"/>
      <c r="D49" s="96"/>
      <c r="E49" s="96"/>
      <c r="F49" s="96"/>
      <c r="G49" s="152"/>
      <c r="H49" s="152"/>
      <c r="I49" s="152"/>
      <c r="J49" s="152"/>
      <c r="K49" s="129"/>
      <c r="L49" s="129"/>
      <c r="M49" s="129"/>
    </row>
    <row r="50" spans="1:13" ht="15.5">
      <c r="A50" s="96" t="s">
        <v>127</v>
      </c>
      <c r="B50" s="154"/>
      <c r="C50" s="96"/>
      <c r="D50" s="96"/>
      <c r="E50" s="96"/>
      <c r="F50" s="96"/>
      <c r="G50" s="152"/>
      <c r="H50" s="152"/>
      <c r="I50" s="152"/>
      <c r="J50" s="152"/>
      <c r="K50" s="129"/>
      <c r="L50" s="129"/>
      <c r="M50" s="129"/>
    </row>
    <row r="51" spans="1:13" ht="15.5">
      <c r="A51" s="96" t="s">
        <v>184</v>
      </c>
      <c r="B51" s="154"/>
      <c r="C51" s="96"/>
      <c r="D51" s="96"/>
      <c r="E51" s="96"/>
      <c r="F51" s="96"/>
      <c r="G51" s="152"/>
      <c r="H51" s="152"/>
      <c r="I51" s="152"/>
      <c r="J51" s="152"/>
      <c r="K51" s="129"/>
      <c r="L51" s="129"/>
      <c r="M51" s="129"/>
    </row>
    <row r="52" spans="1:13" ht="15.5">
      <c r="A52" s="96" t="s">
        <v>168</v>
      </c>
      <c r="B52" s="96"/>
      <c r="C52" s="96"/>
      <c r="D52" s="96"/>
      <c r="E52" s="96"/>
      <c r="F52" s="96"/>
    </row>
    <row r="53" spans="1:13" ht="15.5">
      <c r="A53" s="96" t="s">
        <v>124</v>
      </c>
      <c r="B53" s="96"/>
      <c r="C53" s="96"/>
      <c r="D53" s="96"/>
      <c r="E53" s="96"/>
      <c r="F53" s="96"/>
    </row>
    <row r="54" spans="1:13" ht="15.5">
      <c r="A54" s="96" t="s">
        <v>180</v>
      </c>
      <c r="B54" s="96"/>
      <c r="C54" s="96"/>
      <c r="D54" s="96"/>
      <c r="E54" s="96"/>
      <c r="F54" s="96"/>
    </row>
  </sheetData>
  <mergeCells count="4">
    <mergeCell ref="B2:F2"/>
    <mergeCell ref="B3:F3"/>
    <mergeCell ref="A4:F4"/>
    <mergeCell ref="A6:B7"/>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8" scale="8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16</vt:i4>
      </vt:variant>
    </vt:vector>
  </HeadingPairs>
  <TitlesOfParts>
    <vt:vector size="32" baseType="lpstr">
      <vt:lpstr>2004 -2005</vt:lpstr>
      <vt:lpstr>2005 -2006</vt:lpstr>
      <vt:lpstr>2006 -2007 </vt:lpstr>
      <vt:lpstr>2007 -2008</vt:lpstr>
      <vt:lpstr>2008-2009 </vt:lpstr>
      <vt:lpstr>2009-2010 </vt:lpstr>
      <vt:lpstr>2010-2011</vt:lpstr>
      <vt:lpstr>2011-2012 </vt:lpstr>
      <vt:lpstr>2012-2013 </vt:lpstr>
      <vt:lpstr>2013-2014 </vt:lpstr>
      <vt:lpstr>2014-2015 </vt:lpstr>
      <vt:lpstr>2015-2016 </vt:lpstr>
      <vt:lpstr>2016-2017  </vt:lpstr>
      <vt:lpstr>2017-2018   </vt:lpstr>
      <vt:lpstr>2018-2019  </vt:lpstr>
      <vt:lpstr>2019-2020</vt:lpstr>
      <vt:lpstr>'2004 -2005'!Print_Area</vt:lpstr>
      <vt:lpstr>'2005 -2006'!Print_Area</vt:lpstr>
      <vt:lpstr>'2006 -2007 '!Print_Area</vt:lpstr>
      <vt:lpstr>'2007 -2008'!Print_Area</vt:lpstr>
      <vt:lpstr>'2008-2009 '!Print_Area</vt:lpstr>
      <vt:lpstr>'2009-2010 '!Print_Area</vt:lpstr>
      <vt:lpstr>'2010-2011'!Print_Area</vt:lpstr>
      <vt:lpstr>'2011-2012 '!Print_Area</vt:lpstr>
      <vt:lpstr>'2012-2013 '!Print_Area</vt:lpstr>
      <vt:lpstr>'2013-2014 '!Print_Area</vt:lpstr>
      <vt:lpstr>'2014-2015 '!Print_Area</vt:lpstr>
      <vt:lpstr>'2015-2016 '!Print_Area</vt:lpstr>
      <vt:lpstr>'2016-2017  '!Print_Area</vt:lpstr>
      <vt:lpstr>'2017-2018   '!Print_Area</vt:lpstr>
      <vt:lpstr>'2018-2019  '!Print_Area</vt:lpstr>
      <vt:lpstr>'2019-2020'!Print_Area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mamdouh.marghany</dc:creator>
  <cp:lastModifiedBy>Hamis Abdelrashid</cp:lastModifiedBy>
  <cp:lastPrinted>2023-03-23T08:14:12Z</cp:lastPrinted>
  <dcterms:created xsi:type="dcterms:W3CDTF">2009-04-23T10:41:14Z</dcterms:created>
  <dcterms:modified xsi:type="dcterms:W3CDTF">2023-04-02T10:22:04Z</dcterms:modified>
</cp:coreProperties>
</file>