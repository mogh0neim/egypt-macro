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13" i="1" l="1"/>
  <c r="M13" i="1"/>
  <c r="L13" i="1"/>
  <c r="J13" i="1"/>
  <c r="I13" i="1"/>
  <c r="G13" i="1"/>
  <c r="N12" i="1"/>
  <c r="M12" i="1"/>
  <c r="L12" i="1"/>
  <c r="K12" i="1"/>
  <c r="J12" i="1"/>
  <c r="I12" i="1"/>
  <c r="G12" i="1"/>
  <c r="D12" i="1"/>
</calcChain>
</file>

<file path=xl/sharedStrings.xml><?xml version="1.0" encoding="utf-8"?>
<sst xmlns="http://schemas.openxmlformats.org/spreadsheetml/2006/main" count="50" uniqueCount="47">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</sst>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2"/>
      <name val="Arial"/>
      <family val="2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sz val="9"/>
      <name val="Times New (W1)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1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readingOrder="2"/>
    </xf>
    <xf numFmtId="0" fontId="7" fillId="6" borderId="4" xfId="0" applyFont="1" applyFill="1" applyBorder="1" applyAlignment="1">
      <alignment readingOrder="1"/>
    </xf>
    <xf numFmtId="0" fontId="0" fillId="6" borderId="4" xfId="0" applyFill="1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8" fillId="5" borderId="4" xfId="0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readingOrder="2"/>
    </xf>
    <xf numFmtId="1" fontId="2" fillId="6" borderId="4" xfId="0" applyNumberFormat="1" applyFont="1" applyFill="1" applyBorder="1" applyAlignment="1">
      <alignment horizontal="center" readingOrder="1"/>
    </xf>
    <xf numFmtId="1" fontId="2" fillId="2" borderId="0" xfId="0" applyNumberFormat="1" applyFont="1" applyFill="1" applyBorder="1" applyAlignment="1">
      <alignment horizontal="center" readingOrder="1"/>
    </xf>
    <xf numFmtId="1" fontId="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0" fontId="11" fillId="5" borderId="4" xfId="0" applyFont="1" applyFill="1" applyBorder="1" applyAlignment="1">
      <alignment horizontal="center" readingOrder="2"/>
    </xf>
    <xf numFmtId="0" fontId="12" fillId="5" borderId="4" xfId="0" quotePrefix="1" applyFont="1" applyFill="1" applyBorder="1" applyAlignment="1">
      <alignment horizontal="center" readingOrder="2"/>
    </xf>
    <xf numFmtId="1" fontId="13" fillId="6" borderId="4" xfId="0" applyNumberFormat="1" applyFont="1" applyFill="1" applyBorder="1" applyAlignment="1">
      <alignment horizontal="center" readingOrder="1"/>
    </xf>
    <xf numFmtId="1" fontId="13" fillId="2" borderId="0" xfId="0" applyNumberFormat="1" applyFont="1" applyFill="1" applyBorder="1" applyAlignment="1">
      <alignment horizontal="center" readingOrder="1"/>
    </xf>
    <xf numFmtId="1" fontId="13" fillId="2" borderId="5" xfId="0" applyNumberFormat="1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wrapText="1" readingOrder="1"/>
    </xf>
    <xf numFmtId="0" fontId="16" fillId="0" borderId="0" xfId="0" applyFont="1"/>
    <xf numFmtId="0" fontId="11" fillId="5" borderId="6" xfId="0" applyFont="1" applyFill="1" applyBorder="1" applyAlignment="1">
      <alignment horizontal="center" readingOrder="2"/>
    </xf>
    <xf numFmtId="0" fontId="12" fillId="5" borderId="6" xfId="0" quotePrefix="1" applyFont="1" applyFill="1" applyBorder="1" applyAlignment="1">
      <alignment horizontal="center" readingOrder="2"/>
    </xf>
    <xf numFmtId="1" fontId="13" fillId="6" borderId="6" xfId="0" applyNumberFormat="1" applyFont="1" applyFill="1" applyBorder="1" applyAlignment="1">
      <alignment horizontal="center" readingOrder="1"/>
    </xf>
    <xf numFmtId="1" fontId="13" fillId="2" borderId="1" xfId="0" applyNumberFormat="1" applyFont="1" applyFill="1" applyBorder="1" applyAlignment="1">
      <alignment horizontal="center" readingOrder="1"/>
    </xf>
    <xf numFmtId="1" fontId="13" fillId="2" borderId="7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8" fillId="0" borderId="0" xfId="1" quotePrefix="1" applyFont="1" applyBorder="1" applyAlignment="1">
      <alignment horizontal="right" vertical="center" indent="1" readingOrder="2"/>
    </xf>
    <xf numFmtId="0" fontId="0" fillId="5" borderId="0" xfId="0" applyFill="1"/>
    <xf numFmtId="0" fontId="19" fillId="0" borderId="0" xfId="1" applyFont="1" applyBorder="1" applyAlignment="1">
      <alignment horizontal="right" vertical="center" readingOrder="2"/>
    </xf>
    <xf numFmtId="0" fontId="19" fillId="0" borderId="0" xfId="1" applyFont="1" applyBorder="1" applyAlignment="1">
      <alignment horizontal="right" vertical="center" indent="1" readingOrder="2"/>
    </xf>
    <xf numFmtId="0" fontId="16" fillId="5" borderId="0" xfId="0" applyFont="1" applyFill="1" applyAlignment="1">
      <alignment horizontal="left"/>
    </xf>
    <xf numFmtId="0" fontId="21" fillId="5" borderId="0" xfId="0" applyFont="1" applyFill="1"/>
    <xf numFmtId="0" fontId="23" fillId="0" borderId="0" xfId="1" quotePrefix="1" applyFont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readingOrder="1"/>
    </xf>
    <xf numFmtId="0" fontId="7" fillId="5" borderId="0" xfId="0" applyFont="1" applyFill="1" applyAlignment="1">
      <alignment readingOrder="1"/>
    </xf>
    <xf numFmtId="0" fontId="7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7.5703125" customWidth="1"/>
    <col min="2" max="2" width="117.5703125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1" customFormat="1" ht="22.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2.5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0.25">
      <c r="A3" s="5" t="s">
        <v>0</v>
      </c>
      <c r="B3" s="6" t="s">
        <v>1</v>
      </c>
    </row>
    <row r="4" spans="1:30" s="1" customFormat="1" ht="20.25">
      <c r="A4" s="7" t="s">
        <v>2</v>
      </c>
      <c r="B4" s="8" t="s">
        <v>3</v>
      </c>
      <c r="C4" s="9">
        <v>2009</v>
      </c>
      <c r="D4" s="9"/>
      <c r="E4" s="9"/>
      <c r="F4" s="9"/>
      <c r="G4" s="9"/>
      <c r="H4" s="9"/>
      <c r="I4" s="10">
        <v>2010</v>
      </c>
      <c r="J4" s="10"/>
      <c r="K4" s="10"/>
      <c r="L4" s="10"/>
      <c r="M4" s="10"/>
      <c r="N4" s="10"/>
    </row>
    <row r="5" spans="1:30" ht="20.2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 ht="15.75">
      <c r="A6" s="14"/>
      <c r="B6" s="15"/>
      <c r="C6" s="16"/>
      <c r="D6" s="17"/>
      <c r="E6" s="17"/>
      <c r="F6" s="17"/>
      <c r="G6" s="17"/>
      <c r="H6" s="17"/>
      <c r="I6" s="18"/>
      <c r="J6" s="18"/>
      <c r="K6" s="18"/>
      <c r="L6" s="18"/>
      <c r="M6" s="18"/>
      <c r="N6" s="19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1.75">
      <c r="A7" s="21" t="s">
        <v>18</v>
      </c>
      <c r="B7" s="22" t="s">
        <v>19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1.75">
      <c r="A8" s="21" t="s">
        <v>20</v>
      </c>
      <c r="B8" s="26" t="s">
        <v>21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.75">
      <c r="A9" s="27" t="s">
        <v>22</v>
      </c>
      <c r="B9" s="28" t="s">
        <v>23</v>
      </c>
      <c r="C9" s="29">
        <v>1011.98</v>
      </c>
      <c r="D9" s="29">
        <v>1098</v>
      </c>
      <c r="E9" s="29">
        <v>996</v>
      </c>
      <c r="F9" s="29">
        <v>1007</v>
      </c>
      <c r="G9" s="29">
        <v>1078</v>
      </c>
      <c r="H9" s="29">
        <v>1167</v>
      </c>
      <c r="I9" s="30">
        <v>994</v>
      </c>
      <c r="J9" s="30">
        <v>1028</v>
      </c>
      <c r="K9" s="30">
        <v>1232</v>
      </c>
      <c r="L9" s="30">
        <v>978</v>
      </c>
      <c r="M9" s="30">
        <v>1228</v>
      </c>
      <c r="N9" s="31">
        <v>1176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.75">
      <c r="A10" s="27" t="s">
        <v>24</v>
      </c>
      <c r="B10" s="28" t="s">
        <v>25</v>
      </c>
      <c r="C10" s="29">
        <v>47870</v>
      </c>
      <c r="D10" s="29">
        <v>46812</v>
      </c>
      <c r="E10" s="29">
        <v>41090</v>
      </c>
      <c r="F10" s="29">
        <v>44577</v>
      </c>
      <c r="G10" s="29">
        <v>44553</v>
      </c>
      <c r="H10" s="29">
        <v>50859</v>
      </c>
      <c r="I10" s="30">
        <v>43567</v>
      </c>
      <c r="J10" s="30">
        <v>55105</v>
      </c>
      <c r="K10" s="30">
        <v>53215</v>
      </c>
      <c r="L10" s="30">
        <v>45956</v>
      </c>
      <c r="M10" s="30">
        <v>57678</v>
      </c>
      <c r="N10" s="31">
        <v>53264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1.75">
      <c r="A11" s="21" t="s">
        <v>26</v>
      </c>
      <c r="B11" s="26" t="s">
        <v>27</v>
      </c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.75">
      <c r="A12" s="27" t="s">
        <v>28</v>
      </c>
      <c r="B12" s="28" t="s">
        <v>29</v>
      </c>
      <c r="C12" s="29">
        <v>85428</v>
      </c>
      <c r="D12" s="29">
        <f>88722+1578</f>
        <v>90300</v>
      </c>
      <c r="E12" s="29">
        <v>87932</v>
      </c>
      <c r="F12" s="29">
        <v>89883</v>
      </c>
      <c r="G12" s="29">
        <f>93739+1504</f>
        <v>95243</v>
      </c>
      <c r="H12" s="29">
        <v>109284</v>
      </c>
      <c r="I12" s="30">
        <f>90634+1413</f>
        <v>92047</v>
      </c>
      <c r="J12" s="30">
        <f>95055+1399</f>
        <v>96454</v>
      </c>
      <c r="K12" s="30">
        <f>117078+1524</f>
        <v>118602</v>
      </c>
      <c r="L12" s="30">
        <f>98929+1150</f>
        <v>100079</v>
      </c>
      <c r="M12" s="30">
        <f>112990+1211</f>
        <v>114201</v>
      </c>
      <c r="N12" s="31">
        <f>110523+1398</f>
        <v>111921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.75">
      <c r="A13" s="27" t="s">
        <v>24</v>
      </c>
      <c r="B13" s="28" t="s">
        <v>25</v>
      </c>
      <c r="C13" s="29">
        <v>858938</v>
      </c>
      <c r="D13" s="29">
        <v>1042345</v>
      </c>
      <c r="E13" s="29">
        <v>892700</v>
      </c>
      <c r="F13" s="29">
        <v>862730</v>
      </c>
      <c r="G13" s="29">
        <f>318311.32093106+759025.08829458</f>
        <v>1077336.4092256399</v>
      </c>
      <c r="H13" s="29">
        <v>1489947</v>
      </c>
      <c r="I13" s="30">
        <f>303782.021547+935252.241196</f>
        <v>1239034.2627429999</v>
      </c>
      <c r="J13" s="30">
        <f>312868.662274+851916.520715</f>
        <v>1164785.1829889999</v>
      </c>
      <c r="K13" s="30">
        <v>1460264</v>
      </c>
      <c r="L13" s="30">
        <f>351403.086403+768685.30154</f>
        <v>1120088.3879430001</v>
      </c>
      <c r="M13" s="30">
        <f>408077.637556+609955.264459</f>
        <v>1018032.9020149999</v>
      </c>
      <c r="N13" s="31">
        <f>389518.82145395+658956.76864327</f>
        <v>1048475.59009722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33" customFormat="1" ht="40.5">
      <c r="A14" s="32" t="s">
        <v>30</v>
      </c>
      <c r="B14" s="26" t="s">
        <v>31</v>
      </c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1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>
      <c r="A15" s="27" t="s">
        <v>32</v>
      </c>
      <c r="B15" s="28" t="s">
        <v>29</v>
      </c>
      <c r="C15" s="29">
        <v>772</v>
      </c>
      <c r="D15" s="29">
        <v>978</v>
      </c>
      <c r="E15" s="29">
        <v>782</v>
      </c>
      <c r="F15" s="29">
        <v>805</v>
      </c>
      <c r="G15" s="29">
        <v>920</v>
      </c>
      <c r="H15" s="29">
        <v>1248</v>
      </c>
      <c r="I15" s="30">
        <v>1014</v>
      </c>
      <c r="J15" s="30">
        <v>1035</v>
      </c>
      <c r="K15" s="30">
        <v>1321</v>
      </c>
      <c r="L15" s="30">
        <v>952</v>
      </c>
      <c r="M15" s="30">
        <v>1270</v>
      </c>
      <c r="N15" s="31">
        <v>1107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.75">
      <c r="A16" s="34" t="s">
        <v>33</v>
      </c>
      <c r="B16" s="35" t="s">
        <v>34</v>
      </c>
      <c r="C16" s="36">
        <v>4478</v>
      </c>
      <c r="D16" s="36">
        <v>5883</v>
      </c>
      <c r="E16" s="36">
        <v>3750</v>
      </c>
      <c r="F16" s="36">
        <v>4063</v>
      </c>
      <c r="G16" s="36">
        <v>4337</v>
      </c>
      <c r="H16" s="36">
        <v>7190</v>
      </c>
      <c r="I16" s="37">
        <v>7431</v>
      </c>
      <c r="J16" s="37">
        <v>6538</v>
      </c>
      <c r="K16" s="37">
        <v>7369</v>
      </c>
      <c r="L16" s="37">
        <v>4885</v>
      </c>
      <c r="M16" s="37">
        <v>9301</v>
      </c>
      <c r="N16" s="38">
        <v>4782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3.25">
      <c r="A17" s="39" t="s">
        <v>35</v>
      </c>
      <c r="B17" s="40" t="s">
        <v>36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3.25">
      <c r="A18" s="39" t="s">
        <v>37</v>
      </c>
      <c r="B18" s="42" t="s">
        <v>38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3.25">
      <c r="A19" s="39" t="s">
        <v>39</v>
      </c>
      <c r="B19" s="43" t="s">
        <v>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0.25">
      <c r="A20" s="44" t="s">
        <v>41</v>
      </c>
      <c r="B20" s="45" t="s">
        <v>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3.25">
      <c r="A21" s="39" t="s">
        <v>43</v>
      </c>
      <c r="B21" s="42" t="s">
        <v>44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3.25">
      <c r="A22" s="39" t="s">
        <v>45</v>
      </c>
      <c r="B22" s="46" t="s">
        <v>46</v>
      </c>
      <c r="C22" s="47"/>
      <c r="J22"/>
      <c r="K22"/>
      <c r="L22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customFormat="1">
      <c r="A348" s="41"/>
      <c r="B348" s="41"/>
      <c r="C348" s="49"/>
    </row>
  </sheetData>
  <mergeCells count="3">
    <mergeCell ref="C1:M1"/>
    <mergeCell ref="C4:H4"/>
    <mergeCell ref="I4:N4"/>
  </mergeCells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7NQWTN4WQ7WA-971242747-352</_dlc_DocId>
    <_dlc_DocIdUrl xmlns="806035d9-ad3b-44db-92a1-1ed4b9daec3e">
      <Url>http://cbe-test-spsql:4050/_layouts/15/DocIdRedir.aspx?ID=7NQWTN4WQ7WA-971242747-352</Url>
      <Description>7NQWTN4WQ7WA-971242747-352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246D29-BC92-496D-B1EE-760EC30D01E3}"/>
</file>

<file path=customXml/itemProps2.xml><?xml version="1.0" encoding="utf-8"?>
<ds:datastoreItem xmlns:ds="http://schemas.openxmlformats.org/officeDocument/2006/customXml" ds:itemID="{72268D24-6954-4F4A-ACF5-714E3322B7F3}"/>
</file>

<file path=customXml/itemProps3.xml><?xml version="1.0" encoding="utf-8"?>
<ds:datastoreItem xmlns:ds="http://schemas.openxmlformats.org/officeDocument/2006/customXml" ds:itemID="{FBF85A70-D3DD-4B68-82E9-9EE707E9D6F5}"/>
</file>

<file path=customXml/itemProps4.xml><?xml version="1.0" encoding="utf-8"?>
<ds:datastoreItem xmlns:ds="http://schemas.openxmlformats.org/officeDocument/2006/customXml" ds:itemID="{2A23674E-69DD-4B6E-B4F8-4348F7E78CFC}"/>
</file>

<file path=customXml/itemProps5.xml><?xml version="1.0" encoding="utf-8"?>
<ds:datastoreItem xmlns:ds="http://schemas.openxmlformats.org/officeDocument/2006/customXml" ds:itemID="{5644196A-F92E-4C99-84D7-3988D02C4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Monthly2009-2010</dc:title>
  <dc:creator/>
  <cp:lastModifiedBy/>
  <dcterms:created xsi:type="dcterms:W3CDTF">2006-09-16T00:00:00Z</dcterms:created>
  <dcterms:modified xsi:type="dcterms:W3CDTF">2014-09-04T22:12:42Z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5ad77156-4733-456e-af44-b934caaba19e</vt:lpwstr>
  </property>
</Properties>
</file>