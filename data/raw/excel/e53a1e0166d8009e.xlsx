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Y:\Time Series\2024\Budget-Last Updated 28-5-2024\Rev\"/>
    </mc:Choice>
  </mc:AlternateContent>
  <xr:revisionPtr revIDLastSave="0" documentId="13_ncr:1_{7C9063CE-2541-4E6F-BAE7-EEEB1DF9DBF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Revenues 2021-2022" sheetId="2" r:id="rId1"/>
  </sheets>
  <definedNames>
    <definedName name="_xlnm.Print_Area" localSheetId="0">'Revenues 2021-2022'!$A$1:$J$38</definedName>
    <definedName name="_xlnm.Print_Titles" localSheetId="0">'Revenues 2021-2022'!$B:$B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4" i="2" l="1"/>
  <c r="I24" i="2"/>
  <c r="H24" i="2"/>
  <c r="G24" i="2"/>
  <c r="F24" i="2"/>
  <c r="E24" i="2"/>
  <c r="D24" i="2"/>
  <c r="C24" i="2"/>
  <c r="J23" i="2"/>
  <c r="I23" i="2"/>
  <c r="H23" i="2"/>
  <c r="G23" i="2"/>
  <c r="F23" i="2"/>
  <c r="E23" i="2"/>
  <c r="D23" i="2"/>
  <c r="C23" i="2"/>
  <c r="J20" i="2"/>
  <c r="I20" i="2"/>
  <c r="H20" i="2"/>
  <c r="G20" i="2"/>
  <c r="F20" i="2"/>
  <c r="E20" i="2"/>
  <c r="D20" i="2"/>
  <c r="C20" i="2"/>
  <c r="J10" i="2"/>
  <c r="I10" i="2"/>
  <c r="H10" i="2"/>
  <c r="G10" i="2"/>
  <c r="F10" i="2"/>
  <c r="E10" i="2"/>
  <c r="D10" i="2"/>
  <c r="C10" i="2"/>
  <c r="J9" i="2"/>
  <c r="I9" i="2"/>
  <c r="H9" i="2"/>
  <c r="G9" i="2"/>
  <c r="F9" i="2"/>
  <c r="E9" i="2"/>
  <c r="D9" i="2"/>
  <c r="C9" i="2"/>
  <c r="J8" i="2"/>
  <c r="I8" i="2"/>
  <c r="H8" i="2"/>
  <c r="G8" i="2"/>
  <c r="F8" i="2"/>
  <c r="E8" i="2"/>
  <c r="D8" i="2"/>
  <c r="C8" i="2"/>
</calcChain>
</file>

<file path=xl/sharedStrings.xml><?xml version="1.0" encoding="utf-8"?>
<sst xmlns="http://schemas.openxmlformats.org/spreadsheetml/2006/main" count="78" uniqueCount="65">
  <si>
    <r>
      <t xml:space="preserve">العمليات المالية الموحدة *
 للحكومة العامة 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</t>
    </r>
  </si>
  <si>
    <r>
      <t xml:space="preserve"> Consolidated Fiscal Operations * of the General Government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
</t>
    </r>
  </si>
  <si>
    <t xml:space="preserve"> (LE mn)</t>
  </si>
  <si>
    <t xml:space="preserve"> </t>
  </si>
  <si>
    <t>2021/2022</t>
  </si>
  <si>
    <t>July/Sept.</t>
  </si>
  <si>
    <t>July/Dec.</t>
  </si>
  <si>
    <t>July/March</t>
  </si>
  <si>
    <t>July/June</t>
  </si>
  <si>
    <t>The
 Budget
 Sector</t>
  </si>
  <si>
    <t xml:space="preserve">The General Government 
 </t>
  </si>
  <si>
    <t xml:space="preserve">إجمالى الإيرادات </t>
  </si>
  <si>
    <t>Total Revenues</t>
  </si>
  <si>
    <t xml:space="preserve">الإيرادات الضريبية </t>
  </si>
  <si>
    <t>Tax Revenues</t>
  </si>
  <si>
    <t>الضرائب على الدخول والأرباح من :</t>
  </si>
  <si>
    <t>Taxes on Income and Profits from:</t>
  </si>
  <si>
    <t xml:space="preserve"> هيئة البترول</t>
  </si>
  <si>
    <t>From EGPC</t>
  </si>
  <si>
    <t>هيئة قناة السويس</t>
  </si>
  <si>
    <t>From SCA</t>
  </si>
  <si>
    <t xml:space="preserve"> البنك المركزى</t>
  </si>
  <si>
    <t>From CBE</t>
  </si>
  <si>
    <t xml:space="preserve"> وحدات أخرى</t>
  </si>
  <si>
    <t>From other units</t>
  </si>
  <si>
    <t xml:space="preserve"> دخول الأفراد</t>
  </si>
  <si>
    <t>Payable by individuals</t>
  </si>
  <si>
    <t>الضرائب على الممتلكات</t>
  </si>
  <si>
    <t>Taxes on Property</t>
  </si>
  <si>
    <t>الضرائب على السلع والخدمات</t>
  </si>
  <si>
    <t>Taxes on Goods and Services</t>
  </si>
  <si>
    <t>ضرائب على التجارة الدولية ( الجمارك )</t>
  </si>
  <si>
    <t>Taxes on International Trade (Customs)</t>
  </si>
  <si>
    <t xml:space="preserve">ضرائب أخرى </t>
  </si>
  <si>
    <t>Other Taxes</t>
  </si>
  <si>
    <t xml:space="preserve">المنح </t>
  </si>
  <si>
    <t>Grants</t>
  </si>
  <si>
    <t>جارية</t>
  </si>
  <si>
    <t xml:space="preserve">Current </t>
  </si>
  <si>
    <t>رأسمالية</t>
  </si>
  <si>
    <t>Capital</t>
  </si>
  <si>
    <t>إيرادات أخرى</t>
  </si>
  <si>
    <t>Other Revenues</t>
  </si>
  <si>
    <r>
      <t>عوائد الملكية من :</t>
    </r>
    <r>
      <rPr>
        <b/>
        <sz val="16"/>
        <rFont val="Arial"/>
        <family val="2"/>
      </rPr>
      <t xml:space="preserve"> </t>
    </r>
  </si>
  <si>
    <t>Property Income</t>
  </si>
  <si>
    <t xml:space="preserve"> هيئة قناة السويس</t>
  </si>
  <si>
    <t xml:space="preserve"> الهيئات الاقتصادية</t>
  </si>
  <si>
    <t>From economic authorities</t>
  </si>
  <si>
    <t xml:space="preserve"> الشركات</t>
  </si>
  <si>
    <t>From companies</t>
  </si>
  <si>
    <t>أخرى (من هيئة البترول، والرخصة الثالثة للمحمول)</t>
  </si>
  <si>
    <t>Other ( from EGPC &amp; TML** )</t>
  </si>
  <si>
    <t>أخرى</t>
  </si>
  <si>
    <t>Other</t>
  </si>
  <si>
    <r>
      <t xml:space="preserve"> </t>
    </r>
    <r>
      <rPr>
        <b/>
        <u/>
        <sz val="16"/>
        <rFont val="Arial"/>
        <family val="2"/>
      </rPr>
      <t>حصيلة بيع السلع  والخدمات</t>
    </r>
  </si>
  <si>
    <t>Sales of Goods and Services</t>
  </si>
  <si>
    <t xml:space="preserve">تمويل الاستثمارات </t>
  </si>
  <si>
    <t>Financing Investment</t>
  </si>
  <si>
    <t>المصدر : وزارة المالية.</t>
  </si>
  <si>
    <t>Source: Ministry of Finance.</t>
  </si>
  <si>
    <t>* طبقا للتبويب الجديد للموازنة العامة والذى أعد وفقا لدليل احصاءات المالية للحكومة الصادرعن صندوق النقد الدولى لسنة 2001 ، وبعد إجراء آخر تعديلات.</t>
  </si>
  <si>
    <t>*  A new budget classification was prepared in accordance with the IMF's 2001 GFS (Government Finance Statistics) Manual  and the latest modifications.</t>
  </si>
  <si>
    <t>**TML : Third Mobile License.</t>
  </si>
  <si>
    <t xml:space="preserve"> +  تتضمن كل من قطاع الموازنة العامة، وبنك الاستثمار القومى، وصناديق التأمين الاجتماعى.</t>
  </si>
  <si>
    <r>
      <t xml:space="preserve"> </t>
    </r>
    <r>
      <rPr>
        <vertAlign val="superscript"/>
        <sz val="18"/>
        <rFont val="Arial"/>
        <family val="2"/>
      </rPr>
      <t>+</t>
    </r>
    <r>
      <rPr>
        <sz val="14"/>
        <rFont val="Arial"/>
        <family val="2"/>
      </rPr>
      <t xml:space="preserve"> Includes the Budget Sector, NIB, and SIFs.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</si>
</sst>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u/>
      <sz val="16"/>
      <name val="Arial"/>
      <family val="2"/>
    </font>
    <font>
      <b/>
      <u/>
      <sz val="14"/>
      <name val="Arial"/>
      <family val="2"/>
    </font>
    <font>
      <vertAlign val="superscript"/>
      <sz val="18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7">
    <xf numFmtId="0" fontId="0" fillId="0" borderId="0" xfId="0"/>
    <xf numFmtId="0" fontId="2" fillId="0" borderId="0" xfId="1" applyFont="1" applyFill="1" applyAlignment="1">
      <alignment horizontal="center" vertical="center" wrapText="1" readingOrder="2"/>
    </xf>
    <xf numFmtId="0" fontId="2" fillId="0" borderId="0" xfId="1" applyFont="1" applyFill="1" applyAlignment="1">
      <alignment horizontal="center" vertical="center" wrapText="1" readingOrder="1"/>
    </xf>
    <xf numFmtId="0" fontId="2" fillId="0" borderId="0" xfId="1" applyFont="1" applyFill="1" applyBorder="1" applyAlignment="1">
      <alignment vertical="center" wrapText="1" readingOrder="2"/>
    </xf>
    <xf numFmtId="0" fontId="4" fillId="2" borderId="0" xfId="1" applyFont="1" applyFill="1"/>
    <xf numFmtId="0" fontId="5" fillId="0" borderId="0" xfId="1" applyFont="1" applyFill="1"/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Alignment="1">
      <alignment horizont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/>
    <xf numFmtId="0" fontId="2" fillId="0" borderId="0" xfId="1" applyFont="1" applyFill="1" applyBorder="1" applyAlignment="1">
      <alignment horizontal="right" vertical="center"/>
    </xf>
    <xf numFmtId="0" fontId="2" fillId="0" borderId="0" xfId="1" applyFont="1" applyFill="1" applyBorder="1" applyAlignment="1">
      <alignment horizontal="center" vertical="center"/>
    </xf>
    <xf numFmtId="0" fontId="4" fillId="2" borderId="0" xfId="1" applyFont="1" applyFill="1" applyBorder="1"/>
    <xf numFmtId="0" fontId="5" fillId="3" borderId="1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center"/>
    </xf>
    <xf numFmtId="0" fontId="5" fillId="3" borderId="5" xfId="1" applyFont="1" applyFill="1" applyBorder="1" applyAlignment="1">
      <alignment horizontal="center"/>
    </xf>
    <xf numFmtId="0" fontId="5" fillId="3" borderId="6" xfId="1" applyFont="1" applyFill="1" applyBorder="1" applyAlignment="1">
      <alignment horizontal="left" vertical="center"/>
    </xf>
    <xf numFmtId="0" fontId="2" fillId="3" borderId="7" xfId="1" applyFont="1" applyFill="1" applyBorder="1" applyAlignment="1">
      <alignment horizontal="center" vertical="center"/>
    </xf>
    <xf numFmtId="0" fontId="2" fillId="3" borderId="8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left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5" fillId="3" borderId="5" xfId="1" applyFont="1" applyFill="1" applyBorder="1" applyAlignment="1"/>
    <xf numFmtId="0" fontId="5" fillId="3" borderId="10" xfId="1" applyFont="1" applyFill="1" applyBorder="1" applyAlignment="1">
      <alignment horizontal="left" vertical="center"/>
    </xf>
    <xf numFmtId="0" fontId="2" fillId="3" borderId="10" xfId="1" quotePrefix="1" applyFont="1" applyFill="1" applyBorder="1" applyAlignment="1">
      <alignment horizontal="center" vertical="center" wrapText="1"/>
    </xf>
    <xf numFmtId="0" fontId="2" fillId="3" borderId="10" xfId="1" quotePrefix="1" applyFont="1" applyFill="1" applyBorder="1" applyAlignment="1">
      <alignment horizontal="center" vertical="top" wrapText="1"/>
    </xf>
    <xf numFmtId="0" fontId="2" fillId="3" borderId="7" xfId="1" quotePrefix="1" applyFont="1" applyFill="1" applyBorder="1" applyAlignment="1">
      <alignment horizontal="center" vertical="top" wrapText="1"/>
    </xf>
    <xf numFmtId="0" fontId="4" fillId="2" borderId="0" xfId="1" applyFont="1" applyFill="1" applyAlignment="1"/>
    <xf numFmtId="0" fontId="6" fillId="0" borderId="2" xfId="1" applyFont="1" applyFill="1" applyBorder="1" applyAlignment="1">
      <alignment horizontal="right" vertical="center" readingOrder="2"/>
    </xf>
    <xf numFmtId="1" fontId="6" fillId="0" borderId="2" xfId="1" quotePrefix="1" applyNumberFormat="1" applyFont="1" applyFill="1" applyBorder="1" applyAlignment="1">
      <alignment horizontal="left" vertical="center" readingOrder="1"/>
    </xf>
    <xf numFmtId="1" fontId="6" fillId="0" borderId="6" xfId="1" applyNumberFormat="1" applyFont="1" applyFill="1" applyBorder="1" applyAlignment="1">
      <alignment horizontal="center" vertical="center" readingOrder="1"/>
    </xf>
    <xf numFmtId="0" fontId="6" fillId="2" borderId="0" xfId="1" applyFont="1" applyFill="1"/>
    <xf numFmtId="0" fontId="6" fillId="0" borderId="6" xfId="1" applyFont="1" applyFill="1" applyBorder="1" applyAlignment="1">
      <alignment horizontal="right" vertical="center" indent="1" readingOrder="2"/>
    </xf>
    <xf numFmtId="1" fontId="6" fillId="0" borderId="6" xfId="1" quotePrefix="1" applyNumberFormat="1" applyFont="1" applyFill="1" applyBorder="1" applyAlignment="1">
      <alignment horizontal="left" vertical="center" indent="1" readingOrder="1"/>
    </xf>
    <xf numFmtId="0" fontId="6" fillId="0" borderId="6" xfId="1" applyFont="1" applyFill="1" applyBorder="1" applyAlignment="1">
      <alignment horizontal="right" vertical="center" indent="2" readingOrder="2"/>
    </xf>
    <xf numFmtId="1" fontId="6" fillId="0" borderId="6" xfId="1" quotePrefix="1" applyNumberFormat="1" applyFont="1" applyFill="1" applyBorder="1" applyAlignment="1">
      <alignment horizontal="left" vertical="center" indent="2" readingOrder="1"/>
    </xf>
    <xf numFmtId="0" fontId="5" fillId="0" borderId="6" xfId="2" applyFont="1" applyFill="1" applyBorder="1" applyAlignment="1">
      <alignment horizontal="right" vertical="center" indent="3" readingOrder="2"/>
    </xf>
    <xf numFmtId="1" fontId="5" fillId="0" borderId="6" xfId="1" applyNumberFormat="1" applyFont="1" applyFill="1" applyBorder="1" applyAlignment="1">
      <alignment horizontal="left" vertical="center" indent="3" readingOrder="1"/>
    </xf>
    <xf numFmtId="1" fontId="5" fillId="0" borderId="6" xfId="1" applyNumberFormat="1" applyFont="1" applyFill="1" applyBorder="1" applyAlignment="1">
      <alignment horizontal="center" vertical="center" readingOrder="1"/>
    </xf>
    <xf numFmtId="0" fontId="5" fillId="2" borderId="0" xfId="1" applyFont="1" applyFill="1"/>
    <xf numFmtId="0" fontId="6" fillId="0" borderId="6" xfId="2" applyFont="1" applyFill="1" applyBorder="1" applyAlignment="1">
      <alignment horizontal="right" vertical="center" indent="1" readingOrder="2"/>
    </xf>
    <xf numFmtId="0" fontId="5" fillId="0" borderId="6" xfId="2" applyFont="1" applyFill="1" applyBorder="1" applyAlignment="1">
      <alignment horizontal="right" vertical="center" indent="2" readingOrder="2"/>
    </xf>
    <xf numFmtId="0" fontId="5" fillId="0" borderId="6" xfId="1" applyFont="1" applyFill="1" applyBorder="1" applyAlignment="1">
      <alignment horizontal="left" vertical="center" indent="2"/>
    </xf>
    <xf numFmtId="0" fontId="5" fillId="2" borderId="0" xfId="1" applyFont="1" applyFill="1" applyAlignment="1">
      <alignment horizontal="center" vertical="center"/>
    </xf>
    <xf numFmtId="1" fontId="6" fillId="2" borderId="0" xfId="1" applyNumberFormat="1" applyFont="1" applyFill="1"/>
    <xf numFmtId="0" fontId="7" fillId="2" borderId="0" xfId="1" applyFont="1" applyFill="1"/>
    <xf numFmtId="0" fontId="5" fillId="0" borderId="6" xfId="2" applyFont="1" applyFill="1" applyBorder="1" applyAlignment="1">
      <alignment horizontal="right" vertical="center" wrapText="1" indent="3" readingOrder="2"/>
    </xf>
    <xf numFmtId="0" fontId="2" fillId="0" borderId="6" xfId="2" applyFont="1" applyFill="1" applyBorder="1" applyAlignment="1">
      <alignment horizontal="right" vertical="center" indent="2" readingOrder="2"/>
    </xf>
    <xf numFmtId="1" fontId="6" fillId="0" borderId="6" xfId="1" applyNumberFormat="1" applyFont="1" applyFill="1" applyBorder="1" applyAlignment="1">
      <alignment horizontal="left" vertical="center" indent="2" readingOrder="1"/>
    </xf>
    <xf numFmtId="0" fontId="6" fillId="0" borderId="6" xfId="2" applyFont="1" applyFill="1" applyBorder="1" applyAlignment="1">
      <alignment horizontal="right" vertical="center" indent="2" readingOrder="2"/>
    </xf>
    <xf numFmtId="0" fontId="6" fillId="0" borderId="10" xfId="2" applyFont="1" applyFill="1" applyBorder="1" applyAlignment="1">
      <alignment horizontal="right" vertical="center" indent="2" readingOrder="2"/>
    </xf>
    <xf numFmtId="1" fontId="6" fillId="0" borderId="10" xfId="1" applyNumberFormat="1" applyFont="1" applyFill="1" applyBorder="1" applyAlignment="1">
      <alignment horizontal="left" vertical="center" indent="2" readingOrder="1"/>
    </xf>
    <xf numFmtId="1" fontId="6" fillId="0" borderId="10" xfId="1" applyNumberFormat="1" applyFont="1" applyFill="1" applyBorder="1" applyAlignment="1">
      <alignment horizontal="center" vertical="center" readingOrder="1"/>
    </xf>
    <xf numFmtId="0" fontId="4" fillId="0" borderId="0" xfId="2" applyFont="1" applyFill="1" applyBorder="1" applyAlignment="1">
      <alignment horizontal="right" vertical="center"/>
    </xf>
    <xf numFmtId="1" fontId="4" fillId="0" borderId="0" xfId="1" applyNumberFormat="1" applyFont="1" applyFill="1" applyBorder="1" applyAlignment="1">
      <alignment horizontal="left" vertical="center" readingOrder="1"/>
    </xf>
    <xf numFmtId="1" fontId="8" fillId="0" borderId="0" xfId="1" applyNumberFormat="1" applyFont="1" applyFill="1" applyBorder="1" applyAlignment="1">
      <alignment horizontal="center" vertical="center"/>
    </xf>
    <xf numFmtId="1" fontId="8" fillId="0" borderId="0" xfId="1" applyNumberFormat="1" applyFont="1" applyFill="1" applyBorder="1" applyAlignment="1">
      <alignment horizontal="center"/>
    </xf>
    <xf numFmtId="1" fontId="8" fillId="0" borderId="0" xfId="1" applyNumberFormat="1" applyFont="1" applyFill="1" applyAlignment="1"/>
    <xf numFmtId="1" fontId="8" fillId="0" borderId="0" xfId="1" applyNumberFormat="1" applyFont="1" applyFill="1"/>
    <xf numFmtId="1" fontId="8" fillId="2" borderId="0" xfId="1" applyNumberFormat="1" applyFont="1" applyFill="1"/>
    <xf numFmtId="0" fontId="4" fillId="0" borderId="0" xfId="1" applyFont="1" applyFill="1" applyAlignment="1">
      <alignment horizontal="right" vertical="center" wrapText="1" readingOrder="2"/>
    </xf>
    <xf numFmtId="0" fontId="4" fillId="0" borderId="0" xfId="2" applyFont="1" applyFill="1" applyAlignment="1">
      <alignment horizontal="left" vertical="center" wrapText="1" readingOrder="1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>
      <alignment horizontal="center"/>
    </xf>
    <xf numFmtId="0" fontId="4" fillId="0" borderId="0" xfId="1" applyFont="1" applyFill="1"/>
    <xf numFmtId="0" fontId="4" fillId="0" borderId="0" xfId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49" fontId="10" fillId="2" borderId="0" xfId="1" applyNumberFormat="1" applyFont="1" applyFill="1" applyBorder="1" applyAlignment="1">
      <alignment horizontal="left" vertical="center"/>
    </xf>
    <xf numFmtId="49" fontId="10" fillId="2" borderId="0" xfId="1" applyNumberFormat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horizontal="center"/>
    </xf>
    <xf numFmtId="0" fontId="4" fillId="2" borderId="0" xfId="1" applyFont="1" applyFill="1" applyAlignment="1">
      <alignment horizontal="left" vertical="center"/>
    </xf>
  </cellXfs>
  <cellStyles count="3">
    <cellStyle name="Normal" xfId="0" builtinId="0"/>
    <cellStyle name="Normal 2" xfId="2" xr:uid="{302562A0-7CE5-410E-A539-5268B62C229B}"/>
    <cellStyle name="Normal_wafaa file_12_22-24_26-34 2" xfId="1" xr:uid="{3A6A2EA2-F0AA-49ED-8159-7CFA5EBECD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C8E5-423F-448A-8EF8-EDD0A3AE6C95}">
  <sheetPr>
    <pageSetUpPr fitToPage="1"/>
  </sheetPr>
  <dimension ref="A1:AW1302"/>
  <sheetViews>
    <sheetView tabSelected="1" view="pageBreakPreview" topLeftCell="A19" zoomScale="40" zoomScaleNormal="75" zoomScaleSheetLayoutView="40" workbookViewId="0"/>
  </sheetViews>
  <sheetFormatPr defaultColWidth="9.109375" defaultRowHeight="17.399999999999999" x14ac:dyDescent="0.3"/>
  <cols>
    <col min="1" max="1" width="62.6640625" style="4" customWidth="1"/>
    <col min="2" max="2" width="79.44140625" style="76" customWidth="1"/>
    <col min="3" max="4" width="24.6640625" style="75" customWidth="1"/>
    <col min="5" max="8" width="24.6640625" style="19" customWidth="1"/>
    <col min="9" max="10" width="24.6640625" style="4" customWidth="1"/>
    <col min="11" max="11" width="9.44140625" style="4" bestFit="1" customWidth="1"/>
    <col min="12" max="12" width="9.109375" style="4"/>
    <col min="13" max="13" width="12.5546875" style="4" customWidth="1"/>
    <col min="14" max="15" width="13.6640625" style="4" customWidth="1"/>
    <col min="16" max="16" width="11.88671875" style="4" customWidth="1"/>
    <col min="17" max="17" width="11.6640625" style="4" customWidth="1"/>
    <col min="18" max="18" width="15.5546875" style="4" customWidth="1"/>
    <col min="19" max="19" width="11.88671875" style="4" customWidth="1"/>
    <col min="20" max="16384" width="9.109375" style="4"/>
  </cols>
  <sheetData>
    <row r="1" spans="1:49" ht="70.2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49" ht="20.399999999999999" customHeight="1" x14ac:dyDescent="0.35">
      <c r="A2" s="5"/>
      <c r="B2" s="6"/>
      <c r="C2" s="7"/>
      <c r="D2" s="7"/>
      <c r="E2" s="8"/>
      <c r="F2" s="9"/>
      <c r="G2" s="10"/>
      <c r="H2" s="11"/>
      <c r="I2" s="10"/>
      <c r="J2" s="12" t="s">
        <v>2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</row>
    <row r="3" spans="1:49" s="19" customFormat="1" ht="15" customHeight="1" x14ac:dyDescent="0.35">
      <c r="A3" s="14"/>
      <c r="B3" s="15" t="s">
        <v>3</v>
      </c>
      <c r="C3" s="16" t="s">
        <v>4</v>
      </c>
      <c r="D3" s="17"/>
      <c r="E3" s="17"/>
      <c r="F3" s="17"/>
      <c r="G3" s="17"/>
      <c r="H3" s="17"/>
      <c r="I3" s="17"/>
      <c r="J3" s="18"/>
    </row>
    <row r="4" spans="1:49" s="19" customFormat="1" ht="15" customHeight="1" x14ac:dyDescent="0.35">
      <c r="A4" s="20"/>
      <c r="B4" s="21"/>
      <c r="C4" s="22"/>
      <c r="D4" s="23"/>
      <c r="E4" s="23"/>
      <c r="F4" s="23"/>
      <c r="G4" s="23"/>
      <c r="H4" s="23"/>
      <c r="I4" s="23"/>
      <c r="J4" s="24"/>
    </row>
    <row r="5" spans="1:49" s="19" customFormat="1" ht="15" customHeight="1" x14ac:dyDescent="0.35">
      <c r="A5" s="20"/>
      <c r="B5" s="25"/>
      <c r="C5" s="26" t="s">
        <v>5</v>
      </c>
      <c r="D5" s="26"/>
      <c r="E5" s="26" t="s">
        <v>6</v>
      </c>
      <c r="F5" s="26"/>
      <c r="G5" s="16" t="s">
        <v>7</v>
      </c>
      <c r="H5" s="17"/>
      <c r="I5" s="16" t="s">
        <v>8</v>
      </c>
      <c r="J5" s="18"/>
    </row>
    <row r="6" spans="1:49" s="19" customFormat="1" ht="15" customHeight="1" x14ac:dyDescent="0.35">
      <c r="A6" s="20"/>
      <c r="B6" s="25"/>
      <c r="C6" s="27"/>
      <c r="D6" s="27"/>
      <c r="E6" s="27"/>
      <c r="F6" s="27"/>
      <c r="G6" s="22"/>
      <c r="H6" s="23"/>
      <c r="I6" s="22"/>
      <c r="J6" s="24"/>
    </row>
    <row r="7" spans="1:49" s="33" customFormat="1" ht="86.4" customHeight="1" x14ac:dyDescent="0.35">
      <c r="A7" s="28"/>
      <c r="B7" s="29"/>
      <c r="C7" s="30" t="s">
        <v>9</v>
      </c>
      <c r="D7" s="31" t="s">
        <v>10</v>
      </c>
      <c r="E7" s="30" t="s">
        <v>9</v>
      </c>
      <c r="F7" s="31" t="s">
        <v>10</v>
      </c>
      <c r="G7" s="30" t="s">
        <v>9</v>
      </c>
      <c r="H7" s="32" t="s">
        <v>10</v>
      </c>
      <c r="I7" s="30" t="s">
        <v>9</v>
      </c>
      <c r="J7" s="31" t="s">
        <v>10</v>
      </c>
    </row>
    <row r="8" spans="1:49" s="37" customFormat="1" ht="49.95" customHeight="1" x14ac:dyDescent="0.4">
      <c r="A8" s="34" t="s">
        <v>11</v>
      </c>
      <c r="B8" s="35" t="s">
        <v>12</v>
      </c>
      <c r="C8" s="36">
        <f>C9+C20+C23</f>
        <v>223904</v>
      </c>
      <c r="D8" s="36">
        <f t="shared" ref="D8" si="0">D9+D20+D23</f>
        <v>268603</v>
      </c>
      <c r="E8" s="36">
        <f>E9+E20+E23</f>
        <v>499644</v>
      </c>
      <c r="F8" s="36">
        <f>F9+F20+F23</f>
        <v>588808</v>
      </c>
      <c r="G8" s="36">
        <f t="shared" ref="G8:I8" si="1">G9+G20+G23</f>
        <v>780996</v>
      </c>
      <c r="H8" s="36">
        <f>H9+H20+H23</f>
        <v>910176</v>
      </c>
      <c r="I8" s="36">
        <f t="shared" si="1"/>
        <v>1325571</v>
      </c>
      <c r="J8" s="36">
        <f>J9+J20+J23</f>
        <v>1483977</v>
      </c>
    </row>
    <row r="9" spans="1:49" s="37" customFormat="1" ht="49.95" customHeight="1" x14ac:dyDescent="0.4">
      <c r="A9" s="38" t="s">
        <v>13</v>
      </c>
      <c r="B9" s="39" t="s">
        <v>14</v>
      </c>
      <c r="C9" s="36">
        <f t="shared" ref="C9:D9" si="2">C10+C16+C17+C18+C19</f>
        <v>176348</v>
      </c>
      <c r="D9" s="36">
        <f t="shared" si="2"/>
        <v>176348</v>
      </c>
      <c r="E9" s="36">
        <f>E10+E16+E17+E18+E19</f>
        <v>386851</v>
      </c>
      <c r="F9" s="36">
        <f>F10+F16+F17+F18+F19</f>
        <v>386851</v>
      </c>
      <c r="G9" s="36">
        <f t="shared" ref="G9:J9" si="3">G10+G16+G17+G18+G19</f>
        <v>607678</v>
      </c>
      <c r="H9" s="36">
        <f t="shared" si="3"/>
        <v>607678</v>
      </c>
      <c r="I9" s="36">
        <f t="shared" si="3"/>
        <v>990138</v>
      </c>
      <c r="J9" s="36">
        <f t="shared" si="3"/>
        <v>990138</v>
      </c>
    </row>
    <row r="10" spans="1:49" s="37" customFormat="1" ht="49.95" customHeight="1" x14ac:dyDescent="0.4">
      <c r="A10" s="40" t="s">
        <v>15</v>
      </c>
      <c r="B10" s="41" t="s">
        <v>16</v>
      </c>
      <c r="C10" s="36">
        <f t="shared" ref="C10:D10" si="4">SUM(C11:C15)</f>
        <v>52085</v>
      </c>
      <c r="D10" s="36">
        <f t="shared" si="4"/>
        <v>52085</v>
      </c>
      <c r="E10" s="36">
        <f>SUM(E11:E15)</f>
        <v>119882</v>
      </c>
      <c r="F10" s="36">
        <f>SUM(F11:F15)</f>
        <v>119882</v>
      </c>
      <c r="G10" s="36">
        <f t="shared" ref="G10:J10" si="5">SUM(G11:G15)</f>
        <v>195722</v>
      </c>
      <c r="H10" s="36">
        <f t="shared" si="5"/>
        <v>195722</v>
      </c>
      <c r="I10" s="36">
        <f t="shared" si="5"/>
        <v>385499</v>
      </c>
      <c r="J10" s="36">
        <f t="shared" si="5"/>
        <v>385499</v>
      </c>
    </row>
    <row r="11" spans="1:49" s="45" customFormat="1" ht="49.95" customHeight="1" x14ac:dyDescent="0.35">
      <c r="A11" s="42" t="s">
        <v>17</v>
      </c>
      <c r="B11" s="43" t="s">
        <v>18</v>
      </c>
      <c r="C11" s="44">
        <v>0</v>
      </c>
      <c r="D11" s="44">
        <v>0</v>
      </c>
      <c r="E11" s="44">
        <v>4000</v>
      </c>
      <c r="F11" s="44">
        <v>4000</v>
      </c>
      <c r="G11" s="44">
        <v>4000</v>
      </c>
      <c r="H11" s="44">
        <v>4000</v>
      </c>
      <c r="I11" s="44">
        <v>29658</v>
      </c>
      <c r="J11" s="44">
        <v>29658</v>
      </c>
    </row>
    <row r="12" spans="1:49" s="45" customFormat="1" ht="49.95" customHeight="1" x14ac:dyDescent="0.35">
      <c r="A12" s="42" t="s">
        <v>19</v>
      </c>
      <c r="B12" s="43" t="s">
        <v>20</v>
      </c>
      <c r="C12" s="44">
        <v>7650</v>
      </c>
      <c r="D12" s="44">
        <v>7650</v>
      </c>
      <c r="E12" s="44">
        <v>14400</v>
      </c>
      <c r="F12" s="44">
        <v>14400</v>
      </c>
      <c r="G12" s="44">
        <v>24150</v>
      </c>
      <c r="H12" s="44">
        <v>24150</v>
      </c>
      <c r="I12" s="44">
        <v>38952</v>
      </c>
      <c r="J12" s="44">
        <v>38952</v>
      </c>
    </row>
    <row r="13" spans="1:49" s="45" customFormat="1" ht="49.95" customHeight="1" x14ac:dyDescent="0.35">
      <c r="A13" s="42" t="s">
        <v>21</v>
      </c>
      <c r="B13" s="43" t="s">
        <v>22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</row>
    <row r="14" spans="1:49" s="45" customFormat="1" ht="49.95" customHeight="1" x14ac:dyDescent="0.35">
      <c r="A14" s="42" t="s">
        <v>23</v>
      </c>
      <c r="B14" s="43" t="s">
        <v>24</v>
      </c>
      <c r="C14" s="44">
        <v>23521</v>
      </c>
      <c r="D14" s="44">
        <v>23521</v>
      </c>
      <c r="E14" s="44">
        <v>49087</v>
      </c>
      <c r="F14" s="44">
        <v>49087</v>
      </c>
      <c r="G14" s="44">
        <v>73426</v>
      </c>
      <c r="H14" s="44">
        <v>73426</v>
      </c>
      <c r="I14" s="44">
        <v>164971</v>
      </c>
      <c r="J14" s="44">
        <v>164971</v>
      </c>
    </row>
    <row r="15" spans="1:49" s="45" customFormat="1" ht="49.95" customHeight="1" x14ac:dyDescent="0.35">
      <c r="A15" s="42" t="s">
        <v>25</v>
      </c>
      <c r="B15" s="43" t="s">
        <v>26</v>
      </c>
      <c r="C15" s="44">
        <v>20914</v>
      </c>
      <c r="D15" s="44">
        <v>20914</v>
      </c>
      <c r="E15" s="44">
        <v>52395</v>
      </c>
      <c r="F15" s="44">
        <v>52395</v>
      </c>
      <c r="G15" s="44">
        <v>94146</v>
      </c>
      <c r="H15" s="44">
        <v>94146</v>
      </c>
      <c r="I15" s="44">
        <v>151918</v>
      </c>
      <c r="J15" s="44">
        <v>151918</v>
      </c>
    </row>
    <row r="16" spans="1:49" s="37" customFormat="1" ht="49.95" customHeight="1" x14ac:dyDescent="0.4">
      <c r="A16" s="40" t="s">
        <v>27</v>
      </c>
      <c r="B16" s="41" t="s">
        <v>28</v>
      </c>
      <c r="C16" s="36">
        <v>29500</v>
      </c>
      <c r="D16" s="36">
        <v>29500</v>
      </c>
      <c r="E16" s="36">
        <v>50637</v>
      </c>
      <c r="F16" s="36">
        <v>50637</v>
      </c>
      <c r="G16" s="36">
        <v>70885</v>
      </c>
      <c r="H16" s="36">
        <v>70885</v>
      </c>
      <c r="I16" s="36">
        <v>89777</v>
      </c>
      <c r="J16" s="36">
        <v>89777</v>
      </c>
    </row>
    <row r="17" spans="1:19" s="37" customFormat="1" ht="49.95" customHeight="1" x14ac:dyDescent="0.4">
      <c r="A17" s="40" t="s">
        <v>29</v>
      </c>
      <c r="B17" s="41" t="s">
        <v>30</v>
      </c>
      <c r="C17" s="36">
        <v>85708</v>
      </c>
      <c r="D17" s="36">
        <v>85708</v>
      </c>
      <c r="E17" s="36">
        <v>195763</v>
      </c>
      <c r="F17" s="36">
        <v>195763</v>
      </c>
      <c r="G17" s="36">
        <v>309880</v>
      </c>
      <c r="H17" s="36">
        <v>309880</v>
      </c>
      <c r="I17" s="36">
        <v>453944</v>
      </c>
      <c r="J17" s="36">
        <v>453944</v>
      </c>
    </row>
    <row r="18" spans="1:19" s="37" customFormat="1" ht="49.95" customHeight="1" x14ac:dyDescent="0.4">
      <c r="A18" s="40" t="s">
        <v>31</v>
      </c>
      <c r="B18" s="41" t="s">
        <v>32</v>
      </c>
      <c r="C18" s="36">
        <v>9055</v>
      </c>
      <c r="D18" s="36">
        <v>9055</v>
      </c>
      <c r="E18" s="36">
        <v>20569</v>
      </c>
      <c r="F18" s="36">
        <v>20569</v>
      </c>
      <c r="G18" s="36">
        <v>31191</v>
      </c>
      <c r="H18" s="36">
        <v>31191</v>
      </c>
      <c r="I18" s="36">
        <v>43297</v>
      </c>
      <c r="J18" s="36">
        <v>43297</v>
      </c>
    </row>
    <row r="19" spans="1:19" s="37" customFormat="1" ht="49.95" customHeight="1" x14ac:dyDescent="0.4">
      <c r="A19" s="40" t="s">
        <v>33</v>
      </c>
      <c r="B19" s="41" t="s">
        <v>34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17621</v>
      </c>
      <c r="J19" s="36">
        <v>17621</v>
      </c>
    </row>
    <row r="20" spans="1:19" s="37" customFormat="1" ht="49.95" customHeight="1" x14ac:dyDescent="0.4">
      <c r="A20" s="46" t="s">
        <v>35</v>
      </c>
      <c r="B20" s="39" t="s">
        <v>36</v>
      </c>
      <c r="C20" s="36">
        <f t="shared" ref="C20:D20" si="6">C21+C22</f>
        <v>17</v>
      </c>
      <c r="D20" s="36">
        <f t="shared" si="6"/>
        <v>17</v>
      </c>
      <c r="E20" s="36">
        <f>E21+E22</f>
        <v>58</v>
      </c>
      <c r="F20" s="36">
        <f>F21+F22</f>
        <v>58</v>
      </c>
      <c r="G20" s="36">
        <f t="shared" ref="G20:J20" si="7">G21+G22</f>
        <v>2670</v>
      </c>
      <c r="H20" s="36">
        <f t="shared" si="7"/>
        <v>2670</v>
      </c>
      <c r="I20" s="36">
        <f t="shared" si="7"/>
        <v>2889</v>
      </c>
      <c r="J20" s="36">
        <f t="shared" si="7"/>
        <v>2889</v>
      </c>
    </row>
    <row r="21" spans="1:19" s="49" customFormat="1" ht="49.95" customHeight="1" x14ac:dyDescent="0.25">
      <c r="A21" s="47" t="s">
        <v>37</v>
      </c>
      <c r="B21" s="48" t="s">
        <v>38</v>
      </c>
      <c r="C21" s="44">
        <v>6</v>
      </c>
      <c r="D21" s="44">
        <v>6</v>
      </c>
      <c r="E21" s="44">
        <v>12</v>
      </c>
      <c r="F21" s="44">
        <v>12</v>
      </c>
      <c r="G21" s="44">
        <v>2419</v>
      </c>
      <c r="H21" s="44">
        <v>2419</v>
      </c>
      <c r="I21" s="44">
        <v>2429</v>
      </c>
      <c r="J21" s="44">
        <v>2429</v>
      </c>
    </row>
    <row r="22" spans="1:19" s="49" customFormat="1" ht="49.95" customHeight="1" x14ac:dyDescent="0.25">
      <c r="A22" s="47" t="s">
        <v>39</v>
      </c>
      <c r="B22" s="48" t="s">
        <v>40</v>
      </c>
      <c r="C22" s="44">
        <v>11</v>
      </c>
      <c r="D22" s="44">
        <v>11</v>
      </c>
      <c r="E22" s="44">
        <v>46</v>
      </c>
      <c r="F22" s="44">
        <v>46</v>
      </c>
      <c r="G22" s="44">
        <v>251</v>
      </c>
      <c r="H22" s="44">
        <v>251</v>
      </c>
      <c r="I22" s="44">
        <v>460</v>
      </c>
      <c r="J22" s="44">
        <v>460</v>
      </c>
    </row>
    <row r="23" spans="1:19" s="37" customFormat="1" ht="49.95" customHeight="1" x14ac:dyDescent="0.4">
      <c r="A23" s="38" t="s">
        <v>41</v>
      </c>
      <c r="B23" s="39" t="s">
        <v>42</v>
      </c>
      <c r="C23" s="36">
        <f t="shared" ref="C23:D23" si="8">C24+C32+C33+C34</f>
        <v>47539</v>
      </c>
      <c r="D23" s="36">
        <f t="shared" si="8"/>
        <v>92238</v>
      </c>
      <c r="E23" s="36">
        <f>E24+E32+E33+E34</f>
        <v>112735</v>
      </c>
      <c r="F23" s="36">
        <f>F24+F32+F33+F34</f>
        <v>201899</v>
      </c>
      <c r="G23" s="36">
        <f t="shared" ref="G23:J23" si="9">G24+G32+G33+G34</f>
        <v>170648</v>
      </c>
      <c r="H23" s="36">
        <f t="shared" si="9"/>
        <v>299828</v>
      </c>
      <c r="I23" s="36">
        <f t="shared" si="9"/>
        <v>332544</v>
      </c>
      <c r="J23" s="36">
        <f t="shared" si="9"/>
        <v>490950</v>
      </c>
      <c r="K23" s="50"/>
      <c r="L23" s="50"/>
      <c r="M23" s="50"/>
      <c r="N23" s="50"/>
      <c r="O23" s="50"/>
      <c r="P23" s="50"/>
      <c r="Q23" s="50"/>
      <c r="R23" s="50"/>
      <c r="S23" s="50"/>
    </row>
    <row r="24" spans="1:19" s="37" customFormat="1" ht="49.95" customHeight="1" x14ac:dyDescent="0.4">
      <c r="A24" s="40" t="s">
        <v>43</v>
      </c>
      <c r="B24" s="41" t="s">
        <v>44</v>
      </c>
      <c r="C24" s="36">
        <f t="shared" ref="C24" si="10">SUM(C25:C31)</f>
        <v>10714</v>
      </c>
      <c r="D24" s="36">
        <f>SUM(D25:D31)</f>
        <v>25144</v>
      </c>
      <c r="E24" s="36">
        <f>SUM(E25:E31)</f>
        <v>38874</v>
      </c>
      <c r="F24" s="36">
        <f>SUM(F25:F31)</f>
        <v>66186</v>
      </c>
      <c r="G24" s="36">
        <f t="shared" ref="G24:J24" si="11">SUM(G25:G31)</f>
        <v>55767</v>
      </c>
      <c r="H24" s="36">
        <f t="shared" si="11"/>
        <v>99407</v>
      </c>
      <c r="I24" s="36">
        <f t="shared" si="11"/>
        <v>91434</v>
      </c>
      <c r="J24" s="36">
        <f t="shared" si="11"/>
        <v>157081</v>
      </c>
    </row>
    <row r="25" spans="1:19" s="45" customFormat="1" ht="49.95" customHeight="1" x14ac:dyDescent="0.35">
      <c r="A25" s="42" t="s">
        <v>17</v>
      </c>
      <c r="B25" s="43" t="s">
        <v>18</v>
      </c>
      <c r="C25" s="44">
        <v>0</v>
      </c>
      <c r="D25" s="44">
        <v>0</v>
      </c>
      <c r="E25" s="44">
        <v>9086</v>
      </c>
      <c r="F25" s="44">
        <v>9086</v>
      </c>
      <c r="G25" s="44">
        <v>11810</v>
      </c>
      <c r="H25" s="44">
        <v>11810</v>
      </c>
      <c r="I25" s="44">
        <v>11606</v>
      </c>
      <c r="J25" s="44">
        <v>11606</v>
      </c>
    </row>
    <row r="26" spans="1:19" s="45" customFormat="1" ht="49.95" customHeight="1" x14ac:dyDescent="0.35">
      <c r="A26" s="42" t="s">
        <v>45</v>
      </c>
      <c r="B26" s="43" t="s">
        <v>20</v>
      </c>
      <c r="C26" s="44">
        <v>6850</v>
      </c>
      <c r="D26" s="44">
        <v>6850</v>
      </c>
      <c r="E26" s="44">
        <v>14616</v>
      </c>
      <c r="F26" s="44">
        <v>14616</v>
      </c>
      <c r="G26" s="44">
        <v>19637</v>
      </c>
      <c r="H26" s="44">
        <v>19637</v>
      </c>
      <c r="I26" s="44">
        <v>27734</v>
      </c>
      <c r="J26" s="44">
        <v>27734</v>
      </c>
    </row>
    <row r="27" spans="1:19" s="51" customFormat="1" ht="49.95" customHeight="1" x14ac:dyDescent="0.35">
      <c r="A27" s="42" t="s">
        <v>21</v>
      </c>
      <c r="B27" s="43" t="s">
        <v>22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</row>
    <row r="28" spans="1:19" s="51" customFormat="1" ht="49.95" customHeight="1" x14ac:dyDescent="0.35">
      <c r="A28" s="42" t="s">
        <v>46</v>
      </c>
      <c r="B28" s="43" t="s">
        <v>47</v>
      </c>
      <c r="C28" s="44">
        <v>1494</v>
      </c>
      <c r="D28" s="44">
        <v>1494</v>
      </c>
      <c r="E28" s="44">
        <v>4299</v>
      </c>
      <c r="F28" s="44">
        <v>4299</v>
      </c>
      <c r="G28" s="44">
        <v>7096</v>
      </c>
      <c r="H28" s="44">
        <v>7096</v>
      </c>
      <c r="I28" s="44">
        <v>11095</v>
      </c>
      <c r="J28" s="44">
        <v>11095</v>
      </c>
    </row>
    <row r="29" spans="1:19" s="45" customFormat="1" ht="49.95" customHeight="1" x14ac:dyDescent="0.35">
      <c r="A29" s="42" t="s">
        <v>48</v>
      </c>
      <c r="B29" s="43" t="s">
        <v>49</v>
      </c>
      <c r="C29" s="44">
        <v>762</v>
      </c>
      <c r="D29" s="44">
        <v>762</v>
      </c>
      <c r="E29" s="44">
        <v>4126</v>
      </c>
      <c r="F29" s="44">
        <v>4126</v>
      </c>
      <c r="G29" s="44">
        <v>8036</v>
      </c>
      <c r="H29" s="44">
        <v>8036</v>
      </c>
      <c r="I29" s="44">
        <v>12336</v>
      </c>
      <c r="J29" s="44">
        <v>12336</v>
      </c>
    </row>
    <row r="30" spans="1:19" s="45" customFormat="1" ht="49.95" customHeight="1" x14ac:dyDescent="0.35">
      <c r="A30" s="52" t="s">
        <v>50</v>
      </c>
      <c r="B30" s="43" t="s">
        <v>51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</row>
    <row r="31" spans="1:19" s="51" customFormat="1" ht="49.95" customHeight="1" x14ac:dyDescent="0.35">
      <c r="A31" s="42" t="s">
        <v>52</v>
      </c>
      <c r="B31" s="43" t="s">
        <v>53</v>
      </c>
      <c r="C31" s="44">
        <v>1608</v>
      </c>
      <c r="D31" s="44">
        <v>16038</v>
      </c>
      <c r="E31" s="44">
        <v>6747</v>
      </c>
      <c r="F31" s="44">
        <v>34059</v>
      </c>
      <c r="G31" s="44">
        <v>9188</v>
      </c>
      <c r="H31" s="44">
        <v>52828</v>
      </c>
      <c r="I31" s="44">
        <v>28663</v>
      </c>
      <c r="J31" s="44">
        <v>94310</v>
      </c>
    </row>
    <row r="32" spans="1:19" s="50" customFormat="1" ht="49.95" customHeight="1" x14ac:dyDescent="0.4">
      <c r="A32" s="53" t="s">
        <v>54</v>
      </c>
      <c r="B32" s="54" t="s">
        <v>55</v>
      </c>
      <c r="C32" s="36">
        <v>12577</v>
      </c>
      <c r="D32" s="36">
        <v>12577</v>
      </c>
      <c r="E32" s="36">
        <v>33465</v>
      </c>
      <c r="F32" s="36">
        <v>33465</v>
      </c>
      <c r="G32" s="36">
        <v>53439</v>
      </c>
      <c r="H32" s="36">
        <v>53439</v>
      </c>
      <c r="I32" s="36">
        <v>75291</v>
      </c>
      <c r="J32" s="36">
        <v>75291</v>
      </c>
    </row>
    <row r="33" spans="1:10" s="50" customFormat="1" ht="49.95" customHeight="1" x14ac:dyDescent="0.4">
      <c r="A33" s="55" t="s">
        <v>56</v>
      </c>
      <c r="B33" s="54" t="s">
        <v>57</v>
      </c>
      <c r="C33" s="36">
        <v>3249</v>
      </c>
      <c r="D33" s="36">
        <v>3249</v>
      </c>
      <c r="E33" s="36">
        <v>10539</v>
      </c>
      <c r="F33" s="36">
        <v>10539</v>
      </c>
      <c r="G33" s="36">
        <v>20374</v>
      </c>
      <c r="H33" s="36">
        <v>20374</v>
      </c>
      <c r="I33" s="36">
        <v>33795</v>
      </c>
      <c r="J33" s="36">
        <v>33795</v>
      </c>
    </row>
    <row r="34" spans="1:10" s="50" customFormat="1" ht="49.95" customHeight="1" x14ac:dyDescent="0.4">
      <c r="A34" s="56" t="s">
        <v>52</v>
      </c>
      <c r="B34" s="57" t="s">
        <v>53</v>
      </c>
      <c r="C34" s="58">
        <v>20999</v>
      </c>
      <c r="D34" s="58">
        <v>51268</v>
      </c>
      <c r="E34" s="58">
        <v>29857</v>
      </c>
      <c r="F34" s="58">
        <v>91709</v>
      </c>
      <c r="G34" s="58">
        <v>41068</v>
      </c>
      <c r="H34" s="58">
        <v>126608</v>
      </c>
      <c r="I34" s="58">
        <v>132024</v>
      </c>
      <c r="J34" s="58">
        <v>224783</v>
      </c>
    </row>
    <row r="35" spans="1:10" s="65" customFormat="1" ht="21.9" customHeight="1" x14ac:dyDescent="0.3">
      <c r="A35" s="59" t="s">
        <v>58</v>
      </c>
      <c r="B35" s="60" t="s">
        <v>59</v>
      </c>
      <c r="C35" s="61"/>
      <c r="D35" s="61"/>
      <c r="E35" s="62"/>
      <c r="F35" s="62"/>
      <c r="G35" s="62"/>
      <c r="H35" s="62"/>
      <c r="I35" s="63"/>
      <c r="J35" s="64"/>
    </row>
    <row r="36" spans="1:10" ht="87.6" customHeight="1" x14ac:dyDescent="0.3">
      <c r="A36" s="66" t="s">
        <v>60</v>
      </c>
      <c r="B36" s="67" t="s">
        <v>61</v>
      </c>
      <c r="C36" s="68"/>
      <c r="D36" s="68"/>
      <c r="E36" s="69"/>
      <c r="F36" s="69"/>
      <c r="G36" s="69"/>
      <c r="H36" s="69"/>
      <c r="I36" s="70"/>
      <c r="J36" s="70"/>
    </row>
    <row r="37" spans="1:10" ht="36.6" customHeight="1" x14ac:dyDescent="0.3">
      <c r="A37" s="70"/>
      <c r="B37" s="71" t="s">
        <v>62</v>
      </c>
      <c r="C37" s="68"/>
      <c r="D37" s="68"/>
      <c r="E37" s="69"/>
      <c r="F37" s="69"/>
      <c r="G37" s="69"/>
      <c r="H37" s="69"/>
      <c r="I37" s="70"/>
      <c r="J37" s="70"/>
    </row>
    <row r="38" spans="1:10" ht="36.6" customHeight="1" x14ac:dyDescent="0.3">
      <c r="A38" s="66" t="s">
        <v>63</v>
      </c>
      <c r="B38" s="72" t="s">
        <v>64</v>
      </c>
      <c r="C38" s="72"/>
      <c r="D38" s="68"/>
      <c r="E38" s="69"/>
      <c r="F38" s="69"/>
      <c r="G38" s="69"/>
      <c r="H38" s="69"/>
      <c r="I38" s="70"/>
      <c r="J38" s="70"/>
    </row>
    <row r="39" spans="1:10" ht="21.9" customHeight="1" x14ac:dyDescent="0.3">
      <c r="B39" s="73"/>
      <c r="C39" s="74"/>
      <c r="D39" s="74"/>
      <c r="E39" s="74"/>
      <c r="F39" s="74"/>
      <c r="G39" s="75"/>
    </row>
    <row r="40" spans="1:10" ht="21.9" customHeight="1" x14ac:dyDescent="0.3"/>
    <row r="41" spans="1:10" ht="21.9" customHeight="1" x14ac:dyDescent="0.3"/>
    <row r="42" spans="1:10" ht="21.9" customHeight="1" x14ac:dyDescent="0.3"/>
    <row r="43" spans="1:10" ht="21.9" customHeight="1" x14ac:dyDescent="0.3"/>
    <row r="44" spans="1:10" ht="21.9" customHeight="1" x14ac:dyDescent="0.3"/>
    <row r="45" spans="1:10" ht="21.9" customHeight="1" x14ac:dyDescent="0.3"/>
    <row r="46" spans="1:10" ht="21.9" customHeight="1" x14ac:dyDescent="0.3"/>
    <row r="47" spans="1:10" ht="21.9" customHeight="1" x14ac:dyDescent="0.3"/>
    <row r="48" spans="1:10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21.9" customHeight="1" x14ac:dyDescent="0.3"/>
    <row r="83" ht="21.9" customHeight="1" x14ac:dyDescent="0.3"/>
    <row r="84" ht="21.9" customHeight="1" x14ac:dyDescent="0.3"/>
    <row r="85" ht="21.9" customHeight="1" x14ac:dyDescent="0.3"/>
    <row r="86" ht="21.9" customHeight="1" x14ac:dyDescent="0.3"/>
    <row r="87" ht="21.9" customHeight="1" x14ac:dyDescent="0.3"/>
    <row r="88" ht="21.9" customHeight="1" x14ac:dyDescent="0.3"/>
    <row r="89" ht="21.9" customHeight="1" x14ac:dyDescent="0.3"/>
    <row r="90" ht="21.9" customHeight="1" x14ac:dyDescent="0.3"/>
    <row r="91" ht="21.9" customHeight="1" x14ac:dyDescent="0.3"/>
    <row r="92" ht="21.9" customHeight="1" x14ac:dyDescent="0.3"/>
    <row r="93" ht="21.9" customHeight="1" x14ac:dyDescent="0.3"/>
    <row r="94" ht="21.9" customHeight="1" x14ac:dyDescent="0.3"/>
    <row r="95" ht="21.9" customHeight="1" x14ac:dyDescent="0.3"/>
    <row r="96" ht="21.9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21.9" customHeight="1" x14ac:dyDescent="0.3"/>
    <row r="103" ht="21.9" customHeight="1" x14ac:dyDescent="0.3"/>
    <row r="104" ht="21.9" customHeight="1" x14ac:dyDescent="0.3"/>
    <row r="105" ht="21.9" customHeight="1" x14ac:dyDescent="0.3"/>
    <row r="106" ht="21.9" customHeight="1" x14ac:dyDescent="0.3"/>
    <row r="107" ht="21.9" customHeight="1" x14ac:dyDescent="0.3"/>
    <row r="108" ht="21.9" customHeight="1" x14ac:dyDescent="0.3"/>
    <row r="109" ht="21.9" customHeight="1" x14ac:dyDescent="0.3"/>
    <row r="110" ht="21.9" customHeight="1" x14ac:dyDescent="0.3"/>
    <row r="111" ht="21.9" customHeight="1" x14ac:dyDescent="0.3"/>
    <row r="112" ht="21.9" customHeight="1" x14ac:dyDescent="0.3"/>
    <row r="113" ht="21.9" customHeight="1" x14ac:dyDescent="0.3"/>
    <row r="114" ht="21.9" customHeight="1" x14ac:dyDescent="0.3"/>
    <row r="115" ht="21.9" customHeight="1" x14ac:dyDescent="0.3"/>
    <row r="116" ht="21.9" customHeight="1" x14ac:dyDescent="0.3"/>
    <row r="117" ht="21.9" customHeight="1" x14ac:dyDescent="0.3"/>
    <row r="118" ht="21.9" customHeight="1" x14ac:dyDescent="0.3"/>
    <row r="119" ht="21.9" customHeight="1" x14ac:dyDescent="0.3"/>
    <row r="120" ht="21.9" customHeight="1" x14ac:dyDescent="0.3"/>
    <row r="121" ht="21.9" customHeight="1" x14ac:dyDescent="0.3"/>
    <row r="122" ht="21.9" customHeight="1" x14ac:dyDescent="0.3"/>
    <row r="123" ht="21.9" customHeight="1" x14ac:dyDescent="0.3"/>
    <row r="124" ht="21.9" customHeight="1" x14ac:dyDescent="0.3"/>
    <row r="125" ht="21.9" customHeight="1" x14ac:dyDescent="0.3"/>
    <row r="126" ht="21.9" customHeight="1" x14ac:dyDescent="0.3"/>
    <row r="127" ht="21.9" customHeight="1" x14ac:dyDescent="0.3"/>
    <row r="128" ht="21.9" customHeight="1" x14ac:dyDescent="0.3"/>
    <row r="129" ht="21.9" customHeight="1" x14ac:dyDescent="0.3"/>
    <row r="130" ht="21.9" customHeight="1" x14ac:dyDescent="0.3"/>
    <row r="131" ht="21.9" customHeight="1" x14ac:dyDescent="0.3"/>
    <row r="132" ht="21.9" customHeight="1" x14ac:dyDescent="0.3"/>
    <row r="133" ht="21.9" customHeight="1" x14ac:dyDescent="0.3"/>
    <row r="134" ht="21.9" customHeight="1" x14ac:dyDescent="0.3"/>
    <row r="135" ht="21.9" customHeight="1" x14ac:dyDescent="0.3"/>
    <row r="136" ht="21.9" customHeight="1" x14ac:dyDescent="0.3"/>
    <row r="137" ht="21.9" customHeight="1" x14ac:dyDescent="0.3"/>
    <row r="138" ht="21.9" customHeight="1" x14ac:dyDescent="0.3"/>
    <row r="139" ht="21.9" customHeight="1" x14ac:dyDescent="0.3"/>
    <row r="140" ht="21.9" customHeight="1" x14ac:dyDescent="0.3"/>
    <row r="141" ht="21.9" customHeight="1" x14ac:dyDescent="0.3"/>
    <row r="142" ht="21.9" customHeight="1" x14ac:dyDescent="0.3"/>
    <row r="143" ht="21.9" customHeight="1" x14ac:dyDescent="0.3"/>
    <row r="14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  <row r="251" ht="21.9" customHeight="1" x14ac:dyDescent="0.3"/>
    <row r="252" ht="21.9" customHeight="1" x14ac:dyDescent="0.3"/>
    <row r="253" ht="21.9" customHeight="1" x14ac:dyDescent="0.3"/>
    <row r="254" ht="21.9" customHeight="1" x14ac:dyDescent="0.3"/>
    <row r="255" ht="21.9" customHeight="1" x14ac:dyDescent="0.3"/>
    <row r="256" ht="21.9" customHeight="1" x14ac:dyDescent="0.3"/>
    <row r="257" ht="21.9" customHeight="1" x14ac:dyDescent="0.3"/>
    <row r="258" ht="21.9" customHeight="1" x14ac:dyDescent="0.3"/>
    <row r="259" ht="21.9" customHeight="1" x14ac:dyDescent="0.3"/>
    <row r="260" ht="21.9" customHeight="1" x14ac:dyDescent="0.3"/>
    <row r="261" ht="21.9" customHeight="1" x14ac:dyDescent="0.3"/>
    <row r="262" ht="21.9" customHeight="1" x14ac:dyDescent="0.3"/>
    <row r="263" ht="21.9" customHeight="1" x14ac:dyDescent="0.3"/>
    <row r="264" ht="21.9" customHeight="1" x14ac:dyDescent="0.3"/>
    <row r="265" ht="21.9" customHeight="1" x14ac:dyDescent="0.3"/>
    <row r="266" ht="21.9" customHeight="1" x14ac:dyDescent="0.3"/>
    <row r="267" ht="21.9" customHeight="1" x14ac:dyDescent="0.3"/>
    <row r="268" ht="21.9" customHeight="1" x14ac:dyDescent="0.3"/>
    <row r="269" ht="21.9" customHeight="1" x14ac:dyDescent="0.3"/>
    <row r="270" ht="21.9" customHeight="1" x14ac:dyDescent="0.3"/>
    <row r="271" ht="21.9" customHeight="1" x14ac:dyDescent="0.3"/>
    <row r="272" ht="21.9" customHeight="1" x14ac:dyDescent="0.3"/>
    <row r="273" ht="21.9" customHeight="1" x14ac:dyDescent="0.3"/>
    <row r="274" ht="21.9" customHeight="1" x14ac:dyDescent="0.3"/>
    <row r="275" ht="21.9" customHeight="1" x14ac:dyDescent="0.3"/>
    <row r="276" ht="21.9" customHeight="1" x14ac:dyDescent="0.3"/>
    <row r="277" ht="21.9" customHeight="1" x14ac:dyDescent="0.3"/>
    <row r="278" ht="21.9" customHeight="1" x14ac:dyDescent="0.3"/>
    <row r="279" ht="21.9" customHeight="1" x14ac:dyDescent="0.3"/>
    <row r="280" ht="21.9" customHeight="1" x14ac:dyDescent="0.3"/>
    <row r="281" ht="21.9" customHeight="1" x14ac:dyDescent="0.3"/>
    <row r="282" ht="21.9" customHeight="1" x14ac:dyDescent="0.3"/>
    <row r="283" ht="21.9" customHeight="1" x14ac:dyDescent="0.3"/>
    <row r="284" ht="21.9" customHeight="1" x14ac:dyDescent="0.3"/>
    <row r="285" ht="21.9" customHeight="1" x14ac:dyDescent="0.3"/>
    <row r="286" ht="21.9" customHeight="1" x14ac:dyDescent="0.3"/>
    <row r="287" ht="21.9" customHeight="1" x14ac:dyDescent="0.3"/>
    <row r="288" ht="21.9" customHeight="1" x14ac:dyDescent="0.3"/>
    <row r="289" ht="21.9" customHeight="1" x14ac:dyDescent="0.3"/>
    <row r="290" ht="21.9" customHeight="1" x14ac:dyDescent="0.3"/>
    <row r="291" ht="21.9" customHeight="1" x14ac:dyDescent="0.3"/>
    <row r="292" ht="21.9" customHeight="1" x14ac:dyDescent="0.3"/>
    <row r="293" ht="21.9" customHeight="1" x14ac:dyDescent="0.3"/>
    <row r="294" ht="21.9" customHeight="1" x14ac:dyDescent="0.3"/>
    <row r="295" ht="21.9" customHeight="1" x14ac:dyDescent="0.3"/>
    <row r="296" ht="21.9" customHeight="1" x14ac:dyDescent="0.3"/>
    <row r="297" ht="21.9" customHeight="1" x14ac:dyDescent="0.3"/>
    <row r="298" ht="21.9" customHeight="1" x14ac:dyDescent="0.3"/>
    <row r="299" ht="21.9" customHeight="1" x14ac:dyDescent="0.3"/>
    <row r="300" ht="21.9" customHeight="1" x14ac:dyDescent="0.3"/>
    <row r="301" ht="21.9" customHeight="1" x14ac:dyDescent="0.3"/>
    <row r="302" ht="21.9" customHeight="1" x14ac:dyDescent="0.3"/>
    <row r="303" ht="21.9" customHeight="1" x14ac:dyDescent="0.3"/>
    <row r="304" ht="21.9" customHeight="1" x14ac:dyDescent="0.3"/>
    <row r="305" ht="21.9" customHeight="1" x14ac:dyDescent="0.3"/>
    <row r="306" ht="21.9" customHeight="1" x14ac:dyDescent="0.3"/>
    <row r="307" ht="21.9" customHeight="1" x14ac:dyDescent="0.3"/>
    <row r="308" ht="21.9" customHeight="1" x14ac:dyDescent="0.3"/>
    <row r="309" ht="21.9" customHeight="1" x14ac:dyDescent="0.3"/>
    <row r="310" ht="21.9" customHeight="1" x14ac:dyDescent="0.3"/>
    <row r="311" ht="21.9" customHeight="1" x14ac:dyDescent="0.3"/>
    <row r="312" ht="21.9" customHeight="1" x14ac:dyDescent="0.3"/>
    <row r="313" ht="21.9" customHeight="1" x14ac:dyDescent="0.3"/>
    <row r="314" ht="21.9" customHeight="1" x14ac:dyDescent="0.3"/>
    <row r="315" ht="21.9" customHeight="1" x14ac:dyDescent="0.3"/>
    <row r="316" ht="21.9" customHeight="1" x14ac:dyDescent="0.3"/>
    <row r="317" ht="21.9" customHeight="1" x14ac:dyDescent="0.3"/>
    <row r="318" ht="21.9" customHeight="1" x14ac:dyDescent="0.3"/>
    <row r="319" ht="21.9" customHeight="1" x14ac:dyDescent="0.3"/>
    <row r="320" ht="21.9" customHeight="1" x14ac:dyDescent="0.3"/>
    <row r="321" ht="21.9" customHeight="1" x14ac:dyDescent="0.3"/>
    <row r="322" ht="21.9" customHeight="1" x14ac:dyDescent="0.3"/>
    <row r="323" ht="21.9" customHeight="1" x14ac:dyDescent="0.3"/>
    <row r="324" ht="21.9" customHeight="1" x14ac:dyDescent="0.3"/>
    <row r="325" ht="21.9" customHeight="1" x14ac:dyDescent="0.3"/>
    <row r="326" ht="21.9" customHeight="1" x14ac:dyDescent="0.3"/>
    <row r="327" ht="21.9" customHeight="1" x14ac:dyDescent="0.3"/>
    <row r="328" ht="21.9" customHeight="1" x14ac:dyDescent="0.3"/>
    <row r="329" ht="21.9" customHeight="1" x14ac:dyDescent="0.3"/>
    <row r="330" ht="21.9" customHeight="1" x14ac:dyDescent="0.3"/>
    <row r="331" ht="21.9" customHeight="1" x14ac:dyDescent="0.3"/>
    <row r="332" ht="21.9" customHeight="1" x14ac:dyDescent="0.3"/>
    <row r="333" ht="21.9" customHeight="1" x14ac:dyDescent="0.3"/>
    <row r="334" ht="21.9" customHeight="1" x14ac:dyDescent="0.3"/>
    <row r="335" ht="21.9" customHeight="1" x14ac:dyDescent="0.3"/>
    <row r="336" ht="21.9" customHeight="1" x14ac:dyDescent="0.3"/>
    <row r="337" ht="21.9" customHeight="1" x14ac:dyDescent="0.3"/>
    <row r="338" ht="21.9" customHeight="1" x14ac:dyDescent="0.3"/>
    <row r="339" ht="21.9" customHeight="1" x14ac:dyDescent="0.3"/>
    <row r="340" ht="21.9" customHeight="1" x14ac:dyDescent="0.3"/>
    <row r="341" ht="21.9" customHeight="1" x14ac:dyDescent="0.3"/>
    <row r="342" ht="21.9" customHeight="1" x14ac:dyDescent="0.3"/>
    <row r="343" ht="21.9" customHeight="1" x14ac:dyDescent="0.3"/>
    <row r="344" ht="21.9" customHeight="1" x14ac:dyDescent="0.3"/>
    <row r="345" ht="21.9" customHeight="1" x14ac:dyDescent="0.3"/>
    <row r="346" ht="21.9" customHeight="1" x14ac:dyDescent="0.3"/>
    <row r="347" ht="21.9" customHeight="1" x14ac:dyDescent="0.3"/>
    <row r="348" ht="21.9" customHeight="1" x14ac:dyDescent="0.3"/>
    <row r="349" ht="21.9" customHeight="1" x14ac:dyDescent="0.3"/>
    <row r="350" ht="21.9" customHeight="1" x14ac:dyDescent="0.3"/>
    <row r="351" ht="21.9" customHeight="1" x14ac:dyDescent="0.3"/>
    <row r="352" ht="21.9" customHeight="1" x14ac:dyDescent="0.3"/>
    <row r="353" ht="21.9" customHeight="1" x14ac:dyDescent="0.3"/>
    <row r="354" ht="21.9" customHeight="1" x14ac:dyDescent="0.3"/>
    <row r="355" ht="21.9" customHeight="1" x14ac:dyDescent="0.3"/>
    <row r="356" ht="21.9" customHeight="1" x14ac:dyDescent="0.3"/>
    <row r="357" ht="21.9" customHeight="1" x14ac:dyDescent="0.3"/>
    <row r="358" ht="21.9" customHeight="1" x14ac:dyDescent="0.3"/>
    <row r="359" ht="21.9" customHeight="1" x14ac:dyDescent="0.3"/>
    <row r="360" ht="21.9" customHeight="1" x14ac:dyDescent="0.3"/>
    <row r="361" ht="21.9" customHeight="1" x14ac:dyDescent="0.3"/>
    <row r="362" ht="21.9" customHeight="1" x14ac:dyDescent="0.3"/>
    <row r="363" ht="21.9" customHeight="1" x14ac:dyDescent="0.3"/>
    <row r="364" ht="21.9" customHeight="1" x14ac:dyDescent="0.3"/>
    <row r="365" ht="21.9" customHeight="1" x14ac:dyDescent="0.3"/>
    <row r="366" ht="21.9" customHeight="1" x14ac:dyDescent="0.3"/>
    <row r="367" ht="21.9" customHeight="1" x14ac:dyDescent="0.3"/>
    <row r="368" ht="21.9" customHeight="1" x14ac:dyDescent="0.3"/>
    <row r="369" ht="21.9" customHeight="1" x14ac:dyDescent="0.3"/>
    <row r="370" ht="21.9" customHeight="1" x14ac:dyDescent="0.3"/>
    <row r="371" ht="21.9" customHeight="1" x14ac:dyDescent="0.3"/>
    <row r="372" ht="21.9" customHeight="1" x14ac:dyDescent="0.3"/>
    <row r="373" ht="21.9" customHeight="1" x14ac:dyDescent="0.3"/>
    <row r="374" ht="21.9" customHeight="1" x14ac:dyDescent="0.3"/>
    <row r="375" ht="21.9" customHeight="1" x14ac:dyDescent="0.3"/>
    <row r="376" ht="21.9" customHeight="1" x14ac:dyDescent="0.3"/>
    <row r="377" ht="21.9" customHeight="1" x14ac:dyDescent="0.3"/>
    <row r="378" ht="21.9" customHeight="1" x14ac:dyDescent="0.3"/>
    <row r="379" ht="21.9" customHeight="1" x14ac:dyDescent="0.3"/>
    <row r="380" ht="21.9" customHeight="1" x14ac:dyDescent="0.3"/>
    <row r="381" ht="21.9" customHeight="1" x14ac:dyDescent="0.3"/>
    <row r="382" ht="21.9" customHeight="1" x14ac:dyDescent="0.3"/>
    <row r="383" ht="21.9" customHeight="1" x14ac:dyDescent="0.3"/>
    <row r="384" ht="21.9" customHeight="1" x14ac:dyDescent="0.3"/>
    <row r="385" ht="21.9" customHeight="1" x14ac:dyDescent="0.3"/>
    <row r="386" ht="21.9" customHeight="1" x14ac:dyDescent="0.3"/>
    <row r="387" ht="21.9" customHeight="1" x14ac:dyDescent="0.3"/>
    <row r="388" ht="21.9" customHeight="1" x14ac:dyDescent="0.3"/>
    <row r="389" ht="21.9" customHeight="1" x14ac:dyDescent="0.3"/>
    <row r="390" ht="21.9" customHeight="1" x14ac:dyDescent="0.3"/>
    <row r="391" ht="21.9" customHeight="1" x14ac:dyDescent="0.3"/>
    <row r="392" ht="21.9" customHeight="1" x14ac:dyDescent="0.3"/>
    <row r="393" ht="21.9" customHeight="1" x14ac:dyDescent="0.3"/>
    <row r="394" ht="21.9" customHeight="1" x14ac:dyDescent="0.3"/>
    <row r="395" ht="21.9" customHeight="1" x14ac:dyDescent="0.3"/>
    <row r="396" ht="21.9" customHeight="1" x14ac:dyDescent="0.3"/>
    <row r="397" ht="21.9" customHeight="1" x14ac:dyDescent="0.3"/>
    <row r="398" ht="21.9" customHeight="1" x14ac:dyDescent="0.3"/>
    <row r="399" ht="21.9" customHeight="1" x14ac:dyDescent="0.3"/>
    <row r="400" ht="21.9" customHeight="1" x14ac:dyDescent="0.3"/>
    <row r="401" ht="21.9" customHeight="1" x14ac:dyDescent="0.3"/>
    <row r="402" ht="21.9" customHeight="1" x14ac:dyDescent="0.3"/>
    <row r="403" ht="21.9" customHeight="1" x14ac:dyDescent="0.3"/>
    <row r="404" ht="21.9" customHeight="1" x14ac:dyDescent="0.3"/>
    <row r="405" ht="21.9" customHeight="1" x14ac:dyDescent="0.3"/>
    <row r="406" ht="21.9" customHeight="1" x14ac:dyDescent="0.3"/>
    <row r="407" ht="21.9" customHeight="1" x14ac:dyDescent="0.3"/>
    <row r="408" ht="21.9" customHeight="1" x14ac:dyDescent="0.3"/>
    <row r="409" ht="21.9" customHeight="1" x14ac:dyDescent="0.3"/>
    <row r="410" ht="21.9" customHeight="1" x14ac:dyDescent="0.3"/>
    <row r="411" ht="21.9" customHeight="1" x14ac:dyDescent="0.3"/>
    <row r="412" ht="21.9" customHeight="1" x14ac:dyDescent="0.3"/>
    <row r="413" ht="21.9" customHeight="1" x14ac:dyDescent="0.3"/>
    <row r="414" ht="21.9" customHeight="1" x14ac:dyDescent="0.3"/>
    <row r="415" ht="21.9" customHeight="1" x14ac:dyDescent="0.3"/>
    <row r="416" ht="21.9" customHeight="1" x14ac:dyDescent="0.3"/>
    <row r="417" ht="21.9" customHeight="1" x14ac:dyDescent="0.3"/>
    <row r="418" ht="21.9" customHeight="1" x14ac:dyDescent="0.3"/>
    <row r="419" ht="21.9" customHeight="1" x14ac:dyDescent="0.3"/>
    <row r="420" ht="21.9" customHeight="1" x14ac:dyDescent="0.3"/>
    <row r="421" ht="21.9" customHeight="1" x14ac:dyDescent="0.3"/>
    <row r="422" ht="21.9" customHeight="1" x14ac:dyDescent="0.3"/>
    <row r="423" ht="21.9" customHeight="1" x14ac:dyDescent="0.3"/>
    <row r="424" ht="21.9" customHeight="1" x14ac:dyDescent="0.3"/>
    <row r="425" ht="21.9" customHeight="1" x14ac:dyDescent="0.3"/>
    <row r="426" ht="21.9" customHeight="1" x14ac:dyDescent="0.3"/>
    <row r="427" ht="21.9" customHeight="1" x14ac:dyDescent="0.3"/>
    <row r="428" ht="21.9" customHeight="1" x14ac:dyDescent="0.3"/>
    <row r="429" ht="21.9" customHeight="1" x14ac:dyDescent="0.3"/>
    <row r="430" ht="21.9" customHeight="1" x14ac:dyDescent="0.3"/>
    <row r="431" ht="21.9" customHeight="1" x14ac:dyDescent="0.3"/>
    <row r="432" ht="21.9" customHeight="1" x14ac:dyDescent="0.3"/>
    <row r="433" ht="21.9" customHeight="1" x14ac:dyDescent="0.3"/>
    <row r="434" ht="21.9" customHeight="1" x14ac:dyDescent="0.3"/>
    <row r="435" ht="21.9" customHeight="1" x14ac:dyDescent="0.3"/>
    <row r="436" ht="21.9" customHeight="1" x14ac:dyDescent="0.3"/>
    <row r="437" ht="21.9" customHeight="1" x14ac:dyDescent="0.3"/>
    <row r="438" ht="21.9" customHeight="1" x14ac:dyDescent="0.3"/>
    <row r="439" ht="21.9" customHeight="1" x14ac:dyDescent="0.3"/>
    <row r="440" ht="21.9" customHeight="1" x14ac:dyDescent="0.3"/>
    <row r="441" ht="21.9" customHeight="1" x14ac:dyDescent="0.3"/>
    <row r="442" ht="21.9" customHeight="1" x14ac:dyDescent="0.3"/>
    <row r="443" ht="21.9" customHeight="1" x14ac:dyDescent="0.3"/>
    <row r="444" ht="21.9" customHeight="1" x14ac:dyDescent="0.3"/>
    <row r="445" ht="21.9" customHeight="1" x14ac:dyDescent="0.3"/>
    <row r="446" ht="21.9" customHeight="1" x14ac:dyDescent="0.3"/>
    <row r="447" ht="21.9" customHeight="1" x14ac:dyDescent="0.3"/>
    <row r="448" ht="21.9" customHeight="1" x14ac:dyDescent="0.3"/>
    <row r="449" ht="21.9" customHeight="1" x14ac:dyDescent="0.3"/>
    <row r="450" ht="21.9" customHeight="1" x14ac:dyDescent="0.3"/>
    <row r="451" ht="21.9" customHeight="1" x14ac:dyDescent="0.3"/>
    <row r="452" ht="21.9" customHeight="1" x14ac:dyDescent="0.3"/>
    <row r="453" ht="21.9" customHeight="1" x14ac:dyDescent="0.3"/>
    <row r="454" ht="21.9" customHeight="1" x14ac:dyDescent="0.3"/>
    <row r="455" ht="21.9" customHeight="1" x14ac:dyDescent="0.3"/>
    <row r="456" ht="21.9" customHeight="1" x14ac:dyDescent="0.3"/>
    <row r="457" ht="21.9" customHeight="1" x14ac:dyDescent="0.3"/>
    <row r="458" ht="21.9" customHeight="1" x14ac:dyDescent="0.3"/>
    <row r="459" ht="21.9" customHeight="1" x14ac:dyDescent="0.3"/>
    <row r="460" ht="21.9" customHeight="1" x14ac:dyDescent="0.3"/>
    <row r="461" ht="21.9" customHeight="1" x14ac:dyDescent="0.3"/>
    <row r="462" ht="21.9" customHeight="1" x14ac:dyDescent="0.3"/>
    <row r="463" ht="21.9" customHeight="1" x14ac:dyDescent="0.3"/>
    <row r="464" ht="21.9" customHeight="1" x14ac:dyDescent="0.3"/>
    <row r="465" ht="21.9" customHeight="1" x14ac:dyDescent="0.3"/>
    <row r="466" ht="21.9" customHeight="1" x14ac:dyDescent="0.3"/>
    <row r="467" ht="21.9" customHeight="1" x14ac:dyDescent="0.3"/>
    <row r="468" ht="21.9" customHeight="1" x14ac:dyDescent="0.3"/>
    <row r="469" ht="21.9" customHeight="1" x14ac:dyDescent="0.3"/>
    <row r="470" ht="21.9" customHeight="1" x14ac:dyDescent="0.3"/>
    <row r="471" ht="21.9" customHeight="1" x14ac:dyDescent="0.3"/>
    <row r="472" ht="21.9" customHeight="1" x14ac:dyDescent="0.3"/>
    <row r="473" ht="21.9" customHeight="1" x14ac:dyDescent="0.3"/>
    <row r="474" ht="21.9" customHeight="1" x14ac:dyDescent="0.3"/>
    <row r="475" ht="21.9" customHeight="1" x14ac:dyDescent="0.3"/>
    <row r="476" ht="21.9" customHeight="1" x14ac:dyDescent="0.3"/>
    <row r="477" ht="21.9" customHeight="1" x14ac:dyDescent="0.3"/>
    <row r="478" ht="21.9" customHeight="1" x14ac:dyDescent="0.3"/>
    <row r="479" ht="21.9" customHeight="1" x14ac:dyDescent="0.3"/>
    <row r="480" ht="21.9" customHeight="1" x14ac:dyDescent="0.3"/>
    <row r="481" ht="21.9" customHeight="1" x14ac:dyDescent="0.3"/>
    <row r="482" ht="21.9" customHeight="1" x14ac:dyDescent="0.3"/>
    <row r="483" ht="21.9" customHeight="1" x14ac:dyDescent="0.3"/>
    <row r="484" ht="21.9" customHeight="1" x14ac:dyDescent="0.3"/>
    <row r="485" ht="21.9" customHeight="1" x14ac:dyDescent="0.3"/>
    <row r="486" ht="21.9" customHeight="1" x14ac:dyDescent="0.3"/>
    <row r="487" ht="21.9" customHeight="1" x14ac:dyDescent="0.3"/>
    <row r="488" ht="21.9" customHeight="1" x14ac:dyDescent="0.3"/>
    <row r="489" ht="21.9" customHeight="1" x14ac:dyDescent="0.3"/>
    <row r="490" ht="21.9" customHeight="1" x14ac:dyDescent="0.3"/>
    <row r="491" ht="21.9" customHeight="1" x14ac:dyDescent="0.3"/>
    <row r="492" ht="21.9" customHeight="1" x14ac:dyDescent="0.3"/>
    <row r="493" ht="21.9" customHeight="1" x14ac:dyDescent="0.3"/>
    <row r="494" ht="21.9" customHeight="1" x14ac:dyDescent="0.3"/>
    <row r="495" ht="21.9" customHeight="1" x14ac:dyDescent="0.3"/>
    <row r="496" ht="21.9" customHeight="1" x14ac:dyDescent="0.3"/>
    <row r="497" ht="21.9" customHeight="1" x14ac:dyDescent="0.3"/>
    <row r="498" ht="21.9" customHeight="1" x14ac:dyDescent="0.3"/>
    <row r="499" ht="21.9" customHeight="1" x14ac:dyDescent="0.3"/>
    <row r="500" ht="21.9" customHeight="1" x14ac:dyDescent="0.3"/>
    <row r="501" ht="21.9" customHeight="1" x14ac:dyDescent="0.3"/>
    <row r="502" ht="21.9" customHeight="1" x14ac:dyDescent="0.3"/>
    <row r="503" ht="21.9" customHeight="1" x14ac:dyDescent="0.3"/>
    <row r="504" ht="21.9" customHeight="1" x14ac:dyDescent="0.3"/>
    <row r="505" ht="21.9" customHeight="1" x14ac:dyDescent="0.3"/>
    <row r="506" ht="21.9" customHeight="1" x14ac:dyDescent="0.3"/>
    <row r="507" ht="21.9" customHeight="1" x14ac:dyDescent="0.3"/>
    <row r="508" ht="21.9" customHeight="1" x14ac:dyDescent="0.3"/>
    <row r="509" ht="21.9" customHeight="1" x14ac:dyDescent="0.3"/>
    <row r="510" ht="21.9" customHeight="1" x14ac:dyDescent="0.3"/>
    <row r="511" ht="21.9" customHeight="1" x14ac:dyDescent="0.3"/>
    <row r="512" ht="21.9" customHeight="1" x14ac:dyDescent="0.3"/>
    <row r="513" ht="21.9" customHeight="1" x14ac:dyDescent="0.3"/>
    <row r="514" ht="21.9" customHeight="1" x14ac:dyDescent="0.3"/>
    <row r="515" ht="21.9" customHeight="1" x14ac:dyDescent="0.3"/>
    <row r="516" ht="21.9" customHeight="1" x14ac:dyDescent="0.3"/>
    <row r="517" ht="21.9" customHeight="1" x14ac:dyDescent="0.3"/>
    <row r="518" ht="21.9" customHeight="1" x14ac:dyDescent="0.3"/>
    <row r="519" ht="21.9" customHeight="1" x14ac:dyDescent="0.3"/>
    <row r="520" ht="21.9" customHeight="1" x14ac:dyDescent="0.3"/>
    <row r="521" ht="21.9" customHeight="1" x14ac:dyDescent="0.3"/>
    <row r="522" ht="21.9" customHeight="1" x14ac:dyDescent="0.3"/>
    <row r="523" ht="21.9" customHeight="1" x14ac:dyDescent="0.3"/>
    <row r="524" ht="21.9" customHeight="1" x14ac:dyDescent="0.3"/>
    <row r="525" ht="21.9" customHeight="1" x14ac:dyDescent="0.3"/>
    <row r="526" ht="21.9" customHeight="1" x14ac:dyDescent="0.3"/>
    <row r="527" ht="21.9" customHeight="1" x14ac:dyDescent="0.3"/>
    <row r="528" ht="21.9" customHeight="1" x14ac:dyDescent="0.3"/>
    <row r="529" ht="21.9" customHeight="1" x14ac:dyDescent="0.3"/>
    <row r="530" ht="21.9" customHeight="1" x14ac:dyDescent="0.3"/>
    <row r="531" ht="21.9" customHeight="1" x14ac:dyDescent="0.3"/>
    <row r="532" ht="21.9" customHeight="1" x14ac:dyDescent="0.3"/>
    <row r="533" ht="21.9" customHeight="1" x14ac:dyDescent="0.3"/>
    <row r="534" ht="21.9" customHeight="1" x14ac:dyDescent="0.3"/>
    <row r="535" ht="21.9" customHeight="1" x14ac:dyDescent="0.3"/>
    <row r="536" ht="21.9" customHeight="1" x14ac:dyDescent="0.3"/>
    <row r="537" ht="21.9" customHeight="1" x14ac:dyDescent="0.3"/>
    <row r="538" ht="21.9" customHeight="1" x14ac:dyDescent="0.3"/>
    <row r="539" ht="21.9" customHeight="1" x14ac:dyDescent="0.3"/>
    <row r="540" ht="21.9" customHeight="1" x14ac:dyDescent="0.3"/>
    <row r="541" ht="21.9" customHeight="1" x14ac:dyDescent="0.3"/>
    <row r="542" ht="21.9" customHeight="1" x14ac:dyDescent="0.3"/>
    <row r="543" ht="21.9" customHeight="1" x14ac:dyDescent="0.3"/>
    <row r="544" ht="21.9" customHeight="1" x14ac:dyDescent="0.3"/>
    <row r="545" ht="21.9" customHeight="1" x14ac:dyDescent="0.3"/>
    <row r="546" ht="21.9" customHeight="1" x14ac:dyDescent="0.3"/>
    <row r="547" ht="21.9" customHeight="1" x14ac:dyDescent="0.3"/>
    <row r="548" ht="21.9" customHeight="1" x14ac:dyDescent="0.3"/>
    <row r="549" ht="21.9" customHeight="1" x14ac:dyDescent="0.3"/>
    <row r="550" ht="21.9" customHeight="1" x14ac:dyDescent="0.3"/>
    <row r="551" ht="21.9" customHeight="1" x14ac:dyDescent="0.3"/>
    <row r="552" ht="21.9" customHeight="1" x14ac:dyDescent="0.3"/>
    <row r="553" ht="21.9" customHeight="1" x14ac:dyDescent="0.3"/>
    <row r="554" ht="21.9" customHeight="1" x14ac:dyDescent="0.3"/>
    <row r="555" ht="21.9" customHeight="1" x14ac:dyDescent="0.3"/>
    <row r="556" ht="21.9" customHeight="1" x14ac:dyDescent="0.3"/>
    <row r="557" ht="21.9" customHeight="1" x14ac:dyDescent="0.3"/>
    <row r="558" ht="21.9" customHeight="1" x14ac:dyDescent="0.3"/>
    <row r="559" ht="21.9" customHeight="1" x14ac:dyDescent="0.3"/>
    <row r="560" ht="21.9" customHeight="1" x14ac:dyDescent="0.3"/>
    <row r="561" ht="21.9" customHeight="1" x14ac:dyDescent="0.3"/>
    <row r="562" ht="21.9" customHeight="1" x14ac:dyDescent="0.3"/>
    <row r="563" ht="21.9" customHeight="1" x14ac:dyDescent="0.3"/>
    <row r="564" ht="21.9" customHeight="1" x14ac:dyDescent="0.3"/>
    <row r="565" ht="21.9" customHeight="1" x14ac:dyDescent="0.3"/>
    <row r="566" ht="21.9" customHeight="1" x14ac:dyDescent="0.3"/>
    <row r="567" ht="21.9" customHeight="1" x14ac:dyDescent="0.3"/>
    <row r="568" ht="21.9" customHeight="1" x14ac:dyDescent="0.3"/>
    <row r="569" ht="21.9" customHeight="1" x14ac:dyDescent="0.3"/>
    <row r="570" ht="21.9" customHeight="1" x14ac:dyDescent="0.3"/>
    <row r="571" ht="21.9" customHeight="1" x14ac:dyDescent="0.3"/>
    <row r="572" ht="21.9" customHeight="1" x14ac:dyDescent="0.3"/>
    <row r="573" ht="21.9" customHeight="1" x14ac:dyDescent="0.3"/>
    <row r="574" ht="21.9" customHeight="1" x14ac:dyDescent="0.3"/>
    <row r="575" ht="21.9" customHeight="1" x14ac:dyDescent="0.3"/>
    <row r="576" ht="21.9" customHeight="1" x14ac:dyDescent="0.3"/>
    <row r="577" ht="21.9" customHeight="1" x14ac:dyDescent="0.3"/>
    <row r="578" ht="21.9" customHeight="1" x14ac:dyDescent="0.3"/>
    <row r="579" ht="21.9" customHeight="1" x14ac:dyDescent="0.3"/>
    <row r="580" ht="21.9" customHeight="1" x14ac:dyDescent="0.3"/>
    <row r="581" ht="21.9" customHeight="1" x14ac:dyDescent="0.3"/>
    <row r="582" ht="21.9" customHeight="1" x14ac:dyDescent="0.3"/>
    <row r="583" ht="21.9" customHeight="1" x14ac:dyDescent="0.3"/>
    <row r="584" ht="21.9" customHeight="1" x14ac:dyDescent="0.3"/>
    <row r="585" ht="21.9" customHeight="1" x14ac:dyDescent="0.3"/>
    <row r="586" ht="21.9" customHeight="1" x14ac:dyDescent="0.3"/>
    <row r="587" ht="21.9" customHeight="1" x14ac:dyDescent="0.3"/>
    <row r="588" ht="21.9" customHeight="1" x14ac:dyDescent="0.3"/>
    <row r="589" ht="21.9" customHeight="1" x14ac:dyDescent="0.3"/>
    <row r="590" ht="21.9" customHeight="1" x14ac:dyDescent="0.3"/>
    <row r="591" ht="21.9" customHeight="1" x14ac:dyDescent="0.3"/>
    <row r="592" ht="21.9" customHeight="1" x14ac:dyDescent="0.3"/>
    <row r="593" ht="21.9" customHeight="1" x14ac:dyDescent="0.3"/>
    <row r="594" ht="21.9" customHeight="1" x14ac:dyDescent="0.3"/>
    <row r="595" ht="21.9" customHeight="1" x14ac:dyDescent="0.3"/>
    <row r="596" ht="21.9" customHeight="1" x14ac:dyDescent="0.3"/>
    <row r="597" ht="21.9" customHeight="1" x14ac:dyDescent="0.3"/>
    <row r="598" ht="21.9" customHeight="1" x14ac:dyDescent="0.3"/>
    <row r="599" ht="21.9" customHeight="1" x14ac:dyDescent="0.3"/>
    <row r="600" ht="21.9" customHeight="1" x14ac:dyDescent="0.3"/>
    <row r="601" ht="21.9" customHeight="1" x14ac:dyDescent="0.3"/>
    <row r="602" ht="21.9" customHeight="1" x14ac:dyDescent="0.3"/>
    <row r="603" ht="21.9" customHeight="1" x14ac:dyDescent="0.3"/>
    <row r="604" ht="21.9" customHeight="1" x14ac:dyDescent="0.3"/>
    <row r="605" ht="21.9" customHeight="1" x14ac:dyDescent="0.3"/>
    <row r="606" ht="21.9" customHeight="1" x14ac:dyDescent="0.3"/>
    <row r="607" ht="21.9" customHeight="1" x14ac:dyDescent="0.3"/>
    <row r="608" ht="21.9" customHeight="1" x14ac:dyDescent="0.3"/>
    <row r="609" ht="21.9" customHeight="1" x14ac:dyDescent="0.3"/>
    <row r="610" ht="21.9" customHeight="1" x14ac:dyDescent="0.3"/>
    <row r="611" ht="21.9" customHeight="1" x14ac:dyDescent="0.3"/>
    <row r="612" ht="21.9" customHeight="1" x14ac:dyDescent="0.3"/>
    <row r="613" ht="21.9" customHeight="1" x14ac:dyDescent="0.3"/>
    <row r="614" ht="21.9" customHeight="1" x14ac:dyDescent="0.3"/>
    <row r="615" ht="21.9" customHeight="1" x14ac:dyDescent="0.3"/>
    <row r="616" ht="21.9" customHeight="1" x14ac:dyDescent="0.3"/>
    <row r="617" ht="21.9" customHeight="1" x14ac:dyDescent="0.3"/>
    <row r="618" ht="21.9" customHeight="1" x14ac:dyDescent="0.3"/>
    <row r="619" ht="21.9" customHeight="1" x14ac:dyDescent="0.3"/>
    <row r="620" ht="21.9" customHeight="1" x14ac:dyDescent="0.3"/>
    <row r="621" ht="21.9" customHeight="1" x14ac:dyDescent="0.3"/>
    <row r="622" ht="21.9" customHeight="1" x14ac:dyDescent="0.3"/>
    <row r="623" ht="21.9" customHeight="1" x14ac:dyDescent="0.3"/>
    <row r="624" ht="21.9" customHeight="1" x14ac:dyDescent="0.3"/>
    <row r="625" ht="21.9" customHeight="1" x14ac:dyDescent="0.3"/>
    <row r="626" ht="21.9" customHeight="1" x14ac:dyDescent="0.3"/>
    <row r="627" ht="21.9" customHeight="1" x14ac:dyDescent="0.3"/>
    <row r="628" ht="21.9" customHeight="1" x14ac:dyDescent="0.3"/>
    <row r="629" ht="21.9" customHeight="1" x14ac:dyDescent="0.3"/>
    <row r="630" ht="21.9" customHeight="1" x14ac:dyDescent="0.3"/>
    <row r="631" ht="21.9" customHeight="1" x14ac:dyDescent="0.3"/>
    <row r="632" ht="21.9" customHeight="1" x14ac:dyDescent="0.3"/>
    <row r="633" ht="21.9" customHeight="1" x14ac:dyDescent="0.3"/>
    <row r="634" ht="21.9" customHeight="1" x14ac:dyDescent="0.3"/>
    <row r="635" ht="21.9" customHeight="1" x14ac:dyDescent="0.3"/>
    <row r="636" ht="21.9" customHeight="1" x14ac:dyDescent="0.3"/>
    <row r="637" ht="21.9" customHeight="1" x14ac:dyDescent="0.3"/>
    <row r="638" ht="21.9" customHeight="1" x14ac:dyDescent="0.3"/>
    <row r="639" ht="21.9" customHeight="1" x14ac:dyDescent="0.3"/>
    <row r="640" ht="21.9" customHeight="1" x14ac:dyDescent="0.3"/>
    <row r="641" ht="21.9" customHeight="1" x14ac:dyDescent="0.3"/>
    <row r="642" ht="21.9" customHeight="1" x14ac:dyDescent="0.3"/>
    <row r="643" ht="21.9" customHeight="1" x14ac:dyDescent="0.3"/>
    <row r="644" ht="21.9" customHeight="1" x14ac:dyDescent="0.3"/>
    <row r="645" ht="21.9" customHeight="1" x14ac:dyDescent="0.3"/>
    <row r="646" ht="21.9" customHeight="1" x14ac:dyDescent="0.3"/>
    <row r="647" ht="21.9" customHeight="1" x14ac:dyDescent="0.3"/>
    <row r="648" ht="21.9" customHeight="1" x14ac:dyDescent="0.3"/>
    <row r="649" ht="21.9" customHeight="1" x14ac:dyDescent="0.3"/>
    <row r="650" ht="21.9" customHeight="1" x14ac:dyDescent="0.3"/>
    <row r="651" ht="21.9" customHeight="1" x14ac:dyDescent="0.3"/>
    <row r="652" ht="21.9" customHeight="1" x14ac:dyDescent="0.3"/>
    <row r="653" ht="21.9" customHeight="1" x14ac:dyDescent="0.3"/>
    <row r="654" ht="21.9" customHeight="1" x14ac:dyDescent="0.3"/>
    <row r="655" ht="21.9" customHeight="1" x14ac:dyDescent="0.3"/>
    <row r="656" ht="21.9" customHeight="1" x14ac:dyDescent="0.3"/>
    <row r="657" ht="21.9" customHeight="1" x14ac:dyDescent="0.3"/>
    <row r="658" ht="21.9" customHeight="1" x14ac:dyDescent="0.3"/>
    <row r="659" ht="21.9" customHeight="1" x14ac:dyDescent="0.3"/>
    <row r="660" ht="21.9" customHeight="1" x14ac:dyDescent="0.3"/>
    <row r="661" ht="21.9" customHeight="1" x14ac:dyDescent="0.3"/>
    <row r="662" ht="21.9" customHeight="1" x14ac:dyDescent="0.3"/>
    <row r="663" ht="21.9" customHeight="1" x14ac:dyDescent="0.3"/>
    <row r="664" ht="21.9" customHeight="1" x14ac:dyDescent="0.3"/>
    <row r="665" ht="21.9" customHeight="1" x14ac:dyDescent="0.3"/>
    <row r="666" ht="21.9" customHeight="1" x14ac:dyDescent="0.3"/>
    <row r="667" ht="21.9" customHeight="1" x14ac:dyDescent="0.3"/>
    <row r="668" ht="21.9" customHeight="1" x14ac:dyDescent="0.3"/>
    <row r="669" ht="21.9" customHeight="1" x14ac:dyDescent="0.3"/>
    <row r="670" ht="21.9" customHeight="1" x14ac:dyDescent="0.3"/>
    <row r="671" ht="21.9" customHeight="1" x14ac:dyDescent="0.3"/>
    <row r="672" ht="21.9" customHeight="1" x14ac:dyDescent="0.3"/>
    <row r="673" ht="21.9" customHeight="1" x14ac:dyDescent="0.3"/>
    <row r="674" ht="21.9" customHeight="1" x14ac:dyDescent="0.3"/>
    <row r="675" ht="21.9" customHeight="1" x14ac:dyDescent="0.3"/>
    <row r="676" ht="21.9" customHeight="1" x14ac:dyDescent="0.3"/>
    <row r="677" ht="21.9" customHeight="1" x14ac:dyDescent="0.3"/>
    <row r="678" ht="21.9" customHeight="1" x14ac:dyDescent="0.3"/>
    <row r="679" ht="21.9" customHeight="1" x14ac:dyDescent="0.3"/>
    <row r="680" ht="21.9" customHeight="1" x14ac:dyDescent="0.3"/>
    <row r="681" ht="21.9" customHeight="1" x14ac:dyDescent="0.3"/>
    <row r="682" ht="21.9" customHeight="1" x14ac:dyDescent="0.3"/>
    <row r="683" ht="21.9" customHeight="1" x14ac:dyDescent="0.3"/>
    <row r="684" ht="21.9" customHeight="1" x14ac:dyDescent="0.3"/>
    <row r="685" ht="21.9" customHeight="1" x14ac:dyDescent="0.3"/>
    <row r="686" ht="21.9" customHeight="1" x14ac:dyDescent="0.3"/>
    <row r="687" ht="21.9" customHeight="1" x14ac:dyDescent="0.3"/>
    <row r="688" ht="21.9" customHeight="1" x14ac:dyDescent="0.3"/>
    <row r="689" ht="21.9" customHeight="1" x14ac:dyDescent="0.3"/>
    <row r="690" ht="21.9" customHeight="1" x14ac:dyDescent="0.3"/>
    <row r="691" ht="21.9" customHeight="1" x14ac:dyDescent="0.3"/>
    <row r="692" ht="21.9" customHeight="1" x14ac:dyDescent="0.3"/>
    <row r="693" ht="21.9" customHeight="1" x14ac:dyDescent="0.3"/>
    <row r="694" ht="21.9" customHeight="1" x14ac:dyDescent="0.3"/>
    <row r="695" ht="21.9" customHeight="1" x14ac:dyDescent="0.3"/>
    <row r="696" ht="21.9" customHeight="1" x14ac:dyDescent="0.3"/>
    <row r="697" ht="21.9" customHeight="1" x14ac:dyDescent="0.3"/>
    <row r="698" ht="21.9" customHeight="1" x14ac:dyDescent="0.3"/>
    <row r="699" ht="21.9" customHeight="1" x14ac:dyDescent="0.3"/>
    <row r="700" ht="21.9" customHeight="1" x14ac:dyDescent="0.3"/>
    <row r="701" ht="21.9" customHeight="1" x14ac:dyDescent="0.3"/>
    <row r="702" ht="21.9" customHeight="1" x14ac:dyDescent="0.3"/>
    <row r="703" ht="21.9" customHeight="1" x14ac:dyDescent="0.3"/>
    <row r="704" ht="21.9" customHeight="1" x14ac:dyDescent="0.3"/>
    <row r="705" ht="21.9" customHeight="1" x14ac:dyDescent="0.3"/>
    <row r="706" ht="21.9" customHeight="1" x14ac:dyDescent="0.3"/>
    <row r="707" ht="21.9" customHeight="1" x14ac:dyDescent="0.3"/>
    <row r="708" ht="21.9" customHeight="1" x14ac:dyDescent="0.3"/>
    <row r="709" ht="21.9" customHeight="1" x14ac:dyDescent="0.3"/>
    <row r="710" ht="21.9" customHeight="1" x14ac:dyDescent="0.3"/>
    <row r="711" ht="21.9" customHeight="1" x14ac:dyDescent="0.3"/>
    <row r="712" ht="21.9" customHeight="1" x14ac:dyDescent="0.3"/>
    <row r="713" ht="21.9" customHeight="1" x14ac:dyDescent="0.3"/>
    <row r="714" ht="21.9" customHeight="1" x14ac:dyDescent="0.3"/>
    <row r="715" ht="21.9" customHeight="1" x14ac:dyDescent="0.3"/>
    <row r="716" ht="21.9" customHeight="1" x14ac:dyDescent="0.3"/>
    <row r="717" ht="21.9" customHeight="1" x14ac:dyDescent="0.3"/>
    <row r="718" ht="21.9" customHeight="1" x14ac:dyDescent="0.3"/>
    <row r="719" ht="21.9" customHeight="1" x14ac:dyDescent="0.3"/>
    <row r="720" ht="21.9" customHeight="1" x14ac:dyDescent="0.3"/>
    <row r="721" ht="21.9" customHeight="1" x14ac:dyDescent="0.3"/>
    <row r="722" ht="21.9" customHeight="1" x14ac:dyDescent="0.3"/>
    <row r="723" ht="21.9" customHeight="1" x14ac:dyDescent="0.3"/>
    <row r="724" ht="21.9" customHeight="1" x14ac:dyDescent="0.3"/>
    <row r="725" ht="21.9" customHeight="1" x14ac:dyDescent="0.3"/>
    <row r="726" ht="21.9" customHeight="1" x14ac:dyDescent="0.3"/>
    <row r="727" ht="21.9" customHeight="1" x14ac:dyDescent="0.3"/>
    <row r="728" ht="21.9" customHeight="1" x14ac:dyDescent="0.3"/>
    <row r="729" ht="21.9" customHeight="1" x14ac:dyDescent="0.3"/>
    <row r="730" ht="21.9" customHeight="1" x14ac:dyDescent="0.3"/>
    <row r="731" ht="21.9" customHeight="1" x14ac:dyDescent="0.3"/>
    <row r="732" ht="21.9" customHeight="1" x14ac:dyDescent="0.3"/>
    <row r="733" ht="21.9" customHeight="1" x14ac:dyDescent="0.3"/>
    <row r="734" ht="21.9" customHeight="1" x14ac:dyDescent="0.3"/>
    <row r="735" ht="21.9" customHeight="1" x14ac:dyDescent="0.3"/>
    <row r="736" ht="21.9" customHeight="1" x14ac:dyDescent="0.3"/>
    <row r="737" ht="21.9" customHeight="1" x14ac:dyDescent="0.3"/>
    <row r="738" ht="21.9" customHeight="1" x14ac:dyDescent="0.3"/>
    <row r="739" ht="21.9" customHeight="1" x14ac:dyDescent="0.3"/>
    <row r="740" ht="21.9" customHeight="1" x14ac:dyDescent="0.3"/>
    <row r="741" ht="21.9" customHeight="1" x14ac:dyDescent="0.3"/>
    <row r="742" ht="21.9" customHeight="1" x14ac:dyDescent="0.3"/>
    <row r="743" ht="21.9" customHeight="1" x14ac:dyDescent="0.3"/>
    <row r="744" ht="21.9" customHeight="1" x14ac:dyDescent="0.3"/>
    <row r="745" ht="21.9" customHeight="1" x14ac:dyDescent="0.3"/>
    <row r="746" ht="21.9" customHeight="1" x14ac:dyDescent="0.3"/>
    <row r="747" ht="21.9" customHeight="1" x14ac:dyDescent="0.3"/>
    <row r="748" ht="21.9" customHeight="1" x14ac:dyDescent="0.3"/>
    <row r="749" ht="21.9" customHeight="1" x14ac:dyDescent="0.3"/>
    <row r="750" ht="21.9" customHeight="1" x14ac:dyDescent="0.3"/>
    <row r="751" ht="21.9" customHeight="1" x14ac:dyDescent="0.3"/>
    <row r="752" ht="21.9" customHeight="1" x14ac:dyDescent="0.3"/>
    <row r="753" ht="21.9" customHeight="1" x14ac:dyDescent="0.3"/>
    <row r="754" ht="21.9" customHeight="1" x14ac:dyDescent="0.3"/>
    <row r="755" ht="21.9" customHeight="1" x14ac:dyDescent="0.3"/>
    <row r="756" ht="21.9" customHeight="1" x14ac:dyDescent="0.3"/>
    <row r="757" ht="21.9" customHeight="1" x14ac:dyDescent="0.3"/>
    <row r="758" ht="21.9" customHeight="1" x14ac:dyDescent="0.3"/>
    <row r="759" ht="21.9" customHeight="1" x14ac:dyDescent="0.3"/>
    <row r="760" ht="21.9" customHeight="1" x14ac:dyDescent="0.3"/>
    <row r="761" ht="21.9" customHeight="1" x14ac:dyDescent="0.3"/>
    <row r="762" ht="21.9" customHeight="1" x14ac:dyDescent="0.3"/>
    <row r="763" ht="21.9" customHeight="1" x14ac:dyDescent="0.3"/>
    <row r="764" ht="21.9" customHeight="1" x14ac:dyDescent="0.3"/>
    <row r="765" ht="21.9" customHeight="1" x14ac:dyDescent="0.3"/>
    <row r="766" ht="21.9" customHeight="1" x14ac:dyDescent="0.3"/>
    <row r="767" ht="21.9" customHeight="1" x14ac:dyDescent="0.3"/>
    <row r="768" ht="21.9" customHeight="1" x14ac:dyDescent="0.3"/>
    <row r="769" ht="21.9" customHeight="1" x14ac:dyDescent="0.3"/>
    <row r="770" ht="21.9" customHeight="1" x14ac:dyDescent="0.3"/>
    <row r="771" ht="21.9" customHeight="1" x14ac:dyDescent="0.3"/>
    <row r="772" ht="21.9" customHeight="1" x14ac:dyDescent="0.3"/>
    <row r="773" ht="21.9" customHeight="1" x14ac:dyDescent="0.3"/>
    <row r="774" ht="21.9" customHeight="1" x14ac:dyDescent="0.3"/>
    <row r="775" ht="21.9" customHeight="1" x14ac:dyDescent="0.3"/>
    <row r="776" ht="21.9" customHeight="1" x14ac:dyDescent="0.3"/>
    <row r="777" ht="21.9" customHeight="1" x14ac:dyDescent="0.3"/>
    <row r="778" ht="21.9" customHeight="1" x14ac:dyDescent="0.3"/>
    <row r="779" ht="21.9" customHeight="1" x14ac:dyDescent="0.3"/>
    <row r="780" ht="21.9" customHeight="1" x14ac:dyDescent="0.3"/>
    <row r="781" ht="21.9" customHeight="1" x14ac:dyDescent="0.3"/>
    <row r="782" ht="21.9" customHeight="1" x14ac:dyDescent="0.3"/>
    <row r="783" ht="21.9" customHeight="1" x14ac:dyDescent="0.3"/>
    <row r="784" ht="21.9" customHeight="1" x14ac:dyDescent="0.3"/>
    <row r="785" ht="21.9" customHeight="1" x14ac:dyDescent="0.3"/>
    <row r="786" ht="21.9" customHeight="1" x14ac:dyDescent="0.3"/>
    <row r="787" ht="21.9" customHeight="1" x14ac:dyDescent="0.3"/>
    <row r="788" ht="21.9" customHeight="1" x14ac:dyDescent="0.3"/>
    <row r="789" ht="21.9" customHeight="1" x14ac:dyDescent="0.3"/>
    <row r="790" ht="21.9" customHeight="1" x14ac:dyDescent="0.3"/>
    <row r="791" ht="21.9" customHeight="1" x14ac:dyDescent="0.3"/>
    <row r="792" ht="21.9" customHeight="1" x14ac:dyDescent="0.3"/>
    <row r="793" ht="21.9" customHeight="1" x14ac:dyDescent="0.3"/>
    <row r="794" ht="21.9" customHeight="1" x14ac:dyDescent="0.3"/>
    <row r="795" ht="21.9" customHeight="1" x14ac:dyDescent="0.3"/>
    <row r="796" ht="21.9" customHeight="1" x14ac:dyDescent="0.3"/>
    <row r="797" ht="21.9" customHeight="1" x14ac:dyDescent="0.3"/>
    <row r="798" ht="21.9" customHeight="1" x14ac:dyDescent="0.3"/>
    <row r="799" ht="21.9" customHeight="1" x14ac:dyDescent="0.3"/>
    <row r="800" ht="21.9" customHeight="1" x14ac:dyDescent="0.3"/>
    <row r="801" ht="21.9" customHeight="1" x14ac:dyDescent="0.3"/>
    <row r="802" ht="21.9" customHeight="1" x14ac:dyDescent="0.3"/>
    <row r="803" ht="21.9" customHeight="1" x14ac:dyDescent="0.3"/>
    <row r="804" ht="21.9" customHeight="1" x14ac:dyDescent="0.3"/>
    <row r="805" ht="21.9" customHeight="1" x14ac:dyDescent="0.3"/>
    <row r="806" ht="21.9" customHeight="1" x14ac:dyDescent="0.3"/>
    <row r="807" ht="21.9" customHeight="1" x14ac:dyDescent="0.3"/>
    <row r="808" ht="21.9" customHeight="1" x14ac:dyDescent="0.3"/>
    <row r="809" ht="21.9" customHeight="1" x14ac:dyDescent="0.3"/>
    <row r="810" ht="21.9" customHeight="1" x14ac:dyDescent="0.3"/>
    <row r="811" ht="21.9" customHeight="1" x14ac:dyDescent="0.3"/>
    <row r="812" ht="21.9" customHeight="1" x14ac:dyDescent="0.3"/>
    <row r="813" ht="21.9" customHeight="1" x14ac:dyDescent="0.3"/>
    <row r="814" ht="21.9" customHeight="1" x14ac:dyDescent="0.3"/>
    <row r="815" ht="21.9" customHeight="1" x14ac:dyDescent="0.3"/>
    <row r="816" ht="21.9" customHeight="1" x14ac:dyDescent="0.3"/>
    <row r="817" ht="21.9" customHeight="1" x14ac:dyDescent="0.3"/>
    <row r="818" ht="21.9" customHeight="1" x14ac:dyDescent="0.3"/>
    <row r="819" ht="21.9" customHeight="1" x14ac:dyDescent="0.3"/>
    <row r="820" ht="21.9" customHeight="1" x14ac:dyDescent="0.3"/>
    <row r="821" ht="21.9" customHeight="1" x14ac:dyDescent="0.3"/>
    <row r="822" ht="21.9" customHeight="1" x14ac:dyDescent="0.3"/>
    <row r="823" ht="21.9" customHeight="1" x14ac:dyDescent="0.3"/>
    <row r="824" ht="21.9" customHeight="1" x14ac:dyDescent="0.3"/>
    <row r="825" ht="21.9" customHeight="1" x14ac:dyDescent="0.3"/>
    <row r="826" ht="21.9" customHeight="1" x14ac:dyDescent="0.3"/>
    <row r="827" ht="21.9" customHeight="1" x14ac:dyDescent="0.3"/>
    <row r="828" ht="21.9" customHeight="1" x14ac:dyDescent="0.3"/>
    <row r="829" ht="21.9" customHeight="1" x14ac:dyDescent="0.3"/>
    <row r="830" ht="21.9" customHeight="1" x14ac:dyDescent="0.3"/>
    <row r="831" ht="21.9" customHeight="1" x14ac:dyDescent="0.3"/>
    <row r="832" ht="21.9" customHeight="1" x14ac:dyDescent="0.3"/>
    <row r="833" ht="21.9" customHeight="1" x14ac:dyDescent="0.3"/>
    <row r="834" ht="21.9" customHeight="1" x14ac:dyDescent="0.3"/>
    <row r="835" ht="21.9" customHeight="1" x14ac:dyDescent="0.3"/>
    <row r="836" ht="21.9" customHeight="1" x14ac:dyDescent="0.3"/>
    <row r="837" ht="21.9" customHeight="1" x14ac:dyDescent="0.3"/>
    <row r="838" ht="21.9" customHeight="1" x14ac:dyDescent="0.3"/>
    <row r="839" ht="21.9" customHeight="1" x14ac:dyDescent="0.3"/>
    <row r="840" ht="21.9" customHeight="1" x14ac:dyDescent="0.3"/>
    <row r="841" ht="21.9" customHeight="1" x14ac:dyDescent="0.3"/>
    <row r="842" ht="21.9" customHeight="1" x14ac:dyDescent="0.3"/>
    <row r="843" ht="21.9" customHeight="1" x14ac:dyDescent="0.3"/>
    <row r="844" ht="21.9" customHeight="1" x14ac:dyDescent="0.3"/>
    <row r="845" ht="21.9" customHeight="1" x14ac:dyDescent="0.3"/>
    <row r="846" ht="21.9" customHeight="1" x14ac:dyDescent="0.3"/>
    <row r="847" ht="21.9" customHeight="1" x14ac:dyDescent="0.3"/>
    <row r="848" ht="21.9" customHeight="1" x14ac:dyDescent="0.3"/>
    <row r="849" ht="21.9" customHeight="1" x14ac:dyDescent="0.3"/>
    <row r="850" ht="21.9" customHeight="1" x14ac:dyDescent="0.3"/>
    <row r="851" ht="21.9" customHeight="1" x14ac:dyDescent="0.3"/>
    <row r="852" ht="21.9" customHeight="1" x14ac:dyDescent="0.3"/>
    <row r="853" ht="21.9" customHeight="1" x14ac:dyDescent="0.3"/>
    <row r="854" ht="21.9" customHeight="1" x14ac:dyDescent="0.3"/>
    <row r="855" ht="21.9" customHeight="1" x14ac:dyDescent="0.3"/>
    <row r="856" ht="21.9" customHeight="1" x14ac:dyDescent="0.3"/>
    <row r="857" ht="21.9" customHeight="1" x14ac:dyDescent="0.3"/>
    <row r="858" ht="21.9" customHeight="1" x14ac:dyDescent="0.3"/>
    <row r="859" ht="21.9" customHeight="1" x14ac:dyDescent="0.3"/>
    <row r="860" ht="21.9" customHeight="1" x14ac:dyDescent="0.3"/>
    <row r="861" ht="21.9" customHeight="1" x14ac:dyDescent="0.3"/>
    <row r="862" ht="21.9" customHeight="1" x14ac:dyDescent="0.3"/>
    <row r="863" ht="21.9" customHeight="1" x14ac:dyDescent="0.3"/>
    <row r="864" ht="21.9" customHeight="1" x14ac:dyDescent="0.3"/>
    <row r="865" ht="21.9" customHeight="1" x14ac:dyDescent="0.3"/>
    <row r="866" ht="21.9" customHeight="1" x14ac:dyDescent="0.3"/>
    <row r="867" ht="21.9" customHeight="1" x14ac:dyDescent="0.3"/>
    <row r="868" ht="21.9" customHeight="1" x14ac:dyDescent="0.3"/>
    <row r="869" ht="21.9" customHeight="1" x14ac:dyDescent="0.3"/>
    <row r="870" ht="21.9" customHeight="1" x14ac:dyDescent="0.3"/>
    <row r="871" ht="21.9" customHeight="1" x14ac:dyDescent="0.3"/>
    <row r="872" ht="21.9" customHeight="1" x14ac:dyDescent="0.3"/>
    <row r="873" ht="21.9" customHeight="1" x14ac:dyDescent="0.3"/>
    <row r="874" ht="21.9" customHeight="1" x14ac:dyDescent="0.3"/>
    <row r="875" ht="21.9" customHeight="1" x14ac:dyDescent="0.3"/>
    <row r="876" ht="21.9" customHeight="1" x14ac:dyDescent="0.3"/>
    <row r="877" ht="21.9" customHeight="1" x14ac:dyDescent="0.3"/>
    <row r="878" ht="21.9" customHeight="1" x14ac:dyDescent="0.3"/>
    <row r="879" ht="21.9" customHeight="1" x14ac:dyDescent="0.3"/>
    <row r="880" ht="21.9" customHeight="1" x14ac:dyDescent="0.3"/>
    <row r="881" ht="21.9" customHeight="1" x14ac:dyDescent="0.3"/>
    <row r="882" ht="21.9" customHeight="1" x14ac:dyDescent="0.3"/>
    <row r="883" ht="21.9" customHeight="1" x14ac:dyDescent="0.3"/>
    <row r="884" ht="21.9" customHeight="1" x14ac:dyDescent="0.3"/>
    <row r="885" ht="21.9" customHeight="1" x14ac:dyDescent="0.3"/>
    <row r="886" ht="21.9" customHeight="1" x14ac:dyDescent="0.3"/>
    <row r="887" ht="21.9" customHeight="1" x14ac:dyDescent="0.3"/>
    <row r="888" ht="21.9" customHeight="1" x14ac:dyDescent="0.3"/>
    <row r="889" ht="21.9" customHeight="1" x14ac:dyDescent="0.3"/>
    <row r="890" ht="21.9" customHeight="1" x14ac:dyDescent="0.3"/>
    <row r="891" ht="21.9" customHeight="1" x14ac:dyDescent="0.3"/>
    <row r="892" ht="21.9" customHeight="1" x14ac:dyDescent="0.3"/>
    <row r="893" ht="21.9" customHeight="1" x14ac:dyDescent="0.3"/>
    <row r="894" ht="21.9" customHeight="1" x14ac:dyDescent="0.3"/>
    <row r="895" ht="21.9" customHeight="1" x14ac:dyDescent="0.3"/>
    <row r="896" ht="21.9" customHeight="1" x14ac:dyDescent="0.3"/>
    <row r="897" ht="21.9" customHeight="1" x14ac:dyDescent="0.3"/>
    <row r="898" ht="21.9" customHeight="1" x14ac:dyDescent="0.3"/>
    <row r="899" ht="21.9" customHeight="1" x14ac:dyDescent="0.3"/>
    <row r="900" ht="21.9" customHeight="1" x14ac:dyDescent="0.3"/>
    <row r="901" ht="21.9" customHeight="1" x14ac:dyDescent="0.3"/>
    <row r="902" ht="21.9" customHeight="1" x14ac:dyDescent="0.3"/>
    <row r="903" ht="21.9" customHeight="1" x14ac:dyDescent="0.3"/>
    <row r="904" ht="21.9" customHeight="1" x14ac:dyDescent="0.3"/>
    <row r="905" ht="21.9" customHeight="1" x14ac:dyDescent="0.3"/>
    <row r="906" ht="21.9" customHeight="1" x14ac:dyDescent="0.3"/>
    <row r="907" ht="21.9" customHeight="1" x14ac:dyDescent="0.3"/>
    <row r="908" ht="21.9" customHeight="1" x14ac:dyDescent="0.3"/>
    <row r="909" ht="21.9" customHeight="1" x14ac:dyDescent="0.3"/>
    <row r="910" ht="21.9" customHeight="1" x14ac:dyDescent="0.3"/>
    <row r="911" ht="21.9" customHeight="1" x14ac:dyDescent="0.3"/>
    <row r="912" ht="21.9" customHeight="1" x14ac:dyDescent="0.3"/>
    <row r="913" ht="21.9" customHeight="1" x14ac:dyDescent="0.3"/>
    <row r="914" ht="21.9" customHeight="1" x14ac:dyDescent="0.3"/>
    <row r="915" ht="21.9" customHeight="1" x14ac:dyDescent="0.3"/>
    <row r="916" ht="21.9" customHeight="1" x14ac:dyDescent="0.3"/>
    <row r="917" ht="21.9" customHeight="1" x14ac:dyDescent="0.3"/>
    <row r="918" ht="21.9" customHeight="1" x14ac:dyDescent="0.3"/>
    <row r="919" ht="21.9" customHeight="1" x14ac:dyDescent="0.3"/>
    <row r="920" ht="21.9" customHeight="1" x14ac:dyDescent="0.3"/>
    <row r="921" ht="21.9" customHeight="1" x14ac:dyDescent="0.3"/>
    <row r="922" ht="21.9" customHeight="1" x14ac:dyDescent="0.3"/>
    <row r="923" ht="21.9" customHeight="1" x14ac:dyDescent="0.3"/>
    <row r="924" ht="21.9" customHeight="1" x14ac:dyDescent="0.3"/>
    <row r="925" ht="21.9" customHeight="1" x14ac:dyDescent="0.3"/>
    <row r="926" ht="21.9" customHeight="1" x14ac:dyDescent="0.3"/>
    <row r="927" ht="21.9" customHeight="1" x14ac:dyDescent="0.3"/>
    <row r="928" ht="21.9" customHeight="1" x14ac:dyDescent="0.3"/>
    <row r="929" ht="21.9" customHeight="1" x14ac:dyDescent="0.3"/>
    <row r="930" ht="21.9" customHeight="1" x14ac:dyDescent="0.3"/>
    <row r="931" ht="21.9" customHeight="1" x14ac:dyDescent="0.3"/>
    <row r="932" ht="21.9" customHeight="1" x14ac:dyDescent="0.3"/>
    <row r="933" ht="21.9" customHeight="1" x14ac:dyDescent="0.3"/>
    <row r="934" ht="21.9" customHeight="1" x14ac:dyDescent="0.3"/>
    <row r="935" ht="21.9" customHeight="1" x14ac:dyDescent="0.3"/>
    <row r="936" ht="21.9" customHeight="1" x14ac:dyDescent="0.3"/>
    <row r="937" ht="21.9" customHeight="1" x14ac:dyDescent="0.3"/>
    <row r="938" ht="21.9" customHeight="1" x14ac:dyDescent="0.3"/>
    <row r="939" ht="21.9" customHeight="1" x14ac:dyDescent="0.3"/>
    <row r="940" ht="21.9" customHeight="1" x14ac:dyDescent="0.3"/>
    <row r="941" ht="21.9" customHeight="1" x14ac:dyDescent="0.3"/>
    <row r="942" ht="21.9" customHeight="1" x14ac:dyDescent="0.3"/>
    <row r="943" ht="21.9" customHeight="1" x14ac:dyDescent="0.3"/>
    <row r="944" ht="21.9" customHeight="1" x14ac:dyDescent="0.3"/>
    <row r="945" ht="21.9" customHeight="1" x14ac:dyDescent="0.3"/>
    <row r="946" ht="21.9" customHeight="1" x14ac:dyDescent="0.3"/>
    <row r="947" ht="21.9" customHeight="1" x14ac:dyDescent="0.3"/>
    <row r="948" ht="21.9" customHeight="1" x14ac:dyDescent="0.3"/>
    <row r="949" ht="21.9" customHeight="1" x14ac:dyDescent="0.3"/>
    <row r="950" ht="21.9" customHeight="1" x14ac:dyDescent="0.3"/>
    <row r="951" ht="21.9" customHeight="1" x14ac:dyDescent="0.3"/>
    <row r="952" ht="21.9" customHeight="1" x14ac:dyDescent="0.3"/>
    <row r="953" ht="21.9" customHeight="1" x14ac:dyDescent="0.3"/>
    <row r="954" ht="21.9" customHeight="1" x14ac:dyDescent="0.3"/>
    <row r="955" ht="21.9" customHeight="1" x14ac:dyDescent="0.3"/>
    <row r="956" ht="21.9" customHeight="1" x14ac:dyDescent="0.3"/>
    <row r="957" ht="21.9" customHeight="1" x14ac:dyDescent="0.3"/>
    <row r="958" ht="21.9" customHeight="1" x14ac:dyDescent="0.3"/>
    <row r="959" ht="21.9" customHeight="1" x14ac:dyDescent="0.3"/>
    <row r="960" ht="21.9" customHeight="1" x14ac:dyDescent="0.3"/>
    <row r="961" ht="21.9" customHeight="1" x14ac:dyDescent="0.3"/>
    <row r="962" ht="21.9" customHeight="1" x14ac:dyDescent="0.3"/>
    <row r="963" ht="21.9" customHeight="1" x14ac:dyDescent="0.3"/>
    <row r="964" ht="21.9" customHeight="1" x14ac:dyDescent="0.3"/>
    <row r="965" ht="21.9" customHeight="1" x14ac:dyDescent="0.3"/>
    <row r="966" ht="21.9" customHeight="1" x14ac:dyDescent="0.3"/>
    <row r="967" ht="21.9" customHeight="1" x14ac:dyDescent="0.3"/>
    <row r="968" ht="21.9" customHeight="1" x14ac:dyDescent="0.3"/>
    <row r="969" ht="21.9" customHeight="1" x14ac:dyDescent="0.3"/>
    <row r="970" ht="21.9" customHeight="1" x14ac:dyDescent="0.3"/>
    <row r="971" ht="21.9" customHeight="1" x14ac:dyDescent="0.3"/>
    <row r="972" ht="21.9" customHeight="1" x14ac:dyDescent="0.3"/>
    <row r="973" ht="21.9" customHeight="1" x14ac:dyDescent="0.3"/>
    <row r="974" ht="21.9" customHeight="1" x14ac:dyDescent="0.3"/>
    <row r="975" ht="21.9" customHeight="1" x14ac:dyDescent="0.3"/>
    <row r="976" ht="21.9" customHeight="1" x14ac:dyDescent="0.3"/>
    <row r="977" ht="21.9" customHeight="1" x14ac:dyDescent="0.3"/>
    <row r="978" ht="21.9" customHeight="1" x14ac:dyDescent="0.3"/>
    <row r="979" ht="21.9" customHeight="1" x14ac:dyDescent="0.3"/>
    <row r="980" ht="21.9" customHeight="1" x14ac:dyDescent="0.3"/>
    <row r="981" ht="21.9" customHeight="1" x14ac:dyDescent="0.3"/>
    <row r="982" ht="21.9" customHeight="1" x14ac:dyDescent="0.3"/>
    <row r="983" ht="21.9" customHeight="1" x14ac:dyDescent="0.3"/>
    <row r="984" ht="21.9" customHeight="1" x14ac:dyDescent="0.3"/>
    <row r="985" ht="21.9" customHeight="1" x14ac:dyDescent="0.3"/>
    <row r="986" ht="21.9" customHeight="1" x14ac:dyDescent="0.3"/>
    <row r="987" ht="21.9" customHeight="1" x14ac:dyDescent="0.3"/>
    <row r="988" ht="21.9" customHeight="1" x14ac:dyDescent="0.3"/>
    <row r="989" ht="21.9" customHeight="1" x14ac:dyDescent="0.3"/>
    <row r="990" ht="21.9" customHeight="1" x14ac:dyDescent="0.3"/>
    <row r="991" ht="21.9" customHeight="1" x14ac:dyDescent="0.3"/>
    <row r="992" ht="21.9" customHeight="1" x14ac:dyDescent="0.3"/>
    <row r="993" ht="21.9" customHeight="1" x14ac:dyDescent="0.3"/>
    <row r="994" ht="21.9" customHeight="1" x14ac:dyDescent="0.3"/>
    <row r="995" ht="21.9" customHeight="1" x14ac:dyDescent="0.3"/>
    <row r="996" ht="21.9" customHeight="1" x14ac:dyDescent="0.3"/>
    <row r="997" ht="21.9" customHeight="1" x14ac:dyDescent="0.3"/>
    <row r="998" ht="21.9" customHeight="1" x14ac:dyDescent="0.3"/>
    <row r="999" ht="21.9" customHeight="1" x14ac:dyDescent="0.3"/>
    <row r="1000" ht="21.9" customHeight="1" x14ac:dyDescent="0.3"/>
    <row r="1001" ht="21.9" customHeight="1" x14ac:dyDescent="0.3"/>
    <row r="1002" ht="21.9" customHeight="1" x14ac:dyDescent="0.3"/>
    <row r="1003" ht="21.9" customHeight="1" x14ac:dyDescent="0.3"/>
    <row r="1004" ht="21.9" customHeight="1" x14ac:dyDescent="0.3"/>
    <row r="1005" ht="21.9" customHeight="1" x14ac:dyDescent="0.3"/>
    <row r="1006" ht="21.9" customHeight="1" x14ac:dyDescent="0.3"/>
    <row r="1007" ht="21.9" customHeight="1" x14ac:dyDescent="0.3"/>
    <row r="1008" ht="21.9" customHeight="1" x14ac:dyDescent="0.3"/>
    <row r="1009" ht="21.9" customHeight="1" x14ac:dyDescent="0.3"/>
    <row r="1010" ht="21.9" customHeight="1" x14ac:dyDescent="0.3"/>
    <row r="1011" ht="21.9" customHeight="1" x14ac:dyDescent="0.3"/>
    <row r="1012" ht="21.9" customHeight="1" x14ac:dyDescent="0.3"/>
    <row r="1013" ht="21.9" customHeight="1" x14ac:dyDescent="0.3"/>
    <row r="1014" ht="21.9" customHeight="1" x14ac:dyDescent="0.3"/>
    <row r="1015" ht="21.9" customHeight="1" x14ac:dyDescent="0.3"/>
    <row r="1016" ht="21.9" customHeight="1" x14ac:dyDescent="0.3"/>
    <row r="1017" ht="21.9" customHeight="1" x14ac:dyDescent="0.3"/>
    <row r="1018" ht="21.9" customHeight="1" x14ac:dyDescent="0.3"/>
    <row r="1019" ht="21.9" customHeight="1" x14ac:dyDescent="0.3"/>
    <row r="1020" ht="21.9" customHeight="1" x14ac:dyDescent="0.3"/>
    <row r="1021" ht="21.9" customHeight="1" x14ac:dyDescent="0.3"/>
    <row r="1022" ht="21.9" customHeight="1" x14ac:dyDescent="0.3"/>
    <row r="1023" ht="21.9" customHeight="1" x14ac:dyDescent="0.3"/>
    <row r="1024" ht="21.9" customHeight="1" x14ac:dyDescent="0.3"/>
    <row r="1025" ht="21.9" customHeight="1" x14ac:dyDescent="0.3"/>
    <row r="1026" ht="21.9" customHeight="1" x14ac:dyDescent="0.3"/>
    <row r="1027" ht="21.9" customHeight="1" x14ac:dyDescent="0.3"/>
    <row r="1028" ht="21.9" customHeight="1" x14ac:dyDescent="0.3"/>
    <row r="1029" ht="21.9" customHeight="1" x14ac:dyDescent="0.3"/>
    <row r="1030" ht="21.9" customHeight="1" x14ac:dyDescent="0.3"/>
    <row r="1031" ht="21.9" customHeight="1" x14ac:dyDescent="0.3"/>
    <row r="1032" ht="21.9" customHeight="1" x14ac:dyDescent="0.3"/>
    <row r="1033" ht="21.9" customHeight="1" x14ac:dyDescent="0.3"/>
    <row r="1034" ht="21.9" customHeight="1" x14ac:dyDescent="0.3"/>
    <row r="1035" ht="21.9" customHeight="1" x14ac:dyDescent="0.3"/>
    <row r="1036" ht="21.9" customHeight="1" x14ac:dyDescent="0.3"/>
    <row r="1037" ht="21.9" customHeight="1" x14ac:dyDescent="0.3"/>
    <row r="1038" ht="21.9" customHeight="1" x14ac:dyDescent="0.3"/>
    <row r="1039" ht="21.9" customHeight="1" x14ac:dyDescent="0.3"/>
    <row r="1040" ht="21.9" customHeight="1" x14ac:dyDescent="0.3"/>
    <row r="1041" ht="21.9" customHeight="1" x14ac:dyDescent="0.3"/>
    <row r="1042" ht="21.9" customHeight="1" x14ac:dyDescent="0.3"/>
    <row r="1043" ht="21.9" customHeight="1" x14ac:dyDescent="0.3"/>
    <row r="1044" ht="21.9" customHeight="1" x14ac:dyDescent="0.3"/>
    <row r="1045" ht="21.9" customHeight="1" x14ac:dyDescent="0.3"/>
    <row r="1046" ht="21.9" customHeight="1" x14ac:dyDescent="0.3"/>
    <row r="1047" ht="21.9" customHeight="1" x14ac:dyDescent="0.3"/>
    <row r="1048" ht="21.9" customHeight="1" x14ac:dyDescent="0.3"/>
    <row r="1049" ht="21.9" customHeight="1" x14ac:dyDescent="0.3"/>
    <row r="1050" ht="21.9" customHeight="1" x14ac:dyDescent="0.3"/>
    <row r="1051" ht="21.9" customHeight="1" x14ac:dyDescent="0.3"/>
    <row r="1052" ht="21.9" customHeight="1" x14ac:dyDescent="0.3"/>
    <row r="1053" ht="21.9" customHeight="1" x14ac:dyDescent="0.3"/>
    <row r="1054" ht="21.9" customHeight="1" x14ac:dyDescent="0.3"/>
    <row r="1055" ht="21.9" customHeight="1" x14ac:dyDescent="0.3"/>
    <row r="1056" ht="21.9" customHeight="1" x14ac:dyDescent="0.3"/>
    <row r="1057" ht="21.9" customHeight="1" x14ac:dyDescent="0.3"/>
    <row r="1058" ht="21.9" customHeight="1" x14ac:dyDescent="0.3"/>
    <row r="1059" ht="21.9" customHeight="1" x14ac:dyDescent="0.3"/>
    <row r="1060" ht="21.9" customHeight="1" x14ac:dyDescent="0.3"/>
    <row r="1061" ht="21.9" customHeight="1" x14ac:dyDescent="0.3"/>
    <row r="1062" ht="21.9" customHeight="1" x14ac:dyDescent="0.3"/>
    <row r="1063" ht="21.9" customHeight="1" x14ac:dyDescent="0.3"/>
    <row r="1064" ht="21.9" customHeight="1" x14ac:dyDescent="0.3"/>
    <row r="1065" ht="21.9" customHeight="1" x14ac:dyDescent="0.3"/>
    <row r="1066" ht="21.9" customHeight="1" x14ac:dyDescent="0.3"/>
    <row r="1067" ht="21.9" customHeight="1" x14ac:dyDescent="0.3"/>
    <row r="1068" ht="21.9" customHeight="1" x14ac:dyDescent="0.3"/>
    <row r="1069" ht="21.9" customHeight="1" x14ac:dyDescent="0.3"/>
    <row r="1070" ht="21.9" customHeight="1" x14ac:dyDescent="0.3"/>
    <row r="1071" ht="21.9" customHeight="1" x14ac:dyDescent="0.3"/>
    <row r="1072" ht="21.9" customHeight="1" x14ac:dyDescent="0.3"/>
    <row r="1073" ht="21.9" customHeight="1" x14ac:dyDescent="0.3"/>
    <row r="1074" ht="21.9" customHeight="1" x14ac:dyDescent="0.3"/>
    <row r="1075" ht="21.9" customHeight="1" x14ac:dyDescent="0.3"/>
    <row r="1076" ht="21.9" customHeight="1" x14ac:dyDescent="0.3"/>
    <row r="1077" ht="21.9" customHeight="1" x14ac:dyDescent="0.3"/>
    <row r="1078" ht="21.9" customHeight="1" x14ac:dyDescent="0.3"/>
    <row r="1079" ht="21.9" customHeight="1" x14ac:dyDescent="0.3"/>
    <row r="1080" ht="21.9" customHeight="1" x14ac:dyDescent="0.3"/>
    <row r="1081" ht="21.9" customHeight="1" x14ac:dyDescent="0.3"/>
    <row r="1082" ht="21.9" customHeight="1" x14ac:dyDescent="0.3"/>
    <row r="1083" ht="21.9" customHeight="1" x14ac:dyDescent="0.3"/>
    <row r="1084" ht="21.9" customHeight="1" x14ac:dyDescent="0.3"/>
    <row r="1085" ht="21.9" customHeight="1" x14ac:dyDescent="0.3"/>
    <row r="1086" ht="21.9" customHeight="1" x14ac:dyDescent="0.3"/>
    <row r="1087" ht="21.9" customHeight="1" x14ac:dyDescent="0.3"/>
    <row r="1088" ht="21.9" customHeight="1" x14ac:dyDescent="0.3"/>
    <row r="1089" ht="21.9" customHeight="1" x14ac:dyDescent="0.3"/>
    <row r="1090" ht="21.9" customHeight="1" x14ac:dyDescent="0.3"/>
    <row r="1091" ht="21.9" customHeight="1" x14ac:dyDescent="0.3"/>
    <row r="1092" ht="21.9" customHeight="1" x14ac:dyDescent="0.3"/>
    <row r="1093" ht="21.9" customHeight="1" x14ac:dyDescent="0.3"/>
    <row r="1094" ht="21.9" customHeight="1" x14ac:dyDescent="0.3"/>
    <row r="1095" ht="21.9" customHeight="1" x14ac:dyDescent="0.3"/>
    <row r="1096" ht="21.9" customHeight="1" x14ac:dyDescent="0.3"/>
    <row r="1097" ht="21.9" customHeight="1" x14ac:dyDescent="0.3"/>
    <row r="1098" ht="21.9" customHeight="1" x14ac:dyDescent="0.3"/>
    <row r="1099" ht="21.9" customHeight="1" x14ac:dyDescent="0.3"/>
    <row r="1100" ht="21.9" customHeight="1" x14ac:dyDescent="0.3"/>
    <row r="1101" ht="21.9" customHeight="1" x14ac:dyDescent="0.3"/>
    <row r="1102" ht="21.9" customHeight="1" x14ac:dyDescent="0.3"/>
    <row r="1103" ht="21.9" customHeight="1" x14ac:dyDescent="0.3"/>
    <row r="1104" ht="21.9" customHeight="1" x14ac:dyDescent="0.3"/>
    <row r="1105" ht="21.9" customHeight="1" x14ac:dyDescent="0.3"/>
    <row r="1106" ht="21.9" customHeight="1" x14ac:dyDescent="0.3"/>
    <row r="1107" ht="21.9" customHeight="1" x14ac:dyDescent="0.3"/>
    <row r="1108" ht="21.9" customHeight="1" x14ac:dyDescent="0.3"/>
    <row r="1109" ht="21.9" customHeight="1" x14ac:dyDescent="0.3"/>
    <row r="1110" ht="21.9" customHeight="1" x14ac:dyDescent="0.3"/>
    <row r="1111" ht="21.9" customHeight="1" x14ac:dyDescent="0.3"/>
    <row r="1112" ht="21.9" customHeight="1" x14ac:dyDescent="0.3"/>
    <row r="1113" ht="21.9" customHeight="1" x14ac:dyDescent="0.3"/>
    <row r="1114" ht="21.9" customHeight="1" x14ac:dyDescent="0.3"/>
    <row r="1115" ht="21.9" customHeight="1" x14ac:dyDescent="0.3"/>
    <row r="1116" ht="21.9" customHeight="1" x14ac:dyDescent="0.3"/>
    <row r="1117" ht="21.9" customHeight="1" x14ac:dyDescent="0.3"/>
    <row r="1118" ht="21.9" customHeight="1" x14ac:dyDescent="0.3"/>
    <row r="1119" ht="21.9" customHeight="1" x14ac:dyDescent="0.3"/>
    <row r="1120" ht="21.9" customHeight="1" x14ac:dyDescent="0.3"/>
    <row r="1121" ht="21.9" customHeight="1" x14ac:dyDescent="0.3"/>
    <row r="1122" ht="21.9" customHeight="1" x14ac:dyDescent="0.3"/>
    <row r="1123" ht="21.9" customHeight="1" x14ac:dyDescent="0.3"/>
    <row r="1124" ht="21.9" customHeight="1" x14ac:dyDescent="0.3"/>
    <row r="1125" ht="21.9" customHeight="1" x14ac:dyDescent="0.3"/>
    <row r="1126" ht="21.9" customHeight="1" x14ac:dyDescent="0.3"/>
    <row r="1127" ht="21.9" customHeight="1" x14ac:dyDescent="0.3"/>
    <row r="1128" ht="21.9" customHeight="1" x14ac:dyDescent="0.3"/>
    <row r="1129" ht="21.9" customHeight="1" x14ac:dyDescent="0.3"/>
    <row r="1130" ht="21.9" customHeight="1" x14ac:dyDescent="0.3"/>
    <row r="1131" ht="21.9" customHeight="1" x14ac:dyDescent="0.3"/>
    <row r="1132" ht="21.9" customHeight="1" x14ac:dyDescent="0.3"/>
    <row r="1133" ht="21.9" customHeight="1" x14ac:dyDescent="0.3"/>
    <row r="1134" ht="21.9" customHeight="1" x14ac:dyDescent="0.3"/>
    <row r="1135" ht="21.9" customHeight="1" x14ac:dyDescent="0.3"/>
    <row r="1136" ht="21.9" customHeight="1" x14ac:dyDescent="0.3"/>
    <row r="1137" ht="21.9" customHeight="1" x14ac:dyDescent="0.3"/>
    <row r="1138" ht="21.9" customHeight="1" x14ac:dyDescent="0.3"/>
    <row r="1139" ht="21.9" customHeight="1" x14ac:dyDescent="0.3"/>
    <row r="1140" ht="21.9" customHeight="1" x14ac:dyDescent="0.3"/>
    <row r="1141" ht="21.9" customHeight="1" x14ac:dyDescent="0.3"/>
    <row r="1142" ht="21.9" customHeight="1" x14ac:dyDescent="0.3"/>
    <row r="1143" ht="21.9" customHeight="1" x14ac:dyDescent="0.3"/>
    <row r="1144" ht="21.9" customHeight="1" x14ac:dyDescent="0.3"/>
    <row r="1145" ht="21.9" customHeight="1" x14ac:dyDescent="0.3"/>
    <row r="1146" ht="21.9" customHeight="1" x14ac:dyDescent="0.3"/>
    <row r="1147" ht="21.9" customHeight="1" x14ac:dyDescent="0.3"/>
    <row r="1148" ht="21.9" customHeight="1" x14ac:dyDescent="0.3"/>
    <row r="1149" ht="21.9" customHeight="1" x14ac:dyDescent="0.3"/>
    <row r="1150" ht="21.9" customHeight="1" x14ac:dyDescent="0.3"/>
    <row r="1151" ht="21.9" customHeight="1" x14ac:dyDescent="0.3"/>
    <row r="1152" ht="21.9" customHeight="1" x14ac:dyDescent="0.3"/>
    <row r="1153" ht="21.9" customHeight="1" x14ac:dyDescent="0.3"/>
    <row r="1154" ht="21.9" customHeight="1" x14ac:dyDescent="0.3"/>
    <row r="1155" ht="21.9" customHeight="1" x14ac:dyDescent="0.3"/>
    <row r="1156" ht="21.9" customHeight="1" x14ac:dyDescent="0.3"/>
    <row r="1157" ht="21.9" customHeight="1" x14ac:dyDescent="0.3"/>
    <row r="1158" ht="21.9" customHeight="1" x14ac:dyDescent="0.3"/>
    <row r="1159" ht="21.9" customHeight="1" x14ac:dyDescent="0.3"/>
    <row r="1160" ht="21.9" customHeight="1" x14ac:dyDescent="0.3"/>
    <row r="1161" ht="21.9" customHeight="1" x14ac:dyDescent="0.3"/>
    <row r="1162" ht="21.9" customHeight="1" x14ac:dyDescent="0.3"/>
    <row r="1163" ht="21.9" customHeight="1" x14ac:dyDescent="0.3"/>
    <row r="1164" ht="21.9" customHeight="1" x14ac:dyDescent="0.3"/>
    <row r="1165" ht="21.9" customHeight="1" x14ac:dyDescent="0.3"/>
    <row r="1166" ht="21.9" customHeight="1" x14ac:dyDescent="0.3"/>
    <row r="1167" ht="21.9" customHeight="1" x14ac:dyDescent="0.3"/>
    <row r="1168" ht="21.9" customHeight="1" x14ac:dyDescent="0.3"/>
    <row r="1169" ht="21.9" customHeight="1" x14ac:dyDescent="0.3"/>
    <row r="1170" ht="21.9" customHeight="1" x14ac:dyDescent="0.3"/>
    <row r="1171" ht="21.9" customHeight="1" x14ac:dyDescent="0.3"/>
    <row r="1172" ht="21.9" customHeight="1" x14ac:dyDescent="0.3"/>
    <row r="1173" ht="21.9" customHeight="1" x14ac:dyDescent="0.3"/>
    <row r="1174" ht="21.9" customHeight="1" x14ac:dyDescent="0.3"/>
    <row r="1175" ht="21.9" customHeight="1" x14ac:dyDescent="0.3"/>
    <row r="1176" ht="21.9" customHeight="1" x14ac:dyDescent="0.3"/>
    <row r="1177" ht="21.9" customHeight="1" x14ac:dyDescent="0.3"/>
    <row r="1178" ht="21.9" customHeight="1" x14ac:dyDescent="0.3"/>
    <row r="1179" ht="21.9" customHeight="1" x14ac:dyDescent="0.3"/>
    <row r="1180" ht="21.9" customHeight="1" x14ac:dyDescent="0.3"/>
    <row r="1181" ht="21.9" customHeight="1" x14ac:dyDescent="0.3"/>
    <row r="1182" ht="21.9" customHeight="1" x14ac:dyDescent="0.3"/>
    <row r="1183" ht="21.9" customHeight="1" x14ac:dyDescent="0.3"/>
    <row r="1184" ht="21.9" customHeight="1" x14ac:dyDescent="0.3"/>
    <row r="1185" ht="21.9" customHeight="1" x14ac:dyDescent="0.3"/>
    <row r="1186" ht="21.9" customHeight="1" x14ac:dyDescent="0.3"/>
    <row r="1187" ht="21.9" customHeight="1" x14ac:dyDescent="0.3"/>
    <row r="1188" ht="21.9" customHeight="1" x14ac:dyDescent="0.3"/>
    <row r="1189" ht="21.9" customHeight="1" x14ac:dyDescent="0.3"/>
    <row r="1190" ht="21.9" customHeight="1" x14ac:dyDescent="0.3"/>
    <row r="1191" ht="21.9" customHeight="1" x14ac:dyDescent="0.3"/>
    <row r="1192" ht="21.9" customHeight="1" x14ac:dyDescent="0.3"/>
    <row r="1193" ht="21.9" customHeight="1" x14ac:dyDescent="0.3"/>
    <row r="1194" ht="21.9" customHeight="1" x14ac:dyDescent="0.3"/>
    <row r="1195" ht="21.9" customHeight="1" x14ac:dyDescent="0.3"/>
    <row r="1196" ht="21.9" customHeight="1" x14ac:dyDescent="0.3"/>
    <row r="1197" ht="21.9" customHeight="1" x14ac:dyDescent="0.3"/>
    <row r="1198" ht="21.9" customHeight="1" x14ac:dyDescent="0.3"/>
    <row r="1199" ht="21.9" customHeight="1" x14ac:dyDescent="0.3"/>
    <row r="1200" ht="21.9" customHeight="1" x14ac:dyDescent="0.3"/>
    <row r="1201" ht="21.9" customHeight="1" x14ac:dyDescent="0.3"/>
    <row r="1202" ht="21.9" customHeight="1" x14ac:dyDescent="0.3"/>
    <row r="1203" ht="21.9" customHeight="1" x14ac:dyDescent="0.3"/>
    <row r="1204" ht="21.9" customHeight="1" x14ac:dyDescent="0.3"/>
    <row r="1205" ht="21.9" customHeight="1" x14ac:dyDescent="0.3"/>
    <row r="1206" ht="21.9" customHeight="1" x14ac:dyDescent="0.3"/>
    <row r="1207" ht="21.9" customHeight="1" x14ac:dyDescent="0.3"/>
    <row r="1208" ht="21.9" customHeight="1" x14ac:dyDescent="0.3"/>
    <row r="1209" ht="21.9" customHeight="1" x14ac:dyDescent="0.3"/>
    <row r="1210" ht="21.9" customHeight="1" x14ac:dyDescent="0.3"/>
    <row r="1211" ht="21.9" customHeight="1" x14ac:dyDescent="0.3"/>
    <row r="1212" ht="21.9" customHeight="1" x14ac:dyDescent="0.3"/>
    <row r="1213" ht="21.9" customHeight="1" x14ac:dyDescent="0.3"/>
    <row r="1214" ht="21.9" customHeight="1" x14ac:dyDescent="0.3"/>
    <row r="1215" ht="21.9" customHeight="1" x14ac:dyDescent="0.3"/>
    <row r="1216" ht="21.9" customHeight="1" x14ac:dyDescent="0.3"/>
    <row r="1217" ht="21.9" customHeight="1" x14ac:dyDescent="0.3"/>
    <row r="1218" ht="21.9" customHeight="1" x14ac:dyDescent="0.3"/>
    <row r="1219" ht="21.9" customHeight="1" x14ac:dyDescent="0.3"/>
    <row r="1220" ht="21.9" customHeight="1" x14ac:dyDescent="0.3"/>
    <row r="1221" ht="21.9" customHeight="1" x14ac:dyDescent="0.3"/>
    <row r="1222" ht="21.9" customHeight="1" x14ac:dyDescent="0.3"/>
    <row r="1223" ht="21.9" customHeight="1" x14ac:dyDescent="0.3"/>
    <row r="1224" ht="21.9" customHeight="1" x14ac:dyDescent="0.3"/>
    <row r="1225" ht="21.9" customHeight="1" x14ac:dyDescent="0.3"/>
    <row r="1226" ht="21.9" customHeight="1" x14ac:dyDescent="0.3"/>
    <row r="1227" ht="21.9" customHeight="1" x14ac:dyDescent="0.3"/>
    <row r="1228" ht="21.9" customHeight="1" x14ac:dyDescent="0.3"/>
    <row r="1229" ht="21.9" customHeight="1" x14ac:dyDescent="0.3"/>
    <row r="1230" ht="21.9" customHeight="1" x14ac:dyDescent="0.3"/>
    <row r="1231" ht="21.9" customHeight="1" x14ac:dyDescent="0.3"/>
    <row r="1232" ht="21.9" customHeight="1" x14ac:dyDescent="0.3"/>
    <row r="1233" ht="21.9" customHeight="1" x14ac:dyDescent="0.3"/>
    <row r="1234" ht="21.9" customHeight="1" x14ac:dyDescent="0.3"/>
    <row r="1235" ht="21.9" customHeight="1" x14ac:dyDescent="0.3"/>
    <row r="1236" ht="21.9" customHeight="1" x14ac:dyDescent="0.3"/>
    <row r="1237" ht="21.9" customHeight="1" x14ac:dyDescent="0.3"/>
    <row r="1238" ht="21.9" customHeight="1" x14ac:dyDescent="0.3"/>
    <row r="1239" ht="21.9" customHeight="1" x14ac:dyDescent="0.3"/>
    <row r="1240" ht="21.9" customHeight="1" x14ac:dyDescent="0.3"/>
    <row r="1241" ht="21.9" customHeight="1" x14ac:dyDescent="0.3"/>
    <row r="1242" ht="21.9" customHeight="1" x14ac:dyDescent="0.3"/>
    <row r="1243" ht="21.9" customHeight="1" x14ac:dyDescent="0.3"/>
    <row r="1244" ht="21.9" customHeight="1" x14ac:dyDescent="0.3"/>
    <row r="1245" ht="21.9" customHeight="1" x14ac:dyDescent="0.3"/>
    <row r="1246" ht="21.9" customHeight="1" x14ac:dyDescent="0.3"/>
    <row r="1247" ht="21.9" customHeight="1" x14ac:dyDescent="0.3"/>
    <row r="1248" ht="21.9" customHeight="1" x14ac:dyDescent="0.3"/>
    <row r="1249" ht="21.9" customHeight="1" x14ac:dyDescent="0.3"/>
    <row r="1250" ht="21.9" customHeight="1" x14ac:dyDescent="0.3"/>
    <row r="1251" ht="21.9" customHeight="1" x14ac:dyDescent="0.3"/>
    <row r="1252" ht="21.9" customHeight="1" x14ac:dyDescent="0.3"/>
    <row r="1253" ht="21.9" customHeight="1" x14ac:dyDescent="0.3"/>
    <row r="1254" ht="21.9" customHeight="1" x14ac:dyDescent="0.3"/>
    <row r="1255" ht="21.9" customHeight="1" x14ac:dyDescent="0.3"/>
    <row r="1256" ht="21.9" customHeight="1" x14ac:dyDescent="0.3"/>
    <row r="1257" ht="21.9" customHeight="1" x14ac:dyDescent="0.3"/>
    <row r="1258" ht="21.9" customHeight="1" x14ac:dyDescent="0.3"/>
    <row r="1259" ht="21.9" customHeight="1" x14ac:dyDescent="0.3"/>
    <row r="1260" ht="21.9" customHeight="1" x14ac:dyDescent="0.3"/>
    <row r="1261" ht="21.9" customHeight="1" x14ac:dyDescent="0.3"/>
    <row r="1262" ht="21.9" customHeight="1" x14ac:dyDescent="0.3"/>
    <row r="1263" ht="21.9" customHeight="1" x14ac:dyDescent="0.3"/>
    <row r="1264" ht="21.9" customHeight="1" x14ac:dyDescent="0.3"/>
    <row r="1265" ht="21.9" customHeight="1" x14ac:dyDescent="0.3"/>
    <row r="1266" ht="21.9" customHeight="1" x14ac:dyDescent="0.3"/>
    <row r="1267" ht="21.9" customHeight="1" x14ac:dyDescent="0.3"/>
    <row r="1268" ht="21.9" customHeight="1" x14ac:dyDescent="0.3"/>
    <row r="1269" ht="21.9" customHeight="1" x14ac:dyDescent="0.3"/>
    <row r="1270" ht="21.9" customHeight="1" x14ac:dyDescent="0.3"/>
    <row r="1271" ht="21.9" customHeight="1" x14ac:dyDescent="0.3"/>
    <row r="1272" ht="21.9" customHeight="1" x14ac:dyDescent="0.3"/>
    <row r="1273" ht="21.9" customHeight="1" x14ac:dyDescent="0.3"/>
    <row r="1274" ht="21.9" customHeight="1" x14ac:dyDescent="0.3"/>
    <row r="1275" ht="21.9" customHeight="1" x14ac:dyDescent="0.3"/>
    <row r="1276" ht="21.9" customHeight="1" x14ac:dyDescent="0.3"/>
    <row r="1277" ht="21.9" customHeight="1" x14ac:dyDescent="0.3"/>
    <row r="1278" ht="21.9" customHeight="1" x14ac:dyDescent="0.3"/>
    <row r="1279" ht="21.9" customHeight="1" x14ac:dyDescent="0.3"/>
    <row r="1280" ht="21.9" customHeight="1" x14ac:dyDescent="0.3"/>
    <row r="1281" ht="21.9" customHeight="1" x14ac:dyDescent="0.3"/>
    <row r="1282" ht="21.9" customHeight="1" x14ac:dyDescent="0.3"/>
    <row r="1283" ht="21.9" customHeight="1" x14ac:dyDescent="0.3"/>
    <row r="1284" ht="21.9" customHeight="1" x14ac:dyDescent="0.3"/>
    <row r="1285" ht="21.9" customHeight="1" x14ac:dyDescent="0.3"/>
    <row r="1286" ht="21.9" customHeight="1" x14ac:dyDescent="0.3"/>
    <row r="1287" ht="21.9" customHeight="1" x14ac:dyDescent="0.3"/>
    <row r="1288" ht="21.9" customHeight="1" x14ac:dyDescent="0.3"/>
    <row r="1289" ht="21.9" customHeight="1" x14ac:dyDescent="0.3"/>
    <row r="1290" ht="21.9" customHeight="1" x14ac:dyDescent="0.3"/>
    <row r="1291" ht="21.9" customHeight="1" x14ac:dyDescent="0.3"/>
    <row r="1292" ht="21.9" customHeight="1" x14ac:dyDescent="0.3"/>
    <row r="1293" ht="21.9" customHeight="1" x14ac:dyDescent="0.3"/>
    <row r="1294" ht="21.9" customHeight="1" x14ac:dyDescent="0.3"/>
    <row r="1295" ht="21.9" customHeight="1" x14ac:dyDescent="0.3"/>
    <row r="1296" ht="21.9" customHeight="1" x14ac:dyDescent="0.3"/>
    <row r="1297" ht="21.9" customHeight="1" x14ac:dyDescent="0.3"/>
    <row r="1298" ht="21.9" customHeight="1" x14ac:dyDescent="0.3"/>
    <row r="1299" ht="21.9" customHeight="1" x14ac:dyDescent="0.3"/>
    <row r="1300" ht="21.9" customHeight="1" x14ac:dyDescent="0.3"/>
    <row r="1301" ht="21.9" customHeight="1" x14ac:dyDescent="0.3"/>
    <row r="1302" ht="21.9" customHeight="1" x14ac:dyDescent="0.3"/>
  </sheetData>
  <mergeCells count="8">
    <mergeCell ref="B38:C38"/>
    <mergeCell ref="C2:D2"/>
    <mergeCell ref="B3:B4"/>
    <mergeCell ref="C3:J4"/>
    <mergeCell ref="C5:D6"/>
    <mergeCell ref="E5:F6"/>
    <mergeCell ref="G5:H6"/>
    <mergeCell ref="I5:J6"/>
  </mergeCells>
  <printOptions horizontalCentered="1" verticalCentered="1"/>
  <pageMargins left="0" right="0" top="0" bottom="0" header="0" footer="0"/>
  <pageSetup paperSize="9" scale="32" orientation="landscape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Revenues 2021-2022</vt:lpstr>
      <vt:lpstr>'Revenues 2021-2022'!Print_Area</vt:lpstr>
      <vt:lpstr>'Revenues 2021-2022'!Print_Titles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Hanaa Kamal</cp:lastModifiedBy>
  <dcterms:created xsi:type="dcterms:W3CDTF">2015-06-05T18:17:20Z</dcterms:created>
  <dcterms:modified xsi:type="dcterms:W3CDTF">2024-07-03T07:38:33Z</dcterms:modified>
</cp:coreProperties>
</file>