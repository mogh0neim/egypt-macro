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Time Series\2025\Budget without GDP\Exp\"/>
    </mc:Choice>
  </mc:AlternateContent>
  <xr:revisionPtr revIDLastSave="0" documentId="13_ncr:1_{68EB04B0-B275-4BC3-BD15-241B8ADBDD1F}" xr6:coauthVersionLast="47" xr6:coauthVersionMax="47" xr10:uidLastSave="{00000000-0000-0000-0000-000000000000}"/>
  <bookViews>
    <workbookView xWindow="-108" yWindow="-108" windowWidth="17496" windowHeight="10560" xr2:uid="{00000000-000D-0000-FFFF-FFFF00000000}"/>
  </bookViews>
  <sheets>
    <sheet name="Expenditures_Annual" sheetId="2" r:id="rId1"/>
  </sheets>
  <definedNames>
    <definedName name="_xlnm.Print_Area" localSheetId="0">Expenditures_Annual!$A$1:$AN$39</definedName>
    <definedName name="_xlnm.Print_Titles" localSheetId="0">Expenditures_Annual!$A:$B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33" i="2" l="1"/>
  <c r="AN33" i="2"/>
  <c r="AM30" i="2"/>
  <c r="AN30" i="2"/>
  <c r="AM26" i="2"/>
  <c r="AN26" i="2"/>
  <c r="AM21" i="2"/>
  <c r="AM20" i="2" s="1"/>
  <c r="AN21" i="2"/>
  <c r="AN20" i="2"/>
  <c r="AM16" i="2"/>
  <c r="AM15" i="2" s="1"/>
  <c r="AN16" i="2"/>
  <c r="AN15" i="2" s="1"/>
  <c r="AM11" i="2"/>
  <c r="AN11" i="2"/>
  <c r="AM7" i="2"/>
  <c r="AN7" i="2"/>
  <c r="AL33" i="2"/>
  <c r="AK33" i="2"/>
  <c r="AL30" i="2"/>
  <c r="AK30" i="2"/>
  <c r="AL26" i="2"/>
  <c r="AK26" i="2"/>
  <c r="AL21" i="2"/>
  <c r="AK21" i="2"/>
  <c r="AK20" i="2" s="1"/>
  <c r="AL20" i="2"/>
  <c r="AL16" i="2"/>
  <c r="AK16" i="2"/>
  <c r="AK15" i="2" s="1"/>
  <c r="AL15" i="2"/>
  <c r="AL11" i="2"/>
  <c r="AK11" i="2"/>
  <c r="AL7" i="2"/>
  <c r="AL6" i="2" s="1"/>
  <c r="AK7" i="2"/>
  <c r="AK6" i="2" s="1"/>
  <c r="AN6" i="2" l="1"/>
  <c r="AM6" i="2"/>
  <c r="AI33" i="2"/>
  <c r="AJ33" i="2"/>
  <c r="AI30" i="2"/>
  <c r="AJ30" i="2"/>
  <c r="AI26" i="2"/>
  <c r="AJ26" i="2"/>
  <c r="AI21" i="2"/>
  <c r="AJ21" i="2"/>
  <c r="AJ20" i="2" s="1"/>
  <c r="AI16" i="2"/>
  <c r="AI15" i="2" s="1"/>
  <c r="AJ16" i="2"/>
  <c r="AJ15" i="2" s="1"/>
  <c r="AI11" i="2"/>
  <c r="AJ11" i="2"/>
  <c r="AI7" i="2"/>
  <c r="AJ7" i="2"/>
  <c r="AI20" i="2" l="1"/>
  <c r="AJ6" i="2"/>
  <c r="AI6" i="2"/>
  <c r="AH33" i="2"/>
  <c r="AG33" i="2"/>
  <c r="AH30" i="2"/>
  <c r="AG30" i="2"/>
  <c r="AH26" i="2"/>
  <c r="AG26" i="2"/>
  <c r="AH21" i="2"/>
  <c r="AG21" i="2"/>
  <c r="AH16" i="2"/>
  <c r="AH15" i="2" s="1"/>
  <c r="AG16" i="2"/>
  <c r="AG15" i="2"/>
  <c r="AH11" i="2"/>
  <c r="AG11" i="2"/>
  <c r="AH7" i="2"/>
  <c r="AG7" i="2"/>
  <c r="AG20" i="2" l="1"/>
  <c r="AG6" i="2" s="1"/>
  <c r="AH20" i="2"/>
  <c r="AH6" i="2"/>
</calcChain>
</file>

<file path=xl/sharedStrings.xml><?xml version="1.0" encoding="utf-8"?>
<sst xmlns="http://schemas.openxmlformats.org/spreadsheetml/2006/main" count="181" uniqueCount="88">
  <si>
    <t>(LE mn)</t>
  </si>
  <si>
    <t xml:space="preserve"> 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</si>
  <si>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</si>
  <si>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</si>
  <si>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</si>
  <si>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</si>
  <si>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</si>
  <si>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</si>
  <si>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</si>
  <si>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</si>
  <si>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 xml:space="preserve">  2014/2015</t>
  </si>
  <si>
    <t xml:space="preserve">  2015/2016</t>
  </si>
  <si>
    <t xml:space="preserve">  2016/2017</t>
  </si>
  <si>
    <t xml:space="preserve">  2017/2018</t>
  </si>
  <si>
    <t>2018/2019</t>
  </si>
  <si>
    <t xml:space="preserve">  2019/2020</t>
  </si>
  <si>
    <t>2020/2021</t>
  </si>
  <si>
    <t xml:space="preserve">  2021/2022</t>
  </si>
  <si>
    <t>The
 Budget
 Sector</t>
  </si>
  <si>
    <t xml:space="preserve">The General Government </t>
  </si>
  <si>
    <t xml:space="preserve">The General 
Government </t>
  </si>
  <si>
    <t>إجمالى النفقات</t>
  </si>
  <si>
    <t>Total Expenditures</t>
  </si>
  <si>
    <t>..</t>
  </si>
  <si>
    <t>الأجور وتعويضات العاملين</t>
  </si>
  <si>
    <t>الأجور والبدلات</t>
  </si>
  <si>
    <t>المزايا التأمينية</t>
  </si>
  <si>
    <t>Social contributions</t>
  </si>
  <si>
    <t>أخرى</t>
  </si>
  <si>
    <t>Other</t>
  </si>
  <si>
    <t>شراء السلع و الخدمات</t>
  </si>
  <si>
    <t>Purchases of Goods and Services</t>
  </si>
  <si>
    <t>السلع</t>
  </si>
  <si>
    <t>Goods</t>
  </si>
  <si>
    <t>الخدمات</t>
  </si>
  <si>
    <t>Services</t>
  </si>
  <si>
    <t>الفوائد</t>
  </si>
  <si>
    <t>Interest</t>
  </si>
  <si>
    <t>محلية :</t>
  </si>
  <si>
    <t>بنك الاستثمار القومى وصناديق التأمين الاجتماعى</t>
  </si>
  <si>
    <t>To NIB &amp; SIFs</t>
  </si>
  <si>
    <t>To others</t>
  </si>
  <si>
    <t>خارجية</t>
  </si>
  <si>
    <t>Foreign interest</t>
  </si>
  <si>
    <t>الدعم و المنح و المزايا الاجتماعية</t>
  </si>
  <si>
    <t>Subsidies, Grants and Social Benefits</t>
  </si>
  <si>
    <t xml:space="preserve">الدعم </t>
  </si>
  <si>
    <t>Subsidies</t>
  </si>
  <si>
    <t>هيئة البترول</t>
  </si>
  <si>
    <t xml:space="preserve">   To Petroleum</t>
  </si>
  <si>
    <t>هيئة السلع التموينية</t>
  </si>
  <si>
    <t xml:space="preserve">   To GASC</t>
  </si>
  <si>
    <t xml:space="preserve">   To others</t>
  </si>
  <si>
    <t>المنح</t>
  </si>
  <si>
    <t>Grants</t>
  </si>
  <si>
    <t>Social Benefits</t>
  </si>
  <si>
    <t>المساهمة فى صناديق التأمين الاجتماعى</t>
  </si>
  <si>
    <t xml:space="preserve">   Contribution to SIFs</t>
  </si>
  <si>
    <t xml:space="preserve">   Other</t>
  </si>
  <si>
    <t xml:space="preserve"> أخرى </t>
  </si>
  <si>
    <t>النفقات الأخرى</t>
  </si>
  <si>
    <t>Other Expenditures</t>
  </si>
  <si>
    <t>الدفاع</t>
  </si>
  <si>
    <t>Defense</t>
  </si>
  <si>
    <t xml:space="preserve">Other </t>
  </si>
  <si>
    <t>شراء أصول غير مالية ( الاستثمارات )</t>
  </si>
  <si>
    <t>Purchases of Non-Financial Assets (Investments)</t>
  </si>
  <si>
    <t>الأصول الثابتة</t>
  </si>
  <si>
    <t>Fixed assets</t>
  </si>
  <si>
    <t>Others</t>
  </si>
  <si>
    <t>المصدر : وزارة المالية.</t>
  </si>
  <si>
    <t>Source: Ministry of Finance.</t>
  </si>
  <si>
    <r>
      <rPr>
        <sz val="18"/>
        <rFont val="Arial"/>
        <family val="2"/>
      </rP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</si>
  <si>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</si>
  <si>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t xml:space="preserve"> ..   غير  متوافر.  </t>
  </si>
  <si>
    <t>.. Not Available.</t>
  </si>
  <si>
    <r>
      <t xml:space="preserve">العمليات المالية الموحدة *
  للحكومة العامة 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
</t>
    </r>
  </si>
  <si>
    <r>
      <t xml:space="preserve"> Consolidated Fiscal Operations* of the General Government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
</t>
    </r>
  </si>
  <si>
    <r>
      <t xml:space="preserve">   ال</t>
    </r>
    <r>
      <rPr>
        <b/>
        <u/>
        <sz val="16"/>
        <rFont val="Arial"/>
        <family val="2"/>
      </rPr>
      <t>مزايا الاجتماعية</t>
    </r>
  </si>
  <si>
    <r>
      <rPr>
        <sz val="16"/>
        <rFont val="Arial"/>
        <family val="2"/>
      </rPr>
      <t>*</t>
    </r>
    <r>
      <rPr>
        <sz val="18"/>
        <rFont val="Arial"/>
        <family val="2"/>
      </rPr>
      <t xml:space="preserve"> </t>
    </r>
    <r>
      <rPr>
        <sz val="14"/>
        <rFont val="Arial"/>
        <family val="2"/>
      </rPr>
      <t>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</si>
  <si>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sz val="16"/>
        <rFont val="Arial"/>
        <family val="2"/>
      </rPr>
      <t>*</t>
    </r>
    <r>
      <rPr>
        <sz val="18"/>
        <rFont val="Arial"/>
        <family val="2"/>
      </rPr>
      <t xml:space="preserve">  </t>
    </r>
    <r>
      <rPr>
        <sz val="14"/>
        <rFont val="Arial"/>
        <family val="2"/>
      </rPr>
      <t>A new budget classification was prepared in accordance with the IMF's 2001 GFS (Government Finance Statistics) Manual  and the latest modifications.</t>
    </r>
  </si>
  <si>
    <t xml:space="preserve">  2022/2023</t>
  </si>
  <si>
    <t>Wages and Compensations of Employees</t>
  </si>
  <si>
    <t xml:space="preserve">Wages and allowances </t>
  </si>
  <si>
    <t xml:space="preserve">  2023/2024</t>
  </si>
  <si>
    <r>
      <t xml:space="preserve"> </t>
    </r>
    <r>
      <rPr>
        <b/>
        <u/>
        <sz val="16"/>
        <rFont val="Arial"/>
        <family val="2"/>
      </rPr>
      <t>Other</t>
    </r>
  </si>
  <si>
    <t>Domestic interest</t>
  </si>
  <si>
    <t xml:space="preserve"> 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</si>
</sst>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sz val="10"/>
      <name val="Arial"/>
    </font>
    <font>
      <vertAlign val="superscript"/>
      <sz val="18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b/>
      <vertAlign val="superscript"/>
      <sz val="16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78">
    <xf numFmtId="0" fontId="0" fillId="0" borderId="0" xfId="0"/>
    <xf numFmtId="0" fontId="3" fillId="0" borderId="0" xfId="1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2" applyFont="1" applyBorder="1" applyAlignment="1">
      <alignment horizontal="right" vertical="center" readingOrder="2"/>
    </xf>
    <xf numFmtId="1" fontId="3" fillId="0" borderId="0" xfId="1" applyNumberFormat="1" applyFont="1" applyBorder="1" applyAlignment="1">
      <alignment horizontal="left" vertical="center" readingOrder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readingOrder="1"/>
    </xf>
    <xf numFmtId="0" fontId="3" fillId="0" borderId="0" xfId="1" applyFont="1" applyAlignment="1">
      <alignment horizontal="right" vertical="center" wrapText="1" readingOrder="2"/>
    </xf>
    <xf numFmtId="0" fontId="3" fillId="4" borderId="0" xfId="2" applyFont="1" applyFill="1" applyAlignment="1">
      <alignment horizontal="left" vertical="center" wrapText="1" readingOrder="1"/>
    </xf>
    <xf numFmtId="0" fontId="3" fillId="4" borderId="0" xfId="2" applyFont="1" applyFill="1" applyAlignment="1">
      <alignment horizontal="center" vertical="center"/>
    </xf>
    <xf numFmtId="0" fontId="3" fillId="0" borderId="0" xfId="1" applyFont="1" applyAlignment="1">
      <alignment horizontal="right" vertical="center" readingOrder="2"/>
    </xf>
    <xf numFmtId="49" fontId="2" fillId="0" borderId="0" xfId="1" applyNumberFormat="1" applyFont="1" applyBorder="1" applyAlignment="1">
      <alignment horizontal="center" vertical="center"/>
    </xf>
    <xf numFmtId="0" fontId="8" fillId="0" borderId="0" xfId="1" applyFont="1" applyAlignment="1">
      <alignment horizontal="center" vertical="top" wrapText="1" readingOrder="2"/>
    </xf>
    <xf numFmtId="0" fontId="8" fillId="0" borderId="0" xfId="1" applyFont="1" applyAlignment="1">
      <alignment horizontal="center" vertical="center" wrapText="1" readingOrder="1"/>
    </xf>
    <xf numFmtId="0" fontId="8" fillId="0" borderId="0" xfId="1" applyFont="1" applyBorder="1" applyAlignment="1">
      <alignment vertical="center" wrapText="1" readingOrder="2"/>
    </xf>
    <xf numFmtId="0" fontId="10" fillId="0" borderId="0" xfId="1" applyFont="1" applyFill="1" applyBorder="1" applyAlignment="1">
      <alignment vertical="center"/>
    </xf>
    <xf numFmtId="0" fontId="10" fillId="0" borderId="0" xfId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left" vertical="center"/>
    </xf>
    <xf numFmtId="0" fontId="8" fillId="0" borderId="0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vertical="center"/>
    </xf>
    <xf numFmtId="0" fontId="10" fillId="0" borderId="0" xfId="1" applyFont="1" applyFill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vertical="center"/>
    </xf>
    <xf numFmtId="0" fontId="8" fillId="2" borderId="8" xfId="1" applyFont="1" applyFill="1" applyBorder="1" applyAlignment="1">
      <alignment horizontal="right" vertical="center"/>
    </xf>
    <xf numFmtId="0" fontId="8" fillId="2" borderId="8" xfId="1" quotePrefix="1" applyFont="1" applyFill="1" applyBorder="1" applyAlignment="1">
      <alignment horizontal="center" vertical="center" wrapText="1"/>
    </xf>
    <xf numFmtId="0" fontId="11" fillId="0" borderId="2" xfId="2" applyFont="1" applyBorder="1" applyAlignment="1">
      <alignment horizontal="right" vertical="center" readingOrder="2"/>
    </xf>
    <xf numFmtId="1" fontId="11" fillId="0" borderId="2" xfId="1" applyNumberFormat="1" applyFont="1" applyBorder="1" applyAlignment="1">
      <alignment horizontal="left" vertical="center" readingOrder="1"/>
    </xf>
    <xf numFmtId="1" fontId="11" fillId="0" borderId="5" xfId="1" applyNumberFormat="1" applyFont="1" applyBorder="1" applyAlignment="1">
      <alignment horizontal="center" vertical="center" readingOrder="1"/>
    </xf>
    <xf numFmtId="1" fontId="11" fillId="0" borderId="2" xfId="1" applyNumberFormat="1" applyFont="1" applyBorder="1" applyAlignment="1">
      <alignment horizontal="center" vertical="center" readingOrder="1"/>
    </xf>
    <xf numFmtId="1" fontId="11" fillId="0" borderId="5" xfId="1" applyNumberFormat="1" applyFont="1" applyBorder="1" applyAlignment="1">
      <alignment horizontal="center" vertical="center"/>
    </xf>
    <xf numFmtId="1" fontId="11" fillId="0" borderId="3" xfId="1" applyNumberFormat="1" applyFont="1" applyBorder="1" applyAlignment="1">
      <alignment horizontal="center" vertical="center"/>
    </xf>
    <xf numFmtId="1" fontId="11" fillId="0" borderId="2" xfId="1" applyNumberFormat="1" applyFont="1" applyBorder="1" applyAlignment="1">
      <alignment horizontal="center" vertical="center"/>
    </xf>
    <xf numFmtId="0" fontId="11" fillId="0" borderId="5" xfId="2" applyFont="1" applyBorder="1" applyAlignment="1">
      <alignment horizontal="right" vertical="center" readingOrder="2"/>
    </xf>
    <xf numFmtId="1" fontId="11" fillId="0" borderId="5" xfId="1" applyNumberFormat="1" applyFont="1" applyBorder="1" applyAlignment="1">
      <alignment horizontal="left" vertical="center" readingOrder="1"/>
    </xf>
    <xf numFmtId="1" fontId="11" fillId="0" borderId="9" xfId="1" applyNumberFormat="1" applyFont="1" applyBorder="1" applyAlignment="1">
      <alignment horizontal="center" vertical="center"/>
    </xf>
    <xf numFmtId="0" fontId="10" fillId="0" borderId="5" xfId="2" applyFont="1" applyBorder="1" applyAlignment="1">
      <alignment horizontal="right" vertical="center" indent="1" readingOrder="2"/>
    </xf>
    <xf numFmtId="1" fontId="10" fillId="0" borderId="5" xfId="1" applyNumberFormat="1" applyFont="1" applyBorder="1" applyAlignment="1">
      <alignment horizontal="left" vertical="center" indent="1" readingOrder="1"/>
    </xf>
    <xf numFmtId="1" fontId="10" fillId="0" borderId="5" xfId="1" applyNumberFormat="1" applyFont="1" applyBorder="1" applyAlignment="1">
      <alignment horizontal="center" vertical="center" readingOrder="1"/>
    </xf>
    <xf numFmtId="1" fontId="10" fillId="0" borderId="5" xfId="1" applyNumberFormat="1" applyFont="1" applyBorder="1" applyAlignment="1">
      <alignment horizontal="center" vertical="center"/>
    </xf>
    <xf numFmtId="1" fontId="10" fillId="0" borderId="9" xfId="1" applyNumberFormat="1" applyFont="1" applyBorder="1" applyAlignment="1">
      <alignment horizontal="center" vertical="center"/>
    </xf>
    <xf numFmtId="1" fontId="8" fillId="0" borderId="9" xfId="1" applyNumberFormat="1" applyFont="1" applyBorder="1" applyAlignment="1">
      <alignment horizontal="center" vertical="center"/>
    </xf>
    <xf numFmtId="1" fontId="8" fillId="0" borderId="5" xfId="1" applyNumberFormat="1" applyFont="1" applyBorder="1" applyAlignment="1">
      <alignment horizontal="center" vertical="center"/>
    </xf>
    <xf numFmtId="0" fontId="10" fillId="0" borderId="5" xfId="2" applyFont="1" applyBorder="1" applyAlignment="1">
      <alignment horizontal="right" vertical="center" indent="2" readingOrder="2"/>
    </xf>
    <xf numFmtId="1" fontId="10" fillId="0" borderId="5" xfId="1" applyNumberFormat="1" applyFont="1" applyBorder="1" applyAlignment="1">
      <alignment horizontal="left" vertical="center" indent="2" readingOrder="1"/>
    </xf>
    <xf numFmtId="0" fontId="11" fillId="0" borderId="5" xfId="1" applyFont="1" applyBorder="1" applyAlignment="1">
      <alignment horizontal="right" vertical="center" readingOrder="2"/>
    </xf>
    <xf numFmtId="0" fontId="11" fillId="0" borderId="5" xfId="2" applyFont="1" applyBorder="1" applyAlignment="1">
      <alignment horizontal="right" vertical="center" indent="1" readingOrder="2"/>
    </xf>
    <xf numFmtId="1" fontId="11" fillId="0" borderId="5" xfId="1" applyNumberFormat="1" applyFont="1" applyBorder="1" applyAlignment="1">
      <alignment horizontal="left" vertical="center" indent="1" readingOrder="1"/>
    </xf>
    <xf numFmtId="0" fontId="8" fillId="0" borderId="5" xfId="2" applyFont="1" applyBorder="1" applyAlignment="1">
      <alignment horizontal="right" vertical="center" readingOrder="2"/>
    </xf>
    <xf numFmtId="1" fontId="8" fillId="0" borderId="5" xfId="1" applyNumberFormat="1" applyFont="1" applyBorder="1" applyAlignment="1">
      <alignment horizontal="left" vertical="center" indent="1" readingOrder="1"/>
    </xf>
    <xf numFmtId="1" fontId="11" fillId="0" borderId="5" xfId="1" applyNumberFormat="1" applyFont="1" applyBorder="1" applyAlignment="1">
      <alignment horizontal="left" vertical="center" wrapText="1" readingOrder="1"/>
    </xf>
    <xf numFmtId="0" fontId="10" fillId="0" borderId="8" xfId="2" applyFont="1" applyBorder="1" applyAlignment="1">
      <alignment horizontal="right" vertical="center" indent="1" readingOrder="2"/>
    </xf>
    <xf numFmtId="1" fontId="10" fillId="0" borderId="8" xfId="1" applyNumberFormat="1" applyFont="1" applyBorder="1" applyAlignment="1">
      <alignment horizontal="left" vertical="center" indent="1" readingOrder="1"/>
    </xf>
    <xf numFmtId="1" fontId="10" fillId="0" borderId="8" xfId="1" applyNumberFormat="1" applyFont="1" applyBorder="1" applyAlignment="1">
      <alignment horizontal="center" vertical="center" readingOrder="1"/>
    </xf>
    <xf numFmtId="1" fontId="10" fillId="0" borderId="8" xfId="1" applyNumberFormat="1" applyFont="1" applyBorder="1" applyAlignment="1">
      <alignment horizontal="center" vertical="center"/>
    </xf>
    <xf numFmtId="1" fontId="10" fillId="0" borderId="6" xfId="1" applyNumberFormat="1" applyFont="1" applyBorder="1" applyAlignment="1">
      <alignment horizontal="center" vertical="center"/>
    </xf>
    <xf numFmtId="1" fontId="12" fillId="0" borderId="5" xfId="1" applyNumberFormat="1" applyFont="1" applyFill="1" applyBorder="1" applyAlignment="1">
      <alignment horizontal="left" vertical="center" readingOrder="1"/>
    </xf>
    <xf numFmtId="1" fontId="13" fillId="0" borderId="5" xfId="1" applyNumberFormat="1" applyFont="1" applyFill="1" applyBorder="1" applyAlignment="1">
      <alignment horizontal="left" vertical="center" indent="1" readingOrder="1"/>
    </xf>
    <xf numFmtId="0" fontId="8" fillId="0" borderId="5" xfId="2" applyFont="1" applyBorder="1" applyAlignment="1">
      <alignment horizontal="right" vertical="center" indent="1" readingOrder="2"/>
    </xf>
    <xf numFmtId="1" fontId="8" fillId="0" borderId="5" xfId="1" applyNumberFormat="1" applyFont="1" applyBorder="1" applyAlignment="1">
      <alignment horizontal="center" vertical="center" readingOrder="1"/>
    </xf>
    <xf numFmtId="0" fontId="8" fillId="2" borderId="3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49" fontId="2" fillId="0" borderId="0" xfId="1" applyNumberFormat="1" applyFont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1" fontId="11" fillId="0" borderId="2" xfId="1" applyNumberFormat="1" applyFont="1" applyFill="1" applyBorder="1" applyAlignment="1">
      <alignment horizontal="center" vertical="center"/>
    </xf>
    <xf numFmtId="1" fontId="11" fillId="0" borderId="5" xfId="1" applyNumberFormat="1" applyFont="1" applyFill="1" applyBorder="1" applyAlignment="1">
      <alignment horizontal="center" vertical="center"/>
    </xf>
    <xf numFmtId="1" fontId="10" fillId="0" borderId="5" xfId="1" applyNumberFormat="1" applyFont="1" applyFill="1" applyBorder="1" applyAlignment="1">
      <alignment horizontal="center" vertical="center"/>
    </xf>
    <xf numFmtId="1" fontId="8" fillId="0" borderId="5" xfId="1" applyNumberFormat="1" applyFont="1" applyFill="1" applyBorder="1" applyAlignment="1">
      <alignment horizontal="center" vertical="center"/>
    </xf>
    <xf numFmtId="1" fontId="10" fillId="0" borderId="10" xfId="1" applyNumberFormat="1" applyFont="1" applyFill="1" applyBorder="1" applyAlignment="1">
      <alignment horizontal="center" vertical="center"/>
    </xf>
    <xf numFmtId="1" fontId="10" fillId="0" borderId="8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DDD8153E-A67B-4103-8408-6B31164C1C94}"/>
    <cellStyle name="Normal_wafaa file_12_22-24_26-34 2" xfId="1" xr:uid="{15871287-C4DD-439B-AE7C-C57E416B5E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A4A65-251C-48D6-BBE0-28D57ACF1B7B}">
  <dimension ref="A1:BI1303"/>
  <sheetViews>
    <sheetView tabSelected="1" view="pageBreakPreview" zoomScale="50" zoomScaleNormal="50" zoomScaleSheetLayoutView="50" workbookViewId="0">
      <pane xSplit="2" topLeftCell="AJ1" activePane="topRight" state="frozenSplit"/>
      <selection pane="topRight" activeCell="AM3" sqref="AM3:AN4"/>
    </sheetView>
  </sheetViews>
  <sheetFormatPr defaultColWidth="9.109375" defaultRowHeight="17.399999999999999" x14ac:dyDescent="0.3"/>
  <cols>
    <col min="1" max="1" width="62.6640625" style="2" customWidth="1"/>
    <col min="2" max="2" width="76.109375" style="2" customWidth="1"/>
    <col min="3" max="16" width="25.6640625" style="10" customWidth="1"/>
    <col min="17" max="20" width="25.6640625" style="2" customWidth="1"/>
    <col min="21" max="21" width="25.6640625" style="10" customWidth="1"/>
    <col min="22" max="22" width="25.6640625" style="2" customWidth="1"/>
    <col min="23" max="23" width="25.6640625" style="10" customWidth="1"/>
    <col min="24" max="24" width="25.6640625" style="2" customWidth="1"/>
    <col min="25" max="25" width="25.6640625" style="10" customWidth="1"/>
    <col min="26" max="34" width="25.6640625" style="2" customWidth="1"/>
    <col min="35" max="40" width="24.6640625" style="2" customWidth="1"/>
    <col min="41" max="16384" width="9.109375" style="2"/>
  </cols>
  <sheetData>
    <row r="1" spans="1:61" ht="48.6" customHeight="1" x14ac:dyDescent="0.3">
      <c r="A1" s="17" t="s">
        <v>76</v>
      </c>
      <c r="B1" s="18" t="s">
        <v>77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  <c r="R1" s="20"/>
      <c r="S1" s="20"/>
      <c r="T1" s="20"/>
      <c r="U1" s="21"/>
      <c r="V1" s="20"/>
      <c r="W1" s="21"/>
      <c r="X1" s="20"/>
      <c r="Y1" s="21"/>
      <c r="Z1" s="20"/>
      <c r="AA1" s="20"/>
      <c r="AB1" s="20"/>
      <c r="AC1" s="20"/>
      <c r="AD1" s="20"/>
      <c r="AE1" s="20"/>
      <c r="AF1" s="20"/>
      <c r="AG1" s="20"/>
      <c r="AH1" s="20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s="3" customFormat="1" ht="25.95" customHeight="1" x14ac:dyDescent="0.3">
      <c r="A2" s="21"/>
      <c r="B2" s="22"/>
      <c r="C2" s="21"/>
      <c r="D2" s="23" t="s">
        <v>0</v>
      </c>
      <c r="E2" s="21"/>
      <c r="F2" s="23" t="s">
        <v>0</v>
      </c>
      <c r="G2" s="21"/>
      <c r="H2" s="23" t="s">
        <v>0</v>
      </c>
      <c r="I2" s="21"/>
      <c r="J2" s="23" t="s">
        <v>0</v>
      </c>
      <c r="K2" s="21"/>
      <c r="L2" s="23" t="s">
        <v>0</v>
      </c>
      <c r="M2" s="21"/>
      <c r="N2" s="23" t="s">
        <v>0</v>
      </c>
      <c r="O2" s="24"/>
      <c r="P2" s="23" t="s">
        <v>0</v>
      </c>
      <c r="Q2" s="25"/>
      <c r="R2" s="23" t="s">
        <v>0</v>
      </c>
      <c r="S2" s="25"/>
      <c r="T2" s="23" t="s">
        <v>0</v>
      </c>
      <c r="U2" s="25"/>
      <c r="V2" s="23" t="s">
        <v>0</v>
      </c>
      <c r="W2" s="25"/>
      <c r="X2" s="23" t="s">
        <v>0</v>
      </c>
      <c r="Y2" s="25"/>
      <c r="Z2" s="23" t="s">
        <v>0</v>
      </c>
      <c r="AA2" s="25"/>
      <c r="AB2" s="23" t="s">
        <v>0</v>
      </c>
      <c r="AC2" s="25"/>
      <c r="AD2" s="23" t="s">
        <v>0</v>
      </c>
      <c r="AE2" s="25"/>
      <c r="AF2" s="23" t="s">
        <v>0</v>
      </c>
      <c r="AG2" s="25"/>
      <c r="AH2" s="23" t="s">
        <v>0</v>
      </c>
      <c r="AJ2" s="23" t="s">
        <v>0</v>
      </c>
      <c r="AL2" s="23" t="s">
        <v>0</v>
      </c>
      <c r="AN2" s="23" t="s">
        <v>0</v>
      </c>
    </row>
    <row r="3" spans="1:61" s="5" customFormat="1" ht="15" customHeight="1" x14ac:dyDescent="0.3">
      <c r="A3" s="26"/>
      <c r="B3" s="70" t="s">
        <v>1</v>
      </c>
      <c r="C3" s="65" t="s">
        <v>2</v>
      </c>
      <c r="D3" s="66"/>
      <c r="E3" s="65" t="s">
        <v>3</v>
      </c>
      <c r="F3" s="66"/>
      <c r="G3" s="65" t="s">
        <v>4</v>
      </c>
      <c r="H3" s="66"/>
      <c r="I3" s="65" t="s">
        <v>5</v>
      </c>
      <c r="J3" s="66"/>
      <c r="K3" s="65" t="s">
        <v>6</v>
      </c>
      <c r="L3" s="66"/>
      <c r="M3" s="65" t="s">
        <v>7</v>
      </c>
      <c r="N3" s="66"/>
      <c r="O3" s="65" t="s">
        <v>8</v>
      </c>
      <c r="P3" s="66"/>
      <c r="Q3" s="65" t="s">
        <v>9</v>
      </c>
      <c r="R3" s="66"/>
      <c r="S3" s="65" t="s">
        <v>10</v>
      </c>
      <c r="T3" s="66"/>
      <c r="U3" s="65" t="s">
        <v>11</v>
      </c>
      <c r="V3" s="66"/>
      <c r="W3" s="65" t="s">
        <v>12</v>
      </c>
      <c r="X3" s="66"/>
      <c r="Y3" s="65" t="s">
        <v>13</v>
      </c>
      <c r="Z3" s="66"/>
      <c r="AA3" s="65" t="s">
        <v>14</v>
      </c>
      <c r="AB3" s="66"/>
      <c r="AC3" s="65" t="s">
        <v>15</v>
      </c>
      <c r="AD3" s="66"/>
      <c r="AE3" s="65" t="s">
        <v>16</v>
      </c>
      <c r="AF3" s="66"/>
      <c r="AG3" s="65" t="s">
        <v>17</v>
      </c>
      <c r="AH3" s="66"/>
      <c r="AI3" s="65" t="s">
        <v>81</v>
      </c>
      <c r="AJ3" s="66"/>
      <c r="AK3" s="65" t="s">
        <v>84</v>
      </c>
      <c r="AL3" s="66"/>
      <c r="AM3" s="65" t="s">
        <v>87</v>
      </c>
      <c r="AN3" s="66"/>
    </row>
    <row r="4" spans="1:61" s="5" customFormat="1" ht="15" customHeight="1" x14ac:dyDescent="0.3">
      <c r="A4" s="27"/>
      <c r="B4" s="71"/>
      <c r="C4" s="67"/>
      <c r="D4" s="68"/>
      <c r="E4" s="67"/>
      <c r="F4" s="68"/>
      <c r="G4" s="67"/>
      <c r="H4" s="68"/>
      <c r="I4" s="67"/>
      <c r="J4" s="68"/>
      <c r="K4" s="67"/>
      <c r="L4" s="68"/>
      <c r="M4" s="67"/>
      <c r="N4" s="68"/>
      <c r="O4" s="67"/>
      <c r="P4" s="68"/>
      <c r="Q4" s="67"/>
      <c r="R4" s="68"/>
      <c r="S4" s="67"/>
      <c r="T4" s="68"/>
      <c r="U4" s="67"/>
      <c r="V4" s="68"/>
      <c r="W4" s="67"/>
      <c r="X4" s="68"/>
      <c r="Y4" s="67"/>
      <c r="Z4" s="68"/>
      <c r="AA4" s="67"/>
      <c r="AB4" s="68"/>
      <c r="AC4" s="67"/>
      <c r="AD4" s="68"/>
      <c r="AE4" s="67"/>
      <c r="AF4" s="68"/>
      <c r="AG4" s="67"/>
      <c r="AH4" s="68"/>
      <c r="AI4" s="67"/>
      <c r="AJ4" s="68"/>
      <c r="AK4" s="67"/>
      <c r="AL4" s="68"/>
      <c r="AM4" s="67"/>
      <c r="AN4" s="68"/>
    </row>
    <row r="5" spans="1:61" s="4" customFormat="1" ht="71.400000000000006" customHeight="1" x14ac:dyDescent="0.3">
      <c r="A5" s="28"/>
      <c r="B5" s="29"/>
      <c r="C5" s="30" t="s">
        <v>18</v>
      </c>
      <c r="D5" s="30" t="s">
        <v>19</v>
      </c>
      <c r="E5" s="30" t="s">
        <v>18</v>
      </c>
      <c r="F5" s="30" t="s">
        <v>19</v>
      </c>
      <c r="G5" s="30" t="s">
        <v>18</v>
      </c>
      <c r="H5" s="30" t="s">
        <v>19</v>
      </c>
      <c r="I5" s="30" t="s">
        <v>18</v>
      </c>
      <c r="J5" s="30" t="s">
        <v>19</v>
      </c>
      <c r="K5" s="30" t="s">
        <v>18</v>
      </c>
      <c r="L5" s="30" t="s">
        <v>19</v>
      </c>
      <c r="M5" s="30" t="s">
        <v>18</v>
      </c>
      <c r="N5" s="30" t="s">
        <v>19</v>
      </c>
      <c r="O5" s="30" t="s">
        <v>18</v>
      </c>
      <c r="P5" s="30" t="s">
        <v>19</v>
      </c>
      <c r="Q5" s="30" t="s">
        <v>18</v>
      </c>
      <c r="R5" s="30" t="s">
        <v>19</v>
      </c>
      <c r="S5" s="30" t="s">
        <v>18</v>
      </c>
      <c r="T5" s="30" t="s">
        <v>19</v>
      </c>
      <c r="U5" s="30" t="s">
        <v>18</v>
      </c>
      <c r="V5" s="30" t="s">
        <v>19</v>
      </c>
      <c r="W5" s="30" t="s">
        <v>18</v>
      </c>
      <c r="X5" s="30" t="s">
        <v>20</v>
      </c>
      <c r="Y5" s="30" t="s">
        <v>18</v>
      </c>
      <c r="Z5" s="30" t="s">
        <v>20</v>
      </c>
      <c r="AA5" s="30" t="s">
        <v>18</v>
      </c>
      <c r="AB5" s="30" t="s">
        <v>20</v>
      </c>
      <c r="AC5" s="30" t="s">
        <v>18</v>
      </c>
      <c r="AD5" s="30" t="s">
        <v>20</v>
      </c>
      <c r="AE5" s="30" t="s">
        <v>18</v>
      </c>
      <c r="AF5" s="30" t="s">
        <v>20</v>
      </c>
      <c r="AG5" s="30" t="s">
        <v>18</v>
      </c>
      <c r="AH5" s="30" t="s">
        <v>20</v>
      </c>
      <c r="AI5" s="30" t="s">
        <v>18</v>
      </c>
      <c r="AJ5" s="30" t="s">
        <v>20</v>
      </c>
      <c r="AK5" s="30" t="s">
        <v>18</v>
      </c>
      <c r="AL5" s="30" t="s">
        <v>20</v>
      </c>
      <c r="AM5" s="30" t="s">
        <v>18</v>
      </c>
      <c r="AN5" s="30" t="s">
        <v>20</v>
      </c>
    </row>
    <row r="6" spans="1:61" s="6" customFormat="1" ht="30" customHeight="1" x14ac:dyDescent="0.3">
      <c r="A6" s="31" t="s">
        <v>21</v>
      </c>
      <c r="B6" s="32" t="s">
        <v>22</v>
      </c>
      <c r="C6" s="33">
        <v>222029</v>
      </c>
      <c r="D6" s="33">
        <v>244018</v>
      </c>
      <c r="E6" s="33">
        <v>282290</v>
      </c>
      <c r="F6" s="33">
        <v>305795</v>
      </c>
      <c r="G6" s="33">
        <v>351500</v>
      </c>
      <c r="H6" s="33">
        <v>356944</v>
      </c>
      <c r="I6" s="33">
        <v>365987</v>
      </c>
      <c r="J6" s="33">
        <v>396768</v>
      </c>
      <c r="K6" s="34">
        <v>401866</v>
      </c>
      <c r="L6" s="34">
        <v>440410</v>
      </c>
      <c r="M6" s="35">
        <v>470992</v>
      </c>
      <c r="N6" s="35">
        <v>516422</v>
      </c>
      <c r="O6" s="35">
        <v>588188</v>
      </c>
      <c r="P6" s="35">
        <v>644080</v>
      </c>
      <c r="Q6" s="35">
        <v>701514</v>
      </c>
      <c r="R6" s="35">
        <v>759847</v>
      </c>
      <c r="S6" s="35">
        <v>733350</v>
      </c>
      <c r="T6" s="35">
        <v>805929</v>
      </c>
      <c r="U6" s="36">
        <v>817844</v>
      </c>
      <c r="V6" s="37" t="s">
        <v>23</v>
      </c>
      <c r="W6" s="36">
        <v>1031941</v>
      </c>
      <c r="X6" s="37">
        <v>1116985</v>
      </c>
      <c r="Y6" s="36">
        <v>1229132</v>
      </c>
      <c r="Z6" s="37">
        <v>1335980</v>
      </c>
      <c r="AA6" s="72">
        <v>1369870</v>
      </c>
      <c r="AB6" s="37">
        <v>1505187</v>
      </c>
      <c r="AC6" s="36">
        <v>1434724</v>
      </c>
      <c r="AD6" s="37">
        <v>1580934</v>
      </c>
      <c r="AE6" s="36">
        <v>1578774</v>
      </c>
      <c r="AF6" s="37">
        <v>1729464</v>
      </c>
      <c r="AG6" s="37">
        <f>AG7+AG11+AG15+AG20+AG30+AG33</f>
        <v>1812074</v>
      </c>
      <c r="AH6" s="37">
        <f>AH7+AH11+AH15+AH20+AH30+AH33</f>
        <v>1937165</v>
      </c>
      <c r="AI6" s="37">
        <f>AI7+AI11+AI15+AI20+AI30+AI33</f>
        <v>2184783</v>
      </c>
      <c r="AJ6" s="37">
        <f>AJ7+AJ11+AJ15+AJ20+AJ30+AJ33</f>
        <v>2309495</v>
      </c>
      <c r="AK6" s="37">
        <f t="shared" ref="AK6:AN6" si="0">AK7+AK11+AK15+AK20+AK30+AK33</f>
        <v>3016951</v>
      </c>
      <c r="AL6" s="37">
        <f t="shared" si="0"/>
        <v>3188425</v>
      </c>
      <c r="AM6" s="37">
        <f t="shared" si="0"/>
        <v>3904865</v>
      </c>
      <c r="AN6" s="37">
        <f t="shared" si="0"/>
        <v>4111401</v>
      </c>
    </row>
    <row r="7" spans="1:61" s="6" customFormat="1" ht="30" customHeight="1" x14ac:dyDescent="0.3">
      <c r="A7" s="38" t="s">
        <v>24</v>
      </c>
      <c r="B7" s="61" t="s">
        <v>82</v>
      </c>
      <c r="C7" s="33">
        <v>52153</v>
      </c>
      <c r="D7" s="33">
        <v>52746</v>
      </c>
      <c r="E7" s="33">
        <v>62839</v>
      </c>
      <c r="F7" s="33">
        <v>63531</v>
      </c>
      <c r="G7" s="33">
        <v>76147</v>
      </c>
      <c r="H7" s="33">
        <v>76968</v>
      </c>
      <c r="I7" s="33">
        <v>85369</v>
      </c>
      <c r="J7" s="33">
        <v>86377</v>
      </c>
      <c r="K7" s="33">
        <v>96271</v>
      </c>
      <c r="L7" s="33">
        <v>97558</v>
      </c>
      <c r="M7" s="35">
        <v>122818</v>
      </c>
      <c r="N7" s="35">
        <v>124457</v>
      </c>
      <c r="O7" s="35">
        <v>142956</v>
      </c>
      <c r="P7" s="35">
        <v>145064</v>
      </c>
      <c r="Q7" s="35">
        <v>178589</v>
      </c>
      <c r="R7" s="35">
        <v>180829</v>
      </c>
      <c r="S7" s="35">
        <v>198468</v>
      </c>
      <c r="T7" s="35">
        <v>200933</v>
      </c>
      <c r="U7" s="40">
        <v>213721</v>
      </c>
      <c r="V7" s="35" t="s">
        <v>23</v>
      </c>
      <c r="W7" s="40">
        <v>225513</v>
      </c>
      <c r="X7" s="35">
        <v>227709</v>
      </c>
      <c r="Y7" s="40">
        <v>236920</v>
      </c>
      <c r="Z7" s="35">
        <v>239076</v>
      </c>
      <c r="AA7" s="73">
        <v>266091</v>
      </c>
      <c r="AB7" s="35">
        <v>268373</v>
      </c>
      <c r="AC7" s="40">
        <v>288773</v>
      </c>
      <c r="AD7" s="35">
        <v>291234</v>
      </c>
      <c r="AE7" s="40">
        <v>318806</v>
      </c>
      <c r="AF7" s="35">
        <v>322004</v>
      </c>
      <c r="AG7" s="35">
        <f t="shared" ref="AG7:AN7" si="1">AG8+AG9+AG10</f>
        <v>358184</v>
      </c>
      <c r="AH7" s="35">
        <f t="shared" si="1"/>
        <v>330799</v>
      </c>
      <c r="AI7" s="35">
        <f t="shared" si="1"/>
        <v>412463</v>
      </c>
      <c r="AJ7" s="35">
        <f t="shared" si="1"/>
        <v>380369</v>
      </c>
      <c r="AK7" s="35">
        <f t="shared" si="1"/>
        <v>512621</v>
      </c>
      <c r="AL7" s="35">
        <f t="shared" si="1"/>
        <v>472807</v>
      </c>
      <c r="AM7" s="35">
        <f t="shared" si="1"/>
        <v>588055</v>
      </c>
      <c r="AN7" s="35">
        <f t="shared" si="1"/>
        <v>543053</v>
      </c>
    </row>
    <row r="8" spans="1:61" s="7" customFormat="1" ht="30" customHeight="1" x14ac:dyDescent="0.3">
      <c r="A8" s="41" t="s">
        <v>25</v>
      </c>
      <c r="B8" s="62" t="s">
        <v>83</v>
      </c>
      <c r="C8" s="43">
        <v>42399</v>
      </c>
      <c r="D8" s="43">
        <v>42935</v>
      </c>
      <c r="E8" s="43">
        <v>51172</v>
      </c>
      <c r="F8" s="43">
        <v>51809</v>
      </c>
      <c r="G8" s="43">
        <v>62658</v>
      </c>
      <c r="H8" s="43">
        <v>63412</v>
      </c>
      <c r="I8" s="43">
        <v>70321</v>
      </c>
      <c r="J8" s="43">
        <v>71247</v>
      </c>
      <c r="K8" s="43">
        <v>78270</v>
      </c>
      <c r="L8" s="43">
        <v>79377</v>
      </c>
      <c r="M8" s="44">
        <v>99926</v>
      </c>
      <c r="N8" s="44">
        <v>101432</v>
      </c>
      <c r="O8" s="44">
        <v>118196</v>
      </c>
      <c r="P8" s="44">
        <v>120157</v>
      </c>
      <c r="Q8" s="44">
        <v>146869</v>
      </c>
      <c r="R8" s="44">
        <v>148940</v>
      </c>
      <c r="S8" s="44">
        <v>162311</v>
      </c>
      <c r="T8" s="44">
        <v>164597</v>
      </c>
      <c r="U8" s="45">
        <v>173827</v>
      </c>
      <c r="V8" s="44" t="s">
        <v>23</v>
      </c>
      <c r="W8" s="44">
        <v>181245</v>
      </c>
      <c r="X8" s="44">
        <v>183249</v>
      </c>
      <c r="Y8" s="44">
        <v>192920</v>
      </c>
      <c r="Z8" s="44">
        <v>194859</v>
      </c>
      <c r="AA8" s="74">
        <v>217592</v>
      </c>
      <c r="AB8" s="44">
        <v>219602</v>
      </c>
      <c r="AC8" s="45">
        <v>236561</v>
      </c>
      <c r="AD8" s="44">
        <v>238715</v>
      </c>
      <c r="AE8" s="45">
        <v>261244</v>
      </c>
      <c r="AF8" s="44">
        <v>264071</v>
      </c>
      <c r="AG8" s="44">
        <v>293833</v>
      </c>
      <c r="AH8" s="44">
        <v>297012</v>
      </c>
      <c r="AI8" s="44">
        <v>338232</v>
      </c>
      <c r="AJ8" s="44">
        <v>342101</v>
      </c>
      <c r="AK8" s="44">
        <v>423157</v>
      </c>
      <c r="AL8" s="44">
        <v>427507</v>
      </c>
      <c r="AM8" s="44">
        <v>487183</v>
      </c>
      <c r="AN8" s="44">
        <v>492047</v>
      </c>
    </row>
    <row r="9" spans="1:61" s="7" customFormat="1" ht="30" customHeight="1" x14ac:dyDescent="0.3">
      <c r="A9" s="41" t="s">
        <v>26</v>
      </c>
      <c r="B9" s="42" t="s">
        <v>27</v>
      </c>
      <c r="C9" s="43">
        <v>5518</v>
      </c>
      <c r="D9" s="43">
        <v>5570</v>
      </c>
      <c r="E9" s="43">
        <v>6165</v>
      </c>
      <c r="F9" s="43">
        <v>6214</v>
      </c>
      <c r="G9" s="43">
        <v>7210</v>
      </c>
      <c r="H9" s="43">
        <v>7276</v>
      </c>
      <c r="I9" s="43">
        <v>7850</v>
      </c>
      <c r="J9" s="43">
        <v>7918</v>
      </c>
      <c r="K9" s="43">
        <v>9103</v>
      </c>
      <c r="L9" s="43">
        <v>9191</v>
      </c>
      <c r="M9" s="44">
        <v>11589</v>
      </c>
      <c r="N9" s="44">
        <v>11706</v>
      </c>
      <c r="O9" s="44">
        <v>13675</v>
      </c>
      <c r="P9" s="44">
        <v>13804</v>
      </c>
      <c r="Q9" s="44">
        <v>16705</v>
      </c>
      <c r="R9" s="44">
        <v>16852</v>
      </c>
      <c r="S9" s="44">
        <v>18997</v>
      </c>
      <c r="T9" s="44">
        <v>19159</v>
      </c>
      <c r="U9" s="45">
        <v>20606</v>
      </c>
      <c r="V9" s="44" t="s">
        <v>23</v>
      </c>
      <c r="W9" s="44">
        <v>23184</v>
      </c>
      <c r="X9" s="44">
        <v>23358</v>
      </c>
      <c r="Y9" s="44">
        <v>26303</v>
      </c>
      <c r="Z9" s="44">
        <v>26495</v>
      </c>
      <c r="AA9" s="74">
        <v>30520</v>
      </c>
      <c r="AB9" s="44">
        <v>30760</v>
      </c>
      <c r="AC9" s="45">
        <v>32981</v>
      </c>
      <c r="AD9" s="44">
        <v>33246</v>
      </c>
      <c r="AE9" s="45">
        <v>35530</v>
      </c>
      <c r="AF9" s="44">
        <v>35852</v>
      </c>
      <c r="AG9" s="44">
        <v>40333</v>
      </c>
      <c r="AH9" s="44">
        <v>9723</v>
      </c>
      <c r="AI9" s="44">
        <v>47797</v>
      </c>
      <c r="AJ9" s="44">
        <v>11770</v>
      </c>
      <c r="AK9" s="44">
        <v>58453</v>
      </c>
      <c r="AL9" s="44">
        <v>14220</v>
      </c>
      <c r="AM9" s="44">
        <v>66195</v>
      </c>
      <c r="AN9" s="44">
        <v>16239</v>
      </c>
    </row>
    <row r="10" spans="1:61" s="7" customFormat="1" ht="30" customHeight="1" x14ac:dyDescent="0.3">
      <c r="A10" s="41" t="s">
        <v>28</v>
      </c>
      <c r="B10" s="42" t="s">
        <v>29</v>
      </c>
      <c r="C10" s="43">
        <v>4236</v>
      </c>
      <c r="D10" s="43">
        <v>4241</v>
      </c>
      <c r="E10" s="43">
        <v>5502</v>
      </c>
      <c r="F10" s="43">
        <v>5508</v>
      </c>
      <c r="G10" s="43">
        <v>6279</v>
      </c>
      <c r="H10" s="43">
        <v>6280</v>
      </c>
      <c r="I10" s="43">
        <v>7198</v>
      </c>
      <c r="J10" s="43">
        <v>7212</v>
      </c>
      <c r="K10" s="43">
        <v>8898</v>
      </c>
      <c r="L10" s="43">
        <v>8990</v>
      </c>
      <c r="M10" s="44">
        <v>11303</v>
      </c>
      <c r="N10" s="44">
        <v>11319</v>
      </c>
      <c r="O10" s="44">
        <v>11085</v>
      </c>
      <c r="P10" s="44">
        <v>11103</v>
      </c>
      <c r="Q10" s="44">
        <v>15015</v>
      </c>
      <c r="R10" s="44">
        <v>15037</v>
      </c>
      <c r="S10" s="44">
        <v>17160</v>
      </c>
      <c r="T10" s="44">
        <v>17177</v>
      </c>
      <c r="U10" s="45">
        <v>19288</v>
      </c>
      <c r="V10" s="44" t="s">
        <v>23</v>
      </c>
      <c r="W10" s="44">
        <v>21084</v>
      </c>
      <c r="X10" s="44">
        <v>21102</v>
      </c>
      <c r="Y10" s="44">
        <v>17697</v>
      </c>
      <c r="Z10" s="44">
        <v>17722</v>
      </c>
      <c r="AA10" s="74">
        <v>17979</v>
      </c>
      <c r="AB10" s="44">
        <v>18011</v>
      </c>
      <c r="AC10" s="45">
        <v>19231</v>
      </c>
      <c r="AD10" s="44">
        <v>19273</v>
      </c>
      <c r="AE10" s="45">
        <v>22032</v>
      </c>
      <c r="AF10" s="44">
        <v>22081</v>
      </c>
      <c r="AG10" s="44">
        <v>24018</v>
      </c>
      <c r="AH10" s="44">
        <v>24064</v>
      </c>
      <c r="AI10" s="44">
        <v>26434</v>
      </c>
      <c r="AJ10" s="44">
        <v>26498</v>
      </c>
      <c r="AK10" s="44">
        <v>31011</v>
      </c>
      <c r="AL10" s="44">
        <v>31080</v>
      </c>
      <c r="AM10" s="44">
        <v>34677</v>
      </c>
      <c r="AN10" s="44">
        <v>34767</v>
      </c>
    </row>
    <row r="11" spans="1:61" s="6" customFormat="1" ht="30" customHeight="1" x14ac:dyDescent="0.3">
      <c r="A11" s="38" t="s">
        <v>30</v>
      </c>
      <c r="B11" s="39" t="s">
        <v>31</v>
      </c>
      <c r="C11" s="33">
        <v>17028</v>
      </c>
      <c r="D11" s="33">
        <v>17121</v>
      </c>
      <c r="E11" s="33">
        <v>18470</v>
      </c>
      <c r="F11" s="33">
        <v>18790</v>
      </c>
      <c r="G11" s="33">
        <v>25072</v>
      </c>
      <c r="H11" s="33">
        <v>25203</v>
      </c>
      <c r="I11" s="33">
        <v>28059</v>
      </c>
      <c r="J11" s="33">
        <v>28244</v>
      </c>
      <c r="K11" s="33">
        <v>26148</v>
      </c>
      <c r="L11" s="33">
        <v>26645</v>
      </c>
      <c r="M11" s="35">
        <v>26826</v>
      </c>
      <c r="N11" s="35">
        <v>27079</v>
      </c>
      <c r="O11" s="35">
        <v>26652</v>
      </c>
      <c r="P11" s="35">
        <v>27155</v>
      </c>
      <c r="Q11" s="35">
        <v>27248</v>
      </c>
      <c r="R11" s="35">
        <v>27556</v>
      </c>
      <c r="S11" s="35">
        <v>31276</v>
      </c>
      <c r="T11" s="35">
        <v>31580</v>
      </c>
      <c r="U11" s="40">
        <v>35662</v>
      </c>
      <c r="V11" s="35" t="s">
        <v>23</v>
      </c>
      <c r="W11" s="40">
        <v>42450</v>
      </c>
      <c r="X11" s="35">
        <v>42825</v>
      </c>
      <c r="Y11" s="40">
        <v>47879</v>
      </c>
      <c r="Z11" s="35">
        <v>48296</v>
      </c>
      <c r="AA11" s="73">
        <v>62365</v>
      </c>
      <c r="AB11" s="35">
        <v>62697</v>
      </c>
      <c r="AC11" s="40">
        <v>69872</v>
      </c>
      <c r="AD11" s="35">
        <v>70627</v>
      </c>
      <c r="AE11" s="40">
        <v>81462</v>
      </c>
      <c r="AF11" s="35">
        <v>88398</v>
      </c>
      <c r="AG11" s="35">
        <f t="shared" ref="AG11:AN11" si="2">AG12+AG13+AG14</f>
        <v>95578</v>
      </c>
      <c r="AH11" s="35">
        <f t="shared" si="2"/>
        <v>101662</v>
      </c>
      <c r="AI11" s="35">
        <f t="shared" si="2"/>
        <v>127772</v>
      </c>
      <c r="AJ11" s="35">
        <f t="shared" si="2"/>
        <v>128391</v>
      </c>
      <c r="AK11" s="35">
        <f t="shared" si="2"/>
        <v>139791</v>
      </c>
      <c r="AL11" s="35">
        <f t="shared" si="2"/>
        <v>140473</v>
      </c>
      <c r="AM11" s="35">
        <f t="shared" si="2"/>
        <v>186200</v>
      </c>
      <c r="AN11" s="35">
        <f t="shared" si="2"/>
        <v>187016</v>
      </c>
    </row>
    <row r="12" spans="1:61" s="7" customFormat="1" ht="30" customHeight="1" x14ac:dyDescent="0.3">
      <c r="A12" s="41" t="s">
        <v>32</v>
      </c>
      <c r="B12" s="42" t="s">
        <v>33</v>
      </c>
      <c r="C12" s="43">
        <v>6539</v>
      </c>
      <c r="D12" s="43">
        <v>6552</v>
      </c>
      <c r="E12" s="43">
        <v>7272</v>
      </c>
      <c r="F12" s="43">
        <v>7287</v>
      </c>
      <c r="G12" s="43">
        <v>11404</v>
      </c>
      <c r="H12" s="43">
        <v>11418</v>
      </c>
      <c r="I12" s="43">
        <v>11967</v>
      </c>
      <c r="J12" s="43">
        <v>11986</v>
      </c>
      <c r="K12" s="43">
        <v>9979</v>
      </c>
      <c r="L12" s="43">
        <v>9998</v>
      </c>
      <c r="M12" s="44">
        <v>10599</v>
      </c>
      <c r="N12" s="44">
        <v>10618</v>
      </c>
      <c r="O12" s="44">
        <v>11994</v>
      </c>
      <c r="P12" s="44">
        <v>12014</v>
      </c>
      <c r="Q12" s="44">
        <v>12084</v>
      </c>
      <c r="R12" s="44">
        <v>12103</v>
      </c>
      <c r="S12" s="44">
        <v>14448</v>
      </c>
      <c r="T12" s="44">
        <v>14474</v>
      </c>
      <c r="U12" s="45">
        <v>16536</v>
      </c>
      <c r="V12" s="44" t="s">
        <v>23</v>
      </c>
      <c r="W12" s="44">
        <v>21678</v>
      </c>
      <c r="X12" s="44">
        <v>21721</v>
      </c>
      <c r="Y12" s="44">
        <v>26118</v>
      </c>
      <c r="Z12" s="44">
        <v>26180</v>
      </c>
      <c r="AA12" s="74">
        <v>34050</v>
      </c>
      <c r="AB12" s="44">
        <v>34102</v>
      </c>
      <c r="AC12" s="45">
        <v>38594</v>
      </c>
      <c r="AD12" s="44">
        <v>38648</v>
      </c>
      <c r="AE12" s="45">
        <v>45490</v>
      </c>
      <c r="AF12" s="44">
        <v>45571</v>
      </c>
      <c r="AG12" s="44">
        <v>57727</v>
      </c>
      <c r="AH12" s="44">
        <v>57791</v>
      </c>
      <c r="AI12" s="44">
        <v>74733</v>
      </c>
      <c r="AJ12" s="44">
        <v>74789</v>
      </c>
      <c r="AK12" s="44">
        <v>75006</v>
      </c>
      <c r="AL12" s="44">
        <v>75057</v>
      </c>
      <c r="AM12" s="44">
        <v>104346</v>
      </c>
      <c r="AN12" s="44">
        <v>104426</v>
      </c>
    </row>
    <row r="13" spans="1:61" s="7" customFormat="1" ht="30" customHeight="1" x14ac:dyDescent="0.3">
      <c r="A13" s="41" t="s">
        <v>34</v>
      </c>
      <c r="B13" s="42" t="s">
        <v>35</v>
      </c>
      <c r="C13" s="43">
        <v>6984</v>
      </c>
      <c r="D13" s="43">
        <v>7039</v>
      </c>
      <c r="E13" s="43">
        <v>7625</v>
      </c>
      <c r="F13" s="43">
        <v>7698</v>
      </c>
      <c r="G13" s="43">
        <v>9805</v>
      </c>
      <c r="H13" s="43">
        <v>9859</v>
      </c>
      <c r="I13" s="43">
        <v>11442</v>
      </c>
      <c r="J13" s="43">
        <v>11560</v>
      </c>
      <c r="K13" s="43">
        <v>10716</v>
      </c>
      <c r="L13" s="43">
        <v>10891</v>
      </c>
      <c r="M13" s="44">
        <v>11516</v>
      </c>
      <c r="N13" s="44">
        <v>11708</v>
      </c>
      <c r="O13" s="44">
        <v>11297</v>
      </c>
      <c r="P13" s="44">
        <v>11474</v>
      </c>
      <c r="Q13" s="44">
        <v>11786</v>
      </c>
      <c r="R13" s="44">
        <v>11940</v>
      </c>
      <c r="S13" s="44">
        <v>13549</v>
      </c>
      <c r="T13" s="44">
        <v>13721</v>
      </c>
      <c r="U13" s="45">
        <v>15029</v>
      </c>
      <c r="V13" s="44" t="s">
        <v>23</v>
      </c>
      <c r="W13" s="44">
        <v>16719</v>
      </c>
      <c r="X13" s="44">
        <v>16945</v>
      </c>
      <c r="Y13" s="44">
        <v>20912</v>
      </c>
      <c r="Z13" s="44">
        <v>21153</v>
      </c>
      <c r="AA13" s="74">
        <v>26893</v>
      </c>
      <c r="AB13" s="44">
        <v>27070</v>
      </c>
      <c r="AC13" s="45">
        <v>30520</v>
      </c>
      <c r="AD13" s="44">
        <v>30737</v>
      </c>
      <c r="AE13" s="45">
        <v>34546</v>
      </c>
      <c r="AF13" s="44">
        <v>34827</v>
      </c>
      <c r="AG13" s="44">
        <v>36957</v>
      </c>
      <c r="AH13" s="44">
        <v>37226</v>
      </c>
      <c r="AI13" s="44">
        <v>52014</v>
      </c>
      <c r="AJ13" s="44">
        <v>52354</v>
      </c>
      <c r="AK13" s="44">
        <v>62923</v>
      </c>
      <c r="AL13" s="44">
        <v>63316</v>
      </c>
      <c r="AM13" s="44">
        <v>80457</v>
      </c>
      <c r="AN13" s="44">
        <v>80828</v>
      </c>
    </row>
    <row r="14" spans="1:61" s="7" customFormat="1" ht="30" customHeight="1" x14ac:dyDescent="0.3">
      <c r="A14" s="41" t="s">
        <v>28</v>
      </c>
      <c r="B14" s="42" t="s">
        <v>29</v>
      </c>
      <c r="C14" s="43">
        <v>3505</v>
      </c>
      <c r="D14" s="43">
        <v>3530</v>
      </c>
      <c r="E14" s="43">
        <v>3573</v>
      </c>
      <c r="F14" s="43">
        <v>3805</v>
      </c>
      <c r="G14" s="43">
        <v>3863</v>
      </c>
      <c r="H14" s="43">
        <v>3926</v>
      </c>
      <c r="I14" s="43">
        <v>4650</v>
      </c>
      <c r="J14" s="43">
        <v>4698</v>
      </c>
      <c r="K14" s="43">
        <v>5453</v>
      </c>
      <c r="L14" s="43">
        <v>5756</v>
      </c>
      <c r="M14" s="44">
        <v>4711</v>
      </c>
      <c r="N14" s="44">
        <v>4753</v>
      </c>
      <c r="O14" s="44">
        <v>3361</v>
      </c>
      <c r="P14" s="44">
        <v>3667</v>
      </c>
      <c r="Q14" s="44">
        <v>3378</v>
      </c>
      <c r="R14" s="44">
        <v>3513</v>
      </c>
      <c r="S14" s="44">
        <v>3279</v>
      </c>
      <c r="T14" s="44">
        <v>3385</v>
      </c>
      <c r="U14" s="45">
        <v>4097</v>
      </c>
      <c r="V14" s="44" t="s">
        <v>23</v>
      </c>
      <c r="W14" s="44">
        <v>4053</v>
      </c>
      <c r="X14" s="44">
        <v>4159</v>
      </c>
      <c r="Y14" s="44">
        <v>849</v>
      </c>
      <c r="Z14" s="44">
        <v>963</v>
      </c>
      <c r="AA14" s="74">
        <v>1422</v>
      </c>
      <c r="AB14" s="44">
        <v>1525</v>
      </c>
      <c r="AC14" s="45">
        <v>758</v>
      </c>
      <c r="AD14" s="44">
        <v>1242</v>
      </c>
      <c r="AE14" s="45">
        <v>1426</v>
      </c>
      <c r="AF14" s="44">
        <v>8000</v>
      </c>
      <c r="AG14" s="44">
        <v>894</v>
      </c>
      <c r="AH14" s="44">
        <v>6645</v>
      </c>
      <c r="AI14" s="44">
        <v>1025</v>
      </c>
      <c r="AJ14" s="44">
        <v>1248</v>
      </c>
      <c r="AK14" s="44">
        <v>1862</v>
      </c>
      <c r="AL14" s="44">
        <v>2100</v>
      </c>
      <c r="AM14" s="44">
        <v>1397</v>
      </c>
      <c r="AN14" s="44">
        <v>1762</v>
      </c>
    </row>
    <row r="15" spans="1:61" s="6" customFormat="1" ht="30" customHeight="1" x14ac:dyDescent="0.3">
      <c r="A15" s="38" t="s">
        <v>36</v>
      </c>
      <c r="B15" s="39" t="s">
        <v>37</v>
      </c>
      <c r="C15" s="33">
        <v>47700</v>
      </c>
      <c r="D15" s="33">
        <v>38368</v>
      </c>
      <c r="E15" s="33">
        <v>50528</v>
      </c>
      <c r="F15" s="33">
        <v>40956</v>
      </c>
      <c r="G15" s="33">
        <v>52810</v>
      </c>
      <c r="H15" s="33">
        <v>43755</v>
      </c>
      <c r="I15" s="33">
        <v>72333</v>
      </c>
      <c r="J15" s="33">
        <v>62277</v>
      </c>
      <c r="K15" s="33">
        <v>85077</v>
      </c>
      <c r="L15" s="33">
        <v>76363</v>
      </c>
      <c r="M15" s="35">
        <v>104441</v>
      </c>
      <c r="N15" s="35">
        <v>93401</v>
      </c>
      <c r="O15" s="35">
        <v>146995</v>
      </c>
      <c r="P15" s="35">
        <v>135331</v>
      </c>
      <c r="Q15" s="35">
        <v>173150</v>
      </c>
      <c r="R15" s="35">
        <v>159330</v>
      </c>
      <c r="S15" s="35">
        <v>193008</v>
      </c>
      <c r="T15" s="35">
        <v>179035</v>
      </c>
      <c r="U15" s="40">
        <v>243635</v>
      </c>
      <c r="V15" s="35" t="s">
        <v>23</v>
      </c>
      <c r="W15" s="40">
        <v>316602</v>
      </c>
      <c r="X15" s="35">
        <v>284746</v>
      </c>
      <c r="Y15" s="40">
        <v>437359</v>
      </c>
      <c r="Z15" s="35">
        <v>415097</v>
      </c>
      <c r="AA15" s="73">
        <v>533045</v>
      </c>
      <c r="AB15" s="35">
        <v>506471</v>
      </c>
      <c r="AC15" s="40">
        <v>568421</v>
      </c>
      <c r="AD15" s="35">
        <v>542255</v>
      </c>
      <c r="AE15" s="40">
        <v>565497</v>
      </c>
      <c r="AF15" s="35">
        <v>554537</v>
      </c>
      <c r="AG15" s="35">
        <f t="shared" ref="AG15:AN15" si="3">AG16+AG19</f>
        <v>584819</v>
      </c>
      <c r="AH15" s="35">
        <f t="shared" si="3"/>
        <v>555286</v>
      </c>
      <c r="AI15" s="35">
        <f t="shared" si="3"/>
        <v>774236</v>
      </c>
      <c r="AJ15" s="35">
        <f t="shared" si="3"/>
        <v>723784</v>
      </c>
      <c r="AK15" s="35">
        <f t="shared" si="3"/>
        <v>1362662</v>
      </c>
      <c r="AL15" s="35">
        <f t="shared" si="3"/>
        <v>1273767</v>
      </c>
      <c r="AM15" s="35">
        <f t="shared" si="3"/>
        <v>1919098</v>
      </c>
      <c r="AN15" s="35">
        <f t="shared" si="3"/>
        <v>1829511</v>
      </c>
    </row>
    <row r="16" spans="1:61" s="7" customFormat="1" ht="30" customHeight="1" x14ac:dyDescent="0.3">
      <c r="A16" s="63" t="s">
        <v>38</v>
      </c>
      <c r="B16" s="54" t="s">
        <v>86</v>
      </c>
      <c r="C16" s="64">
        <v>44667</v>
      </c>
      <c r="D16" s="64">
        <v>35335</v>
      </c>
      <c r="E16" s="64">
        <v>46791</v>
      </c>
      <c r="F16" s="64">
        <v>37219</v>
      </c>
      <c r="G16" s="64">
        <v>49212</v>
      </c>
      <c r="H16" s="64">
        <v>40157</v>
      </c>
      <c r="I16" s="64">
        <v>69493</v>
      </c>
      <c r="J16" s="64">
        <v>59437</v>
      </c>
      <c r="K16" s="64">
        <v>81661</v>
      </c>
      <c r="L16" s="64">
        <v>72947</v>
      </c>
      <c r="M16" s="47">
        <v>101023</v>
      </c>
      <c r="N16" s="47">
        <v>89983</v>
      </c>
      <c r="O16" s="47">
        <v>143099</v>
      </c>
      <c r="P16" s="47">
        <v>131435</v>
      </c>
      <c r="Q16" s="47">
        <v>168154</v>
      </c>
      <c r="R16" s="47">
        <v>154334</v>
      </c>
      <c r="S16" s="47">
        <v>188308</v>
      </c>
      <c r="T16" s="47">
        <v>174335</v>
      </c>
      <c r="U16" s="46">
        <v>238569</v>
      </c>
      <c r="V16" s="47" t="s">
        <v>23</v>
      </c>
      <c r="W16" s="47">
        <v>307003</v>
      </c>
      <c r="X16" s="47">
        <v>275147</v>
      </c>
      <c r="Y16" s="47">
        <v>415152</v>
      </c>
      <c r="Z16" s="47">
        <v>392890</v>
      </c>
      <c r="AA16" s="75">
        <v>497836</v>
      </c>
      <c r="AB16" s="47">
        <v>471262</v>
      </c>
      <c r="AC16" s="46">
        <v>525672</v>
      </c>
      <c r="AD16" s="47">
        <v>499506</v>
      </c>
      <c r="AE16" s="46">
        <v>517912</v>
      </c>
      <c r="AF16" s="47">
        <v>506952</v>
      </c>
      <c r="AG16" s="47">
        <f t="shared" ref="AG16:AN16" si="4">AG17+AG18</f>
        <v>528370</v>
      </c>
      <c r="AH16" s="47">
        <f t="shared" si="4"/>
        <v>498837</v>
      </c>
      <c r="AI16" s="47">
        <f t="shared" si="4"/>
        <v>666157</v>
      </c>
      <c r="AJ16" s="47">
        <f t="shared" si="4"/>
        <v>615705</v>
      </c>
      <c r="AK16" s="47">
        <f t="shared" si="4"/>
        <v>1174040</v>
      </c>
      <c r="AL16" s="47">
        <f t="shared" si="4"/>
        <v>1085145</v>
      </c>
      <c r="AM16" s="47">
        <f t="shared" si="4"/>
        <v>1687663</v>
      </c>
      <c r="AN16" s="47">
        <f t="shared" si="4"/>
        <v>1598076</v>
      </c>
    </row>
    <row r="17" spans="1:40" ht="30" customHeight="1" x14ac:dyDescent="0.3">
      <c r="A17" s="48" t="s">
        <v>39</v>
      </c>
      <c r="B17" s="49" t="s">
        <v>40</v>
      </c>
      <c r="C17" s="43">
        <v>17324</v>
      </c>
      <c r="D17" s="43">
        <v>0</v>
      </c>
      <c r="E17" s="43">
        <v>17854</v>
      </c>
      <c r="F17" s="43">
        <v>0</v>
      </c>
      <c r="G17" s="43">
        <v>18615</v>
      </c>
      <c r="H17" s="43">
        <v>0</v>
      </c>
      <c r="I17" s="43">
        <v>19044</v>
      </c>
      <c r="J17" s="43">
        <v>0</v>
      </c>
      <c r="K17" s="43">
        <v>19140</v>
      </c>
      <c r="L17" s="43">
        <v>0</v>
      </c>
      <c r="M17" s="44">
        <v>20398</v>
      </c>
      <c r="N17" s="44">
        <v>0</v>
      </c>
      <c r="O17" s="44">
        <v>22760</v>
      </c>
      <c r="P17" s="44">
        <v>0</v>
      </c>
      <c r="Q17" s="44">
        <v>24481</v>
      </c>
      <c r="R17" s="44">
        <v>0</v>
      </c>
      <c r="S17" s="44">
        <v>26038</v>
      </c>
      <c r="T17" s="44">
        <v>0</v>
      </c>
      <c r="U17" s="45" t="s">
        <v>23</v>
      </c>
      <c r="V17" s="44" t="s">
        <v>23</v>
      </c>
      <c r="W17" s="44">
        <v>46249</v>
      </c>
      <c r="X17" s="44">
        <v>0</v>
      </c>
      <c r="Y17" s="44">
        <v>50253</v>
      </c>
      <c r="Z17" s="44">
        <v>0</v>
      </c>
      <c r="AA17" s="74">
        <v>74226</v>
      </c>
      <c r="AB17" s="44">
        <v>0</v>
      </c>
      <c r="AC17" s="45">
        <v>92385</v>
      </c>
      <c r="AD17" s="44">
        <v>0</v>
      </c>
      <c r="AE17" s="45">
        <v>62445</v>
      </c>
      <c r="AF17" s="44">
        <v>0</v>
      </c>
      <c r="AG17" s="44">
        <v>54750</v>
      </c>
      <c r="AH17" s="44">
        <v>0</v>
      </c>
      <c r="AI17" s="44">
        <v>74645</v>
      </c>
      <c r="AJ17" s="44">
        <v>0</v>
      </c>
      <c r="AK17" s="44">
        <v>98535</v>
      </c>
      <c r="AL17" s="44">
        <v>0</v>
      </c>
      <c r="AM17" s="44">
        <v>106985</v>
      </c>
      <c r="AN17" s="44">
        <v>0</v>
      </c>
    </row>
    <row r="18" spans="1:40" ht="30" customHeight="1" x14ac:dyDescent="0.3">
      <c r="A18" s="48" t="s">
        <v>28</v>
      </c>
      <c r="B18" s="49" t="s">
        <v>41</v>
      </c>
      <c r="C18" s="43">
        <v>27343</v>
      </c>
      <c r="D18" s="43">
        <v>35335</v>
      </c>
      <c r="E18" s="43">
        <v>28937</v>
      </c>
      <c r="F18" s="43">
        <v>37219</v>
      </c>
      <c r="G18" s="43">
        <v>30597</v>
      </c>
      <c r="H18" s="43">
        <v>40157</v>
      </c>
      <c r="I18" s="43">
        <v>50449</v>
      </c>
      <c r="J18" s="43">
        <v>59437</v>
      </c>
      <c r="K18" s="43">
        <v>62521</v>
      </c>
      <c r="L18" s="43">
        <v>72947</v>
      </c>
      <c r="M18" s="44">
        <v>80625</v>
      </c>
      <c r="N18" s="44">
        <v>89983</v>
      </c>
      <c r="O18" s="44">
        <v>120339</v>
      </c>
      <c r="P18" s="44">
        <v>131435</v>
      </c>
      <c r="Q18" s="44">
        <v>143673</v>
      </c>
      <c r="R18" s="44">
        <v>154334</v>
      </c>
      <c r="S18" s="44">
        <v>162270</v>
      </c>
      <c r="T18" s="44">
        <v>174335</v>
      </c>
      <c r="U18" s="45" t="s">
        <v>23</v>
      </c>
      <c r="V18" s="44" t="s">
        <v>23</v>
      </c>
      <c r="W18" s="44">
        <v>260754</v>
      </c>
      <c r="X18" s="44">
        <v>275147</v>
      </c>
      <c r="Y18" s="44">
        <v>364899</v>
      </c>
      <c r="Z18" s="44">
        <v>392890</v>
      </c>
      <c r="AA18" s="74">
        <v>423610</v>
      </c>
      <c r="AB18" s="44">
        <v>471262</v>
      </c>
      <c r="AC18" s="45">
        <v>433287</v>
      </c>
      <c r="AD18" s="44">
        <v>499506</v>
      </c>
      <c r="AE18" s="45">
        <v>455467</v>
      </c>
      <c r="AF18" s="44">
        <v>506952</v>
      </c>
      <c r="AG18" s="44">
        <v>473620</v>
      </c>
      <c r="AH18" s="44">
        <v>498837</v>
      </c>
      <c r="AI18" s="44">
        <v>591512</v>
      </c>
      <c r="AJ18" s="44">
        <v>615705</v>
      </c>
      <c r="AK18" s="44">
        <v>1075505</v>
      </c>
      <c r="AL18" s="44">
        <v>1085145</v>
      </c>
      <c r="AM18" s="44">
        <v>1580678</v>
      </c>
      <c r="AN18" s="44">
        <v>1598076</v>
      </c>
    </row>
    <row r="19" spans="1:40" s="7" customFormat="1" ht="30" customHeight="1" x14ac:dyDescent="0.3">
      <c r="A19" s="63" t="s">
        <v>42</v>
      </c>
      <c r="B19" s="54" t="s">
        <v>43</v>
      </c>
      <c r="C19" s="64">
        <v>3033</v>
      </c>
      <c r="D19" s="64">
        <v>3033</v>
      </c>
      <c r="E19" s="64">
        <v>3737</v>
      </c>
      <c r="F19" s="64">
        <v>3737</v>
      </c>
      <c r="G19" s="64">
        <v>3598</v>
      </c>
      <c r="H19" s="64">
        <v>3598</v>
      </c>
      <c r="I19" s="64">
        <v>2840</v>
      </c>
      <c r="J19" s="64">
        <v>2840</v>
      </c>
      <c r="K19" s="64">
        <v>3416</v>
      </c>
      <c r="L19" s="64">
        <v>3416</v>
      </c>
      <c r="M19" s="47">
        <v>3418</v>
      </c>
      <c r="N19" s="47">
        <v>3418</v>
      </c>
      <c r="O19" s="47">
        <v>3896</v>
      </c>
      <c r="P19" s="47">
        <v>3896</v>
      </c>
      <c r="Q19" s="47">
        <v>4996</v>
      </c>
      <c r="R19" s="47">
        <v>4996</v>
      </c>
      <c r="S19" s="47">
        <v>4700</v>
      </c>
      <c r="T19" s="47">
        <v>4700</v>
      </c>
      <c r="U19" s="46">
        <v>5066</v>
      </c>
      <c r="V19" s="47" t="s">
        <v>23</v>
      </c>
      <c r="W19" s="47">
        <v>9599</v>
      </c>
      <c r="X19" s="47">
        <v>9599</v>
      </c>
      <c r="Y19" s="47">
        <v>22207</v>
      </c>
      <c r="Z19" s="47">
        <v>22207</v>
      </c>
      <c r="AA19" s="75">
        <v>35209</v>
      </c>
      <c r="AB19" s="47">
        <v>35209</v>
      </c>
      <c r="AC19" s="46">
        <v>42749</v>
      </c>
      <c r="AD19" s="47">
        <v>42749</v>
      </c>
      <c r="AE19" s="46">
        <v>47585</v>
      </c>
      <c r="AF19" s="47">
        <v>47585</v>
      </c>
      <c r="AG19" s="47">
        <v>56449</v>
      </c>
      <c r="AH19" s="47">
        <v>56449</v>
      </c>
      <c r="AI19" s="47">
        <v>108079</v>
      </c>
      <c r="AJ19" s="47">
        <v>108079</v>
      </c>
      <c r="AK19" s="47">
        <v>188622</v>
      </c>
      <c r="AL19" s="47">
        <v>188622</v>
      </c>
      <c r="AM19" s="47">
        <v>231435</v>
      </c>
      <c r="AN19" s="47">
        <v>231435</v>
      </c>
    </row>
    <row r="20" spans="1:40" s="6" customFormat="1" ht="30" customHeight="1" x14ac:dyDescent="0.3">
      <c r="A20" s="50" t="s">
        <v>44</v>
      </c>
      <c r="B20" s="39" t="s">
        <v>45</v>
      </c>
      <c r="C20" s="33">
        <v>58442</v>
      </c>
      <c r="D20" s="33">
        <v>88684</v>
      </c>
      <c r="E20" s="33">
        <v>92371</v>
      </c>
      <c r="F20" s="33">
        <v>124249</v>
      </c>
      <c r="G20" s="33">
        <v>127033</v>
      </c>
      <c r="H20" s="33">
        <v>140262</v>
      </c>
      <c r="I20" s="33">
        <v>102975</v>
      </c>
      <c r="J20" s="33">
        <v>142360</v>
      </c>
      <c r="K20" s="33">
        <v>123125</v>
      </c>
      <c r="L20" s="33">
        <v>168265</v>
      </c>
      <c r="M20" s="35">
        <v>150193</v>
      </c>
      <c r="N20" s="35">
        <v>204454</v>
      </c>
      <c r="O20" s="35">
        <v>197093</v>
      </c>
      <c r="P20" s="35">
        <v>261760</v>
      </c>
      <c r="Q20" s="35">
        <v>228578</v>
      </c>
      <c r="R20" s="35">
        <v>298002</v>
      </c>
      <c r="S20" s="35">
        <v>198569</v>
      </c>
      <c r="T20" s="35">
        <v>282116</v>
      </c>
      <c r="U20" s="40">
        <v>201024</v>
      </c>
      <c r="V20" s="35" t="s">
        <v>23</v>
      </c>
      <c r="W20" s="40">
        <v>276719</v>
      </c>
      <c r="X20" s="35">
        <v>386255</v>
      </c>
      <c r="Y20" s="40">
        <v>329076</v>
      </c>
      <c r="Z20" s="35">
        <v>455498</v>
      </c>
      <c r="AA20" s="73">
        <v>287461</v>
      </c>
      <c r="AB20" s="35">
        <v>446527</v>
      </c>
      <c r="AC20" s="40">
        <v>229214</v>
      </c>
      <c r="AD20" s="35">
        <v>398234</v>
      </c>
      <c r="AE20" s="40">
        <v>263886</v>
      </c>
      <c r="AF20" s="35">
        <v>414454</v>
      </c>
      <c r="AG20" s="35">
        <f>AG21+AG25+AG26+AG29</f>
        <v>341854</v>
      </c>
      <c r="AH20" s="35">
        <f>AH21+AH25+AH26+AH29</f>
        <v>516111</v>
      </c>
      <c r="AI20" s="35">
        <f>AI21+AI25+AI26+AI29</f>
        <v>454101</v>
      </c>
      <c r="AJ20" s="35">
        <f>AJ21+AJ25+AJ26+AJ29</f>
        <v>660340</v>
      </c>
      <c r="AK20" s="35">
        <f t="shared" ref="AK20:AN20" si="5">AK21+AK25+AK26+AK29</f>
        <v>559199</v>
      </c>
      <c r="AL20" s="35">
        <f t="shared" si="5"/>
        <v>858695</v>
      </c>
      <c r="AM20" s="35">
        <f t="shared" si="5"/>
        <v>645499</v>
      </c>
      <c r="AN20" s="35">
        <f t="shared" si="5"/>
        <v>985796</v>
      </c>
    </row>
    <row r="21" spans="1:40" s="6" customFormat="1" ht="30" customHeight="1" x14ac:dyDescent="0.3">
      <c r="A21" s="51" t="s">
        <v>46</v>
      </c>
      <c r="B21" s="52" t="s">
        <v>47</v>
      </c>
      <c r="C21" s="33">
        <v>53959</v>
      </c>
      <c r="D21" s="33">
        <v>53959</v>
      </c>
      <c r="E21" s="33">
        <v>84205</v>
      </c>
      <c r="F21" s="33">
        <v>84205</v>
      </c>
      <c r="G21" s="33">
        <v>93830</v>
      </c>
      <c r="H21" s="33">
        <v>93830</v>
      </c>
      <c r="I21" s="33">
        <v>93570</v>
      </c>
      <c r="J21" s="33">
        <v>93570</v>
      </c>
      <c r="K21" s="33">
        <v>111211</v>
      </c>
      <c r="L21" s="33">
        <v>111211</v>
      </c>
      <c r="M21" s="35">
        <v>134963</v>
      </c>
      <c r="N21" s="35">
        <v>134963</v>
      </c>
      <c r="O21" s="35">
        <v>170800</v>
      </c>
      <c r="P21" s="35">
        <v>170800</v>
      </c>
      <c r="Q21" s="35">
        <v>187658</v>
      </c>
      <c r="R21" s="35">
        <v>187658</v>
      </c>
      <c r="S21" s="35">
        <v>150198</v>
      </c>
      <c r="T21" s="35">
        <v>150198</v>
      </c>
      <c r="U21" s="40">
        <v>138724</v>
      </c>
      <c r="V21" s="35" t="s">
        <v>23</v>
      </c>
      <c r="W21" s="35">
        <v>202559</v>
      </c>
      <c r="X21" s="35">
        <v>202559</v>
      </c>
      <c r="Y21" s="35">
        <v>243538</v>
      </c>
      <c r="Z21" s="35">
        <v>243538</v>
      </c>
      <c r="AA21" s="73">
        <v>203657</v>
      </c>
      <c r="AB21" s="35">
        <v>203657</v>
      </c>
      <c r="AC21" s="40">
        <v>132677</v>
      </c>
      <c r="AD21" s="35">
        <v>132677</v>
      </c>
      <c r="AE21" s="40">
        <v>121531</v>
      </c>
      <c r="AF21" s="35">
        <v>121531</v>
      </c>
      <c r="AG21" s="35">
        <f t="shared" ref="AG21:AN21" si="6">AG22+AG23+AG24</f>
        <v>181296</v>
      </c>
      <c r="AH21" s="35">
        <f t="shared" si="6"/>
        <v>181296</v>
      </c>
      <c r="AI21" s="35">
        <f t="shared" si="6"/>
        <v>275847</v>
      </c>
      <c r="AJ21" s="35">
        <f t="shared" si="6"/>
        <v>275847</v>
      </c>
      <c r="AK21" s="35">
        <f t="shared" si="6"/>
        <v>353731</v>
      </c>
      <c r="AL21" s="35">
        <f t="shared" si="6"/>
        <v>353731</v>
      </c>
      <c r="AM21" s="35">
        <f t="shared" si="6"/>
        <v>409091</v>
      </c>
      <c r="AN21" s="35">
        <f t="shared" si="6"/>
        <v>409091</v>
      </c>
    </row>
    <row r="22" spans="1:40" ht="30" customHeight="1" x14ac:dyDescent="0.3">
      <c r="A22" s="48" t="s">
        <v>48</v>
      </c>
      <c r="B22" s="49" t="s">
        <v>49</v>
      </c>
      <c r="C22" s="43">
        <v>40130</v>
      </c>
      <c r="D22" s="43">
        <v>40130</v>
      </c>
      <c r="E22" s="43">
        <v>60249</v>
      </c>
      <c r="F22" s="43">
        <v>60249</v>
      </c>
      <c r="G22" s="43">
        <v>62703</v>
      </c>
      <c r="H22" s="43">
        <v>62703</v>
      </c>
      <c r="I22" s="43">
        <v>66524</v>
      </c>
      <c r="J22" s="43">
        <v>66524</v>
      </c>
      <c r="K22" s="43">
        <v>67680</v>
      </c>
      <c r="L22" s="43">
        <v>67680</v>
      </c>
      <c r="M22" s="44">
        <v>95535</v>
      </c>
      <c r="N22" s="44">
        <v>95535</v>
      </c>
      <c r="O22" s="44">
        <v>120000</v>
      </c>
      <c r="P22" s="44">
        <v>120000</v>
      </c>
      <c r="Q22" s="44">
        <v>126180</v>
      </c>
      <c r="R22" s="44">
        <v>126180</v>
      </c>
      <c r="S22" s="44">
        <v>73915</v>
      </c>
      <c r="T22" s="44">
        <v>73915</v>
      </c>
      <c r="U22" s="45">
        <v>51045</v>
      </c>
      <c r="V22" s="44" t="s">
        <v>23</v>
      </c>
      <c r="W22" s="44">
        <v>115000</v>
      </c>
      <c r="X22" s="44">
        <v>115000</v>
      </c>
      <c r="Y22" s="44">
        <v>120804</v>
      </c>
      <c r="Z22" s="44">
        <v>120804</v>
      </c>
      <c r="AA22" s="76">
        <v>84732</v>
      </c>
      <c r="AB22" s="44">
        <v>84732</v>
      </c>
      <c r="AC22" s="45">
        <v>18677</v>
      </c>
      <c r="AD22" s="44">
        <v>18677</v>
      </c>
      <c r="AE22" s="45">
        <v>18913</v>
      </c>
      <c r="AF22" s="44">
        <v>18913</v>
      </c>
      <c r="AG22" s="44">
        <v>59601</v>
      </c>
      <c r="AH22" s="44">
        <v>59601</v>
      </c>
      <c r="AI22" s="44">
        <v>125632</v>
      </c>
      <c r="AJ22" s="44">
        <v>125632</v>
      </c>
      <c r="AK22" s="44">
        <v>165000</v>
      </c>
      <c r="AL22" s="44">
        <v>165000</v>
      </c>
      <c r="AM22" s="44">
        <v>155573</v>
      </c>
      <c r="AN22" s="44">
        <v>155573</v>
      </c>
    </row>
    <row r="23" spans="1:40" ht="30" customHeight="1" x14ac:dyDescent="0.3">
      <c r="A23" s="48" t="s">
        <v>50</v>
      </c>
      <c r="B23" s="49" t="s">
        <v>51</v>
      </c>
      <c r="C23" s="43">
        <v>9406</v>
      </c>
      <c r="D23" s="43">
        <v>9406</v>
      </c>
      <c r="E23" s="43">
        <v>16445</v>
      </c>
      <c r="F23" s="43">
        <v>16445</v>
      </c>
      <c r="G23" s="43">
        <v>21072</v>
      </c>
      <c r="H23" s="43">
        <v>21072</v>
      </c>
      <c r="I23" s="43">
        <v>16819</v>
      </c>
      <c r="J23" s="43">
        <v>16819</v>
      </c>
      <c r="K23" s="43">
        <v>32743</v>
      </c>
      <c r="L23" s="43">
        <v>32743</v>
      </c>
      <c r="M23" s="44">
        <v>30282</v>
      </c>
      <c r="N23" s="44">
        <v>30282</v>
      </c>
      <c r="O23" s="44">
        <v>32551</v>
      </c>
      <c r="P23" s="44">
        <v>32551</v>
      </c>
      <c r="Q23" s="44">
        <v>35493</v>
      </c>
      <c r="R23" s="44">
        <v>35493</v>
      </c>
      <c r="S23" s="44">
        <v>39395</v>
      </c>
      <c r="T23" s="44">
        <v>39395</v>
      </c>
      <c r="U23" s="45">
        <v>42738</v>
      </c>
      <c r="V23" s="44" t="s">
        <v>23</v>
      </c>
      <c r="W23" s="44">
        <v>47535</v>
      </c>
      <c r="X23" s="44">
        <v>47535</v>
      </c>
      <c r="Y23" s="44">
        <v>80500</v>
      </c>
      <c r="Z23" s="44">
        <v>80500</v>
      </c>
      <c r="AA23" s="74">
        <v>87000</v>
      </c>
      <c r="AB23" s="44">
        <v>87000</v>
      </c>
      <c r="AC23" s="45">
        <v>80427</v>
      </c>
      <c r="AD23" s="44">
        <v>80427</v>
      </c>
      <c r="AE23" s="45">
        <v>83018</v>
      </c>
      <c r="AF23" s="44">
        <v>83018</v>
      </c>
      <c r="AG23" s="44">
        <v>96805</v>
      </c>
      <c r="AH23" s="44">
        <v>96805</v>
      </c>
      <c r="AI23" s="44">
        <v>121810</v>
      </c>
      <c r="AJ23" s="44">
        <v>121810</v>
      </c>
      <c r="AK23" s="44">
        <v>133278</v>
      </c>
      <c r="AL23" s="44">
        <v>133278</v>
      </c>
      <c r="AM23" s="44">
        <v>165401</v>
      </c>
      <c r="AN23" s="44">
        <v>165401</v>
      </c>
    </row>
    <row r="24" spans="1:40" ht="30" customHeight="1" x14ac:dyDescent="0.3">
      <c r="A24" s="48" t="s">
        <v>28</v>
      </c>
      <c r="B24" s="49" t="s">
        <v>52</v>
      </c>
      <c r="C24" s="43">
        <v>4423</v>
      </c>
      <c r="D24" s="43">
        <v>4423</v>
      </c>
      <c r="E24" s="43">
        <v>7511</v>
      </c>
      <c r="F24" s="43">
        <v>7511</v>
      </c>
      <c r="G24" s="43">
        <v>10055</v>
      </c>
      <c r="H24" s="43">
        <v>10055</v>
      </c>
      <c r="I24" s="43">
        <v>10227</v>
      </c>
      <c r="J24" s="43">
        <v>10227</v>
      </c>
      <c r="K24" s="43">
        <v>10788</v>
      </c>
      <c r="L24" s="43">
        <v>10788</v>
      </c>
      <c r="M24" s="44">
        <v>9146</v>
      </c>
      <c r="N24" s="44">
        <v>9146</v>
      </c>
      <c r="O24" s="44">
        <v>18249</v>
      </c>
      <c r="P24" s="44">
        <v>18249</v>
      </c>
      <c r="Q24" s="44">
        <v>25985</v>
      </c>
      <c r="R24" s="44">
        <v>25985</v>
      </c>
      <c r="S24" s="44">
        <v>36888</v>
      </c>
      <c r="T24" s="44">
        <v>36888</v>
      </c>
      <c r="U24" s="45">
        <v>44941</v>
      </c>
      <c r="V24" s="44" t="s">
        <v>23</v>
      </c>
      <c r="W24" s="44">
        <v>40024</v>
      </c>
      <c r="X24" s="44">
        <v>40024</v>
      </c>
      <c r="Y24" s="44">
        <v>42234</v>
      </c>
      <c r="Z24" s="44">
        <v>42234</v>
      </c>
      <c r="AA24" s="74">
        <v>31925</v>
      </c>
      <c r="AB24" s="44">
        <v>31925</v>
      </c>
      <c r="AC24" s="45">
        <v>33573</v>
      </c>
      <c r="AD24" s="44">
        <v>33573</v>
      </c>
      <c r="AE24" s="45">
        <v>19600</v>
      </c>
      <c r="AF24" s="44">
        <v>19600</v>
      </c>
      <c r="AG24" s="44">
        <v>24890</v>
      </c>
      <c r="AH24" s="44">
        <v>24890</v>
      </c>
      <c r="AI24" s="44">
        <v>28405</v>
      </c>
      <c r="AJ24" s="44">
        <v>28405</v>
      </c>
      <c r="AK24" s="44">
        <v>55453</v>
      </c>
      <c r="AL24" s="44">
        <v>55453</v>
      </c>
      <c r="AM24" s="44">
        <v>88117</v>
      </c>
      <c r="AN24" s="44">
        <v>88117</v>
      </c>
    </row>
    <row r="25" spans="1:40" s="6" customFormat="1" ht="30" customHeight="1" x14ac:dyDescent="0.3">
      <c r="A25" s="51" t="s">
        <v>53</v>
      </c>
      <c r="B25" s="52" t="s">
        <v>54</v>
      </c>
      <c r="C25" s="33">
        <v>2599</v>
      </c>
      <c r="D25" s="33">
        <v>2599</v>
      </c>
      <c r="E25" s="33">
        <v>3890</v>
      </c>
      <c r="F25" s="33">
        <v>3890</v>
      </c>
      <c r="G25" s="33">
        <v>4213</v>
      </c>
      <c r="H25" s="33">
        <v>4213</v>
      </c>
      <c r="I25" s="33">
        <v>4380</v>
      </c>
      <c r="J25" s="33">
        <v>4380</v>
      </c>
      <c r="K25" s="33">
        <v>5319</v>
      </c>
      <c r="L25" s="33">
        <v>5319</v>
      </c>
      <c r="M25" s="35">
        <v>5305</v>
      </c>
      <c r="N25" s="35">
        <v>5305</v>
      </c>
      <c r="O25" s="35">
        <v>5014</v>
      </c>
      <c r="P25" s="35">
        <v>5014</v>
      </c>
      <c r="Q25" s="35">
        <v>5190</v>
      </c>
      <c r="R25" s="35">
        <v>5190</v>
      </c>
      <c r="S25" s="35">
        <v>6211</v>
      </c>
      <c r="T25" s="35">
        <v>6211</v>
      </c>
      <c r="U25" s="40">
        <v>7806</v>
      </c>
      <c r="V25" s="35" t="s">
        <v>23</v>
      </c>
      <c r="W25" s="35">
        <v>8919</v>
      </c>
      <c r="X25" s="35">
        <v>8919</v>
      </c>
      <c r="Y25" s="35">
        <v>6713</v>
      </c>
      <c r="Z25" s="35">
        <v>6713</v>
      </c>
      <c r="AA25" s="73">
        <v>6738</v>
      </c>
      <c r="AB25" s="35">
        <v>6738</v>
      </c>
      <c r="AC25" s="40">
        <v>10266</v>
      </c>
      <c r="AD25" s="35">
        <v>10266</v>
      </c>
      <c r="AE25" s="40">
        <v>11391</v>
      </c>
      <c r="AF25" s="35">
        <v>11391</v>
      </c>
      <c r="AG25" s="35">
        <v>9004</v>
      </c>
      <c r="AH25" s="35">
        <v>9004</v>
      </c>
      <c r="AI25" s="35">
        <v>12852</v>
      </c>
      <c r="AJ25" s="35">
        <v>12852</v>
      </c>
      <c r="AK25" s="35">
        <v>15696</v>
      </c>
      <c r="AL25" s="35">
        <v>15696</v>
      </c>
      <c r="AM25" s="35">
        <v>22921</v>
      </c>
      <c r="AN25" s="35">
        <v>22921</v>
      </c>
    </row>
    <row r="26" spans="1:40" s="6" customFormat="1" ht="30" customHeight="1" x14ac:dyDescent="0.3">
      <c r="A26" s="53" t="s">
        <v>78</v>
      </c>
      <c r="B26" s="52" t="s">
        <v>55</v>
      </c>
      <c r="C26" s="33">
        <v>1612</v>
      </c>
      <c r="D26" s="33">
        <v>31854</v>
      </c>
      <c r="E26" s="33">
        <v>4050</v>
      </c>
      <c r="F26" s="33">
        <v>35928</v>
      </c>
      <c r="G26" s="33">
        <v>28707</v>
      </c>
      <c r="H26" s="33">
        <v>41936</v>
      </c>
      <c r="I26" s="33">
        <v>4483</v>
      </c>
      <c r="J26" s="33">
        <v>43868</v>
      </c>
      <c r="K26" s="33">
        <v>6118</v>
      </c>
      <c r="L26" s="33">
        <v>51258</v>
      </c>
      <c r="M26" s="35">
        <v>9367</v>
      </c>
      <c r="N26" s="35">
        <v>63628</v>
      </c>
      <c r="O26" s="35">
        <v>20778</v>
      </c>
      <c r="P26" s="35">
        <v>85445</v>
      </c>
      <c r="Q26" s="35">
        <v>35200</v>
      </c>
      <c r="R26" s="35">
        <v>104624</v>
      </c>
      <c r="S26" s="35">
        <v>41037</v>
      </c>
      <c r="T26" s="35">
        <v>124584</v>
      </c>
      <c r="U26" s="40">
        <v>53919</v>
      </c>
      <c r="V26" s="35" t="s">
        <v>23</v>
      </c>
      <c r="W26" s="35">
        <v>64194</v>
      </c>
      <c r="X26" s="35">
        <v>173730</v>
      </c>
      <c r="Y26" s="35">
        <v>77751</v>
      </c>
      <c r="Z26" s="35">
        <v>204173</v>
      </c>
      <c r="AA26" s="73">
        <v>76002</v>
      </c>
      <c r="AB26" s="35">
        <v>235067</v>
      </c>
      <c r="AC26" s="40">
        <v>85189</v>
      </c>
      <c r="AD26" s="35">
        <v>254209</v>
      </c>
      <c r="AE26" s="40">
        <v>129889</v>
      </c>
      <c r="AF26" s="35">
        <v>280458</v>
      </c>
      <c r="AG26" s="35">
        <f t="shared" ref="AG26:AN26" si="7">AG27+AG28</f>
        <v>150473</v>
      </c>
      <c r="AH26" s="35">
        <f t="shared" si="7"/>
        <v>324730</v>
      </c>
      <c r="AI26" s="35">
        <f t="shared" si="7"/>
        <v>164335</v>
      </c>
      <c r="AJ26" s="35">
        <f t="shared" si="7"/>
        <v>370574</v>
      </c>
      <c r="AK26" s="35">
        <f t="shared" si="7"/>
        <v>188665</v>
      </c>
      <c r="AL26" s="35">
        <f t="shared" si="7"/>
        <v>488161</v>
      </c>
      <c r="AM26" s="35">
        <f t="shared" si="7"/>
        <v>212343</v>
      </c>
      <c r="AN26" s="35">
        <f t="shared" si="7"/>
        <v>552640</v>
      </c>
    </row>
    <row r="27" spans="1:40" ht="30" customHeight="1" x14ac:dyDescent="0.3">
      <c r="A27" s="48" t="s">
        <v>56</v>
      </c>
      <c r="B27" s="49" t="s">
        <v>57</v>
      </c>
      <c r="C27" s="43">
        <v>0</v>
      </c>
      <c r="D27" s="43">
        <v>0</v>
      </c>
      <c r="E27" s="43">
        <v>2600</v>
      </c>
      <c r="F27" s="43">
        <v>0</v>
      </c>
      <c r="G27" s="43">
        <v>26805</v>
      </c>
      <c r="H27" s="43">
        <v>0</v>
      </c>
      <c r="I27" s="43">
        <v>2400</v>
      </c>
      <c r="J27" s="43">
        <v>0</v>
      </c>
      <c r="K27" s="43">
        <v>3438</v>
      </c>
      <c r="L27" s="43">
        <v>0</v>
      </c>
      <c r="M27" s="44">
        <v>6200</v>
      </c>
      <c r="N27" s="44">
        <v>0</v>
      </c>
      <c r="O27" s="44">
        <v>16351</v>
      </c>
      <c r="P27" s="44">
        <v>751</v>
      </c>
      <c r="Q27" s="44">
        <v>29200</v>
      </c>
      <c r="R27" s="44">
        <v>0</v>
      </c>
      <c r="S27" s="44">
        <v>33213</v>
      </c>
      <c r="T27" s="44">
        <v>1</v>
      </c>
      <c r="U27" s="45">
        <v>43956</v>
      </c>
      <c r="V27" s="44" t="s">
        <v>23</v>
      </c>
      <c r="W27" s="44">
        <v>45235</v>
      </c>
      <c r="X27" s="44">
        <v>0</v>
      </c>
      <c r="Y27" s="44">
        <v>52500</v>
      </c>
      <c r="Z27" s="44">
        <v>0</v>
      </c>
      <c r="AA27" s="74">
        <v>48500</v>
      </c>
      <c r="AB27" s="44">
        <v>0</v>
      </c>
      <c r="AC27" s="45">
        <v>55001</v>
      </c>
      <c r="AD27" s="44">
        <v>0</v>
      </c>
      <c r="AE27" s="45">
        <v>99149</v>
      </c>
      <c r="AF27" s="44">
        <v>0</v>
      </c>
      <c r="AG27" s="44">
        <v>119999</v>
      </c>
      <c r="AH27" s="44">
        <v>0</v>
      </c>
      <c r="AI27" s="44">
        <v>127078</v>
      </c>
      <c r="AJ27" s="44">
        <v>0</v>
      </c>
      <c r="AK27" s="44">
        <v>134780</v>
      </c>
      <c r="AL27" s="44">
        <v>0</v>
      </c>
      <c r="AM27" s="44">
        <v>142651</v>
      </c>
      <c r="AN27" s="44">
        <v>0</v>
      </c>
    </row>
    <row r="28" spans="1:40" ht="30" customHeight="1" x14ac:dyDescent="0.3">
      <c r="A28" s="48" t="s">
        <v>28</v>
      </c>
      <c r="B28" s="49" t="s">
        <v>58</v>
      </c>
      <c r="C28" s="43">
        <v>1612</v>
      </c>
      <c r="D28" s="43">
        <v>31854</v>
      </c>
      <c r="E28" s="43">
        <v>1450</v>
      </c>
      <c r="F28" s="43">
        <v>35928</v>
      </c>
      <c r="G28" s="43">
        <v>1902</v>
      </c>
      <c r="H28" s="43">
        <v>41936</v>
      </c>
      <c r="I28" s="43">
        <v>2083</v>
      </c>
      <c r="J28" s="43">
        <v>43868</v>
      </c>
      <c r="K28" s="43">
        <v>2680</v>
      </c>
      <c r="L28" s="43">
        <v>51258</v>
      </c>
      <c r="M28" s="44">
        <v>3167</v>
      </c>
      <c r="N28" s="44">
        <v>63628</v>
      </c>
      <c r="O28" s="44">
        <v>4427</v>
      </c>
      <c r="P28" s="44">
        <v>84694</v>
      </c>
      <c r="Q28" s="44">
        <v>6000</v>
      </c>
      <c r="R28" s="44">
        <v>104624</v>
      </c>
      <c r="S28" s="44">
        <v>7824</v>
      </c>
      <c r="T28" s="44">
        <v>124583</v>
      </c>
      <c r="U28" s="45">
        <v>9963</v>
      </c>
      <c r="V28" s="44" t="s">
        <v>23</v>
      </c>
      <c r="W28" s="44">
        <v>18959</v>
      </c>
      <c r="X28" s="44">
        <v>173730</v>
      </c>
      <c r="Y28" s="44">
        <v>25251</v>
      </c>
      <c r="Z28" s="44">
        <v>204173</v>
      </c>
      <c r="AA28" s="74">
        <v>27502</v>
      </c>
      <c r="AB28" s="44">
        <v>235067</v>
      </c>
      <c r="AC28" s="45">
        <v>30188</v>
      </c>
      <c r="AD28" s="44">
        <v>254209</v>
      </c>
      <c r="AE28" s="45">
        <v>30740</v>
      </c>
      <c r="AF28" s="44">
        <v>280458</v>
      </c>
      <c r="AG28" s="44">
        <v>30474</v>
      </c>
      <c r="AH28" s="44">
        <v>324730</v>
      </c>
      <c r="AI28" s="44">
        <v>37257</v>
      </c>
      <c r="AJ28" s="44">
        <v>370574</v>
      </c>
      <c r="AK28" s="44">
        <v>53885</v>
      </c>
      <c r="AL28" s="44">
        <v>488161</v>
      </c>
      <c r="AM28" s="44">
        <v>69692</v>
      </c>
      <c r="AN28" s="44">
        <v>552640</v>
      </c>
    </row>
    <row r="29" spans="1:40" s="6" customFormat="1" ht="30" customHeight="1" x14ac:dyDescent="0.3">
      <c r="A29" s="51" t="s">
        <v>59</v>
      </c>
      <c r="B29" s="54" t="s">
        <v>85</v>
      </c>
      <c r="C29" s="33">
        <v>272</v>
      </c>
      <c r="D29" s="33">
        <v>272</v>
      </c>
      <c r="E29" s="33">
        <v>226</v>
      </c>
      <c r="F29" s="33">
        <v>226</v>
      </c>
      <c r="G29" s="33">
        <v>283</v>
      </c>
      <c r="H29" s="33">
        <v>283</v>
      </c>
      <c r="I29" s="33">
        <v>542</v>
      </c>
      <c r="J29" s="33">
        <v>542</v>
      </c>
      <c r="K29" s="33">
        <v>477</v>
      </c>
      <c r="L29" s="33">
        <v>477</v>
      </c>
      <c r="M29" s="35">
        <v>558</v>
      </c>
      <c r="N29" s="35">
        <v>558</v>
      </c>
      <c r="O29" s="35">
        <v>501</v>
      </c>
      <c r="P29" s="35">
        <v>501</v>
      </c>
      <c r="Q29" s="35">
        <v>530</v>
      </c>
      <c r="R29" s="35">
        <v>530</v>
      </c>
      <c r="S29" s="35">
        <v>1123</v>
      </c>
      <c r="T29" s="35">
        <v>1123</v>
      </c>
      <c r="U29" s="40">
        <v>575</v>
      </c>
      <c r="V29" s="35" t="s">
        <v>23</v>
      </c>
      <c r="W29" s="35">
        <v>1047</v>
      </c>
      <c r="X29" s="35">
        <v>1047</v>
      </c>
      <c r="Y29" s="35">
        <v>1074</v>
      </c>
      <c r="Z29" s="35">
        <v>1074</v>
      </c>
      <c r="AA29" s="73">
        <v>1064</v>
      </c>
      <c r="AB29" s="35">
        <v>1065</v>
      </c>
      <c r="AC29" s="40">
        <v>1082</v>
      </c>
      <c r="AD29" s="35">
        <v>1082</v>
      </c>
      <c r="AE29" s="40">
        <v>1075</v>
      </c>
      <c r="AF29" s="35">
        <v>1074</v>
      </c>
      <c r="AG29" s="35">
        <v>1081</v>
      </c>
      <c r="AH29" s="35">
        <v>1081</v>
      </c>
      <c r="AI29" s="35">
        <v>1067</v>
      </c>
      <c r="AJ29" s="35">
        <v>1067</v>
      </c>
      <c r="AK29" s="35">
        <v>1107</v>
      </c>
      <c r="AL29" s="35">
        <v>1107</v>
      </c>
      <c r="AM29" s="35">
        <v>1144</v>
      </c>
      <c r="AN29" s="35">
        <v>1144</v>
      </c>
    </row>
    <row r="30" spans="1:40" s="6" customFormat="1" ht="30" customHeight="1" x14ac:dyDescent="0.3">
      <c r="A30" s="38" t="s">
        <v>60</v>
      </c>
      <c r="B30" s="39" t="s">
        <v>61</v>
      </c>
      <c r="C30" s="33">
        <v>21208</v>
      </c>
      <c r="D30" s="33">
        <v>21571</v>
      </c>
      <c r="E30" s="33">
        <v>23891</v>
      </c>
      <c r="F30" s="33">
        <v>23972</v>
      </c>
      <c r="G30" s="33">
        <v>27008</v>
      </c>
      <c r="H30" s="33">
        <v>27276</v>
      </c>
      <c r="I30" s="33">
        <v>28901</v>
      </c>
      <c r="J30" s="33">
        <v>29047</v>
      </c>
      <c r="K30" s="33">
        <v>31364</v>
      </c>
      <c r="L30" s="33">
        <v>31554</v>
      </c>
      <c r="M30" s="35">
        <v>30796</v>
      </c>
      <c r="N30" s="35">
        <v>31072</v>
      </c>
      <c r="O30" s="35">
        <v>34976</v>
      </c>
      <c r="P30" s="35">
        <v>35141</v>
      </c>
      <c r="Q30" s="35">
        <v>41067</v>
      </c>
      <c r="R30" s="35">
        <v>41209</v>
      </c>
      <c r="S30" s="35">
        <v>50279</v>
      </c>
      <c r="T30" s="35">
        <v>50348</v>
      </c>
      <c r="U30" s="40">
        <v>54552</v>
      </c>
      <c r="V30" s="35" t="s">
        <v>23</v>
      </c>
      <c r="W30" s="35">
        <v>61516</v>
      </c>
      <c r="X30" s="35">
        <v>66244</v>
      </c>
      <c r="Y30" s="35">
        <v>72314</v>
      </c>
      <c r="Z30" s="35">
        <v>72349</v>
      </c>
      <c r="AA30" s="73">
        <v>77566</v>
      </c>
      <c r="AB30" s="35">
        <v>77653</v>
      </c>
      <c r="AC30" s="40">
        <v>86802</v>
      </c>
      <c r="AD30" s="35">
        <v>86941</v>
      </c>
      <c r="AE30" s="40">
        <v>99751</v>
      </c>
      <c r="AF30" s="35">
        <v>100699</v>
      </c>
      <c r="AG30" s="35">
        <f t="shared" ref="AG30:AN30" si="8">AG31+AG32</f>
        <v>113416</v>
      </c>
      <c r="AH30" s="35">
        <f t="shared" si="8"/>
        <v>115084</v>
      </c>
      <c r="AI30" s="35">
        <f t="shared" si="8"/>
        <v>127059</v>
      </c>
      <c r="AJ30" s="35">
        <f t="shared" si="8"/>
        <v>127459</v>
      </c>
      <c r="AK30" s="35">
        <f t="shared" si="8"/>
        <v>144158</v>
      </c>
      <c r="AL30" s="35">
        <f t="shared" si="8"/>
        <v>144163</v>
      </c>
      <c r="AM30" s="35">
        <f t="shared" si="8"/>
        <v>179113</v>
      </c>
      <c r="AN30" s="35">
        <f t="shared" si="8"/>
        <v>179125</v>
      </c>
    </row>
    <row r="31" spans="1:40" ht="30" customHeight="1" x14ac:dyDescent="0.3">
      <c r="A31" s="41" t="s">
        <v>62</v>
      </c>
      <c r="B31" s="42" t="s">
        <v>63</v>
      </c>
      <c r="C31" s="43">
        <v>17718</v>
      </c>
      <c r="D31" s="43">
        <v>17718</v>
      </c>
      <c r="E31" s="43">
        <v>19849</v>
      </c>
      <c r="F31" s="43">
        <v>19849</v>
      </c>
      <c r="G31" s="43">
        <v>22267</v>
      </c>
      <c r="H31" s="43">
        <v>22267</v>
      </c>
      <c r="I31" s="43">
        <v>23453</v>
      </c>
      <c r="J31" s="43">
        <v>23453</v>
      </c>
      <c r="K31" s="43">
        <v>26484</v>
      </c>
      <c r="L31" s="43">
        <v>26484</v>
      </c>
      <c r="M31" s="44">
        <v>26018</v>
      </c>
      <c r="N31" s="44">
        <v>26018</v>
      </c>
      <c r="O31" s="44">
        <v>28739</v>
      </c>
      <c r="P31" s="44">
        <v>28739</v>
      </c>
      <c r="Q31" s="44">
        <v>31844</v>
      </c>
      <c r="R31" s="44">
        <v>31844</v>
      </c>
      <c r="S31" s="44">
        <v>41477</v>
      </c>
      <c r="T31" s="44">
        <v>41477</v>
      </c>
      <c r="U31" s="45" t="s">
        <v>23</v>
      </c>
      <c r="V31" s="44" t="s">
        <v>23</v>
      </c>
      <c r="W31" s="44">
        <v>48934</v>
      </c>
      <c r="X31" s="44">
        <v>48934</v>
      </c>
      <c r="Y31" s="44">
        <v>55002</v>
      </c>
      <c r="Z31" s="44">
        <v>55002</v>
      </c>
      <c r="AA31" s="44">
        <v>61582</v>
      </c>
      <c r="AB31" s="44">
        <v>61582</v>
      </c>
      <c r="AC31" s="45">
        <v>66868</v>
      </c>
      <c r="AD31" s="44">
        <v>66868</v>
      </c>
      <c r="AE31" s="45">
        <v>79426</v>
      </c>
      <c r="AF31" s="44">
        <v>79426</v>
      </c>
      <c r="AG31" s="44">
        <v>89708</v>
      </c>
      <c r="AH31" s="44">
        <v>89708</v>
      </c>
      <c r="AI31" s="44">
        <v>100966</v>
      </c>
      <c r="AJ31" s="44">
        <v>100966</v>
      </c>
      <c r="AK31" s="44">
        <v>110958</v>
      </c>
      <c r="AL31" s="44">
        <v>110958</v>
      </c>
      <c r="AM31" s="44">
        <v>127076</v>
      </c>
      <c r="AN31" s="44">
        <v>127076</v>
      </c>
    </row>
    <row r="32" spans="1:40" ht="30" customHeight="1" x14ac:dyDescent="0.3">
      <c r="A32" s="41" t="s">
        <v>28</v>
      </c>
      <c r="B32" s="42" t="s">
        <v>64</v>
      </c>
      <c r="C32" s="43">
        <v>3490</v>
      </c>
      <c r="D32" s="43">
        <v>3853</v>
      </c>
      <c r="E32" s="43">
        <v>4042</v>
      </c>
      <c r="F32" s="43">
        <v>4123</v>
      </c>
      <c r="G32" s="43">
        <v>4741</v>
      </c>
      <c r="H32" s="43">
        <v>5009</v>
      </c>
      <c r="I32" s="43">
        <v>5448</v>
      </c>
      <c r="J32" s="43">
        <v>5594</v>
      </c>
      <c r="K32" s="43">
        <v>4880</v>
      </c>
      <c r="L32" s="43">
        <v>5070</v>
      </c>
      <c r="M32" s="44">
        <v>4778</v>
      </c>
      <c r="N32" s="44">
        <v>5054</v>
      </c>
      <c r="O32" s="44">
        <v>6237</v>
      </c>
      <c r="P32" s="44">
        <v>6402</v>
      </c>
      <c r="Q32" s="44">
        <v>9223</v>
      </c>
      <c r="R32" s="44">
        <v>9365</v>
      </c>
      <c r="S32" s="44">
        <v>8802</v>
      </c>
      <c r="T32" s="44">
        <v>8871</v>
      </c>
      <c r="U32" s="45" t="s">
        <v>23</v>
      </c>
      <c r="V32" s="44" t="s">
        <v>23</v>
      </c>
      <c r="W32" s="44">
        <v>12582</v>
      </c>
      <c r="X32" s="44">
        <v>17310</v>
      </c>
      <c r="Y32" s="44">
        <v>17312</v>
      </c>
      <c r="Z32" s="44">
        <v>17347</v>
      </c>
      <c r="AA32" s="76">
        <v>15984</v>
      </c>
      <c r="AB32" s="44">
        <v>16071</v>
      </c>
      <c r="AC32" s="45">
        <v>19934</v>
      </c>
      <c r="AD32" s="44">
        <v>20073</v>
      </c>
      <c r="AE32" s="45">
        <v>20325</v>
      </c>
      <c r="AF32" s="44">
        <v>21273</v>
      </c>
      <c r="AG32" s="44">
        <v>23708</v>
      </c>
      <c r="AH32" s="44">
        <v>25376</v>
      </c>
      <c r="AI32" s="44">
        <v>26093</v>
      </c>
      <c r="AJ32" s="44">
        <v>26493</v>
      </c>
      <c r="AK32" s="44">
        <v>33200</v>
      </c>
      <c r="AL32" s="44">
        <v>33205</v>
      </c>
      <c r="AM32" s="44">
        <v>52037</v>
      </c>
      <c r="AN32" s="44">
        <v>52049</v>
      </c>
    </row>
    <row r="33" spans="1:40" s="6" customFormat="1" ht="52.95" customHeight="1" x14ac:dyDescent="0.3">
      <c r="A33" s="38" t="s">
        <v>65</v>
      </c>
      <c r="B33" s="55" t="s">
        <v>66</v>
      </c>
      <c r="C33" s="33">
        <v>25498</v>
      </c>
      <c r="D33" s="33">
        <v>25528</v>
      </c>
      <c r="E33" s="33">
        <v>34191</v>
      </c>
      <c r="F33" s="33">
        <v>34297</v>
      </c>
      <c r="G33" s="33">
        <v>43430</v>
      </c>
      <c r="H33" s="33">
        <v>43480</v>
      </c>
      <c r="I33" s="33">
        <v>48350</v>
      </c>
      <c r="J33" s="33">
        <v>48463</v>
      </c>
      <c r="K33" s="33">
        <v>39881</v>
      </c>
      <c r="L33" s="33">
        <v>40025</v>
      </c>
      <c r="M33" s="35">
        <v>35918</v>
      </c>
      <c r="N33" s="35">
        <v>35959</v>
      </c>
      <c r="O33" s="35">
        <v>39516</v>
      </c>
      <c r="P33" s="35">
        <v>39629</v>
      </c>
      <c r="Q33" s="35">
        <v>52882</v>
      </c>
      <c r="R33" s="35">
        <v>52921</v>
      </c>
      <c r="S33" s="35">
        <v>61750</v>
      </c>
      <c r="T33" s="35">
        <v>61917</v>
      </c>
      <c r="U33" s="40">
        <v>69250</v>
      </c>
      <c r="V33" s="35" t="s">
        <v>23</v>
      </c>
      <c r="W33" s="40">
        <v>109141</v>
      </c>
      <c r="X33" s="35">
        <v>109206</v>
      </c>
      <c r="Y33" s="40">
        <v>105584</v>
      </c>
      <c r="Z33" s="35">
        <v>105664</v>
      </c>
      <c r="AA33" s="73">
        <v>143342</v>
      </c>
      <c r="AB33" s="35">
        <v>143466</v>
      </c>
      <c r="AC33" s="40">
        <v>191642</v>
      </c>
      <c r="AD33" s="35">
        <v>191643</v>
      </c>
      <c r="AE33" s="40">
        <v>249372</v>
      </c>
      <c r="AF33" s="35">
        <v>249372</v>
      </c>
      <c r="AG33" s="35">
        <f t="shared" ref="AG33:AN33" si="9">AG34+AG35</f>
        <v>318223</v>
      </c>
      <c r="AH33" s="35">
        <f t="shared" si="9"/>
        <v>318223</v>
      </c>
      <c r="AI33" s="35">
        <f t="shared" si="9"/>
        <v>289152</v>
      </c>
      <c r="AJ33" s="35">
        <f t="shared" si="9"/>
        <v>289152</v>
      </c>
      <c r="AK33" s="35">
        <f t="shared" si="9"/>
        <v>298520</v>
      </c>
      <c r="AL33" s="35">
        <f t="shared" si="9"/>
        <v>298520</v>
      </c>
      <c r="AM33" s="35">
        <f t="shared" si="9"/>
        <v>386900</v>
      </c>
      <c r="AN33" s="35">
        <f t="shared" si="9"/>
        <v>386900</v>
      </c>
    </row>
    <row r="34" spans="1:40" ht="30" customHeight="1" x14ac:dyDescent="0.3">
      <c r="A34" s="41" t="s">
        <v>67</v>
      </c>
      <c r="B34" s="42" t="s">
        <v>68</v>
      </c>
      <c r="C34" s="43">
        <v>20928</v>
      </c>
      <c r="D34" s="43">
        <v>20958</v>
      </c>
      <c r="E34" s="43">
        <v>28186</v>
      </c>
      <c r="F34" s="43">
        <v>28292</v>
      </c>
      <c r="G34" s="43">
        <v>34654</v>
      </c>
      <c r="H34" s="43">
        <v>34704</v>
      </c>
      <c r="I34" s="43">
        <v>39205</v>
      </c>
      <c r="J34" s="43">
        <v>39319</v>
      </c>
      <c r="K34" s="43">
        <v>33303</v>
      </c>
      <c r="L34" s="43">
        <v>33447</v>
      </c>
      <c r="M34" s="44">
        <v>28997</v>
      </c>
      <c r="N34" s="44">
        <v>29039</v>
      </c>
      <c r="O34" s="44">
        <v>31931</v>
      </c>
      <c r="P34" s="44">
        <v>32044</v>
      </c>
      <c r="Q34" s="44">
        <v>38437</v>
      </c>
      <c r="R34" s="44">
        <v>38476</v>
      </c>
      <c r="S34" s="44">
        <v>45547</v>
      </c>
      <c r="T34" s="44">
        <v>45714</v>
      </c>
      <c r="U34" s="45">
        <v>54637</v>
      </c>
      <c r="V34" s="44" t="s">
        <v>23</v>
      </c>
      <c r="W34" s="44">
        <v>88327</v>
      </c>
      <c r="X34" s="44">
        <v>88392</v>
      </c>
      <c r="Y34" s="44">
        <v>94131</v>
      </c>
      <c r="Z34" s="44">
        <v>94211</v>
      </c>
      <c r="AA34" s="74">
        <v>115373</v>
      </c>
      <c r="AB34" s="44">
        <v>115496</v>
      </c>
      <c r="AC34" s="45">
        <v>157823</v>
      </c>
      <c r="AD34" s="44">
        <v>157824</v>
      </c>
      <c r="AE34" s="45">
        <v>195057</v>
      </c>
      <c r="AF34" s="44">
        <v>195057</v>
      </c>
      <c r="AG34" s="44">
        <v>217170</v>
      </c>
      <c r="AH34" s="44">
        <v>217170</v>
      </c>
      <c r="AI34" s="44">
        <v>215116</v>
      </c>
      <c r="AJ34" s="44">
        <v>215116</v>
      </c>
      <c r="AK34" s="44">
        <v>257630</v>
      </c>
      <c r="AL34" s="44">
        <v>257630</v>
      </c>
      <c r="AM34" s="44">
        <v>320520</v>
      </c>
      <c r="AN34" s="44">
        <v>320520</v>
      </c>
    </row>
    <row r="35" spans="1:40" ht="30" customHeight="1" x14ac:dyDescent="0.3">
      <c r="A35" s="56" t="s">
        <v>28</v>
      </c>
      <c r="B35" s="57" t="s">
        <v>69</v>
      </c>
      <c r="C35" s="58">
        <v>4570</v>
      </c>
      <c r="D35" s="58">
        <v>4570</v>
      </c>
      <c r="E35" s="58">
        <v>6005</v>
      </c>
      <c r="F35" s="58">
        <v>6005</v>
      </c>
      <c r="G35" s="58">
        <v>8776</v>
      </c>
      <c r="H35" s="58">
        <v>8776</v>
      </c>
      <c r="I35" s="58">
        <v>9145</v>
      </c>
      <c r="J35" s="58">
        <v>9144</v>
      </c>
      <c r="K35" s="58">
        <v>6578</v>
      </c>
      <c r="L35" s="58">
        <v>6578</v>
      </c>
      <c r="M35" s="59">
        <v>6921</v>
      </c>
      <c r="N35" s="59">
        <v>6920</v>
      </c>
      <c r="O35" s="59">
        <v>7585</v>
      </c>
      <c r="P35" s="59">
        <v>7585</v>
      </c>
      <c r="Q35" s="59">
        <v>14445</v>
      </c>
      <c r="R35" s="59">
        <v>14445</v>
      </c>
      <c r="S35" s="59">
        <v>16203</v>
      </c>
      <c r="T35" s="59">
        <v>16203</v>
      </c>
      <c r="U35" s="60">
        <v>14613</v>
      </c>
      <c r="V35" s="59" t="s">
        <v>23</v>
      </c>
      <c r="W35" s="59">
        <v>20814</v>
      </c>
      <c r="X35" s="59">
        <v>20814</v>
      </c>
      <c r="Y35" s="59">
        <v>11453</v>
      </c>
      <c r="Z35" s="59">
        <v>11453</v>
      </c>
      <c r="AA35" s="77">
        <v>27969</v>
      </c>
      <c r="AB35" s="59">
        <v>27970</v>
      </c>
      <c r="AC35" s="60">
        <v>33819</v>
      </c>
      <c r="AD35" s="59">
        <v>33819</v>
      </c>
      <c r="AE35" s="60">
        <v>54315</v>
      </c>
      <c r="AF35" s="59">
        <v>54315</v>
      </c>
      <c r="AG35" s="59">
        <v>101053</v>
      </c>
      <c r="AH35" s="59">
        <v>101053</v>
      </c>
      <c r="AI35" s="59">
        <v>74036</v>
      </c>
      <c r="AJ35" s="59">
        <v>74036</v>
      </c>
      <c r="AK35" s="59">
        <v>40890</v>
      </c>
      <c r="AL35" s="59">
        <v>40890</v>
      </c>
      <c r="AM35" s="59">
        <v>66380</v>
      </c>
      <c r="AN35" s="59">
        <v>66380</v>
      </c>
    </row>
    <row r="36" spans="1:40" ht="21.9" customHeight="1" x14ac:dyDescent="0.3">
      <c r="A36" s="8" t="s">
        <v>70</v>
      </c>
      <c r="B36" s="9" t="s">
        <v>71</v>
      </c>
      <c r="W36" s="11"/>
      <c r="Y36" s="11"/>
    </row>
    <row r="37" spans="1:40" ht="86.4" customHeight="1" x14ac:dyDescent="0.3">
      <c r="A37" s="12" t="s">
        <v>79</v>
      </c>
      <c r="B37" s="13" t="s">
        <v>80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40" ht="52.95" customHeight="1" x14ac:dyDescent="0.3">
      <c r="A38" s="12" t="s">
        <v>72</v>
      </c>
      <c r="B38" s="13" t="s">
        <v>73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40" ht="21.9" customHeight="1" x14ac:dyDescent="0.3">
      <c r="A39" s="15" t="s">
        <v>74</v>
      </c>
      <c r="B39" s="2" t="s">
        <v>75</v>
      </c>
    </row>
    <row r="40" spans="1:40" ht="21.9" customHeight="1" x14ac:dyDescent="0.3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69"/>
      <c r="N40" s="69"/>
    </row>
    <row r="41" spans="1:40" ht="21.9" customHeight="1" x14ac:dyDescent="0.3"/>
    <row r="42" spans="1:40" ht="21.9" customHeight="1" x14ac:dyDescent="0.3"/>
    <row r="43" spans="1:40" ht="21.9" customHeight="1" x14ac:dyDescent="0.3"/>
    <row r="44" spans="1:40" ht="21.9" customHeight="1" x14ac:dyDescent="0.3"/>
    <row r="45" spans="1:40" ht="21.9" customHeight="1" x14ac:dyDescent="0.3"/>
    <row r="46" spans="1:40" ht="21.9" customHeight="1" x14ac:dyDescent="0.3"/>
    <row r="47" spans="1:40" ht="21.9" customHeight="1" x14ac:dyDescent="0.3"/>
    <row r="48" spans="1:40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</sheetData>
  <mergeCells count="21">
    <mergeCell ref="U3:V4"/>
    <mergeCell ref="W3:X4"/>
    <mergeCell ref="B3:B4"/>
    <mergeCell ref="C3:D4"/>
    <mergeCell ref="E3:F4"/>
    <mergeCell ref="G3:H4"/>
    <mergeCell ref="I3:J4"/>
    <mergeCell ref="K3:L4"/>
    <mergeCell ref="M40:N40"/>
    <mergeCell ref="M3:N4"/>
    <mergeCell ref="O3:P4"/>
    <mergeCell ref="Q3:R4"/>
    <mergeCell ref="S3:T4"/>
    <mergeCell ref="AM3:AN4"/>
    <mergeCell ref="AK3:AL4"/>
    <mergeCell ref="AI3:AJ4"/>
    <mergeCell ref="Y3:Z4"/>
    <mergeCell ref="AA3:AB4"/>
    <mergeCell ref="AC3:AD4"/>
    <mergeCell ref="AE3:AF4"/>
    <mergeCell ref="AG3:AH4"/>
  </mergeCells>
  <phoneticPr fontId="14" type="noConversion"/>
  <printOptions horizontalCentered="1" verticalCentered="1"/>
  <pageMargins left="0" right="0" top="0" bottom="0" header="0" footer="0"/>
  <pageSetup paperSize="9" scale="37" orientation="portrait" horizontalDpi="4294967295" verticalDpi="4294967295" r:id="rId1"/>
  <headerFooter alignWithMargins="0"/>
  <colBreaks count="9" manualBreakCount="9">
    <brk id="6" max="38" man="1"/>
    <brk id="10" max="38" man="1"/>
    <brk id="14" max="38" man="1"/>
    <brk id="18" max="1048575" man="1"/>
    <brk id="22" max="38" man="1"/>
    <brk id="26" max="38" man="1"/>
    <brk id="30" max="38" man="1"/>
    <brk id="34" max="38" man="1"/>
    <brk id="38" max="3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Expenditures_Annual</vt:lpstr>
      <vt:lpstr>Expenditures_Annual!Print_Area</vt:lpstr>
      <vt:lpstr>Expenditures_Annual!Print_Titles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Hanaa Kamal</dc:creator>
  <cp:lastModifiedBy>Hames Abdelrashaed</cp:lastModifiedBy>
  <cp:lastPrinted>2024-06-05T07:31:18Z</cp:lastPrinted>
  <dcterms:created xsi:type="dcterms:W3CDTF">2015-06-05T18:17:20Z</dcterms:created>
  <dcterms:modified xsi:type="dcterms:W3CDTF">2026-03-05T11:10:35Z</dcterms:modified>
</cp:coreProperties>
</file>