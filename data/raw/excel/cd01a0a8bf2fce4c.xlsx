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13" i="1" l="1"/>
  <c r="L13" i="1"/>
  <c r="K13" i="1"/>
  <c r="J13" i="1"/>
  <c r="I13" i="1"/>
  <c r="H13" i="1"/>
  <c r="G13" i="1"/>
  <c r="E13" i="1"/>
  <c r="D13" i="1"/>
  <c r="C13" i="1"/>
  <c r="N12" i="1"/>
  <c r="L12" i="1"/>
  <c r="K12" i="1"/>
  <c r="J12" i="1"/>
  <c r="I12" i="1"/>
  <c r="H12" i="1"/>
  <c r="G12" i="1"/>
  <c r="E12" i="1"/>
  <c r="D12" i="1"/>
  <c r="C12" i="1"/>
</calcChain>
</file>

<file path=xl/sharedStrings.xml><?xml version="1.0" encoding="utf-8"?>
<sst xmlns="http://schemas.openxmlformats.org/spreadsheetml/2006/main" count="50" uniqueCount="47">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</sst>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2"/>
      <name val="Arial"/>
      <family val="2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  <font>
      <b/>
      <sz val="9"/>
      <name val="Times New (W1)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51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2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readingOrder="2"/>
    </xf>
    <xf numFmtId="0" fontId="7" fillId="6" borderId="4" xfId="0" applyFont="1" applyFill="1" applyBorder="1" applyAlignment="1">
      <alignment readingOrder="1"/>
    </xf>
    <xf numFmtId="0" fontId="0" fillId="6" borderId="4" xfId="0" applyFill="1" applyBorder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8" fillId="5" borderId="4" xfId="0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readingOrder="2"/>
    </xf>
    <xf numFmtId="1" fontId="2" fillId="6" borderId="4" xfId="0" applyNumberFormat="1" applyFont="1" applyFill="1" applyBorder="1" applyAlignment="1">
      <alignment horizontal="center" readingOrder="1"/>
    </xf>
    <xf numFmtId="1" fontId="2" fillId="2" borderId="0" xfId="0" applyNumberFormat="1" applyFont="1" applyFill="1" applyBorder="1" applyAlignment="1">
      <alignment horizontal="center" readingOrder="1"/>
    </xf>
    <xf numFmtId="1" fontId="2" fillId="2" borderId="5" xfId="0" applyNumberFormat="1" applyFont="1" applyFill="1" applyBorder="1" applyAlignment="1">
      <alignment horizontal="center" readingOrder="1"/>
    </xf>
    <xf numFmtId="0" fontId="10" fillId="5" borderId="4" xfId="0" applyFont="1" applyFill="1" applyBorder="1" applyAlignment="1">
      <alignment horizontal="center" readingOrder="2"/>
    </xf>
    <xf numFmtId="0" fontId="11" fillId="5" borderId="4" xfId="0" applyFont="1" applyFill="1" applyBorder="1" applyAlignment="1">
      <alignment horizontal="center" readingOrder="2"/>
    </xf>
    <xf numFmtId="0" fontId="12" fillId="5" borderId="4" xfId="0" quotePrefix="1" applyFont="1" applyFill="1" applyBorder="1" applyAlignment="1">
      <alignment horizontal="center" readingOrder="2"/>
    </xf>
    <xf numFmtId="1" fontId="13" fillId="6" borderId="4" xfId="0" applyNumberFormat="1" applyFont="1" applyFill="1" applyBorder="1" applyAlignment="1">
      <alignment horizontal="center" readingOrder="1"/>
    </xf>
    <xf numFmtId="1" fontId="13" fillId="2" borderId="0" xfId="0" applyNumberFormat="1" applyFont="1" applyFill="1" applyBorder="1" applyAlignment="1">
      <alignment horizontal="center" readingOrder="1"/>
    </xf>
    <xf numFmtId="1" fontId="13" fillId="2" borderId="5" xfId="0" applyNumberFormat="1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wrapText="1" readingOrder="1"/>
    </xf>
    <xf numFmtId="0" fontId="16" fillId="0" borderId="0" xfId="0" applyFont="1"/>
    <xf numFmtId="0" fontId="11" fillId="5" borderId="6" xfId="0" applyFont="1" applyFill="1" applyBorder="1" applyAlignment="1">
      <alignment horizontal="center" readingOrder="2"/>
    </xf>
    <xf numFmtId="0" fontId="12" fillId="5" borderId="6" xfId="0" quotePrefix="1" applyFont="1" applyFill="1" applyBorder="1" applyAlignment="1">
      <alignment horizontal="center" readingOrder="2"/>
    </xf>
    <xf numFmtId="1" fontId="13" fillId="6" borderId="6" xfId="0" applyNumberFormat="1" applyFont="1" applyFill="1" applyBorder="1" applyAlignment="1">
      <alignment horizontal="center" readingOrder="1"/>
    </xf>
    <xf numFmtId="1" fontId="13" fillId="2" borderId="1" xfId="0" applyNumberFormat="1" applyFont="1" applyFill="1" applyBorder="1" applyAlignment="1">
      <alignment horizontal="center" readingOrder="1"/>
    </xf>
    <xf numFmtId="1" fontId="13" fillId="2" borderId="7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8" fillId="0" borderId="0" xfId="1" quotePrefix="1" applyFont="1" applyBorder="1" applyAlignment="1">
      <alignment horizontal="right" vertical="center" indent="1" readingOrder="2"/>
    </xf>
    <xf numFmtId="0" fontId="0" fillId="5" borderId="0" xfId="0" applyFill="1"/>
    <xf numFmtId="0" fontId="19" fillId="0" borderId="0" xfId="1" applyFont="1" applyBorder="1" applyAlignment="1">
      <alignment horizontal="right" vertical="center" readingOrder="2"/>
    </xf>
    <xf numFmtId="0" fontId="19" fillId="0" borderId="0" xfId="1" applyFont="1" applyBorder="1" applyAlignment="1">
      <alignment horizontal="right" vertical="center" indent="1" readingOrder="2"/>
    </xf>
    <xf numFmtId="0" fontId="16" fillId="5" borderId="0" xfId="0" applyFont="1" applyFill="1" applyAlignment="1">
      <alignment horizontal="left"/>
    </xf>
    <xf numFmtId="0" fontId="21" fillId="5" borderId="0" xfId="0" applyFont="1" applyFill="1"/>
    <xf numFmtId="0" fontId="23" fillId="0" borderId="0" xfId="1" quotePrefix="1" applyFont="1" applyBorder="1" applyAlignment="1">
      <alignment horizontal="right" vertical="center" indent="1" readingOrder="2"/>
    </xf>
    <xf numFmtId="0" fontId="25" fillId="0" borderId="0" xfId="0" quotePrefix="1" applyFont="1" applyFill="1" applyAlignment="1">
      <alignment horizontal="left" readingOrder="1"/>
    </xf>
    <xf numFmtId="0" fontId="7" fillId="5" borderId="0" xfId="0" applyFont="1" applyFill="1" applyAlignment="1">
      <alignment readingOrder="1"/>
    </xf>
    <xf numFmtId="0" fontId="7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workbookViewId="0">
      <selection sqref="A1:XFD1048576"/>
    </sheetView>
  </sheetViews>
  <sheetFormatPr defaultRowHeight="15"/>
  <cols>
    <col min="1" max="1" width="97.5703125" customWidth="1"/>
    <col min="2" max="2" width="117.5703125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1" customFormat="1" ht="22.5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</row>
    <row r="2" spans="1:30" s="1" customFormat="1" ht="22.5">
      <c r="B2" s="4"/>
      <c r="C2" s="4"/>
      <c r="D2" s="4"/>
      <c r="E2" s="4"/>
      <c r="F2" s="4"/>
      <c r="G2" s="4"/>
      <c r="H2" s="4"/>
      <c r="J2" s="4"/>
      <c r="L2" s="4"/>
      <c r="N2" s="2"/>
    </row>
    <row r="3" spans="1:30" s="1" customFormat="1" ht="20.25">
      <c r="A3" s="5" t="s">
        <v>0</v>
      </c>
      <c r="B3" s="6" t="s">
        <v>1</v>
      </c>
    </row>
    <row r="4" spans="1:30" s="1" customFormat="1" ht="20.25">
      <c r="A4" s="7" t="s">
        <v>2</v>
      </c>
      <c r="B4" s="8" t="s">
        <v>3</v>
      </c>
      <c r="C4" s="9">
        <v>2012</v>
      </c>
      <c r="D4" s="9"/>
      <c r="E4" s="9"/>
      <c r="F4" s="9"/>
      <c r="G4" s="9"/>
      <c r="H4" s="9"/>
      <c r="I4" s="10">
        <v>2013</v>
      </c>
      <c r="J4" s="10"/>
      <c r="K4" s="10"/>
      <c r="L4" s="10"/>
      <c r="M4" s="10"/>
      <c r="N4" s="10"/>
    </row>
    <row r="5" spans="1:30" ht="20.25">
      <c r="A5" s="11" t="s">
        <v>4</v>
      </c>
      <c r="B5" s="8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30" ht="15.75">
      <c r="A6" s="14"/>
      <c r="B6" s="15"/>
      <c r="C6" s="16"/>
      <c r="D6" s="17"/>
      <c r="E6" s="17"/>
      <c r="F6" s="17"/>
      <c r="G6" s="17"/>
      <c r="H6" s="17"/>
      <c r="I6" s="18"/>
      <c r="J6" s="18"/>
      <c r="K6" s="18"/>
      <c r="L6" s="18"/>
      <c r="M6" s="18"/>
      <c r="N6" s="19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21.75">
      <c r="A7" s="21" t="s">
        <v>18</v>
      </c>
      <c r="B7" s="22" t="s">
        <v>19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21.75">
      <c r="A8" s="21" t="s">
        <v>20</v>
      </c>
      <c r="B8" s="26" t="s">
        <v>21</v>
      </c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8.75">
      <c r="A9" s="27" t="s">
        <v>22</v>
      </c>
      <c r="B9" s="28" t="s">
        <v>23</v>
      </c>
      <c r="C9" s="29">
        <v>1134.135</v>
      </c>
      <c r="D9" s="29">
        <v>1019</v>
      </c>
      <c r="E9" s="29">
        <v>1104</v>
      </c>
      <c r="F9" s="29">
        <v>1117</v>
      </c>
      <c r="G9" s="29">
        <v>998</v>
      </c>
      <c r="H9" s="29">
        <v>1148</v>
      </c>
      <c r="I9" s="30">
        <v>1129</v>
      </c>
      <c r="J9" s="30">
        <v>1048</v>
      </c>
      <c r="K9" s="30">
        <v>1141</v>
      </c>
      <c r="L9" s="30">
        <v>1135.32</v>
      </c>
      <c r="M9" s="30">
        <v>1103</v>
      </c>
      <c r="N9" s="31">
        <v>1190</v>
      </c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ht="18.75">
      <c r="A10" s="27" t="s">
        <v>24</v>
      </c>
      <c r="B10" s="28" t="s">
        <v>25</v>
      </c>
      <c r="C10" s="29">
        <v>61388</v>
      </c>
      <c r="D10" s="29">
        <v>53927</v>
      </c>
      <c r="E10" s="29">
        <v>55464</v>
      </c>
      <c r="F10" s="29">
        <v>60646</v>
      </c>
      <c r="G10" s="29">
        <v>56135</v>
      </c>
      <c r="H10" s="29">
        <v>58704</v>
      </c>
      <c r="I10" s="30">
        <v>62306</v>
      </c>
      <c r="J10" s="30">
        <v>55272</v>
      </c>
      <c r="K10" s="30">
        <v>61681</v>
      </c>
      <c r="L10" s="30">
        <v>66830</v>
      </c>
      <c r="M10" s="30">
        <v>68805</v>
      </c>
      <c r="N10" s="31">
        <v>66519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ht="21.75">
      <c r="A11" s="21" t="s">
        <v>26</v>
      </c>
      <c r="B11" s="26" t="s">
        <v>27</v>
      </c>
      <c r="C11" s="23"/>
      <c r="D11" s="23"/>
      <c r="E11" s="23"/>
      <c r="F11" s="23"/>
      <c r="G11" s="23"/>
      <c r="H11" s="23"/>
      <c r="I11" s="24"/>
      <c r="J11" s="24"/>
      <c r="K11" s="24"/>
      <c r="L11" s="24"/>
      <c r="M11" s="24"/>
      <c r="N11" s="25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8.75">
      <c r="A12" s="27" t="s">
        <v>28</v>
      </c>
      <c r="B12" s="28" t="s">
        <v>29</v>
      </c>
      <c r="C12" s="29">
        <f>118346+876</f>
        <v>119222</v>
      </c>
      <c r="D12" s="29">
        <f>108875+785</f>
        <v>109660</v>
      </c>
      <c r="E12" s="29">
        <f>109697+893</f>
        <v>110590</v>
      </c>
      <c r="F12" s="29">
        <v>116569</v>
      </c>
      <c r="G12" s="29">
        <f>101881+862</f>
        <v>102743</v>
      </c>
      <c r="H12" s="29">
        <f>115566+873</f>
        <v>116439</v>
      </c>
      <c r="I12" s="30">
        <f>97751+876</f>
        <v>98627</v>
      </c>
      <c r="J12" s="30">
        <f>85386+968</f>
        <v>86354</v>
      </c>
      <c r="K12" s="30">
        <f>92059+961</f>
        <v>93020</v>
      </c>
      <c r="L12" s="30">
        <f>95486+1012</f>
        <v>96498</v>
      </c>
      <c r="M12" s="30">
        <v>87814</v>
      </c>
      <c r="N12" s="31">
        <f>91776+885</f>
        <v>92661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18.75">
      <c r="A13" s="27" t="s">
        <v>24</v>
      </c>
      <c r="B13" s="28" t="s">
        <v>25</v>
      </c>
      <c r="C13" s="29">
        <f>491412.027807+484718.398271</f>
        <v>976130.42607799999</v>
      </c>
      <c r="D13" s="29">
        <f>362845.068234+295698.202648</f>
        <v>658543.27088199998</v>
      </c>
      <c r="E13" s="29">
        <f>431818.703023+486422.572971</f>
        <v>918241.27599400003</v>
      </c>
      <c r="F13" s="29">
        <v>1079347</v>
      </c>
      <c r="G13" s="29">
        <f>374208.651015+566720.537854</f>
        <v>940929.18886899995</v>
      </c>
      <c r="H13" s="29">
        <f>432784.837642+532941.552472</f>
        <v>965726.39011400007</v>
      </c>
      <c r="I13" s="30">
        <f>437842.207353+579852.791451</f>
        <v>1017694.998804</v>
      </c>
      <c r="J13" s="30">
        <f>374410.178662+696824.728507</f>
        <v>1071234.907169</v>
      </c>
      <c r="K13" s="30">
        <f>438693.80214595+805909.07733326</f>
        <v>1244602.8794792099</v>
      </c>
      <c r="L13" s="30">
        <f>479847.373186+580697.752875</f>
        <v>1060545.1260609999</v>
      </c>
      <c r="M13" s="30">
        <v>966282</v>
      </c>
      <c r="N13" s="31">
        <f>461759.674495+932743.343319</f>
        <v>1394503.0178139999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s="33" customFormat="1" ht="40.5">
      <c r="A14" s="32" t="s">
        <v>30</v>
      </c>
      <c r="B14" s="26" t="s">
        <v>31</v>
      </c>
      <c r="C14" s="29"/>
      <c r="D14" s="29"/>
      <c r="E14" s="29"/>
      <c r="F14" s="29"/>
      <c r="G14" s="29"/>
      <c r="H14" s="29"/>
      <c r="I14" s="30"/>
      <c r="J14" s="30"/>
      <c r="K14" s="30"/>
      <c r="L14" s="30"/>
      <c r="M14" s="30"/>
      <c r="N14" s="31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8.75">
      <c r="A15" s="27" t="s">
        <v>32</v>
      </c>
      <c r="B15" s="28" t="s">
        <v>29</v>
      </c>
      <c r="C15" s="29">
        <v>1098</v>
      </c>
      <c r="D15" s="29">
        <v>944</v>
      </c>
      <c r="E15" s="29">
        <v>1037</v>
      </c>
      <c r="F15" s="29">
        <v>1057</v>
      </c>
      <c r="G15" s="29">
        <v>1251</v>
      </c>
      <c r="H15" s="29">
        <v>1587</v>
      </c>
      <c r="I15" s="30">
        <v>933</v>
      </c>
      <c r="J15" s="30">
        <v>348</v>
      </c>
      <c r="K15" s="30">
        <v>394</v>
      </c>
      <c r="L15" s="30">
        <v>478</v>
      </c>
      <c r="M15" s="30">
        <v>346</v>
      </c>
      <c r="N15" s="31">
        <v>412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18.75">
      <c r="A16" s="34" t="s">
        <v>33</v>
      </c>
      <c r="B16" s="35" t="s">
        <v>34</v>
      </c>
      <c r="C16" s="36">
        <v>4185</v>
      </c>
      <c r="D16" s="36">
        <v>3475</v>
      </c>
      <c r="E16" s="36">
        <v>3650</v>
      </c>
      <c r="F16" s="36">
        <v>3797.49</v>
      </c>
      <c r="G16" s="36">
        <v>5428</v>
      </c>
      <c r="H16" s="36">
        <v>8098</v>
      </c>
      <c r="I16" s="37">
        <v>1915</v>
      </c>
      <c r="J16" s="37">
        <v>508.85</v>
      </c>
      <c r="K16" s="37">
        <v>472</v>
      </c>
      <c r="L16" s="37">
        <v>1088</v>
      </c>
      <c r="M16" s="37">
        <v>936.74</v>
      </c>
      <c r="N16" s="38">
        <v>969.15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23.25">
      <c r="A17" s="39" t="s">
        <v>35</v>
      </c>
      <c r="B17" s="40" t="s">
        <v>36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23.25">
      <c r="A18" s="39" t="s">
        <v>37</v>
      </c>
      <c r="B18" s="42" t="s">
        <v>38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23.25">
      <c r="A19" s="39" t="s">
        <v>39</v>
      </c>
      <c r="B19" s="43" t="s">
        <v>40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20.25">
      <c r="A20" s="44" t="s">
        <v>41</v>
      </c>
      <c r="B20" s="45" t="s">
        <v>42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23.25">
      <c r="A21" s="39" t="s">
        <v>43</v>
      </c>
      <c r="B21" s="42" t="s">
        <v>44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23.25">
      <c r="A22" s="39" t="s">
        <v>45</v>
      </c>
      <c r="B22" s="46" t="s">
        <v>46</v>
      </c>
      <c r="C22" s="47"/>
      <c r="J22"/>
      <c r="K22"/>
      <c r="L22"/>
    </row>
    <row r="23" spans="1:30" s="41" customFormat="1">
      <c r="C23" s="48"/>
    </row>
    <row r="24" spans="1:30" s="41" customFormat="1">
      <c r="C24" s="48"/>
    </row>
    <row r="25" spans="1:30" s="41" customFormat="1">
      <c r="C25" s="48"/>
    </row>
    <row r="26" spans="1:30" s="41" customFormat="1">
      <c r="C26" s="48"/>
    </row>
    <row r="27" spans="1:30" s="41" customFormat="1">
      <c r="C27" s="48"/>
    </row>
    <row r="28" spans="1:30" s="41" customFormat="1">
      <c r="C28" s="48"/>
    </row>
    <row r="29" spans="1:30" s="41" customFormat="1">
      <c r="C29" s="48"/>
    </row>
    <row r="30" spans="1:30" s="41" customFormat="1">
      <c r="C30" s="48"/>
    </row>
    <row r="31" spans="1:30" s="41" customFormat="1">
      <c r="C31" s="48"/>
    </row>
    <row r="32" spans="1:30" s="41" customFormat="1">
      <c r="C32" s="48"/>
    </row>
    <row r="33" spans="3:3" s="41" customFormat="1">
      <c r="C33" s="48"/>
    </row>
    <row r="34" spans="3:3" s="41" customFormat="1">
      <c r="C34" s="48"/>
    </row>
    <row r="35" spans="3:3" s="41" customFormat="1">
      <c r="C35" s="48"/>
    </row>
    <row r="36" spans="3:3" s="41" customFormat="1">
      <c r="C36" s="48"/>
    </row>
    <row r="37" spans="3:3" s="41" customFormat="1">
      <c r="C37" s="48"/>
    </row>
    <row r="38" spans="3:3" s="41" customFormat="1">
      <c r="C38" s="48"/>
    </row>
    <row r="39" spans="3:3" s="41" customFormat="1">
      <c r="C39" s="48"/>
    </row>
    <row r="40" spans="3:3" s="41" customFormat="1">
      <c r="C40" s="48"/>
    </row>
    <row r="41" spans="3:3" s="41" customFormat="1">
      <c r="C41" s="48"/>
    </row>
    <row r="42" spans="3:3" s="41" customFormat="1">
      <c r="C42" s="48"/>
    </row>
    <row r="43" spans="3:3" s="41" customFormat="1">
      <c r="C43" s="48"/>
    </row>
    <row r="44" spans="3:3" s="41" customFormat="1">
      <c r="C44" s="48"/>
    </row>
    <row r="45" spans="3:3" s="41" customFormat="1">
      <c r="C45" s="48"/>
    </row>
    <row r="46" spans="3:3" s="41" customFormat="1">
      <c r="C46" s="48"/>
    </row>
    <row r="47" spans="3:3" s="41" customFormat="1">
      <c r="C47" s="48"/>
    </row>
    <row r="48" spans="3:3" s="41" customFormat="1">
      <c r="C48" s="48"/>
    </row>
    <row r="49" spans="3:3" s="41" customFormat="1">
      <c r="C49" s="48"/>
    </row>
    <row r="50" spans="3:3" s="41" customFormat="1">
      <c r="C50" s="48"/>
    </row>
    <row r="51" spans="3:3" s="41" customFormat="1">
      <c r="C51" s="48"/>
    </row>
    <row r="52" spans="3:3" s="41" customFormat="1">
      <c r="C52" s="48"/>
    </row>
    <row r="53" spans="3:3" s="41" customFormat="1">
      <c r="C53" s="48"/>
    </row>
    <row r="54" spans="3:3" s="41" customFormat="1">
      <c r="C54" s="48"/>
    </row>
    <row r="55" spans="3:3" s="41" customFormat="1">
      <c r="C55" s="48"/>
    </row>
    <row r="56" spans="3:3" s="41" customFormat="1">
      <c r="C56" s="48"/>
    </row>
    <row r="57" spans="3:3" s="41" customFormat="1">
      <c r="C57" s="48"/>
    </row>
    <row r="58" spans="3:3" s="41" customFormat="1">
      <c r="C58" s="48"/>
    </row>
    <row r="59" spans="3:3" s="41" customFormat="1">
      <c r="C59" s="48"/>
    </row>
    <row r="60" spans="3:3" s="41" customFormat="1">
      <c r="C60" s="48"/>
    </row>
    <row r="61" spans="3:3" s="41" customFormat="1">
      <c r="C61" s="48"/>
    </row>
    <row r="62" spans="3:3" s="41" customFormat="1">
      <c r="C62" s="48"/>
    </row>
    <row r="63" spans="3:3" s="41" customFormat="1">
      <c r="C63" s="48"/>
    </row>
    <row r="64" spans="3:3" s="41" customFormat="1">
      <c r="C64" s="48"/>
    </row>
    <row r="65" spans="3:3" s="41" customFormat="1">
      <c r="C65" s="48"/>
    </row>
    <row r="66" spans="3:3" s="41" customFormat="1">
      <c r="C66" s="48"/>
    </row>
    <row r="67" spans="3:3" s="41" customFormat="1">
      <c r="C67" s="48"/>
    </row>
    <row r="68" spans="3:3" s="41" customFormat="1">
      <c r="C68" s="48"/>
    </row>
    <row r="69" spans="3:3" s="41" customFormat="1">
      <c r="C69" s="48"/>
    </row>
    <row r="70" spans="3:3" s="41" customFormat="1">
      <c r="C70" s="48"/>
    </row>
    <row r="71" spans="3:3" s="41" customFormat="1">
      <c r="C71" s="48"/>
    </row>
    <row r="72" spans="3:3" s="41" customFormat="1">
      <c r="C72" s="48"/>
    </row>
    <row r="73" spans="3:3" s="41" customFormat="1">
      <c r="C73" s="48"/>
    </row>
    <row r="74" spans="3:3" s="41" customFormat="1">
      <c r="C74" s="48"/>
    </row>
    <row r="75" spans="3:3" s="41" customFormat="1">
      <c r="C75" s="48"/>
    </row>
    <row r="76" spans="3:3" s="41" customFormat="1">
      <c r="C76" s="48"/>
    </row>
    <row r="77" spans="3:3" s="41" customFormat="1">
      <c r="C77" s="48"/>
    </row>
    <row r="78" spans="3:3" s="41" customFormat="1">
      <c r="C78" s="48"/>
    </row>
    <row r="79" spans="3:3" s="41" customFormat="1">
      <c r="C79" s="48"/>
    </row>
    <row r="80" spans="3:3" s="41" customFormat="1">
      <c r="C80" s="48"/>
    </row>
    <row r="81" spans="3:3" s="41" customFormat="1">
      <c r="C81" s="48"/>
    </row>
    <row r="82" spans="3:3" s="41" customFormat="1">
      <c r="C82" s="48"/>
    </row>
    <row r="83" spans="3:3" s="41" customFormat="1">
      <c r="C83" s="48"/>
    </row>
    <row r="84" spans="3:3" s="41" customFormat="1">
      <c r="C84" s="48"/>
    </row>
    <row r="85" spans="3:3" s="41" customFormat="1">
      <c r="C85" s="48"/>
    </row>
    <row r="86" spans="3:3" s="41" customFormat="1">
      <c r="C86" s="48"/>
    </row>
    <row r="87" spans="3:3" s="41" customFormat="1">
      <c r="C87" s="48"/>
    </row>
    <row r="88" spans="3:3" s="41" customFormat="1">
      <c r="C88" s="48"/>
    </row>
    <row r="89" spans="3:3" s="41" customFormat="1">
      <c r="C89" s="48"/>
    </row>
    <row r="90" spans="3:3" s="41" customFormat="1">
      <c r="C90" s="48"/>
    </row>
    <row r="91" spans="3:3" s="41" customFormat="1">
      <c r="C91" s="48"/>
    </row>
    <row r="92" spans="3:3" s="41" customFormat="1">
      <c r="C92" s="48"/>
    </row>
    <row r="93" spans="3:3" s="41" customFormat="1">
      <c r="C93" s="48"/>
    </row>
    <row r="94" spans="3:3" s="41" customFormat="1">
      <c r="C94" s="48"/>
    </row>
    <row r="95" spans="3:3" s="41" customFormat="1">
      <c r="C95" s="48"/>
    </row>
    <row r="96" spans="3:3" s="41" customFormat="1">
      <c r="C96" s="48"/>
    </row>
    <row r="97" spans="3:3" s="41" customFormat="1">
      <c r="C97" s="48"/>
    </row>
    <row r="98" spans="3:3" s="41" customFormat="1">
      <c r="C98" s="48"/>
    </row>
    <row r="99" spans="3:3" s="41" customFormat="1">
      <c r="C99" s="48"/>
    </row>
    <row r="100" spans="3:3" s="41" customFormat="1">
      <c r="C100" s="48"/>
    </row>
    <row r="101" spans="3:3" s="41" customFormat="1">
      <c r="C101" s="48"/>
    </row>
    <row r="102" spans="3:3" s="41" customFormat="1">
      <c r="C102" s="48"/>
    </row>
    <row r="103" spans="3:3" s="41" customFormat="1">
      <c r="C103" s="48"/>
    </row>
    <row r="104" spans="3:3" s="41" customFormat="1">
      <c r="C104" s="48"/>
    </row>
    <row r="105" spans="3:3" s="41" customFormat="1">
      <c r="C105" s="48"/>
    </row>
    <row r="106" spans="3:3" s="41" customFormat="1">
      <c r="C106" s="48"/>
    </row>
    <row r="107" spans="3:3" s="41" customFormat="1">
      <c r="C107" s="48"/>
    </row>
    <row r="108" spans="3:3" s="41" customFormat="1">
      <c r="C108" s="48"/>
    </row>
    <row r="109" spans="3:3" s="41" customFormat="1">
      <c r="C109" s="48"/>
    </row>
    <row r="110" spans="3:3" s="41" customFormat="1">
      <c r="C110" s="48"/>
    </row>
    <row r="111" spans="3:3" s="41" customFormat="1">
      <c r="C111" s="48"/>
    </row>
    <row r="112" spans="3:3" s="41" customFormat="1">
      <c r="C112" s="48"/>
    </row>
    <row r="113" spans="3:3" s="41" customFormat="1">
      <c r="C113" s="48"/>
    </row>
    <row r="114" spans="3:3" s="41" customFormat="1">
      <c r="C114" s="48"/>
    </row>
    <row r="115" spans="3:3" s="41" customFormat="1">
      <c r="C115" s="48"/>
    </row>
    <row r="116" spans="3:3" s="41" customFormat="1">
      <c r="C116" s="48"/>
    </row>
    <row r="117" spans="3:3" s="41" customFormat="1">
      <c r="C117" s="48"/>
    </row>
    <row r="118" spans="3:3" s="41" customFormat="1">
      <c r="C118" s="48"/>
    </row>
    <row r="119" spans="3:3" s="41" customFormat="1">
      <c r="C119" s="48"/>
    </row>
    <row r="120" spans="3:3" s="41" customFormat="1">
      <c r="C120" s="48"/>
    </row>
    <row r="121" spans="3:3" s="41" customFormat="1">
      <c r="C121" s="48"/>
    </row>
    <row r="122" spans="3:3" s="41" customFormat="1">
      <c r="C122" s="48"/>
    </row>
    <row r="123" spans="3:3" s="41" customFormat="1">
      <c r="C123" s="48"/>
    </row>
    <row r="124" spans="3:3" s="41" customFormat="1">
      <c r="C124" s="48"/>
    </row>
    <row r="125" spans="3:3" s="41" customFormat="1">
      <c r="C125" s="48"/>
    </row>
    <row r="126" spans="3:3" s="41" customFormat="1">
      <c r="C126" s="48"/>
    </row>
    <row r="127" spans="3:3" s="41" customFormat="1">
      <c r="C127" s="48"/>
    </row>
    <row r="128" spans="3:3" s="41" customFormat="1">
      <c r="C128" s="48"/>
    </row>
    <row r="129" spans="3:3" s="41" customFormat="1">
      <c r="C129" s="48"/>
    </row>
    <row r="130" spans="3:3" s="41" customFormat="1">
      <c r="C130" s="48"/>
    </row>
    <row r="131" spans="3:3" s="41" customFormat="1">
      <c r="C131" s="48"/>
    </row>
    <row r="132" spans="3:3" s="41" customFormat="1">
      <c r="C132" s="48"/>
    </row>
    <row r="133" spans="3:3" s="41" customFormat="1">
      <c r="C133" s="48"/>
    </row>
    <row r="134" spans="3:3" s="41" customFormat="1">
      <c r="C134" s="48"/>
    </row>
    <row r="135" spans="3:3" s="41" customFormat="1">
      <c r="C135" s="48"/>
    </row>
    <row r="136" spans="3:3" s="41" customFormat="1">
      <c r="C136" s="48"/>
    </row>
    <row r="137" spans="3:3" s="41" customFormat="1">
      <c r="C137" s="48"/>
    </row>
    <row r="138" spans="3:3" s="41" customFormat="1">
      <c r="C138" s="48"/>
    </row>
    <row r="139" spans="3:3" s="41" customFormat="1">
      <c r="C139" s="48"/>
    </row>
    <row r="140" spans="3:3" s="41" customFormat="1">
      <c r="C140" s="48"/>
    </row>
    <row r="141" spans="3:3" s="41" customFormat="1">
      <c r="C141" s="48"/>
    </row>
    <row r="142" spans="3:3" s="41" customFormat="1">
      <c r="C142" s="48"/>
    </row>
    <row r="143" spans="3:3" s="41" customFormat="1">
      <c r="C143" s="48"/>
    </row>
    <row r="144" spans="3:3" s="41" customFormat="1">
      <c r="C144" s="48"/>
    </row>
    <row r="145" spans="3:3" s="41" customFormat="1">
      <c r="C145" s="48"/>
    </row>
    <row r="146" spans="3:3" s="41" customFormat="1">
      <c r="C146" s="48"/>
    </row>
    <row r="147" spans="3:3" s="41" customFormat="1">
      <c r="C147" s="48"/>
    </row>
    <row r="148" spans="3:3" s="41" customFormat="1">
      <c r="C148" s="48"/>
    </row>
    <row r="149" spans="3:3" s="41" customFormat="1">
      <c r="C149" s="48"/>
    </row>
    <row r="150" spans="3:3" s="41" customFormat="1">
      <c r="C150" s="48"/>
    </row>
    <row r="151" spans="3:3" s="41" customFormat="1">
      <c r="C151" s="48"/>
    </row>
    <row r="152" spans="3:3" s="41" customFormat="1">
      <c r="C152" s="48"/>
    </row>
    <row r="153" spans="3:3" s="41" customFormat="1">
      <c r="C153" s="48"/>
    </row>
    <row r="154" spans="3:3" s="41" customFormat="1">
      <c r="C154" s="48"/>
    </row>
    <row r="155" spans="3:3" s="41" customFormat="1">
      <c r="C155" s="48"/>
    </row>
    <row r="156" spans="3:3" s="41" customFormat="1">
      <c r="C156" s="48"/>
    </row>
    <row r="157" spans="3:3" s="41" customFormat="1">
      <c r="C157" s="48"/>
    </row>
    <row r="158" spans="3:3" s="41" customFormat="1">
      <c r="C158" s="48"/>
    </row>
    <row r="159" spans="3:3" s="41" customFormat="1">
      <c r="C159" s="48"/>
    </row>
    <row r="160" spans="3:3" s="41" customFormat="1">
      <c r="C160" s="48"/>
    </row>
    <row r="161" spans="3:3" s="41" customFormat="1">
      <c r="C161" s="48"/>
    </row>
    <row r="162" spans="3:3" s="41" customFormat="1">
      <c r="C162" s="48"/>
    </row>
    <row r="163" spans="3:3" s="41" customFormat="1">
      <c r="C163" s="48"/>
    </row>
    <row r="164" spans="3:3" s="41" customFormat="1">
      <c r="C164" s="48"/>
    </row>
    <row r="165" spans="3:3" s="41" customFormat="1">
      <c r="C165" s="48"/>
    </row>
    <row r="166" spans="3:3" s="41" customFormat="1">
      <c r="C166" s="48"/>
    </row>
    <row r="167" spans="3:3" s="41" customFormat="1">
      <c r="C167" s="48"/>
    </row>
    <row r="168" spans="3:3" s="41" customFormat="1">
      <c r="C168" s="48"/>
    </row>
    <row r="169" spans="3:3" s="41" customFormat="1">
      <c r="C169" s="48"/>
    </row>
    <row r="170" spans="3:3" s="41" customFormat="1">
      <c r="C170" s="48"/>
    </row>
    <row r="171" spans="3:3" s="41" customFormat="1">
      <c r="C171" s="48"/>
    </row>
    <row r="172" spans="3:3" s="41" customFormat="1">
      <c r="C172" s="48"/>
    </row>
    <row r="173" spans="3:3" s="41" customFormat="1">
      <c r="C173" s="48"/>
    </row>
    <row r="174" spans="3:3" s="41" customFormat="1">
      <c r="C174" s="48"/>
    </row>
    <row r="175" spans="3:3" s="41" customFormat="1">
      <c r="C175" s="48"/>
    </row>
    <row r="176" spans="3:3" s="41" customFormat="1">
      <c r="C176" s="48"/>
    </row>
    <row r="177" spans="3:3" s="41" customFormat="1">
      <c r="C177" s="48"/>
    </row>
    <row r="178" spans="3:3" s="41" customFormat="1">
      <c r="C178" s="48"/>
    </row>
    <row r="179" spans="3:3" s="41" customFormat="1">
      <c r="C179" s="48"/>
    </row>
    <row r="180" spans="3:3" s="41" customFormat="1">
      <c r="C180" s="48"/>
    </row>
    <row r="181" spans="3:3" s="41" customFormat="1">
      <c r="C181" s="48"/>
    </row>
    <row r="182" spans="3:3" s="41" customFormat="1">
      <c r="C182" s="48"/>
    </row>
    <row r="183" spans="3:3" s="41" customFormat="1">
      <c r="C183" s="48"/>
    </row>
    <row r="184" spans="3:3" s="41" customFormat="1">
      <c r="C184" s="48"/>
    </row>
    <row r="185" spans="3:3" s="41" customFormat="1">
      <c r="C185" s="48"/>
    </row>
    <row r="186" spans="3:3" s="41" customFormat="1">
      <c r="C186" s="48"/>
    </row>
    <row r="187" spans="3:3" s="41" customFormat="1">
      <c r="C187" s="48"/>
    </row>
    <row r="188" spans="3:3" s="41" customFormat="1">
      <c r="C188" s="48"/>
    </row>
    <row r="189" spans="3:3" s="41" customFormat="1">
      <c r="C189" s="48"/>
    </row>
    <row r="190" spans="3:3" s="41" customFormat="1">
      <c r="C190" s="48"/>
    </row>
    <row r="191" spans="3:3" s="41" customFormat="1">
      <c r="C191" s="48"/>
    </row>
    <row r="192" spans="3:3" s="41" customFormat="1">
      <c r="C192" s="48"/>
    </row>
    <row r="193" spans="3:3" s="41" customFormat="1">
      <c r="C193" s="48"/>
    </row>
    <row r="194" spans="3:3" s="41" customFormat="1">
      <c r="C194" s="48"/>
    </row>
    <row r="195" spans="3:3" s="41" customFormat="1">
      <c r="C195" s="48"/>
    </row>
    <row r="196" spans="3:3" s="41" customFormat="1">
      <c r="C196" s="48"/>
    </row>
    <row r="197" spans="3:3" s="41" customFormat="1">
      <c r="C197" s="48"/>
    </row>
    <row r="198" spans="3:3" s="41" customFormat="1">
      <c r="C198" s="48"/>
    </row>
    <row r="199" spans="3:3" s="41" customFormat="1">
      <c r="C199" s="48"/>
    </row>
    <row r="200" spans="3:3" s="41" customFormat="1">
      <c r="C200" s="48"/>
    </row>
    <row r="201" spans="3:3" s="41" customFormat="1">
      <c r="C201" s="48"/>
    </row>
    <row r="202" spans="3:3" s="41" customFormat="1">
      <c r="C202" s="48"/>
    </row>
    <row r="203" spans="3:3" s="41" customFormat="1">
      <c r="C203" s="48"/>
    </row>
    <row r="204" spans="3:3" s="41" customFormat="1">
      <c r="C204" s="48"/>
    </row>
    <row r="205" spans="3:3" s="41" customFormat="1">
      <c r="C205" s="48"/>
    </row>
    <row r="206" spans="3:3" s="41" customFormat="1">
      <c r="C206" s="48"/>
    </row>
    <row r="207" spans="3:3" s="41" customFormat="1">
      <c r="C207" s="48"/>
    </row>
    <row r="208" spans="3:3" s="41" customFormat="1">
      <c r="C208" s="48"/>
    </row>
    <row r="209" spans="3:3" s="41" customFormat="1">
      <c r="C209" s="48"/>
    </row>
    <row r="210" spans="3:3" s="41" customFormat="1">
      <c r="C210" s="48"/>
    </row>
    <row r="211" spans="3:3" s="41" customFormat="1">
      <c r="C211" s="48"/>
    </row>
    <row r="212" spans="3:3" s="41" customFormat="1">
      <c r="C212" s="48"/>
    </row>
    <row r="213" spans="3:3" s="41" customFormat="1">
      <c r="C213" s="48"/>
    </row>
    <row r="214" spans="3:3" s="41" customFormat="1">
      <c r="C214" s="48"/>
    </row>
    <row r="215" spans="3:3" s="41" customFormat="1">
      <c r="C215" s="48"/>
    </row>
    <row r="216" spans="3:3" s="41" customFormat="1">
      <c r="C216" s="48"/>
    </row>
    <row r="217" spans="3:3" s="41" customFormat="1">
      <c r="C217" s="48"/>
    </row>
    <row r="218" spans="3:3" s="41" customFormat="1">
      <c r="C218" s="48"/>
    </row>
    <row r="219" spans="3:3" s="41" customFormat="1">
      <c r="C219" s="48"/>
    </row>
    <row r="220" spans="3:3" s="41" customFormat="1">
      <c r="C220" s="48"/>
    </row>
    <row r="221" spans="3:3" s="41" customFormat="1">
      <c r="C221" s="48"/>
    </row>
    <row r="222" spans="3:3" s="41" customFormat="1">
      <c r="C222" s="48"/>
    </row>
    <row r="223" spans="3:3" s="41" customFormat="1">
      <c r="C223" s="48"/>
    </row>
    <row r="224" spans="3:3" s="41" customFormat="1">
      <c r="C224" s="48"/>
    </row>
    <row r="225" spans="3:3" s="41" customFormat="1">
      <c r="C225" s="48"/>
    </row>
    <row r="226" spans="3:3" s="41" customFormat="1">
      <c r="C226" s="48"/>
    </row>
    <row r="227" spans="3:3" s="41" customFormat="1">
      <c r="C227" s="48"/>
    </row>
    <row r="228" spans="3:3" s="41" customFormat="1">
      <c r="C228" s="48"/>
    </row>
    <row r="229" spans="3:3" s="41" customFormat="1">
      <c r="C229" s="48"/>
    </row>
    <row r="230" spans="3:3" s="41" customFormat="1">
      <c r="C230" s="48"/>
    </row>
    <row r="231" spans="3:3" s="41" customFormat="1">
      <c r="C231" s="48"/>
    </row>
    <row r="232" spans="3:3" s="41" customFormat="1">
      <c r="C232" s="48"/>
    </row>
    <row r="233" spans="3:3" s="41" customFormat="1">
      <c r="C233" s="48"/>
    </row>
    <row r="234" spans="3:3" s="41" customFormat="1">
      <c r="C234" s="48"/>
    </row>
    <row r="235" spans="3:3" s="41" customFormat="1">
      <c r="C235" s="48"/>
    </row>
    <row r="236" spans="3:3" s="41" customFormat="1">
      <c r="C236" s="48"/>
    </row>
    <row r="237" spans="3:3" s="41" customFormat="1">
      <c r="C237" s="48"/>
    </row>
    <row r="238" spans="3:3" s="41" customFormat="1">
      <c r="C238" s="48"/>
    </row>
    <row r="239" spans="3:3" s="41" customFormat="1">
      <c r="C239" s="48"/>
    </row>
    <row r="240" spans="3:3" s="41" customFormat="1">
      <c r="C240" s="48"/>
    </row>
    <row r="241" spans="3:3" s="41" customFormat="1">
      <c r="C241" s="48"/>
    </row>
    <row r="242" spans="3:3" s="41" customFormat="1">
      <c r="C242" s="48"/>
    </row>
    <row r="243" spans="3:3" s="41" customFormat="1">
      <c r="C243" s="48"/>
    </row>
    <row r="244" spans="3:3" s="41" customFormat="1">
      <c r="C244" s="48"/>
    </row>
    <row r="245" spans="3:3" s="41" customFormat="1">
      <c r="C245" s="48"/>
    </row>
    <row r="246" spans="3:3" s="41" customFormat="1">
      <c r="C246" s="48"/>
    </row>
    <row r="247" spans="3:3" s="41" customFormat="1">
      <c r="C247" s="48"/>
    </row>
    <row r="248" spans="3:3" s="41" customFormat="1">
      <c r="C248" s="48"/>
    </row>
    <row r="249" spans="3:3" s="41" customFormat="1">
      <c r="C249" s="48"/>
    </row>
    <row r="250" spans="3:3" s="41" customFormat="1">
      <c r="C250" s="48"/>
    </row>
    <row r="251" spans="3:3" s="41" customFormat="1">
      <c r="C251" s="48"/>
    </row>
    <row r="252" spans="3:3" s="41" customFormat="1">
      <c r="C252" s="48"/>
    </row>
    <row r="253" spans="3:3" s="41" customFormat="1">
      <c r="C253" s="48"/>
    </row>
    <row r="254" spans="3:3" s="41" customFormat="1">
      <c r="C254" s="48"/>
    </row>
    <row r="255" spans="3:3" s="41" customFormat="1">
      <c r="C255" s="48"/>
    </row>
    <row r="256" spans="3:3" s="41" customFormat="1">
      <c r="C256" s="48"/>
    </row>
    <row r="257" spans="3:3" s="41" customFormat="1">
      <c r="C257" s="48"/>
    </row>
    <row r="258" spans="3:3" s="41" customFormat="1">
      <c r="C258" s="48"/>
    </row>
    <row r="259" spans="3:3" s="41" customFormat="1">
      <c r="C259" s="48"/>
    </row>
    <row r="260" spans="3:3" s="41" customFormat="1">
      <c r="C260" s="48"/>
    </row>
    <row r="261" spans="3:3" s="41" customFormat="1">
      <c r="C261" s="48"/>
    </row>
    <row r="262" spans="3:3" s="41" customFormat="1">
      <c r="C262" s="48"/>
    </row>
    <row r="263" spans="3:3" s="41" customFormat="1">
      <c r="C263" s="48"/>
    </row>
    <row r="264" spans="3:3" s="41" customFormat="1">
      <c r="C264" s="48"/>
    </row>
    <row r="265" spans="3:3" s="41" customFormat="1">
      <c r="C265" s="48"/>
    </row>
    <row r="266" spans="3:3" s="41" customFormat="1">
      <c r="C266" s="48"/>
    </row>
    <row r="267" spans="3:3" s="41" customFormat="1">
      <c r="C267" s="48"/>
    </row>
    <row r="268" spans="3:3" s="41" customFormat="1">
      <c r="C268" s="48"/>
    </row>
    <row r="269" spans="3:3" s="41" customFormat="1">
      <c r="C269" s="48"/>
    </row>
    <row r="270" spans="3:3" s="41" customFormat="1">
      <c r="C270" s="48"/>
    </row>
    <row r="271" spans="3:3" s="41" customFormat="1">
      <c r="C271" s="48"/>
    </row>
    <row r="272" spans="3:3" s="41" customFormat="1">
      <c r="C272" s="48"/>
    </row>
    <row r="273" spans="3:3" s="41" customFormat="1">
      <c r="C273" s="48"/>
    </row>
    <row r="274" spans="3:3" s="41" customFormat="1">
      <c r="C274" s="48"/>
    </row>
    <row r="275" spans="3:3" s="41" customFormat="1">
      <c r="C275" s="48"/>
    </row>
    <row r="276" spans="3:3" s="41" customFormat="1">
      <c r="C276" s="48"/>
    </row>
    <row r="277" spans="3:3" s="41" customFormat="1">
      <c r="C277" s="48"/>
    </row>
    <row r="278" spans="3:3" s="41" customFormat="1">
      <c r="C278" s="48"/>
    </row>
    <row r="279" spans="3:3" s="41" customFormat="1">
      <c r="C279" s="48"/>
    </row>
    <row r="280" spans="3:3" s="41" customFormat="1">
      <c r="C280" s="48"/>
    </row>
    <row r="281" spans="3:3" s="41" customFormat="1">
      <c r="C281" s="48"/>
    </row>
    <row r="282" spans="3:3" s="41" customFormat="1">
      <c r="C282" s="48"/>
    </row>
    <row r="283" spans="3:3" s="41" customFormat="1">
      <c r="C283" s="48"/>
    </row>
    <row r="284" spans="3:3" s="41" customFormat="1">
      <c r="C284" s="48"/>
    </row>
    <row r="285" spans="3:3" s="41" customFormat="1">
      <c r="C285" s="48"/>
    </row>
    <row r="286" spans="3:3" s="41" customFormat="1">
      <c r="C286" s="48"/>
    </row>
    <row r="287" spans="3:3" s="41" customFormat="1">
      <c r="C287" s="48"/>
    </row>
    <row r="288" spans="3:3" s="41" customFormat="1">
      <c r="C288" s="48"/>
    </row>
    <row r="289" spans="3:3" s="41" customFormat="1">
      <c r="C289" s="48"/>
    </row>
    <row r="290" spans="3:3" s="41" customFormat="1">
      <c r="C290" s="48"/>
    </row>
    <row r="291" spans="3:3" s="41" customFormat="1">
      <c r="C291" s="48"/>
    </row>
    <row r="292" spans="3:3" s="41" customFormat="1">
      <c r="C292" s="48"/>
    </row>
    <row r="293" spans="3:3" s="41" customFormat="1">
      <c r="C293" s="48"/>
    </row>
    <row r="294" spans="3:3" s="41" customFormat="1">
      <c r="C294" s="48"/>
    </row>
    <row r="295" spans="3:3" s="41" customFormat="1">
      <c r="C295" s="48"/>
    </row>
    <row r="296" spans="3:3" s="41" customFormat="1">
      <c r="C296" s="48"/>
    </row>
    <row r="297" spans="3:3" s="41" customFormat="1">
      <c r="C297" s="48"/>
    </row>
    <row r="298" spans="3:3" s="41" customFormat="1">
      <c r="C298" s="48"/>
    </row>
    <row r="299" spans="3:3" s="41" customFormat="1">
      <c r="C299" s="48"/>
    </row>
    <row r="300" spans="3:3" s="41" customFormat="1">
      <c r="C300" s="48"/>
    </row>
    <row r="301" spans="3:3" s="41" customFormat="1">
      <c r="C301" s="48"/>
    </row>
    <row r="302" spans="3:3" s="41" customFormat="1">
      <c r="C302" s="48"/>
    </row>
    <row r="303" spans="3:3" s="41" customFormat="1">
      <c r="C303" s="48"/>
    </row>
    <row r="304" spans="3:3" s="41" customFormat="1">
      <c r="C304" s="48"/>
    </row>
    <row r="305" spans="3:3" s="41" customFormat="1">
      <c r="C305" s="48"/>
    </row>
    <row r="306" spans="3:3" s="41" customFormat="1">
      <c r="C306" s="48"/>
    </row>
    <row r="307" spans="3:3" s="41" customFormat="1">
      <c r="C307" s="48"/>
    </row>
    <row r="308" spans="3:3" s="41" customFormat="1">
      <c r="C308" s="48"/>
    </row>
    <row r="309" spans="3:3" s="41" customFormat="1">
      <c r="C309" s="48"/>
    </row>
    <row r="310" spans="3:3" s="41" customFormat="1">
      <c r="C310" s="48"/>
    </row>
    <row r="311" spans="3:3" s="41" customFormat="1">
      <c r="C311" s="48"/>
    </row>
    <row r="312" spans="3:3" s="41" customFormat="1">
      <c r="C312" s="48"/>
    </row>
    <row r="313" spans="3:3" s="41" customFormat="1">
      <c r="C313" s="48"/>
    </row>
    <row r="314" spans="3:3" s="41" customFormat="1">
      <c r="C314" s="48"/>
    </row>
    <row r="315" spans="3:3" s="41" customFormat="1">
      <c r="C315" s="48"/>
    </row>
    <row r="316" spans="3:3" s="41" customFormat="1">
      <c r="C316" s="48"/>
    </row>
    <row r="317" spans="3:3" s="41" customFormat="1">
      <c r="C317" s="48"/>
    </row>
    <row r="318" spans="3:3" s="41" customFormat="1">
      <c r="C318" s="48"/>
    </row>
    <row r="319" spans="3:3" s="41" customFormat="1">
      <c r="C319" s="48"/>
    </row>
    <row r="320" spans="3:3" s="41" customFormat="1">
      <c r="C320" s="48"/>
    </row>
    <row r="321" spans="3:3" s="41" customFormat="1">
      <c r="C321" s="48"/>
    </row>
    <row r="322" spans="3:3" s="41" customFormat="1">
      <c r="C322" s="48"/>
    </row>
    <row r="323" spans="3:3" s="41" customFormat="1">
      <c r="C323" s="48"/>
    </row>
    <row r="324" spans="3:3" s="41" customFormat="1">
      <c r="C324" s="48"/>
    </row>
    <row r="325" spans="3:3" s="41" customFormat="1">
      <c r="C325" s="48"/>
    </row>
    <row r="326" spans="3:3" s="41" customFormat="1">
      <c r="C326" s="48"/>
    </row>
    <row r="327" spans="3:3" s="41" customFormat="1">
      <c r="C327" s="48"/>
    </row>
    <row r="328" spans="3:3" s="41" customFormat="1">
      <c r="C328" s="48"/>
    </row>
    <row r="329" spans="3:3" s="41" customFormat="1">
      <c r="C329" s="48"/>
    </row>
    <row r="330" spans="3:3" s="41" customFormat="1">
      <c r="C330" s="48"/>
    </row>
    <row r="331" spans="3:3" s="41" customFormat="1">
      <c r="C331" s="48"/>
    </row>
    <row r="332" spans="3:3" s="41" customFormat="1">
      <c r="C332" s="48"/>
    </row>
    <row r="333" spans="3:3" s="41" customFormat="1">
      <c r="C333" s="48"/>
    </row>
    <row r="334" spans="3:3" s="41" customFormat="1">
      <c r="C334" s="48"/>
    </row>
    <row r="335" spans="3:3" s="41" customFormat="1">
      <c r="C335" s="48"/>
    </row>
    <row r="336" spans="3:3" s="41" customFormat="1">
      <c r="C336" s="48"/>
    </row>
    <row r="337" spans="1:3" s="41" customFormat="1">
      <c r="C337" s="48"/>
    </row>
    <row r="338" spans="1:3" s="41" customFormat="1">
      <c r="C338" s="48"/>
    </row>
    <row r="339" spans="1:3" s="41" customFormat="1">
      <c r="C339" s="48"/>
    </row>
    <row r="340" spans="1:3" s="41" customFormat="1">
      <c r="C340" s="48"/>
    </row>
    <row r="341" spans="1:3" s="41" customFormat="1">
      <c r="C341" s="48"/>
    </row>
    <row r="342" spans="1:3" s="41" customFormat="1">
      <c r="C342" s="48"/>
    </row>
    <row r="343" spans="1:3" s="41" customFormat="1">
      <c r="C343" s="48"/>
    </row>
    <row r="344" spans="1:3" s="41" customFormat="1">
      <c r="C344" s="48"/>
    </row>
    <row r="345" spans="1:3" s="41" customFormat="1">
      <c r="C345" s="48"/>
    </row>
    <row r="346" spans="1:3" s="41" customFormat="1">
      <c r="C346" s="48"/>
    </row>
    <row r="347" spans="1:3" s="41" customFormat="1">
      <c r="C347" s="48"/>
    </row>
    <row r="348" spans="1:3" customFormat="1">
      <c r="A348" s="41"/>
      <c r="B348" s="41"/>
      <c r="C348" s="49"/>
    </row>
  </sheetData>
  <mergeCells count="3">
    <mergeCell ref="C1:M1"/>
    <mergeCell ref="C4:H4"/>
    <mergeCell ref="I4:N4"/>
  </mergeCells>
  <conditionalFormatting sqref="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Monthly</Frequency>
    <_dlc_DocId xmlns="806035d9-ad3b-44db-92a1-1ed4b9daec3e">7NQWTN4WQ7WA-971242747-355</_dlc_DocId>
    <_dlc_DocIdUrl xmlns="806035d9-ad3b-44db-92a1-1ed4b9daec3e">
      <Url>http://cbe-test-spsql:4050/_layouts/15/DocIdRedir.aspx?ID=7NQWTN4WQ7WA-971242747-355</Url>
      <Description>7NQWTN4WQ7WA-971242747-355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71EE4A-BA24-4448-B767-78213E1C4050}"/>
</file>

<file path=customXml/itemProps2.xml><?xml version="1.0" encoding="utf-8"?>
<ds:datastoreItem xmlns:ds="http://schemas.openxmlformats.org/officeDocument/2006/customXml" ds:itemID="{E345BF90-5057-4CED-86D0-0400357DD380}"/>
</file>

<file path=customXml/itemProps3.xml><?xml version="1.0" encoding="utf-8"?>
<ds:datastoreItem xmlns:ds="http://schemas.openxmlformats.org/officeDocument/2006/customXml" ds:itemID="{E1AA50C0-FE90-4A85-B457-FE6094411E5C}"/>
</file>

<file path=customXml/itemProps4.xml><?xml version="1.0" encoding="utf-8"?>
<ds:datastoreItem xmlns:ds="http://schemas.openxmlformats.org/officeDocument/2006/customXml" ds:itemID="{BC391AF2-46DB-4614-9D83-B46F05EB3F3C}"/>
</file>

<file path=customXml/itemProps5.xml><?xml version="1.0" encoding="utf-8"?>
<ds:datastoreItem xmlns:ds="http://schemas.openxmlformats.org/officeDocument/2006/customXml" ds:itemID="{F8908C0C-97E5-4FDC-BB70-5E023AFB60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Monthly2012-2013</dc:title>
  <dc:creator/>
  <cp:lastModifiedBy/>
  <dcterms:created xsi:type="dcterms:W3CDTF">2006-09-16T00:00:00Z</dcterms:created>
  <dcterms:modified xsi:type="dcterms:W3CDTF">2014-09-04T22:13:06Z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35500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375c6aab-6113-47ef-a25a-387c01463d97</vt:lpwstr>
  </property>
</Properties>
</file>