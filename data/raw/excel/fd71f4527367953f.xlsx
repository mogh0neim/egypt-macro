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355" windowHeight="5895"/>
  </bookViews>
  <sheets>
    <sheet name="Number of Tourists  (By Group)" sheetId="1" r:id="rId1"/>
  </sheets>
  <definedNames>
    <definedName name="_xlnm.Print_Area" localSheetId="0">'Number of Tourists  (By Group)'!$A$3:$R$42</definedName>
  </definedNames>
  <calcPr calcId="145621"/>
</workbook>
</file>

<file path=xl/calcChain.xml><?xml version="1.0" encoding="utf-8"?>
<calcChain xmlns="http://schemas.openxmlformats.org/spreadsheetml/2006/main">
  <c r="AC11" i="1" l="1"/>
  <c r="V11" i="1"/>
  <c r="W11" i="1"/>
  <c r="X11" i="1"/>
  <c r="Y11" i="1"/>
  <c r="Z11" i="1"/>
  <c r="AA11" i="1"/>
  <c r="AB11" i="1"/>
  <c r="U11" i="1"/>
  <c r="S33" i="1"/>
  <c r="S29" i="1"/>
  <c r="S23" i="1"/>
  <c r="S16" i="1"/>
  <c r="S8" i="1"/>
  <c r="S6" i="1" s="1"/>
  <c r="S5" i="1" s="1"/>
  <c r="R33" i="1"/>
  <c r="R29" i="1"/>
  <c r="R23" i="1"/>
  <c r="R16" i="1"/>
  <c r="R8" i="1"/>
  <c r="R6" i="1" s="1"/>
  <c r="R5" i="1" s="1"/>
  <c r="B8" i="1"/>
  <c r="B6" i="1" s="1"/>
  <c r="C8" i="1"/>
  <c r="C6" i="1" s="1"/>
  <c r="D8" i="1"/>
  <c r="D6" i="1" s="1"/>
  <c r="E8" i="1"/>
  <c r="E6" i="1" s="1"/>
  <c r="F8" i="1"/>
  <c r="F6" i="1" s="1"/>
  <c r="F5" i="1" s="1"/>
  <c r="G8" i="1"/>
  <c r="G6" i="1" s="1"/>
  <c r="H8" i="1"/>
  <c r="H6" i="1"/>
  <c r="I8" i="1"/>
  <c r="I6" i="1" s="1"/>
  <c r="J8" i="1"/>
  <c r="J6" i="1" s="1"/>
  <c r="J5" i="1" s="1"/>
  <c r="K8" i="1"/>
  <c r="K6" i="1" s="1"/>
  <c r="L8" i="1"/>
  <c r="L6" i="1"/>
  <c r="M8" i="1"/>
  <c r="M6" i="1" s="1"/>
  <c r="N8" i="1"/>
  <c r="N6" i="1" s="1"/>
  <c r="N5" i="1" s="1"/>
  <c r="O8" i="1"/>
  <c r="O6" i="1" s="1"/>
  <c r="B16" i="1"/>
  <c r="C16" i="1"/>
  <c r="D16" i="1"/>
  <c r="E16" i="1"/>
  <c r="F16" i="1"/>
  <c r="G16" i="1"/>
  <c r="H16" i="1"/>
  <c r="I16" i="1"/>
  <c r="J16" i="1"/>
  <c r="K16" i="1"/>
  <c r="N16" i="1"/>
  <c r="O16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B33" i="1"/>
  <c r="C33" i="1"/>
  <c r="E33" i="1"/>
  <c r="F33" i="1"/>
  <c r="G33" i="1"/>
  <c r="H33" i="1"/>
  <c r="I33" i="1"/>
  <c r="J33" i="1"/>
  <c r="K33" i="1"/>
  <c r="L33" i="1"/>
  <c r="M33" i="1"/>
  <c r="N33" i="1"/>
  <c r="O33" i="1"/>
  <c r="E5" i="1" l="1"/>
  <c r="O5" i="1"/>
  <c r="L5" i="1"/>
  <c r="K5" i="1"/>
  <c r="H5" i="1"/>
  <c r="G5" i="1"/>
  <c r="B5" i="1"/>
  <c r="M5" i="1"/>
  <c r="I5" i="1"/>
  <c r="C5" i="1"/>
</calcChain>
</file>

<file path=xl/sharedStrings.xml><?xml version="1.0" encoding="utf-8"?>
<sst xmlns="http://schemas.openxmlformats.org/spreadsheetml/2006/main" count="82" uniqueCount="72">
  <si>
    <t xml:space="preserve">              (Thousands)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</si>
  <si>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</si>
  <si>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</si>
  <si>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</si>
  <si>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</si>
  <si>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</si>
  <si>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</si>
  <si>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</si>
  <si>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</si>
  <si>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</si>
  <si>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</si>
  <si>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1999/2000</t>
  </si>
  <si>
    <t>2000/2001</t>
  </si>
  <si>
    <t>2001/2002</t>
  </si>
  <si>
    <t>2002/2003</t>
  </si>
  <si>
    <t>2003/2004</t>
  </si>
  <si>
    <t>Total</t>
  </si>
  <si>
    <t>European Countries</t>
  </si>
  <si>
    <t>Eastern Europe</t>
  </si>
  <si>
    <t>Western Europe</t>
  </si>
  <si>
    <t>France</t>
  </si>
  <si>
    <t>Germany</t>
  </si>
  <si>
    <t>Italy</t>
  </si>
  <si>
    <t>Spain</t>
  </si>
  <si>
    <t>Switzerland</t>
  </si>
  <si>
    <t>United Kingdom</t>
  </si>
  <si>
    <t>Others</t>
  </si>
  <si>
    <t>The Middle East Countries</t>
  </si>
  <si>
    <t>Jordan</t>
  </si>
  <si>
    <t>Kuwait</t>
  </si>
  <si>
    <t>Palestine</t>
  </si>
  <si>
    <t>Saudi Arabia</t>
  </si>
  <si>
    <t>Syria</t>
  </si>
  <si>
    <t>Other</t>
  </si>
  <si>
    <t>African Countries</t>
  </si>
  <si>
    <t>South Africa</t>
  </si>
  <si>
    <t>..</t>
  </si>
  <si>
    <t>Morocco</t>
  </si>
  <si>
    <t>Sudan</t>
  </si>
  <si>
    <t>Tunisia</t>
  </si>
  <si>
    <t xml:space="preserve">Other </t>
  </si>
  <si>
    <t>Americas</t>
  </si>
  <si>
    <t>Canada</t>
  </si>
  <si>
    <t>United States</t>
  </si>
  <si>
    <t>Latin America</t>
  </si>
  <si>
    <t>Asia &amp; Pacific</t>
  </si>
  <si>
    <t>Australia</t>
  </si>
  <si>
    <t>Japan</t>
  </si>
  <si>
    <t>South Korea</t>
  </si>
  <si>
    <t>China</t>
  </si>
  <si>
    <t>India</t>
  </si>
  <si>
    <t>Other Countries</t>
  </si>
  <si>
    <t>Source :Ministry of Tourism and Central Agency for Puplic Mobilization and Statistics as from 1/7/1997.</t>
  </si>
  <si>
    <t>.. Not available.</t>
  </si>
  <si>
    <t xml:space="preserve">  Number of Tourists  (By Group)</t>
  </si>
  <si>
    <t>2004/2005</t>
  </si>
  <si>
    <t>2005/2006</t>
  </si>
  <si>
    <t xml:space="preserve">                           Central Bank of Egypt</t>
  </si>
  <si>
    <t>2006/2007</t>
  </si>
  <si>
    <t>2008/2009</t>
  </si>
  <si>
    <t>2009/2010</t>
  </si>
  <si>
    <t>2010/2011</t>
  </si>
  <si>
    <t>2011/2012</t>
  </si>
  <si>
    <t>2012/2013</t>
  </si>
  <si>
    <t>Middle East Countries</t>
  </si>
  <si>
    <t>The Americas</t>
  </si>
  <si>
    <t>Asian &amp; Pacific Countries</t>
  </si>
  <si>
    <t xml:space="preserve">Source :Ministry of Tourism &amp; CAPMAS. </t>
  </si>
  <si>
    <t>2013/2014</t>
  </si>
  <si>
    <t>2014/2015</t>
  </si>
  <si>
    <t>2015/2016</t>
  </si>
  <si>
    <t xml:space="preserve">2016/2017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</si>
</sst>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0"/>
      <name val="Arial"/>
      <family val="2"/>
    </font>
    <font>
      <b/>
      <u/>
      <sz val="14"/>
      <color indexed="8"/>
      <name val="Arial"/>
      <family val="2"/>
    </font>
    <font>
      <b/>
      <u/>
      <sz val="14"/>
      <name val="Arial"/>
      <family val="2"/>
    </font>
    <font>
      <b/>
      <u/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u/>
      <sz val="16"/>
      <color indexed="8"/>
      <name val="Arial"/>
      <family val="2"/>
    </font>
    <font>
      <b/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5" fillId="3" borderId="0" xfId="0" applyFont="1" applyFill="1" applyBorder="1" applyAlignment="1"/>
    <xf numFmtId="0" fontId="6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7" fillId="3" borderId="0" xfId="0" applyFont="1" applyFill="1" applyBorder="1"/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2" borderId="0" xfId="0" applyFont="1" applyFill="1" applyBorder="1" applyAlignment="1">
      <alignment vertical="center"/>
    </xf>
    <xf numFmtId="1" fontId="11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left" vertical="center"/>
    </xf>
    <xf numFmtId="1" fontId="13" fillId="3" borderId="0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left" vertical="center"/>
    </xf>
    <xf numFmtId="1" fontId="1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left" vertical="center"/>
    </xf>
    <xf numFmtId="1" fontId="14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/>
    </xf>
    <xf numFmtId="1" fontId="14" fillId="3" borderId="0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/>
    <xf numFmtId="0" fontId="6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6" fillId="3" borderId="0" xfId="0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readingOrder="2"/>
    </xf>
    <xf numFmtId="0" fontId="17" fillId="2" borderId="0" xfId="0" applyFont="1" applyFill="1" applyBorder="1" applyAlignment="1">
      <alignment horizontal="center" wrapText="1" readingOrder="1"/>
    </xf>
    <xf numFmtId="0" fontId="1" fillId="3" borderId="0" xfId="0" applyFont="1" applyFill="1" applyBorder="1" applyAlignment="1">
      <alignment horizontal="left" vertical="center" readingOrder="2"/>
    </xf>
    <xf numFmtId="0" fontId="17" fillId="3" borderId="0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center" wrapText="1" readingOrder="1"/>
    </xf>
    <xf numFmtId="0" fontId="4" fillId="3" borderId="0" xfId="0" applyFont="1" applyFill="1" applyBorder="1" applyAlignment="1">
      <alignment vertical="center"/>
    </xf>
    <xf numFmtId="1" fontId="17" fillId="2" borderId="0" xfId="0" applyNumberFormat="1" applyFont="1" applyFill="1" applyBorder="1" applyAlignment="1">
      <alignment horizontal="center" wrapText="1" readingOrder="1"/>
    </xf>
    <xf numFmtId="1" fontId="17" fillId="3" borderId="0" xfId="0" applyNumberFormat="1" applyFont="1" applyFill="1" applyBorder="1" applyAlignment="1">
      <alignment horizontal="center" wrapText="1" readingOrder="1"/>
    </xf>
    <xf numFmtId="1" fontId="17" fillId="2" borderId="2" xfId="0" applyNumberFormat="1" applyFont="1" applyFill="1" applyBorder="1" applyAlignment="1">
      <alignment horizontal="center" wrapText="1" readingOrder="1"/>
    </xf>
    <xf numFmtId="1" fontId="15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0</xdr:col>
      <xdr:colOff>771525</xdr:colOff>
      <xdr:row>0</xdr:row>
      <xdr:rowOff>533400</xdr:rowOff>
    </xdr:to>
    <xdr:pic>
      <xdr:nvPicPr>
        <xdr:cNvPr id="1038" name="Picture 1" descr="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44"/>
  <sheetViews>
    <sheetView tabSelected="1" topLeftCell="Q1" zoomScale="75" zoomScaleNormal="75" workbookViewId="0">
      <selection activeCell="J1" sqref="J1"/>
    </sheetView>
  </sheetViews>
  <sheetFormatPr defaultColWidth="16" defaultRowHeight="12.75" x14ac:dyDescent="0.2"/>
  <cols>
    <col min="1" max="1" width="22.5703125" style="43" customWidth="1"/>
    <col min="2" max="18" width="12.7109375" style="13" customWidth="1"/>
    <col min="19" max="19" width="16" style="13" customWidth="1"/>
    <col min="20" max="20" width="36.28515625" style="13" customWidth="1"/>
    <col min="21" max="28" width="16" style="13" customWidth="1"/>
    <col min="29" max="29" width="25.28515625" style="13" bestFit="1" customWidth="1"/>
    <col min="30" max="255" width="16" style="13" customWidth="1"/>
    <col min="256" max="16384" width="16" style="13"/>
  </cols>
  <sheetData>
    <row r="1" spans="1:52" s="3" customFormat="1" ht="63" customHeight="1" x14ac:dyDescent="0.2">
      <c r="A1" s="44" t="s">
        <v>57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</row>
    <row r="2" spans="1:52" s="8" customFormat="1" ht="20.25" x14ac:dyDescent="0.3">
      <c r="A2" s="4" t="s">
        <v>54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</row>
    <row r="3" spans="1:52" ht="18" x14ac:dyDescent="0.2">
      <c r="A3" s="9"/>
      <c r="B3" s="9"/>
      <c r="C3" s="10"/>
      <c r="D3" s="10"/>
      <c r="E3" s="10"/>
      <c r="F3" s="10"/>
      <c r="G3" s="10"/>
      <c r="H3" s="10"/>
      <c r="I3" s="10"/>
      <c r="J3" s="9"/>
      <c r="K3" s="10"/>
      <c r="L3" s="11"/>
      <c r="M3" s="9"/>
      <c r="N3" s="11"/>
      <c r="O3" s="11"/>
      <c r="P3" s="12" t="s">
        <v>0</v>
      </c>
      <c r="Q3" s="11"/>
      <c r="R3" s="11"/>
      <c r="T3" s="12" t="s">
        <v>0</v>
      </c>
      <c r="U3" s="11"/>
      <c r="V3" s="11"/>
    </row>
    <row r="4" spans="1:52" s="17" customFormat="1" ht="35.25" customHeight="1" x14ac:dyDescent="0.3">
      <c r="A4" s="14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55</v>
      </c>
      <c r="R4" s="15" t="s">
        <v>56</v>
      </c>
      <c r="S4" s="15" t="s">
        <v>58</v>
      </c>
      <c r="T4" s="51"/>
      <c r="U4" s="52" t="s">
        <v>59</v>
      </c>
      <c r="V4" s="52" t="s">
        <v>60</v>
      </c>
      <c r="W4" s="52" t="s">
        <v>61</v>
      </c>
      <c r="X4" s="52" t="s">
        <v>62</v>
      </c>
      <c r="Y4" s="52" t="s">
        <v>63</v>
      </c>
      <c r="Z4" s="52" t="s">
        <v>68</v>
      </c>
      <c r="AA4" s="52" t="s">
        <v>69</v>
      </c>
      <c r="AB4" s="52" t="s">
        <v>70</v>
      </c>
      <c r="AC4" s="52" t="s">
        <v>71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s="20" customFormat="1" ht="24.75" x14ac:dyDescent="0.7">
      <c r="A5" s="18" t="s">
        <v>16</v>
      </c>
      <c r="B5" s="19">
        <f>SUM(B6+B16+B23+B29+B33+B40)</f>
        <v>2783</v>
      </c>
      <c r="C5" s="19">
        <f>SUM(C6+C16+C23+C29+C33+C40)</f>
        <v>1970</v>
      </c>
      <c r="D5" s="19">
        <v>2999</v>
      </c>
      <c r="E5" s="19">
        <f t="shared" ref="E5:O5" si="0">SUM(E6+E16+E23+E29+E33+E40)</f>
        <v>2919</v>
      </c>
      <c r="F5" s="19">
        <f t="shared" si="0"/>
        <v>2359</v>
      </c>
      <c r="G5" s="19">
        <f t="shared" si="0"/>
        <v>2832</v>
      </c>
      <c r="H5" s="19">
        <f t="shared" si="0"/>
        <v>3549</v>
      </c>
      <c r="I5" s="19">
        <f t="shared" si="0"/>
        <v>4087</v>
      </c>
      <c r="J5" s="19">
        <f t="shared" si="0"/>
        <v>3396</v>
      </c>
      <c r="K5" s="19">
        <f t="shared" si="0"/>
        <v>4266</v>
      </c>
      <c r="L5" s="19">
        <f t="shared" si="0"/>
        <v>5311</v>
      </c>
      <c r="M5" s="19">
        <f t="shared" si="0"/>
        <v>5347</v>
      </c>
      <c r="N5" s="19">
        <f t="shared" si="0"/>
        <v>4341</v>
      </c>
      <c r="O5" s="19">
        <f t="shared" si="0"/>
        <v>5239</v>
      </c>
      <c r="P5" s="19">
        <v>7512</v>
      </c>
      <c r="Q5" s="19">
        <v>8650</v>
      </c>
      <c r="R5" s="19">
        <f>R6+R16+R23+R29+R33+R40</f>
        <v>8693</v>
      </c>
      <c r="S5" s="19">
        <f>S6+S16+S23+S29+S33+S40</f>
        <v>9788</v>
      </c>
      <c r="T5" s="53" t="s">
        <v>17</v>
      </c>
      <c r="U5" s="54">
        <v>9120</v>
      </c>
      <c r="V5" s="54">
        <v>10439</v>
      </c>
      <c r="W5" s="54">
        <v>8791</v>
      </c>
      <c r="X5" s="54">
        <v>8101</v>
      </c>
      <c r="Y5" s="54">
        <v>8925</v>
      </c>
      <c r="Z5" s="54">
        <v>6059</v>
      </c>
      <c r="AA5" s="54">
        <v>7745</v>
      </c>
      <c r="AB5" s="60">
        <v>4315.5639999999994</v>
      </c>
      <c r="AC5" s="60">
        <v>3392.279</v>
      </c>
    </row>
    <row r="6" spans="1:52" s="23" customFormat="1" ht="24" x14ac:dyDescent="0.7">
      <c r="A6" s="21" t="s">
        <v>17</v>
      </c>
      <c r="B6" s="22">
        <f t="shared" ref="B6:M6" si="1">SUM(B7:B8)</f>
        <v>1154</v>
      </c>
      <c r="C6" s="22">
        <f t="shared" si="1"/>
        <v>607</v>
      </c>
      <c r="D6" s="22">
        <f t="shared" si="1"/>
        <v>1354</v>
      </c>
      <c r="E6" s="22">
        <f t="shared" si="1"/>
        <v>1350</v>
      </c>
      <c r="F6" s="22">
        <f t="shared" si="1"/>
        <v>979</v>
      </c>
      <c r="G6" s="22">
        <f t="shared" si="1"/>
        <v>1200</v>
      </c>
      <c r="H6" s="22">
        <f t="shared" si="1"/>
        <v>1853</v>
      </c>
      <c r="I6" s="22">
        <f t="shared" si="1"/>
        <v>2168</v>
      </c>
      <c r="J6" s="22">
        <f t="shared" si="1"/>
        <v>1580</v>
      </c>
      <c r="K6" s="22">
        <f t="shared" si="1"/>
        <v>2282</v>
      </c>
      <c r="L6" s="22">
        <f t="shared" si="1"/>
        <v>3241</v>
      </c>
      <c r="M6" s="22">
        <f t="shared" si="1"/>
        <v>3501</v>
      </c>
      <c r="N6" s="22">
        <f>N8+N7</f>
        <v>2769</v>
      </c>
      <c r="O6" s="22">
        <f>O8+O7</f>
        <v>3469</v>
      </c>
      <c r="P6" s="22">
        <v>4965</v>
      </c>
      <c r="Q6" s="22">
        <v>5983</v>
      </c>
      <c r="R6" s="22">
        <f>R7+R8</f>
        <v>5818</v>
      </c>
      <c r="S6" s="22">
        <f>S7+S8</f>
        <v>6690</v>
      </c>
      <c r="T6" s="55" t="s">
        <v>64</v>
      </c>
      <c r="U6" s="56">
        <v>1666</v>
      </c>
      <c r="V6" s="56">
        <v>1635</v>
      </c>
      <c r="W6" s="56">
        <v>1636</v>
      </c>
      <c r="X6" s="56">
        <v>1739</v>
      </c>
      <c r="Y6" s="56">
        <v>2094</v>
      </c>
      <c r="Z6" s="56">
        <v>1071</v>
      </c>
      <c r="AA6" s="56">
        <v>1427</v>
      </c>
      <c r="AB6" s="61">
        <v>1423.5439999999996</v>
      </c>
      <c r="AC6" s="61">
        <v>1778.7059999999999</v>
      </c>
    </row>
    <row r="7" spans="1:52" s="27" customFormat="1" ht="24" x14ac:dyDescent="0.7">
      <c r="A7" s="24" t="s">
        <v>18</v>
      </c>
      <c r="B7" s="25">
        <v>54</v>
      </c>
      <c r="C7" s="25">
        <v>41</v>
      </c>
      <c r="D7" s="25">
        <v>55</v>
      </c>
      <c r="E7" s="25">
        <v>78</v>
      </c>
      <c r="F7" s="25">
        <v>88</v>
      </c>
      <c r="G7" s="25">
        <v>123</v>
      </c>
      <c r="H7" s="25">
        <v>202</v>
      </c>
      <c r="I7" s="26">
        <v>195</v>
      </c>
      <c r="J7" s="26">
        <v>188</v>
      </c>
      <c r="K7" s="26">
        <v>242</v>
      </c>
      <c r="L7" s="25">
        <v>298</v>
      </c>
      <c r="M7" s="25">
        <v>369</v>
      </c>
      <c r="N7" s="25">
        <v>469</v>
      </c>
      <c r="O7" s="25">
        <v>733</v>
      </c>
      <c r="P7" s="25">
        <v>1205</v>
      </c>
      <c r="Q7" s="25">
        <v>1432</v>
      </c>
      <c r="R7" s="25">
        <v>1620</v>
      </c>
      <c r="S7" s="25">
        <v>2187</v>
      </c>
      <c r="T7" s="53" t="s">
        <v>34</v>
      </c>
      <c r="U7" s="54">
        <v>428</v>
      </c>
      <c r="V7" s="54">
        <v>462</v>
      </c>
      <c r="W7" s="54">
        <v>482</v>
      </c>
      <c r="X7" s="54">
        <v>434</v>
      </c>
      <c r="Y7" s="54">
        <v>438</v>
      </c>
      <c r="Z7" s="54">
        <v>365</v>
      </c>
      <c r="AA7" s="54">
        <v>413</v>
      </c>
      <c r="AB7" s="60">
        <v>451.86500000000001</v>
      </c>
      <c r="AC7" s="60">
        <v>557.827</v>
      </c>
    </row>
    <row r="8" spans="1:52" s="28" customFormat="1" ht="24" x14ac:dyDescent="0.7">
      <c r="A8" s="21" t="s">
        <v>19</v>
      </c>
      <c r="B8" s="22">
        <f t="shared" ref="B8:O8" si="2">SUM(B9:B15)</f>
        <v>1100</v>
      </c>
      <c r="C8" s="22">
        <f t="shared" si="2"/>
        <v>566</v>
      </c>
      <c r="D8" s="22">
        <f t="shared" si="2"/>
        <v>1299</v>
      </c>
      <c r="E8" s="22">
        <f t="shared" si="2"/>
        <v>1272</v>
      </c>
      <c r="F8" s="22">
        <f t="shared" si="2"/>
        <v>891</v>
      </c>
      <c r="G8" s="22">
        <f t="shared" si="2"/>
        <v>1077</v>
      </c>
      <c r="H8" s="22">
        <f t="shared" si="2"/>
        <v>1651</v>
      </c>
      <c r="I8" s="22">
        <f t="shared" si="2"/>
        <v>1973</v>
      </c>
      <c r="J8" s="22">
        <f t="shared" si="2"/>
        <v>1392</v>
      </c>
      <c r="K8" s="22">
        <f t="shared" si="2"/>
        <v>2040</v>
      </c>
      <c r="L8" s="22">
        <f t="shared" si="2"/>
        <v>2943</v>
      </c>
      <c r="M8" s="22">
        <f t="shared" si="2"/>
        <v>3132</v>
      </c>
      <c r="N8" s="22">
        <f t="shared" si="2"/>
        <v>2300</v>
      </c>
      <c r="O8" s="22">
        <f t="shared" si="2"/>
        <v>2736</v>
      </c>
      <c r="P8" s="22">
        <v>3760</v>
      </c>
      <c r="Q8" s="22">
        <v>4551</v>
      </c>
      <c r="R8" s="22">
        <f>SUM(R9:R15)</f>
        <v>4198</v>
      </c>
      <c r="S8" s="22">
        <f>SUM(S9:S15)</f>
        <v>4503</v>
      </c>
      <c r="T8" s="55" t="s">
        <v>65</v>
      </c>
      <c r="U8" s="56">
        <v>476</v>
      </c>
      <c r="V8" s="56">
        <v>531</v>
      </c>
      <c r="W8" s="56">
        <v>436</v>
      </c>
      <c r="X8" s="56">
        <v>283</v>
      </c>
      <c r="Y8" s="56">
        <v>288</v>
      </c>
      <c r="Z8" s="56">
        <v>211</v>
      </c>
      <c r="AA8" s="56">
        <v>275</v>
      </c>
      <c r="AB8" s="61">
        <v>285.00600000000003</v>
      </c>
      <c r="AC8" s="61">
        <v>313.46099999999996</v>
      </c>
    </row>
    <row r="9" spans="1:52" s="32" customFormat="1" ht="24" x14ac:dyDescent="0.7">
      <c r="A9" s="29" t="s">
        <v>20</v>
      </c>
      <c r="B9" s="30">
        <v>191</v>
      </c>
      <c r="C9" s="30">
        <v>66</v>
      </c>
      <c r="D9" s="30">
        <v>187</v>
      </c>
      <c r="E9" s="30">
        <v>168</v>
      </c>
      <c r="F9" s="30">
        <v>73</v>
      </c>
      <c r="G9" s="30">
        <v>94</v>
      </c>
      <c r="H9" s="30">
        <v>205</v>
      </c>
      <c r="I9" s="31">
        <v>269</v>
      </c>
      <c r="J9" s="31">
        <v>167</v>
      </c>
      <c r="K9" s="31">
        <v>268</v>
      </c>
      <c r="L9" s="30">
        <v>371</v>
      </c>
      <c r="M9" s="30">
        <v>346</v>
      </c>
      <c r="N9" s="30">
        <v>244</v>
      </c>
      <c r="O9" s="30">
        <v>282</v>
      </c>
      <c r="P9" s="30">
        <v>419</v>
      </c>
      <c r="Q9" s="30">
        <v>521</v>
      </c>
      <c r="R9" s="30">
        <v>393</v>
      </c>
      <c r="S9" s="30">
        <v>412</v>
      </c>
      <c r="T9" s="53" t="s">
        <v>66</v>
      </c>
      <c r="U9" s="54">
        <v>561</v>
      </c>
      <c r="V9" s="54">
        <v>652</v>
      </c>
      <c r="W9" s="54">
        <v>560</v>
      </c>
      <c r="X9" s="54">
        <v>374</v>
      </c>
      <c r="Y9" s="54">
        <v>441</v>
      </c>
      <c r="Z9" s="54">
        <v>243</v>
      </c>
      <c r="AA9" s="54">
        <v>356</v>
      </c>
      <c r="AB9" s="60">
        <v>379.20299999999997</v>
      </c>
      <c r="AC9" s="60">
        <v>563.71100000000001</v>
      </c>
    </row>
    <row r="10" spans="1:52" s="36" customFormat="1" ht="24" x14ac:dyDescent="0.7">
      <c r="A10" s="33" t="s">
        <v>21</v>
      </c>
      <c r="B10" s="34">
        <v>243</v>
      </c>
      <c r="C10" s="34">
        <v>116</v>
      </c>
      <c r="D10" s="34">
        <v>310</v>
      </c>
      <c r="E10" s="34">
        <v>308</v>
      </c>
      <c r="F10" s="34">
        <v>245</v>
      </c>
      <c r="G10" s="34">
        <v>265</v>
      </c>
      <c r="H10" s="34">
        <v>375</v>
      </c>
      <c r="I10" s="35">
        <v>485</v>
      </c>
      <c r="J10" s="35">
        <v>283</v>
      </c>
      <c r="K10" s="35">
        <v>426</v>
      </c>
      <c r="L10" s="34">
        <v>698</v>
      </c>
      <c r="M10" s="34">
        <v>804</v>
      </c>
      <c r="N10" s="34">
        <v>647</v>
      </c>
      <c r="O10" s="34">
        <v>656</v>
      </c>
      <c r="P10" s="34">
        <v>897</v>
      </c>
      <c r="Q10" s="34">
        <v>1024</v>
      </c>
      <c r="R10" s="34">
        <v>947</v>
      </c>
      <c r="S10" s="34">
        <v>1046</v>
      </c>
      <c r="T10" s="55" t="s">
        <v>26</v>
      </c>
      <c r="U10" s="56">
        <v>42</v>
      </c>
      <c r="V10" s="56">
        <v>39</v>
      </c>
      <c r="W10" s="56">
        <v>26</v>
      </c>
      <c r="X10" s="56">
        <v>22</v>
      </c>
      <c r="Y10" s="56">
        <v>27</v>
      </c>
      <c r="Z10" s="56">
        <v>19</v>
      </c>
      <c r="AA10" s="56">
        <v>27</v>
      </c>
      <c r="AB10" s="61">
        <v>17.931000000000001</v>
      </c>
      <c r="AC10" s="61">
        <v>17.332999999999998</v>
      </c>
    </row>
    <row r="11" spans="1:52" s="32" customFormat="1" ht="24" x14ac:dyDescent="0.7">
      <c r="A11" s="29" t="s">
        <v>22</v>
      </c>
      <c r="B11" s="30">
        <v>122</v>
      </c>
      <c r="C11" s="30">
        <v>61</v>
      </c>
      <c r="D11" s="30">
        <v>147</v>
      </c>
      <c r="E11" s="30">
        <v>139</v>
      </c>
      <c r="F11" s="30">
        <v>124</v>
      </c>
      <c r="G11" s="30">
        <v>190</v>
      </c>
      <c r="H11" s="30">
        <v>323</v>
      </c>
      <c r="I11" s="31">
        <v>400</v>
      </c>
      <c r="J11" s="31">
        <v>326</v>
      </c>
      <c r="K11" s="31">
        <v>546</v>
      </c>
      <c r="L11" s="30">
        <v>742</v>
      </c>
      <c r="M11" s="30">
        <v>722</v>
      </c>
      <c r="N11" s="30">
        <v>517</v>
      </c>
      <c r="O11" s="30">
        <v>726</v>
      </c>
      <c r="P11" s="30">
        <v>990</v>
      </c>
      <c r="Q11" s="30">
        <v>1000</v>
      </c>
      <c r="R11" s="30">
        <v>754</v>
      </c>
      <c r="S11" s="30">
        <v>835</v>
      </c>
      <c r="T11" s="57" t="s">
        <v>16</v>
      </c>
      <c r="U11" s="58">
        <f>SUM(U5:U10)</f>
        <v>12293</v>
      </c>
      <c r="V11" s="58">
        <f t="shared" ref="V11:AB11" si="3">SUM(V5:V10)</f>
        <v>13758</v>
      </c>
      <c r="W11" s="58">
        <f t="shared" si="3"/>
        <v>11931</v>
      </c>
      <c r="X11" s="58">
        <f t="shared" si="3"/>
        <v>10953</v>
      </c>
      <c r="Y11" s="58">
        <f t="shared" si="3"/>
        <v>12213</v>
      </c>
      <c r="Z11" s="58">
        <f t="shared" si="3"/>
        <v>7968</v>
      </c>
      <c r="AA11" s="58">
        <f t="shared" si="3"/>
        <v>10243</v>
      </c>
      <c r="AB11" s="62">
        <f t="shared" si="3"/>
        <v>6873.1129999999985</v>
      </c>
      <c r="AC11" s="62">
        <f>SUM(AC5:AC10)</f>
        <v>6623.317</v>
      </c>
    </row>
    <row r="12" spans="1:52" s="36" customFormat="1" ht="15" x14ac:dyDescent="0.2">
      <c r="A12" s="33" t="s">
        <v>23</v>
      </c>
      <c r="B12" s="34">
        <v>0</v>
      </c>
      <c r="C12" s="34">
        <v>27</v>
      </c>
      <c r="D12" s="34">
        <v>77</v>
      </c>
      <c r="E12" s="34">
        <v>65</v>
      </c>
      <c r="F12" s="34">
        <v>14</v>
      </c>
      <c r="G12" s="34">
        <v>16</v>
      </c>
      <c r="H12" s="34">
        <v>29</v>
      </c>
      <c r="I12" s="35">
        <v>32</v>
      </c>
      <c r="J12" s="35">
        <v>36</v>
      </c>
      <c r="K12" s="35">
        <v>52</v>
      </c>
      <c r="L12" s="34">
        <v>109</v>
      </c>
      <c r="M12" s="34">
        <v>97</v>
      </c>
      <c r="N12" s="34">
        <v>73</v>
      </c>
      <c r="O12" s="34">
        <v>81</v>
      </c>
      <c r="P12" s="34">
        <v>141</v>
      </c>
      <c r="Q12" s="34">
        <v>167</v>
      </c>
      <c r="R12" s="34">
        <v>138</v>
      </c>
      <c r="S12" s="34">
        <v>166</v>
      </c>
      <c r="T12" s="59" t="s">
        <v>67</v>
      </c>
      <c r="U12" s="63"/>
      <c r="V12" s="63"/>
      <c r="W12" s="63"/>
      <c r="X12" s="63"/>
      <c r="Y12" s="63"/>
      <c r="Z12" s="63"/>
      <c r="AA12" s="63"/>
      <c r="AB12" s="63"/>
      <c r="AC12" s="63"/>
    </row>
    <row r="13" spans="1:52" s="32" customFormat="1" ht="14.25" x14ac:dyDescent="0.2">
      <c r="A13" s="29" t="s">
        <v>24</v>
      </c>
      <c r="B13" s="30">
        <v>0</v>
      </c>
      <c r="C13" s="30">
        <v>18</v>
      </c>
      <c r="D13" s="30">
        <v>60</v>
      </c>
      <c r="E13" s="30">
        <v>45</v>
      </c>
      <c r="F13" s="30">
        <v>42</v>
      </c>
      <c r="G13" s="30">
        <v>56</v>
      </c>
      <c r="H13" s="30">
        <v>85</v>
      </c>
      <c r="I13" s="31">
        <v>112</v>
      </c>
      <c r="J13" s="31">
        <v>64</v>
      </c>
      <c r="K13" s="31">
        <v>55</v>
      </c>
      <c r="L13" s="30">
        <v>89</v>
      </c>
      <c r="M13" s="30">
        <v>116</v>
      </c>
      <c r="N13" s="30">
        <v>89</v>
      </c>
      <c r="O13" s="30">
        <v>97</v>
      </c>
      <c r="P13" s="30">
        <v>120</v>
      </c>
      <c r="Q13" s="30">
        <v>139</v>
      </c>
      <c r="R13" s="30">
        <v>123</v>
      </c>
      <c r="S13" s="30">
        <v>129</v>
      </c>
    </row>
    <row r="14" spans="1:52" s="36" customFormat="1" ht="14.25" x14ac:dyDescent="0.2">
      <c r="A14" s="33" t="s">
        <v>25</v>
      </c>
      <c r="B14" s="34">
        <v>210</v>
      </c>
      <c r="C14" s="34">
        <v>150</v>
      </c>
      <c r="D14" s="34">
        <v>263</v>
      </c>
      <c r="E14" s="34">
        <v>314</v>
      </c>
      <c r="F14" s="34">
        <v>228</v>
      </c>
      <c r="G14" s="34">
        <v>248</v>
      </c>
      <c r="H14" s="34">
        <v>334</v>
      </c>
      <c r="I14" s="35">
        <v>333</v>
      </c>
      <c r="J14" s="35">
        <v>262</v>
      </c>
      <c r="K14" s="35">
        <v>300</v>
      </c>
      <c r="L14" s="34">
        <v>358</v>
      </c>
      <c r="M14" s="34">
        <v>388</v>
      </c>
      <c r="N14" s="34">
        <v>318</v>
      </c>
      <c r="O14" s="34">
        <v>371</v>
      </c>
      <c r="P14" s="34">
        <v>446</v>
      </c>
      <c r="Q14" s="34">
        <v>694</v>
      </c>
      <c r="R14" s="34">
        <v>990</v>
      </c>
      <c r="S14" s="34">
        <v>1041</v>
      </c>
    </row>
    <row r="15" spans="1:52" s="32" customFormat="1" ht="14.25" x14ac:dyDescent="0.2">
      <c r="A15" s="29" t="s">
        <v>26</v>
      </c>
      <c r="B15" s="30">
        <v>334</v>
      </c>
      <c r="C15" s="30">
        <v>128</v>
      </c>
      <c r="D15" s="30">
        <v>255</v>
      </c>
      <c r="E15" s="30">
        <v>233</v>
      </c>
      <c r="F15" s="30">
        <v>165</v>
      </c>
      <c r="G15" s="30">
        <v>208</v>
      </c>
      <c r="H15" s="30">
        <v>300</v>
      </c>
      <c r="I15" s="31">
        <v>342</v>
      </c>
      <c r="J15" s="31">
        <v>254</v>
      </c>
      <c r="K15" s="31">
        <v>393</v>
      </c>
      <c r="L15" s="30">
        <v>576</v>
      </c>
      <c r="M15" s="30">
        <v>659</v>
      </c>
      <c r="N15" s="30">
        <v>412</v>
      </c>
      <c r="O15" s="30">
        <v>523</v>
      </c>
      <c r="P15" s="30">
        <v>747</v>
      </c>
      <c r="Q15" s="30">
        <v>1006</v>
      </c>
      <c r="R15" s="30">
        <v>853</v>
      </c>
      <c r="S15" s="30">
        <v>874</v>
      </c>
    </row>
    <row r="16" spans="1:52" s="23" customFormat="1" ht="31.5" customHeight="1" x14ac:dyDescent="0.25">
      <c r="A16" s="37" t="s">
        <v>27</v>
      </c>
      <c r="B16" s="22">
        <f t="shared" ref="B16:K16" si="4">SUM(B17:B22)</f>
        <v>973</v>
      </c>
      <c r="C16" s="22">
        <f t="shared" si="4"/>
        <v>914</v>
      </c>
      <c r="D16" s="22">
        <f t="shared" si="4"/>
        <v>1090</v>
      </c>
      <c r="E16" s="22">
        <f t="shared" si="4"/>
        <v>971</v>
      </c>
      <c r="F16" s="22">
        <f t="shared" si="4"/>
        <v>890</v>
      </c>
      <c r="G16" s="22">
        <f t="shared" si="4"/>
        <v>1084</v>
      </c>
      <c r="H16" s="22">
        <f t="shared" si="4"/>
        <v>1054</v>
      </c>
      <c r="I16" s="22">
        <f t="shared" si="4"/>
        <v>1170</v>
      </c>
      <c r="J16" s="22">
        <f t="shared" si="4"/>
        <v>1274</v>
      </c>
      <c r="K16" s="22">
        <f t="shared" si="4"/>
        <v>1388</v>
      </c>
      <c r="L16" s="22">
        <v>1303</v>
      </c>
      <c r="M16" s="22">
        <v>1070</v>
      </c>
      <c r="N16" s="22">
        <f>SUM(N17:N22)</f>
        <v>1025</v>
      </c>
      <c r="O16" s="22">
        <f>SUM(O17:O22)</f>
        <v>1179</v>
      </c>
      <c r="P16" s="22">
        <v>1736</v>
      </c>
      <c r="Q16" s="22">
        <v>1743</v>
      </c>
      <c r="R16" s="22">
        <f>SUM(R17:R22)</f>
        <v>1834</v>
      </c>
      <c r="S16" s="22">
        <f>SUM(S17:S22)</f>
        <v>1860</v>
      </c>
    </row>
    <row r="17" spans="1:19" s="32" customFormat="1" ht="14.25" x14ac:dyDescent="0.2">
      <c r="A17" s="29" t="s">
        <v>28</v>
      </c>
      <c r="B17" s="30">
        <v>62</v>
      </c>
      <c r="C17" s="30">
        <v>46</v>
      </c>
      <c r="D17" s="30">
        <v>55</v>
      </c>
      <c r="E17" s="30">
        <v>44</v>
      </c>
      <c r="F17" s="30">
        <v>47</v>
      </c>
      <c r="G17" s="30">
        <v>54</v>
      </c>
      <c r="H17" s="30">
        <v>49</v>
      </c>
      <c r="I17" s="31">
        <v>61</v>
      </c>
      <c r="J17" s="31">
        <v>72</v>
      </c>
      <c r="K17" s="31">
        <v>82</v>
      </c>
      <c r="L17" s="30">
        <v>75</v>
      </c>
      <c r="M17" s="30">
        <v>76</v>
      </c>
      <c r="N17" s="30">
        <v>81</v>
      </c>
      <c r="O17" s="30">
        <v>84</v>
      </c>
      <c r="P17" s="30">
        <v>115</v>
      </c>
      <c r="Q17" s="30">
        <v>125</v>
      </c>
      <c r="R17" s="30">
        <v>127</v>
      </c>
      <c r="S17" s="30">
        <v>162</v>
      </c>
    </row>
    <row r="18" spans="1:19" s="36" customFormat="1" ht="14.25" x14ac:dyDescent="0.2">
      <c r="A18" s="33" t="s">
        <v>29</v>
      </c>
      <c r="B18" s="34">
        <v>72</v>
      </c>
      <c r="C18" s="34">
        <v>107</v>
      </c>
      <c r="D18" s="34">
        <v>91</v>
      </c>
      <c r="E18" s="34">
        <v>85</v>
      </c>
      <c r="F18" s="34">
        <v>59</v>
      </c>
      <c r="G18" s="34">
        <v>77</v>
      </c>
      <c r="H18" s="34">
        <v>71</v>
      </c>
      <c r="I18" s="35">
        <v>73</v>
      </c>
      <c r="J18" s="35">
        <v>67</v>
      </c>
      <c r="K18" s="35">
        <v>71</v>
      </c>
      <c r="L18" s="34">
        <v>71</v>
      </c>
      <c r="M18" s="34">
        <v>61</v>
      </c>
      <c r="N18" s="34">
        <v>64</v>
      </c>
      <c r="O18" s="34">
        <v>69</v>
      </c>
      <c r="P18" s="34">
        <v>91</v>
      </c>
      <c r="Q18" s="34">
        <v>94</v>
      </c>
      <c r="R18" s="34">
        <v>101</v>
      </c>
      <c r="S18" s="34">
        <v>137</v>
      </c>
    </row>
    <row r="19" spans="1:19" s="32" customFormat="1" ht="14.25" x14ac:dyDescent="0.2">
      <c r="A19" s="29" t="s">
        <v>30</v>
      </c>
      <c r="B19" s="30">
        <v>101</v>
      </c>
      <c r="C19" s="30">
        <v>68</v>
      </c>
      <c r="D19" s="30">
        <v>58</v>
      </c>
      <c r="E19" s="30">
        <v>67</v>
      </c>
      <c r="F19" s="30">
        <v>111</v>
      </c>
      <c r="G19" s="30">
        <v>129</v>
      </c>
      <c r="H19" s="30">
        <v>108</v>
      </c>
      <c r="I19" s="31">
        <v>162</v>
      </c>
      <c r="J19" s="31">
        <v>195</v>
      </c>
      <c r="K19" s="31">
        <v>195</v>
      </c>
      <c r="L19" s="30">
        <v>155</v>
      </c>
      <c r="M19" s="30">
        <v>133</v>
      </c>
      <c r="N19" s="30">
        <v>131</v>
      </c>
      <c r="O19" s="30">
        <v>156</v>
      </c>
      <c r="P19" s="30">
        <v>219</v>
      </c>
      <c r="Q19" s="30">
        <v>176</v>
      </c>
      <c r="R19" s="30">
        <v>281</v>
      </c>
      <c r="S19" s="30">
        <v>148</v>
      </c>
    </row>
    <row r="20" spans="1:19" s="36" customFormat="1" ht="14.25" x14ac:dyDescent="0.2">
      <c r="A20" s="33" t="s">
        <v>31</v>
      </c>
      <c r="B20" s="34">
        <v>187</v>
      </c>
      <c r="C20" s="34">
        <v>170</v>
      </c>
      <c r="D20" s="34">
        <v>227</v>
      </c>
      <c r="E20" s="34">
        <v>219</v>
      </c>
      <c r="F20" s="34">
        <v>198</v>
      </c>
      <c r="G20" s="34">
        <v>231</v>
      </c>
      <c r="H20" s="34">
        <v>173</v>
      </c>
      <c r="I20" s="35">
        <v>221</v>
      </c>
      <c r="J20" s="35">
        <v>220</v>
      </c>
      <c r="K20" s="35">
        <v>240</v>
      </c>
      <c r="L20" s="34">
        <v>258</v>
      </c>
      <c r="M20" s="34">
        <v>229</v>
      </c>
      <c r="N20" s="34">
        <v>229</v>
      </c>
      <c r="O20" s="34">
        <v>229</v>
      </c>
      <c r="P20" s="34">
        <v>307</v>
      </c>
      <c r="Q20" s="34">
        <v>325</v>
      </c>
      <c r="R20" s="34">
        <v>370</v>
      </c>
      <c r="S20" s="34">
        <v>390</v>
      </c>
    </row>
    <row r="21" spans="1:19" s="32" customFormat="1" ht="14.25" x14ac:dyDescent="0.2">
      <c r="A21" s="29" t="s">
        <v>32</v>
      </c>
      <c r="B21" s="30">
        <v>0</v>
      </c>
      <c r="C21" s="30">
        <v>53</v>
      </c>
      <c r="D21" s="30">
        <v>98</v>
      </c>
      <c r="E21" s="30">
        <v>95</v>
      </c>
      <c r="F21" s="30">
        <v>68</v>
      </c>
      <c r="G21" s="30">
        <v>71</v>
      </c>
      <c r="H21" s="30">
        <v>70</v>
      </c>
      <c r="I21" s="31">
        <v>68</v>
      </c>
      <c r="J21" s="31">
        <v>72</v>
      </c>
      <c r="K21" s="31">
        <v>70</v>
      </c>
      <c r="L21" s="30">
        <v>60</v>
      </c>
      <c r="M21" s="30">
        <v>75</v>
      </c>
      <c r="N21" s="30">
        <v>71</v>
      </c>
      <c r="O21" s="30">
        <v>77</v>
      </c>
      <c r="P21" s="30">
        <v>88</v>
      </c>
      <c r="Q21" s="30">
        <v>90</v>
      </c>
      <c r="R21" s="30">
        <v>93</v>
      </c>
      <c r="S21" s="30">
        <v>106</v>
      </c>
    </row>
    <row r="22" spans="1:19" s="36" customFormat="1" ht="14.25" x14ac:dyDescent="0.2">
      <c r="A22" s="33" t="s">
        <v>33</v>
      </c>
      <c r="B22" s="34">
        <v>551</v>
      </c>
      <c r="C22" s="34">
        <v>470</v>
      </c>
      <c r="D22" s="34">
        <v>561</v>
      </c>
      <c r="E22" s="34">
        <v>461</v>
      </c>
      <c r="F22" s="34">
        <v>407</v>
      </c>
      <c r="G22" s="34">
        <v>522</v>
      </c>
      <c r="H22" s="34">
        <v>583</v>
      </c>
      <c r="I22" s="35">
        <v>585</v>
      </c>
      <c r="J22" s="35">
        <v>648</v>
      </c>
      <c r="K22" s="35">
        <v>730</v>
      </c>
      <c r="L22" s="34">
        <v>684</v>
      </c>
      <c r="M22" s="34">
        <v>496</v>
      </c>
      <c r="N22" s="34">
        <v>449</v>
      </c>
      <c r="O22" s="34">
        <v>564</v>
      </c>
      <c r="P22" s="34">
        <v>916</v>
      </c>
      <c r="Q22" s="34">
        <v>933</v>
      </c>
      <c r="R22" s="34">
        <v>862</v>
      </c>
      <c r="S22" s="34">
        <v>917</v>
      </c>
    </row>
    <row r="23" spans="1:19" s="38" customFormat="1" ht="15.75" x14ac:dyDescent="0.25">
      <c r="A23" s="24" t="s">
        <v>34</v>
      </c>
      <c r="B23" s="25">
        <f t="shared" ref="B23:O23" si="5">SUM(B24:B28)</f>
        <v>288</v>
      </c>
      <c r="C23" s="25">
        <f t="shared" si="5"/>
        <v>246</v>
      </c>
      <c r="D23" s="25">
        <f t="shared" si="5"/>
        <v>211</v>
      </c>
      <c r="E23" s="25">
        <f t="shared" si="5"/>
        <v>201</v>
      </c>
      <c r="F23" s="25">
        <f t="shared" si="5"/>
        <v>152</v>
      </c>
      <c r="G23" s="25">
        <f t="shared" si="5"/>
        <v>145</v>
      </c>
      <c r="H23" s="25">
        <f t="shared" si="5"/>
        <v>117</v>
      </c>
      <c r="I23" s="25">
        <f t="shared" si="5"/>
        <v>121</v>
      </c>
      <c r="J23" s="25">
        <f t="shared" si="5"/>
        <v>119</v>
      </c>
      <c r="K23" s="25">
        <f t="shared" si="5"/>
        <v>150</v>
      </c>
      <c r="L23" s="25">
        <f t="shared" si="5"/>
        <v>148</v>
      </c>
      <c r="M23" s="25">
        <f t="shared" si="5"/>
        <v>145</v>
      </c>
      <c r="N23" s="25">
        <f t="shared" si="5"/>
        <v>144</v>
      </c>
      <c r="O23" s="25">
        <f t="shared" si="5"/>
        <v>168</v>
      </c>
      <c r="P23" s="25">
        <v>221</v>
      </c>
      <c r="Q23" s="25">
        <v>258</v>
      </c>
      <c r="R23" s="25">
        <f>SUM(R24:R28)</f>
        <v>280</v>
      </c>
      <c r="S23" s="25">
        <f>SUM(S24:S28)</f>
        <v>342</v>
      </c>
    </row>
    <row r="24" spans="1:19" s="36" customFormat="1" ht="14.25" x14ac:dyDescent="0.2">
      <c r="A24" s="33" t="s">
        <v>35</v>
      </c>
      <c r="B24" s="34">
        <v>0</v>
      </c>
      <c r="C24" s="34" t="s">
        <v>36</v>
      </c>
      <c r="D24" s="34" t="s">
        <v>36</v>
      </c>
      <c r="E24" s="34">
        <v>0</v>
      </c>
      <c r="F24" s="34">
        <v>7</v>
      </c>
      <c r="G24" s="34">
        <v>20</v>
      </c>
      <c r="H24" s="34">
        <v>29</v>
      </c>
      <c r="I24" s="35">
        <v>25</v>
      </c>
      <c r="J24" s="35">
        <v>23</v>
      </c>
      <c r="K24" s="35">
        <v>28</v>
      </c>
      <c r="L24" s="34">
        <v>21</v>
      </c>
      <c r="M24" s="34">
        <v>19</v>
      </c>
      <c r="N24" s="34">
        <v>16</v>
      </c>
      <c r="O24" s="34">
        <v>14</v>
      </c>
      <c r="P24" s="34">
        <v>18</v>
      </c>
      <c r="Q24" s="34">
        <v>22</v>
      </c>
      <c r="R24" s="34">
        <v>24</v>
      </c>
      <c r="S24" s="34">
        <v>28</v>
      </c>
    </row>
    <row r="25" spans="1:19" s="32" customFormat="1" ht="14.25" x14ac:dyDescent="0.2">
      <c r="A25" s="29" t="s">
        <v>37</v>
      </c>
      <c r="B25" s="30">
        <v>0</v>
      </c>
      <c r="C25" s="30">
        <v>5</v>
      </c>
      <c r="D25" s="30">
        <v>8</v>
      </c>
      <c r="E25" s="30">
        <v>7</v>
      </c>
      <c r="F25" s="30">
        <v>7</v>
      </c>
      <c r="G25" s="30">
        <v>7</v>
      </c>
      <c r="H25" s="30">
        <v>8</v>
      </c>
      <c r="I25" s="31">
        <v>10</v>
      </c>
      <c r="J25" s="31">
        <v>10</v>
      </c>
      <c r="K25" s="31">
        <v>14</v>
      </c>
      <c r="L25" s="30">
        <v>15</v>
      </c>
      <c r="M25" s="30">
        <v>14</v>
      </c>
      <c r="N25" s="30">
        <v>14</v>
      </c>
      <c r="O25" s="30">
        <v>19</v>
      </c>
      <c r="P25" s="30">
        <v>19</v>
      </c>
      <c r="Q25" s="30">
        <v>21</v>
      </c>
      <c r="R25" s="30">
        <v>23</v>
      </c>
      <c r="S25" s="30">
        <v>25</v>
      </c>
    </row>
    <row r="26" spans="1:19" s="36" customFormat="1" ht="14.25" x14ac:dyDescent="0.2">
      <c r="A26" s="33" t="s">
        <v>38</v>
      </c>
      <c r="B26" s="34">
        <v>186</v>
      </c>
      <c r="C26" s="34">
        <v>176</v>
      </c>
      <c r="D26" s="34">
        <v>117</v>
      </c>
      <c r="E26" s="34">
        <v>99</v>
      </c>
      <c r="F26" s="34">
        <v>82</v>
      </c>
      <c r="G26" s="34">
        <v>68</v>
      </c>
      <c r="H26" s="34">
        <v>28</v>
      </c>
      <c r="I26" s="35">
        <v>29</v>
      </c>
      <c r="J26" s="35">
        <v>35</v>
      </c>
      <c r="K26" s="35">
        <v>49</v>
      </c>
      <c r="L26" s="34">
        <v>52</v>
      </c>
      <c r="M26" s="34">
        <v>55</v>
      </c>
      <c r="N26" s="34">
        <v>53</v>
      </c>
      <c r="O26" s="34">
        <v>60</v>
      </c>
      <c r="P26" s="34">
        <v>90</v>
      </c>
      <c r="Q26" s="34">
        <v>110</v>
      </c>
      <c r="R26" s="34">
        <v>115</v>
      </c>
      <c r="S26" s="34">
        <v>155</v>
      </c>
    </row>
    <row r="27" spans="1:19" s="32" customFormat="1" ht="14.25" x14ac:dyDescent="0.2">
      <c r="A27" s="29" t="s">
        <v>39</v>
      </c>
      <c r="B27" s="30">
        <v>0</v>
      </c>
      <c r="C27" s="30">
        <v>19</v>
      </c>
      <c r="D27" s="30">
        <v>21</v>
      </c>
      <c r="E27" s="30">
        <v>15</v>
      </c>
      <c r="F27" s="30">
        <v>11</v>
      </c>
      <c r="G27" s="30">
        <v>16</v>
      </c>
      <c r="H27" s="30">
        <v>16</v>
      </c>
      <c r="I27" s="31">
        <v>21</v>
      </c>
      <c r="J27" s="31">
        <v>19</v>
      </c>
      <c r="K27" s="31">
        <v>23</v>
      </c>
      <c r="L27" s="30">
        <v>27</v>
      </c>
      <c r="M27" s="30">
        <v>20</v>
      </c>
      <c r="N27" s="30">
        <v>19</v>
      </c>
      <c r="O27" s="30">
        <v>21</v>
      </c>
      <c r="P27" s="30">
        <v>30</v>
      </c>
      <c r="Q27" s="30">
        <v>28</v>
      </c>
      <c r="R27" s="30">
        <v>31</v>
      </c>
      <c r="S27" s="30">
        <v>35</v>
      </c>
    </row>
    <row r="28" spans="1:19" s="36" customFormat="1" ht="14.25" x14ac:dyDescent="0.2">
      <c r="A28" s="33" t="s">
        <v>40</v>
      </c>
      <c r="B28" s="34">
        <v>102</v>
      </c>
      <c r="C28" s="34">
        <v>46</v>
      </c>
      <c r="D28" s="34">
        <v>65</v>
      </c>
      <c r="E28" s="34">
        <v>80</v>
      </c>
      <c r="F28" s="34">
        <v>45</v>
      </c>
      <c r="G28" s="34">
        <v>34</v>
      </c>
      <c r="H28" s="34">
        <v>36</v>
      </c>
      <c r="I28" s="35">
        <v>36</v>
      </c>
      <c r="J28" s="35">
        <v>32</v>
      </c>
      <c r="K28" s="35">
        <v>36</v>
      </c>
      <c r="L28" s="34">
        <v>33</v>
      </c>
      <c r="M28" s="34">
        <v>37</v>
      </c>
      <c r="N28" s="34">
        <v>42</v>
      </c>
      <c r="O28" s="34">
        <v>54</v>
      </c>
      <c r="P28" s="34">
        <v>64</v>
      </c>
      <c r="Q28" s="34">
        <v>77</v>
      </c>
      <c r="R28" s="34">
        <v>87</v>
      </c>
      <c r="S28" s="34">
        <v>99</v>
      </c>
    </row>
    <row r="29" spans="1:19" s="38" customFormat="1" ht="15.75" x14ac:dyDescent="0.25">
      <c r="A29" s="24" t="s">
        <v>41</v>
      </c>
      <c r="B29" s="25">
        <f t="shared" ref="B29:O29" si="6">SUM(B30:B32)</f>
        <v>210</v>
      </c>
      <c r="C29" s="25">
        <f t="shared" si="6"/>
        <v>112</v>
      </c>
      <c r="D29" s="25">
        <f t="shared" si="6"/>
        <v>189</v>
      </c>
      <c r="E29" s="25">
        <f t="shared" si="6"/>
        <v>216</v>
      </c>
      <c r="F29" s="25">
        <f t="shared" si="6"/>
        <v>174</v>
      </c>
      <c r="G29" s="25">
        <f t="shared" si="6"/>
        <v>203</v>
      </c>
      <c r="H29" s="25">
        <f t="shared" si="6"/>
        <v>261</v>
      </c>
      <c r="I29" s="25">
        <f t="shared" si="6"/>
        <v>250</v>
      </c>
      <c r="J29" s="25">
        <f t="shared" si="6"/>
        <v>229</v>
      </c>
      <c r="K29" s="25">
        <f t="shared" si="6"/>
        <v>244</v>
      </c>
      <c r="L29" s="25">
        <f t="shared" si="6"/>
        <v>315</v>
      </c>
      <c r="M29" s="25">
        <f t="shared" si="6"/>
        <v>325</v>
      </c>
      <c r="N29" s="25">
        <f t="shared" si="6"/>
        <v>184</v>
      </c>
      <c r="O29" s="25">
        <f t="shared" si="6"/>
        <v>168</v>
      </c>
      <c r="P29" s="25">
        <v>237</v>
      </c>
      <c r="Q29" s="25">
        <v>276</v>
      </c>
      <c r="R29" s="25">
        <f>SUM(R30:R32)</f>
        <v>325</v>
      </c>
      <c r="S29" s="25">
        <f>SUM(S30:S32)</f>
        <v>356</v>
      </c>
    </row>
    <row r="30" spans="1:19" s="36" customFormat="1" ht="14.25" x14ac:dyDescent="0.2">
      <c r="A30" s="33" t="s">
        <v>42</v>
      </c>
      <c r="B30" s="34">
        <v>26</v>
      </c>
      <c r="C30" s="34">
        <v>15</v>
      </c>
      <c r="D30" s="34">
        <v>23</v>
      </c>
      <c r="E30" s="34">
        <v>26</v>
      </c>
      <c r="F30" s="34">
        <v>21</v>
      </c>
      <c r="G30" s="34">
        <v>24</v>
      </c>
      <c r="H30" s="34">
        <v>33</v>
      </c>
      <c r="I30" s="35">
        <v>32</v>
      </c>
      <c r="J30" s="35">
        <v>28</v>
      </c>
      <c r="K30" s="35">
        <v>33</v>
      </c>
      <c r="L30" s="34">
        <v>43</v>
      </c>
      <c r="M30" s="34">
        <v>43</v>
      </c>
      <c r="N30" s="34">
        <v>31</v>
      </c>
      <c r="O30" s="34">
        <v>32</v>
      </c>
      <c r="P30" s="34">
        <v>45</v>
      </c>
      <c r="Q30" s="34">
        <v>50</v>
      </c>
      <c r="R30" s="34">
        <v>55</v>
      </c>
      <c r="S30" s="34">
        <v>63</v>
      </c>
    </row>
    <row r="31" spans="1:19" s="32" customFormat="1" ht="14.25" x14ac:dyDescent="0.2">
      <c r="A31" s="29" t="s">
        <v>43</v>
      </c>
      <c r="B31" s="30">
        <v>156</v>
      </c>
      <c r="C31" s="30">
        <v>83</v>
      </c>
      <c r="D31" s="30">
        <v>142</v>
      </c>
      <c r="E31" s="30">
        <v>161</v>
      </c>
      <c r="F31" s="30">
        <v>121</v>
      </c>
      <c r="G31" s="30">
        <v>138</v>
      </c>
      <c r="H31" s="30">
        <v>176</v>
      </c>
      <c r="I31" s="31">
        <v>170</v>
      </c>
      <c r="J31" s="31">
        <v>161</v>
      </c>
      <c r="K31" s="31">
        <v>170</v>
      </c>
      <c r="L31" s="30">
        <v>219</v>
      </c>
      <c r="M31" s="30">
        <v>229</v>
      </c>
      <c r="N31" s="30">
        <v>127</v>
      </c>
      <c r="O31" s="30">
        <v>115</v>
      </c>
      <c r="P31" s="30">
        <v>156</v>
      </c>
      <c r="Q31" s="30">
        <v>182</v>
      </c>
      <c r="R31" s="30">
        <v>216</v>
      </c>
      <c r="S31" s="30">
        <v>237</v>
      </c>
    </row>
    <row r="32" spans="1:19" s="36" customFormat="1" ht="14.25" x14ac:dyDescent="0.2">
      <c r="A32" s="33" t="s">
        <v>44</v>
      </c>
      <c r="B32" s="34">
        <v>28</v>
      </c>
      <c r="C32" s="34">
        <v>14</v>
      </c>
      <c r="D32" s="34">
        <v>24</v>
      </c>
      <c r="E32" s="34">
        <v>29</v>
      </c>
      <c r="F32" s="34">
        <v>32</v>
      </c>
      <c r="G32" s="34">
        <v>41</v>
      </c>
      <c r="H32" s="34">
        <v>52</v>
      </c>
      <c r="I32" s="35">
        <v>48</v>
      </c>
      <c r="J32" s="35">
        <v>40</v>
      </c>
      <c r="K32" s="35">
        <v>41</v>
      </c>
      <c r="L32" s="34">
        <v>53</v>
      </c>
      <c r="M32" s="34">
        <v>53</v>
      </c>
      <c r="N32" s="34">
        <v>26</v>
      </c>
      <c r="O32" s="34">
        <v>21</v>
      </c>
      <c r="P32" s="34">
        <v>36</v>
      </c>
      <c r="Q32" s="34">
        <v>44</v>
      </c>
      <c r="R32" s="34">
        <v>54</v>
      </c>
      <c r="S32" s="34">
        <v>56</v>
      </c>
    </row>
    <row r="33" spans="1:19" s="38" customFormat="1" ht="15.75" x14ac:dyDescent="0.25">
      <c r="A33" s="24" t="s">
        <v>45</v>
      </c>
      <c r="B33" s="25">
        <f>SUM(B34:B39)</f>
        <v>157</v>
      </c>
      <c r="C33" s="25">
        <f>SUM(C34:C39)</f>
        <v>91</v>
      </c>
      <c r="D33" s="25">
        <v>154</v>
      </c>
      <c r="E33" s="25">
        <f t="shared" ref="E33:O33" si="7">SUM(E34:E39)</f>
        <v>179</v>
      </c>
      <c r="F33" s="25">
        <f t="shared" si="7"/>
        <v>162</v>
      </c>
      <c r="G33" s="25">
        <f t="shared" si="7"/>
        <v>197</v>
      </c>
      <c r="H33" s="25">
        <f t="shared" si="7"/>
        <v>263</v>
      </c>
      <c r="I33" s="25">
        <f t="shared" si="7"/>
        <v>282</v>
      </c>
      <c r="J33" s="25">
        <f t="shared" si="7"/>
        <v>192</v>
      </c>
      <c r="K33" s="25">
        <f t="shared" si="7"/>
        <v>200</v>
      </c>
      <c r="L33" s="25">
        <f t="shared" si="7"/>
        <v>301</v>
      </c>
      <c r="M33" s="25">
        <f t="shared" si="7"/>
        <v>304</v>
      </c>
      <c r="N33" s="25">
        <f t="shared" si="7"/>
        <v>217</v>
      </c>
      <c r="O33" s="25">
        <f t="shared" si="7"/>
        <v>253</v>
      </c>
      <c r="P33" s="25">
        <v>349</v>
      </c>
      <c r="Q33" s="25">
        <v>386</v>
      </c>
      <c r="R33" s="25">
        <f>SUM(R34:R39)</f>
        <v>432</v>
      </c>
      <c r="S33" s="25">
        <f>SUM(S34:S39)</f>
        <v>534</v>
      </c>
    </row>
    <row r="34" spans="1:19" s="36" customFormat="1" ht="14.25" x14ac:dyDescent="0.2">
      <c r="A34" s="33" t="s">
        <v>46</v>
      </c>
      <c r="B34" s="34">
        <v>36</v>
      </c>
      <c r="C34" s="34">
        <v>18</v>
      </c>
      <c r="D34" s="34">
        <v>28</v>
      </c>
      <c r="E34" s="34">
        <v>30</v>
      </c>
      <c r="F34" s="34">
        <v>25</v>
      </c>
      <c r="G34" s="34">
        <v>28</v>
      </c>
      <c r="H34" s="34">
        <v>35</v>
      </c>
      <c r="I34" s="34">
        <v>41</v>
      </c>
      <c r="J34" s="34">
        <v>36</v>
      </c>
      <c r="K34" s="35">
        <v>36</v>
      </c>
      <c r="L34" s="34">
        <v>48</v>
      </c>
      <c r="M34" s="34">
        <v>45</v>
      </c>
      <c r="N34" s="34">
        <v>34</v>
      </c>
      <c r="O34" s="34">
        <v>31</v>
      </c>
      <c r="P34" s="34">
        <v>41</v>
      </c>
      <c r="Q34" s="34">
        <v>52</v>
      </c>
      <c r="R34" s="34">
        <v>56</v>
      </c>
      <c r="S34" s="34">
        <v>56</v>
      </c>
    </row>
    <row r="35" spans="1:19" s="32" customFormat="1" ht="14.25" x14ac:dyDescent="0.2">
      <c r="A35" s="29" t="s">
        <v>47</v>
      </c>
      <c r="B35" s="30">
        <v>58</v>
      </c>
      <c r="C35" s="30">
        <v>27</v>
      </c>
      <c r="D35" s="30">
        <v>56</v>
      </c>
      <c r="E35" s="30">
        <v>58</v>
      </c>
      <c r="F35" s="30">
        <v>48</v>
      </c>
      <c r="G35" s="30">
        <v>63</v>
      </c>
      <c r="H35" s="30">
        <v>85</v>
      </c>
      <c r="I35" s="31">
        <v>100</v>
      </c>
      <c r="J35" s="31">
        <v>44</v>
      </c>
      <c r="K35" s="31">
        <v>36</v>
      </c>
      <c r="L35" s="30">
        <v>75</v>
      </c>
      <c r="M35" s="30">
        <v>90</v>
      </c>
      <c r="N35" s="30">
        <v>40</v>
      </c>
      <c r="O35" s="30">
        <v>53</v>
      </c>
      <c r="P35" s="30">
        <v>78</v>
      </c>
      <c r="Q35" s="30">
        <v>73</v>
      </c>
      <c r="R35" s="30">
        <v>75</v>
      </c>
      <c r="S35" s="30">
        <v>112</v>
      </c>
    </row>
    <row r="36" spans="1:19" s="36" customFormat="1" ht="14.25" x14ac:dyDescent="0.2">
      <c r="A36" s="33" t="s">
        <v>48</v>
      </c>
      <c r="B36" s="34">
        <v>0</v>
      </c>
      <c r="C36" s="34" t="s">
        <v>36</v>
      </c>
      <c r="D36" s="34" t="s">
        <v>36</v>
      </c>
      <c r="E36" s="34">
        <v>0</v>
      </c>
      <c r="F36" s="34" t="s">
        <v>36</v>
      </c>
      <c r="G36" s="34">
        <v>22</v>
      </c>
      <c r="H36" s="34">
        <v>30</v>
      </c>
      <c r="I36" s="35">
        <v>29</v>
      </c>
      <c r="J36" s="35">
        <v>13</v>
      </c>
      <c r="K36" s="35">
        <v>15</v>
      </c>
      <c r="L36" s="34">
        <v>36</v>
      </c>
      <c r="M36" s="34">
        <v>33</v>
      </c>
      <c r="N36" s="34">
        <v>20</v>
      </c>
      <c r="O36" s="34">
        <v>25</v>
      </c>
      <c r="P36" s="34">
        <v>38</v>
      </c>
      <c r="Q36" s="34">
        <v>43</v>
      </c>
      <c r="R36" s="34">
        <v>54</v>
      </c>
      <c r="S36" s="34">
        <v>64</v>
      </c>
    </row>
    <row r="37" spans="1:19" s="32" customFormat="1" ht="14.25" x14ac:dyDescent="0.2">
      <c r="A37" s="29" t="s">
        <v>49</v>
      </c>
      <c r="B37" s="30">
        <v>0</v>
      </c>
      <c r="C37" s="30">
        <v>1</v>
      </c>
      <c r="D37" s="30">
        <v>2</v>
      </c>
      <c r="E37" s="30">
        <v>3</v>
      </c>
      <c r="F37" s="30">
        <v>2</v>
      </c>
      <c r="G37" s="30">
        <v>6</v>
      </c>
      <c r="H37" s="30">
        <v>6</v>
      </c>
      <c r="I37" s="31">
        <v>7</v>
      </c>
      <c r="J37" s="31">
        <v>8</v>
      </c>
      <c r="K37" s="31">
        <v>10</v>
      </c>
      <c r="L37" s="30">
        <v>12</v>
      </c>
      <c r="M37" s="30">
        <v>14</v>
      </c>
      <c r="N37" s="30">
        <v>14</v>
      </c>
      <c r="O37" s="30">
        <v>21</v>
      </c>
      <c r="P37" s="30">
        <v>28</v>
      </c>
      <c r="Q37" s="30">
        <v>33</v>
      </c>
      <c r="R37" s="30">
        <v>41</v>
      </c>
      <c r="S37" s="30">
        <v>64</v>
      </c>
    </row>
    <row r="38" spans="1:19" s="36" customFormat="1" ht="14.25" x14ac:dyDescent="0.2">
      <c r="A38" s="33" t="s">
        <v>50</v>
      </c>
      <c r="B38" s="34">
        <v>0</v>
      </c>
      <c r="C38" s="34">
        <v>8</v>
      </c>
      <c r="D38" s="34">
        <v>13</v>
      </c>
      <c r="E38" s="34">
        <v>18</v>
      </c>
      <c r="F38" s="34">
        <v>18</v>
      </c>
      <c r="G38" s="34">
        <v>16</v>
      </c>
      <c r="H38" s="34">
        <v>21</v>
      </c>
      <c r="I38" s="35">
        <v>20</v>
      </c>
      <c r="J38" s="35">
        <v>22</v>
      </c>
      <c r="K38" s="35">
        <v>25</v>
      </c>
      <c r="L38" s="34">
        <v>35</v>
      </c>
      <c r="M38" s="34">
        <v>30</v>
      </c>
      <c r="N38" s="34">
        <v>30</v>
      </c>
      <c r="O38" s="34">
        <v>31</v>
      </c>
      <c r="P38" s="34">
        <v>44</v>
      </c>
      <c r="Q38" s="34">
        <v>46</v>
      </c>
      <c r="R38" s="34">
        <v>59</v>
      </c>
      <c r="S38" s="34">
        <v>70</v>
      </c>
    </row>
    <row r="39" spans="1:19" s="32" customFormat="1" ht="14.25" x14ac:dyDescent="0.2">
      <c r="A39" s="29" t="s">
        <v>40</v>
      </c>
      <c r="B39" s="30">
        <v>63</v>
      </c>
      <c r="C39" s="30">
        <v>37</v>
      </c>
      <c r="D39" s="30">
        <v>55</v>
      </c>
      <c r="E39" s="30">
        <v>70</v>
      </c>
      <c r="F39" s="30">
        <v>69</v>
      </c>
      <c r="G39" s="30">
        <v>62</v>
      </c>
      <c r="H39" s="30">
        <v>86</v>
      </c>
      <c r="I39" s="31">
        <v>85</v>
      </c>
      <c r="J39" s="31">
        <v>69</v>
      </c>
      <c r="K39" s="31">
        <v>78</v>
      </c>
      <c r="L39" s="30">
        <v>95</v>
      </c>
      <c r="M39" s="30">
        <v>92</v>
      </c>
      <c r="N39" s="30">
        <v>79</v>
      </c>
      <c r="O39" s="30">
        <v>92</v>
      </c>
      <c r="P39" s="30">
        <v>120</v>
      </c>
      <c r="Q39" s="30">
        <v>139</v>
      </c>
      <c r="R39" s="30">
        <v>147</v>
      </c>
      <c r="S39" s="30">
        <v>168</v>
      </c>
    </row>
    <row r="40" spans="1:19" s="23" customFormat="1" ht="21.75" customHeight="1" x14ac:dyDescent="0.25">
      <c r="A40" s="21" t="s">
        <v>51</v>
      </c>
      <c r="B40" s="22">
        <v>1</v>
      </c>
      <c r="C40" s="22">
        <v>0</v>
      </c>
      <c r="D40" s="22">
        <v>1</v>
      </c>
      <c r="E40" s="22">
        <v>2</v>
      </c>
      <c r="F40" s="22">
        <v>2</v>
      </c>
      <c r="G40" s="22">
        <v>3</v>
      </c>
      <c r="H40" s="22">
        <v>1</v>
      </c>
      <c r="I40" s="39">
        <v>96</v>
      </c>
      <c r="J40" s="39">
        <v>2</v>
      </c>
      <c r="K40" s="39">
        <v>2</v>
      </c>
      <c r="L40" s="22">
        <v>3</v>
      </c>
      <c r="M40" s="22">
        <v>2</v>
      </c>
      <c r="N40" s="22">
        <v>2</v>
      </c>
      <c r="O40" s="22">
        <v>2</v>
      </c>
      <c r="P40" s="22">
        <v>4</v>
      </c>
      <c r="Q40" s="22">
        <v>4</v>
      </c>
      <c r="R40" s="22">
        <v>4</v>
      </c>
      <c r="S40" s="22">
        <v>6</v>
      </c>
    </row>
    <row r="41" spans="1:19" s="49" customFormat="1" ht="15.75" x14ac:dyDescent="0.25">
      <c r="A41" s="45" t="s">
        <v>52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7"/>
      <c r="M41" s="46"/>
      <c r="N41" s="46"/>
      <c r="O41" s="48"/>
      <c r="P41" s="48"/>
      <c r="Q41" s="48"/>
      <c r="R41" s="48"/>
    </row>
    <row r="42" spans="1:19" s="16" customFormat="1" ht="15.75" x14ac:dyDescent="0.25">
      <c r="A42" s="14" t="s">
        <v>53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50"/>
      <c r="P42" s="50"/>
      <c r="Q42" s="50"/>
      <c r="R42" s="50"/>
    </row>
    <row r="43" spans="1:19" s="40" customFormat="1" x14ac:dyDescent="0.2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1:19" s="40" customFormat="1" x14ac:dyDescent="0.2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</sheetData>
  <phoneticPr fontId="0" type="noConversion"/>
  <printOptions horizontalCentered="1" verticalCentered="1"/>
  <pageMargins left="0.19685039370078741" right="0.19685039370078741" top="0.19685039370078741" bottom="0.19685039370078741" header="0.5" footer="0.5"/>
  <pageSetup scale="57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7NQWTN4WQ7WA-971242747-1579</_dlc_DocId>
    <_dlc_DocIdUrl xmlns="806035d9-ad3b-44db-92a1-1ed4b9daec3e">
      <Url>http://cbe-test-spsql:4050/_layouts/15/DocIdRedir.aspx?ID=7NQWTN4WQ7WA-971242747-1579</Url>
      <Description>7NQWTN4WQ7WA-971242747-1579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307C14-2E84-427F-8912-A29E1A823CFA}"/>
</file>

<file path=customXml/itemProps2.xml><?xml version="1.0" encoding="utf-8"?>
<ds:datastoreItem xmlns:ds="http://schemas.openxmlformats.org/officeDocument/2006/customXml" ds:itemID="{15039EDC-BDDE-4922-BC10-E9A845B1144F}"/>
</file>

<file path=customXml/itemProps3.xml><?xml version="1.0" encoding="utf-8"?>
<ds:datastoreItem xmlns:ds="http://schemas.openxmlformats.org/officeDocument/2006/customXml" ds:itemID="{52B5A85B-2FB0-4D0C-BBD1-322D72B7EB48}"/>
</file>

<file path=customXml/itemProps4.xml><?xml version="1.0" encoding="utf-8"?>
<ds:datastoreItem xmlns:ds="http://schemas.openxmlformats.org/officeDocument/2006/customXml" ds:itemID="{69D70FA0-B44B-4506-AD6B-EA0629C01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Number of Tourists  (By Group)</vt:lpstr>
      <vt:lpstr>'Number of Tourists  (By Group)'!Print_Area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Number_of_Tourists__(By_Group)</dc:title>
  <dc:creator>Internet Library</dc:creator>
  <cp:lastModifiedBy>Internet Library</cp:lastModifiedBy>
  <cp:lastPrinted>2006-11-13T10:56:05Z</cp:lastPrinted>
  <dcterms:created xsi:type="dcterms:W3CDTF">2017-11-05T11:05:54Z</dcterms:created>
  <dcterms:modified xsi:type="dcterms:W3CDTF">2017-11-06T11:38:41Z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12869222-ab56-4cd2-9212-87e90c6f8a87</vt:lpwstr>
  </property>
</Properties>
</file>