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14-2015 " sheetId="23" r:id="rId1"/>
  </sheets>
  <definedNames>
    <definedName name="_xlnm.Print_Area" localSheetId="0">'2014-2015 '!$A$4:$F$50</definedName>
  </definedNames>
  <calcPr calcId="145621" fullPrecision="0"/>
</workbook>
</file>

<file path=xl/calcChain.xml><?xml version="1.0" encoding="utf-8"?>
<calcChain xmlns="http://schemas.openxmlformats.org/spreadsheetml/2006/main">
  <c r="D9" i="23" l="1"/>
  <c r="D8" i="23" s="1"/>
  <c r="E9" i="23"/>
  <c r="E8" i="23" s="1"/>
  <c r="F9" i="23"/>
  <c r="F8" i="23" s="1"/>
  <c r="C9" i="23"/>
  <c r="C8" i="23" s="1"/>
  <c r="C10" i="23"/>
  <c r="C11" i="23"/>
  <c r="D40" i="23"/>
  <c r="E40" i="23"/>
  <c r="F40" i="23"/>
  <c r="C40" i="23"/>
  <c r="D11" i="23"/>
  <c r="D10" i="23" s="1"/>
  <c r="E11" i="23"/>
  <c r="E10" i="23" s="1"/>
  <c r="F11" i="23"/>
  <c r="F10" i="23" s="1"/>
</calcChain>
</file>

<file path=xl/sharedStrings.xml><?xml version="1.0" encoding="utf-8"?>
<sst xmlns="http://schemas.openxmlformats.org/spreadsheetml/2006/main" count="92" uniqueCount="90">
  <si>
    <t>Q1</t>
  </si>
  <si>
    <t>Q2</t>
  </si>
  <si>
    <t>Q3</t>
  </si>
  <si>
    <t>Q4</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</si>
  <si>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</si>
  <si>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</si>
  <si>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</si>
  <si>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</si>
  <si>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</si>
  <si>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</si>
  <si>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</si>
  <si>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</si>
  <si>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</si>
  <si>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</si>
  <si>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</si>
  <si>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</si>
  <si>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</si>
  <si>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</si>
  <si>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</si>
  <si>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</si>
  <si>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</si>
  <si>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</si>
  <si>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</si>
  <si>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</si>
  <si>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</si>
  <si>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</si>
  <si>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</si>
  <si>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</si>
  <si>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</si>
  <si>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</si>
  <si>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</si>
  <si>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</si>
  <si>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</si>
  <si>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</si>
  <si>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</si>
  <si>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</si>
  <si>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</si>
  <si>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</si>
  <si>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</si>
  <si>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</si>
  <si>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</si>
  <si>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</si>
  <si>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</si>
  <si>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</si>
  <si>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</si>
  <si>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</si>
  <si>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</si>
  <si>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</si>
  <si>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</si>
  <si>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</si>
  <si>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</si>
  <si>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</si>
  <si>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</si>
  <si>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</si>
  <si>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</si>
  <si>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</si>
  <si>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</si>
  <si>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</si>
  <si>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</si>
  <si>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</si>
  <si>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</si>
  <si>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</si>
  <si>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</si>
  <si>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t>. السندات الصادرة بالعملات الاجنبية لدى بنوك القطاع العام التجارية</t>
  </si>
  <si>
    <t>.اقتراض الحكومة من بنك الاستثمار القومى</t>
  </si>
  <si>
    <t>Source: Central Bank of Egypt - Ministry of Finance - National Investment Bank.</t>
  </si>
  <si>
    <t xml:space="preserve"> *  ( Holdings of resident financial institutions in Egypt represented in the banking system and the insurance sector ).</t>
  </si>
  <si>
    <t>( LE mn )</t>
  </si>
  <si>
    <t xml:space="preserve">       The Masri Dollar Certificate is a three-year certificate, with a 4% annual return, and is not redeemable in the first six months.  Its minimum purchase value is US$ 1000, with no ceiling.</t>
  </si>
  <si>
    <t xml:space="preserve"> against the government debt to the Bank at an initial value of LE 197.7 billion.  </t>
  </si>
  <si>
    <t xml:space="preserve">End of </t>
  </si>
  <si>
    <t>1- صافى  الدين المحلى الحكومى(أ+ب+ج+د+هـ+و )</t>
  </si>
  <si>
    <t xml:space="preserve">  Bonds offered abroad * :</t>
  </si>
  <si>
    <t xml:space="preserve">   . إقتراض الهيئات العامة الإقتصادية من بنك الإستثمار القومى****</t>
  </si>
  <si>
    <t xml:space="preserve"> Borrowing of Economic Authorities from NIB ****</t>
  </si>
  <si>
    <r>
      <t>**</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</si>
  <si>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r>
      <t>***</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</si>
  <si>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r>
      <t xml:space="preserve"> **** </t>
    </r>
    <r>
      <rPr>
        <sz val="12"/>
        <rFont val="Arial"/>
        <family val="2"/>
      </rPr>
      <t>Apart from the interest payments due to the NIB.</t>
    </r>
  </si>
  <si>
    <t>. السندات الصادرة بالدولار الامريكى لصالح البنوك التجارية</t>
  </si>
  <si>
    <t xml:space="preserve">  US dollar bonds issued for commercial banks</t>
  </si>
  <si>
    <t>د-  شهادة المصرى الدولارية**</t>
  </si>
  <si>
    <t>D -  The Masri Dollar certificate**</t>
  </si>
  <si>
    <t>وـ -اقتراض الحكومة من بنك الاستثمار القومى***</t>
  </si>
  <si>
    <t>F- Government Borrowing  from NIB ***</t>
  </si>
  <si>
    <t>Sept.2014</t>
  </si>
  <si>
    <t>Dec.2014</t>
  </si>
  <si>
    <t xml:space="preserve"> March 2015</t>
  </si>
  <si>
    <t xml:space="preserve">  June 2015</t>
  </si>
  <si>
    <t>سندات على الخزانة العامة</t>
  </si>
  <si>
    <t xml:space="preserve">   Treasury Bonds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</si>
</sst>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B1mmm\-yy"/>
  </numFmts>
  <fonts count="35">
    <font>
      <sz val="10"/>
      <name val="Arial"/>
      <charset val="178"/>
    </font>
    <font>
      <sz val="10"/>
      <name val="Arial"/>
      <family val="2"/>
      <charset val="178"/>
    </font>
    <font>
      <b/>
      <u/>
      <sz val="14"/>
      <name val="Times New (W1)"/>
      <family val="1"/>
    </font>
    <font>
      <sz val="14"/>
      <name val="Times New (W1)"/>
      <family val="1"/>
    </font>
    <font>
      <b/>
      <u/>
      <sz val="12"/>
      <name val="Times New (W1)"/>
      <family val="1"/>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sz val="12"/>
      <name val="Times New Roman"/>
      <family val="1"/>
    </font>
    <font>
      <sz val="12"/>
      <name val="Arial"/>
      <family val="2"/>
      <charset val="178"/>
    </font>
    <font>
      <b/>
      <sz val="12"/>
      <name val="Arial"/>
      <family val="2"/>
      <charset val="178"/>
    </font>
    <font>
      <b/>
      <sz val="20"/>
      <name val="Arial"/>
      <family val="2"/>
    </font>
    <font>
      <b/>
      <u/>
      <sz val="13"/>
      <name val="Times New (W1)"/>
      <family val="1"/>
    </font>
    <font>
      <b/>
      <u/>
      <sz val="13"/>
      <name val="Times New Roman"/>
      <family val="1"/>
    </font>
    <font>
      <sz val="13"/>
      <name val="Arial"/>
      <family val="2"/>
    </font>
  </fonts>
  <fills count="6">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rgb="FF00FFFF"/>
      </left>
      <right style="double">
        <color rgb="FF00FFFF"/>
      </right>
      <top style="double">
        <color rgb="FF00FFFF"/>
      </top>
      <bottom style="double">
        <color rgb="FF00FFFF"/>
      </bottom>
      <diagonal/>
    </border>
    <border>
      <left style="double">
        <color rgb="FF00FFFF"/>
      </left>
      <right style="double">
        <color rgb="FF00FFFF"/>
      </right>
      <top style="double">
        <color rgb="FF00FFFF"/>
      </top>
      <bottom/>
      <diagonal/>
    </border>
    <border>
      <left style="double">
        <color rgb="FF00FFFF"/>
      </left>
      <right style="double">
        <color rgb="FF00FFFF"/>
      </right>
      <top/>
      <bottom style="double">
        <color rgb="FF00FFFF"/>
      </bottom>
      <diagonal/>
    </border>
    <border>
      <left style="double">
        <color rgb="FF00FFFF"/>
      </left>
      <right/>
      <top/>
      <bottom style="double">
        <color rgb="FF00FFFF"/>
      </bottom>
      <diagonal/>
    </border>
    <border>
      <left/>
      <right style="double">
        <color rgb="FF00FFFF"/>
      </right>
      <top/>
      <bottom style="double">
        <color rgb="FF00FFFF"/>
      </bottom>
      <diagonal/>
    </border>
    <border>
      <left/>
      <right/>
      <top/>
      <bottom style="thin">
        <color indexed="64"/>
      </bottom>
      <diagonal/>
    </border>
    <border>
      <left style="thin">
        <color indexed="64"/>
      </left>
      <right style="thin">
        <color indexed="64"/>
      </right>
      <top style="double">
        <color rgb="FF00FFFF"/>
      </top>
      <bottom/>
      <diagonal/>
    </border>
  </borders>
  <cellStyleXfs count="3">
    <xf numFmtId="0" fontId="0" fillId="0" borderId="0"/>
    <xf numFmtId="0" fontId="11" fillId="0" borderId="0" applyNumberFormat="0">
      <alignment horizontal="right"/>
    </xf>
    <xf numFmtId="0" fontId="17" fillId="0" borderId="0"/>
  </cellStyleXfs>
  <cellXfs count="77">
    <xf numFmtId="0" fontId="0" fillId="0" borderId="0" xfId="0"/>
    <xf numFmtId="0" fontId="1" fillId="0" borderId="0" xfId="0" applyFont="1" applyFill="1" applyAlignment="1">
      <alignment readingOrder="1"/>
    </xf>
    <xf numFmtId="0" fontId="8" fillId="0" borderId="0" xfId="0" applyFont="1"/>
    <xf numFmtId="0" fontId="9" fillId="0" borderId="0" xfId="0" applyFont="1"/>
    <xf numFmtId="164" fontId="0" fillId="0" borderId="0" xfId="0" applyNumberFormat="1"/>
    <xf numFmtId="0" fontId="0" fillId="0" borderId="0" xfId="0" applyFill="1"/>
    <xf numFmtId="164" fontId="14" fillId="0" borderId="0" xfId="0" applyNumberFormat="1" applyFont="1"/>
    <xf numFmtId="0" fontId="14" fillId="0" borderId="0" xfId="0" applyFont="1"/>
    <xf numFmtId="0" fontId="6" fillId="0" borderId="0" xfId="0" applyFont="1"/>
    <xf numFmtId="164" fontId="6" fillId="0" borderId="0" xfId="0" applyNumberFormat="1" applyFont="1"/>
    <xf numFmtId="0" fontId="15" fillId="3" borderId="1" xfId="0" quotePrefix="1" applyFont="1" applyFill="1" applyBorder="1" applyAlignment="1">
      <alignment horizontal="right" readingOrder="2"/>
    </xf>
    <xf numFmtId="0" fontId="16" fillId="3" borderId="1" xfId="0" applyFont="1" applyFill="1" applyBorder="1" applyAlignment="1">
      <alignment horizontal="right" readingOrder="2"/>
    </xf>
    <xf numFmtId="0" fontId="13" fillId="3" borderId="1" xfId="0" applyFont="1" applyFill="1" applyBorder="1" applyAlignment="1">
      <alignment horizontal="right" readingOrder="2"/>
    </xf>
    <xf numFmtId="0" fontId="12" fillId="3" borderId="1" xfId="0" quotePrefix="1" applyFont="1" applyFill="1" applyBorder="1" applyAlignment="1">
      <alignment horizontal="right" readingOrder="2"/>
    </xf>
    <xf numFmtId="0" fontId="13" fillId="3" borderId="1" xfId="0" quotePrefix="1" applyFont="1" applyFill="1" applyBorder="1" applyAlignment="1">
      <alignment horizontal="right" readingOrder="2"/>
    </xf>
    <xf numFmtId="0" fontId="18" fillId="3" borderId="1" xfId="2" applyFont="1" applyFill="1" applyBorder="1" applyAlignment="1">
      <alignment horizontal="left" vertical="center" indent="1"/>
    </xf>
    <xf numFmtId="0" fontId="18" fillId="3" borderId="1" xfId="2" applyFont="1" applyFill="1" applyBorder="1" applyAlignment="1">
      <alignment horizontal="left" vertical="center" indent="3"/>
    </xf>
    <xf numFmtId="0" fontId="18" fillId="3" borderId="1" xfId="2" applyFont="1" applyFill="1" applyBorder="1" applyAlignment="1">
      <alignment horizontal="left" vertical="center"/>
    </xf>
    <xf numFmtId="0" fontId="19" fillId="3" borderId="1" xfId="2" applyFont="1" applyFill="1" applyBorder="1" applyAlignment="1">
      <alignment horizontal="left" vertical="center"/>
    </xf>
    <xf numFmtId="0" fontId="18" fillId="3" borderId="1" xfId="2" applyFont="1" applyFill="1" applyBorder="1" applyAlignment="1">
      <alignment horizontal="left" vertical="center" wrapText="1" indent="1"/>
    </xf>
    <xf numFmtId="0" fontId="18" fillId="3" borderId="1" xfId="2" applyFont="1" applyFill="1" applyBorder="1" applyAlignment="1">
      <alignment horizontal="left" vertical="center" indent="2"/>
    </xf>
    <xf numFmtId="0" fontId="20" fillId="3" borderId="1" xfId="2" applyFont="1" applyFill="1" applyBorder="1" applyAlignment="1">
      <alignment horizontal="left" vertical="center"/>
    </xf>
    <xf numFmtId="0" fontId="22" fillId="3" borderId="1" xfId="0" quotePrefix="1" applyFont="1" applyFill="1" applyBorder="1" applyAlignment="1">
      <alignment horizontal="right" readingOrder="2"/>
    </xf>
    <xf numFmtId="0" fontId="2" fillId="3" borderId="1" xfId="0" applyFont="1" applyFill="1" applyBorder="1" applyAlignment="1">
      <alignment horizontal="right" readingOrder="2"/>
    </xf>
    <xf numFmtId="0" fontId="23" fillId="3" borderId="1" xfId="0" quotePrefix="1" applyFont="1" applyFill="1" applyBorder="1" applyAlignment="1">
      <alignment horizontal="right" readingOrder="2"/>
    </xf>
    <xf numFmtId="0" fontId="23" fillId="3" borderId="1" xfId="0" applyFont="1" applyFill="1" applyBorder="1" applyAlignment="1">
      <alignment horizontal="right" readingOrder="2"/>
    </xf>
    <xf numFmtId="0" fontId="2" fillId="3" borderId="1" xfId="0" quotePrefix="1" applyFont="1" applyFill="1" applyBorder="1" applyAlignment="1">
      <alignment horizontal="right" readingOrder="2"/>
    </xf>
    <xf numFmtId="0" fontId="24" fillId="3" borderId="1" xfId="0" applyFont="1" applyFill="1" applyBorder="1" applyAlignment="1">
      <alignment horizontal="right" readingOrder="2"/>
    </xf>
    <xf numFmtId="0" fontId="25" fillId="3" borderId="1" xfId="0" applyFont="1" applyFill="1" applyBorder="1" applyAlignment="1">
      <alignment horizontal="right" readingOrder="2"/>
    </xf>
    <xf numFmtId="0" fontId="26" fillId="3" borderId="1" xfId="2" applyFont="1" applyFill="1" applyBorder="1" applyAlignment="1">
      <alignment horizontal="left" vertical="center"/>
    </xf>
    <xf numFmtId="0" fontId="27" fillId="3" borderId="1" xfId="2" applyFont="1" applyFill="1" applyBorder="1" applyAlignment="1">
      <alignment horizontal="left" vertical="center" indent="3"/>
    </xf>
    <xf numFmtId="0" fontId="28" fillId="3" borderId="0" xfId="2" applyFont="1" applyFill="1" applyBorder="1" applyAlignment="1">
      <alignment horizontal="left" vertical="center" indent="1"/>
    </xf>
    <xf numFmtId="0" fontId="0" fillId="0" borderId="0" xfId="0" applyBorder="1"/>
    <xf numFmtId="0" fontId="0" fillId="0" borderId="0" xfId="0" applyFill="1" applyBorder="1"/>
    <xf numFmtId="0" fontId="30" fillId="0" borderId="0" xfId="2" quotePrefix="1" applyFont="1" applyBorder="1" applyAlignment="1">
      <alignment horizontal="center" vertical="center"/>
    </xf>
    <xf numFmtId="0" fontId="0" fillId="0" borderId="0" xfId="0" applyBorder="1" applyAlignment="1"/>
    <xf numFmtId="164" fontId="0" fillId="0" borderId="0" xfId="0" applyNumberFormat="1" applyBorder="1"/>
    <xf numFmtId="164" fontId="6" fillId="0" borderId="0" xfId="0" applyNumberFormat="1" applyFont="1" applyBorder="1"/>
    <xf numFmtId="0" fontId="6" fillId="0" borderId="0" xfId="0" applyFont="1" applyBorder="1"/>
    <xf numFmtId="164" fontId="14" fillId="0" borderId="0" xfId="0" applyNumberFormat="1" applyFont="1" applyBorder="1"/>
    <xf numFmtId="0" fontId="14" fillId="0" borderId="0" xfId="0" applyFont="1" applyBorder="1"/>
    <xf numFmtId="0" fontId="9" fillId="0" borderId="0" xfId="0" applyFont="1" applyBorder="1"/>
    <xf numFmtId="164" fontId="9" fillId="0" borderId="0" xfId="0" applyNumberFormat="1" applyFont="1" applyBorder="1"/>
    <xf numFmtId="164" fontId="0" fillId="0" borderId="0" xfId="0" applyNumberFormat="1" applyBorder="1" applyAlignment="1">
      <alignment horizontal="center"/>
    </xf>
    <xf numFmtId="0" fontId="8" fillId="0" borderId="0" xfId="0" applyFont="1" applyBorder="1"/>
    <xf numFmtId="0" fontId="1" fillId="3" borderId="0" xfId="0" applyFont="1" applyFill="1" applyAlignment="1">
      <alignment readingOrder="1"/>
    </xf>
    <xf numFmtId="0" fontId="0" fillId="4" borderId="0" xfId="0" applyFill="1" applyBorder="1"/>
    <xf numFmtId="0" fontId="0" fillId="4" borderId="0" xfId="0" applyFill="1"/>
    <xf numFmtId="3" fontId="22" fillId="0" borderId="1" xfId="0" applyNumberFormat="1" applyFont="1" applyFill="1" applyBorder="1" applyAlignment="1">
      <alignment horizontal="center" readingOrder="1"/>
    </xf>
    <xf numFmtId="3" fontId="21" fillId="0" borderId="1" xfId="0" applyNumberFormat="1" applyFont="1" applyFill="1" applyBorder="1" applyAlignment="1">
      <alignment horizontal="center" readingOrder="1"/>
    </xf>
    <xf numFmtId="3" fontId="3" fillId="0" borderId="1" xfId="0" applyNumberFormat="1" applyFont="1" applyFill="1" applyBorder="1" applyAlignment="1">
      <alignment horizontal="center" readingOrder="1"/>
    </xf>
    <xf numFmtId="3" fontId="3" fillId="0" borderId="2" xfId="0" applyNumberFormat="1" applyFont="1" applyFill="1" applyBorder="1" applyAlignment="1">
      <alignment horizontal="center" readingOrder="1"/>
    </xf>
    <xf numFmtId="0" fontId="31" fillId="5" borderId="6" xfId="0" applyFont="1" applyFill="1" applyBorder="1" applyAlignment="1">
      <alignment horizontal="center"/>
    </xf>
    <xf numFmtId="0" fontId="31" fillId="5" borderId="7" xfId="0" applyFont="1" applyFill="1" applyBorder="1" applyAlignment="1">
      <alignment horizontal="center"/>
    </xf>
    <xf numFmtId="0" fontId="4" fillId="2" borderId="3" xfId="0" applyFont="1" applyFill="1" applyBorder="1" applyAlignment="1">
      <alignment horizontal="center" vertical="center" wrapText="1" readingOrder="1"/>
    </xf>
    <xf numFmtId="0" fontId="28" fillId="4" borderId="0" xfId="2" applyFont="1" applyFill="1" applyBorder="1" applyAlignment="1">
      <alignment horizontal="left" vertical="center" indent="1"/>
    </xf>
    <xf numFmtId="0" fontId="2" fillId="2" borderId="5" xfId="0" applyFont="1" applyFill="1" applyBorder="1" applyAlignment="1">
      <alignment horizontal="center" vertical="center" wrapText="1" readingOrder="1"/>
    </xf>
    <xf numFmtId="165" fontId="2" fillId="2" borderId="5" xfId="0" applyNumberFormat="1" applyFont="1" applyFill="1" applyBorder="1" applyAlignment="1">
      <alignment horizontal="center" vertical="center" wrapText="1" readingOrder="1"/>
    </xf>
    <xf numFmtId="3" fontId="15" fillId="0" borderId="1" xfId="0" applyNumberFormat="1" applyFont="1" applyFill="1" applyBorder="1" applyAlignment="1">
      <alignment horizontal="center" readingOrder="1"/>
    </xf>
    <xf numFmtId="0" fontId="5" fillId="0" borderId="0" xfId="0" applyFont="1" applyFill="1" applyBorder="1" applyAlignment="1">
      <alignment horizontal="center" vertical="center" readingOrder="1"/>
    </xf>
    <xf numFmtId="0" fontId="3" fillId="3" borderId="1" xfId="0" applyFont="1" applyFill="1" applyBorder="1" applyAlignment="1">
      <alignment horizontal="right" readingOrder="2"/>
    </xf>
    <xf numFmtId="0" fontId="32" fillId="3" borderId="1" xfId="0" quotePrefix="1" applyFont="1" applyFill="1" applyBorder="1" applyAlignment="1">
      <alignment horizontal="right" readingOrder="2"/>
    </xf>
    <xf numFmtId="0" fontId="33" fillId="3" borderId="1" xfId="2" applyFont="1" applyFill="1" applyBorder="1" applyAlignment="1">
      <alignment vertical="center"/>
    </xf>
    <xf numFmtId="0" fontId="20" fillId="3" borderId="1" xfId="2" applyFont="1" applyFill="1" applyBorder="1" applyAlignment="1">
      <alignment horizontal="left" vertical="center" wrapText="1" indent="1"/>
    </xf>
    <xf numFmtId="0" fontId="20" fillId="3" borderId="1" xfId="2" applyFont="1" applyFill="1" applyBorder="1" applyAlignment="1">
      <alignment horizontal="left" vertical="center" wrapText="1" indent="2"/>
    </xf>
    <xf numFmtId="0" fontId="20" fillId="3" borderId="1" xfId="2" applyFont="1" applyFill="1" applyBorder="1" applyAlignment="1">
      <alignment horizontal="left" vertical="center" indent="1"/>
    </xf>
    <xf numFmtId="0" fontId="15" fillId="3" borderId="0" xfId="0" quotePrefix="1" applyFont="1" applyFill="1" applyBorder="1" applyAlignment="1">
      <alignment horizontal="right" readingOrder="2"/>
    </xf>
    <xf numFmtId="0" fontId="18" fillId="3" borderId="0" xfId="2" applyFont="1" applyFill="1" applyBorder="1" applyAlignment="1">
      <alignment horizontal="left" vertical="center" indent="1"/>
    </xf>
    <xf numFmtId="0" fontId="15" fillId="3" borderId="8" xfId="0" quotePrefix="1" applyFont="1" applyFill="1" applyBorder="1" applyAlignment="1">
      <alignment horizontal="right" readingOrder="2"/>
    </xf>
    <xf numFmtId="0" fontId="18" fillId="3" borderId="8" xfId="2" applyFont="1" applyFill="1" applyBorder="1" applyAlignment="1">
      <alignment horizontal="left" vertical="center" indent="1"/>
    </xf>
    <xf numFmtId="3" fontId="22" fillId="0" borderId="9" xfId="0" applyNumberFormat="1" applyFont="1" applyFill="1" applyBorder="1" applyAlignment="1">
      <alignment horizontal="center" readingOrder="1"/>
    </xf>
    <xf numFmtId="0" fontId="14" fillId="0" borderId="1" xfId="0" applyFont="1" applyBorder="1"/>
    <xf numFmtId="0" fontId="34" fillId="0" borderId="1" xfId="0" applyFont="1" applyBorder="1" applyAlignment="1">
      <alignment horizontal="center"/>
    </xf>
    <xf numFmtId="0" fontId="7" fillId="0" borderId="0" xfId="0" applyFont="1" applyFill="1" applyBorder="1" applyAlignment="1">
      <alignment horizontal="center" vertical="center" readingOrder="1"/>
    </xf>
    <xf numFmtId="0" fontId="10" fillId="0" borderId="0" xfId="0" applyFont="1" applyFill="1" applyAlignment="1">
      <alignment horizontal="center" vertical="center" readingOrder="1"/>
    </xf>
    <xf numFmtId="0" fontId="5" fillId="0" borderId="0" xfId="0" applyFont="1" applyFill="1" applyBorder="1" applyAlignment="1">
      <alignment horizontal="center" vertical="center" readingOrder="1"/>
    </xf>
    <xf numFmtId="0" fontId="31" fillId="5" borderId="4" xfId="0" applyFont="1" applyFill="1" applyBorder="1" applyAlignment="1">
      <alignment horizontal="center"/>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52"/>
  <sheetViews>
    <sheetView tabSelected="1" topLeftCell="A4" zoomScale="75" zoomScaleNormal="75" zoomScaleSheetLayoutView="88" workbookViewId="0">
      <selection activeCell="B25" sqref="B25"/>
    </sheetView>
  </sheetViews>
  <sheetFormatPr defaultRowHeight="12.75"/>
  <cols>
    <col min="1" max="1" width="74.5703125" customWidth="1"/>
    <col min="2" max="2" width="100.5703125" style="1" customWidth="1"/>
    <col min="3" max="3" width="20.28515625" customWidth="1"/>
    <col min="4" max="4" width="19.42578125" customWidth="1"/>
    <col min="5" max="5" width="20.7109375" customWidth="1"/>
    <col min="6" max="6" width="19.42578125" customWidth="1"/>
    <col min="7" max="7" width="11.7109375" style="32" customWidth="1"/>
    <col min="8" max="8" width="12.85546875" style="32" bestFit="1" customWidth="1"/>
    <col min="9" max="9" width="11.140625" style="32" bestFit="1" customWidth="1"/>
    <col min="10" max="10" width="10.7109375" style="32" bestFit="1" customWidth="1"/>
    <col min="11" max="19" width="9.140625" style="32"/>
    <col min="25" max="25" width="9.28515625" bestFit="1" customWidth="1"/>
  </cols>
  <sheetData>
    <row r="1" spans="1:25" ht="15" hidden="1" customHeight="1"/>
    <row r="2" spans="1:25" ht="23.25" hidden="1">
      <c r="B2" s="73" t="s">
        <v>5</v>
      </c>
      <c r="C2" s="73"/>
      <c r="D2" s="73"/>
      <c r="E2" s="73"/>
      <c r="F2" s="73"/>
    </row>
    <row r="3" spans="1:25" ht="23.25" hidden="1">
      <c r="B3" s="74" t="s">
        <v>4</v>
      </c>
      <c r="C3" s="74"/>
      <c r="D3" s="74"/>
      <c r="E3" s="74"/>
      <c r="F3" s="74"/>
    </row>
    <row r="4" spans="1:25" s="5" customFormat="1" ht="45" customHeight="1">
      <c r="A4" s="75" t="s">
        <v>6</v>
      </c>
      <c r="B4" s="75"/>
      <c r="C4" s="75"/>
      <c r="D4" s="75"/>
      <c r="E4" s="75"/>
      <c r="F4" s="75"/>
      <c r="G4" s="33"/>
      <c r="H4" s="33"/>
      <c r="I4" s="33"/>
      <c r="J4" s="33"/>
      <c r="K4" s="33"/>
      <c r="L4" s="33"/>
      <c r="M4" s="33"/>
      <c r="N4" s="33"/>
      <c r="O4" s="33"/>
      <c r="P4" s="33"/>
      <c r="Q4" s="33"/>
      <c r="R4" s="33"/>
      <c r="S4" s="33"/>
    </row>
    <row r="5" spans="1:25" s="5" customFormat="1" ht="45" customHeight="1" thickBot="1">
      <c r="A5" s="59"/>
      <c r="B5" s="59"/>
      <c r="C5" s="59"/>
      <c r="D5" s="59"/>
      <c r="E5" s="59"/>
      <c r="F5" s="34" t="s">
        <v>67</v>
      </c>
      <c r="G5" s="34"/>
      <c r="H5" s="34"/>
      <c r="I5" s="34"/>
      <c r="J5" s="34"/>
      <c r="K5" s="34"/>
      <c r="L5" s="33"/>
      <c r="M5" s="33"/>
      <c r="N5" s="33"/>
      <c r="O5" s="33"/>
      <c r="P5" s="33"/>
      <c r="Q5" s="33"/>
      <c r="R5" s="33"/>
      <c r="S5" s="33"/>
    </row>
    <row r="6" spans="1:25" ht="25.5" customHeight="1" thickTop="1" thickBot="1">
      <c r="A6" s="76" t="s">
        <v>70</v>
      </c>
      <c r="B6" s="76"/>
      <c r="C6" s="54" t="s">
        <v>0</v>
      </c>
      <c r="D6" s="54" t="s">
        <v>1</v>
      </c>
      <c r="E6" s="54" t="s">
        <v>2</v>
      </c>
      <c r="F6" s="54" t="s">
        <v>3</v>
      </c>
      <c r="I6" s="35"/>
    </row>
    <row r="7" spans="1:25" ht="36" customHeight="1" thickTop="1" thickBot="1">
      <c r="A7" s="52"/>
      <c r="B7" s="53"/>
      <c r="C7" s="56" t="s">
        <v>84</v>
      </c>
      <c r="D7" s="56" t="s">
        <v>85</v>
      </c>
      <c r="E7" s="57" t="s">
        <v>86</v>
      </c>
      <c r="F7" s="56" t="s">
        <v>87</v>
      </c>
    </row>
    <row r="8" spans="1:25" ht="20.100000000000001" customHeight="1" thickTop="1">
      <c r="A8" s="28" t="s">
        <v>35</v>
      </c>
      <c r="B8" s="29" t="s">
        <v>7</v>
      </c>
      <c r="C8" s="70">
        <f>C9+C34+C37-C40</f>
        <v>1838558</v>
      </c>
      <c r="D8" s="70">
        <f t="shared" ref="D8:F8" si="0">D9+D34+D37-D40</f>
        <v>1924739</v>
      </c>
      <c r="E8" s="70">
        <f t="shared" si="0"/>
        <v>2016465</v>
      </c>
      <c r="F8" s="70">
        <f t="shared" si="0"/>
        <v>2116343</v>
      </c>
      <c r="G8" s="36"/>
      <c r="P8" s="36"/>
      <c r="Q8" s="36"/>
      <c r="R8" s="36"/>
      <c r="S8" s="36"/>
      <c r="T8" s="4"/>
      <c r="U8" s="4"/>
      <c r="V8" s="4"/>
      <c r="W8" s="4"/>
      <c r="X8" s="4"/>
      <c r="Y8" s="4"/>
    </row>
    <row r="9" spans="1:25" s="8" customFormat="1" ht="20.100000000000001" customHeight="1">
      <c r="A9" s="26" t="s">
        <v>71</v>
      </c>
      <c r="B9" s="21" t="s">
        <v>8</v>
      </c>
      <c r="C9" s="48">
        <f>C10+C29+C30+C31+C32</f>
        <v>1614764</v>
      </c>
      <c r="D9" s="48">
        <f t="shared" ref="D9:F9" si="1">D10+D29+D30+D31+D32</f>
        <v>1691837</v>
      </c>
      <c r="E9" s="48">
        <f t="shared" si="1"/>
        <v>1780521</v>
      </c>
      <c r="F9" s="48">
        <f t="shared" si="1"/>
        <v>1871332</v>
      </c>
      <c r="G9" s="37"/>
      <c r="H9" s="37"/>
      <c r="I9" s="38"/>
      <c r="J9" s="38"/>
      <c r="K9" s="38"/>
      <c r="L9" s="38"/>
      <c r="M9" s="38"/>
      <c r="N9" s="38"/>
      <c r="O9" s="38"/>
      <c r="P9" s="37"/>
      <c r="Q9" s="37"/>
      <c r="R9" s="37"/>
      <c r="S9" s="37"/>
      <c r="T9" s="9"/>
      <c r="U9" s="9"/>
      <c r="V9" s="9"/>
      <c r="W9" s="9"/>
      <c r="X9" s="9"/>
      <c r="Y9" s="9"/>
    </row>
    <row r="10" spans="1:25" s="7" customFormat="1" ht="20.100000000000001" customHeight="1">
      <c r="A10" s="27" t="s">
        <v>36</v>
      </c>
      <c r="B10" s="18" t="s">
        <v>9</v>
      </c>
      <c r="C10" s="49">
        <f>C11+C25</f>
        <v>1504700</v>
      </c>
      <c r="D10" s="49">
        <f t="shared" ref="D10:F10" si="2">D11+D25</f>
        <v>1642549</v>
      </c>
      <c r="E10" s="49">
        <f t="shared" si="2"/>
        <v>1697437</v>
      </c>
      <c r="F10" s="49">
        <f t="shared" si="2"/>
        <v>1722165</v>
      </c>
      <c r="G10" s="39"/>
      <c r="H10" s="40"/>
      <c r="I10" s="40"/>
      <c r="J10" s="40"/>
      <c r="K10" s="40"/>
      <c r="L10" s="40"/>
      <c r="M10" s="40"/>
      <c r="N10" s="40"/>
      <c r="O10" s="40"/>
      <c r="P10" s="39"/>
      <c r="Q10" s="39"/>
      <c r="R10" s="39"/>
      <c r="S10" s="39"/>
      <c r="T10" s="6"/>
      <c r="U10" s="6"/>
      <c r="V10" s="6"/>
      <c r="W10" s="6"/>
      <c r="X10" s="6"/>
      <c r="Y10" s="6"/>
    </row>
    <row r="11" spans="1:25" s="7" customFormat="1" ht="20.100000000000001" customHeight="1">
      <c r="A11" s="27" t="s">
        <v>88</v>
      </c>
      <c r="B11" s="21" t="s">
        <v>89</v>
      </c>
      <c r="C11" s="49">
        <f>SUM(C12:C24)</f>
        <v>963191</v>
      </c>
      <c r="D11" s="49">
        <f>SUM(D12:D24)</f>
        <v>1086196</v>
      </c>
      <c r="E11" s="49">
        <f>SUM(E12:E24)</f>
        <v>1124694</v>
      </c>
      <c r="F11" s="49">
        <f>SUM(F12:F24)</f>
        <v>1125969</v>
      </c>
      <c r="G11" s="39"/>
      <c r="H11" s="40"/>
      <c r="I11" s="40"/>
      <c r="J11" s="40"/>
      <c r="K11" s="40"/>
      <c r="L11" s="40"/>
      <c r="M11" s="40"/>
      <c r="N11" s="40"/>
      <c r="O11" s="40"/>
      <c r="P11" s="39"/>
      <c r="Q11" s="39"/>
      <c r="R11" s="39"/>
      <c r="S11" s="39"/>
      <c r="T11" s="6"/>
      <c r="U11" s="6"/>
      <c r="V11" s="6"/>
      <c r="W11" s="6"/>
      <c r="X11" s="6"/>
      <c r="Y11" s="6"/>
    </row>
    <row r="12" spans="1:25" s="7" customFormat="1" ht="20.100000000000001" customHeight="1">
      <c r="A12" s="11" t="s">
        <v>37</v>
      </c>
      <c r="B12" s="15" t="s">
        <v>10</v>
      </c>
      <c r="C12" s="50">
        <v>210330</v>
      </c>
      <c r="D12" s="50">
        <v>300330</v>
      </c>
      <c r="E12" s="50">
        <v>290330</v>
      </c>
      <c r="F12" s="50">
        <v>240330</v>
      </c>
      <c r="G12" s="40"/>
      <c r="H12" s="39"/>
      <c r="I12" s="40"/>
      <c r="J12" s="40"/>
      <c r="K12" s="40"/>
      <c r="L12" s="40"/>
      <c r="M12" s="40"/>
      <c r="N12" s="40"/>
      <c r="O12" s="40"/>
      <c r="P12" s="39"/>
      <c r="Q12" s="39"/>
      <c r="R12" s="39"/>
      <c r="S12" s="39"/>
      <c r="T12" s="6"/>
      <c r="U12" s="6"/>
      <c r="V12" s="6"/>
      <c r="W12" s="6"/>
      <c r="X12" s="6"/>
      <c r="Y12" s="6"/>
    </row>
    <row r="13" spans="1:25" s="8" customFormat="1" ht="20.100000000000001" customHeight="1">
      <c r="A13" s="24" t="s">
        <v>38</v>
      </c>
      <c r="B13" s="15" t="s">
        <v>11</v>
      </c>
      <c r="C13" s="50">
        <v>21390</v>
      </c>
      <c r="D13" s="50">
        <v>21390</v>
      </c>
      <c r="E13" s="50">
        <v>22560</v>
      </c>
      <c r="F13" s="50">
        <v>22560</v>
      </c>
      <c r="G13" s="38"/>
      <c r="H13" s="37"/>
      <c r="I13" s="38"/>
      <c r="J13" s="38"/>
      <c r="K13" s="38"/>
      <c r="L13" s="38"/>
      <c r="M13" s="38"/>
      <c r="N13" s="38"/>
      <c r="O13" s="38"/>
      <c r="P13" s="37"/>
      <c r="Q13" s="37"/>
      <c r="R13" s="37"/>
      <c r="S13" s="37"/>
      <c r="T13" s="9"/>
      <c r="U13" s="9"/>
      <c r="V13" s="9"/>
      <c r="W13" s="9"/>
      <c r="X13" s="9"/>
      <c r="Y13" s="9"/>
    </row>
    <row r="14" spans="1:25" s="7" customFormat="1" ht="20.100000000000001" customHeight="1">
      <c r="A14" s="12" t="s">
        <v>78</v>
      </c>
      <c r="B14" s="15" t="s">
        <v>79</v>
      </c>
      <c r="C14" s="72">
        <v>0</v>
      </c>
      <c r="D14" s="72">
        <v>0</v>
      </c>
      <c r="E14" s="72">
        <v>0</v>
      </c>
      <c r="F14" s="72">
        <v>0</v>
      </c>
      <c r="G14" s="40"/>
      <c r="H14" s="37"/>
      <c r="I14" s="40"/>
      <c r="J14" s="40"/>
      <c r="K14" s="40"/>
      <c r="L14" s="40"/>
      <c r="M14" s="40"/>
      <c r="N14" s="40"/>
      <c r="O14" s="40"/>
      <c r="P14" s="39"/>
      <c r="Q14" s="39"/>
      <c r="R14" s="39"/>
      <c r="S14" s="39"/>
      <c r="T14" s="6"/>
      <c r="U14" s="6"/>
      <c r="V14" s="6"/>
      <c r="W14" s="6"/>
      <c r="X14" s="6"/>
      <c r="Y14" s="6"/>
    </row>
    <row r="15" spans="1:25" s="7" customFormat="1" ht="20.100000000000001" customHeight="1">
      <c r="A15" s="25" t="s">
        <v>39</v>
      </c>
      <c r="B15" s="16" t="s">
        <v>72</v>
      </c>
      <c r="C15" s="71"/>
      <c r="D15" s="71"/>
      <c r="E15" s="71"/>
      <c r="F15" s="71"/>
      <c r="G15" s="40"/>
      <c r="H15" s="37"/>
      <c r="I15" s="40"/>
      <c r="J15" s="40"/>
      <c r="K15" s="40"/>
      <c r="L15" s="40"/>
      <c r="M15" s="40"/>
      <c r="N15" s="40"/>
      <c r="O15" s="40"/>
      <c r="P15" s="39"/>
      <c r="Q15" s="39"/>
      <c r="R15" s="39"/>
      <c r="S15" s="39"/>
      <c r="T15" s="6"/>
      <c r="U15" s="6"/>
      <c r="V15" s="6"/>
      <c r="W15" s="6"/>
      <c r="X15" s="6"/>
      <c r="Y15" s="6"/>
    </row>
    <row r="16" spans="1:25" ht="20.100000000000001" customHeight="1">
      <c r="A16" s="25" t="s">
        <v>40</v>
      </c>
      <c r="B16" s="16" t="s">
        <v>12</v>
      </c>
      <c r="C16" s="50">
        <v>6069</v>
      </c>
      <c r="D16" s="50">
        <v>4742</v>
      </c>
      <c r="E16" s="50">
        <v>5072</v>
      </c>
      <c r="F16" s="50">
        <v>6108</v>
      </c>
      <c r="P16" s="36"/>
      <c r="Q16" s="36"/>
      <c r="R16" s="36"/>
      <c r="S16" s="36"/>
      <c r="T16" s="4"/>
      <c r="U16" s="4"/>
      <c r="V16" s="4"/>
      <c r="W16" s="4"/>
      <c r="X16" s="4"/>
      <c r="Y16" s="4"/>
    </row>
    <row r="17" spans="1:25" ht="20.100000000000001" customHeight="1">
      <c r="A17" s="13" t="s">
        <v>41</v>
      </c>
      <c r="B17" s="16" t="s">
        <v>13</v>
      </c>
      <c r="C17" s="50">
        <v>0</v>
      </c>
      <c r="D17" s="50">
        <v>0</v>
      </c>
      <c r="E17" s="50">
        <v>0</v>
      </c>
      <c r="F17" s="50">
        <v>0</v>
      </c>
      <c r="P17" s="36"/>
      <c r="Q17" s="36"/>
      <c r="R17" s="36"/>
      <c r="S17" s="36"/>
      <c r="T17" s="4"/>
      <c r="U17" s="4"/>
      <c r="V17" s="4"/>
      <c r="W17" s="4"/>
      <c r="X17" s="4"/>
      <c r="Y17" s="4"/>
    </row>
    <row r="18" spans="1:25" ht="20.100000000000001" customHeight="1">
      <c r="A18" s="14" t="s">
        <v>42</v>
      </c>
      <c r="B18" s="17" t="s">
        <v>14</v>
      </c>
      <c r="C18" s="50">
        <v>471454</v>
      </c>
      <c r="D18" s="50">
        <v>505939</v>
      </c>
      <c r="E18" s="50">
        <v>546590</v>
      </c>
      <c r="F18" s="50">
        <v>596940</v>
      </c>
      <c r="I18" s="36"/>
      <c r="P18" s="36"/>
      <c r="Q18" s="36"/>
      <c r="R18" s="36"/>
      <c r="S18" s="36"/>
      <c r="T18" s="4"/>
      <c r="U18" s="4"/>
      <c r="V18" s="4"/>
      <c r="W18" s="4"/>
      <c r="X18" s="4"/>
      <c r="Y18" s="4"/>
    </row>
    <row r="19" spans="1:25" s="3" customFormat="1" ht="20.100000000000001" customHeight="1">
      <c r="A19" s="13" t="s">
        <v>43</v>
      </c>
      <c r="B19" s="17" t="s">
        <v>15</v>
      </c>
      <c r="C19" s="50">
        <v>2000</v>
      </c>
      <c r="D19" s="50">
        <v>2000</v>
      </c>
      <c r="E19" s="50">
        <v>2000</v>
      </c>
      <c r="F19" s="50">
        <v>2000</v>
      </c>
      <c r="G19" s="41"/>
      <c r="H19" s="41"/>
      <c r="I19" s="42"/>
      <c r="J19" s="42"/>
      <c r="K19" s="41"/>
      <c r="L19" s="41"/>
      <c r="M19" s="41"/>
      <c r="N19" s="41"/>
      <c r="O19" s="41"/>
      <c r="P19" s="36"/>
      <c r="Q19" s="36"/>
      <c r="R19" s="36"/>
      <c r="S19" s="36"/>
      <c r="T19" s="4"/>
      <c r="U19" s="4"/>
      <c r="V19" s="4"/>
      <c r="W19" s="4"/>
      <c r="X19" s="4"/>
      <c r="Y19" s="4"/>
    </row>
    <row r="20" spans="1:25" ht="20.100000000000001" customHeight="1">
      <c r="A20" s="13" t="s">
        <v>44</v>
      </c>
      <c r="B20" s="17" t="s">
        <v>16</v>
      </c>
      <c r="C20" s="50">
        <v>101</v>
      </c>
      <c r="D20" s="50">
        <v>92</v>
      </c>
      <c r="E20" s="50">
        <v>92</v>
      </c>
      <c r="F20" s="50">
        <v>92</v>
      </c>
      <c r="H20" s="43"/>
      <c r="I20" s="36"/>
      <c r="P20" s="36"/>
      <c r="Q20" s="36"/>
      <c r="R20" s="36"/>
      <c r="S20" s="36"/>
      <c r="T20" s="4"/>
      <c r="U20" s="4"/>
      <c r="V20" s="4"/>
      <c r="W20" s="4"/>
      <c r="X20" s="4"/>
      <c r="Y20" s="4"/>
    </row>
    <row r="21" spans="1:25" ht="19.5" customHeight="1">
      <c r="A21" s="13" t="s">
        <v>63</v>
      </c>
      <c r="B21" s="17" t="s">
        <v>17</v>
      </c>
      <c r="C21" s="50">
        <v>0</v>
      </c>
      <c r="D21" s="50">
        <v>0</v>
      </c>
      <c r="E21" s="50">
        <v>0</v>
      </c>
      <c r="F21" s="50">
        <v>0</v>
      </c>
      <c r="J21" s="36"/>
      <c r="P21" s="36"/>
      <c r="Q21" s="36"/>
      <c r="R21" s="36"/>
      <c r="S21" s="36"/>
      <c r="T21" s="4"/>
      <c r="U21" s="4"/>
      <c r="V21" s="4"/>
      <c r="W21" s="4"/>
      <c r="X21" s="4"/>
      <c r="Y21" s="4"/>
    </row>
    <row r="22" spans="1:25" ht="20.100000000000001" customHeight="1">
      <c r="A22" s="13" t="s">
        <v>45</v>
      </c>
      <c r="B22" s="17" t="s">
        <v>18</v>
      </c>
      <c r="C22" s="50">
        <v>2051</v>
      </c>
      <c r="D22" s="50">
        <v>2068</v>
      </c>
      <c r="E22" s="50">
        <v>2075</v>
      </c>
      <c r="F22" s="50">
        <v>2124</v>
      </c>
      <c r="H22" s="36"/>
      <c r="P22" s="36"/>
      <c r="Q22" s="36"/>
      <c r="R22" s="36"/>
      <c r="S22" s="36"/>
      <c r="T22" s="4"/>
      <c r="U22" s="4"/>
      <c r="V22" s="4"/>
      <c r="W22" s="4"/>
      <c r="X22" s="4"/>
      <c r="Y22" s="4"/>
    </row>
    <row r="23" spans="1:25" ht="20.100000000000001" customHeight="1">
      <c r="A23" s="13" t="s">
        <v>46</v>
      </c>
      <c r="B23" s="17" t="s">
        <v>19</v>
      </c>
      <c r="C23" s="50">
        <v>248032</v>
      </c>
      <c r="D23" s="50">
        <v>248032</v>
      </c>
      <c r="E23" s="50">
        <v>254532</v>
      </c>
      <c r="F23" s="50">
        <v>254532</v>
      </c>
      <c r="P23" s="36"/>
      <c r="Q23" s="36"/>
      <c r="R23" s="36"/>
      <c r="S23" s="36"/>
      <c r="T23" s="4"/>
      <c r="U23" s="4"/>
      <c r="V23" s="4"/>
      <c r="W23" s="4"/>
      <c r="X23" s="4"/>
      <c r="Y23" s="4"/>
    </row>
    <row r="24" spans="1:25" ht="20.100000000000001" customHeight="1">
      <c r="A24" s="60" t="s">
        <v>47</v>
      </c>
      <c r="B24" s="17" t="s">
        <v>20</v>
      </c>
      <c r="C24" s="58">
        <v>1764</v>
      </c>
      <c r="D24" s="58">
        <v>1603</v>
      </c>
      <c r="E24" s="58">
        <v>1443</v>
      </c>
      <c r="F24" s="58">
        <v>1283</v>
      </c>
      <c r="H24" s="36"/>
      <c r="P24" s="36"/>
      <c r="Q24" s="36"/>
      <c r="R24" s="36"/>
      <c r="S24" s="36"/>
      <c r="T24" s="4"/>
      <c r="U24" s="4"/>
      <c r="V24" s="4"/>
      <c r="W24" s="4"/>
      <c r="X24" s="4"/>
      <c r="Y24" s="4"/>
    </row>
    <row r="25" spans="1:25" ht="20.100000000000001" customHeight="1">
      <c r="A25" s="61" t="s">
        <v>48</v>
      </c>
      <c r="B25" s="62" t="s">
        <v>21</v>
      </c>
      <c r="C25" s="48">
        <v>541509</v>
      </c>
      <c r="D25" s="48">
        <v>556353</v>
      </c>
      <c r="E25" s="48">
        <v>572743</v>
      </c>
      <c r="F25" s="48">
        <v>596196</v>
      </c>
      <c r="K25" s="36"/>
      <c r="P25" s="36"/>
      <c r="Q25" s="36"/>
      <c r="R25" s="36"/>
      <c r="S25" s="36"/>
      <c r="T25" s="4"/>
      <c r="U25" s="4"/>
      <c r="V25" s="4"/>
      <c r="W25" s="4"/>
      <c r="X25" s="4"/>
      <c r="Y25" s="4"/>
    </row>
    <row r="26" spans="1:25" ht="20.100000000000001" customHeight="1">
      <c r="A26" s="13" t="s">
        <v>49</v>
      </c>
      <c r="B26" s="30" t="s">
        <v>13</v>
      </c>
      <c r="C26" s="50">
        <v>478546</v>
      </c>
      <c r="D26" s="50">
        <v>493590</v>
      </c>
      <c r="E26" s="50">
        <v>508442</v>
      </c>
      <c r="F26" s="50">
        <v>531543</v>
      </c>
      <c r="J26" s="36"/>
      <c r="P26" s="36"/>
      <c r="Q26" s="36"/>
      <c r="R26" s="36"/>
      <c r="S26" s="36"/>
      <c r="T26" s="4"/>
      <c r="U26" s="4"/>
      <c r="V26" s="4"/>
      <c r="W26" s="4"/>
      <c r="X26" s="4"/>
      <c r="Y26" s="4"/>
    </row>
    <row r="27" spans="1:25" ht="20.100000000000001" customHeight="1">
      <c r="A27" s="13" t="s">
        <v>50</v>
      </c>
      <c r="B27" s="30" t="s">
        <v>12</v>
      </c>
      <c r="C27" s="58">
        <v>51166</v>
      </c>
      <c r="D27" s="58">
        <v>51000</v>
      </c>
      <c r="E27" s="58">
        <v>53185</v>
      </c>
      <c r="F27" s="58">
        <v>53307</v>
      </c>
      <c r="H27" s="36"/>
      <c r="P27" s="36"/>
      <c r="Q27" s="36"/>
      <c r="R27" s="36"/>
      <c r="S27" s="36"/>
      <c r="T27" s="4"/>
      <c r="U27" s="4"/>
      <c r="V27" s="4"/>
      <c r="W27" s="4"/>
      <c r="X27" s="4"/>
      <c r="Y27" s="4"/>
    </row>
    <row r="28" spans="1:25" s="2" customFormat="1" ht="20.100000000000001" customHeight="1">
      <c r="A28" s="10" t="s">
        <v>51</v>
      </c>
      <c r="B28" s="30" t="s">
        <v>22</v>
      </c>
      <c r="C28" s="58">
        <v>11797</v>
      </c>
      <c r="D28" s="58">
        <v>11763</v>
      </c>
      <c r="E28" s="58">
        <v>11116</v>
      </c>
      <c r="F28" s="58">
        <v>11346</v>
      </c>
      <c r="G28" s="44"/>
      <c r="H28" s="44"/>
      <c r="I28" s="44"/>
      <c r="J28" s="44"/>
      <c r="K28" s="44"/>
      <c r="L28" s="44"/>
      <c r="M28" s="44"/>
      <c r="N28" s="44"/>
      <c r="O28" s="44"/>
      <c r="P28" s="36"/>
      <c r="Q28" s="36"/>
      <c r="R28" s="36"/>
      <c r="S28" s="36"/>
      <c r="T28" s="4"/>
      <c r="U28" s="4"/>
      <c r="V28" s="4"/>
      <c r="W28" s="4"/>
      <c r="X28" s="4"/>
      <c r="Y28" s="4"/>
    </row>
    <row r="29" spans="1:25" ht="20.100000000000001" customHeight="1">
      <c r="A29" s="22" t="s">
        <v>52</v>
      </c>
      <c r="B29" s="21" t="s">
        <v>23</v>
      </c>
      <c r="C29" s="48">
        <v>12478</v>
      </c>
      <c r="D29" s="48">
        <v>9269</v>
      </c>
      <c r="E29" s="48">
        <v>6392</v>
      </c>
      <c r="F29" s="48">
        <v>5640</v>
      </c>
      <c r="P29" s="36"/>
      <c r="Q29" s="36"/>
      <c r="R29" s="36"/>
      <c r="S29" s="36"/>
      <c r="T29" s="4"/>
      <c r="U29" s="4"/>
      <c r="V29" s="4"/>
      <c r="W29" s="4"/>
      <c r="X29" s="4"/>
      <c r="Y29" s="4"/>
    </row>
    <row r="30" spans="1:25" ht="21" customHeight="1">
      <c r="A30" s="22" t="s">
        <v>53</v>
      </c>
      <c r="B30" s="21" t="s">
        <v>24</v>
      </c>
      <c r="C30" s="48">
        <v>1225</v>
      </c>
      <c r="D30" s="48">
        <v>925</v>
      </c>
      <c r="E30" s="48">
        <v>450</v>
      </c>
      <c r="F30" s="48">
        <v>450</v>
      </c>
      <c r="I30" s="36"/>
      <c r="P30" s="36"/>
      <c r="Q30" s="36"/>
      <c r="R30" s="36"/>
      <c r="S30" s="36"/>
      <c r="T30" s="4"/>
      <c r="U30" s="4"/>
      <c r="V30" s="4"/>
      <c r="W30" s="4"/>
      <c r="X30" s="4"/>
      <c r="Y30" s="4"/>
    </row>
    <row r="31" spans="1:25" ht="20.100000000000001" customHeight="1">
      <c r="A31" s="23" t="s">
        <v>80</v>
      </c>
      <c r="B31" s="21" t="s">
        <v>81</v>
      </c>
      <c r="C31" s="48">
        <v>2353</v>
      </c>
      <c r="D31" s="48">
        <v>2331</v>
      </c>
      <c r="E31" s="48">
        <v>2436</v>
      </c>
      <c r="F31" s="48">
        <v>2207</v>
      </c>
      <c r="P31" s="36"/>
      <c r="Q31" s="36"/>
      <c r="R31" s="36"/>
      <c r="S31" s="36"/>
      <c r="T31" s="4"/>
      <c r="U31" s="4"/>
      <c r="V31" s="4"/>
      <c r="W31" s="4"/>
      <c r="X31" s="4"/>
      <c r="Y31" s="4"/>
    </row>
    <row r="32" spans="1:25" ht="20.100000000000001" customHeight="1">
      <c r="A32" s="23" t="s">
        <v>54</v>
      </c>
      <c r="B32" s="21" t="s">
        <v>25</v>
      </c>
      <c r="C32" s="48">
        <v>94008</v>
      </c>
      <c r="D32" s="48">
        <v>36763</v>
      </c>
      <c r="E32" s="48">
        <v>73806</v>
      </c>
      <c r="F32" s="48">
        <v>140870</v>
      </c>
      <c r="P32" s="36"/>
      <c r="Q32" s="36"/>
      <c r="R32" s="36"/>
      <c r="S32" s="36"/>
      <c r="T32" s="4"/>
      <c r="U32" s="4"/>
      <c r="V32" s="4"/>
      <c r="W32" s="4"/>
      <c r="X32" s="4"/>
      <c r="Y32" s="4"/>
    </row>
    <row r="33" spans="1:25" ht="20.100000000000001" customHeight="1">
      <c r="A33" s="23" t="s">
        <v>82</v>
      </c>
      <c r="B33" s="21" t="s">
        <v>83</v>
      </c>
      <c r="C33" s="48">
        <v>0</v>
      </c>
      <c r="D33" s="48">
        <v>0</v>
      </c>
      <c r="E33" s="48">
        <v>0</v>
      </c>
      <c r="F33" s="48">
        <v>0</v>
      </c>
      <c r="H33" s="36"/>
      <c r="P33" s="36"/>
      <c r="Q33" s="36"/>
      <c r="R33" s="36"/>
      <c r="S33" s="36"/>
      <c r="T33" s="4"/>
      <c r="U33" s="4"/>
      <c r="V33" s="4"/>
      <c r="W33" s="4"/>
      <c r="X33" s="4"/>
      <c r="Y33" s="4"/>
    </row>
    <row r="34" spans="1:25" ht="23.25" customHeight="1">
      <c r="A34" s="22" t="s">
        <v>55</v>
      </c>
      <c r="B34" s="63" t="s">
        <v>26</v>
      </c>
      <c r="C34" s="48">
        <v>932</v>
      </c>
      <c r="D34" s="48">
        <v>6552</v>
      </c>
      <c r="E34" s="48">
        <v>6128</v>
      </c>
      <c r="F34" s="48">
        <v>11064</v>
      </c>
      <c r="G34" s="36"/>
      <c r="P34" s="36"/>
      <c r="Q34" s="36"/>
      <c r="R34" s="36"/>
      <c r="S34" s="36"/>
      <c r="T34" s="4"/>
      <c r="U34" s="4"/>
      <c r="V34" s="4"/>
      <c r="W34" s="4"/>
      <c r="X34" s="4"/>
      <c r="Y34" s="4"/>
    </row>
    <row r="35" spans="1:25" ht="21.75" customHeight="1">
      <c r="A35" s="10" t="s">
        <v>56</v>
      </c>
      <c r="B35" s="19" t="s">
        <v>27</v>
      </c>
      <c r="C35" s="50">
        <v>-52525</v>
      </c>
      <c r="D35" s="50">
        <v>-46657</v>
      </c>
      <c r="E35" s="50">
        <v>-46914</v>
      </c>
      <c r="F35" s="50">
        <v>-41524</v>
      </c>
      <c r="G35" s="36"/>
      <c r="P35" s="36"/>
      <c r="Q35" s="36"/>
      <c r="R35" s="36"/>
      <c r="S35" s="36"/>
      <c r="T35" s="4"/>
      <c r="U35" s="4"/>
      <c r="V35" s="4"/>
      <c r="W35" s="4"/>
      <c r="X35" s="4"/>
      <c r="Y35" s="4"/>
    </row>
    <row r="36" spans="1:25" ht="20.100000000000001" customHeight="1">
      <c r="A36" s="60" t="s">
        <v>73</v>
      </c>
      <c r="B36" s="17" t="s">
        <v>74</v>
      </c>
      <c r="C36" s="50">
        <v>53457</v>
      </c>
      <c r="D36" s="50">
        <v>53209</v>
      </c>
      <c r="E36" s="50">
        <v>53042</v>
      </c>
      <c r="F36" s="50">
        <v>52588</v>
      </c>
      <c r="P36" s="36"/>
      <c r="Q36" s="36"/>
      <c r="R36" s="36"/>
      <c r="S36" s="36"/>
      <c r="T36" s="4"/>
      <c r="U36" s="4"/>
      <c r="V36" s="4"/>
      <c r="W36" s="4"/>
      <c r="X36" s="4"/>
      <c r="Y36" s="4"/>
    </row>
    <row r="37" spans="1:25" ht="19.5" customHeight="1">
      <c r="A37" s="22" t="s">
        <v>57</v>
      </c>
      <c r="B37" s="64" t="s">
        <v>28</v>
      </c>
      <c r="C37" s="48">
        <v>284779</v>
      </c>
      <c r="D37" s="48">
        <v>286995</v>
      </c>
      <c r="E37" s="48">
        <v>290055</v>
      </c>
      <c r="F37" s="48">
        <v>293900</v>
      </c>
    </row>
    <row r="38" spans="1:25" ht="24" customHeight="1">
      <c r="A38" s="10" t="s">
        <v>58</v>
      </c>
      <c r="B38" s="20" t="s">
        <v>29</v>
      </c>
      <c r="C38" s="50">
        <v>285969</v>
      </c>
      <c r="D38" s="50">
        <v>289138</v>
      </c>
      <c r="E38" s="50">
        <v>292666</v>
      </c>
      <c r="F38" s="50">
        <v>295337</v>
      </c>
    </row>
    <row r="39" spans="1:25" ht="20.25" customHeight="1">
      <c r="A39" s="60" t="s">
        <v>59</v>
      </c>
      <c r="B39" s="17" t="s">
        <v>30</v>
      </c>
      <c r="C39" s="50">
        <v>1190</v>
      </c>
      <c r="D39" s="50">
        <v>2143</v>
      </c>
      <c r="E39" s="50">
        <v>2611</v>
      </c>
      <c r="F39" s="50">
        <v>1437</v>
      </c>
    </row>
    <row r="40" spans="1:25" ht="26.25" customHeight="1">
      <c r="A40" s="22" t="s">
        <v>60</v>
      </c>
      <c r="B40" s="65" t="s">
        <v>31</v>
      </c>
      <c r="C40" s="48">
        <f>C41+C43</f>
        <v>61917</v>
      </c>
      <c r="D40" s="48">
        <f t="shared" ref="D40:F40" si="3">D41+D43</f>
        <v>60645</v>
      </c>
      <c r="E40" s="48">
        <f t="shared" si="3"/>
        <v>60239</v>
      </c>
      <c r="F40" s="48">
        <f t="shared" si="3"/>
        <v>59953</v>
      </c>
    </row>
    <row r="41" spans="1:25" ht="25.5" customHeight="1">
      <c r="A41" s="10" t="s">
        <v>61</v>
      </c>
      <c r="B41" s="15" t="s">
        <v>32</v>
      </c>
      <c r="C41" s="50">
        <v>8460</v>
      </c>
      <c r="D41" s="50">
        <v>7436</v>
      </c>
      <c r="E41" s="50">
        <v>7197</v>
      </c>
      <c r="F41" s="50">
        <v>7365</v>
      </c>
    </row>
    <row r="42" spans="1:25" ht="24.75" customHeight="1">
      <c r="A42" s="66" t="s">
        <v>64</v>
      </c>
      <c r="B42" s="67" t="s">
        <v>33</v>
      </c>
      <c r="C42" s="50">
        <v>0</v>
      </c>
      <c r="D42" s="50">
        <v>0</v>
      </c>
      <c r="E42" s="50">
        <v>0</v>
      </c>
      <c r="F42" s="50">
        <v>0</v>
      </c>
    </row>
    <row r="43" spans="1:25" s="47" customFormat="1" ht="24.75" customHeight="1">
      <c r="A43" s="68" t="s">
        <v>62</v>
      </c>
      <c r="B43" s="69" t="s">
        <v>34</v>
      </c>
      <c r="C43" s="51">
        <v>53457</v>
      </c>
      <c r="D43" s="51">
        <v>53209</v>
      </c>
      <c r="E43" s="51">
        <v>53042</v>
      </c>
      <c r="F43" s="51">
        <v>52588</v>
      </c>
      <c r="G43" s="46"/>
      <c r="H43" s="46"/>
      <c r="I43" s="46"/>
      <c r="J43" s="46"/>
      <c r="K43" s="46"/>
      <c r="L43" s="46"/>
      <c r="M43" s="46"/>
      <c r="N43" s="46"/>
      <c r="O43" s="46"/>
      <c r="P43" s="46"/>
      <c r="Q43" s="46"/>
      <c r="R43" s="46"/>
      <c r="S43" s="46"/>
    </row>
    <row r="44" spans="1:25" ht="15.75">
      <c r="A44" s="31" t="s">
        <v>65</v>
      </c>
      <c r="B44" s="45"/>
      <c r="C44" s="31"/>
      <c r="D44" s="31"/>
      <c r="E44" s="31"/>
      <c r="F44" s="31"/>
      <c r="G44" s="55"/>
      <c r="H44" s="55"/>
      <c r="I44" s="55"/>
      <c r="J44" s="55"/>
      <c r="K44" s="55"/>
      <c r="L44" s="46"/>
      <c r="M44" s="46"/>
      <c r="N44" s="46"/>
      <c r="O44" s="46"/>
      <c r="P44" s="46"/>
      <c r="Q44"/>
      <c r="R44"/>
      <c r="S44"/>
    </row>
    <row r="45" spans="1:25" ht="15.75">
      <c r="A45" s="31" t="s">
        <v>66</v>
      </c>
      <c r="B45" s="45"/>
      <c r="C45" s="31"/>
      <c r="D45" s="31"/>
      <c r="E45" s="31"/>
      <c r="F45" s="31"/>
      <c r="G45" s="55"/>
      <c r="H45" s="55"/>
      <c r="I45" s="55"/>
      <c r="J45" s="55"/>
      <c r="K45" s="55"/>
      <c r="L45" s="46"/>
      <c r="M45" s="46"/>
      <c r="N45" s="46"/>
      <c r="O45" s="46"/>
      <c r="P45" s="46"/>
      <c r="Q45"/>
      <c r="R45"/>
      <c r="S45"/>
    </row>
    <row r="46" spans="1:25" ht="15.75">
      <c r="A46" s="31" t="s">
        <v>75</v>
      </c>
      <c r="B46" s="45"/>
      <c r="C46" s="31"/>
      <c r="D46" s="31"/>
      <c r="E46" s="31"/>
      <c r="F46" s="31"/>
      <c r="G46" s="55"/>
      <c r="H46" s="55"/>
      <c r="I46" s="55"/>
      <c r="J46" s="55"/>
      <c r="K46" s="55"/>
      <c r="L46" s="46"/>
      <c r="M46" s="46"/>
      <c r="N46" s="46"/>
      <c r="O46" s="46"/>
      <c r="P46" s="46"/>
      <c r="Q46"/>
      <c r="R46"/>
      <c r="S46"/>
    </row>
    <row r="47" spans="1:25" ht="15.75">
      <c r="A47" s="31" t="s">
        <v>68</v>
      </c>
      <c r="B47" s="45"/>
      <c r="C47" s="31"/>
      <c r="D47" s="31"/>
      <c r="E47" s="31"/>
      <c r="F47" s="31"/>
      <c r="G47" s="55"/>
      <c r="H47" s="55"/>
      <c r="I47" s="55"/>
      <c r="J47" s="55"/>
      <c r="K47" s="55"/>
      <c r="L47" s="46"/>
      <c r="M47" s="46"/>
      <c r="N47" s="46"/>
      <c r="O47" s="46"/>
      <c r="P47" s="46"/>
      <c r="Q47"/>
      <c r="R47"/>
      <c r="S47"/>
    </row>
    <row r="48" spans="1:25" ht="15.75">
      <c r="A48" s="31" t="s">
        <v>76</v>
      </c>
      <c r="B48" s="45"/>
      <c r="C48" s="31"/>
      <c r="D48" s="31"/>
      <c r="E48" s="31"/>
      <c r="F48" s="31"/>
      <c r="G48" s="55"/>
      <c r="H48" s="55"/>
      <c r="I48" s="55"/>
      <c r="J48" s="55"/>
      <c r="K48" s="55"/>
      <c r="L48" s="46"/>
      <c r="M48" s="46"/>
      <c r="N48" s="46"/>
      <c r="O48" s="46"/>
      <c r="P48" s="46"/>
      <c r="Q48"/>
      <c r="R48"/>
      <c r="S48"/>
    </row>
    <row r="49" spans="1:19" ht="15.75">
      <c r="A49" s="31" t="s">
        <v>69</v>
      </c>
      <c r="B49" s="45"/>
      <c r="C49" s="31"/>
      <c r="D49" s="31"/>
      <c r="E49" s="31"/>
      <c r="F49" s="31"/>
      <c r="G49" s="55"/>
      <c r="H49" s="55"/>
      <c r="I49" s="55"/>
      <c r="J49" s="55"/>
      <c r="K49" s="55"/>
      <c r="L49" s="46"/>
      <c r="M49" s="46"/>
      <c r="N49" s="46"/>
      <c r="O49" s="46"/>
      <c r="P49" s="46"/>
      <c r="Q49"/>
      <c r="R49"/>
      <c r="S49"/>
    </row>
    <row r="50" spans="1:19" ht="15.75">
      <c r="A50" s="31" t="s">
        <v>77</v>
      </c>
      <c r="B50" s="45"/>
      <c r="C50" s="31"/>
      <c r="D50" s="31"/>
      <c r="E50" s="31"/>
      <c r="F50" s="31"/>
      <c r="G50" s="55"/>
      <c r="H50" s="55"/>
      <c r="I50" s="55"/>
      <c r="J50" s="55"/>
      <c r="K50" s="55"/>
      <c r="L50" s="46"/>
      <c r="M50" s="46"/>
      <c r="N50" s="46"/>
      <c r="O50" s="46"/>
      <c r="P50" s="46"/>
      <c r="Q50"/>
      <c r="R50"/>
      <c r="S50"/>
    </row>
    <row r="51" spans="1:19">
      <c r="G51" s="46"/>
      <c r="H51" s="46"/>
      <c r="I51" s="46"/>
      <c r="J51" s="46"/>
      <c r="K51" s="46"/>
    </row>
    <row r="52" spans="1:19">
      <c r="G52" s="46"/>
      <c r="H52" s="46"/>
      <c r="I52" s="46"/>
      <c r="J52" s="46"/>
      <c r="K52" s="46"/>
    </row>
  </sheetData>
  <mergeCells count="4">
    <mergeCell ref="B2:F2"/>
    <mergeCell ref="B3:F3"/>
    <mergeCell ref="A4:F4"/>
    <mergeCell ref="A6:B6"/>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7"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23</FiscalYear>
    <Frequency xmlns="4a1cef21-950b-48ce-bef3-2690db201377">Quarterly</Frequency>
    <_dlc_DocId xmlns="806035d9-ad3b-44db-92a1-1ed4b9daec3e">7NQWTN4WQ7WA-971242747-881</_dlc_DocId>
    <_dlc_DocIdUrl xmlns="806035d9-ad3b-44db-92a1-1ed4b9daec3e">
      <Url>http://cbe-test-spsql:4050/_layouts/15/DocIdRedir.aspx?ID=7NQWTN4WQ7WA-971242747-881</Url>
      <Description>7NQWTN4WQ7WA-971242747-881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124875-17BD-4177-B2A4-F365ACC8A77E}"/>
</file>

<file path=customXml/itemProps2.xml><?xml version="1.0" encoding="utf-8"?>
<ds:datastoreItem xmlns:ds="http://schemas.openxmlformats.org/officeDocument/2006/customXml" ds:itemID="{0C05AE34-D9C8-40FA-BE60-4F9E502311C7}"/>
</file>

<file path=customXml/itemProps3.xml><?xml version="1.0" encoding="utf-8"?>
<ds:datastoreItem xmlns:ds="http://schemas.openxmlformats.org/officeDocument/2006/customXml" ds:itemID="{E9F35257-7811-4765-8386-580E26D875D0}"/>
</file>

<file path=customXml/itemProps4.xml><?xml version="1.0" encoding="utf-8"?>
<ds:datastoreItem xmlns:ds="http://schemas.openxmlformats.org/officeDocument/2006/customXml" ds:itemID="{0C05AE34-D9C8-40FA-BE60-4F9E502311C7}"/>
</file>

<file path=customXml/itemProps5.xml><?xml version="1.0" encoding="utf-8"?>
<ds:datastoreItem xmlns:ds="http://schemas.openxmlformats.org/officeDocument/2006/customXml" ds:itemID="{282DC891-8AB9-45BF-85F3-542D0394CC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2014-2015 </vt:lpstr>
      <vt:lpstr>'2014-2015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- 2014 2015</dc:title>
  <dc:creator>mamdouh.marghany</dc:creator>
  <cp:lastModifiedBy>Wafaa Ismail</cp:lastModifiedBy>
  <cp:lastPrinted>2014-08-24T09:35:10Z</cp:lastPrinted>
  <dcterms:created xsi:type="dcterms:W3CDTF">2009-04-23T10:41:14Z</dcterms:created>
  <dcterms:modified xsi:type="dcterms:W3CDTF">2016-01-04T06:46:41Z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72418ab5-cb4c-486c-be89-973869496e38</vt:lpwstr>
  </property>
</Properties>
</file>