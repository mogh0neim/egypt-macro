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debt\for upload - Khaled &amp; Hanaa &amp; Wafaa (final 18 May 2021)\NIB\"/>
    </mc:Choice>
  </mc:AlternateContent>
  <xr:revisionPtr revIDLastSave="0" documentId="13_ncr:1_{6790CB5A-58AE-45B3-B989-61C19B541395}" xr6:coauthVersionLast="36" xr6:coauthVersionMax="36" xr10:uidLastSave="{00000000-0000-0000-0000-000000000000}"/>
  <bookViews>
    <workbookView xWindow="0" yWindow="0" windowWidth="15600" windowHeight="8928" xr2:uid="{00000000-000D-0000-FFFF-FFFF00000000}"/>
  </bookViews>
  <sheets>
    <sheet name="2019-2020  " sheetId="1" r:id="rId1"/>
  </sheets>
  <definedNames>
    <definedName name="_xlnm.Print_Area" localSheetId="0">'2019-2020  '!$A$4:$I$24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F16" i="1"/>
  <c r="H8" i="1"/>
  <c r="F8" i="1"/>
  <c r="D16" i="1" l="1"/>
  <c r="C16" i="1"/>
  <c r="D8" i="1"/>
  <c r="C8" i="1"/>
</calcChain>
</file>

<file path=xl/sharedStrings.xml><?xml version="1.0" encoding="utf-8"?>
<sst xmlns="http://schemas.openxmlformats.org/spreadsheetml/2006/main" count="47" uniqueCount="45">
  <si>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</si>
  <si>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</si>
  <si>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NIB Resources and Uses</t>
  </si>
  <si>
    <t>( LE mn )</t>
  </si>
  <si>
    <t xml:space="preserve">End of </t>
  </si>
  <si>
    <t>Q1</t>
  </si>
  <si>
    <t>Q2</t>
  </si>
  <si>
    <t>Sept.2019</t>
  </si>
  <si>
    <t>Dec.2019</t>
  </si>
  <si>
    <r>
      <t xml:space="preserve"> </t>
    </r>
    <r>
      <rPr>
        <b/>
        <u/>
        <sz val="14"/>
        <rFont val="Arial"/>
        <family val="2"/>
      </rPr>
      <t>- الخصوم  : منها</t>
    </r>
  </si>
  <si>
    <t>Liabilities :of which</t>
  </si>
  <si>
    <t>. صندوق التأمين الاجتماعى للعاملين بالحكومة</t>
  </si>
  <si>
    <t xml:space="preserve"> Social Insurance Fund for Gov. Employees</t>
  </si>
  <si>
    <t>*</t>
  </si>
  <si>
    <t>. صندوق التأمين الاجتماعى للعاملين بقطاعى الأعمال العام والخاص</t>
  </si>
  <si>
    <t xml:space="preserve"> Social Insurance Fund for Pub. &amp; Priv. Business Sectors Employees</t>
  </si>
  <si>
    <t>. حصيلة شهادات الاستثمار</t>
  </si>
  <si>
    <t xml:space="preserve"> Proceeds of investment certificates</t>
  </si>
  <si>
    <t>. العوائد المتراكمة لشهادات الاستثمار مجموعة (أ)</t>
  </si>
  <si>
    <t xml:space="preserve"> Accumulated  interest on investment certificates (category A)</t>
  </si>
  <si>
    <t>. حصيلة سندات التنمية الدولارية</t>
  </si>
  <si>
    <t xml:space="preserve"> Proceeds of US dollar development bonds</t>
  </si>
  <si>
    <t>. ودائع صندوق توفير البريد</t>
  </si>
  <si>
    <t xml:space="preserve"> Post office savings deposits</t>
  </si>
  <si>
    <r>
      <t xml:space="preserve">. أخرى </t>
    </r>
    <r>
      <rPr>
        <sz val="14"/>
        <rFont val="Arial"/>
        <family val="2"/>
      </rPr>
      <t>**</t>
    </r>
  </si>
  <si>
    <r>
      <t xml:space="preserve"> Others</t>
    </r>
    <r>
      <rPr>
        <sz val="12"/>
        <rFont val="Times New (W1)"/>
        <charset val="178"/>
      </rPr>
      <t>**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</si>
  <si>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</si>
  <si>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>Assets :of which</t>
  </si>
  <si>
    <t xml:space="preserve"> - اقراض للحكومة</t>
  </si>
  <si>
    <t xml:space="preserve"> Loans to government</t>
  </si>
  <si>
    <t>. اقراض للهيئات  العامة الاقتصادية</t>
  </si>
  <si>
    <t xml:space="preserve"> Loans to public economic authorities</t>
  </si>
  <si>
    <t>.إستثمارات فى أوراق مالية حكومية (اذون وسندات)</t>
  </si>
  <si>
    <t xml:space="preserve"> Investments in government securities (bills and bonds)</t>
  </si>
  <si>
    <t xml:space="preserve">.ودائع بنك الاستثمار القومى لدى الجهاز المصرفى </t>
  </si>
  <si>
    <t xml:space="preserve"> Deposits of the NIB with the banking system</t>
  </si>
  <si>
    <t>. اقراض للمساهمة فى الشركات القابضة والوحدات التابعة والقروض الميسرة وأخرى (صافى مديونية بنك الاستثمار القومى مطروحا منه المديونية البينية )</t>
  </si>
  <si>
    <t xml:space="preserve"> Lending to holding companies and affiliate units, concessional loans, and others
(Net NIB debt minus its intra-debt) </t>
  </si>
  <si>
    <t>Source: Central Bank of Egypt -  National Investment Bank.</t>
  </si>
  <si>
    <t>*  Balances transferred to the Ministry of Finance from the two funds, pursuant to the Social Insurance and Pension  Law No. 148 issued on 19 August 2019.</t>
  </si>
  <si>
    <t>** Including deposits of the private insurance funds, alternative insurance funds, deposits of various authorities and others.</t>
  </si>
  <si>
    <t>Q3</t>
  </si>
  <si>
    <t>Q4</t>
  </si>
  <si>
    <t xml:space="preserve"> March 2020</t>
  </si>
  <si>
    <t xml:space="preserve">  June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</si>
</sst>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1">
    <font>
      <sz val="10"/>
      <name val="Arial"/>
      <charset val="178"/>
    </font>
    <font>
      <sz val="10"/>
      <name val="Arial"/>
      <family val="2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b/>
      <sz val="12"/>
      <name val="Arial"/>
      <family val="2"/>
      <charset val="178"/>
    </font>
    <font>
      <b/>
      <sz val="20"/>
      <name val="Arial"/>
      <family val="2"/>
    </font>
    <font>
      <b/>
      <u/>
      <sz val="12"/>
      <name val="Times New (W1)"/>
      <family val="1"/>
    </font>
    <font>
      <b/>
      <u/>
      <sz val="14"/>
      <name val="Times New Roman"/>
      <family val="1"/>
    </font>
    <font>
      <b/>
      <u/>
      <sz val="14"/>
      <name val="Arial"/>
      <family val="2"/>
    </font>
    <font>
      <b/>
      <u/>
      <sz val="14"/>
      <name val="Times New (W1)"/>
      <charset val="178"/>
    </font>
    <font>
      <sz val="13"/>
      <name val="Times New (W1)"/>
      <charset val="178"/>
    </font>
    <font>
      <sz val="14"/>
      <name val="Times New (W1)"/>
      <family val="1"/>
    </font>
    <font>
      <sz val="13"/>
      <name val="Times New (W1)"/>
    </font>
    <font>
      <sz val="14"/>
      <name val="Arial"/>
      <family val="2"/>
    </font>
    <font>
      <i/>
      <sz val="13"/>
      <name val="Arial"/>
      <family val="2"/>
    </font>
    <font>
      <sz val="12"/>
      <name val="Times New (W1)"/>
      <charset val="178"/>
    </font>
    <font>
      <sz val="11"/>
      <name val="Arial"/>
      <family val="2"/>
      <charset val="178"/>
    </font>
    <font>
      <i/>
      <sz val="12"/>
      <name val="Arial"/>
      <family val="2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rgb="FF00FFFF"/>
      </left>
      <right style="double">
        <color rgb="FF00FFFF"/>
      </right>
      <top style="double">
        <color rgb="FF00FFFF"/>
      </top>
      <bottom/>
      <diagonal/>
    </border>
    <border>
      <left/>
      <right style="double">
        <color indexed="41"/>
      </right>
      <top style="double">
        <color indexed="41"/>
      </top>
      <bottom/>
      <diagonal/>
    </border>
    <border>
      <left style="double">
        <color indexed="41"/>
      </left>
      <right/>
      <top style="double">
        <color indexed="41"/>
      </top>
      <bottom/>
      <diagonal/>
    </border>
    <border>
      <left/>
      <right style="thin">
        <color indexed="64"/>
      </right>
      <top style="double">
        <color indexed="41"/>
      </top>
      <bottom/>
      <diagonal/>
    </border>
    <border>
      <left style="double">
        <color rgb="FF00FFFF"/>
      </left>
      <right/>
      <top/>
      <bottom style="double">
        <color rgb="FF00FFFF"/>
      </bottom>
      <diagonal/>
    </border>
    <border>
      <left/>
      <right style="double">
        <color rgb="FF00FFFF"/>
      </right>
      <top/>
      <bottom style="double">
        <color rgb="FF00FFFF"/>
      </bottom>
      <diagonal/>
    </border>
    <border>
      <left style="double">
        <color rgb="FF00FFFF"/>
      </left>
      <right style="double">
        <color rgb="FF00FFFF"/>
      </right>
      <top/>
      <bottom style="double">
        <color rgb="FF00FFFF"/>
      </bottom>
      <diagonal/>
    </border>
    <border>
      <left/>
      <right style="thin">
        <color indexed="64"/>
      </right>
      <top/>
      <bottom style="double">
        <color rgb="FF00FFF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rgb="FF00FFFF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41"/>
      </right>
      <top/>
      <bottom style="double">
        <color rgb="FF00FFFF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75">
    <xf numFmtId="0" fontId="0" fillId="0" borderId="0" xfId="0"/>
    <xf numFmtId="0" fontId="1" fillId="0" borderId="0" xfId="1"/>
    <xf numFmtId="0" fontId="2" fillId="0" borderId="0" xfId="1" applyFont="1" applyFill="1" applyAlignment="1">
      <alignment readingOrder="1"/>
    </xf>
    <xf numFmtId="0" fontId="1" fillId="0" borderId="0" xfId="1" applyBorder="1"/>
    <xf numFmtId="0" fontId="1" fillId="0" borderId="0" xfId="1" applyFill="1" applyBorder="1"/>
    <xf numFmtId="0" fontId="1" fillId="0" borderId="0" xfId="1" applyFill="1"/>
    <xf numFmtId="0" fontId="5" fillId="0" borderId="0" xfId="1" applyFont="1" applyFill="1" applyBorder="1" applyAlignment="1">
      <alignment horizontal="center" vertical="center" readingOrder="1"/>
    </xf>
    <xf numFmtId="0" fontId="6" fillId="0" borderId="0" xfId="2" quotePrefix="1" applyFont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 wrapText="1" readingOrder="1"/>
    </xf>
    <xf numFmtId="0" fontId="1" fillId="0" borderId="0" xfId="1" applyBorder="1" applyAlignment="1"/>
    <xf numFmtId="0" fontId="7" fillId="2" borderId="6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center" vertical="center" wrapText="1" readingOrder="1"/>
    </xf>
    <xf numFmtId="0" fontId="9" fillId="4" borderId="10" xfId="2" applyFont="1" applyFill="1" applyBorder="1" applyAlignment="1">
      <alignment horizontal="right" vertical="center"/>
    </xf>
    <xf numFmtId="0" fontId="9" fillId="4" borderId="10" xfId="2" applyFont="1" applyFill="1" applyBorder="1" applyAlignment="1">
      <alignment horizontal="left" vertical="center" readingOrder="1"/>
    </xf>
    <xf numFmtId="3" fontId="11" fillId="0" borderId="0" xfId="1" applyNumberFormat="1" applyFont="1" applyFill="1" applyBorder="1" applyAlignment="1">
      <alignment horizontal="center" readingOrder="1"/>
    </xf>
    <xf numFmtId="165" fontId="1" fillId="0" borderId="0" xfId="1" applyNumberFormat="1" applyBorder="1"/>
    <xf numFmtId="165" fontId="1" fillId="0" borderId="0" xfId="1" applyNumberFormat="1"/>
    <xf numFmtId="0" fontId="12" fillId="4" borderId="10" xfId="1" applyFont="1" applyFill="1" applyBorder="1" applyAlignment="1">
      <alignment horizontal="right" readingOrder="2"/>
    </xf>
    <xf numFmtId="0" fontId="12" fillId="4" borderId="10" xfId="0" applyFont="1" applyFill="1" applyBorder="1" applyAlignment="1">
      <alignment horizontal="left" readingOrder="1"/>
    </xf>
    <xf numFmtId="3" fontId="13" fillId="0" borderId="0" xfId="1" applyNumberFormat="1" applyFont="1" applyFill="1" applyBorder="1" applyAlignment="1">
      <alignment horizontal="center" readingOrder="1"/>
    </xf>
    <xf numFmtId="165" fontId="15" fillId="0" borderId="0" xfId="1" applyNumberFormat="1" applyFont="1" applyBorder="1"/>
    <xf numFmtId="0" fontId="15" fillId="0" borderId="0" xfId="1" applyFont="1" applyBorder="1"/>
    <xf numFmtId="165" fontId="15" fillId="0" borderId="0" xfId="1" applyNumberFormat="1" applyFont="1"/>
    <xf numFmtId="0" fontId="15" fillId="0" borderId="0" xfId="1" applyFont="1"/>
    <xf numFmtId="0" fontId="12" fillId="4" borderId="10" xfId="0" quotePrefix="1" applyFont="1" applyFill="1" applyBorder="1" applyAlignment="1">
      <alignment horizontal="left" readingOrder="1"/>
    </xf>
    <xf numFmtId="0" fontId="16" fillId="0" borderId="0" xfId="1" applyFont="1" applyBorder="1"/>
    <xf numFmtId="165" fontId="16" fillId="0" borderId="0" xfId="1" applyNumberFormat="1" applyFont="1" applyBorder="1"/>
    <xf numFmtId="165" fontId="16" fillId="0" borderId="0" xfId="1" applyNumberFormat="1" applyFont="1"/>
    <xf numFmtId="0" fontId="16" fillId="0" borderId="0" xfId="1" applyFont="1"/>
    <xf numFmtId="0" fontId="12" fillId="4" borderId="10" xfId="1" applyFont="1" applyFill="1" applyBorder="1" applyAlignment="1">
      <alignment horizontal="right" vertical="center" readingOrder="2"/>
    </xf>
    <xf numFmtId="0" fontId="12" fillId="4" borderId="10" xfId="0" applyFont="1" applyFill="1" applyBorder="1" applyAlignment="1">
      <alignment horizontal="left" vertical="center" readingOrder="1"/>
    </xf>
    <xf numFmtId="0" fontId="9" fillId="4" borderId="10" xfId="2" applyFont="1" applyFill="1" applyBorder="1" applyAlignment="1">
      <alignment horizontal="right" vertical="center" readingOrder="2"/>
    </xf>
    <xf numFmtId="3" fontId="18" fillId="0" borderId="0" xfId="2" applyNumberFormat="1" applyFont="1" applyFill="1" applyBorder="1" applyAlignment="1">
      <alignment horizontal="center" vertical="center" readingOrder="1"/>
    </xf>
    <xf numFmtId="0" fontId="12" fillId="4" borderId="10" xfId="1" quotePrefix="1" applyFont="1" applyFill="1" applyBorder="1" applyAlignment="1">
      <alignment horizontal="right" readingOrder="2"/>
    </xf>
    <xf numFmtId="0" fontId="19" fillId="0" borderId="0" xfId="1" applyFont="1" applyBorder="1"/>
    <xf numFmtId="165" fontId="19" fillId="0" borderId="0" xfId="1" applyNumberFormat="1" applyFont="1" applyBorder="1"/>
    <xf numFmtId="0" fontId="19" fillId="0" borderId="0" xfId="1" applyFont="1"/>
    <xf numFmtId="165" fontId="1" fillId="0" borderId="0" xfId="1" applyNumberFormat="1" applyBorder="1" applyAlignment="1">
      <alignment horizontal="center"/>
    </xf>
    <xf numFmtId="0" fontId="12" fillId="4" borderId="14" xfId="1" applyFont="1" applyFill="1" applyBorder="1" applyAlignment="1">
      <alignment horizontal="right" wrapText="1" readingOrder="2"/>
    </xf>
    <xf numFmtId="0" fontId="12" fillId="4" borderId="14" xfId="0" applyFont="1" applyFill="1" applyBorder="1" applyAlignment="1">
      <alignment horizontal="left" wrapText="1" readingOrder="1"/>
    </xf>
    <xf numFmtId="0" fontId="1" fillId="4" borderId="0" xfId="1" applyFill="1" applyBorder="1"/>
    <xf numFmtId="0" fontId="2" fillId="4" borderId="0" xfId="1" applyFont="1" applyFill="1" applyAlignment="1">
      <alignment readingOrder="1"/>
    </xf>
    <xf numFmtId="0" fontId="20" fillId="5" borderId="0" xfId="2" applyFont="1" applyFill="1" applyBorder="1" applyAlignment="1">
      <alignment horizontal="left" vertical="center" indent="1"/>
    </xf>
    <xf numFmtId="0" fontId="20" fillId="4" borderId="0" xfId="2" applyFont="1" applyFill="1" applyBorder="1" applyAlignment="1">
      <alignment horizontal="left" vertical="center" indent="1"/>
    </xf>
    <xf numFmtId="0" fontId="1" fillId="4" borderId="0" xfId="1" applyFont="1" applyFill="1" applyBorder="1"/>
    <xf numFmtId="0" fontId="5" fillId="0" borderId="0" xfId="1" applyFont="1" applyFill="1" applyBorder="1" applyAlignment="1">
      <alignment horizontal="center" vertical="center" readingOrder="1"/>
    </xf>
    <xf numFmtId="3" fontId="11" fillId="0" borderId="10" xfId="1" applyNumberFormat="1" applyFont="1" applyFill="1" applyBorder="1" applyAlignment="1">
      <alignment horizontal="center" readingOrder="1"/>
    </xf>
    <xf numFmtId="3" fontId="11" fillId="0" borderId="11" xfId="1" applyNumberFormat="1" applyFont="1" applyFill="1" applyBorder="1" applyAlignment="1">
      <alignment horizontal="center" readingOrder="1"/>
    </xf>
    <xf numFmtId="3" fontId="11" fillId="0" borderId="12" xfId="1" applyNumberFormat="1" applyFont="1" applyFill="1" applyBorder="1" applyAlignment="1">
      <alignment horizontal="center" readingOrder="1"/>
    </xf>
    <xf numFmtId="3" fontId="13" fillId="0" borderId="10" xfId="1" applyNumberFormat="1" applyFont="1" applyFill="1" applyBorder="1" applyAlignment="1">
      <alignment horizontal="center" readingOrder="1"/>
    </xf>
    <xf numFmtId="3" fontId="13" fillId="0" borderId="13" xfId="1" applyNumberFormat="1" applyFont="1" applyFill="1" applyBorder="1" applyAlignment="1">
      <alignment horizontal="center" readingOrder="1"/>
    </xf>
    <xf numFmtId="3" fontId="13" fillId="0" borderId="12" xfId="1" applyNumberFormat="1" applyFont="1" applyFill="1" applyBorder="1" applyAlignment="1">
      <alignment horizontal="center" readingOrder="1"/>
    </xf>
    <xf numFmtId="3" fontId="11" fillId="0" borderId="13" xfId="1" applyNumberFormat="1" applyFont="1" applyFill="1" applyBorder="1" applyAlignment="1">
      <alignment horizontal="center" readingOrder="1"/>
    </xf>
    <xf numFmtId="3" fontId="18" fillId="0" borderId="10" xfId="2" applyNumberFormat="1" applyFont="1" applyFill="1" applyBorder="1" applyAlignment="1">
      <alignment horizontal="center" vertical="center" readingOrder="1"/>
    </xf>
    <xf numFmtId="3" fontId="18" fillId="0" borderId="13" xfId="2" applyNumberFormat="1" applyFont="1" applyFill="1" applyBorder="1" applyAlignment="1">
      <alignment horizontal="center" vertical="center" readingOrder="1"/>
    </xf>
    <xf numFmtId="3" fontId="18" fillId="0" borderId="12" xfId="2" applyNumberFormat="1" applyFont="1" applyFill="1" applyBorder="1" applyAlignment="1">
      <alignment horizontal="center" vertical="center" readingOrder="1"/>
    </xf>
    <xf numFmtId="3" fontId="13" fillId="0" borderId="14" xfId="1" applyNumberFormat="1" applyFont="1" applyFill="1" applyBorder="1" applyAlignment="1">
      <alignment horizontal="center" vertical="center" readingOrder="1"/>
    </xf>
    <xf numFmtId="3" fontId="13" fillId="0" borderId="15" xfId="1" applyNumberFormat="1" applyFont="1" applyFill="1" applyBorder="1" applyAlignment="1">
      <alignment horizontal="center" vertical="center" readingOrder="1"/>
    </xf>
    <xf numFmtId="3" fontId="13" fillId="0" borderId="16" xfId="1" applyNumberFormat="1" applyFont="1" applyFill="1" applyBorder="1" applyAlignment="1">
      <alignment horizontal="center" vertical="center" readingOrder="1"/>
    </xf>
    <xf numFmtId="3" fontId="13" fillId="0" borderId="13" xfId="1" applyNumberFormat="1" applyFont="1" applyFill="1" applyBorder="1" applyAlignment="1">
      <alignment horizontal="center" vertical="center" readingOrder="1"/>
    </xf>
    <xf numFmtId="3" fontId="14" fillId="0" borderId="12" xfId="1" applyNumberFormat="1" applyFont="1" applyFill="1" applyBorder="1" applyAlignment="1">
      <alignment horizontal="center" vertical="center" readingOrder="1"/>
    </xf>
    <xf numFmtId="0" fontId="3" fillId="0" borderId="0" xfId="1" applyFont="1" applyFill="1" applyBorder="1" applyAlignment="1">
      <alignment horizontal="center" vertical="center" readingOrder="1"/>
    </xf>
    <xf numFmtId="0" fontId="4" fillId="0" borderId="0" xfId="1" applyFont="1" applyFill="1" applyAlignment="1">
      <alignment horizontal="center" vertical="center" readingOrder="1"/>
    </xf>
    <xf numFmtId="0" fontId="5" fillId="0" borderId="0" xfId="1" applyFont="1" applyFill="1" applyBorder="1" applyAlignment="1">
      <alignment horizontal="center" vertical="center" readingOrder="1"/>
    </xf>
    <xf numFmtId="0" fontId="7" fillId="2" borderId="2" xfId="1" applyFont="1" applyFill="1" applyBorder="1" applyAlignment="1">
      <alignment horizontal="center"/>
    </xf>
    <xf numFmtId="0" fontId="8" fillId="3" borderId="4" xfId="1" applyFont="1" applyFill="1" applyBorder="1" applyAlignment="1">
      <alignment horizontal="center" vertical="center" wrapText="1" readingOrder="1"/>
    </xf>
    <xf numFmtId="0" fontId="8" fillId="3" borderId="5" xfId="1" applyFont="1" applyFill="1" applyBorder="1" applyAlignment="1">
      <alignment horizontal="center" vertical="center" wrapText="1" readingOrder="1"/>
    </xf>
    <xf numFmtId="0" fontId="8" fillId="3" borderId="6" xfId="1" applyFont="1" applyFill="1" applyBorder="1" applyAlignment="1">
      <alignment horizontal="center" vertical="center" wrapText="1" readingOrder="1"/>
    </xf>
    <xf numFmtId="0" fontId="8" fillId="3" borderId="9" xfId="1" applyFont="1" applyFill="1" applyBorder="1" applyAlignment="1">
      <alignment horizontal="center" vertical="center" wrapText="1" readingOrder="1"/>
    </xf>
    <xf numFmtId="0" fontId="8" fillId="3" borderId="3" xfId="1" applyFont="1" applyFill="1" applyBorder="1" applyAlignment="1">
      <alignment horizontal="center" vertical="center" wrapText="1" readingOrder="1"/>
    </xf>
    <xf numFmtId="0" fontId="8" fillId="3" borderId="17" xfId="1" applyFont="1" applyFill="1" applyBorder="1" applyAlignment="1">
      <alignment horizontal="center" vertical="center" wrapText="1" readingOrder="1"/>
    </xf>
    <xf numFmtId="3" fontId="18" fillId="0" borderId="13" xfId="2" applyNumberFormat="1" applyFont="1" applyFill="1" applyBorder="1" applyAlignment="1">
      <alignment horizontal="center" vertical="center" readingOrder="1"/>
    </xf>
    <xf numFmtId="3" fontId="13" fillId="0" borderId="18" xfId="1" applyNumberFormat="1" applyFont="1" applyFill="1" applyBorder="1" applyAlignment="1">
      <alignment horizontal="center" vertical="center" readingOrder="1"/>
    </xf>
    <xf numFmtId="0" fontId="6" fillId="0" borderId="1" xfId="2" quotePrefix="1" applyFont="1" applyBorder="1" applyAlignment="1">
      <alignment horizontal="right"/>
    </xf>
  </cellXfs>
  <cellStyles count="4">
    <cellStyle name="Normal" xfId="0" builtinId="0"/>
    <cellStyle name="Normal 2" xfId="1" xr:uid="{00000000-0005-0000-0000-000001000000}"/>
    <cellStyle name="Normal 2 2" xfId="3" xr:uid="{BDBFABBA-8FDF-4400-8F77-E12E21F2C952}"/>
    <cellStyle name="Normal_wafaa file_12_22-24_26-3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973734</xdr:colOff>
      <xdr:row>8</xdr:row>
      <xdr:rowOff>76076</xdr:rowOff>
    </xdr:from>
    <xdr:to>
      <xdr:col>4</xdr:col>
      <xdr:colOff>10886</xdr:colOff>
      <xdr:row>9</xdr:row>
      <xdr:rowOff>283028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5EB1BADD-6ECB-42CD-AFA9-EC9E2B8DBC39}"/>
            </a:ext>
          </a:extLst>
        </xdr:cNvPr>
        <xdr:cNvSpPr/>
      </xdr:nvSpPr>
      <xdr:spPr>
        <a:xfrm rot="10800000">
          <a:off x="12467234" y="2311276"/>
          <a:ext cx="307152" cy="524452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endParaRPr lang="ar-EG"/>
        </a:p>
      </xdr:txBody>
    </xdr:sp>
    <xdr:clientData/>
  </xdr:twoCellAnchor>
  <xdr:twoCellAnchor>
    <xdr:from>
      <xdr:col>5</xdr:col>
      <xdr:colOff>913039</xdr:colOff>
      <xdr:row>8</xdr:row>
      <xdr:rowOff>63613</xdr:rowOff>
    </xdr:from>
    <xdr:to>
      <xdr:col>5</xdr:col>
      <xdr:colOff>1175711</xdr:colOff>
      <xdr:row>9</xdr:row>
      <xdr:rowOff>272211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9CFA8244-CB42-4E64-9E31-8D1660CEE869}"/>
            </a:ext>
          </a:extLst>
        </xdr:cNvPr>
        <xdr:cNvSpPr/>
      </xdr:nvSpPr>
      <xdr:spPr>
        <a:xfrm rot="10800000">
          <a:off x="13841639" y="2298813"/>
          <a:ext cx="262672" cy="526098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endParaRPr lang="en-US"/>
        </a:p>
      </xdr:txBody>
    </xdr:sp>
    <xdr:clientData/>
  </xdr:twoCellAnchor>
  <xdr:twoCellAnchor>
    <xdr:from>
      <xdr:col>7</xdr:col>
      <xdr:colOff>944737</xdr:colOff>
      <xdr:row>8</xdr:row>
      <xdr:rowOff>70508</xdr:rowOff>
    </xdr:from>
    <xdr:to>
      <xdr:col>7</xdr:col>
      <xdr:colOff>1197428</xdr:colOff>
      <xdr:row>9</xdr:row>
      <xdr:rowOff>272141</xdr:rowOff>
    </xdr:to>
    <xdr:sp macro="" textlink="">
      <xdr:nvSpPr>
        <xdr:cNvPr id="4" name="Left Brace 3">
          <a:extLst>
            <a:ext uri="{FF2B5EF4-FFF2-40B4-BE49-F238E27FC236}">
              <a16:creationId xmlns:a16="http://schemas.microsoft.com/office/drawing/2014/main" id="{180783C3-54EE-4D85-BB26-E7B952E1FB28}"/>
            </a:ext>
          </a:extLst>
        </xdr:cNvPr>
        <xdr:cNvSpPr/>
      </xdr:nvSpPr>
      <xdr:spPr>
        <a:xfrm rot="10800000">
          <a:off x="15308437" y="2305708"/>
          <a:ext cx="252691" cy="519133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4"/>
  <sheetViews>
    <sheetView tabSelected="1" view="pageBreakPreview" topLeftCell="A6" zoomScale="60" zoomScaleNormal="75" workbookViewId="0">
      <selection activeCell="A4" sqref="A4:I24"/>
    </sheetView>
  </sheetViews>
  <sheetFormatPr defaultColWidth="9.109375" defaultRowHeight="13.2"/>
  <cols>
    <col min="1" max="1" width="71.109375" style="1" customWidth="1"/>
    <col min="2" max="2" width="78" style="2" customWidth="1"/>
    <col min="3" max="4" width="18.44140625" style="1" customWidth="1"/>
    <col min="5" max="5" width="2.33203125" style="1" customWidth="1"/>
    <col min="6" max="6" width="18.44140625" style="1" customWidth="1"/>
    <col min="7" max="7" width="2.33203125" style="1" customWidth="1"/>
    <col min="8" max="8" width="18.44140625" style="1" customWidth="1"/>
    <col min="9" max="9" width="2.33203125" style="3" customWidth="1"/>
    <col min="10" max="10" width="12.88671875" style="3" bestFit="1" customWidth="1"/>
    <col min="11" max="11" width="11.109375" style="3" bestFit="1" customWidth="1"/>
    <col min="12" max="12" width="10.6640625" style="3" bestFit="1" customWidth="1"/>
    <col min="13" max="21" width="9.109375" style="3"/>
    <col min="22" max="26" width="9.109375" style="1"/>
    <col min="27" max="27" width="9.33203125" style="1" bestFit="1" customWidth="1"/>
    <col min="28" max="16384" width="9.109375" style="1"/>
  </cols>
  <sheetData>
    <row r="1" spans="1:27" ht="15" hidden="1" customHeight="1"/>
    <row r="2" spans="1:27" ht="22.8" hidden="1">
      <c r="B2" s="62" t="s">
        <v>0</v>
      </c>
      <c r="C2" s="62"/>
      <c r="D2" s="62"/>
      <c r="E2" s="62"/>
      <c r="F2" s="62"/>
      <c r="G2" s="62"/>
      <c r="H2" s="62"/>
    </row>
    <row r="3" spans="1:27" ht="22.8" hidden="1">
      <c r="B3" s="63" t="s">
        <v>1</v>
      </c>
      <c r="C3" s="63"/>
      <c r="D3" s="63"/>
      <c r="E3" s="63"/>
      <c r="F3" s="63"/>
      <c r="G3" s="63"/>
      <c r="H3" s="63"/>
    </row>
    <row r="4" spans="1:27" s="5" customFormat="1" ht="45" customHeight="1">
      <c r="A4" s="64" t="s">
        <v>2</v>
      </c>
      <c r="B4" s="64"/>
      <c r="C4" s="64"/>
      <c r="D4" s="64"/>
      <c r="E4" s="64"/>
      <c r="F4" s="64"/>
      <c r="G4" s="64"/>
      <c r="H4" s="6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7" s="5" customFormat="1" ht="45" customHeight="1" thickBot="1">
      <c r="A5" s="6"/>
      <c r="B5" s="6"/>
      <c r="C5" s="6"/>
      <c r="E5" s="6"/>
      <c r="F5" s="6"/>
      <c r="G5" s="46"/>
      <c r="H5" s="74" t="s">
        <v>3</v>
      </c>
      <c r="I5" s="74"/>
      <c r="J5" s="7"/>
      <c r="K5" s="7"/>
      <c r="L5" s="7"/>
      <c r="M5" s="7"/>
      <c r="N5" s="4"/>
      <c r="O5" s="4"/>
      <c r="P5" s="4"/>
      <c r="Q5" s="4"/>
      <c r="R5" s="4"/>
      <c r="S5" s="4"/>
      <c r="T5" s="4"/>
      <c r="U5" s="4"/>
    </row>
    <row r="6" spans="1:27" ht="25.5" customHeight="1" thickTop="1">
      <c r="A6" s="65" t="s">
        <v>4</v>
      </c>
      <c r="B6" s="65"/>
      <c r="C6" s="8" t="s">
        <v>5</v>
      </c>
      <c r="D6" s="66" t="s">
        <v>6</v>
      </c>
      <c r="E6" s="67"/>
      <c r="F6" s="66" t="s">
        <v>41</v>
      </c>
      <c r="G6" s="67"/>
      <c r="H6" s="66" t="s">
        <v>42</v>
      </c>
      <c r="I6" s="70"/>
      <c r="K6" s="9"/>
    </row>
    <row r="7" spans="1:27" ht="36" customHeight="1" thickBot="1">
      <c r="A7" s="10"/>
      <c r="B7" s="11"/>
      <c r="C7" s="12" t="s">
        <v>7</v>
      </c>
      <c r="D7" s="68" t="s">
        <v>8</v>
      </c>
      <c r="E7" s="69"/>
      <c r="F7" s="68" t="s">
        <v>43</v>
      </c>
      <c r="G7" s="69"/>
      <c r="H7" s="68" t="s">
        <v>44</v>
      </c>
      <c r="I7" s="71"/>
    </row>
    <row r="8" spans="1:27" ht="24.9" customHeight="1" thickTop="1">
      <c r="A8" s="13" t="s">
        <v>9</v>
      </c>
      <c r="B8" s="14" t="s">
        <v>10</v>
      </c>
      <c r="C8" s="47">
        <f>C9+C10+C11+C12+C13+C14+C15</f>
        <v>699192</v>
      </c>
      <c r="D8" s="48">
        <f t="shared" ref="D8:H8" si="0">D9+D10+D11+D12+D13+D14+D15</f>
        <v>724748</v>
      </c>
      <c r="E8" s="49"/>
      <c r="F8" s="15">
        <f t="shared" si="0"/>
        <v>754312</v>
      </c>
      <c r="G8" s="49"/>
      <c r="H8" s="15">
        <f t="shared" si="0"/>
        <v>726183</v>
      </c>
      <c r="I8" s="49"/>
      <c r="R8" s="16"/>
      <c r="S8" s="16"/>
      <c r="T8" s="16"/>
      <c r="U8" s="16"/>
      <c r="V8" s="17"/>
      <c r="W8" s="17"/>
      <c r="X8" s="17"/>
      <c r="Y8" s="17"/>
      <c r="Z8" s="17"/>
      <c r="AA8" s="17"/>
    </row>
    <row r="9" spans="1:27" s="24" customFormat="1" ht="24.9" customHeight="1">
      <c r="A9" s="18" t="s">
        <v>11</v>
      </c>
      <c r="B9" s="19" t="s">
        <v>12</v>
      </c>
      <c r="C9" s="50">
        <v>37553</v>
      </c>
      <c r="D9" s="60">
        <v>55629</v>
      </c>
      <c r="E9" s="61" t="s">
        <v>13</v>
      </c>
      <c r="F9" s="72">
        <v>54929</v>
      </c>
      <c r="G9" s="61" t="s">
        <v>13</v>
      </c>
      <c r="H9" s="72">
        <v>55328</v>
      </c>
      <c r="I9" s="61" t="s">
        <v>13</v>
      </c>
      <c r="J9" s="21"/>
      <c r="K9" s="22"/>
      <c r="L9" s="22"/>
      <c r="M9" s="22"/>
      <c r="N9" s="22"/>
      <c r="O9" s="22"/>
      <c r="P9" s="22"/>
      <c r="Q9" s="22"/>
      <c r="R9" s="21"/>
      <c r="S9" s="21"/>
      <c r="T9" s="21"/>
      <c r="U9" s="21"/>
      <c r="V9" s="23"/>
      <c r="W9" s="23"/>
      <c r="X9" s="23"/>
      <c r="Y9" s="23"/>
      <c r="Z9" s="23"/>
      <c r="AA9" s="23"/>
    </row>
    <row r="10" spans="1:27" s="29" customFormat="1" ht="24.9" customHeight="1">
      <c r="A10" s="18" t="s">
        <v>14</v>
      </c>
      <c r="B10" s="25" t="s">
        <v>15</v>
      </c>
      <c r="C10" s="50">
        <v>19479</v>
      </c>
      <c r="D10" s="60"/>
      <c r="E10" s="61"/>
      <c r="F10" s="72"/>
      <c r="G10" s="61"/>
      <c r="H10" s="72"/>
      <c r="I10" s="61"/>
      <c r="J10" s="26"/>
      <c r="K10" s="26"/>
      <c r="L10" s="26"/>
      <c r="M10" s="26"/>
      <c r="N10" s="26"/>
      <c r="O10" s="26"/>
      <c r="P10" s="26"/>
      <c r="Q10" s="26"/>
      <c r="R10" s="27"/>
      <c r="S10" s="27"/>
      <c r="T10" s="27"/>
      <c r="U10" s="27"/>
      <c r="V10" s="28"/>
      <c r="W10" s="28"/>
      <c r="X10" s="28"/>
      <c r="Y10" s="28"/>
      <c r="Z10" s="28"/>
      <c r="AA10" s="28"/>
    </row>
    <row r="11" spans="1:27" s="29" customFormat="1" ht="24.9" customHeight="1">
      <c r="A11" s="18" t="s">
        <v>16</v>
      </c>
      <c r="B11" s="19" t="s">
        <v>17</v>
      </c>
      <c r="C11" s="50">
        <v>477721</v>
      </c>
      <c r="D11" s="51">
        <v>509698</v>
      </c>
      <c r="E11" s="52"/>
      <c r="F11" s="55">
        <v>536015</v>
      </c>
      <c r="G11" s="52"/>
      <c r="H11" s="55">
        <v>490734</v>
      </c>
      <c r="I11" s="52"/>
      <c r="J11" s="27"/>
      <c r="K11" s="26"/>
      <c r="L11" s="26"/>
      <c r="M11" s="26"/>
      <c r="N11" s="26"/>
      <c r="O11" s="26"/>
      <c r="P11" s="26"/>
      <c r="Q11" s="26"/>
      <c r="R11" s="27"/>
      <c r="S11" s="27"/>
      <c r="T11" s="27"/>
      <c r="U11" s="27"/>
      <c r="V11" s="28"/>
      <c r="W11" s="28"/>
      <c r="X11" s="28"/>
      <c r="Y11" s="28"/>
      <c r="Z11" s="28"/>
      <c r="AA11" s="28"/>
    </row>
    <row r="12" spans="1:27" s="24" customFormat="1" ht="24.9" customHeight="1">
      <c r="A12" s="18" t="s">
        <v>18</v>
      </c>
      <c r="B12" s="25" t="s">
        <v>19</v>
      </c>
      <c r="C12" s="50">
        <v>8192</v>
      </c>
      <c r="D12" s="51">
        <v>8100</v>
      </c>
      <c r="E12" s="52"/>
      <c r="F12" s="55">
        <v>8259</v>
      </c>
      <c r="G12" s="52"/>
      <c r="H12" s="55">
        <v>9485</v>
      </c>
      <c r="I12" s="52"/>
      <c r="J12" s="21"/>
      <c r="K12" s="22"/>
      <c r="L12" s="22"/>
      <c r="M12" s="22"/>
      <c r="N12" s="22"/>
      <c r="O12" s="22"/>
      <c r="P12" s="22"/>
      <c r="Q12" s="22"/>
      <c r="R12" s="21"/>
      <c r="S12" s="21"/>
      <c r="T12" s="21"/>
      <c r="U12" s="21"/>
      <c r="V12" s="23"/>
      <c r="W12" s="23"/>
      <c r="X12" s="23"/>
      <c r="Y12" s="23"/>
      <c r="Z12" s="23"/>
      <c r="AA12" s="23"/>
    </row>
    <row r="13" spans="1:27" s="29" customFormat="1" ht="24.9" customHeight="1">
      <c r="A13" s="18" t="s">
        <v>20</v>
      </c>
      <c r="B13" s="19" t="s">
        <v>21</v>
      </c>
      <c r="C13" s="50">
        <v>0</v>
      </c>
      <c r="D13" s="51">
        <v>0</v>
      </c>
      <c r="E13" s="52"/>
      <c r="F13" s="55">
        <v>0</v>
      </c>
      <c r="G13" s="52"/>
      <c r="H13" s="55">
        <v>0</v>
      </c>
      <c r="I13" s="52"/>
      <c r="J13" s="21"/>
      <c r="K13" s="26"/>
      <c r="L13" s="26"/>
      <c r="M13" s="26"/>
      <c r="N13" s="26"/>
      <c r="O13" s="26"/>
      <c r="P13" s="26"/>
      <c r="Q13" s="26"/>
      <c r="R13" s="27"/>
      <c r="S13" s="27"/>
      <c r="T13" s="27"/>
      <c r="U13" s="27"/>
      <c r="V13" s="28"/>
      <c r="W13" s="28"/>
      <c r="X13" s="28"/>
      <c r="Y13" s="28"/>
      <c r="Z13" s="28"/>
      <c r="AA13" s="28"/>
    </row>
    <row r="14" spans="1:27" s="29" customFormat="1" ht="24.9" customHeight="1">
      <c r="A14" s="18" t="s">
        <v>22</v>
      </c>
      <c r="B14" s="25" t="s">
        <v>23</v>
      </c>
      <c r="C14" s="50">
        <v>153345</v>
      </c>
      <c r="D14" s="51">
        <v>149219</v>
      </c>
      <c r="E14" s="52"/>
      <c r="F14" s="55">
        <v>149219</v>
      </c>
      <c r="G14" s="52"/>
      <c r="H14" s="55">
        <v>164720</v>
      </c>
      <c r="I14" s="52"/>
      <c r="J14" s="21"/>
      <c r="K14" s="26"/>
      <c r="L14" s="26"/>
      <c r="M14" s="26"/>
      <c r="N14" s="26"/>
      <c r="O14" s="26"/>
      <c r="P14" s="26"/>
      <c r="Q14" s="26"/>
      <c r="R14" s="27"/>
      <c r="S14" s="27"/>
      <c r="T14" s="27"/>
      <c r="U14" s="27"/>
      <c r="V14" s="28"/>
      <c r="W14" s="28"/>
      <c r="X14" s="28"/>
      <c r="Y14" s="28"/>
      <c r="Z14" s="28"/>
      <c r="AA14" s="28"/>
    </row>
    <row r="15" spans="1:27" ht="30" customHeight="1">
      <c r="A15" s="30" t="s">
        <v>24</v>
      </c>
      <c r="B15" s="31" t="s">
        <v>25</v>
      </c>
      <c r="C15" s="50">
        <v>2902</v>
      </c>
      <c r="D15" s="51">
        <v>2102</v>
      </c>
      <c r="E15" s="52"/>
      <c r="F15" s="55">
        <v>5890</v>
      </c>
      <c r="G15" s="52"/>
      <c r="H15" s="55">
        <v>5916</v>
      </c>
      <c r="I15" s="52"/>
      <c r="R15" s="16"/>
      <c r="S15" s="16"/>
      <c r="T15" s="16"/>
      <c r="U15" s="16"/>
      <c r="V15" s="17"/>
      <c r="W15" s="17"/>
      <c r="X15" s="17"/>
      <c r="Y15" s="17"/>
      <c r="Z15" s="17"/>
      <c r="AA15" s="17"/>
    </row>
    <row r="16" spans="1:27" ht="24.9" customHeight="1">
      <c r="A16" s="32" t="s">
        <v>26</v>
      </c>
      <c r="B16" s="14" t="s">
        <v>27</v>
      </c>
      <c r="C16" s="47">
        <f>SUM(C18:C21)</f>
        <v>699192</v>
      </c>
      <c r="D16" s="53">
        <f>SUM(D18:D21)</f>
        <v>724748</v>
      </c>
      <c r="E16" s="49"/>
      <c r="F16" s="15">
        <f>SUM(F18:F21)</f>
        <v>754312</v>
      </c>
      <c r="G16" s="49"/>
      <c r="H16" s="15">
        <f>SUM(H18:H21)</f>
        <v>726183</v>
      </c>
      <c r="I16" s="49"/>
      <c r="R16" s="16"/>
      <c r="S16" s="16"/>
      <c r="T16" s="16"/>
      <c r="U16" s="16"/>
      <c r="V16" s="17"/>
      <c r="W16" s="17"/>
      <c r="X16" s="17"/>
      <c r="Y16" s="17"/>
      <c r="Z16" s="17"/>
      <c r="AA16" s="17"/>
    </row>
    <row r="17" spans="1:27" ht="24.9" customHeight="1">
      <c r="A17" s="18" t="s">
        <v>28</v>
      </c>
      <c r="B17" s="19" t="s">
        <v>29</v>
      </c>
      <c r="C17" s="54">
        <v>0</v>
      </c>
      <c r="D17" s="55">
        <v>0</v>
      </c>
      <c r="E17" s="56"/>
      <c r="F17" s="33">
        <v>0</v>
      </c>
      <c r="G17" s="56"/>
      <c r="H17" s="20">
        <v>0</v>
      </c>
      <c r="I17" s="56"/>
      <c r="K17" s="16"/>
      <c r="R17" s="16"/>
      <c r="S17" s="16"/>
      <c r="T17" s="16"/>
      <c r="U17" s="16"/>
      <c r="V17" s="17"/>
      <c r="W17" s="17"/>
      <c r="X17" s="17"/>
      <c r="Y17" s="17"/>
      <c r="Z17" s="17"/>
      <c r="AA17" s="17"/>
    </row>
    <row r="18" spans="1:27" s="37" customFormat="1" ht="24.9" customHeight="1">
      <c r="A18" s="34" t="s">
        <v>30</v>
      </c>
      <c r="B18" s="25" t="s">
        <v>31</v>
      </c>
      <c r="C18" s="50">
        <v>74679</v>
      </c>
      <c r="D18" s="51">
        <v>74619</v>
      </c>
      <c r="E18" s="52"/>
      <c r="F18" s="20">
        <v>74166</v>
      </c>
      <c r="G18" s="52"/>
      <c r="H18" s="20">
        <v>73782</v>
      </c>
      <c r="I18" s="52"/>
      <c r="J18" s="35"/>
      <c r="K18" s="36"/>
      <c r="L18" s="36"/>
      <c r="M18" s="35"/>
      <c r="N18" s="35"/>
      <c r="O18" s="35"/>
      <c r="P18" s="35"/>
      <c r="Q18" s="35"/>
      <c r="R18" s="16"/>
      <c r="S18" s="16"/>
      <c r="T18" s="16"/>
      <c r="U18" s="16"/>
      <c r="V18" s="17"/>
      <c r="W18" s="17"/>
      <c r="X18" s="17"/>
      <c r="Y18" s="17"/>
      <c r="Z18" s="17"/>
      <c r="AA18" s="17"/>
    </row>
    <row r="19" spans="1:27" ht="24.9" customHeight="1">
      <c r="A19" s="18" t="s">
        <v>32</v>
      </c>
      <c r="B19" s="19" t="s">
        <v>33</v>
      </c>
      <c r="C19" s="50">
        <v>334008</v>
      </c>
      <c r="D19" s="51">
        <v>370269</v>
      </c>
      <c r="E19" s="52"/>
      <c r="F19" s="20">
        <v>389082</v>
      </c>
      <c r="G19" s="52"/>
      <c r="H19" s="20">
        <v>347171</v>
      </c>
      <c r="I19" s="52"/>
      <c r="J19" s="38"/>
      <c r="K19" s="16"/>
      <c r="R19" s="16"/>
      <c r="S19" s="16"/>
      <c r="T19" s="16"/>
      <c r="U19" s="16"/>
      <c r="V19" s="17"/>
      <c r="W19" s="17"/>
      <c r="X19" s="17"/>
      <c r="Y19" s="17"/>
      <c r="Z19" s="17"/>
      <c r="AA19" s="17"/>
    </row>
    <row r="20" spans="1:27" ht="24.9" customHeight="1">
      <c r="A20" s="34" t="s">
        <v>34</v>
      </c>
      <c r="B20" s="25" t="s">
        <v>35</v>
      </c>
      <c r="C20" s="50">
        <v>14033</v>
      </c>
      <c r="D20" s="51">
        <v>7858</v>
      </c>
      <c r="E20" s="52"/>
      <c r="F20" s="20">
        <v>9534</v>
      </c>
      <c r="G20" s="52"/>
      <c r="H20" s="20">
        <v>13125</v>
      </c>
      <c r="I20" s="52"/>
      <c r="L20" s="16"/>
      <c r="R20" s="16"/>
      <c r="S20" s="16"/>
      <c r="T20" s="16"/>
      <c r="U20" s="16"/>
      <c r="V20" s="17"/>
      <c r="W20" s="17"/>
      <c r="X20" s="17"/>
      <c r="Y20" s="17"/>
      <c r="Z20" s="17"/>
      <c r="AA20" s="17"/>
    </row>
    <row r="21" spans="1:27" ht="39" customHeight="1">
      <c r="A21" s="39" t="s">
        <v>36</v>
      </c>
      <c r="B21" s="40" t="s">
        <v>37</v>
      </c>
      <c r="C21" s="57">
        <v>276472</v>
      </c>
      <c r="D21" s="58">
        <v>272002</v>
      </c>
      <c r="E21" s="59"/>
      <c r="F21" s="58">
        <v>281530</v>
      </c>
      <c r="G21" s="59"/>
      <c r="H21" s="73">
        <v>292105</v>
      </c>
      <c r="I21" s="59"/>
      <c r="J21" s="16"/>
      <c r="R21" s="16"/>
      <c r="S21" s="16"/>
      <c r="T21" s="16"/>
      <c r="U21" s="16"/>
      <c r="V21" s="17"/>
      <c r="W21" s="17"/>
      <c r="X21" s="17"/>
      <c r="Y21" s="17"/>
      <c r="Z21" s="17"/>
      <c r="AA21" s="17"/>
    </row>
    <row r="22" spans="1:27" ht="15.6">
      <c r="A22" s="41" t="s">
        <v>38</v>
      </c>
      <c r="B22" s="42"/>
      <c r="C22" s="43"/>
      <c r="D22" s="43"/>
      <c r="E22" s="43"/>
      <c r="F22" s="43"/>
      <c r="G22" s="43"/>
      <c r="H22" s="43"/>
      <c r="I22" s="43"/>
      <c r="J22" s="44"/>
    </row>
    <row r="23" spans="1:27" ht="15.6">
      <c r="A23" s="45" t="s">
        <v>39</v>
      </c>
      <c r="B23" s="42"/>
      <c r="C23" s="43"/>
      <c r="D23" s="43"/>
      <c r="E23" s="43"/>
      <c r="F23" s="43"/>
      <c r="G23" s="43"/>
      <c r="H23" s="43"/>
      <c r="I23" s="43"/>
      <c r="J23" s="44"/>
    </row>
    <row r="24" spans="1:27" ht="18.75" customHeight="1">
      <c r="A24" s="45" t="s">
        <v>40</v>
      </c>
      <c r="B24" s="42"/>
    </row>
  </sheetData>
  <mergeCells count="17">
    <mergeCell ref="H5:I5"/>
    <mergeCell ref="D9:D10"/>
    <mergeCell ref="E9:E10"/>
    <mergeCell ref="B2:H2"/>
    <mergeCell ref="B3:H3"/>
    <mergeCell ref="A4:H4"/>
    <mergeCell ref="A6:B6"/>
    <mergeCell ref="D6:E6"/>
    <mergeCell ref="D7:E7"/>
    <mergeCell ref="H6:I6"/>
    <mergeCell ref="H7:I7"/>
    <mergeCell ref="F6:G6"/>
    <mergeCell ref="F7:G7"/>
    <mergeCell ref="F9:F10"/>
    <mergeCell ref="G9:G10"/>
    <mergeCell ref="I9:I10"/>
    <mergeCell ref="H9:H10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9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  </vt:lpstr>
      <vt:lpstr>'2019-2020  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Abdelnabi</dc:creator>
  <cp:lastModifiedBy>Hanaa Kamal</cp:lastModifiedBy>
  <cp:lastPrinted>2023-03-23T09:19:38Z</cp:lastPrinted>
  <dcterms:created xsi:type="dcterms:W3CDTF">2020-11-24T10:55:29Z</dcterms:created>
  <dcterms:modified xsi:type="dcterms:W3CDTF">2023-03-23T09:20:53Z</dcterms:modified>
</cp:coreProperties>
</file>