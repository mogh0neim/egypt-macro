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debt\for upload - Khaled &amp; Hanaa &amp; Wafaa (final 18 May 2021)\NIB\"/>
    </mc:Choice>
  </mc:AlternateContent>
  <xr:revisionPtr revIDLastSave="0" documentId="13_ncr:1_{5FC52739-5069-4170-80C6-A19409E63BE7}" xr6:coauthVersionLast="36" xr6:coauthVersionMax="36" xr10:uidLastSave="{00000000-0000-0000-0000-000000000000}"/>
  <bookViews>
    <workbookView xWindow="-60" yWindow="168" windowWidth="9216" windowHeight="11520" tabRatio="722" xr2:uid="{00000000-000D-0000-FFFF-FFFF00000000}"/>
  </bookViews>
  <sheets>
    <sheet name="NIB_Annual" sheetId="29" r:id="rId1"/>
  </sheets>
  <definedNames>
    <definedName name="_xlnm.Print_Area" localSheetId="0">NIB_Annual!$A$2:$T$24</definedName>
    <definedName name="_xlnm.Print_Titles" localSheetId="0">NIB_Annual!$A:$B,NIB_Annual!$4:$5</definedName>
  </definedNames>
  <calcPr calcId="191029" fullPrecision="0"/>
</workbook>
</file>

<file path=xl/calcChain.xml><?xml version="1.0" encoding="utf-8"?>
<calcChain xmlns="http://schemas.openxmlformats.org/spreadsheetml/2006/main">
  <c r="R8" i="29" l="1"/>
  <c r="R21" i="29" s="1"/>
  <c r="R16" i="29" s="1"/>
  <c r="Q8" i="29" l="1"/>
  <c r="Q21" i="29" s="1"/>
  <c r="Q16" i="29" s="1"/>
  <c r="P8" i="29" l="1"/>
  <c r="P21" i="29" s="1"/>
  <c r="P16" i="29" s="1"/>
  <c r="O8" i="29" l="1"/>
  <c r="O21" i="29" s="1"/>
  <c r="O16" i="29" s="1"/>
  <c r="N8" i="29" l="1"/>
  <c r="N21" i="29" s="1"/>
  <c r="N16" i="29" s="1"/>
  <c r="M8" i="29" l="1"/>
  <c r="M21" i="29" s="1"/>
  <c r="M16" i="29" s="1"/>
  <c r="L8" i="29" l="1"/>
  <c r="L21" i="29" s="1"/>
  <c r="L16" i="29" s="1"/>
  <c r="J8" i="29" l="1"/>
  <c r="J16" i="29"/>
  <c r="K16" i="29"/>
  <c r="K8" i="29" l="1"/>
  <c r="I8" i="29"/>
  <c r="H8" i="29"/>
  <c r="G8" i="29"/>
  <c r="F8" i="29"/>
  <c r="E8" i="29"/>
  <c r="D8" i="29"/>
  <c r="D21" i="29" l="1"/>
  <c r="D16" i="29" s="1"/>
  <c r="H21" i="29"/>
  <c r="H16" i="29" s="1"/>
  <c r="E21" i="29"/>
  <c r="E16" i="29" s="1"/>
  <c r="G21" i="29"/>
  <c r="G16" i="29" s="1"/>
  <c r="I21" i="29"/>
  <c r="I16" i="29" s="1"/>
  <c r="F21" i="29"/>
  <c r="F16" i="29" s="1"/>
  <c r="C8" i="29"/>
  <c r="C21" i="29" l="1"/>
  <c r="C16" i="29" s="1"/>
</calcChain>
</file>

<file path=xl/sharedStrings.xml><?xml version="1.0" encoding="utf-8"?>
<sst xmlns="http://schemas.openxmlformats.org/spreadsheetml/2006/main" count="37" uniqueCount="37">
  <si>
    <t xml:space="preserve">وفقا للمنهجية الجديدة الخاصة بعرض بيانات البترول </t>
  </si>
  <si>
    <t>البيانات اولية وقابلة للتعديل  وغير قابلة للنشر</t>
  </si>
  <si>
    <t>( LE mn )</t>
  </si>
  <si>
    <t>Liabilities :of which</t>
  </si>
  <si>
    <t xml:space="preserve"> Social Insurance Fund for Gov. Employees</t>
  </si>
  <si>
    <t xml:space="preserve"> Social Insurance Fund for Pub. &amp; Priv. Business Sectors Employees</t>
  </si>
  <si>
    <t xml:space="preserve"> Accumulated  interest on investment certificates (category A)</t>
  </si>
  <si>
    <t>Assets :of which</t>
  </si>
  <si>
    <t xml:space="preserve"> Loans to government</t>
  </si>
  <si>
    <t xml:space="preserve"> Investments in government securities (bills and bonds)</t>
  </si>
  <si>
    <t xml:space="preserve"> Deposits of the NIB with the banking system</t>
  </si>
  <si>
    <t>. صندوق التأمين الاجتماعى للعاملين بالحكومة</t>
  </si>
  <si>
    <t>. صندوق التأمين الاجتماعى للعاملين بقطاعى الأعمال العام والخاص</t>
  </si>
  <si>
    <t>. حصيلة شهادات الاستثمار</t>
  </si>
  <si>
    <t>. حصيلة سندات التنمية الدولارية</t>
  </si>
  <si>
    <t>. ودائع صندوق توفير البريد</t>
  </si>
  <si>
    <t xml:space="preserve">.ودائع بنك الاستثمار القومى لدى الجهاز المصرفى </t>
  </si>
  <si>
    <t>. العوائد المتراكمة لشهادات الاستثمار مجموعة (أ)</t>
  </si>
  <si>
    <r>
      <t xml:space="preserve"> </t>
    </r>
    <r>
      <rPr>
        <b/>
        <u/>
        <sz val="14"/>
        <rFont val="Arial"/>
        <family val="2"/>
      </rPr>
      <t>- الأصول : منها</t>
    </r>
  </si>
  <si>
    <t xml:space="preserve">End of June </t>
  </si>
  <si>
    <t>اقراض للحكومة</t>
  </si>
  <si>
    <t xml:space="preserve"> NIB Resources and Uses</t>
  </si>
  <si>
    <t xml:space="preserve"> Post office savings deposits</t>
  </si>
  <si>
    <t xml:space="preserve"> Proceeds of investment certificates</t>
  </si>
  <si>
    <t xml:space="preserve"> Proceeds of US dollar development bonds</t>
  </si>
  <si>
    <t xml:space="preserve"> Loans to public economic authorities</t>
  </si>
  <si>
    <t>. اقراض للهيئات العامة الاقتصادية</t>
  </si>
  <si>
    <t xml:space="preserve"> الخصوم  : منها</t>
  </si>
  <si>
    <t xml:space="preserve"> Lending to holding companies and affiliate units, concessional loans and others
 (Net NIB debt minus its intra-debt)</t>
  </si>
  <si>
    <t>.إستثمارات فى أوراق مالية حكومية (أذون وسندات)</t>
  </si>
  <si>
    <t>Source: Central Bank of Egypt - National Investment Bank.</t>
  </si>
  <si>
    <t>. اقراض للمساهمة فى الشركات القابضة والوحدات التابعة والقروض الميسرة وأخرى
 (صافى مديونية بنك الاستثمار القومى مطروحا منه المديونية البينية )</t>
  </si>
  <si>
    <t>*  Balances transferred to the Ministry of Finance from the two funds, pursuant to the Social Insurance and Pension  Law No. 148 issued on 19 August 2019.</t>
  </si>
  <si>
    <t>** Including deposits of the private insurance funds, alternative insurance funds, deposits of various authorities and others.</t>
  </si>
  <si>
    <t xml:space="preserve"> Others **</t>
  </si>
  <si>
    <r>
      <t xml:space="preserve">   . أخرى </t>
    </r>
    <r>
      <rPr>
        <sz val="13"/>
        <rFont val="Arial"/>
        <family val="2"/>
      </rPr>
      <t>**</t>
    </r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</si>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</sst>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</numFmts>
  <fonts count="23">
    <font>
      <sz val="10"/>
      <name val="Arial"/>
      <charset val="178"/>
    </font>
    <font>
      <sz val="10"/>
      <name val="Arial"/>
      <family val="2"/>
      <charset val="178"/>
    </font>
    <font>
      <sz val="14"/>
      <name val="Times New (W1)"/>
      <family val="1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u/>
      <sz val="18"/>
      <name val="Arial"/>
      <family val="2"/>
    </font>
    <font>
      <i/>
      <sz val="12"/>
      <name val="Arial"/>
      <family val="2"/>
    </font>
    <font>
      <b/>
      <sz val="18"/>
      <name val="Arial"/>
      <family val="2"/>
    </font>
    <font>
      <sz val="10"/>
      <name val="Arabic Transparent"/>
      <charset val="178"/>
    </font>
    <font>
      <i/>
      <sz val="13"/>
      <name val="Arial"/>
      <family val="2"/>
    </font>
    <font>
      <sz val="10"/>
      <name val="Arial"/>
      <family val="2"/>
    </font>
    <font>
      <b/>
      <u/>
      <sz val="14"/>
      <name val="Times New Roman"/>
      <family val="1"/>
    </font>
    <font>
      <b/>
      <u/>
      <sz val="14"/>
      <name val="Times New (W1)"/>
      <charset val="178"/>
    </font>
    <font>
      <sz val="13"/>
      <name val="Times New (W1)"/>
      <charset val="178"/>
    </font>
    <font>
      <sz val="12"/>
      <name val="Times New Roman"/>
      <family val="1"/>
    </font>
    <font>
      <b/>
      <sz val="12"/>
      <name val="Arial"/>
      <family val="2"/>
      <charset val="178"/>
    </font>
    <font>
      <sz val="10"/>
      <name val="MS Sans Serif"/>
      <family val="2"/>
      <charset val="178"/>
    </font>
    <font>
      <b/>
      <u/>
      <sz val="14"/>
      <name val="Arial"/>
      <family val="2"/>
    </font>
    <font>
      <b/>
      <u/>
      <sz val="16"/>
      <name val="Times New (W1)"/>
      <family val="1"/>
    </font>
    <font>
      <b/>
      <sz val="14"/>
      <name val="Arial"/>
      <family val="2"/>
    </font>
    <font>
      <sz val="13"/>
      <name val="Arial"/>
      <family val="2"/>
    </font>
    <font>
      <u/>
      <sz val="14"/>
      <name val="Times New (W1)"/>
      <charset val="178"/>
    </font>
    <font>
      <sz val="14"/>
      <name val="Times New (W1)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66FFFF"/>
      </left>
      <right style="double">
        <color rgb="FF66FFFF"/>
      </right>
      <top style="double">
        <color rgb="FF66FFFF"/>
      </top>
      <bottom style="double">
        <color rgb="FF66FFFF"/>
      </bottom>
      <diagonal/>
    </border>
    <border>
      <left style="double">
        <color rgb="FF66FFFF"/>
      </left>
      <right/>
      <top style="double">
        <color rgb="FF66FFFF"/>
      </top>
      <bottom style="double">
        <color rgb="FF66FFFF"/>
      </bottom>
      <diagonal/>
    </border>
    <border>
      <left/>
      <right style="double">
        <color rgb="FF66FFFF"/>
      </right>
      <top style="double">
        <color rgb="FF66FFFF"/>
      </top>
      <bottom style="double">
        <color rgb="FF66FFFF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rgb="FF66FFFF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8" fillId="0" borderId="0" applyNumberFormat="0">
      <alignment horizontal="right"/>
    </xf>
    <xf numFmtId="0" fontId="10" fillId="0" borderId="0"/>
    <xf numFmtId="0" fontId="10" fillId="0" borderId="0"/>
    <xf numFmtId="0" fontId="16" fillId="0" borderId="0"/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7" fontId="14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0" applyFont="1" applyFill="1" applyAlignment="1">
      <alignment readingOrder="1"/>
    </xf>
    <xf numFmtId="0" fontId="6" fillId="0" borderId="0" xfId="0" applyFont="1"/>
    <xf numFmtId="0" fontId="0" fillId="0" borderId="0" xfId="0" applyFill="1"/>
    <xf numFmtId="0" fontId="9" fillId="0" borderId="0" xfId="0" applyFont="1"/>
    <xf numFmtId="0" fontId="4" fillId="0" borderId="0" xfId="0" applyFont="1"/>
    <xf numFmtId="0" fontId="14" fillId="3" borderId="2" xfId="2" applyFont="1" applyFill="1" applyBorder="1" applyAlignment="1">
      <alignment horizontal="left" vertical="center" indent="1"/>
    </xf>
    <xf numFmtId="0" fontId="14" fillId="3" borderId="0" xfId="2" applyFont="1" applyFill="1" applyBorder="1" applyAlignment="1">
      <alignment horizontal="left" vertical="center" indent="1"/>
    </xf>
    <xf numFmtId="0" fontId="0" fillId="0" borderId="0" xfId="0" applyBorder="1"/>
    <xf numFmtId="0" fontId="13" fillId="3" borderId="1" xfId="0" applyFont="1" applyFill="1" applyBorder="1" applyAlignment="1">
      <alignment horizontal="left" readingOrder="1"/>
    </xf>
    <xf numFmtId="0" fontId="11" fillId="3" borderId="1" xfId="2" applyFont="1" applyFill="1" applyBorder="1" applyAlignment="1">
      <alignment horizontal="left" vertical="center" readingOrder="1"/>
    </xf>
    <xf numFmtId="0" fontId="13" fillId="3" borderId="1" xfId="0" quotePrefix="1" applyFont="1" applyFill="1" applyBorder="1" applyAlignment="1">
      <alignment horizontal="left" readingOrder="1"/>
    </xf>
    <xf numFmtId="0" fontId="13" fillId="3" borderId="1" xfId="0" applyFont="1" applyFill="1" applyBorder="1" applyAlignment="1">
      <alignment horizontal="left" wrapText="1" readingOrder="1"/>
    </xf>
    <xf numFmtId="0" fontId="13" fillId="3" borderId="1" xfId="0" applyFont="1" applyFill="1" applyBorder="1" applyAlignment="1">
      <alignment horizontal="left" vertical="center" readingOrder="1"/>
    </xf>
    <xf numFmtId="0" fontId="0" fillId="0" borderId="0" xfId="0"/>
    <xf numFmtId="0" fontId="13" fillId="3" borderId="2" xfId="0" applyFont="1" applyFill="1" applyBorder="1" applyAlignment="1">
      <alignment horizontal="right" readingOrder="2"/>
    </xf>
    <xf numFmtId="0" fontId="13" fillId="3" borderId="2" xfId="0" applyFont="1" applyFill="1" applyBorder="1" applyAlignment="1">
      <alignment horizontal="right" vertical="center" readingOrder="2"/>
    </xf>
    <xf numFmtId="0" fontId="11" fillId="3" borderId="2" xfId="2" applyFont="1" applyFill="1" applyBorder="1" applyAlignment="1">
      <alignment horizontal="right" vertical="center" readingOrder="2"/>
    </xf>
    <xf numFmtId="0" fontId="13" fillId="3" borderId="2" xfId="0" quotePrefix="1" applyFont="1" applyFill="1" applyBorder="1" applyAlignment="1">
      <alignment horizontal="right" readingOrder="2"/>
    </xf>
    <xf numFmtId="3" fontId="12" fillId="0" borderId="1" xfId="0" applyNumberFormat="1" applyFont="1" applyFill="1" applyBorder="1" applyAlignment="1">
      <alignment horizontal="center" readingOrder="1"/>
    </xf>
    <xf numFmtId="3" fontId="2" fillId="0" borderId="1" xfId="0" applyNumberFormat="1" applyFont="1" applyFill="1" applyBorder="1" applyAlignment="1">
      <alignment horizontal="center" readingOrder="1"/>
    </xf>
    <xf numFmtId="0" fontId="18" fillId="2" borderId="4" xfId="0" applyFont="1" applyFill="1" applyBorder="1" applyAlignment="1">
      <alignment horizontal="center" vertical="center" wrapText="1" readingOrder="1"/>
    </xf>
    <xf numFmtId="0" fontId="14" fillId="3" borderId="7" xfId="2" applyFont="1" applyFill="1" applyBorder="1" applyAlignment="1">
      <alignment horizontal="left" vertical="center" indent="1"/>
    </xf>
    <xf numFmtId="0" fontId="7" fillId="0" borderId="0" xfId="0" applyFont="1" applyFill="1" applyAlignment="1">
      <alignment horizontal="center" vertical="center" readingOrder="1"/>
    </xf>
    <xf numFmtId="0" fontId="17" fillId="3" borderId="2" xfId="2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 readingOrder="1"/>
    </xf>
    <xf numFmtId="0" fontId="13" fillId="3" borderId="3" xfId="0" applyFont="1" applyFill="1" applyBorder="1" applyAlignment="1">
      <alignment horizontal="right" wrapText="1" readingOrder="2"/>
    </xf>
    <xf numFmtId="0" fontId="5" fillId="0" borderId="0" xfId="0" applyFont="1" applyFill="1" applyBorder="1" applyAlignment="1">
      <alignment horizontal="center" vertical="center" readingOrder="1"/>
    </xf>
    <xf numFmtId="0" fontId="7" fillId="0" borderId="0" xfId="0" applyFont="1" applyFill="1" applyAlignment="1">
      <alignment horizontal="center" vertical="center" readingOrder="1"/>
    </xf>
    <xf numFmtId="0" fontId="19" fillId="4" borderId="5" xfId="0" applyFont="1" applyFill="1" applyBorder="1" applyAlignment="1">
      <alignment horizontal="center" vertical="center" readingOrder="2"/>
    </xf>
    <xf numFmtId="0" fontId="19" fillId="4" borderId="6" xfId="0" applyFont="1" applyFill="1" applyBorder="1" applyAlignment="1">
      <alignment horizontal="center" vertical="center" readingOrder="2"/>
    </xf>
    <xf numFmtId="0" fontId="3" fillId="0" borderId="0" xfId="0" applyFont="1" applyFill="1" applyBorder="1" applyAlignment="1">
      <alignment horizontal="center" vertical="center" readingOrder="1"/>
    </xf>
    <xf numFmtId="0" fontId="15" fillId="0" borderId="8" xfId="2" quotePrefix="1" applyFont="1" applyBorder="1" applyAlignment="1">
      <alignment horizontal="right"/>
    </xf>
    <xf numFmtId="3" fontId="12" fillId="0" borderId="0" xfId="0" applyNumberFormat="1" applyFont="1" applyFill="1" applyBorder="1" applyAlignment="1">
      <alignment horizontal="center" readingOrder="1"/>
    </xf>
    <xf numFmtId="3" fontId="2" fillId="0" borderId="0" xfId="0" applyNumberFormat="1" applyFont="1" applyFill="1" applyBorder="1" applyAlignment="1">
      <alignment horizontal="center" readingOrder="1"/>
    </xf>
    <xf numFmtId="3" fontId="12" fillId="0" borderId="2" xfId="0" applyNumberFormat="1" applyFont="1" applyFill="1" applyBorder="1" applyAlignment="1">
      <alignment horizontal="center" readingOrder="1"/>
    </xf>
    <xf numFmtId="3" fontId="2" fillId="0" borderId="2" xfId="0" applyNumberFormat="1" applyFont="1" applyFill="1" applyBorder="1" applyAlignment="1">
      <alignment horizontal="center" readingOrder="1"/>
    </xf>
    <xf numFmtId="3" fontId="21" fillId="0" borderId="9" xfId="0" applyNumberFormat="1" applyFont="1" applyFill="1" applyBorder="1" applyAlignment="1">
      <alignment horizontal="center" readingOrder="1"/>
    </xf>
    <xf numFmtId="3" fontId="2" fillId="0" borderId="0" xfId="0" applyNumberFormat="1" applyFont="1" applyFill="1" applyBorder="1" applyAlignment="1">
      <alignment horizontal="center" vertical="center" readingOrder="1"/>
    </xf>
    <xf numFmtId="3" fontId="22" fillId="0" borderId="9" xfId="0" applyNumberFormat="1" applyFont="1" applyFill="1" applyBorder="1" applyAlignment="1">
      <alignment horizontal="center" readingOrder="1"/>
    </xf>
    <xf numFmtId="0" fontId="18" fillId="2" borderId="5" xfId="0" applyFont="1" applyFill="1" applyBorder="1" applyAlignment="1">
      <alignment horizontal="center" vertical="center" wrapText="1" readingOrder="1"/>
    </xf>
    <xf numFmtId="0" fontId="18" fillId="2" borderId="6" xfId="0" applyFont="1" applyFill="1" applyBorder="1" applyAlignment="1">
      <alignment horizontal="center" vertical="center" wrapText="1" readingOrder="1"/>
    </xf>
    <xf numFmtId="3" fontId="22" fillId="0" borderId="10" xfId="0" applyNumberFormat="1" applyFont="1" applyFill="1" applyBorder="1" applyAlignment="1">
      <alignment horizontal="center" readingOrder="1"/>
    </xf>
  </cellXfs>
  <cellStyles count="9">
    <cellStyle name="MS_Arabic" xfId="1" xr:uid="{00000000-0005-0000-0000-000000000000}"/>
    <cellStyle name="Normal" xfId="0" builtinId="0"/>
    <cellStyle name="Normal 2" xfId="3" xr:uid="{00000000-0005-0000-0000-000002000000}"/>
    <cellStyle name="Normal_wafaa file_12_22-24_26-34" xfId="2" xr:uid="{00000000-0005-0000-0000-000003000000}"/>
    <cellStyle name="عادي_artim" xfId="4" xr:uid="{00000000-0005-0000-0000-000004000000}"/>
    <cellStyle name="عملة [0]_رسم" xfId="5" xr:uid="{00000000-0005-0000-0000-000005000000}"/>
    <cellStyle name="عملة_رسم" xfId="6" xr:uid="{00000000-0005-0000-0000-000006000000}"/>
    <cellStyle name="فاصلة [0]_رسم" xfId="7" xr:uid="{00000000-0005-0000-0000-000007000000}"/>
    <cellStyle name="فاصلة_رسم" xfId="8" xr:uid="{00000000-0005-0000-0000-00000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1062832</xdr:colOff>
      <xdr:row>8</xdr:row>
      <xdr:rowOff>69850</xdr:rowOff>
    </xdr:from>
    <xdr:to>
      <xdr:col>18</xdr:col>
      <xdr:colOff>47884</xdr:colOff>
      <xdr:row>9</xdr:row>
      <xdr:rowOff>331788</xdr:rowOff>
    </xdr:to>
    <xdr:sp macro="" textlink="">
      <xdr:nvSpPr>
        <xdr:cNvPr id="2" name="Left Brace 1">
          <a:extLst>
            <a:ext uri="{FF2B5EF4-FFF2-40B4-BE49-F238E27FC236}">
              <a16:creationId xmlns:a16="http://schemas.microsoft.com/office/drawing/2014/main" id="{E58E0F8D-91C9-4A6D-A352-8C02A499BC82}"/>
            </a:ext>
          </a:extLst>
        </xdr:cNvPr>
        <xdr:cNvSpPr/>
      </xdr:nvSpPr>
      <xdr:spPr>
        <a:xfrm rot="10800000">
          <a:off x="30780832" y="2673350"/>
          <a:ext cx="255052" cy="693738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1" anchor="t"/>
        <a:lstStyle/>
        <a:p>
          <a:endParaRPr lang="en-US"/>
        </a:p>
      </xdr:txBody>
    </xdr:sp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abSelected="1" view="pageBreakPreview" topLeftCell="G4" zoomScale="60" zoomScaleNormal="75" workbookViewId="0">
      <selection activeCell="A6" sqref="A6:S6"/>
    </sheetView>
  </sheetViews>
  <sheetFormatPr defaultColWidth="9.109375" defaultRowHeight="13.2"/>
  <cols>
    <col min="1" max="1" width="72.88671875" style="14" customWidth="1"/>
    <col min="2" max="2" width="82.5546875" style="1" customWidth="1"/>
    <col min="3" max="18" width="18.44140625" style="14" customWidth="1"/>
    <col min="19" max="19" width="4" style="14" customWidth="1"/>
    <col min="20" max="16384" width="9.109375" style="14"/>
  </cols>
  <sheetData>
    <row r="1" spans="1:19" ht="15" hidden="1" customHeight="1"/>
    <row r="2" spans="1:19" ht="22.8" hidden="1">
      <c r="B2" s="27" t="s">
        <v>1</v>
      </c>
      <c r="C2" s="27"/>
      <c r="D2" s="8"/>
      <c r="E2" s="8"/>
      <c r="F2" s="8"/>
      <c r="G2" s="8"/>
      <c r="H2" s="8"/>
      <c r="I2" s="8"/>
      <c r="J2" s="8"/>
      <c r="K2" s="8"/>
      <c r="L2" s="8"/>
    </row>
    <row r="3" spans="1:19" ht="22.8" hidden="1">
      <c r="B3" s="28" t="s">
        <v>0</v>
      </c>
      <c r="C3" s="28"/>
      <c r="D3" s="8"/>
      <c r="E3" s="8"/>
      <c r="F3" s="8"/>
      <c r="G3" s="8"/>
      <c r="H3" s="8"/>
      <c r="I3" s="8"/>
      <c r="J3" s="8"/>
      <c r="K3" s="8"/>
      <c r="L3" s="8"/>
    </row>
    <row r="4" spans="1:19" ht="22.8">
      <c r="B4" s="23"/>
      <c r="C4" s="23"/>
      <c r="D4" s="8"/>
      <c r="E4" s="8"/>
      <c r="F4" s="8"/>
      <c r="G4" s="8"/>
      <c r="H4" s="8"/>
      <c r="I4" s="8"/>
      <c r="J4" s="8"/>
      <c r="K4" s="8"/>
      <c r="L4" s="8"/>
    </row>
    <row r="5" spans="1:19" s="3" customFormat="1" ht="45" customHeight="1">
      <c r="A5" s="31" t="s">
        <v>21</v>
      </c>
      <c r="B5" s="31"/>
      <c r="C5" s="31"/>
      <c r="D5" s="31"/>
      <c r="E5" s="31"/>
      <c r="F5" s="25"/>
      <c r="G5" s="25"/>
      <c r="H5" s="25"/>
      <c r="I5" s="25"/>
      <c r="J5" s="25"/>
      <c r="K5" s="25"/>
      <c r="L5" s="25"/>
      <c r="M5" s="25"/>
      <c r="N5" s="25"/>
    </row>
    <row r="6" spans="1:19" s="3" customFormat="1" ht="45" customHeight="1" thickBot="1">
      <c r="A6" s="32" t="s">
        <v>2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1:19" ht="60.75" customHeight="1" thickTop="1" thickBot="1">
      <c r="A7" s="29" t="s">
        <v>19</v>
      </c>
      <c r="B7" s="30"/>
      <c r="C7" s="21">
        <v>2005</v>
      </c>
      <c r="D7" s="21">
        <v>2006</v>
      </c>
      <c r="E7" s="21">
        <v>2007</v>
      </c>
      <c r="F7" s="21">
        <v>2008</v>
      </c>
      <c r="G7" s="21">
        <v>2009</v>
      </c>
      <c r="H7" s="21">
        <v>2010</v>
      </c>
      <c r="I7" s="21">
        <v>2011</v>
      </c>
      <c r="J7" s="21">
        <v>2012</v>
      </c>
      <c r="K7" s="21">
        <v>2013</v>
      </c>
      <c r="L7" s="21">
        <v>2014</v>
      </c>
      <c r="M7" s="21">
        <v>2015</v>
      </c>
      <c r="N7" s="21">
        <v>2016</v>
      </c>
      <c r="O7" s="21">
        <v>2017</v>
      </c>
      <c r="P7" s="21">
        <v>2018</v>
      </c>
      <c r="Q7" s="21">
        <v>2019</v>
      </c>
      <c r="R7" s="40">
        <v>2020</v>
      </c>
      <c r="S7" s="41"/>
    </row>
    <row r="8" spans="1:19" ht="30.75" customHeight="1" thickTop="1">
      <c r="A8" s="24" t="s">
        <v>27</v>
      </c>
      <c r="B8" s="10" t="s">
        <v>3</v>
      </c>
      <c r="C8" s="19">
        <f>C9+C10+C11+C12+C13+C14+C15</f>
        <v>321393</v>
      </c>
      <c r="D8" s="19">
        <f t="shared" ref="D8:I8" si="0">SUM(D9:D15)</f>
        <v>354962</v>
      </c>
      <c r="E8" s="19">
        <f t="shared" si="0"/>
        <v>169152</v>
      </c>
      <c r="F8" s="19">
        <f t="shared" si="0"/>
        <v>193071</v>
      </c>
      <c r="G8" s="19">
        <f t="shared" si="0"/>
        <v>205560</v>
      </c>
      <c r="H8" s="19">
        <f t="shared" si="0"/>
        <v>227769</v>
      </c>
      <c r="I8" s="19">
        <f t="shared" si="0"/>
        <v>240851</v>
      </c>
      <c r="J8" s="19">
        <f t="shared" ref="J8:R8" si="1">J9+J10+J11+J12+J13+J14+J15</f>
        <v>253679</v>
      </c>
      <c r="K8" s="19">
        <f t="shared" si="1"/>
        <v>268388</v>
      </c>
      <c r="L8" s="19">
        <f t="shared" si="1"/>
        <v>282674</v>
      </c>
      <c r="M8" s="19">
        <f t="shared" si="1"/>
        <v>295339</v>
      </c>
      <c r="N8" s="19">
        <f t="shared" si="1"/>
        <v>315201</v>
      </c>
      <c r="O8" s="19">
        <f t="shared" si="1"/>
        <v>344080</v>
      </c>
      <c r="P8" s="19">
        <f t="shared" si="1"/>
        <v>484045</v>
      </c>
      <c r="Q8" s="35">
        <f t="shared" si="1"/>
        <v>643252</v>
      </c>
      <c r="R8" s="33">
        <f t="shared" si="1"/>
        <v>726183</v>
      </c>
      <c r="S8" s="37"/>
    </row>
    <row r="9" spans="1:19" s="5" customFormat="1" ht="33.75" customHeight="1">
      <c r="A9" s="15" t="s">
        <v>11</v>
      </c>
      <c r="B9" s="9" t="s">
        <v>4</v>
      </c>
      <c r="C9" s="20">
        <v>122913</v>
      </c>
      <c r="D9" s="20">
        <v>135735</v>
      </c>
      <c r="E9" s="20">
        <v>27428</v>
      </c>
      <c r="F9" s="20">
        <v>29076</v>
      </c>
      <c r="G9" s="20">
        <v>29638</v>
      </c>
      <c r="H9" s="20">
        <v>31613</v>
      </c>
      <c r="I9" s="20">
        <v>32982</v>
      </c>
      <c r="J9" s="20">
        <v>34999</v>
      </c>
      <c r="K9" s="20">
        <v>38499</v>
      </c>
      <c r="L9" s="20">
        <v>40580</v>
      </c>
      <c r="M9" s="20">
        <v>41524</v>
      </c>
      <c r="N9" s="20">
        <v>32264</v>
      </c>
      <c r="O9" s="20">
        <v>33407</v>
      </c>
      <c r="P9" s="20">
        <v>35382</v>
      </c>
      <c r="Q9" s="36">
        <v>36542</v>
      </c>
      <c r="R9" s="38">
        <v>55328</v>
      </c>
      <c r="S9" s="39" t="s">
        <v>36</v>
      </c>
    </row>
    <row r="10" spans="1:19" s="4" customFormat="1" ht="30.75" customHeight="1">
      <c r="A10" s="15" t="s">
        <v>12</v>
      </c>
      <c r="B10" s="11" t="s">
        <v>5</v>
      </c>
      <c r="C10" s="20">
        <v>96093</v>
      </c>
      <c r="D10" s="20">
        <v>105703</v>
      </c>
      <c r="E10" s="20">
        <v>20574</v>
      </c>
      <c r="F10" s="20">
        <v>22632</v>
      </c>
      <c r="G10" s="20">
        <v>24895</v>
      </c>
      <c r="H10" s="20">
        <v>27384</v>
      </c>
      <c r="I10" s="20">
        <v>29663</v>
      </c>
      <c r="J10" s="20">
        <v>29765</v>
      </c>
      <c r="K10" s="20">
        <v>30249</v>
      </c>
      <c r="L10" s="20">
        <v>31441</v>
      </c>
      <c r="M10" s="20">
        <v>32757</v>
      </c>
      <c r="N10" s="20">
        <v>23637</v>
      </c>
      <c r="O10" s="20">
        <v>22581</v>
      </c>
      <c r="P10" s="20">
        <v>21384</v>
      </c>
      <c r="Q10" s="36">
        <v>19548</v>
      </c>
      <c r="R10" s="38"/>
      <c r="S10" s="39"/>
    </row>
    <row r="11" spans="1:19" s="4" customFormat="1" ht="27.75" customHeight="1">
      <c r="A11" s="15" t="s">
        <v>13</v>
      </c>
      <c r="B11" s="9" t="s">
        <v>23</v>
      </c>
      <c r="C11" s="20">
        <v>58485</v>
      </c>
      <c r="D11" s="20">
        <v>64038</v>
      </c>
      <c r="E11" s="20">
        <v>68485</v>
      </c>
      <c r="F11" s="20">
        <v>79232</v>
      </c>
      <c r="G11" s="20">
        <v>81454</v>
      </c>
      <c r="H11" s="20">
        <v>91134</v>
      </c>
      <c r="I11" s="20">
        <v>94635</v>
      </c>
      <c r="J11" s="20">
        <v>97904</v>
      </c>
      <c r="K11" s="20">
        <v>102253</v>
      </c>
      <c r="L11" s="20">
        <v>108451</v>
      </c>
      <c r="M11" s="20">
        <v>108938</v>
      </c>
      <c r="N11" s="20">
        <v>138265</v>
      </c>
      <c r="O11" s="20">
        <v>155947</v>
      </c>
      <c r="P11" s="20">
        <v>281289</v>
      </c>
      <c r="Q11" s="36">
        <v>424754</v>
      </c>
      <c r="R11" s="34">
        <v>490734</v>
      </c>
      <c r="S11" s="39"/>
    </row>
    <row r="12" spans="1:19" s="5" customFormat="1" ht="28.5" customHeight="1">
      <c r="A12" s="15" t="s">
        <v>17</v>
      </c>
      <c r="B12" s="11" t="s">
        <v>6</v>
      </c>
      <c r="C12" s="20">
        <v>6852</v>
      </c>
      <c r="D12" s="20">
        <v>7028</v>
      </c>
      <c r="E12" s="20">
        <v>7579</v>
      </c>
      <c r="F12" s="20">
        <v>7509</v>
      </c>
      <c r="G12" s="20">
        <v>8654</v>
      </c>
      <c r="H12" s="20">
        <v>8648</v>
      </c>
      <c r="I12" s="20">
        <v>8747</v>
      </c>
      <c r="J12" s="20">
        <v>8005</v>
      </c>
      <c r="K12" s="20">
        <v>7149</v>
      </c>
      <c r="L12" s="20">
        <v>7240</v>
      </c>
      <c r="M12" s="20">
        <v>7874</v>
      </c>
      <c r="N12" s="20">
        <v>7994</v>
      </c>
      <c r="O12" s="20">
        <v>7546</v>
      </c>
      <c r="P12" s="20">
        <v>7294</v>
      </c>
      <c r="Q12" s="36">
        <v>8288</v>
      </c>
      <c r="R12" s="34">
        <v>9485</v>
      </c>
      <c r="S12" s="39"/>
    </row>
    <row r="13" spans="1:19" s="4" customFormat="1" ht="31.5" customHeight="1">
      <c r="A13" s="15" t="s">
        <v>14</v>
      </c>
      <c r="B13" s="9" t="s">
        <v>24</v>
      </c>
      <c r="C13" s="20">
        <v>1418</v>
      </c>
      <c r="D13" s="20">
        <v>824</v>
      </c>
      <c r="E13" s="20">
        <v>483</v>
      </c>
      <c r="F13" s="20">
        <v>152</v>
      </c>
      <c r="G13" s="20">
        <v>11</v>
      </c>
      <c r="H13" s="20">
        <v>10</v>
      </c>
      <c r="I13" s="20">
        <v>9</v>
      </c>
      <c r="J13" s="20">
        <v>7</v>
      </c>
      <c r="K13" s="20">
        <v>6</v>
      </c>
      <c r="L13" s="20">
        <v>5</v>
      </c>
      <c r="M13" s="20">
        <v>5</v>
      </c>
      <c r="N13" s="20">
        <v>4</v>
      </c>
      <c r="O13" s="20">
        <v>4</v>
      </c>
      <c r="P13" s="20">
        <v>2</v>
      </c>
      <c r="Q13" s="36">
        <v>0</v>
      </c>
      <c r="R13" s="34">
        <v>0</v>
      </c>
      <c r="S13" s="39"/>
    </row>
    <row r="14" spans="1:19" s="4" customFormat="1" ht="30" customHeight="1">
      <c r="A14" s="15" t="s">
        <v>15</v>
      </c>
      <c r="B14" s="11" t="s">
        <v>22</v>
      </c>
      <c r="C14" s="20">
        <v>33902</v>
      </c>
      <c r="D14" s="20">
        <v>39097</v>
      </c>
      <c r="E14" s="20">
        <v>43518</v>
      </c>
      <c r="F14" s="20">
        <v>49255</v>
      </c>
      <c r="G14" s="20">
        <v>54487</v>
      </c>
      <c r="H14" s="20">
        <v>64837</v>
      </c>
      <c r="I14" s="20">
        <v>71978</v>
      </c>
      <c r="J14" s="20">
        <v>78852</v>
      </c>
      <c r="K14" s="20">
        <v>86382</v>
      </c>
      <c r="L14" s="20">
        <v>93376</v>
      </c>
      <c r="M14" s="20">
        <v>102297</v>
      </c>
      <c r="N14" s="20">
        <v>111044</v>
      </c>
      <c r="O14" s="20">
        <v>122271</v>
      </c>
      <c r="P14" s="20">
        <v>134431</v>
      </c>
      <c r="Q14" s="36">
        <v>149219</v>
      </c>
      <c r="R14" s="34">
        <v>164720</v>
      </c>
      <c r="S14" s="39"/>
    </row>
    <row r="15" spans="1:19" ht="33" customHeight="1">
      <c r="A15" s="16" t="s">
        <v>35</v>
      </c>
      <c r="B15" s="13" t="s">
        <v>34</v>
      </c>
      <c r="C15" s="20">
        <v>1730</v>
      </c>
      <c r="D15" s="20">
        <v>2537</v>
      </c>
      <c r="E15" s="20">
        <v>1085</v>
      </c>
      <c r="F15" s="20">
        <v>5215</v>
      </c>
      <c r="G15" s="20">
        <v>6421</v>
      </c>
      <c r="H15" s="20">
        <v>4143</v>
      </c>
      <c r="I15" s="20">
        <v>2837</v>
      </c>
      <c r="J15" s="20">
        <v>4147</v>
      </c>
      <c r="K15" s="20">
        <v>3850</v>
      </c>
      <c r="L15" s="20">
        <v>1581</v>
      </c>
      <c r="M15" s="20">
        <v>1944</v>
      </c>
      <c r="N15" s="20">
        <v>1993</v>
      </c>
      <c r="O15" s="20">
        <v>2324</v>
      </c>
      <c r="P15" s="20">
        <v>4263</v>
      </c>
      <c r="Q15" s="36">
        <v>4901</v>
      </c>
      <c r="R15" s="34">
        <v>5916</v>
      </c>
      <c r="S15" s="39"/>
    </row>
    <row r="16" spans="1:19" ht="24.9" customHeight="1">
      <c r="A16" s="17" t="s">
        <v>18</v>
      </c>
      <c r="B16" s="10" t="s">
        <v>7</v>
      </c>
      <c r="C16" s="19">
        <f t="shared" ref="C16:D16" si="2">SUM(C17:C21)</f>
        <v>321393</v>
      </c>
      <c r="D16" s="19">
        <f t="shared" si="2"/>
        <v>354962</v>
      </c>
      <c r="E16" s="19">
        <f>SUM(E18:E21)</f>
        <v>169152</v>
      </c>
      <c r="F16" s="19">
        <f t="shared" ref="F16:I16" si="3">SUM(F17:F21)</f>
        <v>193071</v>
      </c>
      <c r="G16" s="19">
        <f t="shared" si="3"/>
        <v>205560</v>
      </c>
      <c r="H16" s="19">
        <f t="shared" si="3"/>
        <v>227769</v>
      </c>
      <c r="I16" s="19">
        <f t="shared" si="3"/>
        <v>240851</v>
      </c>
      <c r="J16" s="19">
        <f t="shared" ref="J16:Q16" si="4">SUM(J17:J21)</f>
        <v>253679</v>
      </c>
      <c r="K16" s="19">
        <f t="shared" si="4"/>
        <v>268388</v>
      </c>
      <c r="L16" s="19">
        <f t="shared" si="4"/>
        <v>282674</v>
      </c>
      <c r="M16" s="19">
        <f t="shared" si="4"/>
        <v>295339</v>
      </c>
      <c r="N16" s="19">
        <f t="shared" si="4"/>
        <v>315201</v>
      </c>
      <c r="O16" s="19">
        <f t="shared" si="4"/>
        <v>344080</v>
      </c>
      <c r="P16" s="19">
        <f t="shared" si="4"/>
        <v>484045</v>
      </c>
      <c r="Q16" s="35">
        <f t="shared" si="4"/>
        <v>643252</v>
      </c>
      <c r="R16" s="33">
        <f t="shared" ref="R16" si="5">SUM(R17:R21)</f>
        <v>726183</v>
      </c>
      <c r="S16" s="37"/>
    </row>
    <row r="17" spans="1:19" ht="28.5" customHeight="1">
      <c r="A17" s="15" t="s">
        <v>20</v>
      </c>
      <c r="B17" s="9" t="s">
        <v>8</v>
      </c>
      <c r="C17" s="20">
        <v>143751</v>
      </c>
      <c r="D17" s="20">
        <v>142622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36">
        <v>0</v>
      </c>
      <c r="R17" s="34">
        <v>0</v>
      </c>
      <c r="S17" s="39"/>
    </row>
    <row r="18" spans="1:19" s="2" customFormat="1" ht="27.75" customHeight="1">
      <c r="A18" s="18" t="s">
        <v>26</v>
      </c>
      <c r="B18" s="11" t="s">
        <v>25</v>
      </c>
      <c r="C18" s="20">
        <v>58265</v>
      </c>
      <c r="D18" s="20">
        <v>50196</v>
      </c>
      <c r="E18" s="20">
        <v>51734</v>
      </c>
      <c r="F18" s="20">
        <v>51279</v>
      </c>
      <c r="G18" s="20">
        <v>50062</v>
      </c>
      <c r="H18" s="20">
        <v>51469</v>
      </c>
      <c r="I18" s="20">
        <v>52141</v>
      </c>
      <c r="J18" s="20">
        <v>52655</v>
      </c>
      <c r="K18" s="20">
        <v>51313</v>
      </c>
      <c r="L18" s="20">
        <v>52029</v>
      </c>
      <c r="M18" s="20">
        <v>52865</v>
      </c>
      <c r="N18" s="20">
        <v>51549</v>
      </c>
      <c r="O18" s="20">
        <v>51616</v>
      </c>
      <c r="P18" s="20">
        <v>71691</v>
      </c>
      <c r="Q18" s="36">
        <v>72032</v>
      </c>
      <c r="R18" s="34">
        <v>72032</v>
      </c>
      <c r="S18" s="39"/>
    </row>
    <row r="19" spans="1:19" ht="27.75" customHeight="1">
      <c r="A19" s="15" t="s">
        <v>29</v>
      </c>
      <c r="B19" s="9" t="s">
        <v>9</v>
      </c>
      <c r="C19" s="20">
        <v>6124</v>
      </c>
      <c r="D19" s="20">
        <v>6088</v>
      </c>
      <c r="E19" s="20">
        <v>6231</v>
      </c>
      <c r="F19" s="20">
        <v>8528</v>
      </c>
      <c r="G19" s="20">
        <v>9977</v>
      </c>
      <c r="H19" s="20">
        <v>13664</v>
      </c>
      <c r="I19" s="20">
        <v>15543</v>
      </c>
      <c r="J19" s="20">
        <v>13877</v>
      </c>
      <c r="K19" s="20">
        <v>12301</v>
      </c>
      <c r="L19" s="20">
        <v>9154</v>
      </c>
      <c r="M19" s="20">
        <v>7365</v>
      </c>
      <c r="N19" s="20">
        <v>26744</v>
      </c>
      <c r="O19" s="20">
        <v>32681</v>
      </c>
      <c r="P19" s="20">
        <v>144341</v>
      </c>
      <c r="Q19" s="36">
        <v>290643</v>
      </c>
      <c r="R19" s="34">
        <v>290643</v>
      </c>
      <c r="S19" s="39"/>
    </row>
    <row r="20" spans="1:19" ht="25.5" customHeight="1">
      <c r="A20" s="18" t="s">
        <v>16</v>
      </c>
      <c r="B20" s="11" t="s">
        <v>10</v>
      </c>
      <c r="C20" s="20">
        <v>4917</v>
      </c>
      <c r="D20" s="20">
        <v>3757</v>
      </c>
      <c r="E20" s="20">
        <v>2951</v>
      </c>
      <c r="F20" s="20">
        <v>3891</v>
      </c>
      <c r="G20" s="20">
        <v>4806</v>
      </c>
      <c r="H20" s="20">
        <v>5510</v>
      </c>
      <c r="I20" s="20">
        <v>2672</v>
      </c>
      <c r="J20" s="20">
        <v>2651</v>
      </c>
      <c r="K20" s="20">
        <v>1793</v>
      </c>
      <c r="L20" s="20">
        <v>1728</v>
      </c>
      <c r="M20" s="20">
        <v>1437</v>
      </c>
      <c r="N20" s="20">
        <v>5610</v>
      </c>
      <c r="O20" s="20">
        <v>7146</v>
      </c>
      <c r="P20" s="20">
        <v>11023</v>
      </c>
      <c r="Q20" s="36">
        <v>12234</v>
      </c>
      <c r="R20" s="34">
        <v>12234</v>
      </c>
      <c r="S20" s="39"/>
    </row>
    <row r="21" spans="1:19" ht="40.5" customHeight="1">
      <c r="A21" s="26" t="s">
        <v>31</v>
      </c>
      <c r="B21" s="12" t="s">
        <v>28</v>
      </c>
      <c r="C21" s="20">
        <f t="shared" ref="C21:I21" si="6">C8-C17-C18-C19-C20</f>
        <v>108336</v>
      </c>
      <c r="D21" s="20">
        <f t="shared" si="6"/>
        <v>152299</v>
      </c>
      <c r="E21" s="20">
        <f t="shared" si="6"/>
        <v>108236</v>
      </c>
      <c r="F21" s="20">
        <f t="shared" si="6"/>
        <v>129373</v>
      </c>
      <c r="G21" s="20">
        <f t="shared" si="6"/>
        <v>140715</v>
      </c>
      <c r="H21" s="20">
        <f t="shared" si="6"/>
        <v>157126</v>
      </c>
      <c r="I21" s="20">
        <f t="shared" si="6"/>
        <v>170495</v>
      </c>
      <c r="J21" s="20">
        <v>184496</v>
      </c>
      <c r="K21" s="20">
        <v>202981</v>
      </c>
      <c r="L21" s="20">
        <f>L8-L18-L19-L20</f>
        <v>219763</v>
      </c>
      <c r="M21" s="20">
        <f>M8-M18-M19-M20</f>
        <v>233672</v>
      </c>
      <c r="N21" s="20">
        <f>N8-N18-N19-N20</f>
        <v>231298</v>
      </c>
      <c r="O21" s="20">
        <f>O8-O18-O19-O20</f>
        <v>252637</v>
      </c>
      <c r="P21" s="20">
        <f>P8-P18-P19-P20</f>
        <v>256990</v>
      </c>
      <c r="Q21" s="36">
        <f t="shared" ref="Q21:R21" si="7">Q8-Q18-Q19-Q20</f>
        <v>268343</v>
      </c>
      <c r="R21" s="34">
        <f t="shared" si="7"/>
        <v>351274</v>
      </c>
      <c r="S21" s="42"/>
    </row>
    <row r="22" spans="1:19" s="8" customFormat="1" ht="15.6">
      <c r="A22" s="6" t="s">
        <v>30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7"/>
    </row>
    <row r="23" spans="1:19" s="8" customFormat="1" ht="15.6">
      <c r="A23" s="7" t="s">
        <v>32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 ht="15.6">
      <c r="A24" s="7" t="s">
        <v>33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</sheetData>
  <mergeCells count="7">
    <mergeCell ref="R9:R10"/>
    <mergeCell ref="R7:S7"/>
    <mergeCell ref="A6:S6"/>
    <mergeCell ref="B2:C2"/>
    <mergeCell ref="B3:C3"/>
    <mergeCell ref="A7:B7"/>
    <mergeCell ref="A5:E5"/>
  </mergeCells>
  <conditionalFormatting sqref="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8" scale="75" orientation="landscape" r:id="rId1"/>
  <headerFooter alignWithMargins="0"/>
  <colBreaks count="2" manualBreakCount="2">
    <brk id="8" min="1" max="23" man="1"/>
    <brk id="14" min="1" max="2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NIB_Annual</vt:lpstr>
      <vt:lpstr>NIB_Annual!Print_Area</vt:lpstr>
      <vt:lpstr>NIB_Annual!Print_Titles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mamdouh.marghany</dc:creator>
  <cp:lastModifiedBy>Hanaa Kamal</cp:lastModifiedBy>
  <cp:lastPrinted>2023-03-23T08:52:28Z</cp:lastPrinted>
  <dcterms:created xsi:type="dcterms:W3CDTF">2009-04-23T10:41:14Z</dcterms:created>
  <dcterms:modified xsi:type="dcterms:W3CDTF">2023-03-23T08:52:34Z</dcterms:modified>
</cp:coreProperties>
</file>