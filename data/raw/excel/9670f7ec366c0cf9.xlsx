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xl/calcChain.xml" ContentType="application/vnd.openxmlformats-officedocument.spreadsheetml.calcChain+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353"/>
  <workbookPr/>
  <mc:AlternateContent xmlns:mc="http://schemas.openxmlformats.org/markup-compatibility/2006">
    <mc:Choice Requires="x15">
      <x15ac:absPath xmlns:x15ac="http://schemas.microsoft.com/office/spreadsheetml/2010/11/ac" url="Z:\ميزان المدفوعات\ميزان المدفوعات\BOP(1)\Bop(2)\Time Series\2016-2017 + updates\"/>
    </mc:Choice>
  </mc:AlternateContent>
  <xr:revisionPtr revIDLastSave="0" documentId="13_ncr:1_{289C2394-E434-48FC-A755-C616C9DCDEBA}" xr6:coauthVersionLast="36" xr6:coauthVersionMax="36" xr10:uidLastSave="{00000000-0000-0000-0000-000000000000}"/>
  <bookViews>
    <workbookView xWindow="-15" yWindow="45" windowWidth="12000" windowHeight="9780" tabRatio="882" xr2:uid="{00000000-000D-0000-FFFF-FFFF00000000}"/>
  </bookViews>
  <sheets>
    <sheet name="2018-2019" sheetId="14" r:id="rId1"/>
  </sheets>
  <definedNames>
    <definedName name="_xlnm.Print_Area" localSheetId="0">'2018-2019'!$A$1:$F$72</definedName>
  </definedNames>
  <calcPr calcId="191029"/>
</workbook>
</file>

<file path=xl/calcChain.xml><?xml version="1.0" encoding="utf-8"?>
<calcChain xmlns="http://schemas.openxmlformats.org/spreadsheetml/2006/main">
  <c r="G69" i="14" l="1"/>
</calcChain>
</file>

<file path=xl/sharedStrings.xml><?xml version="1.0" encoding="utf-8"?>
<sst xmlns="http://schemas.openxmlformats.org/spreadsheetml/2006/main" count="138" uniqueCount="120">
  <si>
    <t xml:space="preserve">Balance of Payments  </t>
  </si>
  <si>
    <t>Q1</t>
  </si>
  <si>
    <t>الميزان التجارى</t>
  </si>
  <si>
    <t>Trade Balance</t>
  </si>
  <si>
    <t>حصيلة الصادرات</t>
  </si>
  <si>
    <t xml:space="preserve">   Exports proceeds</t>
  </si>
  <si>
    <t xml:space="preserve">  صادرات بترولية</t>
  </si>
  <si>
    <t xml:space="preserve">       Petroleum exports   </t>
  </si>
  <si>
    <t xml:space="preserve">  صادرات  اخرى                                                      </t>
  </si>
  <si>
    <t xml:space="preserve">       Other Exports</t>
  </si>
  <si>
    <t xml:space="preserve">مدفوعات عن الواردات </t>
  </si>
  <si>
    <t xml:space="preserve">   Import payments</t>
  </si>
  <si>
    <t xml:space="preserve">  ورادات بترولية</t>
  </si>
  <si>
    <t xml:space="preserve">       Petroleum imports</t>
  </si>
  <si>
    <t xml:space="preserve">  واردات  اخرى                                                        </t>
  </si>
  <si>
    <t xml:space="preserve">       Other Imports</t>
  </si>
  <si>
    <t>ميزان الخدمات</t>
  </si>
  <si>
    <t>Services Balance</t>
  </si>
  <si>
    <t>المتحصلات</t>
  </si>
  <si>
    <r>
      <t>Receipts</t>
    </r>
    <r>
      <rPr>
        <b/>
        <sz val="14"/>
        <rFont val="Times New (W1)"/>
        <family val="1"/>
      </rPr>
      <t xml:space="preserve"> </t>
    </r>
    <r>
      <rPr>
        <sz val="14"/>
        <rFont val="Times New (W1)"/>
        <family val="1"/>
      </rPr>
      <t xml:space="preserve"> </t>
    </r>
  </si>
  <si>
    <t xml:space="preserve"> السفر (الإيرادات السياحية)</t>
  </si>
  <si>
    <t xml:space="preserve">   Travel (tourism revenues)</t>
  </si>
  <si>
    <t>متحصلات حكومية</t>
  </si>
  <si>
    <t xml:space="preserve">   Government Receipts</t>
  </si>
  <si>
    <t>متحصلات اخرى</t>
  </si>
  <si>
    <t xml:space="preserve">   Others</t>
  </si>
  <si>
    <t>المدفوعات</t>
  </si>
  <si>
    <r>
      <t>Payments</t>
    </r>
    <r>
      <rPr>
        <sz val="14"/>
        <rFont val="Times New (W1)"/>
        <family val="1"/>
      </rPr>
      <t xml:space="preserve"> </t>
    </r>
  </si>
  <si>
    <t>النقل</t>
  </si>
  <si>
    <t xml:space="preserve">   Transportation </t>
  </si>
  <si>
    <t>السفر</t>
  </si>
  <si>
    <t xml:space="preserve">   Travel</t>
  </si>
  <si>
    <t>مصروفات الحكومة</t>
  </si>
  <si>
    <t xml:space="preserve">   Government Expenditures</t>
  </si>
  <si>
    <t>مدفوعات اخرى</t>
  </si>
  <si>
    <t>التحويلات</t>
  </si>
  <si>
    <t>Transfers</t>
  </si>
  <si>
    <t xml:space="preserve">   الرسمية (صافى)</t>
  </si>
  <si>
    <t>Official  (net)</t>
  </si>
  <si>
    <t>ميزان المعاملات الجارية</t>
  </si>
  <si>
    <t xml:space="preserve">Balance of Current Account </t>
  </si>
  <si>
    <t>Balance of Payments (cont.)</t>
  </si>
  <si>
    <t>الحساب الرأسمالى والمالي</t>
  </si>
  <si>
    <r>
      <t xml:space="preserve">  </t>
    </r>
    <r>
      <rPr>
        <b/>
        <u/>
        <sz val="14"/>
        <rFont val="Times New (W1)"/>
        <family val="1"/>
      </rPr>
      <t>Capital &amp; Financial Account</t>
    </r>
  </si>
  <si>
    <t>الحساب الرأسمالى</t>
  </si>
  <si>
    <r>
      <t xml:space="preserve">  </t>
    </r>
    <r>
      <rPr>
        <b/>
        <u/>
        <sz val="14"/>
        <rFont val="Times New (W1)"/>
        <family val="1"/>
      </rPr>
      <t>Capital Account</t>
    </r>
  </si>
  <si>
    <t xml:space="preserve"> الحساب المالي</t>
  </si>
  <si>
    <r>
      <t xml:space="preserve">  </t>
    </r>
    <r>
      <rPr>
        <b/>
        <u/>
        <sz val="14"/>
        <rFont val="Times New (W1)"/>
        <family val="1"/>
      </rPr>
      <t>Financial Account</t>
    </r>
  </si>
  <si>
    <t>الاستثمار المباشر في الخارج</t>
  </si>
  <si>
    <t>Direct Investment Abroad</t>
  </si>
  <si>
    <t xml:space="preserve">استثمار الحافظة فى الخارج </t>
  </si>
  <si>
    <t>Portfolio Investment Abroad</t>
  </si>
  <si>
    <t xml:space="preserve">الاستثمارات الاخرى(صافى) </t>
  </si>
  <si>
    <t xml:space="preserve">Other Investment (net) </t>
  </si>
  <si>
    <t xml:space="preserve">صافى الاقتراض </t>
  </si>
  <si>
    <t xml:space="preserve"> Net Borrowing</t>
  </si>
  <si>
    <t>قروض متوسطة وطويلة الاجل</t>
  </si>
  <si>
    <t xml:space="preserve">Medium- and Long - Term Loans </t>
  </si>
  <si>
    <t>المستخدم</t>
  </si>
  <si>
    <t xml:space="preserve">              Drawings</t>
  </si>
  <si>
    <t>المسدد</t>
  </si>
  <si>
    <t xml:space="preserve">              Repayments</t>
  </si>
  <si>
    <t xml:space="preserve"> تسهيلات موردين  متوسطة وطويلة الاجل</t>
  </si>
  <si>
    <t xml:space="preserve">Medium- and Long - Term Suppliers' Credit </t>
  </si>
  <si>
    <t>تسهيلات موردين قصيرة الأجل  (صافى)</t>
  </si>
  <si>
    <r>
      <t xml:space="preserve"> </t>
    </r>
    <r>
      <rPr>
        <u/>
        <sz val="12"/>
        <rFont val="Times New (W1)"/>
        <family val="1"/>
      </rPr>
      <t>ST Suppliers' Credit (net)</t>
    </r>
  </si>
  <si>
    <t xml:space="preserve"> الأصول الاخرى</t>
  </si>
  <si>
    <t>Other Assets</t>
  </si>
  <si>
    <t xml:space="preserve">البنك المركزى المصرى                                         </t>
  </si>
  <si>
    <t xml:space="preserve">              CBE</t>
  </si>
  <si>
    <t>بنوك</t>
  </si>
  <si>
    <t xml:space="preserve">              Banks</t>
  </si>
  <si>
    <t xml:space="preserve">أخرى      </t>
  </si>
  <si>
    <t xml:space="preserve">              Other </t>
  </si>
  <si>
    <t>الخصوم الاخرى</t>
  </si>
  <si>
    <t>Other Liabilities</t>
  </si>
  <si>
    <t>البنك المركزى المصرى</t>
  </si>
  <si>
    <t xml:space="preserve">بنوك                                                     </t>
  </si>
  <si>
    <t xml:space="preserve">             Banks</t>
  </si>
  <si>
    <t>صافى السهو والخطأ</t>
  </si>
  <si>
    <t>Net Errors &amp; Omissions</t>
  </si>
  <si>
    <t>الميزان الكلى</t>
  </si>
  <si>
    <t>Overall Balance</t>
  </si>
  <si>
    <t>التغير فى الاصول الاحتياطية لدى البنك المركزى (الزيادة -)</t>
  </si>
  <si>
    <t>Change in CBE reserve assets (increase -)</t>
  </si>
  <si>
    <t>*بيانات مبدئية</t>
  </si>
  <si>
    <t>* Preliminary</t>
  </si>
  <si>
    <t xml:space="preserve">النقل </t>
  </si>
  <si>
    <t xml:space="preserve">   منها،  رسوم المرور فى قناة السويس              </t>
  </si>
  <si>
    <t xml:space="preserve">     Of which,  Suez Canal dues</t>
  </si>
  <si>
    <t xml:space="preserve">   منها،  فوائد مدفوعة</t>
  </si>
  <si>
    <t xml:space="preserve">       Of which,  Interest Paid</t>
  </si>
  <si>
    <t xml:space="preserve">  الخاصة (صافى) </t>
  </si>
  <si>
    <t xml:space="preserve">Private (net) </t>
  </si>
  <si>
    <t xml:space="preserve">استثمار الحافظة فى مصر (صافى) </t>
  </si>
  <si>
    <t>Portfolio Investment in Egypt (net)</t>
  </si>
  <si>
    <t xml:space="preserve"> منها، سندات </t>
  </si>
  <si>
    <t xml:space="preserve">            Of which, Bonds</t>
  </si>
  <si>
    <t>ميزان دخل الاستثمار (صافى)</t>
  </si>
  <si>
    <t>Investment Income Balanc (Net)</t>
  </si>
  <si>
    <t>متحصلات دخل الاستثمار</t>
  </si>
  <si>
    <t xml:space="preserve">   Investment Income Receipts</t>
  </si>
  <si>
    <t>(US.$mn)</t>
  </si>
  <si>
    <t>July/Sep 2018*</t>
  </si>
  <si>
    <t>Oct./Dec. 2018*</t>
  </si>
  <si>
    <t>Q2</t>
  </si>
  <si>
    <t>Q3</t>
  </si>
  <si>
    <t>Jan./March 2019*</t>
  </si>
  <si>
    <t>Q4</t>
  </si>
  <si>
    <t>April/June 2019*</t>
  </si>
  <si>
    <t xml:space="preserve">(+) تم الاعتماد على بيانات الجهاز المصرفي، ونتائج المسح القومي للهجرة الدولية الذي قام به الجهاز المركزي للتعبئة العامة والإحصاء، اعتبار من السنة المالية 2016/ 2017. </t>
  </si>
  <si>
    <t>(+)  Worker Remittances ‎data is based on ITRS taking into consideration results of  the survey that was conducted by CAPMAS, this modification was applied starting from FY 2016/2017.</t>
  </si>
  <si>
    <r>
      <t xml:space="preserve">مدفوعات دخل الاستثمار </t>
    </r>
    <r>
      <rPr>
        <vertAlign val="superscript"/>
        <sz val="13"/>
        <rFont val="Times New (W1)"/>
        <charset val="178"/>
      </rPr>
      <t xml:space="preserve"> (++)</t>
    </r>
  </si>
  <si>
    <r>
      <t xml:space="preserve">   Investment Income Payments </t>
    </r>
    <r>
      <rPr>
        <vertAlign val="superscript"/>
        <sz val="14"/>
        <rFont val="Times New (W1)"/>
        <charset val="178"/>
      </rPr>
      <t xml:space="preserve"> (++)</t>
    </r>
  </si>
  <si>
    <r>
      <t xml:space="preserve">   منها،  تحويلات المصريين العاملين بالخارج </t>
    </r>
    <r>
      <rPr>
        <i/>
        <vertAlign val="superscript"/>
        <sz val="12"/>
        <rFont val="Times New (W1)"/>
        <charset val="178"/>
      </rPr>
      <t xml:space="preserve"> (+)</t>
    </r>
  </si>
  <si>
    <r>
      <t xml:space="preserve"> Of which, Remittanes of Egyptians working abroad </t>
    </r>
    <r>
      <rPr>
        <vertAlign val="superscript"/>
        <sz val="14"/>
        <rFont val="Times New (W1)"/>
        <charset val="178"/>
      </rPr>
      <t>(+)</t>
    </r>
  </si>
  <si>
    <r>
      <t xml:space="preserve">الاستثمار المباشر في  مصر  (صافى) </t>
    </r>
    <r>
      <rPr>
        <b/>
        <vertAlign val="superscript"/>
        <sz val="12"/>
        <rFont val="Times New (W1)"/>
        <charset val="178"/>
      </rPr>
      <t>(++)</t>
    </r>
  </si>
  <si>
    <r>
      <t xml:space="preserve">Direct Investment In Egypt (net) </t>
    </r>
    <r>
      <rPr>
        <b/>
        <vertAlign val="superscript"/>
        <sz val="13"/>
        <rFont val="Times New (W1)"/>
        <charset val="178"/>
      </rPr>
      <t>(++)</t>
    </r>
  </si>
  <si>
    <t xml:space="preserve"> ++Updated data in accordance with a new collecting method for compiling FDI and its earnings to include all undistributed realized earnings, pursuant to Prime Minister Decree No. 2732 of 2019. In the former data compilation method, data were restricted to reinvested earnings, this modification was applied starting from Q1 2018/2019.</t>
  </si>
  <si>
    <t xml:space="preserve"> ++ بيانات محدثة وفق طريقة جديدة لتجميع بيانات الاستثمار الأجنبي المباشر وأرباحه لتتضمنا كافة الأرباح المحققة ولم يتم توزيعها بعد،  والتي كانت تقتصر في السابق على الأرباح المعاد استثمارها فقط، وذلك وفقاً لقرار رئيس الوزراء رقم 2732 لسنة 2019،  وذلك ابتداءاً من الربع الأول 2019/2018.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</si>
</sst>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1">
    <font>
      <sz val="10"/>
      <name val="Arial"/>
      <charset val="178"/>
    </font>
    <font>
      <sz val="10"/>
      <name val="Arial"/>
      <family val="2"/>
      <charset val="178"/>
    </font>
    <font>
      <b/>
      <u/>
      <sz val="12"/>
      <name val="Arial"/>
      <family val="2"/>
      <charset val="178"/>
    </font>
    <font>
      <b/>
      <u/>
      <sz val="14"/>
      <name val="Times New (W1)"/>
      <family val="1"/>
    </font>
    <font>
      <sz val="14"/>
      <name val="Times New (W1)"/>
      <family val="1"/>
    </font>
    <font>
      <sz val="12"/>
      <name val="Times New (W1)"/>
      <family val="1"/>
    </font>
    <font>
      <b/>
      <sz val="14"/>
      <name val="Times New (W1)"/>
      <family val="1"/>
    </font>
    <font>
      <b/>
      <sz val="9"/>
      <name val="Times New (W1)"/>
      <family val="1"/>
    </font>
    <font>
      <u/>
      <sz val="12"/>
      <name val="Times New (W1)"/>
      <family val="1"/>
    </font>
    <font>
      <b/>
      <u/>
      <sz val="12"/>
      <name val="Times New (W1)"/>
      <family val="1"/>
    </font>
    <font>
      <b/>
      <u/>
      <sz val="18"/>
      <color indexed="8"/>
      <name val="Lucida Bright"/>
      <family val="1"/>
    </font>
    <font>
      <sz val="14"/>
      <name val="Arial"/>
      <family val="2"/>
    </font>
    <font>
      <b/>
      <sz val="14"/>
      <name val="Arial"/>
      <family val="2"/>
    </font>
    <font>
      <i/>
      <sz val="14"/>
      <name val="Times New (W1)"/>
      <family val="1"/>
    </font>
    <font>
      <i/>
      <sz val="12"/>
      <name val="Times New (W1)"/>
      <family val="1"/>
    </font>
    <font>
      <sz val="12"/>
      <name val="Arial"/>
      <family val="2"/>
    </font>
    <font>
      <i/>
      <sz val="12"/>
      <name val="Arial"/>
      <family val="2"/>
    </font>
    <font>
      <sz val="12"/>
      <name val="Times New (W1)"/>
      <charset val="178"/>
    </font>
    <font>
      <b/>
      <sz val="12"/>
      <name val="Times New (W1)"/>
      <charset val="178"/>
    </font>
    <font>
      <u/>
      <sz val="12"/>
      <name val="Times New (W1)"/>
      <charset val="178"/>
    </font>
    <font>
      <u/>
      <sz val="12"/>
      <name val="Times New (W1)"/>
    </font>
    <font>
      <sz val="10"/>
      <name val="Arabic Transparent"/>
      <charset val="178"/>
    </font>
    <font>
      <i/>
      <sz val="12"/>
      <name val="Times New (W1)"/>
      <charset val="178"/>
    </font>
    <font>
      <u/>
      <sz val="12"/>
      <name val="Arial"/>
      <family val="2"/>
    </font>
    <font>
      <b/>
      <sz val="13"/>
      <name val="Times New (W1)"/>
      <family val="1"/>
    </font>
    <font>
      <sz val="13"/>
      <name val="Arial"/>
      <family val="2"/>
    </font>
    <font>
      <u/>
      <sz val="13"/>
      <name val="Times New (W1)"/>
      <family val="1"/>
    </font>
    <font>
      <sz val="13"/>
      <name val="Times New (W1)"/>
      <family val="1"/>
    </font>
    <font>
      <i/>
      <sz val="13"/>
      <name val="Times New (W1)"/>
      <family val="1"/>
    </font>
    <font>
      <i/>
      <sz val="13"/>
      <name val="Arial"/>
      <family val="2"/>
    </font>
    <font>
      <b/>
      <u/>
      <sz val="13"/>
      <name val="Times New (W1)"/>
      <family val="1"/>
    </font>
    <font>
      <sz val="14"/>
      <name val="Times New (W1)"/>
      <charset val="178"/>
    </font>
    <font>
      <i/>
      <sz val="13"/>
      <name val="Times New (W1)"/>
      <charset val="178"/>
    </font>
    <font>
      <sz val="10"/>
      <name val="Arial"/>
      <family val="2"/>
    </font>
    <font>
      <sz val="12"/>
      <name val="Akhbar MT"/>
      <charset val="178"/>
    </font>
    <font>
      <i/>
      <sz val="12"/>
      <color rgb="FFFF0000"/>
      <name val="Times New (W1)"/>
      <family val="1"/>
    </font>
    <font>
      <vertAlign val="superscript"/>
      <sz val="13"/>
      <name val="Times New (W1)"/>
      <charset val="178"/>
    </font>
    <font>
      <vertAlign val="superscript"/>
      <sz val="14"/>
      <name val="Times New (W1)"/>
      <charset val="178"/>
    </font>
    <font>
      <i/>
      <vertAlign val="superscript"/>
      <sz val="12"/>
      <name val="Times New (W1)"/>
      <charset val="178"/>
    </font>
    <font>
      <b/>
      <vertAlign val="superscript"/>
      <sz val="12"/>
      <name val="Times New (W1)"/>
      <charset val="178"/>
    </font>
    <font>
      <b/>
      <vertAlign val="superscript"/>
      <sz val="13"/>
      <name val="Times New (W1)"/>
      <charset val="178"/>
    </font>
  </fonts>
  <fills count="5">
    <fill>
      <patternFill patternType="none"/>
    </fill>
    <fill>
      <patternFill patternType="gray125"/>
    </fill>
    <fill>
      <patternFill patternType="solid">
        <fgColor indexed="22"/>
        <bgColor indexed="64"/>
      </patternFill>
    </fill>
    <fill>
      <patternFill patternType="solid">
        <fgColor theme="5" tint="0.79998168889431442"/>
        <bgColor indexed="64"/>
      </patternFill>
    </fill>
    <fill>
      <patternFill patternType="solid">
        <fgColor theme="0"/>
        <bgColor indexed="64"/>
      </patternFill>
    </fill>
  </fills>
  <borders count="8">
    <border>
      <left/>
      <right/>
      <top/>
      <bottom/>
      <diagonal/>
    </border>
    <border>
      <left/>
      <right/>
      <top/>
      <bottom style="thin">
        <color indexed="64"/>
      </bottom>
      <diagonal/>
    </border>
    <border>
      <left style="double">
        <color indexed="41"/>
      </left>
      <right style="double">
        <color indexed="41"/>
      </right>
      <top style="double">
        <color indexed="41"/>
      </top>
      <bottom style="double">
        <color indexed="41"/>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double">
        <color indexed="41"/>
      </bottom>
      <diagonal/>
    </border>
  </borders>
  <cellStyleXfs count="5">
    <xf numFmtId="0" fontId="0" fillId="0" borderId="0"/>
    <xf numFmtId="0" fontId="21" fillId="0" borderId="0" applyNumberFormat="0">
      <alignment horizontal="right"/>
    </xf>
    <xf numFmtId="0" fontId="33" fillId="0" borderId="0"/>
    <xf numFmtId="0" fontId="33" fillId="0" borderId="0"/>
    <xf numFmtId="0" fontId="33" fillId="0" borderId="0"/>
  </cellStyleXfs>
  <cellXfs count="106">
    <xf numFmtId="0" fontId="0" fillId="0" borderId="0" xfId="0"/>
    <xf numFmtId="0" fontId="1" fillId="0" borderId="0" xfId="0" applyFont="1" applyFill="1" applyAlignment="1">
      <alignment readingOrder="1"/>
    </xf>
    <xf numFmtId="0" fontId="2" fillId="0" borderId="0" xfId="0" applyFont="1" applyFill="1" applyAlignment="1">
      <alignment horizontal="center"/>
    </xf>
    <xf numFmtId="164" fontId="9" fillId="0" borderId="0" xfId="0" applyNumberFormat="1" applyFont="1" applyFill="1" applyAlignment="1">
      <alignment horizontal="center" readingOrder="1"/>
    </xf>
    <xf numFmtId="164" fontId="9" fillId="0" borderId="0" xfId="0" applyNumberFormat="1" applyFont="1" applyFill="1" applyBorder="1" applyAlignment="1">
      <alignment horizontal="center" readingOrder="1"/>
    </xf>
    <xf numFmtId="164" fontId="9" fillId="0" borderId="0" xfId="0" applyNumberFormat="1" applyFont="1" applyFill="1" applyAlignment="1">
      <alignment horizontal="center"/>
    </xf>
    <xf numFmtId="164" fontId="8" fillId="0" borderId="0" xfId="0" quotePrefix="1" applyNumberFormat="1" applyFont="1" applyFill="1" applyAlignment="1">
      <alignment horizontal="center"/>
    </xf>
    <xf numFmtId="164" fontId="9" fillId="0" borderId="1" xfId="0" applyNumberFormat="1" applyFont="1" applyFill="1" applyBorder="1" applyAlignment="1">
      <alignment horizontal="center"/>
    </xf>
    <xf numFmtId="0" fontId="9" fillId="2" borderId="2" xfId="0" applyFont="1" applyFill="1" applyBorder="1" applyAlignment="1">
      <alignment horizontal="center" vertical="center" wrapText="1" readingOrder="1"/>
    </xf>
    <xf numFmtId="0" fontId="15" fillId="0" borderId="0" xfId="0" applyFont="1"/>
    <xf numFmtId="0" fontId="16" fillId="0" borderId="0" xfId="0" applyFont="1"/>
    <xf numFmtId="0" fontId="0" fillId="0" borderId="0" xfId="0" applyFill="1"/>
    <xf numFmtId="164" fontId="14" fillId="0" borderId="0" xfId="0" applyNumberFormat="1" applyFont="1" applyFill="1" applyAlignment="1">
      <alignment horizontal="center"/>
    </xf>
    <xf numFmtId="0" fontId="23" fillId="0" borderId="0" xfId="0" applyFont="1"/>
    <xf numFmtId="164" fontId="24" fillId="0" borderId="0" xfId="0" applyNumberFormat="1" applyFont="1" applyFill="1" applyAlignment="1">
      <alignment horizontal="center"/>
    </xf>
    <xf numFmtId="0" fontId="25" fillId="0" borderId="0" xfId="0" applyFont="1"/>
    <xf numFmtId="164" fontId="24" fillId="0" borderId="0" xfId="0" quotePrefix="1" applyNumberFormat="1" applyFont="1" applyFill="1" applyAlignment="1">
      <alignment horizontal="center"/>
    </xf>
    <xf numFmtId="164" fontId="26" fillId="0" borderId="0" xfId="0" quotePrefix="1" applyNumberFormat="1" applyFont="1" applyFill="1" applyAlignment="1">
      <alignment horizontal="center"/>
    </xf>
    <xf numFmtId="0" fontId="16" fillId="0" borderId="0" xfId="0" applyFont="1" applyFill="1"/>
    <xf numFmtId="164" fontId="27" fillId="0" borderId="0" xfId="0" applyNumberFormat="1" applyFont="1" applyFill="1" applyAlignment="1">
      <alignment horizontal="center" readingOrder="1"/>
    </xf>
    <xf numFmtId="164" fontId="28" fillId="0" borderId="0" xfId="0" applyNumberFormat="1" applyFont="1" applyFill="1" applyAlignment="1">
      <alignment horizontal="center" readingOrder="1"/>
    </xf>
    <xf numFmtId="0" fontId="29" fillId="0" borderId="0" xfId="0" applyFont="1"/>
    <xf numFmtId="164" fontId="28" fillId="0" borderId="0" xfId="0" quotePrefix="1" applyNumberFormat="1" applyFont="1" applyFill="1" applyAlignment="1">
      <alignment horizontal="center" readingOrder="1"/>
    </xf>
    <xf numFmtId="164" fontId="30" fillId="0" borderId="0" xfId="0" applyNumberFormat="1" applyFont="1" applyFill="1" applyAlignment="1">
      <alignment horizontal="center" readingOrder="1"/>
    </xf>
    <xf numFmtId="164" fontId="30" fillId="0" borderId="1" xfId="0" applyNumberFormat="1" applyFont="1" applyFill="1" applyBorder="1" applyAlignment="1">
      <alignment horizontal="center" readingOrder="1"/>
    </xf>
    <xf numFmtId="0" fontId="11" fillId="0" borderId="0" xfId="0" applyFont="1"/>
    <xf numFmtId="0" fontId="23" fillId="0" borderId="0" xfId="0" applyFont="1" applyFill="1"/>
    <xf numFmtId="0" fontId="3" fillId="3" borderId="4" xfId="0" applyFont="1" applyFill="1" applyBorder="1" applyAlignment="1">
      <alignment readingOrder="1"/>
    </xf>
    <xf numFmtId="0" fontId="6" fillId="3" borderId="4" xfId="0" applyFont="1" applyFill="1" applyBorder="1" applyAlignment="1">
      <alignment horizontal="left"/>
    </xf>
    <xf numFmtId="0" fontId="3" fillId="3" borderId="5" xfId="0" applyFont="1" applyFill="1" applyBorder="1" applyAlignment="1">
      <alignment readingOrder="1"/>
    </xf>
    <xf numFmtId="0" fontId="6" fillId="3" borderId="5" xfId="0" quotePrefix="1" applyFont="1" applyFill="1" applyBorder="1" applyAlignment="1">
      <alignment horizontal="left"/>
    </xf>
    <xf numFmtId="0" fontId="6" fillId="3" borderId="5" xfId="0" applyFont="1" applyFill="1" applyBorder="1" applyAlignment="1">
      <alignment horizontal="left"/>
    </xf>
    <xf numFmtId="0" fontId="18" fillId="3" borderId="5" xfId="0" quotePrefix="1" applyFont="1" applyFill="1" applyBorder="1" applyAlignment="1">
      <alignment horizontal="right" indent="1"/>
    </xf>
    <xf numFmtId="0" fontId="24" fillId="3" borderId="5" xfId="0" applyFont="1" applyFill="1" applyBorder="1" applyAlignment="1">
      <alignment horizontal="left" indent="2"/>
    </xf>
    <xf numFmtId="0" fontId="24" fillId="3" borderId="5" xfId="0" quotePrefix="1" applyFont="1" applyFill="1" applyBorder="1" applyAlignment="1">
      <alignment horizontal="left" indent="2"/>
    </xf>
    <xf numFmtId="0" fontId="5" fillId="3" borderId="5" xfId="0" quotePrefix="1" applyFont="1" applyFill="1" applyBorder="1" applyAlignment="1">
      <alignment horizontal="right" indent="3"/>
    </xf>
    <xf numFmtId="0" fontId="22" fillId="3" borderId="5" xfId="0" quotePrefix="1" applyFont="1" applyFill="1" applyBorder="1" applyAlignment="1">
      <alignment horizontal="left"/>
    </xf>
    <xf numFmtId="0" fontId="18" fillId="3" borderId="5" xfId="0" applyFont="1" applyFill="1" applyBorder="1" applyAlignment="1">
      <alignment horizontal="right" indent="1" readingOrder="2"/>
    </xf>
    <xf numFmtId="0" fontId="19" fillId="3" borderId="5" xfId="0" applyFont="1" applyFill="1" applyBorder="1" applyAlignment="1">
      <alignment horizontal="right" indent="2" readingOrder="1"/>
    </xf>
    <xf numFmtId="0" fontId="26" fillId="3" borderId="5" xfId="0" quotePrefix="1" applyFont="1" applyFill="1" applyBorder="1" applyAlignment="1">
      <alignment horizontal="left" indent="2"/>
    </xf>
    <xf numFmtId="0" fontId="8" fillId="3" borderId="5" xfId="0" quotePrefix="1" applyFont="1" applyFill="1" applyBorder="1" applyAlignment="1">
      <alignment horizontal="left" indent="2"/>
    </xf>
    <xf numFmtId="0" fontId="14" fillId="3" borderId="5" xfId="0" quotePrefix="1" applyFont="1" applyFill="1" applyBorder="1" applyAlignment="1">
      <alignment horizontal="left" indent="2"/>
    </xf>
    <xf numFmtId="0" fontId="17" fillId="3" borderId="5" xfId="0" quotePrefix="1" applyFont="1" applyFill="1" applyBorder="1" applyAlignment="1">
      <alignment horizontal="left" indent="2"/>
    </xf>
    <xf numFmtId="0" fontId="20" fillId="3" borderId="5" xfId="0" applyFont="1" applyFill="1" applyBorder="1" applyAlignment="1">
      <alignment horizontal="right" indent="2" readingOrder="1"/>
    </xf>
    <xf numFmtId="0" fontId="26" fillId="3" borderId="5" xfId="0" applyFont="1" applyFill="1" applyBorder="1" applyAlignment="1">
      <alignment horizontal="left" indent="2"/>
    </xf>
    <xf numFmtId="0" fontId="14" fillId="3" borderId="5" xfId="0" quotePrefix="1" applyFont="1" applyFill="1" applyBorder="1" applyAlignment="1">
      <alignment horizontal="left"/>
    </xf>
    <xf numFmtId="0" fontId="3" fillId="3" borderId="5" xfId="0" applyFont="1" applyFill="1" applyBorder="1" applyAlignment="1"/>
    <xf numFmtId="0" fontId="3" fillId="3" borderId="6" xfId="0" applyFont="1" applyFill="1" applyBorder="1" applyAlignment="1">
      <alignment readingOrder="2"/>
    </xf>
    <xf numFmtId="0" fontId="9" fillId="3" borderId="6" xfId="0" applyFont="1" applyFill="1" applyBorder="1" applyAlignment="1"/>
    <xf numFmtId="0" fontId="2" fillId="3" borderId="4" xfId="0" applyFont="1" applyFill="1" applyBorder="1" applyAlignment="1">
      <alignment horizontal="center"/>
    </xf>
    <xf numFmtId="0" fontId="4" fillId="3" borderId="5" xfId="0" applyFont="1" applyFill="1" applyBorder="1" applyAlignment="1">
      <alignment horizontal="left" readingOrder="1"/>
    </xf>
    <xf numFmtId="0" fontId="28" fillId="3" borderId="5" xfId="0" quotePrefix="1" applyFont="1" applyFill="1" applyBorder="1" applyAlignment="1">
      <alignment horizontal="justify" readingOrder="1"/>
    </xf>
    <xf numFmtId="0" fontId="4" fillId="3" borderId="5" xfId="0" quotePrefix="1" applyFont="1" applyFill="1" applyBorder="1" applyAlignment="1">
      <alignment horizontal="left" readingOrder="1"/>
    </xf>
    <xf numFmtId="0" fontId="28" fillId="3" borderId="5" xfId="0" quotePrefix="1" applyFont="1" applyFill="1" applyBorder="1" applyAlignment="1">
      <alignment horizontal="left" readingOrder="1"/>
    </xf>
    <xf numFmtId="0" fontId="3" fillId="3" borderId="5" xfId="0" quotePrefix="1" applyFont="1" applyFill="1" applyBorder="1" applyAlignment="1">
      <alignment horizontal="left" readingOrder="1"/>
    </xf>
    <xf numFmtId="0" fontId="13" fillId="3" borderId="5" xfId="0" quotePrefix="1" applyFont="1" applyFill="1" applyBorder="1" applyAlignment="1">
      <alignment horizontal="left" readingOrder="1"/>
    </xf>
    <xf numFmtId="0" fontId="3" fillId="3" borderId="5" xfId="0" applyFont="1" applyFill="1" applyBorder="1" applyAlignment="1">
      <alignment horizontal="left" readingOrder="1"/>
    </xf>
    <xf numFmtId="0" fontId="4" fillId="3" borderId="5" xfId="0" quotePrefix="1" applyFont="1" applyFill="1" applyBorder="1" applyAlignment="1">
      <alignment horizontal="left" indent="1" readingOrder="1"/>
    </xf>
    <xf numFmtId="0" fontId="3" fillId="3" borderId="6" xfId="0" applyFont="1" applyFill="1" applyBorder="1" applyAlignment="1">
      <alignment readingOrder="1"/>
    </xf>
    <xf numFmtId="0" fontId="0" fillId="3" borderId="4" xfId="0" applyFill="1" applyBorder="1" applyAlignment="1">
      <alignment readingOrder="2"/>
    </xf>
    <xf numFmtId="0" fontId="3" fillId="3" borderId="5" xfId="0" applyFont="1" applyFill="1" applyBorder="1" applyAlignment="1">
      <alignment readingOrder="2"/>
    </xf>
    <xf numFmtId="0" fontId="31" fillId="3" borderId="5" xfId="0" quotePrefix="1" applyFont="1" applyFill="1" applyBorder="1" applyAlignment="1">
      <alignment horizontal="right" readingOrder="2"/>
    </xf>
    <xf numFmtId="0" fontId="32" fillId="3" borderId="5" xfId="0" applyFont="1" applyFill="1" applyBorder="1" applyAlignment="1">
      <alignment horizontal="right" readingOrder="2"/>
    </xf>
    <xf numFmtId="0" fontId="5" fillId="3" borderId="5" xfId="0" quotePrefix="1" applyFont="1" applyFill="1" applyBorder="1" applyAlignment="1">
      <alignment horizontal="right" readingOrder="2"/>
    </xf>
    <xf numFmtId="0" fontId="14" fillId="3" borderId="5" xfId="0" quotePrefix="1" applyFont="1" applyFill="1" applyBorder="1" applyAlignment="1">
      <alignment horizontal="right" readingOrder="2"/>
    </xf>
    <xf numFmtId="0" fontId="27" fillId="3" borderId="5" xfId="0" quotePrefix="1" applyFont="1" applyFill="1" applyBorder="1" applyAlignment="1">
      <alignment horizontal="right" readingOrder="2"/>
    </xf>
    <xf numFmtId="164" fontId="12" fillId="0" borderId="0" xfId="0" applyNumberFormat="1" applyFont="1"/>
    <xf numFmtId="0" fontId="15" fillId="0" borderId="0" xfId="0" applyFont="1" applyAlignment="1">
      <alignment horizontal="right" readingOrder="2"/>
    </xf>
    <xf numFmtId="0" fontId="15" fillId="0" borderId="0" xfId="0" applyFont="1" applyFill="1" applyAlignment="1">
      <alignment readingOrder="1"/>
    </xf>
    <xf numFmtId="0" fontId="7" fillId="0" borderId="3" xfId="0" quotePrefix="1" applyFont="1" applyFill="1" applyBorder="1" applyAlignment="1">
      <alignment vertical="center" readingOrder="1"/>
    </xf>
    <xf numFmtId="0" fontId="0" fillId="0" borderId="1" xfId="0" applyBorder="1"/>
    <xf numFmtId="0" fontId="19" fillId="3" borderId="5" xfId="0" quotePrefix="1" applyFont="1" applyFill="1" applyBorder="1" applyAlignment="1">
      <alignment horizontal="left" indent="2"/>
    </xf>
    <xf numFmtId="0" fontId="15" fillId="0" borderId="0" xfId="0" applyFont="1" applyBorder="1" applyAlignment="1">
      <alignment horizontal="left" wrapText="1"/>
    </xf>
    <xf numFmtId="0" fontId="34" fillId="0" borderId="0" xfId="3" applyFont="1" applyFill="1" applyAlignment="1">
      <alignment vertical="center" readingOrder="2"/>
    </xf>
    <xf numFmtId="0" fontId="5" fillId="3" borderId="5" xfId="0" quotePrefix="1" applyFont="1" applyFill="1" applyBorder="1" applyAlignment="1">
      <alignment horizontal="right" indent="3" readingOrder="2"/>
    </xf>
    <xf numFmtId="0" fontId="10" fillId="0" borderId="0" xfId="0" applyFont="1" applyFill="1" applyBorder="1" applyAlignment="1">
      <alignment horizontal="center" vertical="center" readingOrder="1"/>
    </xf>
    <xf numFmtId="0" fontId="15" fillId="0" borderId="0" xfId="3" applyFont="1" applyFill="1" applyAlignment="1">
      <alignment horizontal="center" vertical="center" readingOrder="2"/>
    </xf>
    <xf numFmtId="0" fontId="15" fillId="0" borderId="0" xfId="3" applyFont="1" applyFill="1" applyAlignment="1">
      <alignment horizontal="left" vertical="center" readingOrder="2"/>
    </xf>
    <xf numFmtId="0" fontId="22" fillId="3" borderId="5" xfId="0" quotePrefix="1" applyFont="1" applyFill="1" applyBorder="1" applyAlignment="1">
      <alignment horizontal="right" readingOrder="2"/>
    </xf>
    <xf numFmtId="164" fontId="9" fillId="0" borderId="7" xfId="0" applyNumberFormat="1" applyFont="1" applyFill="1" applyBorder="1" applyAlignment="1">
      <alignment vertical="center" readingOrder="1"/>
    </xf>
    <xf numFmtId="0" fontId="8" fillId="3" borderId="5" xfId="0" quotePrefix="1" applyFont="1" applyFill="1" applyBorder="1" applyAlignment="1">
      <alignment horizontal="right" indent="3"/>
    </xf>
    <xf numFmtId="164" fontId="35" fillId="4" borderId="0" xfId="0" quotePrefix="1" applyNumberFormat="1" applyFont="1" applyFill="1" applyAlignment="1">
      <alignment horizontal="center" readingOrder="1"/>
    </xf>
    <xf numFmtId="0" fontId="0" fillId="0" borderId="0" xfId="0" applyFill="1" applyBorder="1"/>
    <xf numFmtId="0" fontId="0" fillId="0" borderId="0" xfId="0" applyBorder="1"/>
    <xf numFmtId="164" fontId="0" fillId="0" borderId="0" xfId="0" applyNumberFormat="1" applyBorder="1"/>
    <xf numFmtId="0" fontId="11" fillId="0" borderId="0" xfId="0" applyFont="1" applyBorder="1"/>
    <xf numFmtId="164" fontId="11" fillId="0" borderId="0" xfId="0" applyNumberFormat="1" applyFont="1" applyBorder="1"/>
    <xf numFmtId="0" fontId="29" fillId="0" borderId="0" xfId="0" applyFont="1" applyBorder="1"/>
    <xf numFmtId="164" fontId="29" fillId="0" borderId="0" xfId="0" applyNumberFormat="1" applyFont="1" applyBorder="1"/>
    <xf numFmtId="0" fontId="16" fillId="0" borderId="0" xfId="0" applyFont="1" applyBorder="1"/>
    <xf numFmtId="164" fontId="30" fillId="0" borderId="0" xfId="0" applyNumberFormat="1" applyFont="1" applyFill="1" applyBorder="1" applyAlignment="1">
      <alignment horizontal="center" readingOrder="1"/>
    </xf>
    <xf numFmtId="164" fontId="27" fillId="0" borderId="0" xfId="0" applyNumberFormat="1" applyFont="1" applyFill="1" applyBorder="1" applyAlignment="1">
      <alignment horizontal="center" readingOrder="1"/>
    </xf>
    <xf numFmtId="0" fontId="15" fillId="0" borderId="0" xfId="0" applyFont="1" applyBorder="1"/>
    <xf numFmtId="164" fontId="28" fillId="0" borderId="0" xfId="0" quotePrefix="1" applyNumberFormat="1" applyFont="1" applyFill="1" applyBorder="1" applyAlignment="1">
      <alignment horizontal="center" readingOrder="1"/>
    </xf>
    <xf numFmtId="0" fontId="25" fillId="0" borderId="0" xfId="0" applyFont="1" applyBorder="1"/>
    <xf numFmtId="0" fontId="23" fillId="0" borderId="0" xfId="0" applyFont="1" applyBorder="1"/>
    <xf numFmtId="0" fontId="16" fillId="0" borderId="0" xfId="0" applyFont="1" applyFill="1" applyBorder="1"/>
    <xf numFmtId="0" fontId="23" fillId="0" borderId="0" xfId="0" applyFont="1" applyFill="1" applyBorder="1"/>
    <xf numFmtId="164" fontId="9" fillId="0" borderId="7" xfId="0" applyNumberFormat="1" applyFont="1" applyFill="1" applyBorder="1" applyAlignment="1">
      <alignment horizontal="center" vertical="center" readingOrder="1"/>
    </xf>
    <xf numFmtId="164" fontId="22" fillId="0" borderId="0" xfId="0" applyNumberFormat="1" applyFont="1" applyFill="1" applyAlignment="1">
      <alignment horizontal="center"/>
    </xf>
    <xf numFmtId="0" fontId="15" fillId="0" borderId="0" xfId="2" applyFont="1" applyAlignment="1">
      <alignment vertical="center" wrapText="1" readingOrder="1"/>
    </xf>
    <xf numFmtId="49" fontId="33" fillId="0" borderId="0" xfId="4" applyNumberFormat="1" applyFont="1" applyFill="1" applyAlignment="1">
      <alignment vertical="center" wrapText="1" readingOrder="1"/>
    </xf>
    <xf numFmtId="0" fontId="10" fillId="0" borderId="0" xfId="0" applyFont="1" applyFill="1" applyBorder="1" applyAlignment="1">
      <alignment horizontal="center" vertical="center" readingOrder="1"/>
    </xf>
    <xf numFmtId="0" fontId="15" fillId="0" borderId="0" xfId="2" applyFont="1" applyAlignment="1">
      <alignment horizontal="right" vertical="center" wrapText="1" readingOrder="2"/>
    </xf>
    <xf numFmtId="0" fontId="15" fillId="0" borderId="0" xfId="2" applyFont="1" applyAlignment="1">
      <alignment horizontal="left" vertical="center" wrapText="1" readingOrder="1"/>
    </xf>
    <xf numFmtId="49" fontId="33" fillId="0" borderId="0" xfId="4" applyNumberFormat="1" applyFont="1" applyFill="1" applyAlignment="1">
      <alignment horizontal="left" vertical="center" wrapText="1" readingOrder="1"/>
    </xf>
  </cellXfs>
  <cellStyles count="5">
    <cellStyle name="MS_Arabic" xfId="1" xr:uid="{00000000-0005-0000-0000-000000000000}"/>
    <cellStyle name="Normal" xfId="0" builtinId="0"/>
    <cellStyle name="Normal 2" xfId="2" xr:uid="{00000000-0005-0000-0000-000002000000}"/>
    <cellStyle name="Normal 2 3" xfId="4" xr:uid="{00000000-0005-0000-0000-000003000000}"/>
    <cellStyle name="Normal_BOP_11_14-19_21" xfId="3" xr:uid="{00000000-0005-0000-0000-000004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 Id="rId9" Type="http://schemas.openxmlformats.org/officeDocument/2006/relationships/customXml" Target="../customXml/item4.xml"/></Relationship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Equity">
  <a:themeElements>
    <a:clrScheme name="Aspect">
      <a:dk1>
        <a:sysClr val="windowText" lastClr="000000"/>
      </a:dk1>
      <a:lt1>
        <a:sysClr val="window" lastClr="FFFFFF"/>
      </a:lt1>
      <a:dk2>
        <a:srgbClr val="323232"/>
      </a:dk2>
      <a:lt2>
        <a:srgbClr val="E3DED1"/>
      </a:lt2>
      <a:accent1>
        <a:srgbClr val="F07F09"/>
      </a:accent1>
      <a:accent2>
        <a:srgbClr val="9F2936"/>
      </a:accent2>
      <a:accent3>
        <a:srgbClr val="1B587C"/>
      </a:accent3>
      <a:accent4>
        <a:srgbClr val="4E8542"/>
      </a:accent4>
      <a:accent5>
        <a:srgbClr val="604878"/>
      </a:accent5>
      <a:accent6>
        <a:srgbClr val="C19859"/>
      </a:accent6>
      <a:hlink>
        <a:srgbClr val="6B9F25"/>
      </a:hlink>
      <a:folHlink>
        <a:srgbClr val="B26B02"/>
      </a:folHlink>
    </a:clrScheme>
    <a:fontScheme name="Equity">
      <a:majorFont>
        <a:latin typeface="Franklin Gothic Book"/>
        <a:ea typeface=""/>
        <a:cs typeface=""/>
        <a:font script="Grek" typeface="Calibri"/>
        <a:font script="Cyrl" typeface="Calibri"/>
        <a:font script="Jpan" typeface="HGｺﾞｼｯｸM"/>
        <a:font script="Hang" typeface="바탕"/>
        <a:font script="Hans" typeface="幼圆"/>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Perpetua"/>
        <a:ea typeface=""/>
        <a:cs typeface=""/>
        <a:font script="Grek" typeface="Cambria"/>
        <a:font script="Cyrl" typeface="Cambria"/>
        <a:font script="Jpan" typeface="HG創英ﾌﾟﾚｾﾞﾝｽEB"/>
        <a:font script="Hang" typeface="맑은 고딕"/>
        <a:font script="Hans" typeface="宋体"/>
        <a:font script="Hant" typeface="新細明體"/>
        <a:font script="Arab" typeface="Times New Roman"/>
        <a:font script="Hebr" typeface="Aharoni"/>
        <a:font script="Thai" typeface="Eucrosia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Equity">
      <a:fillStyleLst>
        <a:solidFill>
          <a:schemeClr val="phClr"/>
        </a:solidFill>
        <a:blipFill>
          <a:blip xmlns:r="http://schemas.openxmlformats.org/officeDocument/2006/relationships" r:embed="rId1">
            <a:duotone>
              <a:schemeClr val="phClr">
                <a:tint val="30000"/>
                <a:satMod val="300000"/>
              </a:schemeClr>
              <a:schemeClr val="phClr">
                <a:tint val="40000"/>
                <a:satMod val="200000"/>
              </a:schemeClr>
            </a:duotone>
          </a:blip>
          <a:tile tx="0" ty="0" sx="70000" sy="70000" flip="none" algn="ctr"/>
        </a:blipFill>
        <a:blipFill>
          <a:blip xmlns:r="http://schemas.openxmlformats.org/officeDocument/2006/relationships" r:embed="rId1">
            <a:duotone>
              <a:schemeClr val="phClr">
                <a:shade val="22000"/>
                <a:satMod val="160000"/>
              </a:schemeClr>
              <a:schemeClr val="phClr">
                <a:shade val="45000"/>
                <a:satMod val="100000"/>
              </a:schemeClr>
            </a:duotone>
          </a:blip>
          <a:tile tx="0" ty="0" sx="65000" sy="65000" flip="none" algn="ctr"/>
        </a:blipFill>
      </a:fillStyleLst>
      <a:lnStyleLst>
        <a:ln w="9525" cap="flat" cmpd="sng" algn="ctr">
          <a:solidFill>
            <a:schemeClr val="phClr">
              <a:shade val="60000"/>
              <a:satMod val="110000"/>
            </a:schemeClr>
          </a:solidFill>
          <a:prstDash val="solid"/>
        </a:ln>
        <a:ln w="12700" cap="flat" cmpd="sng" algn="ctr">
          <a:solidFill>
            <a:schemeClr val="phClr"/>
          </a:solidFill>
          <a:prstDash val="solid"/>
        </a:ln>
        <a:ln w="38100" cap="flat" cmpd="sng" algn="ctr">
          <a:solidFill>
            <a:schemeClr val="phClr"/>
          </a:solidFill>
          <a:prstDash val="solid"/>
        </a:ln>
      </a:lnStyleLst>
      <a:effectStyleLst>
        <a:effectStyle>
          <a:effectLst>
            <a:outerShdw blurRad="38100" dist="25400" dir="5400000" algn="t" rotWithShape="0">
              <a:srgbClr val="000000">
                <a:alpha val="50000"/>
              </a:srgbClr>
            </a:outerShdw>
          </a:effectLst>
        </a:effectStyle>
        <a:effectStyle>
          <a:effectLst>
            <a:outerShdw blurRad="38100" dist="25400" dir="5400000" algn="t" rotWithShape="0">
              <a:srgbClr val="000000">
                <a:alpha val="50000"/>
              </a:srgbClr>
            </a:outerShdw>
          </a:effectLst>
        </a:effectStyle>
        <a:effectStyle>
          <a:effectLst>
            <a:outerShdw blurRad="50800" dist="50800" dir="5400000" algn="t" rotWithShape="0">
              <a:srgbClr val="000000">
                <a:alpha val="60000"/>
              </a:srgbClr>
            </a:outerShdw>
          </a:effectLst>
          <a:scene3d>
            <a:camera prst="isometricBottomUp" fov="0">
              <a:rot lat="0" lon="0" rev="0"/>
            </a:camera>
            <a:lightRig rig="soft" dir="b">
              <a:rot lat="0" lon="0" rev="9000000"/>
            </a:lightRig>
          </a:scene3d>
          <a:sp3d contourW="35000" prstMaterial="matte">
            <a:bevelT w="45000" h="38100" prst="convex"/>
            <a:contourClr>
              <a:schemeClr val="phClr">
                <a:tint val="10000"/>
                <a:satMod val="130000"/>
              </a:schemeClr>
            </a:contourClr>
          </a:sp3d>
        </a:effectStyle>
      </a:effectStyleLst>
      <a:bgFillStyleLst>
        <a:solidFill>
          <a:schemeClr val="phClr"/>
        </a:solidFill>
        <a:gradFill rotWithShape="1">
          <a:gsLst>
            <a:gs pos="0">
              <a:schemeClr val="phClr">
                <a:shade val="40000"/>
                <a:satMod val="165000"/>
              </a:schemeClr>
            </a:gs>
            <a:gs pos="50000">
              <a:schemeClr val="phClr">
                <a:shade val="80000"/>
                <a:satMod val="155000"/>
              </a:schemeClr>
            </a:gs>
            <a:gs pos="100000">
              <a:schemeClr val="phClr">
                <a:tint val="95000"/>
                <a:satMod val="200000"/>
              </a:schemeClr>
            </a:gs>
          </a:gsLst>
          <a:lin ang="16200000" scaled="1"/>
        </a:gradFill>
        <a:blipFill>
          <a:blip xmlns:r="http://schemas.openxmlformats.org/officeDocument/2006/relationships" r:embed="rId1">
            <a:duotone>
              <a:schemeClr val="phClr">
                <a:tint val="95000"/>
                <a:satMod val="200000"/>
              </a:schemeClr>
              <a:schemeClr val="phClr">
                <a:shade val="80000"/>
                <a:satMod val="100000"/>
              </a:schemeClr>
            </a:duotone>
          </a:blip>
          <a:tile tx="0" ty="0" sx="55000" sy="55000" flip="none" algn="tl"/>
        </a:blip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S80"/>
  <sheetViews>
    <sheetView tabSelected="1" view="pageBreakPreview" topLeftCell="A40" zoomScale="60" zoomScaleNormal="90" workbookViewId="0">
      <selection activeCell="A71" sqref="A71:A72"/>
    </sheetView>
  </sheetViews>
  <sheetFormatPr defaultColWidth="9.140625" defaultRowHeight="12.75"/>
  <cols>
    <col min="1" max="1" width="53.5703125" customWidth="1"/>
    <col min="2" max="2" width="65.7109375" style="1" customWidth="1"/>
    <col min="3" max="4" width="20.7109375" customWidth="1"/>
    <col min="5" max="6" width="23.140625" customWidth="1"/>
    <col min="7" max="42" width="9.140625" style="83"/>
  </cols>
  <sheetData>
    <row r="2" spans="1:42" s="11" customFormat="1" ht="45" customHeight="1">
      <c r="A2" s="102" t="s">
        <v>0</v>
      </c>
      <c r="B2" s="102"/>
      <c r="G2" s="82"/>
      <c r="H2" s="82"/>
      <c r="I2" s="82"/>
      <c r="J2" s="82"/>
      <c r="K2" s="82"/>
      <c r="L2" s="82"/>
      <c r="M2" s="82"/>
      <c r="N2" s="82"/>
      <c r="O2" s="82"/>
      <c r="P2" s="82"/>
      <c r="Q2" s="82"/>
      <c r="R2" s="82"/>
      <c r="S2" s="82"/>
      <c r="T2" s="82"/>
      <c r="U2" s="82"/>
      <c r="V2" s="82"/>
      <c r="W2" s="82"/>
      <c r="X2" s="82"/>
      <c r="Y2" s="82"/>
      <c r="Z2" s="82"/>
      <c r="AA2" s="82"/>
      <c r="AB2" s="82"/>
      <c r="AC2" s="82"/>
      <c r="AD2" s="82"/>
      <c r="AE2" s="82"/>
      <c r="AF2" s="82"/>
      <c r="AG2" s="82"/>
      <c r="AH2" s="82"/>
      <c r="AI2" s="82"/>
      <c r="AJ2" s="82"/>
      <c r="AK2" s="82"/>
      <c r="AL2" s="82"/>
      <c r="AM2" s="82"/>
      <c r="AN2" s="82"/>
      <c r="AO2" s="82"/>
      <c r="AP2" s="82"/>
    </row>
    <row r="3" spans="1:42" s="11" customFormat="1" ht="45" customHeight="1" thickBot="1">
      <c r="A3" s="75"/>
      <c r="B3" s="75"/>
      <c r="C3" s="79"/>
      <c r="D3" s="98"/>
      <c r="E3" s="98"/>
      <c r="F3" s="98" t="s">
        <v>102</v>
      </c>
      <c r="G3" s="82"/>
      <c r="H3" s="82"/>
      <c r="I3" s="82"/>
      <c r="J3" s="82"/>
      <c r="K3" s="82"/>
      <c r="L3" s="82"/>
      <c r="M3" s="82"/>
      <c r="N3" s="82"/>
      <c r="O3" s="82"/>
      <c r="P3" s="82"/>
      <c r="Q3" s="82"/>
      <c r="R3" s="82"/>
      <c r="S3" s="82"/>
      <c r="T3" s="82"/>
      <c r="U3" s="82"/>
      <c r="V3" s="82"/>
      <c r="W3" s="82"/>
      <c r="X3" s="82"/>
      <c r="Y3" s="82"/>
      <c r="Z3" s="82"/>
      <c r="AA3" s="82"/>
      <c r="AB3" s="82"/>
      <c r="AC3" s="82"/>
      <c r="AD3" s="82"/>
      <c r="AE3" s="82"/>
      <c r="AF3" s="82"/>
      <c r="AG3" s="82"/>
      <c r="AH3" s="82"/>
      <c r="AI3" s="82"/>
      <c r="AJ3" s="82"/>
      <c r="AK3" s="82"/>
      <c r="AL3" s="82"/>
      <c r="AM3" s="82"/>
      <c r="AN3" s="82"/>
      <c r="AO3" s="82"/>
      <c r="AP3" s="82"/>
    </row>
    <row r="4" spans="1:42" ht="25.5" customHeight="1" thickTop="1" thickBot="1">
      <c r="B4"/>
      <c r="C4" s="8" t="s">
        <v>1</v>
      </c>
      <c r="D4" s="8" t="s">
        <v>105</v>
      </c>
      <c r="E4" s="8" t="s">
        <v>106</v>
      </c>
      <c r="F4" s="8" t="s">
        <v>108</v>
      </c>
    </row>
    <row r="5" spans="1:42" ht="36" customHeight="1" thickTop="1" thickBot="1">
      <c r="A5" s="59"/>
      <c r="B5" s="49"/>
      <c r="C5" s="8" t="s">
        <v>103</v>
      </c>
      <c r="D5" s="8" t="s">
        <v>104</v>
      </c>
      <c r="E5" s="8" t="s">
        <v>107</v>
      </c>
      <c r="F5" s="8" t="s">
        <v>109</v>
      </c>
    </row>
    <row r="6" spans="1:42" ht="20.100000000000001" customHeight="1" thickTop="1">
      <c r="A6" s="60" t="s">
        <v>2</v>
      </c>
      <c r="B6" s="29" t="s">
        <v>3</v>
      </c>
      <c r="C6" s="23">
        <v>-9812.6</v>
      </c>
      <c r="D6" s="23">
        <v>-9438.9</v>
      </c>
      <c r="E6" s="23">
        <v>-10495.4</v>
      </c>
      <c r="F6" s="23">
        <v>-8287.5</v>
      </c>
      <c r="G6" s="84"/>
      <c r="H6" s="84"/>
      <c r="I6" s="84"/>
      <c r="J6" s="84"/>
      <c r="K6" s="84"/>
      <c r="L6" s="84"/>
      <c r="M6" s="84"/>
    </row>
    <row r="7" spans="1:42" s="25" customFormat="1" ht="20.100000000000001" customHeight="1">
      <c r="A7" s="61" t="s">
        <v>4</v>
      </c>
      <c r="B7" s="50" t="s">
        <v>5</v>
      </c>
      <c r="C7" s="19">
        <v>6785.2</v>
      </c>
      <c r="D7" s="19">
        <v>7488.7</v>
      </c>
      <c r="E7" s="19">
        <v>6638.1</v>
      </c>
      <c r="F7" s="19">
        <v>7583</v>
      </c>
      <c r="G7" s="86"/>
      <c r="H7" s="84"/>
      <c r="I7" s="84"/>
      <c r="J7" s="84"/>
      <c r="K7" s="84"/>
      <c r="L7" s="84"/>
      <c r="M7" s="84"/>
      <c r="N7" s="85"/>
      <c r="O7" s="85"/>
      <c r="P7" s="85"/>
      <c r="Q7" s="85"/>
      <c r="R7" s="85"/>
      <c r="S7" s="85"/>
      <c r="T7" s="85"/>
      <c r="U7" s="85"/>
      <c r="V7" s="85"/>
      <c r="W7" s="85"/>
      <c r="X7" s="85"/>
      <c r="Y7" s="85"/>
      <c r="Z7" s="85"/>
      <c r="AA7" s="85"/>
      <c r="AB7" s="85"/>
      <c r="AC7" s="85"/>
      <c r="AD7" s="85"/>
      <c r="AE7" s="85"/>
      <c r="AF7" s="85"/>
      <c r="AG7" s="85"/>
      <c r="AH7" s="85"/>
      <c r="AI7" s="85"/>
      <c r="AJ7" s="85"/>
      <c r="AK7" s="85"/>
      <c r="AL7" s="85"/>
      <c r="AM7" s="85"/>
      <c r="AN7" s="85"/>
      <c r="AO7" s="85"/>
      <c r="AP7" s="85"/>
    </row>
    <row r="8" spans="1:42" s="21" customFormat="1" ht="20.100000000000001" customHeight="1">
      <c r="A8" s="62" t="s">
        <v>6</v>
      </c>
      <c r="B8" s="51" t="s">
        <v>7</v>
      </c>
      <c r="C8" s="20">
        <v>2810</v>
      </c>
      <c r="D8" s="20">
        <v>3198.7</v>
      </c>
      <c r="E8" s="20">
        <v>2504.4</v>
      </c>
      <c r="F8" s="20">
        <v>3043.9</v>
      </c>
      <c r="G8" s="88"/>
      <c r="H8" s="84"/>
      <c r="I8" s="84"/>
      <c r="J8" s="84"/>
      <c r="K8" s="84"/>
      <c r="L8" s="84"/>
      <c r="M8" s="84"/>
      <c r="N8" s="87"/>
      <c r="O8" s="87"/>
      <c r="P8" s="87"/>
      <c r="Q8" s="87"/>
      <c r="R8" s="87"/>
      <c r="S8" s="87"/>
      <c r="T8" s="87"/>
      <c r="U8" s="87"/>
      <c r="V8" s="87"/>
      <c r="W8" s="87"/>
      <c r="X8" s="87"/>
      <c r="Y8" s="87"/>
      <c r="Z8" s="87"/>
      <c r="AA8" s="87"/>
      <c r="AB8" s="87"/>
      <c r="AC8" s="87"/>
      <c r="AD8" s="87"/>
      <c r="AE8" s="87"/>
      <c r="AF8" s="87"/>
      <c r="AG8" s="87"/>
      <c r="AH8" s="87"/>
      <c r="AI8" s="87"/>
      <c r="AJ8" s="87"/>
      <c r="AK8" s="87"/>
      <c r="AL8" s="87"/>
      <c r="AM8" s="87"/>
      <c r="AN8" s="87"/>
      <c r="AO8" s="87"/>
      <c r="AP8" s="87"/>
    </row>
    <row r="9" spans="1:42" s="21" customFormat="1" ht="20.100000000000001" customHeight="1">
      <c r="A9" s="62" t="s">
        <v>8</v>
      </c>
      <c r="B9" s="51" t="s">
        <v>9</v>
      </c>
      <c r="C9" s="20">
        <v>3975.2</v>
      </c>
      <c r="D9" s="20">
        <v>4290</v>
      </c>
      <c r="E9" s="20">
        <v>4133.7</v>
      </c>
      <c r="F9" s="20">
        <v>4539.1000000000004</v>
      </c>
      <c r="G9" s="88"/>
      <c r="H9" s="84"/>
      <c r="I9" s="84"/>
      <c r="J9" s="84"/>
      <c r="K9" s="84"/>
      <c r="L9" s="84"/>
      <c r="M9" s="84"/>
      <c r="N9" s="87"/>
      <c r="O9" s="87"/>
      <c r="P9" s="87"/>
      <c r="Q9" s="87"/>
      <c r="R9" s="87"/>
      <c r="S9" s="87"/>
      <c r="T9" s="87"/>
      <c r="U9" s="87"/>
      <c r="V9" s="87"/>
      <c r="W9" s="87"/>
      <c r="X9" s="87"/>
      <c r="Y9" s="87"/>
      <c r="Z9" s="87"/>
      <c r="AA9" s="87"/>
      <c r="AB9" s="87"/>
      <c r="AC9" s="87"/>
      <c r="AD9" s="87"/>
      <c r="AE9" s="87"/>
      <c r="AF9" s="87"/>
      <c r="AG9" s="87"/>
      <c r="AH9" s="87"/>
      <c r="AI9" s="87"/>
      <c r="AJ9" s="87"/>
      <c r="AK9" s="87"/>
      <c r="AL9" s="87"/>
      <c r="AM9" s="87"/>
      <c r="AN9" s="87"/>
      <c r="AO9" s="87"/>
      <c r="AP9" s="87"/>
    </row>
    <row r="10" spans="1:42" s="25" customFormat="1" ht="20.100000000000001" customHeight="1">
      <c r="A10" s="61" t="s">
        <v>10</v>
      </c>
      <c r="B10" s="52" t="s">
        <v>11</v>
      </c>
      <c r="C10" s="19">
        <v>-16597.8</v>
      </c>
      <c r="D10" s="19">
        <v>-16927.599999999999</v>
      </c>
      <c r="E10" s="19">
        <v>-17133.5</v>
      </c>
      <c r="F10" s="19">
        <v>-15870.5</v>
      </c>
      <c r="G10" s="86"/>
      <c r="H10" s="84"/>
      <c r="I10" s="84"/>
      <c r="J10" s="84"/>
      <c r="K10" s="84"/>
      <c r="L10" s="84"/>
      <c r="M10" s="84"/>
      <c r="N10" s="85"/>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row>
    <row r="11" spans="1:42" s="21" customFormat="1" ht="20.100000000000001" customHeight="1">
      <c r="A11" s="62" t="s">
        <v>12</v>
      </c>
      <c r="B11" s="53" t="s">
        <v>13</v>
      </c>
      <c r="C11" s="20">
        <v>-3415.6</v>
      </c>
      <c r="D11" s="20">
        <v>-2442.3000000000002</v>
      </c>
      <c r="E11" s="20">
        <v>-2949.5</v>
      </c>
      <c r="F11" s="20">
        <v>-2741.5</v>
      </c>
      <c r="G11" s="88"/>
      <c r="H11" s="84"/>
      <c r="I11" s="84"/>
      <c r="J11" s="84"/>
      <c r="K11" s="84"/>
      <c r="L11" s="84"/>
      <c r="M11" s="84"/>
      <c r="N11" s="87"/>
      <c r="O11" s="87"/>
      <c r="P11" s="87"/>
      <c r="Q11" s="87"/>
      <c r="R11" s="87"/>
      <c r="S11" s="87"/>
      <c r="T11" s="87"/>
      <c r="U11" s="87"/>
      <c r="V11" s="87"/>
      <c r="W11" s="87"/>
      <c r="X11" s="87"/>
      <c r="Y11" s="87"/>
      <c r="Z11" s="87"/>
      <c r="AA11" s="87"/>
      <c r="AB11" s="87"/>
      <c r="AC11" s="87"/>
      <c r="AD11" s="87"/>
      <c r="AE11" s="87"/>
      <c r="AF11" s="87"/>
      <c r="AG11" s="87"/>
      <c r="AH11" s="87"/>
      <c r="AI11" s="87"/>
      <c r="AJ11" s="87"/>
      <c r="AK11" s="87"/>
      <c r="AL11" s="87"/>
      <c r="AM11" s="87"/>
      <c r="AN11" s="87"/>
      <c r="AO11" s="87"/>
      <c r="AP11" s="87"/>
    </row>
    <row r="12" spans="1:42" s="21" customFormat="1" ht="20.100000000000001" customHeight="1">
      <c r="A12" s="62" t="s">
        <v>14</v>
      </c>
      <c r="B12" s="53" t="s">
        <v>15</v>
      </c>
      <c r="C12" s="20">
        <v>-13182.2</v>
      </c>
      <c r="D12" s="20">
        <v>-14485.3</v>
      </c>
      <c r="E12" s="20">
        <v>-14184</v>
      </c>
      <c r="F12" s="20">
        <v>-13129</v>
      </c>
      <c r="G12" s="88"/>
      <c r="H12" s="84"/>
      <c r="I12" s="84"/>
      <c r="J12" s="84"/>
      <c r="K12" s="84"/>
      <c r="L12" s="84"/>
      <c r="M12" s="84"/>
      <c r="N12" s="87"/>
      <c r="O12" s="87"/>
      <c r="P12" s="87"/>
      <c r="Q12" s="87"/>
      <c r="R12" s="87"/>
      <c r="S12" s="87"/>
      <c r="T12" s="87"/>
      <c r="U12" s="87"/>
      <c r="V12" s="87"/>
      <c r="W12" s="87"/>
      <c r="X12" s="87"/>
      <c r="Y12" s="87"/>
      <c r="Z12" s="87"/>
      <c r="AA12" s="87"/>
      <c r="AB12" s="87"/>
      <c r="AC12" s="87"/>
      <c r="AD12" s="87"/>
      <c r="AE12" s="87"/>
      <c r="AF12" s="87"/>
      <c r="AG12" s="87"/>
      <c r="AH12" s="87"/>
      <c r="AI12" s="87"/>
      <c r="AJ12" s="87"/>
      <c r="AK12" s="87"/>
      <c r="AL12" s="87"/>
      <c r="AM12" s="87"/>
      <c r="AN12" s="87"/>
      <c r="AO12" s="87"/>
      <c r="AP12" s="87"/>
    </row>
    <row r="13" spans="1:42" ht="20.100000000000001" customHeight="1">
      <c r="A13" s="60" t="s">
        <v>16</v>
      </c>
      <c r="B13" s="29" t="s">
        <v>17</v>
      </c>
      <c r="C13" s="23">
        <v>4283.1000000000004</v>
      </c>
      <c r="D13" s="23">
        <v>2975.6</v>
      </c>
      <c r="E13" s="23">
        <v>2502.6999999999998</v>
      </c>
      <c r="F13" s="23">
        <v>3275.1</v>
      </c>
      <c r="G13" s="84"/>
      <c r="H13" s="84"/>
      <c r="I13" s="84"/>
      <c r="J13" s="84"/>
      <c r="K13" s="84"/>
      <c r="L13" s="84"/>
      <c r="M13" s="84"/>
    </row>
    <row r="14" spans="1:42" ht="20.100000000000001" customHeight="1">
      <c r="A14" s="60" t="s">
        <v>18</v>
      </c>
      <c r="B14" s="54" t="s">
        <v>19</v>
      </c>
      <c r="C14" s="23">
        <v>6938.4</v>
      </c>
      <c r="D14" s="23">
        <v>5894.8</v>
      </c>
      <c r="E14" s="23">
        <v>5322.7</v>
      </c>
      <c r="F14" s="23">
        <v>6267.7</v>
      </c>
      <c r="G14" s="84"/>
      <c r="H14" s="84"/>
      <c r="I14" s="84"/>
      <c r="J14" s="84"/>
      <c r="K14" s="84"/>
      <c r="L14" s="84"/>
      <c r="M14" s="84"/>
    </row>
    <row r="15" spans="1:42" ht="20.100000000000001" customHeight="1">
      <c r="A15" s="63" t="s">
        <v>87</v>
      </c>
      <c r="B15" s="52" t="s">
        <v>29</v>
      </c>
      <c r="C15" s="19">
        <v>2242.8000000000002</v>
      </c>
      <c r="D15" s="19">
        <v>2247.6999999999998</v>
      </c>
      <c r="E15" s="19">
        <v>1970.8</v>
      </c>
      <c r="F15" s="19">
        <v>2139</v>
      </c>
      <c r="G15" s="84"/>
      <c r="H15" s="84"/>
      <c r="I15" s="84"/>
      <c r="J15" s="84"/>
      <c r="K15" s="84"/>
      <c r="L15" s="84"/>
      <c r="M15" s="84"/>
    </row>
    <row r="16" spans="1:42" s="10" customFormat="1" ht="20.100000000000001" customHeight="1">
      <c r="A16" s="64" t="s">
        <v>88</v>
      </c>
      <c r="B16" s="55" t="s">
        <v>89</v>
      </c>
      <c r="C16" s="22">
        <v>1441.2</v>
      </c>
      <c r="D16" s="22">
        <v>1487.1</v>
      </c>
      <c r="E16" s="22">
        <v>1344.7</v>
      </c>
      <c r="F16" s="22">
        <v>1457.7</v>
      </c>
      <c r="G16" s="84"/>
      <c r="H16" s="84"/>
      <c r="I16" s="84"/>
      <c r="J16" s="84"/>
      <c r="K16" s="84"/>
      <c r="L16" s="84"/>
      <c r="M16" s="84"/>
      <c r="N16" s="89"/>
      <c r="O16" s="89"/>
      <c r="P16" s="89"/>
      <c r="Q16" s="89"/>
      <c r="R16" s="89"/>
      <c r="S16" s="89"/>
      <c r="T16" s="89"/>
      <c r="U16" s="89"/>
      <c r="V16" s="89"/>
      <c r="W16" s="89"/>
      <c r="X16" s="89"/>
      <c r="Y16" s="89"/>
      <c r="Z16" s="89"/>
      <c r="AA16" s="89"/>
      <c r="AB16" s="89"/>
      <c r="AC16" s="89"/>
      <c r="AD16" s="89"/>
      <c r="AE16" s="89"/>
      <c r="AF16" s="89"/>
      <c r="AG16" s="89"/>
      <c r="AH16" s="89"/>
      <c r="AI16" s="89"/>
      <c r="AJ16" s="89"/>
      <c r="AK16" s="89"/>
      <c r="AL16" s="89"/>
      <c r="AM16" s="89"/>
      <c r="AN16" s="89"/>
      <c r="AO16" s="89"/>
      <c r="AP16" s="89"/>
    </row>
    <row r="17" spans="1:42" ht="20.100000000000001" customHeight="1">
      <c r="A17" s="63" t="s">
        <v>20</v>
      </c>
      <c r="B17" s="52" t="s">
        <v>21</v>
      </c>
      <c r="C17" s="19">
        <v>3930.9</v>
      </c>
      <c r="D17" s="19">
        <v>2859.1</v>
      </c>
      <c r="E17" s="19">
        <v>2601.6</v>
      </c>
      <c r="F17" s="19">
        <v>3179</v>
      </c>
      <c r="G17" s="84"/>
      <c r="H17" s="84"/>
      <c r="I17" s="84"/>
      <c r="J17" s="84"/>
      <c r="K17" s="84"/>
      <c r="L17" s="84"/>
      <c r="M17" s="84"/>
    </row>
    <row r="18" spans="1:42" ht="20.100000000000001" customHeight="1">
      <c r="A18" s="63" t="s">
        <v>22</v>
      </c>
      <c r="B18" s="52" t="s">
        <v>23</v>
      </c>
      <c r="C18" s="19">
        <v>166</v>
      </c>
      <c r="D18" s="19">
        <v>127.7</v>
      </c>
      <c r="E18" s="19">
        <v>126.3</v>
      </c>
      <c r="F18" s="19">
        <v>298.8</v>
      </c>
      <c r="G18" s="84"/>
      <c r="H18" s="84"/>
      <c r="I18" s="84"/>
      <c r="J18" s="84"/>
      <c r="K18" s="84"/>
      <c r="L18" s="84"/>
      <c r="M18" s="84"/>
    </row>
    <row r="19" spans="1:42" ht="20.100000000000001" customHeight="1">
      <c r="A19" s="63" t="s">
        <v>24</v>
      </c>
      <c r="B19" s="52" t="s">
        <v>25</v>
      </c>
      <c r="C19" s="19">
        <v>598.70000000000005</v>
      </c>
      <c r="D19" s="19">
        <v>660.3</v>
      </c>
      <c r="E19" s="19">
        <v>624</v>
      </c>
      <c r="F19" s="19">
        <v>650.9</v>
      </c>
      <c r="G19" s="84"/>
      <c r="H19" s="84"/>
      <c r="I19" s="84"/>
      <c r="J19" s="84"/>
      <c r="K19" s="84"/>
      <c r="L19" s="84"/>
      <c r="M19" s="84"/>
    </row>
    <row r="20" spans="1:42" ht="20.100000000000001" customHeight="1">
      <c r="A20" s="60" t="s">
        <v>26</v>
      </c>
      <c r="B20" s="54" t="s">
        <v>27</v>
      </c>
      <c r="C20" s="23">
        <v>2655.3</v>
      </c>
      <c r="D20" s="23">
        <v>2919.2</v>
      </c>
      <c r="E20" s="23">
        <v>2820</v>
      </c>
      <c r="F20" s="23">
        <v>2992.6</v>
      </c>
      <c r="G20" s="84"/>
      <c r="H20" s="84"/>
      <c r="I20" s="84"/>
      <c r="J20" s="84"/>
      <c r="K20" s="84"/>
      <c r="L20" s="84"/>
      <c r="M20" s="84"/>
    </row>
    <row r="21" spans="1:42" ht="20.100000000000001" customHeight="1">
      <c r="A21" s="65" t="s">
        <v>28</v>
      </c>
      <c r="B21" s="52" t="s">
        <v>29</v>
      </c>
      <c r="C21" s="19">
        <v>448.5</v>
      </c>
      <c r="D21" s="19">
        <v>416.1</v>
      </c>
      <c r="E21" s="19">
        <v>411.8</v>
      </c>
      <c r="F21" s="19">
        <v>516</v>
      </c>
      <c r="G21" s="84"/>
      <c r="H21" s="84"/>
      <c r="I21" s="84"/>
      <c r="J21" s="84"/>
      <c r="K21" s="84"/>
      <c r="L21" s="84"/>
      <c r="M21" s="84"/>
    </row>
    <row r="22" spans="1:42" ht="20.100000000000001" customHeight="1">
      <c r="A22" s="63" t="s">
        <v>30</v>
      </c>
      <c r="B22" s="52" t="s">
        <v>31</v>
      </c>
      <c r="C22" s="19">
        <v>717</v>
      </c>
      <c r="D22" s="19">
        <v>659.5</v>
      </c>
      <c r="E22" s="19">
        <v>702.4</v>
      </c>
      <c r="F22" s="19">
        <v>824</v>
      </c>
      <c r="G22" s="84"/>
      <c r="H22" s="84"/>
      <c r="I22" s="84"/>
      <c r="J22" s="84"/>
      <c r="K22" s="84"/>
      <c r="L22" s="84"/>
      <c r="M22" s="84"/>
    </row>
    <row r="23" spans="1:42" ht="20.100000000000001" customHeight="1">
      <c r="A23" s="63" t="s">
        <v>32</v>
      </c>
      <c r="B23" s="52" t="s">
        <v>33</v>
      </c>
      <c r="C23" s="19">
        <v>183.1</v>
      </c>
      <c r="D23" s="19">
        <v>175.3</v>
      </c>
      <c r="E23" s="19">
        <v>207.8</v>
      </c>
      <c r="F23" s="19">
        <v>126.2</v>
      </c>
      <c r="G23" s="84"/>
      <c r="H23" s="84"/>
      <c r="I23" s="84"/>
      <c r="J23" s="84"/>
      <c r="K23" s="84"/>
      <c r="L23" s="84"/>
      <c r="M23" s="84"/>
    </row>
    <row r="24" spans="1:42" ht="20.100000000000001" customHeight="1">
      <c r="A24" s="63" t="s">
        <v>34</v>
      </c>
      <c r="B24" s="52" t="s">
        <v>25</v>
      </c>
      <c r="C24" s="19">
        <v>1306.7</v>
      </c>
      <c r="D24" s="19">
        <v>1668.3</v>
      </c>
      <c r="E24" s="19">
        <v>1498</v>
      </c>
      <c r="F24" s="19">
        <v>1526.4</v>
      </c>
      <c r="G24" s="84"/>
      <c r="H24" s="84"/>
      <c r="I24" s="84"/>
      <c r="J24" s="84"/>
      <c r="K24" s="84"/>
      <c r="L24" s="84"/>
      <c r="M24" s="84"/>
    </row>
    <row r="25" spans="1:42" ht="20.100000000000001" customHeight="1">
      <c r="A25" s="60" t="s">
        <v>98</v>
      </c>
      <c r="B25" s="54" t="s">
        <v>99</v>
      </c>
      <c r="C25" s="3">
        <v>-2391.4</v>
      </c>
      <c r="D25" s="3">
        <v>-2831.1</v>
      </c>
      <c r="E25" s="3">
        <v>-2784.2</v>
      </c>
      <c r="F25" s="3">
        <v>-3002.9</v>
      </c>
      <c r="G25" s="90"/>
      <c r="H25" s="84"/>
      <c r="I25" s="84"/>
      <c r="J25" s="84"/>
      <c r="K25" s="84"/>
      <c r="L25" s="84"/>
      <c r="M25" s="84"/>
    </row>
    <row r="26" spans="1:42" ht="20.100000000000001" customHeight="1">
      <c r="A26" s="63" t="s">
        <v>100</v>
      </c>
      <c r="B26" s="52" t="s">
        <v>101</v>
      </c>
      <c r="C26" s="19">
        <v>227.7</v>
      </c>
      <c r="D26" s="19">
        <v>259.2</v>
      </c>
      <c r="E26" s="19">
        <v>233.2</v>
      </c>
      <c r="F26" s="19">
        <v>294</v>
      </c>
      <c r="G26" s="91"/>
      <c r="H26" s="84"/>
      <c r="I26" s="84"/>
      <c r="J26" s="84"/>
      <c r="K26" s="84"/>
      <c r="L26" s="84"/>
      <c r="M26" s="84"/>
    </row>
    <row r="27" spans="1:42" s="9" customFormat="1" ht="20.100000000000001" customHeight="1">
      <c r="A27" s="65" t="s">
        <v>112</v>
      </c>
      <c r="B27" s="52" t="s">
        <v>113</v>
      </c>
      <c r="C27" s="19">
        <v>2619.1</v>
      </c>
      <c r="D27" s="19">
        <v>3090.3</v>
      </c>
      <c r="E27" s="19">
        <v>3017.4</v>
      </c>
      <c r="F27" s="19">
        <v>3296.9</v>
      </c>
      <c r="G27" s="91"/>
      <c r="H27" s="84"/>
      <c r="I27" s="84"/>
      <c r="J27" s="84"/>
      <c r="K27" s="84"/>
      <c r="L27" s="84"/>
      <c r="M27" s="84"/>
      <c r="N27" s="92"/>
      <c r="O27" s="92"/>
      <c r="P27" s="92"/>
      <c r="Q27" s="92"/>
      <c r="R27" s="92"/>
      <c r="S27" s="92"/>
      <c r="T27" s="92"/>
      <c r="U27" s="92"/>
      <c r="V27" s="92"/>
      <c r="W27" s="92"/>
      <c r="X27" s="92"/>
      <c r="Y27" s="92"/>
      <c r="Z27" s="92"/>
      <c r="AA27" s="92"/>
      <c r="AB27" s="92"/>
      <c r="AC27" s="92"/>
      <c r="AD27" s="92"/>
      <c r="AE27" s="92"/>
      <c r="AF27" s="92"/>
      <c r="AG27" s="92"/>
      <c r="AH27" s="92"/>
      <c r="AI27" s="92"/>
      <c r="AJ27" s="92"/>
      <c r="AK27" s="92"/>
      <c r="AL27" s="92"/>
      <c r="AM27" s="92"/>
      <c r="AN27" s="92"/>
      <c r="AO27" s="92"/>
      <c r="AP27" s="92"/>
    </row>
    <row r="28" spans="1:42" ht="20.100000000000001" customHeight="1">
      <c r="A28" s="64" t="s">
        <v>90</v>
      </c>
      <c r="B28" s="55" t="s">
        <v>91</v>
      </c>
      <c r="C28" s="19">
        <v>508.3</v>
      </c>
      <c r="D28" s="19">
        <v>565.9</v>
      </c>
      <c r="E28" s="19">
        <v>713.3</v>
      </c>
      <c r="F28" s="19">
        <v>786.6</v>
      </c>
      <c r="G28" s="93"/>
      <c r="H28" s="84"/>
      <c r="I28" s="84"/>
      <c r="J28" s="84"/>
      <c r="K28" s="84"/>
      <c r="L28" s="84"/>
      <c r="M28" s="84"/>
    </row>
    <row r="29" spans="1:42" ht="20.100000000000001" customHeight="1">
      <c r="A29" s="60" t="s">
        <v>35</v>
      </c>
      <c r="B29" s="56" t="s">
        <v>36</v>
      </c>
      <c r="C29" s="23">
        <v>5908.9</v>
      </c>
      <c r="D29" s="23">
        <v>6047.8</v>
      </c>
      <c r="E29" s="23">
        <v>6229.3</v>
      </c>
      <c r="F29" s="23">
        <v>6927.6</v>
      </c>
      <c r="G29" s="84"/>
      <c r="H29" s="84"/>
      <c r="I29" s="84"/>
      <c r="J29" s="84"/>
      <c r="K29" s="84"/>
      <c r="L29" s="84"/>
      <c r="M29" s="84"/>
    </row>
    <row r="30" spans="1:42" ht="20.100000000000001" customHeight="1">
      <c r="A30" s="63" t="s">
        <v>92</v>
      </c>
      <c r="B30" s="57" t="s">
        <v>93</v>
      </c>
      <c r="C30" s="19">
        <v>5861.2</v>
      </c>
      <c r="D30" s="19">
        <v>5932</v>
      </c>
      <c r="E30" s="19">
        <v>6092.5</v>
      </c>
      <c r="F30" s="19">
        <v>6877.4</v>
      </c>
      <c r="G30" s="84"/>
      <c r="H30" s="84"/>
      <c r="I30" s="84"/>
      <c r="J30" s="84"/>
      <c r="K30" s="84"/>
      <c r="L30" s="84"/>
      <c r="M30" s="84"/>
    </row>
    <row r="31" spans="1:42" ht="20.100000000000001" customHeight="1">
      <c r="A31" s="78" t="s">
        <v>114</v>
      </c>
      <c r="B31" s="57" t="s">
        <v>115</v>
      </c>
      <c r="C31" s="19">
        <v>5909</v>
      </c>
      <c r="D31" s="19">
        <v>6136.9</v>
      </c>
      <c r="E31" s="19">
        <v>6165.5</v>
      </c>
      <c r="F31" s="19">
        <v>6939.4</v>
      </c>
      <c r="G31" s="84"/>
      <c r="H31" s="84"/>
      <c r="I31" s="84"/>
      <c r="J31" s="84"/>
      <c r="K31" s="84"/>
      <c r="L31" s="84"/>
      <c r="M31" s="84"/>
    </row>
    <row r="32" spans="1:42" ht="20.100000000000001" customHeight="1">
      <c r="A32" s="63" t="s">
        <v>37</v>
      </c>
      <c r="B32" s="57" t="s">
        <v>38</v>
      </c>
      <c r="C32" s="19">
        <v>47.7</v>
      </c>
      <c r="D32" s="19">
        <v>115.8</v>
      </c>
      <c r="E32" s="19">
        <v>136.80000000000001</v>
      </c>
      <c r="F32" s="19">
        <v>50.2</v>
      </c>
      <c r="G32" s="84"/>
      <c r="H32" s="84"/>
      <c r="I32" s="84"/>
      <c r="J32" s="84"/>
      <c r="K32" s="84"/>
      <c r="L32" s="84"/>
      <c r="M32" s="84"/>
    </row>
    <row r="33" spans="1:71" s="70" customFormat="1" ht="20.100000000000001" customHeight="1">
      <c r="A33" s="47" t="s">
        <v>39</v>
      </c>
      <c r="B33" s="58" t="s">
        <v>40</v>
      </c>
      <c r="C33" s="24">
        <v>-2012</v>
      </c>
      <c r="D33" s="24">
        <v>-3246.6</v>
      </c>
      <c r="E33" s="24">
        <v>-4547.6000000000004</v>
      </c>
      <c r="F33" s="24">
        <v>-1087.7</v>
      </c>
      <c r="G33" s="84"/>
      <c r="H33" s="84"/>
      <c r="I33" s="84"/>
      <c r="J33" s="84"/>
      <c r="K33" s="84"/>
      <c r="L33" s="84"/>
      <c r="M33" s="84"/>
      <c r="N33" s="83"/>
      <c r="O33" s="83"/>
      <c r="P33" s="83"/>
      <c r="Q33" s="83"/>
      <c r="R33" s="83"/>
      <c r="S33" s="83"/>
      <c r="T33" s="83"/>
      <c r="U33" s="83"/>
      <c r="V33" s="83"/>
      <c r="W33" s="83"/>
      <c r="X33" s="83"/>
      <c r="Y33" s="83"/>
      <c r="Z33" s="83"/>
      <c r="AA33" s="83"/>
      <c r="AB33" s="83"/>
      <c r="AC33" s="83"/>
      <c r="AD33" s="83"/>
      <c r="AE33" s="83"/>
      <c r="AF33" s="83"/>
      <c r="AG33" s="83"/>
      <c r="AH33" s="83"/>
      <c r="AI33" s="83"/>
      <c r="AJ33" s="83"/>
      <c r="AK33" s="83"/>
      <c r="AL33" s="83"/>
      <c r="AM33" s="83"/>
      <c r="AN33" s="83"/>
      <c r="AO33" s="83"/>
      <c r="AP33" s="83"/>
    </row>
    <row r="34" spans="1:71" ht="20.100000000000001" customHeight="1">
      <c r="A34" s="67" t="s">
        <v>85</v>
      </c>
      <c r="B34" s="68" t="s">
        <v>86</v>
      </c>
      <c r="C34" s="4"/>
      <c r="D34" s="4"/>
      <c r="G34" s="84"/>
      <c r="H34" s="84"/>
    </row>
    <row r="35" spans="1:71" ht="27.75" customHeight="1">
      <c r="A35" s="103" t="s">
        <v>110</v>
      </c>
      <c r="B35" s="105" t="s">
        <v>111</v>
      </c>
      <c r="C35" s="101"/>
      <c r="D35" s="101"/>
      <c r="E35" s="101"/>
      <c r="F35" s="101"/>
      <c r="G35" s="101"/>
      <c r="H35" s="101"/>
      <c r="AQ35" s="83"/>
      <c r="AR35" s="83"/>
      <c r="AS35" s="83"/>
      <c r="AT35" s="83"/>
      <c r="AU35" s="83"/>
      <c r="AV35" s="83"/>
      <c r="AW35" s="83"/>
      <c r="AX35" s="83"/>
      <c r="AY35" s="83"/>
      <c r="AZ35" s="83"/>
      <c r="BA35" s="83"/>
      <c r="BB35" s="83"/>
      <c r="BC35" s="83"/>
      <c r="BD35" s="83"/>
      <c r="BE35" s="83"/>
      <c r="BF35" s="83"/>
      <c r="BG35" s="83"/>
      <c r="BH35" s="83"/>
      <c r="BI35" s="83"/>
      <c r="BJ35" s="83"/>
      <c r="BK35" s="83"/>
      <c r="BL35" s="83"/>
      <c r="BM35" s="83"/>
      <c r="BN35" s="83"/>
      <c r="BO35" s="83"/>
      <c r="BP35" s="83"/>
      <c r="BQ35" s="83"/>
      <c r="BR35" s="83"/>
      <c r="BS35" s="83"/>
    </row>
    <row r="36" spans="1:71" ht="32.25" customHeight="1">
      <c r="A36" s="103"/>
      <c r="B36" s="105"/>
      <c r="C36" s="101"/>
      <c r="D36" s="101"/>
      <c r="E36" s="101"/>
      <c r="F36" s="101"/>
      <c r="G36" s="101"/>
      <c r="H36" s="101"/>
      <c r="AQ36" s="83"/>
      <c r="AR36" s="83"/>
      <c r="AS36" s="83"/>
      <c r="AT36" s="83"/>
      <c r="AU36" s="83"/>
      <c r="AV36" s="83"/>
      <c r="AW36" s="83"/>
      <c r="AX36" s="83"/>
      <c r="AY36" s="83"/>
      <c r="AZ36" s="83"/>
      <c r="BA36" s="83"/>
      <c r="BB36" s="83"/>
      <c r="BC36" s="83"/>
      <c r="BD36" s="83"/>
      <c r="BE36" s="83"/>
      <c r="BF36" s="83"/>
      <c r="BG36" s="83"/>
      <c r="BH36" s="83"/>
      <c r="BI36" s="83"/>
      <c r="BJ36" s="83"/>
      <c r="BK36" s="83"/>
      <c r="BL36" s="83"/>
      <c r="BM36" s="83"/>
      <c r="BN36" s="83"/>
      <c r="BO36" s="83"/>
      <c r="BP36" s="83"/>
      <c r="BQ36" s="83"/>
      <c r="BR36" s="83"/>
      <c r="BS36" s="83"/>
    </row>
    <row r="37" spans="1:71" ht="30.75" customHeight="1">
      <c r="A37" s="67"/>
      <c r="B37" s="77"/>
      <c r="C37" s="73"/>
      <c r="D37" s="73"/>
      <c r="E37" s="73"/>
      <c r="F37" s="73"/>
    </row>
    <row r="38" spans="1:71" ht="30.75" customHeight="1">
      <c r="A38" s="67"/>
      <c r="B38" s="76"/>
      <c r="C38" s="73"/>
      <c r="D38" s="73"/>
      <c r="E38" s="73"/>
      <c r="F38" s="73"/>
    </row>
    <row r="39" spans="1:71" s="11" customFormat="1" ht="45" customHeight="1">
      <c r="A39" s="102" t="s">
        <v>41</v>
      </c>
      <c r="B39" s="102"/>
      <c r="C39" s="4"/>
      <c r="D39" s="4"/>
      <c r="G39" s="82"/>
      <c r="H39" s="82"/>
      <c r="I39" s="82"/>
      <c r="J39" s="82"/>
      <c r="K39" s="82"/>
      <c r="L39" s="82"/>
      <c r="M39" s="82"/>
      <c r="N39" s="82"/>
      <c r="O39" s="82"/>
      <c r="P39" s="82"/>
      <c r="Q39" s="82"/>
      <c r="R39" s="82"/>
      <c r="S39" s="82"/>
      <c r="T39" s="82"/>
      <c r="U39" s="82"/>
      <c r="V39" s="82"/>
      <c r="W39" s="82"/>
      <c r="X39" s="82"/>
      <c r="Y39" s="82"/>
      <c r="Z39" s="82"/>
      <c r="AA39" s="82"/>
      <c r="AB39" s="82"/>
      <c r="AC39" s="82"/>
      <c r="AD39" s="82"/>
      <c r="AE39" s="82"/>
      <c r="AF39" s="82"/>
      <c r="AG39" s="82"/>
      <c r="AH39" s="82"/>
      <c r="AI39" s="82"/>
      <c r="AJ39" s="82"/>
      <c r="AK39" s="82"/>
      <c r="AL39" s="82"/>
      <c r="AM39" s="82"/>
      <c r="AN39" s="82"/>
      <c r="AO39" s="82"/>
      <c r="AP39" s="82"/>
    </row>
    <row r="40" spans="1:71" s="11" customFormat="1" ht="45" customHeight="1" thickBot="1">
      <c r="B40" s="75"/>
      <c r="C40" s="79"/>
      <c r="D40" s="98"/>
      <c r="E40" s="98"/>
      <c r="F40" s="98" t="s">
        <v>102</v>
      </c>
      <c r="G40" s="82"/>
      <c r="H40" s="82"/>
      <c r="I40" s="82"/>
      <c r="J40" s="82"/>
      <c r="K40" s="82"/>
      <c r="L40" s="82"/>
      <c r="M40" s="82"/>
      <c r="N40" s="82"/>
      <c r="O40" s="82"/>
      <c r="P40" s="82"/>
      <c r="Q40" s="82"/>
      <c r="R40" s="82"/>
      <c r="S40" s="82"/>
      <c r="T40" s="82"/>
      <c r="U40" s="82"/>
      <c r="V40" s="82"/>
      <c r="W40" s="82"/>
      <c r="X40" s="82"/>
      <c r="Y40" s="82"/>
      <c r="Z40" s="82"/>
      <c r="AA40" s="82"/>
      <c r="AB40" s="82"/>
      <c r="AC40" s="82"/>
      <c r="AD40" s="82"/>
      <c r="AE40" s="82"/>
      <c r="AF40" s="82"/>
      <c r="AG40" s="82"/>
      <c r="AH40" s="82"/>
      <c r="AI40" s="82"/>
      <c r="AJ40" s="82"/>
      <c r="AK40" s="82"/>
      <c r="AL40" s="82"/>
      <c r="AM40" s="82"/>
      <c r="AN40" s="82"/>
      <c r="AO40" s="82"/>
      <c r="AP40" s="82"/>
    </row>
    <row r="41" spans="1:71" ht="25.5" customHeight="1" thickTop="1" thickBot="1">
      <c r="C41" s="8" t="s">
        <v>1</v>
      </c>
      <c r="D41" s="8" t="s">
        <v>105</v>
      </c>
      <c r="E41" s="8" t="s">
        <v>106</v>
      </c>
      <c r="F41" s="8" t="s">
        <v>108</v>
      </c>
    </row>
    <row r="42" spans="1:71" ht="35.1" customHeight="1" thickTop="1" thickBot="1">
      <c r="B42" s="2"/>
      <c r="C42" s="8" t="s">
        <v>103</v>
      </c>
      <c r="D42" s="8" t="s">
        <v>104</v>
      </c>
      <c r="E42" s="8" t="s">
        <v>107</v>
      </c>
      <c r="F42" s="8" t="s">
        <v>109</v>
      </c>
    </row>
    <row r="43" spans="1:71" ht="20.100000000000001" customHeight="1" thickTop="1">
      <c r="A43" s="27" t="s">
        <v>42</v>
      </c>
      <c r="B43" s="28" t="s">
        <v>43</v>
      </c>
      <c r="C43" s="5">
        <v>1791.1</v>
      </c>
      <c r="D43" s="5">
        <v>1338.7</v>
      </c>
      <c r="E43" s="5">
        <v>6506.7</v>
      </c>
      <c r="F43" s="5">
        <v>1220.4000000000001</v>
      </c>
      <c r="G43" s="84"/>
      <c r="H43" s="84"/>
      <c r="I43" s="84"/>
      <c r="J43" s="84"/>
      <c r="K43" s="84"/>
      <c r="L43" s="84"/>
      <c r="M43" s="84"/>
    </row>
    <row r="44" spans="1:71" ht="18.75">
      <c r="A44" s="29" t="s">
        <v>44</v>
      </c>
      <c r="B44" s="30" t="s">
        <v>45</v>
      </c>
      <c r="C44" s="5">
        <v>-35</v>
      </c>
      <c r="D44" s="5">
        <v>-28.7</v>
      </c>
      <c r="E44" s="5">
        <v>-33.700000000000003</v>
      </c>
      <c r="F44" s="5">
        <v>-31.8</v>
      </c>
      <c r="H44" s="84"/>
      <c r="I44" s="84"/>
      <c r="J44" s="84"/>
      <c r="K44" s="84"/>
      <c r="L44" s="84"/>
      <c r="M44" s="84"/>
    </row>
    <row r="45" spans="1:71" ht="20.100000000000001" customHeight="1">
      <c r="A45" s="29" t="s">
        <v>46</v>
      </c>
      <c r="B45" s="31" t="s">
        <v>47</v>
      </c>
      <c r="C45" s="5">
        <v>1826.1</v>
      </c>
      <c r="D45" s="5">
        <v>1367.4</v>
      </c>
      <c r="E45" s="5">
        <v>6540.4</v>
      </c>
      <c r="F45" s="5">
        <v>1252.2</v>
      </c>
      <c r="H45" s="84"/>
      <c r="I45" s="84"/>
      <c r="J45" s="84"/>
      <c r="K45" s="84"/>
      <c r="L45" s="84"/>
      <c r="M45" s="84"/>
    </row>
    <row r="46" spans="1:71" s="15" customFormat="1" ht="20.100000000000001" customHeight="1">
      <c r="A46" s="32" t="s">
        <v>48</v>
      </c>
      <c r="B46" s="33" t="s">
        <v>49</v>
      </c>
      <c r="C46" s="14">
        <v>-65.8</v>
      </c>
      <c r="D46" s="14">
        <v>-118.4</v>
      </c>
      <c r="E46" s="14">
        <v>-104.2</v>
      </c>
      <c r="F46" s="14">
        <v>-85.6</v>
      </c>
      <c r="G46" s="94"/>
      <c r="H46" s="84"/>
      <c r="I46" s="84"/>
      <c r="J46" s="84"/>
      <c r="K46" s="84"/>
      <c r="L46" s="84"/>
      <c r="M46" s="84"/>
      <c r="N46" s="94"/>
      <c r="O46" s="94"/>
      <c r="P46" s="94"/>
      <c r="Q46" s="94"/>
      <c r="R46" s="94"/>
      <c r="S46" s="94"/>
      <c r="T46" s="94"/>
      <c r="U46" s="94"/>
      <c r="V46" s="94"/>
      <c r="W46" s="94"/>
      <c r="X46" s="94"/>
      <c r="Y46" s="94"/>
      <c r="Z46" s="94"/>
      <c r="AA46" s="94"/>
      <c r="AB46" s="94"/>
      <c r="AC46" s="94"/>
      <c r="AD46" s="94"/>
      <c r="AE46" s="94"/>
      <c r="AF46" s="94"/>
      <c r="AG46" s="94"/>
      <c r="AH46" s="94"/>
      <c r="AI46" s="94"/>
      <c r="AJ46" s="94"/>
      <c r="AK46" s="94"/>
      <c r="AL46" s="94"/>
      <c r="AM46" s="94"/>
      <c r="AN46" s="94"/>
      <c r="AO46" s="94"/>
      <c r="AP46" s="94"/>
    </row>
    <row r="47" spans="1:71" s="15" customFormat="1" ht="20.100000000000001" customHeight="1">
      <c r="A47" s="32" t="s">
        <v>116</v>
      </c>
      <c r="B47" s="33" t="s">
        <v>117</v>
      </c>
      <c r="C47" s="14">
        <v>1415.4</v>
      </c>
      <c r="D47" s="14">
        <v>2769.3</v>
      </c>
      <c r="E47" s="14">
        <v>2339.3000000000002</v>
      </c>
      <c r="F47" s="14">
        <v>1712.3</v>
      </c>
      <c r="G47" s="94"/>
      <c r="H47" s="84"/>
      <c r="I47" s="84"/>
      <c r="J47" s="84"/>
      <c r="K47" s="84"/>
      <c r="L47" s="84"/>
      <c r="M47" s="84"/>
      <c r="N47" s="94"/>
      <c r="O47" s="94"/>
      <c r="P47" s="94"/>
      <c r="Q47" s="94"/>
      <c r="R47" s="94"/>
      <c r="S47" s="94"/>
      <c r="T47" s="94"/>
      <c r="U47" s="94"/>
      <c r="V47" s="94"/>
      <c r="W47" s="94"/>
      <c r="X47" s="94"/>
      <c r="Y47" s="94"/>
      <c r="Z47" s="94"/>
      <c r="AA47" s="94"/>
      <c r="AB47" s="94"/>
      <c r="AC47" s="94"/>
      <c r="AD47" s="94"/>
      <c r="AE47" s="94"/>
      <c r="AF47" s="94"/>
      <c r="AG47" s="94"/>
      <c r="AH47" s="94"/>
      <c r="AI47" s="94"/>
      <c r="AJ47" s="94"/>
      <c r="AK47" s="94"/>
      <c r="AL47" s="94"/>
      <c r="AM47" s="94"/>
      <c r="AN47" s="94"/>
      <c r="AO47" s="94"/>
      <c r="AP47" s="94"/>
    </row>
    <row r="48" spans="1:71" s="15" customFormat="1" ht="20.100000000000001" customHeight="1">
      <c r="A48" s="32" t="s">
        <v>50</v>
      </c>
      <c r="B48" s="33" t="s">
        <v>51</v>
      </c>
      <c r="C48" s="14">
        <v>-75.400000000000006</v>
      </c>
      <c r="D48" s="14">
        <v>24.7</v>
      </c>
      <c r="E48" s="14">
        <v>39.4</v>
      </c>
      <c r="F48" s="14">
        <v>-85.1</v>
      </c>
      <c r="G48" s="94"/>
      <c r="H48" s="84"/>
      <c r="I48" s="84"/>
      <c r="J48" s="84"/>
      <c r="K48" s="84"/>
      <c r="L48" s="84"/>
      <c r="M48" s="84"/>
      <c r="N48" s="94"/>
      <c r="O48" s="94"/>
      <c r="P48" s="94"/>
      <c r="Q48" s="94"/>
      <c r="R48" s="94"/>
      <c r="S48" s="94"/>
      <c r="T48" s="94"/>
      <c r="U48" s="94"/>
      <c r="V48" s="94"/>
      <c r="W48" s="94"/>
      <c r="X48" s="94"/>
      <c r="Y48" s="94"/>
      <c r="Z48" s="94"/>
      <c r="AA48" s="94"/>
      <c r="AB48" s="94"/>
      <c r="AC48" s="94"/>
      <c r="AD48" s="94"/>
      <c r="AE48" s="94"/>
      <c r="AF48" s="94"/>
      <c r="AG48" s="94"/>
      <c r="AH48" s="94"/>
      <c r="AI48" s="94"/>
      <c r="AJ48" s="94"/>
      <c r="AK48" s="94"/>
      <c r="AL48" s="94"/>
      <c r="AM48" s="94"/>
      <c r="AN48" s="94"/>
      <c r="AO48" s="94"/>
      <c r="AP48" s="94"/>
    </row>
    <row r="49" spans="1:42" s="15" customFormat="1" ht="20.100000000000001" customHeight="1">
      <c r="A49" s="32" t="s">
        <v>94</v>
      </c>
      <c r="B49" s="34" t="s">
        <v>95</v>
      </c>
      <c r="C49" s="14">
        <v>-3240.3</v>
      </c>
      <c r="D49" s="14">
        <v>-2649.8</v>
      </c>
      <c r="E49" s="14">
        <v>6941.9</v>
      </c>
      <c r="F49" s="14">
        <v>3178.3</v>
      </c>
      <c r="G49" s="94"/>
      <c r="H49" s="84"/>
      <c r="I49" s="84"/>
      <c r="J49" s="84"/>
      <c r="K49" s="84"/>
      <c r="L49" s="84"/>
      <c r="M49" s="84"/>
      <c r="N49" s="94"/>
      <c r="O49" s="94"/>
      <c r="P49" s="94"/>
      <c r="Q49" s="94"/>
      <c r="R49" s="94"/>
      <c r="S49" s="94"/>
      <c r="T49" s="94"/>
      <c r="U49" s="94"/>
      <c r="V49" s="94"/>
      <c r="W49" s="94"/>
      <c r="X49" s="94"/>
      <c r="Y49" s="94"/>
      <c r="Z49" s="94"/>
      <c r="AA49" s="94"/>
      <c r="AB49" s="94"/>
      <c r="AC49" s="94"/>
      <c r="AD49" s="94"/>
      <c r="AE49" s="94"/>
      <c r="AF49" s="94"/>
      <c r="AG49" s="94"/>
      <c r="AH49" s="94"/>
      <c r="AI49" s="94"/>
      <c r="AJ49" s="94"/>
      <c r="AK49" s="94"/>
      <c r="AL49" s="94"/>
      <c r="AM49" s="94"/>
      <c r="AN49" s="94"/>
      <c r="AO49" s="94"/>
      <c r="AP49" s="94"/>
    </row>
    <row r="50" spans="1:42" ht="20.100000000000001" customHeight="1">
      <c r="A50" s="74" t="s">
        <v>96</v>
      </c>
      <c r="B50" s="36" t="s">
        <v>97</v>
      </c>
      <c r="C50" s="81">
        <v>-121.3</v>
      </c>
      <c r="D50" s="81">
        <v>-182.3</v>
      </c>
      <c r="E50" s="99">
        <v>3347.5</v>
      </c>
      <c r="F50" s="99">
        <v>2050.3000000000002</v>
      </c>
      <c r="H50" s="84"/>
      <c r="I50" s="84"/>
      <c r="J50" s="84"/>
      <c r="K50" s="84"/>
      <c r="L50" s="84"/>
      <c r="M50" s="84"/>
    </row>
    <row r="51" spans="1:42" s="15" customFormat="1" ht="20.100000000000001" customHeight="1">
      <c r="A51" s="37" t="s">
        <v>52</v>
      </c>
      <c r="B51" s="34" t="s">
        <v>53</v>
      </c>
      <c r="C51" s="16">
        <v>3792.2</v>
      </c>
      <c r="D51" s="16">
        <v>1341.6</v>
      </c>
      <c r="E51" s="16">
        <v>-2676</v>
      </c>
      <c r="F51" s="16">
        <v>-3467.7</v>
      </c>
      <c r="G51" s="94"/>
      <c r="H51" s="84"/>
      <c r="I51" s="84"/>
      <c r="J51" s="84"/>
      <c r="K51" s="84"/>
      <c r="L51" s="84"/>
      <c r="M51" s="84"/>
      <c r="N51" s="94"/>
      <c r="O51" s="94"/>
      <c r="P51" s="94"/>
      <c r="Q51" s="94"/>
      <c r="R51" s="94"/>
      <c r="S51" s="94"/>
      <c r="T51" s="94"/>
      <c r="U51" s="94"/>
      <c r="V51" s="94"/>
      <c r="W51" s="94"/>
      <c r="X51" s="94"/>
      <c r="Y51" s="94"/>
      <c r="Z51" s="94"/>
      <c r="AA51" s="94"/>
      <c r="AB51" s="94"/>
      <c r="AC51" s="94"/>
      <c r="AD51" s="94"/>
      <c r="AE51" s="94"/>
      <c r="AF51" s="94"/>
      <c r="AG51" s="94"/>
      <c r="AH51" s="94"/>
      <c r="AI51" s="94"/>
      <c r="AJ51" s="94"/>
      <c r="AK51" s="94"/>
      <c r="AL51" s="94"/>
      <c r="AM51" s="94"/>
      <c r="AN51" s="94"/>
      <c r="AO51" s="94"/>
      <c r="AP51" s="94"/>
    </row>
    <row r="52" spans="1:42" s="15" customFormat="1" ht="20.100000000000001" customHeight="1">
      <c r="A52" s="38" t="s">
        <v>54</v>
      </c>
      <c r="B52" s="39" t="s">
        <v>55</v>
      </c>
      <c r="C52" s="17">
        <v>998.8</v>
      </c>
      <c r="D52" s="17">
        <v>72.5</v>
      </c>
      <c r="E52" s="17">
        <v>3843.4</v>
      </c>
      <c r="F52" s="17">
        <v>1338.7</v>
      </c>
      <c r="G52" s="94"/>
      <c r="H52" s="84"/>
      <c r="I52" s="84"/>
      <c r="J52" s="84"/>
      <c r="K52" s="84"/>
      <c r="L52" s="84"/>
      <c r="M52" s="84"/>
      <c r="N52" s="94"/>
      <c r="O52" s="94"/>
      <c r="P52" s="94"/>
      <c r="Q52" s="94"/>
      <c r="R52" s="94"/>
      <c r="S52" s="94"/>
      <c r="T52" s="94"/>
      <c r="U52" s="94"/>
      <c r="V52" s="94"/>
      <c r="W52" s="94"/>
      <c r="X52" s="94"/>
      <c r="Y52" s="94"/>
      <c r="Z52" s="94"/>
      <c r="AA52" s="94"/>
      <c r="AB52" s="94"/>
      <c r="AC52" s="94"/>
      <c r="AD52" s="94"/>
      <c r="AE52" s="94"/>
      <c r="AF52" s="94"/>
      <c r="AG52" s="94"/>
      <c r="AH52" s="94"/>
      <c r="AI52" s="94"/>
      <c r="AJ52" s="94"/>
      <c r="AK52" s="94"/>
      <c r="AL52" s="94"/>
      <c r="AM52" s="94"/>
      <c r="AN52" s="94"/>
      <c r="AO52" s="94"/>
      <c r="AP52" s="94"/>
    </row>
    <row r="53" spans="1:42" s="13" customFormat="1" ht="20.100000000000001" customHeight="1">
      <c r="A53" s="80" t="s">
        <v>56</v>
      </c>
      <c r="B53" s="40" t="s">
        <v>57</v>
      </c>
      <c r="C53" s="6">
        <v>-488.8</v>
      </c>
      <c r="D53" s="6">
        <v>803.7</v>
      </c>
      <c r="E53" s="6">
        <v>2248.1999999999998</v>
      </c>
      <c r="F53" s="6">
        <v>770.6</v>
      </c>
      <c r="G53" s="95"/>
      <c r="H53" s="84"/>
      <c r="I53" s="84"/>
      <c r="J53" s="84"/>
      <c r="K53" s="84"/>
      <c r="L53" s="84"/>
      <c r="M53" s="84"/>
      <c r="N53" s="95"/>
      <c r="O53" s="95"/>
      <c r="P53" s="95"/>
      <c r="Q53" s="95"/>
      <c r="R53" s="95"/>
      <c r="S53" s="95"/>
      <c r="T53" s="95"/>
      <c r="U53" s="95"/>
      <c r="V53" s="95"/>
      <c r="W53" s="95"/>
      <c r="X53" s="95"/>
      <c r="Y53" s="95"/>
      <c r="Z53" s="95"/>
      <c r="AA53" s="95"/>
      <c r="AB53" s="95"/>
      <c r="AC53" s="95"/>
      <c r="AD53" s="95"/>
      <c r="AE53" s="95"/>
      <c r="AF53" s="95"/>
      <c r="AG53" s="95"/>
      <c r="AH53" s="95"/>
      <c r="AI53" s="95"/>
      <c r="AJ53" s="95"/>
      <c r="AK53" s="95"/>
      <c r="AL53" s="95"/>
      <c r="AM53" s="95"/>
      <c r="AN53" s="95"/>
      <c r="AO53" s="95"/>
      <c r="AP53" s="95"/>
    </row>
    <row r="54" spans="1:42" s="18" customFormat="1" ht="20.100000000000001" customHeight="1">
      <c r="A54" s="35" t="s">
        <v>58</v>
      </c>
      <c r="B54" s="41" t="s">
        <v>59</v>
      </c>
      <c r="C54" s="12">
        <v>153.30000000000001</v>
      </c>
      <c r="D54" s="12">
        <v>1379.4</v>
      </c>
      <c r="E54" s="12">
        <v>2880.2</v>
      </c>
      <c r="F54" s="12">
        <v>1112.3</v>
      </c>
      <c r="G54" s="96"/>
      <c r="H54" s="84"/>
      <c r="I54" s="84"/>
      <c r="J54" s="84"/>
      <c r="K54" s="84"/>
      <c r="L54" s="84"/>
      <c r="M54" s="84"/>
      <c r="N54" s="96"/>
      <c r="O54" s="96"/>
      <c r="P54" s="96"/>
      <c r="Q54" s="96"/>
      <c r="R54" s="96"/>
      <c r="S54" s="96"/>
      <c r="T54" s="96"/>
      <c r="U54" s="96"/>
      <c r="V54" s="96"/>
      <c r="W54" s="96"/>
      <c r="X54" s="96"/>
      <c r="Y54" s="96"/>
      <c r="Z54" s="96"/>
      <c r="AA54" s="96"/>
      <c r="AB54" s="96"/>
      <c r="AC54" s="96"/>
      <c r="AD54" s="96"/>
      <c r="AE54" s="96"/>
      <c r="AF54" s="96"/>
      <c r="AG54" s="96"/>
      <c r="AH54" s="96"/>
      <c r="AI54" s="96"/>
      <c r="AJ54" s="96"/>
      <c r="AK54" s="96"/>
      <c r="AL54" s="96"/>
      <c r="AM54" s="96"/>
      <c r="AN54" s="96"/>
      <c r="AO54" s="96"/>
      <c r="AP54" s="96"/>
    </row>
    <row r="55" spans="1:42" s="18" customFormat="1" ht="20.100000000000001" customHeight="1">
      <c r="A55" s="35" t="s">
        <v>60</v>
      </c>
      <c r="B55" s="41" t="s">
        <v>61</v>
      </c>
      <c r="C55" s="12">
        <v>-642.1</v>
      </c>
      <c r="D55" s="12">
        <v>-575.70000000000005</v>
      </c>
      <c r="E55" s="12">
        <v>-632</v>
      </c>
      <c r="F55" s="12">
        <v>-341.7</v>
      </c>
      <c r="G55" s="96"/>
      <c r="H55" s="84"/>
      <c r="I55" s="84"/>
      <c r="J55" s="84"/>
      <c r="K55" s="84"/>
      <c r="L55" s="84"/>
      <c r="M55" s="84"/>
      <c r="N55" s="96"/>
      <c r="O55" s="96"/>
      <c r="P55" s="96"/>
      <c r="Q55" s="96"/>
      <c r="R55" s="96"/>
      <c r="S55" s="96"/>
      <c r="T55" s="96"/>
      <c r="U55" s="96"/>
      <c r="V55" s="96"/>
      <c r="W55" s="96"/>
      <c r="X55" s="96"/>
      <c r="Y55" s="96"/>
      <c r="Z55" s="96"/>
      <c r="AA55" s="96"/>
      <c r="AB55" s="96"/>
      <c r="AC55" s="96"/>
      <c r="AD55" s="96"/>
      <c r="AE55" s="96"/>
      <c r="AF55" s="96"/>
      <c r="AG55" s="96"/>
      <c r="AH55" s="96"/>
      <c r="AI55" s="96"/>
      <c r="AJ55" s="96"/>
      <c r="AK55" s="96"/>
      <c r="AL55" s="96"/>
      <c r="AM55" s="96"/>
      <c r="AN55" s="96"/>
      <c r="AO55" s="96"/>
      <c r="AP55" s="96"/>
    </row>
    <row r="56" spans="1:42" s="26" customFormat="1" ht="20.100000000000001" customHeight="1">
      <c r="A56" s="80" t="s">
        <v>62</v>
      </c>
      <c r="B56" s="71" t="s">
        <v>63</v>
      </c>
      <c r="C56" s="6">
        <v>291.3</v>
      </c>
      <c r="D56" s="6">
        <v>266.10000000000002</v>
      </c>
      <c r="E56" s="6">
        <v>-76</v>
      </c>
      <c r="F56" s="6">
        <v>347.4</v>
      </c>
      <c r="G56" s="97"/>
      <c r="H56" s="84"/>
      <c r="I56" s="84"/>
      <c r="J56" s="84"/>
      <c r="K56" s="84"/>
      <c r="L56" s="84"/>
      <c r="M56" s="84"/>
      <c r="N56" s="97"/>
      <c r="O56" s="97"/>
      <c r="P56" s="97"/>
      <c r="Q56" s="97"/>
      <c r="R56" s="97"/>
      <c r="S56" s="97"/>
      <c r="T56" s="97"/>
      <c r="U56" s="97"/>
      <c r="V56" s="97"/>
      <c r="W56" s="97"/>
      <c r="X56" s="97"/>
      <c r="Y56" s="97"/>
      <c r="Z56" s="97"/>
      <c r="AA56" s="97"/>
      <c r="AB56" s="97"/>
      <c r="AC56" s="97"/>
      <c r="AD56" s="97"/>
      <c r="AE56" s="97"/>
      <c r="AF56" s="97"/>
      <c r="AG56" s="97"/>
      <c r="AH56" s="97"/>
      <c r="AI56" s="97"/>
      <c r="AJ56" s="97"/>
      <c r="AK56" s="97"/>
      <c r="AL56" s="97"/>
      <c r="AM56" s="97"/>
      <c r="AN56" s="97"/>
      <c r="AO56" s="97"/>
      <c r="AP56" s="97"/>
    </row>
    <row r="57" spans="1:42" s="18" customFormat="1" ht="19.5" customHeight="1">
      <c r="A57" s="35" t="s">
        <v>58</v>
      </c>
      <c r="B57" s="41" t="s">
        <v>59</v>
      </c>
      <c r="C57" s="12">
        <v>328.8</v>
      </c>
      <c r="D57" s="12">
        <v>305.60000000000002</v>
      </c>
      <c r="E57" s="12">
        <v>96</v>
      </c>
      <c r="F57" s="12">
        <v>430.4</v>
      </c>
      <c r="G57" s="96"/>
      <c r="H57" s="84"/>
      <c r="I57" s="84"/>
      <c r="J57" s="84"/>
      <c r="K57" s="84"/>
      <c r="L57" s="84"/>
      <c r="M57" s="84"/>
      <c r="N57" s="96"/>
      <c r="O57" s="96"/>
      <c r="P57" s="96"/>
      <c r="Q57" s="96"/>
      <c r="R57" s="96"/>
      <c r="S57" s="96"/>
      <c r="T57" s="96"/>
      <c r="U57" s="96"/>
      <c r="V57" s="96"/>
      <c r="W57" s="96"/>
      <c r="X57" s="96"/>
      <c r="Y57" s="96"/>
      <c r="Z57" s="96"/>
      <c r="AA57" s="96"/>
      <c r="AB57" s="96"/>
      <c r="AC57" s="96"/>
      <c r="AD57" s="96"/>
      <c r="AE57" s="96"/>
      <c r="AF57" s="96"/>
      <c r="AG57" s="96"/>
      <c r="AH57" s="96"/>
      <c r="AI57" s="96"/>
      <c r="AJ57" s="96"/>
      <c r="AK57" s="96"/>
      <c r="AL57" s="96"/>
      <c r="AM57" s="96"/>
      <c r="AN57" s="96"/>
      <c r="AO57" s="96"/>
      <c r="AP57" s="96"/>
    </row>
    <row r="58" spans="1:42" s="10" customFormat="1" ht="20.100000000000001" customHeight="1">
      <c r="A58" s="35" t="s">
        <v>60</v>
      </c>
      <c r="B58" s="41" t="s">
        <v>61</v>
      </c>
      <c r="C58" s="12">
        <v>-37.5</v>
      </c>
      <c r="D58" s="12">
        <v>-39.5</v>
      </c>
      <c r="E58" s="12">
        <v>-172</v>
      </c>
      <c r="F58" s="12">
        <v>-83</v>
      </c>
      <c r="G58" s="89"/>
      <c r="H58" s="84"/>
      <c r="I58" s="84"/>
      <c r="J58" s="84"/>
      <c r="K58" s="84"/>
      <c r="L58" s="84"/>
      <c r="M58" s="84"/>
      <c r="N58" s="89"/>
      <c r="O58" s="89"/>
      <c r="P58" s="89"/>
      <c r="Q58" s="89"/>
      <c r="R58" s="89"/>
      <c r="S58" s="89"/>
      <c r="T58" s="89"/>
      <c r="U58" s="89"/>
      <c r="V58" s="89"/>
      <c r="W58" s="89"/>
      <c r="X58" s="89"/>
      <c r="Y58" s="89"/>
      <c r="Z58" s="89"/>
      <c r="AA58" s="89"/>
      <c r="AB58" s="89"/>
      <c r="AC58" s="89"/>
      <c r="AD58" s="89"/>
      <c r="AE58" s="89"/>
      <c r="AF58" s="89"/>
      <c r="AG58" s="89"/>
      <c r="AH58" s="89"/>
      <c r="AI58" s="89"/>
      <c r="AJ58" s="89"/>
      <c r="AK58" s="89"/>
      <c r="AL58" s="89"/>
      <c r="AM58" s="89"/>
      <c r="AN58" s="89"/>
      <c r="AO58" s="89"/>
      <c r="AP58" s="89"/>
    </row>
    <row r="59" spans="1:42" s="13" customFormat="1" ht="19.5" customHeight="1">
      <c r="A59" s="80" t="s">
        <v>64</v>
      </c>
      <c r="B59" s="42" t="s">
        <v>65</v>
      </c>
      <c r="C59" s="6">
        <v>1196.3</v>
      </c>
      <c r="D59" s="6">
        <v>-997.3</v>
      </c>
      <c r="E59" s="6">
        <v>1671.2</v>
      </c>
      <c r="F59" s="6">
        <v>220.7</v>
      </c>
      <c r="G59" s="95"/>
      <c r="H59" s="84"/>
      <c r="I59" s="84"/>
      <c r="J59" s="84"/>
      <c r="K59" s="84"/>
      <c r="L59" s="84"/>
      <c r="M59" s="84"/>
      <c r="N59" s="95"/>
      <c r="O59" s="95"/>
      <c r="P59" s="95"/>
      <c r="Q59" s="95"/>
      <c r="R59" s="95"/>
      <c r="S59" s="95"/>
      <c r="T59" s="95"/>
      <c r="U59" s="95"/>
      <c r="V59" s="95"/>
      <c r="W59" s="95"/>
      <c r="X59" s="95"/>
      <c r="Y59" s="95"/>
      <c r="Z59" s="95"/>
      <c r="AA59" s="95"/>
      <c r="AB59" s="95"/>
      <c r="AC59" s="95"/>
      <c r="AD59" s="95"/>
      <c r="AE59" s="95"/>
      <c r="AF59" s="95"/>
      <c r="AG59" s="95"/>
      <c r="AH59" s="95"/>
      <c r="AI59" s="95"/>
      <c r="AJ59" s="95"/>
      <c r="AK59" s="95"/>
      <c r="AL59" s="95"/>
      <c r="AM59" s="95"/>
      <c r="AN59" s="95"/>
      <c r="AO59" s="95"/>
      <c r="AP59" s="95"/>
    </row>
    <row r="60" spans="1:42" s="15" customFormat="1" ht="20.100000000000001" customHeight="1">
      <c r="A60" s="43" t="s">
        <v>66</v>
      </c>
      <c r="B60" s="44" t="s">
        <v>67</v>
      </c>
      <c r="C60" s="17">
        <v>1905.7</v>
      </c>
      <c r="D60" s="17">
        <v>-1163.8</v>
      </c>
      <c r="E60" s="17">
        <v>-7988.8</v>
      </c>
      <c r="F60" s="17">
        <v>-1634.7</v>
      </c>
      <c r="G60" s="94"/>
      <c r="H60" s="84"/>
      <c r="I60" s="84"/>
      <c r="J60" s="84"/>
      <c r="K60" s="84"/>
      <c r="L60" s="84"/>
      <c r="M60" s="84"/>
      <c r="N60" s="94"/>
      <c r="O60" s="94"/>
      <c r="P60" s="94"/>
      <c r="Q60" s="94"/>
      <c r="R60" s="94"/>
      <c r="S60" s="94"/>
      <c r="T60" s="94"/>
      <c r="U60" s="94"/>
      <c r="V60" s="94"/>
      <c r="W60" s="94"/>
      <c r="X60" s="94"/>
      <c r="Y60" s="94"/>
      <c r="Z60" s="94"/>
      <c r="AA60" s="94"/>
      <c r="AB60" s="94"/>
      <c r="AC60" s="94"/>
      <c r="AD60" s="94"/>
      <c r="AE60" s="94"/>
      <c r="AF60" s="94"/>
      <c r="AG60" s="94"/>
      <c r="AH60" s="94"/>
      <c r="AI60" s="94"/>
      <c r="AJ60" s="94"/>
      <c r="AK60" s="94"/>
      <c r="AL60" s="94"/>
      <c r="AM60" s="94"/>
      <c r="AN60" s="94"/>
      <c r="AO60" s="94"/>
      <c r="AP60" s="94"/>
    </row>
    <row r="61" spans="1:42" s="10" customFormat="1" ht="20.100000000000001" customHeight="1">
      <c r="A61" s="35" t="s">
        <v>68</v>
      </c>
      <c r="B61" s="45" t="s">
        <v>69</v>
      </c>
      <c r="C61" s="12">
        <v>-9.6</v>
      </c>
      <c r="D61" s="12">
        <v>8.1</v>
      </c>
      <c r="E61" s="12">
        <v>-22.9</v>
      </c>
      <c r="F61" s="12">
        <v>1</v>
      </c>
      <c r="G61" s="89"/>
      <c r="H61" s="84"/>
      <c r="I61" s="84"/>
      <c r="J61" s="84"/>
      <c r="K61" s="84"/>
      <c r="L61" s="84"/>
      <c r="M61" s="84"/>
      <c r="N61" s="89"/>
      <c r="O61" s="89"/>
      <c r="P61" s="89"/>
      <c r="Q61" s="89"/>
      <c r="R61" s="89"/>
      <c r="S61" s="89"/>
      <c r="T61" s="89"/>
      <c r="U61" s="89"/>
      <c r="V61" s="89"/>
      <c r="W61" s="89"/>
      <c r="X61" s="89"/>
      <c r="Y61" s="89"/>
      <c r="Z61" s="89"/>
      <c r="AA61" s="89"/>
      <c r="AB61" s="89"/>
      <c r="AC61" s="89"/>
      <c r="AD61" s="89"/>
      <c r="AE61" s="89"/>
      <c r="AF61" s="89"/>
      <c r="AG61" s="89"/>
      <c r="AH61" s="89"/>
      <c r="AI61" s="89"/>
      <c r="AJ61" s="89"/>
      <c r="AK61" s="89"/>
      <c r="AL61" s="89"/>
      <c r="AM61" s="89"/>
      <c r="AN61" s="89"/>
      <c r="AO61" s="89"/>
      <c r="AP61" s="89"/>
    </row>
    <row r="62" spans="1:42" s="10" customFormat="1" ht="20.100000000000001" customHeight="1">
      <c r="A62" s="35" t="s">
        <v>70</v>
      </c>
      <c r="B62" s="45" t="s">
        <v>71</v>
      </c>
      <c r="C62" s="12">
        <v>4638.8999999999996</v>
      </c>
      <c r="D62" s="12">
        <v>593.20000000000005</v>
      </c>
      <c r="E62" s="12">
        <v>-6949.1</v>
      </c>
      <c r="F62" s="12">
        <v>-47.7</v>
      </c>
      <c r="G62" s="89"/>
      <c r="H62" s="84"/>
      <c r="I62" s="84"/>
      <c r="J62" s="84"/>
      <c r="K62" s="84"/>
      <c r="L62" s="84"/>
      <c r="M62" s="84"/>
      <c r="N62" s="89"/>
      <c r="O62" s="89"/>
      <c r="P62" s="89"/>
      <c r="Q62" s="89"/>
      <c r="R62" s="89"/>
      <c r="S62" s="89"/>
      <c r="T62" s="89"/>
      <c r="U62" s="89"/>
      <c r="V62" s="89"/>
      <c r="W62" s="89"/>
      <c r="X62" s="89"/>
      <c r="Y62" s="89"/>
      <c r="Z62" s="89"/>
      <c r="AA62" s="89"/>
      <c r="AB62" s="89"/>
      <c r="AC62" s="89"/>
      <c r="AD62" s="89"/>
      <c r="AE62" s="89"/>
      <c r="AF62" s="89"/>
      <c r="AG62" s="89"/>
      <c r="AH62" s="89"/>
      <c r="AI62" s="89"/>
      <c r="AJ62" s="89"/>
      <c r="AK62" s="89"/>
      <c r="AL62" s="89"/>
      <c r="AM62" s="89"/>
      <c r="AN62" s="89"/>
      <c r="AO62" s="89"/>
      <c r="AP62" s="89"/>
    </row>
    <row r="63" spans="1:42" s="10" customFormat="1" ht="20.100000000000001" customHeight="1">
      <c r="A63" s="35" t="s">
        <v>72</v>
      </c>
      <c r="B63" s="45" t="s">
        <v>73</v>
      </c>
      <c r="C63" s="12">
        <v>-2723.6</v>
      </c>
      <c r="D63" s="12">
        <v>-1765.1</v>
      </c>
      <c r="E63" s="12">
        <v>-1016.8</v>
      </c>
      <c r="F63" s="12">
        <v>-1588</v>
      </c>
      <c r="G63" s="89"/>
      <c r="H63" s="84"/>
      <c r="I63" s="84"/>
      <c r="J63" s="84"/>
      <c r="K63" s="84"/>
      <c r="L63" s="84"/>
      <c r="M63" s="84"/>
      <c r="N63" s="89"/>
      <c r="O63" s="89"/>
      <c r="P63" s="89"/>
      <c r="Q63" s="89"/>
      <c r="R63" s="89"/>
      <c r="S63" s="89"/>
      <c r="T63" s="89"/>
      <c r="U63" s="89"/>
      <c r="V63" s="89"/>
      <c r="W63" s="89"/>
      <c r="X63" s="89"/>
      <c r="Y63" s="89"/>
      <c r="Z63" s="89"/>
      <c r="AA63" s="89"/>
      <c r="AB63" s="89"/>
      <c r="AC63" s="89"/>
      <c r="AD63" s="89"/>
      <c r="AE63" s="89"/>
      <c r="AF63" s="89"/>
      <c r="AG63" s="89"/>
      <c r="AH63" s="89"/>
      <c r="AI63" s="89"/>
      <c r="AJ63" s="89"/>
      <c r="AK63" s="89"/>
      <c r="AL63" s="89"/>
      <c r="AM63" s="89"/>
      <c r="AN63" s="89"/>
      <c r="AO63" s="89"/>
      <c r="AP63" s="89"/>
    </row>
    <row r="64" spans="1:42" s="15" customFormat="1" ht="20.100000000000001" customHeight="1">
      <c r="A64" s="43" t="s">
        <v>74</v>
      </c>
      <c r="B64" s="44" t="s">
        <v>75</v>
      </c>
      <c r="C64" s="17">
        <v>887.7</v>
      </c>
      <c r="D64" s="17">
        <v>2432.9</v>
      </c>
      <c r="E64" s="17">
        <v>1469.4</v>
      </c>
      <c r="F64" s="17">
        <v>-3171.7</v>
      </c>
      <c r="G64" s="94"/>
      <c r="H64" s="84"/>
      <c r="I64" s="84"/>
      <c r="J64" s="84"/>
      <c r="K64" s="84"/>
      <c r="L64" s="84"/>
      <c r="M64" s="84"/>
      <c r="N64" s="94"/>
      <c r="O64" s="94"/>
      <c r="P64" s="94"/>
      <c r="Q64" s="94"/>
      <c r="R64" s="94"/>
      <c r="S64" s="94"/>
      <c r="T64" s="94"/>
      <c r="U64" s="94"/>
      <c r="V64" s="94"/>
      <c r="W64" s="94"/>
      <c r="X64" s="94"/>
      <c r="Y64" s="94"/>
      <c r="Z64" s="94"/>
      <c r="AA64" s="94"/>
      <c r="AB64" s="94"/>
      <c r="AC64" s="94"/>
      <c r="AD64" s="94"/>
      <c r="AE64" s="94"/>
      <c r="AF64" s="94"/>
      <c r="AG64" s="94"/>
      <c r="AH64" s="94"/>
      <c r="AI64" s="94"/>
      <c r="AJ64" s="94"/>
      <c r="AK64" s="94"/>
      <c r="AL64" s="94"/>
      <c r="AM64" s="94"/>
      <c r="AN64" s="94"/>
      <c r="AO64" s="94"/>
      <c r="AP64" s="94"/>
    </row>
    <row r="65" spans="1:71" s="18" customFormat="1" ht="20.100000000000001" customHeight="1">
      <c r="A65" s="35" t="s">
        <v>76</v>
      </c>
      <c r="B65" s="45" t="s">
        <v>69</v>
      </c>
      <c r="C65" s="12">
        <v>1006.1</v>
      </c>
      <c r="D65" s="12">
        <v>821.7</v>
      </c>
      <c r="E65" s="12">
        <v>191</v>
      </c>
      <c r="F65" s="12">
        <v>-481</v>
      </c>
      <c r="G65" s="96"/>
      <c r="H65" s="84"/>
      <c r="I65" s="84"/>
      <c r="J65" s="84"/>
      <c r="K65" s="84"/>
      <c r="L65" s="84"/>
      <c r="M65" s="84"/>
      <c r="N65" s="96"/>
      <c r="O65" s="96"/>
      <c r="P65" s="96"/>
      <c r="Q65" s="96"/>
      <c r="R65" s="96"/>
      <c r="S65" s="96"/>
      <c r="T65" s="96"/>
      <c r="U65" s="96"/>
      <c r="V65" s="96"/>
      <c r="W65" s="96"/>
      <c r="X65" s="96"/>
      <c r="Y65" s="96"/>
      <c r="Z65" s="96"/>
      <c r="AA65" s="96"/>
      <c r="AB65" s="96"/>
      <c r="AC65" s="96"/>
      <c r="AD65" s="96"/>
      <c r="AE65" s="96"/>
      <c r="AF65" s="96"/>
      <c r="AG65" s="96"/>
      <c r="AH65" s="96"/>
      <c r="AI65" s="96"/>
      <c r="AJ65" s="96"/>
      <c r="AK65" s="96"/>
      <c r="AL65" s="96"/>
      <c r="AM65" s="96"/>
      <c r="AN65" s="96"/>
      <c r="AO65" s="96"/>
      <c r="AP65" s="96"/>
    </row>
    <row r="66" spans="1:71" s="10" customFormat="1" ht="20.100000000000001" customHeight="1">
      <c r="A66" s="35" t="s">
        <v>77</v>
      </c>
      <c r="B66" s="45" t="s">
        <v>78</v>
      </c>
      <c r="C66" s="12">
        <v>-118.4</v>
      </c>
      <c r="D66" s="12">
        <v>1611.2</v>
      </c>
      <c r="E66" s="12">
        <v>1278.4000000000001</v>
      </c>
      <c r="F66" s="12">
        <v>-2690.7</v>
      </c>
      <c r="G66" s="89"/>
      <c r="H66" s="84"/>
      <c r="I66" s="84"/>
      <c r="J66" s="84"/>
      <c r="K66" s="84"/>
      <c r="L66" s="84"/>
      <c r="M66" s="84"/>
      <c r="N66" s="89"/>
      <c r="O66" s="89"/>
      <c r="P66" s="89"/>
      <c r="Q66" s="89"/>
      <c r="R66" s="89"/>
      <c r="S66" s="89"/>
      <c r="T66" s="89"/>
      <c r="U66" s="89"/>
      <c r="V66" s="89"/>
      <c r="W66" s="89"/>
      <c r="X66" s="89"/>
      <c r="Y66" s="89"/>
      <c r="Z66" s="89"/>
      <c r="AA66" s="89"/>
      <c r="AB66" s="89"/>
      <c r="AC66" s="89"/>
      <c r="AD66" s="89"/>
      <c r="AE66" s="89"/>
      <c r="AF66" s="89"/>
      <c r="AG66" s="89"/>
      <c r="AH66" s="89"/>
      <c r="AI66" s="89"/>
      <c r="AJ66" s="89"/>
      <c r="AK66" s="89"/>
      <c r="AL66" s="89"/>
      <c r="AM66" s="89"/>
      <c r="AN66" s="89"/>
      <c r="AO66" s="89"/>
      <c r="AP66" s="89"/>
    </row>
    <row r="67" spans="1:71" ht="20.100000000000001" customHeight="1">
      <c r="A67" s="29" t="s">
        <v>79</v>
      </c>
      <c r="B67" s="46" t="s">
        <v>80</v>
      </c>
      <c r="C67" s="5">
        <v>505</v>
      </c>
      <c r="D67" s="5">
        <v>-150.19999999999999</v>
      </c>
      <c r="E67" s="5">
        <v>-536.29999999999995</v>
      </c>
      <c r="F67" s="5">
        <v>116</v>
      </c>
      <c r="H67" s="84"/>
      <c r="I67" s="84"/>
      <c r="J67" s="84"/>
      <c r="K67" s="84"/>
      <c r="L67" s="84"/>
      <c r="M67" s="84"/>
    </row>
    <row r="68" spans="1:71" ht="20.100000000000001" customHeight="1">
      <c r="A68" s="29" t="s">
        <v>81</v>
      </c>
      <c r="B68" s="46" t="s">
        <v>82</v>
      </c>
      <c r="C68" s="5">
        <v>284.10000000000002</v>
      </c>
      <c r="D68" s="5">
        <v>-2058.1</v>
      </c>
      <c r="E68" s="5">
        <v>1422.8</v>
      </c>
      <c r="F68" s="5">
        <v>248.7</v>
      </c>
      <c r="H68" s="84"/>
      <c r="I68" s="84"/>
      <c r="J68" s="84"/>
      <c r="K68" s="84"/>
      <c r="L68" s="84"/>
      <c r="M68" s="84"/>
    </row>
    <row r="69" spans="1:71" ht="20.100000000000001" customHeight="1">
      <c r="A69" s="47" t="s">
        <v>83</v>
      </c>
      <c r="B69" s="48" t="s">
        <v>84</v>
      </c>
      <c r="C69" s="7">
        <v>-284.10000000000002</v>
      </c>
      <c r="D69" s="7">
        <v>2058.1</v>
      </c>
      <c r="E69" s="7">
        <v>-1422.8</v>
      </c>
      <c r="F69" s="7">
        <v>-248.7</v>
      </c>
      <c r="G69" s="84">
        <f>SUM(C69:F69)</f>
        <v>102.50000000000006</v>
      </c>
      <c r="H69" s="84"/>
      <c r="I69" s="84"/>
      <c r="J69" s="84"/>
      <c r="K69" s="84"/>
      <c r="L69" s="84"/>
      <c r="M69" s="84"/>
    </row>
    <row r="70" spans="1:71" ht="20.25" customHeight="1">
      <c r="A70" s="67" t="s">
        <v>85</v>
      </c>
      <c r="B70" s="68" t="s">
        <v>86</v>
      </c>
      <c r="C70" s="69"/>
      <c r="D70" s="69"/>
    </row>
    <row r="71" spans="1:71" ht="12.75" customHeight="1">
      <c r="A71" s="103" t="s">
        <v>119</v>
      </c>
      <c r="B71" s="104" t="s">
        <v>118</v>
      </c>
      <c r="C71" s="104"/>
      <c r="D71" s="100"/>
      <c r="E71" s="100"/>
      <c r="F71" s="100"/>
      <c r="G71" s="100"/>
      <c r="AQ71" s="83"/>
      <c r="AR71" s="83"/>
      <c r="AS71" s="83"/>
      <c r="AT71" s="83"/>
      <c r="AU71" s="83"/>
      <c r="AV71" s="83"/>
      <c r="AW71" s="83"/>
      <c r="AX71" s="83"/>
      <c r="AY71" s="83"/>
      <c r="AZ71" s="83"/>
      <c r="BA71" s="83"/>
      <c r="BB71" s="83"/>
      <c r="BC71" s="83"/>
      <c r="BD71" s="83"/>
      <c r="BE71" s="83"/>
      <c r="BF71" s="83"/>
      <c r="BG71" s="83"/>
      <c r="BH71" s="83"/>
      <c r="BI71" s="83"/>
      <c r="BJ71" s="83"/>
      <c r="BK71" s="83"/>
      <c r="BL71" s="83"/>
      <c r="BM71" s="83"/>
      <c r="BN71" s="83"/>
      <c r="BO71" s="83"/>
      <c r="BP71" s="83"/>
      <c r="BQ71" s="83"/>
      <c r="BR71" s="83"/>
      <c r="BS71" s="83"/>
    </row>
    <row r="72" spans="1:71" ht="68.25" customHeight="1">
      <c r="A72" s="103"/>
      <c r="B72" s="104"/>
      <c r="C72" s="104"/>
      <c r="D72" s="100"/>
      <c r="E72" s="100"/>
      <c r="F72" s="100"/>
      <c r="G72" s="100"/>
      <c r="AQ72" s="83"/>
      <c r="AR72" s="83"/>
      <c r="AS72" s="83"/>
      <c r="AT72" s="83"/>
      <c r="AU72" s="83"/>
      <c r="AV72" s="83"/>
      <c r="AW72" s="83"/>
      <c r="AX72" s="83"/>
      <c r="AY72" s="83"/>
      <c r="AZ72" s="83"/>
      <c r="BA72" s="83"/>
      <c r="BB72" s="83"/>
      <c r="BC72" s="83"/>
      <c r="BD72" s="83"/>
      <c r="BE72" s="83"/>
      <c r="BF72" s="83"/>
      <c r="BG72" s="83"/>
      <c r="BH72" s="83"/>
      <c r="BI72" s="83"/>
      <c r="BJ72" s="83"/>
      <c r="BK72" s="83"/>
      <c r="BL72" s="83"/>
      <c r="BM72" s="83"/>
      <c r="BN72" s="83"/>
      <c r="BO72" s="83"/>
      <c r="BP72" s="83"/>
      <c r="BQ72" s="83"/>
      <c r="BR72" s="83"/>
      <c r="BS72" s="83"/>
    </row>
    <row r="73" spans="1:71" ht="15">
      <c r="C73" s="72"/>
      <c r="D73" s="72"/>
    </row>
    <row r="74" spans="1:71" ht="18">
      <c r="C74" s="66"/>
      <c r="D74" s="66"/>
    </row>
    <row r="75" spans="1:71" ht="18">
      <c r="C75" s="66"/>
      <c r="D75" s="66"/>
    </row>
    <row r="76" spans="1:71" ht="18">
      <c r="C76" s="66"/>
      <c r="D76" s="66"/>
    </row>
    <row r="77" spans="1:71" ht="18">
      <c r="C77" s="66"/>
      <c r="D77" s="66"/>
    </row>
    <row r="78" spans="1:71" ht="18">
      <c r="C78" s="66"/>
      <c r="D78" s="66"/>
    </row>
    <row r="79" spans="1:71" ht="18">
      <c r="C79" s="66"/>
      <c r="D79" s="66"/>
    </row>
    <row r="80" spans="1:71" ht="18">
      <c r="C80" s="66"/>
      <c r="D80" s="66"/>
    </row>
  </sheetData>
  <protectedRanges>
    <protectedRange sqref="D71:G72" name="annual_2"/>
    <protectedRange sqref="C35:G36 B36" name="annual_2_1"/>
    <protectedRange sqref="B72 C71:C72" name="annual_2_2"/>
  </protectedRanges>
  <mergeCells count="6">
    <mergeCell ref="A2:B2"/>
    <mergeCell ref="A39:B39"/>
    <mergeCell ref="A35:A36"/>
    <mergeCell ref="A71:A72"/>
    <mergeCell ref="B71:C72"/>
    <mergeCell ref="B35:B36"/>
  </mergeCells>
  <pageMargins left="0.70866141732283472" right="0.70866141732283472" top="0.74803149606299213" bottom="0.74803149606299213" header="0.31496062992125984" footer="0.31496062992125984"/>
  <pageSetup paperSize="9" scale="59" fitToWidth="2" fitToHeight="2" orientation="landscape" r:id="rId1"/>
  <rowBreaks count="1" manualBreakCount="1">
    <brk id="37" max="5"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F4E389F7C5D8E45A95A9ACBCB8FEC82" ma:contentTypeVersion="13" ma:contentTypeDescription="Create a new document." ma:contentTypeScope="" ma:versionID="efc9e36f38d150810bcf21df0eb12fba">
  <xsd:schema xmlns:xsd="http://www.w3.org/2001/XMLSchema" xmlns:xs="http://www.w3.org/2001/XMLSchema" xmlns:p="http://schemas.microsoft.com/office/2006/metadata/properties" xmlns:ns2="4a1cef21-950b-48ce-bef3-2690db201377" xmlns:ns3="806035d9-ad3b-44db-92a1-1ed4b9daec3e" targetNamespace="http://schemas.microsoft.com/office/2006/metadata/properties" ma:root="true" ma:fieldsID="317a844d70436f96f970225d17e1a7d8" ns2:_="" ns3:_="">
    <xsd:import namespace="4a1cef21-950b-48ce-bef3-2690db201377"/>
    <xsd:import namespace="806035d9-ad3b-44db-92a1-1ed4b9daec3e"/>
    <xsd:element name="properties">
      <xsd:complexType>
        <xsd:sequence>
          <xsd:element name="documentManagement">
            <xsd:complexType>
              <xsd:all>
                <xsd:element ref="ns2:Frequency"/>
                <xsd:element ref="ns3:FiscalYear"/>
                <xsd:element ref="ns3:FiscalYear_x003a_ID" minOccurs="0"/>
                <xsd:element ref="ns3:_dlc_DocId" minOccurs="0"/>
                <xsd:element ref="ns3:_dlc_DocIdUrl" minOccurs="0"/>
                <xsd:element ref="ns3:_dlc_DocIdPersistId"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1cef21-950b-48ce-bef3-2690db201377" elementFormDefault="qualified">
    <xsd:import namespace="http://schemas.microsoft.com/office/2006/documentManagement/types"/>
    <xsd:import namespace="http://schemas.microsoft.com/office/infopath/2007/PartnerControls"/>
    <xsd:element name="Frequency" ma:index="8" ma:displayName="Frequency" ma:format="Dropdown" ma:internalName="Frequency">
      <xsd:simpleType>
        <xsd:restriction base="dms:Choice">
          <xsd:enumeration value="Annual"/>
          <xsd:enumeration value="Quarterly"/>
          <xsd:enumeration value="Monthly"/>
        </xsd:restriction>
      </xsd:simpleType>
    </xsd:element>
  </xsd:schema>
  <xsd:schema xmlns:xsd="http://www.w3.org/2001/XMLSchema" xmlns:xs="http://www.w3.org/2001/XMLSchema" xmlns:dms="http://schemas.microsoft.com/office/2006/documentManagement/types" xmlns:pc="http://schemas.microsoft.com/office/infopath/2007/PartnerControls" targetNamespace="806035d9-ad3b-44db-92a1-1ed4b9daec3e" elementFormDefault="qualified">
    <xsd:import namespace="http://schemas.microsoft.com/office/2006/documentManagement/types"/>
    <xsd:import namespace="http://schemas.microsoft.com/office/infopath/2007/PartnerControls"/>
    <xsd:element name="FiscalYear" ma:index="9" ma:displayName="FiscalYear" ma:list="{e1c7364f-fb95-4c82-9c8c-ff2a6d0674c9}" ma:internalName="FiscalYear" ma:showField="Year" ma:web="806035d9-ad3b-44db-92a1-1ed4b9daec3e">
      <xsd:simpleType>
        <xsd:restriction base="dms:Lookup"/>
      </xsd:simpleType>
    </xsd:element>
    <xsd:element name="FiscalYear_x003a_ID" ma:index="10" nillable="true" ma:displayName="FiscalYear:ID" ma:list="{e1c7364f-fb95-4c82-9c8c-ff2a6d0674c9}" ma:internalName="FiscalYear_x003A_ID" ma:readOnly="true" ma:showField="ID" ma:web="806035d9-ad3b-44db-92a1-1ed4b9daec3e">
      <xsd:simpleType>
        <xsd:restriction base="dms:Lookup"/>
      </xsd:simpleType>
    </xsd:element>
    <xsd:element name="_dlc_DocId" ma:index="11" nillable="true" ma:displayName="Document ID Value" ma:description="The value of the document ID assigned to this item." ma:internalName="_dlc_DocId" ma:readOnly="true">
      <xsd:simpleType>
        <xsd:restriction base="dms:Text"/>
      </xsd:simpleType>
    </xsd:element>
    <xsd:element name="_dlc_DocIdUrl" ma:index="12"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3" nillable="true" ma:displayName="Persist ID" ma:description="Keep ID on add." ma:hidden="true" ma:internalName="_dlc_DocIdPersistId" ma:readOnly="true">
      <xsd:simpleType>
        <xsd:restriction base="dms:Boolean"/>
      </xsd:simpleType>
    </xsd:element>
    <xsd:element name="SharedWithUsers" ma:index="14"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Policy Auditing</Name>
    <Synchronization>Synchronous</Synchronization>
    <Type>10001</Type>
    <SequenceNumber>1100</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10001</Type>
    <SequenceNumber>1100</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Version=14.0.0.0, Culture=neutral, PublicKeyToken=71e9bce111e9429c</Assembly>
    <Class>Microsoft.Office.RecordsManagement.Internal.AuditHandler</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FiscalYear xmlns="806035d9-ad3b-44db-92a1-1ed4b9daec3e">27</FiscalYear>
    <Frequency xmlns="4a1cef21-950b-48ce-bef3-2690db201377">Quarterly</Frequency>
    <_dlc_DocId xmlns="806035d9-ad3b-44db-92a1-1ed4b9daec3e">7NQWTN4WQ7WA-971242747-2029</_dlc_DocId>
    <_dlc_DocIdUrl xmlns="806035d9-ad3b-44db-92a1-1ed4b9daec3e">
      <Url>http://cbe-test-spsql:4050/_layouts/15/DocIdRedir.aspx?ID=7NQWTN4WQ7WA-971242747-2029</Url>
      <Description>7NQWTN4WQ7WA-971242747-2029</Description>
    </_dlc_DocIdUrl>
  </documentManagement>
</p:properties>
</file>

<file path=customXml/itemProps1.xml><?xml version="1.0" encoding="utf-8"?>
<ds:datastoreItem xmlns:ds="http://schemas.openxmlformats.org/officeDocument/2006/customXml" ds:itemID="{C96F5B00-9C2D-44DE-A1DE-61C601D3B782}"/>
</file>

<file path=customXml/itemProps2.xml><?xml version="1.0" encoding="utf-8"?>
<ds:datastoreItem xmlns:ds="http://schemas.openxmlformats.org/officeDocument/2006/customXml" ds:itemID="{A5E1A4F4-4881-48A6-BF5B-2BC19960FE3F}"/>
</file>

<file path=customXml/itemProps3.xml><?xml version="1.0" encoding="utf-8"?>
<ds:datastoreItem xmlns:ds="http://schemas.openxmlformats.org/officeDocument/2006/customXml" ds:itemID="{F0203B80-6211-4782-B80E-4ECFA95D7CF6}"/>
</file>

<file path=customXml/itemProps4.xml><?xml version="1.0" encoding="utf-8"?>
<ds:datastoreItem xmlns:ds="http://schemas.openxmlformats.org/officeDocument/2006/customXml" ds:itemID="{BB76FF3B-EA26-4C10-B385-D835D07381C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2018-2019</vt:lpstr>
      <vt:lpstr>'2018-2019'!Print_Area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BOP_Quarter _2018_2019</dc:title>
  <dc:creator>Hader Abdelhadi</dc:creator>
  <cp:lastModifiedBy>Ahmed Ramy</cp:lastModifiedBy>
  <cp:lastPrinted>2020-01-13T10:18:26Z</cp:lastPrinted>
  <dcterms:created xsi:type="dcterms:W3CDTF">2018-10-03T10:18:27Z</dcterms:created>
  <dcterms:modified xsi:type="dcterms:W3CDTF">2020-04-09T09:28:47Z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0x0101000F4E389F7C5D8E45A95A9ACBCB8FEC82</vt:lpwstr>
  </property>
  <property fmtid="{D5CDD505-2E9C-101B-9397-08002B2CF9AE}" pid="3" name="_dlc_DocIdItemGuid">
    <vt:lpwstr>06fd3a7c-5777-4114-9bb0-a657eb4fa243</vt:lpwstr>
  </property>
</Properties>
</file>