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9" i="1" l="1"/>
  <c r="N7" i="1" s="1"/>
  <c r="N6" i="1" s="1"/>
</calcChain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<sst xmlns="http://schemas.openxmlformats.org/spreadsheetml/2006/main" count="56" uniqueCount="56">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</sst>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2006</v>
      </c>
      <c r="D3" s="7"/>
      <c r="E3" s="7"/>
      <c r="F3" s="7"/>
      <c r="G3" s="7"/>
      <c r="H3" s="7"/>
      <c r="I3" s="8">
        <v>2007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82747</v>
      </c>
      <c r="D6" s="23">
        <v>82645</v>
      </c>
      <c r="E6" s="23">
        <v>83105.11</v>
      </c>
      <c r="F6" s="23">
        <v>86334.2</v>
      </c>
      <c r="G6" s="23">
        <v>84557</v>
      </c>
      <c r="H6" s="23">
        <v>87963</v>
      </c>
      <c r="I6" s="24">
        <v>86159.5</v>
      </c>
      <c r="J6" s="24">
        <v>86159</v>
      </c>
      <c r="K6" s="24">
        <v>88196</v>
      </c>
      <c r="L6" s="24">
        <v>88848</v>
      </c>
      <c r="M6" s="24">
        <v>90532.2</v>
      </c>
      <c r="N6" s="25">
        <f>N7+N10</f>
        <v>92174.638999999996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239</v>
      </c>
      <c r="D7" s="23">
        <v>243.065</v>
      </c>
      <c r="E7" s="23">
        <v>247</v>
      </c>
      <c r="F7" s="23">
        <v>249.2</v>
      </c>
      <c r="G7" s="23">
        <v>252</v>
      </c>
      <c r="H7" s="23">
        <v>253</v>
      </c>
      <c r="I7" s="24">
        <v>254.5</v>
      </c>
      <c r="J7" s="24">
        <v>256</v>
      </c>
      <c r="K7" s="24">
        <v>256.45499999999998</v>
      </c>
      <c r="L7" s="24">
        <v>257</v>
      </c>
      <c r="M7" s="24">
        <v>258</v>
      </c>
      <c r="N7" s="25">
        <f>SUM(N8:N9)</f>
        <v>258.63900000000001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</v>
      </c>
      <c r="D8" s="29">
        <v>39</v>
      </c>
      <c r="E8" s="29">
        <v>39</v>
      </c>
      <c r="F8" s="29">
        <v>39</v>
      </c>
      <c r="G8" s="29">
        <v>39</v>
      </c>
      <c r="H8" s="29">
        <v>39</v>
      </c>
      <c r="I8" s="30">
        <v>39</v>
      </c>
      <c r="J8" s="30">
        <v>39</v>
      </c>
      <c r="K8" s="30">
        <v>39</v>
      </c>
      <c r="L8" s="30">
        <v>39</v>
      </c>
      <c r="M8" s="30">
        <v>39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200</v>
      </c>
      <c r="D9" s="29">
        <v>204</v>
      </c>
      <c r="E9" s="29">
        <v>208</v>
      </c>
      <c r="F9" s="29">
        <v>210.2</v>
      </c>
      <c r="G9" s="29">
        <v>213</v>
      </c>
      <c r="H9" s="29">
        <v>214</v>
      </c>
      <c r="I9" s="30">
        <v>215.5</v>
      </c>
      <c r="J9" s="30">
        <v>217</v>
      </c>
      <c r="K9" s="30">
        <v>217</v>
      </c>
      <c r="L9" s="30">
        <v>218</v>
      </c>
      <c r="M9" s="30">
        <v>219</v>
      </c>
      <c r="N9" s="31">
        <f>136.447+83.192</f>
        <v>219.63900000000001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82508</v>
      </c>
      <c r="D10" s="23">
        <v>82402</v>
      </c>
      <c r="E10" s="23">
        <v>82858</v>
      </c>
      <c r="F10" s="23">
        <v>86085</v>
      </c>
      <c r="G10" s="23">
        <v>84305</v>
      </c>
      <c r="H10" s="23">
        <v>87710</v>
      </c>
      <c r="I10" s="24">
        <v>85905</v>
      </c>
      <c r="J10" s="24">
        <v>85903</v>
      </c>
      <c r="K10" s="24">
        <v>87940</v>
      </c>
      <c r="L10" s="24">
        <v>88590.6</v>
      </c>
      <c r="M10" s="24">
        <v>90274.2</v>
      </c>
      <c r="N10" s="25">
        <v>91916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131</v>
      </c>
      <c r="D11" s="29">
        <v>128.83500000000001</v>
      </c>
      <c r="E11" s="29">
        <v>130.51</v>
      </c>
      <c r="F11" s="29">
        <v>148</v>
      </c>
      <c r="G11" s="29">
        <v>146</v>
      </c>
      <c r="H11" s="29">
        <v>152</v>
      </c>
      <c r="I11" s="30">
        <v>151</v>
      </c>
      <c r="J11" s="30">
        <v>149</v>
      </c>
      <c r="K11" s="30">
        <v>146.9</v>
      </c>
      <c r="L11" s="30">
        <v>146</v>
      </c>
      <c r="M11" s="30">
        <v>144</v>
      </c>
      <c r="N11" s="31">
        <v>142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232.14</v>
      </c>
      <c r="D12" s="29">
        <v>222</v>
      </c>
      <c r="E12" s="29">
        <v>220.67</v>
      </c>
      <c r="F12" s="29">
        <v>255</v>
      </c>
      <c r="G12" s="29">
        <v>250</v>
      </c>
      <c r="H12" s="29">
        <v>267</v>
      </c>
      <c r="I12" s="30">
        <v>262</v>
      </c>
      <c r="J12" s="30">
        <v>256.89499999999998</v>
      </c>
      <c r="K12" s="30">
        <v>252.1</v>
      </c>
      <c r="L12" s="30">
        <v>247.6</v>
      </c>
      <c r="M12" s="30">
        <v>237.9</v>
      </c>
      <c r="N12" s="31">
        <v>234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517</v>
      </c>
      <c r="D13" s="29">
        <v>501</v>
      </c>
      <c r="E13" s="29">
        <v>506</v>
      </c>
      <c r="F13" s="29">
        <v>591</v>
      </c>
      <c r="G13" s="29">
        <v>580</v>
      </c>
      <c r="H13" s="29">
        <v>634</v>
      </c>
      <c r="I13" s="30">
        <v>618</v>
      </c>
      <c r="J13" s="30">
        <v>604.11500000000001</v>
      </c>
      <c r="K13" s="30">
        <v>588</v>
      </c>
      <c r="L13" s="30">
        <v>576.1</v>
      </c>
      <c r="M13" s="30">
        <v>557.4</v>
      </c>
      <c r="N13" s="31">
        <v>550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1060</v>
      </c>
      <c r="D14" s="29">
        <v>1030</v>
      </c>
      <c r="E14" s="29">
        <v>1034</v>
      </c>
      <c r="F14" s="29">
        <v>1141</v>
      </c>
      <c r="G14" s="29">
        <v>1116.5650000000001</v>
      </c>
      <c r="H14" s="29">
        <v>1185</v>
      </c>
      <c r="I14" s="30">
        <v>1153</v>
      </c>
      <c r="J14" s="30">
        <v>1115</v>
      </c>
      <c r="K14" s="30">
        <v>1074.8</v>
      </c>
      <c r="L14" s="30">
        <v>1034</v>
      </c>
      <c r="M14" s="30">
        <v>1001.4</v>
      </c>
      <c r="N14" s="31">
        <v>987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4142.92</v>
      </c>
      <c r="D15" s="29">
        <v>4048</v>
      </c>
      <c r="E15" s="29">
        <v>3987</v>
      </c>
      <c r="F15" s="29">
        <v>4086</v>
      </c>
      <c r="G15" s="29">
        <v>4015</v>
      </c>
      <c r="H15" s="29">
        <v>4060</v>
      </c>
      <c r="I15" s="30">
        <v>3930</v>
      </c>
      <c r="J15" s="30">
        <v>3793</v>
      </c>
      <c r="K15" s="30">
        <v>3640.4</v>
      </c>
      <c r="L15" s="30">
        <v>3553.1</v>
      </c>
      <c r="M15" s="30">
        <v>3405.4</v>
      </c>
      <c r="N15" s="31">
        <v>3323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9150</v>
      </c>
      <c r="D16" s="29">
        <v>9021</v>
      </c>
      <c r="E16" s="29">
        <v>8861</v>
      </c>
      <c r="F16" s="29">
        <v>8938</v>
      </c>
      <c r="G16" s="29">
        <v>8897</v>
      </c>
      <c r="H16" s="29">
        <v>9271</v>
      </c>
      <c r="I16" s="30">
        <v>9223</v>
      </c>
      <c r="J16" s="30">
        <v>9034</v>
      </c>
      <c r="K16" s="30">
        <v>8984.4</v>
      </c>
      <c r="L16" s="30">
        <v>8920</v>
      </c>
      <c r="M16" s="30">
        <v>8682</v>
      </c>
      <c r="N16" s="31">
        <v>8553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28320</v>
      </c>
      <c r="D17" s="29">
        <v>28178</v>
      </c>
      <c r="E17" s="29">
        <v>28426</v>
      </c>
      <c r="F17" s="29">
        <v>29028</v>
      </c>
      <c r="G17" s="29">
        <v>28372</v>
      </c>
      <c r="H17" s="29">
        <v>30485</v>
      </c>
      <c r="I17" s="30">
        <v>29637</v>
      </c>
      <c r="J17" s="30">
        <v>29286</v>
      </c>
      <c r="K17" s="30">
        <v>28896.6</v>
      </c>
      <c r="L17" s="30">
        <v>28306.7</v>
      </c>
      <c r="M17" s="30">
        <v>27760.9</v>
      </c>
      <c r="N17" s="31">
        <v>27967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38955</v>
      </c>
      <c r="D18" s="29">
        <v>39273</v>
      </c>
      <c r="E18" s="29">
        <v>39692</v>
      </c>
      <c r="F18" s="29">
        <v>41898</v>
      </c>
      <c r="G18" s="29">
        <v>40928</v>
      </c>
      <c r="H18" s="29">
        <v>41656</v>
      </c>
      <c r="I18" s="30">
        <v>40931</v>
      </c>
      <c r="J18" s="30">
        <v>41665</v>
      </c>
      <c r="K18" s="30">
        <v>44356.6</v>
      </c>
      <c r="L18" s="30">
        <v>45807</v>
      </c>
      <c r="M18" s="30">
        <v>46528.9</v>
      </c>
      <c r="N18" s="31">
        <v>47136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/>
      <c r="D19" s="34"/>
      <c r="E19" s="34"/>
      <c r="F19" s="34"/>
      <c r="G19" s="34"/>
      <c r="H19" s="34"/>
      <c r="I19" s="35"/>
      <c r="J19" s="35"/>
      <c r="K19" s="35"/>
      <c r="L19" s="35"/>
      <c r="M19" s="35">
        <v>1956.6</v>
      </c>
      <c r="N19" s="36">
        <v>3024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23.26</v>
      </c>
      <c r="D20" s="40">
        <v>23.67</v>
      </c>
      <c r="E20" s="40">
        <v>23.79</v>
      </c>
      <c r="F20" s="40">
        <v>22.8</v>
      </c>
      <c r="G20" s="40">
        <v>22.72</v>
      </c>
      <c r="H20" s="40">
        <v>22.44</v>
      </c>
      <c r="I20" s="41">
        <v>22.42</v>
      </c>
      <c r="J20" s="41">
        <v>22.78</v>
      </c>
      <c r="K20" s="41">
        <v>23.58</v>
      </c>
      <c r="L20" s="41">
        <v>24.03</v>
      </c>
      <c r="M20" s="41">
        <v>24.98</v>
      </c>
      <c r="N20" s="42">
        <v>25.61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7NQWTN4WQ7WA-971242747-359</_dlc_DocId>
    <_dlc_DocIdUrl xmlns="806035d9-ad3b-44db-92a1-1ed4b9daec3e">
      <Url>http://cbe-test-spsql:4050/_layouts/15/DocIdRedir.aspx?ID=7NQWTN4WQ7WA-971242747-359</Url>
      <Description>7NQWTN4WQ7WA-971242747-359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86AFF0-8EB7-4E86-8B5D-BE384398B949}"/>
</file>

<file path=customXml/itemProps2.xml><?xml version="1.0" encoding="utf-8"?>
<ds:datastoreItem xmlns:ds="http://schemas.openxmlformats.org/officeDocument/2006/customXml" ds:itemID="{8655FA86-F701-4726-BD15-1D8905E5CA41}"/>
</file>

<file path=customXml/itemProps3.xml><?xml version="1.0" encoding="utf-8"?>
<ds:datastoreItem xmlns:ds="http://schemas.openxmlformats.org/officeDocument/2006/customXml" ds:itemID="{1892001C-E084-4866-AB60-D30234093BAB}"/>
</file>

<file path=customXml/itemProps4.xml><?xml version="1.0" encoding="utf-8"?>
<ds:datastoreItem xmlns:ds="http://schemas.openxmlformats.org/officeDocument/2006/customXml" ds:itemID="{EEB02926-7359-46E1-938D-FF2D06269415}"/>
</file>

<file path=customXml/itemProps5.xml><?xml version="1.0" encoding="utf-8"?>
<ds:datastoreItem xmlns:ds="http://schemas.openxmlformats.org/officeDocument/2006/customXml" ds:itemID="{1A5C0570-43AE-4AAF-823D-7A0548ABA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Monthly2006-2007</dc:title>
  <dc:creator/>
  <cp:lastModifiedBy/>
  <dcterms:created xsi:type="dcterms:W3CDTF">2006-09-16T00:00:00Z</dcterms:created>
  <dcterms:modified xsi:type="dcterms:W3CDTF">2014-09-04T22:10:36Z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23148df5-8416-4a99-ab24-3dd6eb494cc2</vt:lpwstr>
  </property>
</Properties>
</file>