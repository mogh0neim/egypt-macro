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0" i="1" l="1"/>
  <c r="N6" i="1" s="1"/>
  <c r="K9" i="1"/>
  <c r="L6" i="1"/>
</calcChain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<sst xmlns="http://schemas.openxmlformats.org/spreadsheetml/2006/main" count="56" uniqueCount="56">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</sst>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2009</v>
      </c>
      <c r="D3" s="7"/>
      <c r="E3" s="7"/>
      <c r="F3" s="7"/>
      <c r="G3" s="7"/>
      <c r="H3" s="7"/>
      <c r="I3" s="8">
        <v>2010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129254</v>
      </c>
      <c r="D6" s="23">
        <v>131001</v>
      </c>
      <c r="E6" s="23">
        <v>135583</v>
      </c>
      <c r="F6" s="23">
        <v>133070</v>
      </c>
      <c r="G6" s="23">
        <v>139453</v>
      </c>
      <c r="H6" s="23">
        <v>134039</v>
      </c>
      <c r="I6" s="24">
        <v>134073</v>
      </c>
      <c r="J6" s="24">
        <v>135578</v>
      </c>
      <c r="K6" s="24">
        <v>136438</v>
      </c>
      <c r="L6" s="24">
        <f>+L7+L10</f>
        <v>137852</v>
      </c>
      <c r="M6" s="24">
        <v>141877</v>
      </c>
      <c r="N6" s="25">
        <f>N7+N10</f>
        <v>144253.33000000002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288</v>
      </c>
      <c r="D7" s="23">
        <v>290</v>
      </c>
      <c r="E7" s="23">
        <v>292</v>
      </c>
      <c r="F7" s="23">
        <v>293</v>
      </c>
      <c r="G7" s="23">
        <v>294</v>
      </c>
      <c r="H7" s="23">
        <v>297</v>
      </c>
      <c r="I7" s="24">
        <v>298.99</v>
      </c>
      <c r="J7" s="24">
        <v>300</v>
      </c>
      <c r="K7" s="24">
        <v>301</v>
      </c>
      <c r="L7" s="24">
        <v>302</v>
      </c>
      <c r="M7" s="24">
        <v>303</v>
      </c>
      <c r="N7" s="25">
        <v>306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</v>
      </c>
      <c r="D8" s="29">
        <v>39</v>
      </c>
      <c r="E8" s="29">
        <v>39</v>
      </c>
      <c r="F8" s="29">
        <v>39</v>
      </c>
      <c r="G8" s="29">
        <v>39</v>
      </c>
      <c r="H8" s="29">
        <v>39</v>
      </c>
      <c r="I8" s="30">
        <v>39</v>
      </c>
      <c r="J8" s="30">
        <v>39.305</v>
      </c>
      <c r="K8" s="30">
        <v>39</v>
      </c>
      <c r="L8" s="30">
        <v>39</v>
      </c>
      <c r="M8" s="30">
        <v>39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249</v>
      </c>
      <c r="D9" s="29">
        <v>251</v>
      </c>
      <c r="E9" s="29">
        <v>253.1</v>
      </c>
      <c r="F9" s="29">
        <v>254</v>
      </c>
      <c r="G9" s="29">
        <v>255</v>
      </c>
      <c r="H9" s="29">
        <v>258</v>
      </c>
      <c r="I9" s="30">
        <v>260</v>
      </c>
      <c r="J9" s="30">
        <v>261</v>
      </c>
      <c r="K9" s="30">
        <f>165.193+97.091</f>
        <v>262.28399999999999</v>
      </c>
      <c r="L9" s="30">
        <v>263</v>
      </c>
      <c r="M9" s="30">
        <v>264</v>
      </c>
      <c r="N9" s="31">
        <v>267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128966</v>
      </c>
      <c r="D10" s="23">
        <v>130711</v>
      </c>
      <c r="E10" s="23">
        <v>135291</v>
      </c>
      <c r="F10" s="23">
        <v>132777</v>
      </c>
      <c r="G10" s="23">
        <v>139159</v>
      </c>
      <c r="H10" s="23">
        <v>133742</v>
      </c>
      <c r="I10" s="24">
        <v>133774</v>
      </c>
      <c r="J10" s="24">
        <v>135278</v>
      </c>
      <c r="K10" s="24">
        <v>136137</v>
      </c>
      <c r="L10" s="24">
        <v>137550</v>
      </c>
      <c r="M10" s="24">
        <v>141573.65</v>
      </c>
      <c r="N10" s="25">
        <f>SUM(N11:N19)</f>
        <v>143947.33000000002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157</v>
      </c>
      <c r="D11" s="29">
        <v>221</v>
      </c>
      <c r="E11" s="29">
        <v>244</v>
      </c>
      <c r="F11" s="29">
        <v>237</v>
      </c>
      <c r="G11" s="29">
        <v>227</v>
      </c>
      <c r="H11" s="29">
        <v>214</v>
      </c>
      <c r="I11" s="30">
        <v>205</v>
      </c>
      <c r="J11" s="30">
        <v>197</v>
      </c>
      <c r="K11" s="30">
        <v>189</v>
      </c>
      <c r="L11" s="30">
        <v>187</v>
      </c>
      <c r="M11" s="30">
        <v>184</v>
      </c>
      <c r="N11" s="31">
        <v>184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310</v>
      </c>
      <c r="D12" s="29">
        <v>311</v>
      </c>
      <c r="E12" s="29">
        <v>308</v>
      </c>
      <c r="F12" s="29">
        <v>308</v>
      </c>
      <c r="G12" s="29">
        <v>309</v>
      </c>
      <c r="H12" s="29">
        <v>297</v>
      </c>
      <c r="I12" s="30">
        <v>296</v>
      </c>
      <c r="J12" s="30">
        <v>293</v>
      </c>
      <c r="K12" s="30">
        <v>290</v>
      </c>
      <c r="L12" s="30">
        <v>288</v>
      </c>
      <c r="M12" s="30">
        <v>291</v>
      </c>
      <c r="N12" s="31">
        <v>292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764</v>
      </c>
      <c r="D13" s="29">
        <v>761</v>
      </c>
      <c r="E13" s="29">
        <v>752</v>
      </c>
      <c r="F13" s="29">
        <v>745</v>
      </c>
      <c r="G13" s="29">
        <v>746</v>
      </c>
      <c r="H13" s="29">
        <v>757</v>
      </c>
      <c r="I13" s="30">
        <v>771</v>
      </c>
      <c r="J13" s="30">
        <v>784</v>
      </c>
      <c r="K13" s="30">
        <v>795</v>
      </c>
      <c r="L13" s="30">
        <v>808</v>
      </c>
      <c r="M13" s="30">
        <v>821</v>
      </c>
      <c r="N13" s="31">
        <v>843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1232.635</v>
      </c>
      <c r="D14" s="29">
        <v>1453</v>
      </c>
      <c r="E14" s="29">
        <v>1827</v>
      </c>
      <c r="F14" s="29">
        <v>1750</v>
      </c>
      <c r="G14" s="29">
        <v>1873</v>
      </c>
      <c r="H14" s="29">
        <v>1757</v>
      </c>
      <c r="I14" s="30">
        <v>1693.91</v>
      </c>
      <c r="J14" s="30">
        <v>1637</v>
      </c>
      <c r="K14" s="30">
        <v>1593</v>
      </c>
      <c r="L14" s="30">
        <v>1544</v>
      </c>
      <c r="M14" s="30">
        <v>1506.61</v>
      </c>
      <c r="N14" s="31">
        <v>1495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2843</v>
      </c>
      <c r="D15" s="29">
        <v>2983</v>
      </c>
      <c r="E15" s="29">
        <v>3290</v>
      </c>
      <c r="F15" s="29">
        <v>3163</v>
      </c>
      <c r="G15" s="29">
        <v>3367</v>
      </c>
      <c r="H15" s="29">
        <v>3180</v>
      </c>
      <c r="I15" s="30">
        <v>3088</v>
      </c>
      <c r="J15" s="30">
        <v>3040</v>
      </c>
      <c r="K15" s="30">
        <v>2970</v>
      </c>
      <c r="L15" s="30">
        <v>2876</v>
      </c>
      <c r="M15" s="30">
        <v>2849</v>
      </c>
      <c r="N15" s="31">
        <v>2844.33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6134</v>
      </c>
      <c r="D16" s="29">
        <v>6244</v>
      </c>
      <c r="E16" s="29">
        <v>6513</v>
      </c>
      <c r="F16" s="29">
        <v>6271</v>
      </c>
      <c r="G16" s="29">
        <v>6425</v>
      </c>
      <c r="H16" s="29">
        <v>6055</v>
      </c>
      <c r="I16" s="30">
        <v>5893</v>
      </c>
      <c r="J16" s="30">
        <v>5810</v>
      </c>
      <c r="K16" s="30">
        <v>5690</v>
      </c>
      <c r="L16" s="30">
        <v>5544</v>
      </c>
      <c r="M16" s="30">
        <v>5476</v>
      </c>
      <c r="N16" s="31">
        <v>5480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22806</v>
      </c>
      <c r="D17" s="29">
        <v>22160</v>
      </c>
      <c r="E17" s="29">
        <v>21831</v>
      </c>
      <c r="F17" s="29">
        <v>21113</v>
      </c>
      <c r="G17" s="29">
        <v>21274</v>
      </c>
      <c r="H17" s="29">
        <v>20276</v>
      </c>
      <c r="I17" s="30">
        <v>19865</v>
      </c>
      <c r="J17" s="30">
        <v>19624</v>
      </c>
      <c r="K17" s="30">
        <v>19226</v>
      </c>
      <c r="L17" s="30">
        <v>18871</v>
      </c>
      <c r="M17" s="30">
        <v>18731</v>
      </c>
      <c r="N17" s="31">
        <v>18704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63592</v>
      </c>
      <c r="D18" s="29">
        <v>64868</v>
      </c>
      <c r="E18" s="29">
        <v>66635</v>
      </c>
      <c r="F18" s="29">
        <v>65563</v>
      </c>
      <c r="G18" s="29">
        <v>67923</v>
      </c>
      <c r="H18" s="29">
        <v>65173</v>
      </c>
      <c r="I18" s="30">
        <v>64938</v>
      </c>
      <c r="J18" s="30">
        <v>65653</v>
      </c>
      <c r="K18" s="30">
        <v>65931</v>
      </c>
      <c r="L18" s="30">
        <v>66566</v>
      </c>
      <c r="M18" s="30">
        <v>67602</v>
      </c>
      <c r="N18" s="31">
        <v>68641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>
        <v>31127</v>
      </c>
      <c r="D19" s="34">
        <v>31710</v>
      </c>
      <c r="E19" s="34">
        <v>33891</v>
      </c>
      <c r="F19" s="34">
        <v>33627.24</v>
      </c>
      <c r="G19" s="34">
        <v>37015</v>
      </c>
      <c r="H19" s="34">
        <v>36033</v>
      </c>
      <c r="I19" s="35">
        <v>37024</v>
      </c>
      <c r="J19" s="35">
        <v>38240</v>
      </c>
      <c r="K19" s="35">
        <v>39453</v>
      </c>
      <c r="L19" s="35">
        <v>40866</v>
      </c>
      <c r="M19" s="35">
        <v>44113</v>
      </c>
      <c r="N19" s="36">
        <v>45464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31.48</v>
      </c>
      <c r="D20" s="40">
        <v>29.58</v>
      </c>
      <c r="E20" s="40">
        <v>29.18</v>
      </c>
      <c r="F20" s="40">
        <v>29.29</v>
      </c>
      <c r="G20" s="40">
        <v>30.28</v>
      </c>
      <c r="H20" s="40">
        <v>30.29</v>
      </c>
      <c r="I20" s="41">
        <v>30.7</v>
      </c>
      <c r="J20" s="41">
        <v>31.32</v>
      </c>
      <c r="K20" s="41">
        <v>31.87</v>
      </c>
      <c r="L20" s="41">
        <v>32.35</v>
      </c>
      <c r="M20" s="41">
        <v>33.15</v>
      </c>
      <c r="N20" s="42">
        <v>33.409999999999997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7NQWTN4WQ7WA-971242747-362</_dlc_DocId>
    <_dlc_DocIdUrl xmlns="806035d9-ad3b-44db-92a1-1ed4b9daec3e">
      <Url>http://cbe-test-spsql:4050/_layouts/15/DocIdRedir.aspx?ID=7NQWTN4WQ7WA-971242747-362</Url>
      <Description>7NQWTN4WQ7WA-971242747-362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A1C89-DB18-4D8C-AAFB-3F719871C519}"/>
</file>

<file path=customXml/itemProps2.xml><?xml version="1.0" encoding="utf-8"?>
<ds:datastoreItem xmlns:ds="http://schemas.openxmlformats.org/officeDocument/2006/customXml" ds:itemID="{3B4FB79A-F987-4511-ACD4-BF0A16C498DD}"/>
</file>

<file path=customXml/itemProps3.xml><?xml version="1.0" encoding="utf-8"?>
<ds:datastoreItem xmlns:ds="http://schemas.openxmlformats.org/officeDocument/2006/customXml" ds:itemID="{7AF29948-63F7-406E-A505-990FAFE4F07C}"/>
</file>

<file path=customXml/itemProps4.xml><?xml version="1.0" encoding="utf-8"?>
<ds:datastoreItem xmlns:ds="http://schemas.openxmlformats.org/officeDocument/2006/customXml" ds:itemID="{E9547F0E-C192-4CB8-A125-6B1547E64200}"/>
</file>

<file path=customXml/itemProps5.xml><?xml version="1.0" encoding="utf-8"?>
<ds:datastoreItem xmlns:ds="http://schemas.openxmlformats.org/officeDocument/2006/customXml" ds:itemID="{1C3A29C5-F9A9-4718-9CB5-21A976376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Monthly2009-2010</dc:title>
  <dc:creator/>
  <cp:lastModifiedBy/>
  <dcterms:created xsi:type="dcterms:W3CDTF">2006-09-16T00:00:00Z</dcterms:created>
  <dcterms:modified xsi:type="dcterms:W3CDTF">2014-09-04T22:10:59Z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494e39b2-8fea-4664-b314-a30cf08e01c6</vt:lpwstr>
  </property>
</Properties>
</file>