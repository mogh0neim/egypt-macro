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/>
  <mc:AlternateContent xmlns:mc="http://schemas.openxmlformats.org/markup-compatibility/2006">
    <mc:Choice Requires="x15">
      <x15ac:absPath xmlns:x15ac="http://schemas.microsoft.com/office/spreadsheetml/2010/11/ac" url="Y:\Time Series\2024\Budget-Last Updated 28-5-2024\Exp\"/>
    </mc:Choice>
  </mc:AlternateContent>
  <xr:revisionPtr revIDLastSave="0" documentId="13_ncr:1_{9F7C2B41-E25E-41DF-807C-F369D8102D2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Expenditures 2021-2022" sheetId="2" r:id="rId1"/>
  </sheets>
  <definedNames>
    <definedName name="_xlnm.Print_Area" localSheetId="0">'Expenditures 2021-2022'!$A$1:$J$40</definedName>
    <definedName name="_xlnm.Print_Titles" localSheetId="0">'Expenditures 2021-2022'!$B:$B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5" i="2" l="1"/>
  <c r="I35" i="2"/>
  <c r="H35" i="2"/>
  <c r="G35" i="2"/>
  <c r="F35" i="2"/>
  <c r="E35" i="2"/>
  <c r="D35" i="2"/>
  <c r="C35" i="2"/>
  <c r="J32" i="2"/>
  <c r="I32" i="2"/>
  <c r="H32" i="2"/>
  <c r="G32" i="2"/>
  <c r="F32" i="2"/>
  <c r="E32" i="2"/>
  <c r="D32" i="2"/>
  <c r="C32" i="2"/>
  <c r="J28" i="2"/>
  <c r="I28" i="2"/>
  <c r="H28" i="2"/>
  <c r="G28" i="2"/>
  <c r="F28" i="2"/>
  <c r="E28" i="2"/>
  <c r="D28" i="2"/>
  <c r="C28" i="2"/>
  <c r="J23" i="2"/>
  <c r="I23" i="2"/>
  <c r="H23" i="2"/>
  <c r="G23" i="2"/>
  <c r="F23" i="2"/>
  <c r="E23" i="2"/>
  <c r="D23" i="2"/>
  <c r="C23" i="2"/>
  <c r="J22" i="2"/>
  <c r="I22" i="2"/>
  <c r="H22" i="2"/>
  <c r="G22" i="2"/>
  <c r="F22" i="2"/>
  <c r="E22" i="2"/>
  <c r="D22" i="2"/>
  <c r="C22" i="2"/>
  <c r="J18" i="2"/>
  <c r="I18" i="2"/>
  <c r="H18" i="2"/>
  <c r="G18" i="2"/>
  <c r="F18" i="2"/>
  <c r="E18" i="2"/>
  <c r="D18" i="2"/>
  <c r="C18" i="2"/>
  <c r="J17" i="2"/>
  <c r="I17" i="2"/>
  <c r="H17" i="2"/>
  <c r="G17" i="2"/>
  <c r="F17" i="2"/>
  <c r="E17" i="2"/>
  <c r="D17" i="2"/>
  <c r="C17" i="2"/>
  <c r="J13" i="2"/>
  <c r="I13" i="2"/>
  <c r="H13" i="2"/>
  <c r="G13" i="2"/>
  <c r="F13" i="2"/>
  <c r="E13" i="2"/>
  <c r="D13" i="2"/>
  <c r="C13" i="2"/>
  <c r="J9" i="2"/>
  <c r="I9" i="2"/>
  <c r="H9" i="2"/>
  <c r="G9" i="2"/>
  <c r="F9" i="2"/>
  <c r="E9" i="2"/>
  <c r="D9" i="2"/>
  <c r="C9" i="2"/>
  <c r="J8" i="2"/>
  <c r="I8" i="2"/>
  <c r="H8" i="2"/>
  <c r="G8" i="2"/>
  <c r="F8" i="2"/>
  <c r="E8" i="2"/>
  <c r="D8" i="2"/>
  <c r="C8" i="2"/>
</calcChain>
</file>

<file path=xl/sharedStrings.xml><?xml version="1.0" encoding="utf-8"?>
<sst xmlns="http://schemas.openxmlformats.org/spreadsheetml/2006/main" count="83" uniqueCount="70">
  <si>
    <r>
      <t xml:space="preserve">العمليات المالية الموحدة *
 للحكومة العامة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  </t>
    </r>
  </si>
  <si>
    <r>
      <t xml:space="preserve"> Consolidated Fiscal Operations* of the General Government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  
</t>
    </r>
  </si>
  <si>
    <t>(LE mn)</t>
  </si>
  <si>
    <t xml:space="preserve"> </t>
  </si>
  <si>
    <t>2021/2022</t>
  </si>
  <si>
    <t>July/Sept.</t>
  </si>
  <si>
    <t>July/Dec.</t>
  </si>
  <si>
    <t>July/March</t>
  </si>
  <si>
    <t>July/June</t>
  </si>
  <si>
    <t>The
 Budget
 Sector</t>
  </si>
  <si>
    <t>The General Government</t>
  </si>
  <si>
    <t>إجمالى النفقات</t>
  </si>
  <si>
    <t>Total Expenditures</t>
  </si>
  <si>
    <t>الأجور وتعويضات العاملين</t>
  </si>
  <si>
    <t>Wages and Compensations of Employees</t>
  </si>
  <si>
    <t>الأجور والبدلات</t>
  </si>
  <si>
    <t xml:space="preserve">Wages and allowances </t>
  </si>
  <si>
    <t>المزايا التأمينية</t>
  </si>
  <si>
    <t>Social contributions</t>
  </si>
  <si>
    <t>أخرى</t>
  </si>
  <si>
    <t>Other</t>
  </si>
  <si>
    <t>شراء السلع و الخدمات</t>
  </si>
  <si>
    <t>Purchases of Goods and Services</t>
  </si>
  <si>
    <t>السلع</t>
  </si>
  <si>
    <t>Goods</t>
  </si>
  <si>
    <t>الخدمات</t>
  </si>
  <si>
    <t>Services</t>
  </si>
  <si>
    <t>الفوائد</t>
  </si>
  <si>
    <t>Interest</t>
  </si>
  <si>
    <t xml:space="preserve">محلية </t>
  </si>
  <si>
    <t xml:space="preserve">Domestic interest </t>
  </si>
  <si>
    <t>بنك الاستثمار القومى وصناديق التأمين الاجتماعى</t>
  </si>
  <si>
    <t>To NIB &amp; SIFs</t>
  </si>
  <si>
    <t>To others</t>
  </si>
  <si>
    <t>خارجية</t>
  </si>
  <si>
    <t>Foreign interest</t>
  </si>
  <si>
    <t>الدعم و المنح و المزايا الاجتماعية</t>
  </si>
  <si>
    <t>Subsidies, Grants and Social Benefits</t>
  </si>
  <si>
    <t xml:space="preserve">الدعم </t>
  </si>
  <si>
    <t>Subsidies</t>
  </si>
  <si>
    <t>هيئة البترول</t>
  </si>
  <si>
    <t xml:space="preserve">   To Petroleum</t>
  </si>
  <si>
    <t>هيئة السلع التموينية</t>
  </si>
  <si>
    <t xml:space="preserve">   To GASC</t>
  </si>
  <si>
    <t xml:space="preserve">   To others</t>
  </si>
  <si>
    <t>المنح</t>
  </si>
  <si>
    <t>Grants</t>
  </si>
  <si>
    <t xml:space="preserve"> المزايا الاجتماعية</t>
  </si>
  <si>
    <t>Social Benefits</t>
  </si>
  <si>
    <t>المساهمة فى صناديق التأمين الاجتماعى</t>
  </si>
  <si>
    <t xml:space="preserve">   Contribution to SIFs</t>
  </si>
  <si>
    <t xml:space="preserve">   Other</t>
  </si>
  <si>
    <t xml:space="preserve"> أخرى </t>
  </si>
  <si>
    <r>
      <t xml:space="preserve">    </t>
    </r>
    <r>
      <rPr>
        <b/>
        <u/>
        <sz val="16"/>
        <rFont val="Arial"/>
        <family val="2"/>
      </rPr>
      <t>Other</t>
    </r>
  </si>
  <si>
    <t>النفقات الأخرى</t>
  </si>
  <si>
    <t>Other Expenditures</t>
  </si>
  <si>
    <t>الدفاع</t>
  </si>
  <si>
    <t>Defense</t>
  </si>
  <si>
    <t xml:space="preserve">Other </t>
  </si>
  <si>
    <t>شراء أصول غير مالية ( الاستثمارات )</t>
  </si>
  <si>
    <t>Purchases of Non-Financial Assets (Investments)</t>
  </si>
  <si>
    <t>الأصول الثابتة</t>
  </si>
  <si>
    <t>Fixed assets</t>
  </si>
  <si>
    <t>Others</t>
  </si>
  <si>
    <t>المصدر : وزارة المالية.</t>
  </si>
  <si>
    <t>Source: Ministry of Finance.</t>
  </si>
  <si>
    <r>
      <rPr>
        <sz val="18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</si>
  <si>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sz val="18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</si>
  <si>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r>
      <rPr>
        <vertAlign val="superscript"/>
        <sz val="18"/>
        <rFont val="Arial"/>
        <family val="2"/>
      </rPr>
      <t xml:space="preserve"> </t>
    </r>
    <r>
      <rPr>
        <vertAlign val="superscript"/>
        <sz val="22"/>
        <rFont val="Arial"/>
        <family val="2"/>
      </rPr>
      <t>+</t>
    </r>
    <r>
      <rPr>
        <sz val="14"/>
        <rFont val="Arial"/>
        <family val="2"/>
      </rPr>
      <t xml:space="preserve">  تتضمن كل من قطاع الموازنة العامة، وبنك الاستثمار القومى، وصناديق التأمين الاجتماعى.</t>
    </r>
  </si>
  <si>
    <r>
      <t xml:space="preserve"> </t>
    </r>
    <r>
      <rPr>
        <vertAlign val="superscript"/>
        <sz val="22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</si>
</sst>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vertAlign val="superscript"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b/>
      <u/>
      <sz val="14"/>
      <name val="Arial"/>
      <family val="2"/>
    </font>
    <font>
      <sz val="18"/>
      <name val="Arial"/>
      <family val="2"/>
    </font>
    <font>
      <vertAlign val="superscript"/>
      <sz val="18"/>
      <name val="Arial"/>
      <family val="2"/>
    </font>
    <font>
      <vertAlign val="superscript"/>
      <sz val="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2">
    <xf numFmtId="0" fontId="0" fillId="0" borderId="0" xfId="0"/>
    <xf numFmtId="0" fontId="2" fillId="0" borderId="0" xfId="1" applyFont="1" applyFill="1" applyAlignment="1">
      <alignment horizontal="center" vertical="center" wrapText="1" readingOrder="2"/>
    </xf>
    <xf numFmtId="0" fontId="2" fillId="0" borderId="0" xfId="1" applyFont="1" applyFill="1" applyAlignment="1">
      <alignment horizontal="center" vertical="center" wrapText="1" readingOrder="1"/>
    </xf>
    <xf numFmtId="0" fontId="4" fillId="0" borderId="0" xfId="1" applyFont="1" applyFill="1" applyBorder="1" applyAlignment="1">
      <alignment vertical="center" wrapText="1" readingOrder="2"/>
    </xf>
    <xf numFmtId="0" fontId="5" fillId="0" borderId="0" xfId="1" applyFont="1" applyFill="1" applyBorder="1" applyAlignment="1">
      <alignment vertical="center"/>
    </xf>
    <xf numFmtId="0" fontId="5" fillId="0" borderId="0" xfId="1" applyFont="1" applyFill="1" applyAlignment="1">
      <alignment vertical="center"/>
    </xf>
    <xf numFmtId="0" fontId="6" fillId="0" borderId="0" xfId="1" applyFont="1" applyFill="1"/>
    <xf numFmtId="0" fontId="6" fillId="0" borderId="0" xfId="1" applyFont="1" applyFill="1" applyBorder="1" applyAlignment="1">
      <alignment horizontal="center" vertical="center"/>
    </xf>
    <xf numFmtId="0" fontId="6" fillId="0" borderId="0" xfId="1" applyFont="1" applyFill="1" applyAlignment="1">
      <alignment horizontal="center"/>
    </xf>
    <xf numFmtId="0" fontId="6" fillId="0" borderId="0" xfId="1" applyFont="1" applyFill="1" applyAlignment="1">
      <alignment horizontal="center" vertical="center"/>
    </xf>
    <xf numFmtId="0" fontId="6" fillId="0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horizontal="center" vertical="center"/>
    </xf>
    <xf numFmtId="0" fontId="5" fillId="0" borderId="0" xfId="1" applyFont="1" applyFill="1" applyBorder="1"/>
    <xf numFmtId="0" fontId="5" fillId="0" borderId="0" xfId="1" applyFont="1" applyFill="1"/>
    <xf numFmtId="0" fontId="6" fillId="2" borderId="1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5" fillId="0" borderId="0" xfId="1" applyFont="1" applyFill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/>
    <xf numFmtId="0" fontId="6" fillId="2" borderId="10" xfId="1" applyFont="1" applyFill="1" applyBorder="1" applyAlignment="1">
      <alignment horizontal="right" vertical="center" indent="1"/>
    </xf>
    <xf numFmtId="0" fontId="2" fillId="2" borderId="10" xfId="1" quotePrefix="1" applyFont="1" applyFill="1" applyBorder="1" applyAlignment="1">
      <alignment horizontal="center" vertical="center" wrapText="1"/>
    </xf>
    <xf numFmtId="0" fontId="2" fillId="2" borderId="6" xfId="1" quotePrefix="1" applyFont="1" applyFill="1" applyBorder="1" applyAlignment="1">
      <alignment horizontal="center" vertical="center" wrapText="1"/>
    </xf>
    <xf numFmtId="0" fontId="2" fillId="2" borderId="11" xfId="1" quotePrefix="1" applyFont="1" applyFill="1" applyBorder="1" applyAlignment="1">
      <alignment horizontal="center" vertical="center" wrapText="1"/>
    </xf>
    <xf numFmtId="0" fontId="5" fillId="0" borderId="0" xfId="1" applyFont="1" applyFill="1" applyAlignment="1"/>
    <xf numFmtId="0" fontId="7" fillId="0" borderId="1" xfId="2" applyFont="1" applyFill="1" applyBorder="1" applyAlignment="1">
      <alignment horizontal="right" vertical="center" readingOrder="2"/>
    </xf>
    <xf numFmtId="1" fontId="7" fillId="0" borderId="1" xfId="1" applyNumberFormat="1" applyFont="1" applyFill="1" applyBorder="1" applyAlignment="1">
      <alignment horizontal="left" vertical="center" readingOrder="1"/>
    </xf>
    <xf numFmtId="1" fontId="7" fillId="0" borderId="1" xfId="1" applyNumberFormat="1" applyFont="1" applyBorder="1" applyAlignment="1">
      <alignment horizontal="center" vertical="center"/>
    </xf>
    <xf numFmtId="0" fontId="8" fillId="0" borderId="0" xfId="1" applyFont="1" applyFill="1" applyAlignment="1"/>
    <xf numFmtId="0" fontId="8" fillId="0" borderId="0" xfId="1" applyFont="1" applyFill="1"/>
    <xf numFmtId="0" fontId="7" fillId="0" borderId="5" xfId="2" applyFont="1" applyFill="1" applyBorder="1" applyAlignment="1">
      <alignment horizontal="right" vertical="center" readingOrder="2"/>
    </xf>
    <xf numFmtId="1" fontId="7" fillId="0" borderId="5" xfId="1" applyNumberFormat="1" applyFont="1" applyFill="1" applyBorder="1" applyAlignment="1">
      <alignment horizontal="left" vertical="center" readingOrder="1"/>
    </xf>
    <xf numFmtId="1" fontId="7" fillId="0" borderId="5" xfId="1" applyNumberFormat="1" applyFont="1" applyBorder="1" applyAlignment="1">
      <alignment horizontal="center" vertical="center"/>
    </xf>
    <xf numFmtId="0" fontId="6" fillId="0" borderId="5" xfId="2" applyFont="1" applyFill="1" applyBorder="1" applyAlignment="1">
      <alignment horizontal="right" vertical="center" indent="1" readingOrder="2"/>
    </xf>
    <xf numFmtId="1" fontId="6" fillId="0" borderId="5" xfId="1" applyNumberFormat="1" applyFont="1" applyFill="1" applyBorder="1" applyAlignment="1">
      <alignment horizontal="left" vertical="center" indent="1" readingOrder="1"/>
    </xf>
    <xf numFmtId="1" fontId="6" fillId="0" borderId="5" xfId="1" applyNumberFormat="1" applyFont="1" applyBorder="1" applyAlignment="1">
      <alignment horizontal="center" vertical="center"/>
    </xf>
    <xf numFmtId="0" fontId="4" fillId="0" borderId="0" xfId="1" applyFont="1" applyFill="1" applyAlignment="1"/>
    <xf numFmtId="0" fontId="4" fillId="0" borderId="0" xfId="1" applyFont="1" applyFill="1"/>
    <xf numFmtId="0" fontId="7" fillId="0" borderId="5" xfId="2" applyFont="1" applyBorder="1" applyAlignment="1">
      <alignment horizontal="right" vertical="center" readingOrder="2"/>
    </xf>
    <xf numFmtId="1" fontId="7" fillId="0" borderId="5" xfId="1" applyNumberFormat="1" applyFont="1" applyBorder="1" applyAlignment="1">
      <alignment horizontal="left" vertical="center" readingOrder="1"/>
    </xf>
    <xf numFmtId="0" fontId="2" fillId="0" borderId="5" xfId="2" applyFont="1" applyBorder="1" applyAlignment="1">
      <alignment horizontal="right" vertical="center" indent="1" readingOrder="2"/>
    </xf>
    <xf numFmtId="1" fontId="2" fillId="0" borderId="5" xfId="1" applyNumberFormat="1" applyFont="1" applyBorder="1" applyAlignment="1">
      <alignment horizontal="left" vertical="center" indent="1" readingOrder="1"/>
    </xf>
    <xf numFmtId="1" fontId="2" fillId="0" borderId="5" xfId="1" applyNumberFormat="1" applyFont="1" applyBorder="1" applyAlignment="1">
      <alignment horizontal="center" vertical="center"/>
    </xf>
    <xf numFmtId="0" fontId="6" fillId="0" borderId="5" xfId="2" applyFont="1" applyBorder="1" applyAlignment="1">
      <alignment horizontal="right" vertical="center" indent="2" readingOrder="2"/>
    </xf>
    <xf numFmtId="1" fontId="6" fillId="0" borderId="5" xfId="1" applyNumberFormat="1" applyFont="1" applyBorder="1" applyAlignment="1">
      <alignment horizontal="left" vertical="center" indent="2" readingOrder="1"/>
    </xf>
    <xf numFmtId="0" fontId="7" fillId="0" borderId="5" xfId="1" applyFont="1" applyFill="1" applyBorder="1" applyAlignment="1">
      <alignment horizontal="right" vertical="center" readingOrder="2"/>
    </xf>
    <xf numFmtId="0" fontId="7" fillId="0" borderId="5" xfId="2" applyFont="1" applyFill="1" applyBorder="1" applyAlignment="1">
      <alignment horizontal="right" vertical="center" indent="1" readingOrder="2"/>
    </xf>
    <xf numFmtId="1" fontId="7" fillId="0" borderId="5" xfId="1" applyNumberFormat="1" applyFont="1" applyFill="1" applyBorder="1" applyAlignment="1">
      <alignment horizontal="left" vertical="center" indent="1" readingOrder="1"/>
    </xf>
    <xf numFmtId="0" fontId="6" fillId="0" borderId="5" xfId="2" applyFont="1" applyFill="1" applyBorder="1" applyAlignment="1">
      <alignment horizontal="right" vertical="center" indent="2" readingOrder="2"/>
    </xf>
    <xf numFmtId="1" fontId="6" fillId="0" borderId="5" xfId="1" applyNumberFormat="1" applyFont="1" applyFill="1" applyBorder="1" applyAlignment="1">
      <alignment horizontal="left" vertical="center" indent="2" readingOrder="1"/>
    </xf>
    <xf numFmtId="1" fontId="2" fillId="0" borderId="5" xfId="1" applyNumberFormat="1" applyFont="1" applyFill="1" applyBorder="1" applyAlignment="1">
      <alignment horizontal="left" vertical="center" indent="1" readingOrder="1"/>
    </xf>
    <xf numFmtId="1" fontId="7" fillId="0" borderId="5" xfId="1" applyNumberFormat="1" applyFont="1" applyFill="1" applyBorder="1" applyAlignment="1">
      <alignment horizontal="left" vertical="center" wrapText="1" readingOrder="1"/>
    </xf>
    <xf numFmtId="0" fontId="6" fillId="0" borderId="10" xfId="2" applyFont="1" applyFill="1" applyBorder="1" applyAlignment="1">
      <alignment horizontal="right" vertical="center" indent="1" readingOrder="2"/>
    </xf>
    <xf numFmtId="1" fontId="6" fillId="0" borderId="10" xfId="1" applyNumberFormat="1" applyFont="1" applyFill="1" applyBorder="1" applyAlignment="1">
      <alignment horizontal="left" vertical="center" indent="1" readingOrder="1"/>
    </xf>
    <xf numFmtId="1" fontId="6" fillId="0" borderId="10" xfId="1" applyNumberFormat="1" applyFont="1" applyBorder="1" applyAlignment="1">
      <alignment horizontal="center" vertical="center"/>
    </xf>
    <xf numFmtId="0" fontId="5" fillId="0" borderId="0" xfId="2" applyFont="1" applyFill="1" applyBorder="1" applyAlignment="1">
      <alignment horizontal="right" vertical="center" readingOrder="2"/>
    </xf>
    <xf numFmtId="1" fontId="5" fillId="0" borderId="0" xfId="1" applyNumberFormat="1" applyFont="1" applyFill="1" applyBorder="1" applyAlignment="1">
      <alignment horizontal="left" vertical="center" readingOrder="1"/>
    </xf>
    <xf numFmtId="0" fontId="5" fillId="0" borderId="0" xfId="1" applyFont="1" applyFill="1" applyBorder="1" applyAlignment="1">
      <alignment horizontal="center"/>
    </xf>
    <xf numFmtId="0" fontId="5" fillId="0" borderId="0" xfId="1" applyFont="1" applyFill="1" applyAlignment="1">
      <alignment horizontal="right" vertical="center" wrapText="1" readingOrder="2"/>
    </xf>
    <xf numFmtId="0" fontId="5" fillId="0" borderId="0" xfId="2" applyFont="1" applyFill="1" applyAlignment="1">
      <alignment horizontal="left" vertical="center" wrapText="1" readingOrder="1"/>
    </xf>
    <xf numFmtId="0" fontId="5" fillId="0" borderId="0" xfId="1" applyFont="1" applyFill="1" applyAlignment="1">
      <alignment horizontal="left" vertical="center"/>
    </xf>
    <xf numFmtId="49" fontId="4" fillId="0" borderId="0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 xr:uid="{D5A411A0-06A5-4739-9612-0DDC43440426}"/>
    <cellStyle name="Normal_wafaa file_12_22-24_26-34 2" xfId="1" xr:uid="{0E4BA3FF-B982-41A7-8B88-C50616725B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1DED1-8EFF-45F1-AE91-777290BB9853}">
  <sheetPr>
    <pageSetUpPr fitToPage="1"/>
  </sheetPr>
  <dimension ref="A1:BE1304"/>
  <sheetViews>
    <sheetView tabSelected="1" view="pageBreakPreview" zoomScale="43" zoomScaleNormal="50" zoomScaleSheetLayoutView="43" workbookViewId="0"/>
  </sheetViews>
  <sheetFormatPr defaultColWidth="8.44140625" defaultRowHeight="17.399999999999999" x14ac:dyDescent="0.3"/>
  <cols>
    <col min="1" max="2" width="62.6640625" style="13" customWidth="1"/>
    <col min="3" max="4" width="24.6640625" style="67" customWidth="1"/>
    <col min="5" max="8" width="24.6640625" style="19" customWidth="1"/>
    <col min="9" max="10" width="24.6640625" style="13" customWidth="1"/>
    <col min="11" max="16384" width="8.44140625" style="13"/>
  </cols>
  <sheetData>
    <row r="1" spans="1:57" s="5" customFormat="1" ht="66" customHeight="1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ht="22.95" customHeight="1" x14ac:dyDescent="0.35">
      <c r="A2" s="6"/>
      <c r="B2" s="6"/>
      <c r="C2" s="7"/>
      <c r="D2" s="7"/>
      <c r="E2" s="8"/>
      <c r="F2" s="9"/>
      <c r="G2" s="10"/>
      <c r="H2" s="8"/>
      <c r="I2" s="6"/>
      <c r="J2" s="11" t="s">
        <v>2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</row>
    <row r="3" spans="1:57" s="19" customFormat="1" ht="15" customHeight="1" x14ac:dyDescent="0.35">
      <c r="A3" s="14"/>
      <c r="B3" s="15" t="s">
        <v>3</v>
      </c>
      <c r="C3" s="16" t="s">
        <v>4</v>
      </c>
      <c r="D3" s="17"/>
      <c r="E3" s="17"/>
      <c r="F3" s="17"/>
      <c r="G3" s="17"/>
      <c r="H3" s="17"/>
      <c r="I3" s="17"/>
      <c r="J3" s="18"/>
    </row>
    <row r="4" spans="1:57" s="19" customFormat="1" ht="49.95" customHeight="1" x14ac:dyDescent="0.35">
      <c r="A4" s="20"/>
      <c r="B4" s="21"/>
      <c r="C4" s="22"/>
      <c r="D4" s="23"/>
      <c r="E4" s="23"/>
      <c r="F4" s="23"/>
      <c r="G4" s="23"/>
      <c r="H4" s="23"/>
      <c r="I4" s="23"/>
      <c r="J4" s="24"/>
    </row>
    <row r="5" spans="1:57" s="19" customFormat="1" ht="15" customHeight="1" x14ac:dyDescent="0.35">
      <c r="A5" s="20"/>
      <c r="B5" s="20"/>
      <c r="C5" s="25" t="s">
        <v>5</v>
      </c>
      <c r="D5" s="25"/>
      <c r="E5" s="25" t="s">
        <v>6</v>
      </c>
      <c r="F5" s="25"/>
      <c r="G5" s="25" t="s">
        <v>7</v>
      </c>
      <c r="H5" s="26"/>
      <c r="I5" s="27" t="s">
        <v>8</v>
      </c>
      <c r="J5" s="27"/>
    </row>
    <row r="6" spans="1:57" s="19" customFormat="1" ht="15" customHeight="1" x14ac:dyDescent="0.35">
      <c r="A6" s="20"/>
      <c r="B6" s="20"/>
      <c r="C6" s="28"/>
      <c r="D6" s="28"/>
      <c r="E6" s="28"/>
      <c r="F6" s="28"/>
      <c r="G6" s="28"/>
      <c r="H6" s="22"/>
      <c r="I6" s="28"/>
      <c r="J6" s="28"/>
    </row>
    <row r="7" spans="1:57" s="34" customFormat="1" ht="92.4" customHeight="1" x14ac:dyDescent="0.35">
      <c r="A7" s="29"/>
      <c r="B7" s="30"/>
      <c r="C7" s="31" t="s">
        <v>9</v>
      </c>
      <c r="D7" s="31" t="s">
        <v>10</v>
      </c>
      <c r="E7" s="31" t="s">
        <v>9</v>
      </c>
      <c r="F7" s="31" t="s">
        <v>10</v>
      </c>
      <c r="G7" s="31" t="s">
        <v>9</v>
      </c>
      <c r="H7" s="32" t="s">
        <v>10</v>
      </c>
      <c r="I7" s="31" t="s">
        <v>9</v>
      </c>
      <c r="J7" s="33" t="s">
        <v>10</v>
      </c>
    </row>
    <row r="8" spans="1:57" s="39" customFormat="1" ht="40.200000000000003" customHeight="1" x14ac:dyDescent="0.3">
      <c r="A8" s="35" t="s">
        <v>11</v>
      </c>
      <c r="B8" s="36" t="s">
        <v>12</v>
      </c>
      <c r="C8" s="37">
        <f t="shared" ref="C8:D8" si="0">C9+C13+C17+C22+C32+C35</f>
        <v>391332</v>
      </c>
      <c r="D8" s="37">
        <f t="shared" si="0"/>
        <v>419785</v>
      </c>
      <c r="E8" s="37">
        <f>E9+E13+E17+E22+E32+E35</f>
        <v>785783</v>
      </c>
      <c r="F8" s="37">
        <f>F9+F13+F17+F22+F32+F35</f>
        <v>830837</v>
      </c>
      <c r="G8" s="37">
        <f t="shared" ref="G8:J8" si="1">G9+G13+G17+G22+G32+G35</f>
        <v>1171168</v>
      </c>
      <c r="H8" s="37">
        <f t="shared" si="1"/>
        <v>1266096</v>
      </c>
      <c r="I8" s="37">
        <f t="shared" si="1"/>
        <v>1812074</v>
      </c>
      <c r="J8" s="37">
        <f t="shared" si="1"/>
        <v>1937165</v>
      </c>
      <c r="K8" s="38"/>
    </row>
    <row r="9" spans="1:57" s="39" customFormat="1" ht="40.200000000000003" customHeight="1" x14ac:dyDescent="0.3">
      <c r="A9" s="40" t="s">
        <v>13</v>
      </c>
      <c r="B9" s="41" t="s">
        <v>14</v>
      </c>
      <c r="C9" s="42">
        <f t="shared" ref="C9:D9" si="2">SUM(C10:C12)</f>
        <v>90149</v>
      </c>
      <c r="D9" s="42">
        <f t="shared" si="2"/>
        <v>82782</v>
      </c>
      <c r="E9" s="42">
        <f>E10+E11+E12</f>
        <v>176735</v>
      </c>
      <c r="F9" s="42">
        <f>F10+F11+F12</f>
        <v>162699</v>
      </c>
      <c r="G9" s="42">
        <f t="shared" ref="G9:J9" si="3">G10+G11+G12</f>
        <v>262376</v>
      </c>
      <c r="H9" s="42">
        <f t="shared" si="3"/>
        <v>241753</v>
      </c>
      <c r="I9" s="42">
        <f t="shared" si="3"/>
        <v>358184</v>
      </c>
      <c r="J9" s="42">
        <f t="shared" si="3"/>
        <v>330799</v>
      </c>
      <c r="K9" s="38"/>
    </row>
    <row r="10" spans="1:57" s="47" customFormat="1" ht="40.200000000000003" customHeight="1" x14ac:dyDescent="0.3">
      <c r="A10" s="43" t="s">
        <v>15</v>
      </c>
      <c r="B10" s="44" t="s">
        <v>16</v>
      </c>
      <c r="C10" s="45">
        <v>71810</v>
      </c>
      <c r="D10" s="45">
        <v>72367</v>
      </c>
      <c r="E10" s="45">
        <v>143446</v>
      </c>
      <c r="F10" s="45">
        <v>144730</v>
      </c>
      <c r="G10" s="45">
        <v>214171</v>
      </c>
      <c r="H10" s="45">
        <v>216252</v>
      </c>
      <c r="I10" s="45">
        <v>293833</v>
      </c>
      <c r="J10" s="45">
        <v>297012</v>
      </c>
      <c r="K10" s="46"/>
    </row>
    <row r="11" spans="1:57" s="47" customFormat="1" ht="40.200000000000003" customHeight="1" x14ac:dyDescent="0.3">
      <c r="A11" s="43" t="s">
        <v>17</v>
      </c>
      <c r="B11" s="44" t="s">
        <v>18</v>
      </c>
      <c r="C11" s="45">
        <v>10423</v>
      </c>
      <c r="D11" s="45">
        <v>2490</v>
      </c>
      <c r="E11" s="45">
        <v>20183</v>
      </c>
      <c r="F11" s="45">
        <v>4843</v>
      </c>
      <c r="G11" s="45">
        <v>29930</v>
      </c>
      <c r="H11" s="45">
        <v>7197</v>
      </c>
      <c r="I11" s="45">
        <v>40333</v>
      </c>
      <c r="J11" s="45">
        <v>9723</v>
      </c>
      <c r="K11" s="46"/>
    </row>
    <row r="12" spans="1:57" s="47" customFormat="1" ht="40.200000000000003" customHeight="1" x14ac:dyDescent="0.3">
      <c r="A12" s="43" t="s">
        <v>19</v>
      </c>
      <c r="B12" s="44" t="s">
        <v>20</v>
      </c>
      <c r="C12" s="45">
        <v>7916</v>
      </c>
      <c r="D12" s="45">
        <v>7925</v>
      </c>
      <c r="E12" s="45">
        <v>13106</v>
      </c>
      <c r="F12" s="45">
        <v>13126</v>
      </c>
      <c r="G12" s="45">
        <v>18275</v>
      </c>
      <c r="H12" s="45">
        <v>18304</v>
      </c>
      <c r="I12" s="45">
        <v>24018</v>
      </c>
      <c r="J12" s="45">
        <v>24064</v>
      </c>
      <c r="K12" s="46"/>
    </row>
    <row r="13" spans="1:57" s="39" customFormat="1" ht="40.200000000000003" customHeight="1" x14ac:dyDescent="0.3">
      <c r="A13" s="40" t="s">
        <v>21</v>
      </c>
      <c r="B13" s="41" t="s">
        <v>22</v>
      </c>
      <c r="C13" s="42">
        <f t="shared" ref="C13:D13" si="4">SUM(C14:C16)</f>
        <v>15375</v>
      </c>
      <c r="D13" s="42">
        <f t="shared" si="4"/>
        <v>17148</v>
      </c>
      <c r="E13" s="42">
        <f>E14+E15+E16</f>
        <v>39951</v>
      </c>
      <c r="F13" s="42">
        <f>F14+F15+F16</f>
        <v>41473</v>
      </c>
      <c r="G13" s="42">
        <f t="shared" ref="G13:J13" si="5">G14+G15+G16</f>
        <v>61941</v>
      </c>
      <c r="H13" s="42">
        <f t="shared" si="5"/>
        <v>63888</v>
      </c>
      <c r="I13" s="42">
        <f t="shared" si="5"/>
        <v>95578</v>
      </c>
      <c r="J13" s="42">
        <f t="shared" si="5"/>
        <v>101662</v>
      </c>
      <c r="K13" s="38"/>
    </row>
    <row r="14" spans="1:57" s="47" customFormat="1" ht="40.200000000000003" customHeight="1" x14ac:dyDescent="0.3">
      <c r="A14" s="43" t="s">
        <v>23</v>
      </c>
      <c r="B14" s="44" t="s">
        <v>24</v>
      </c>
      <c r="C14" s="45">
        <v>7951</v>
      </c>
      <c r="D14" s="45">
        <v>7956</v>
      </c>
      <c r="E14" s="45">
        <v>23716</v>
      </c>
      <c r="F14" s="45">
        <v>23734</v>
      </c>
      <c r="G14" s="45">
        <v>36499</v>
      </c>
      <c r="H14" s="45">
        <v>36532</v>
      </c>
      <c r="I14" s="45">
        <v>57727</v>
      </c>
      <c r="J14" s="45">
        <v>57791</v>
      </c>
      <c r="K14" s="46"/>
    </row>
    <row r="15" spans="1:57" s="47" customFormat="1" ht="40.200000000000003" customHeight="1" x14ac:dyDescent="0.3">
      <c r="A15" s="43" t="s">
        <v>25</v>
      </c>
      <c r="B15" s="44" t="s">
        <v>26</v>
      </c>
      <c r="C15" s="45">
        <v>7293</v>
      </c>
      <c r="D15" s="45">
        <v>7331</v>
      </c>
      <c r="E15" s="45">
        <v>15858</v>
      </c>
      <c r="F15" s="45">
        <v>15956</v>
      </c>
      <c r="G15" s="45">
        <v>24833</v>
      </c>
      <c r="H15" s="45">
        <v>24995</v>
      </c>
      <c r="I15" s="45">
        <v>36957</v>
      </c>
      <c r="J15" s="45">
        <v>37226</v>
      </c>
      <c r="K15" s="46"/>
    </row>
    <row r="16" spans="1:57" s="47" customFormat="1" ht="40.200000000000003" customHeight="1" x14ac:dyDescent="0.3">
      <c r="A16" s="43" t="s">
        <v>19</v>
      </c>
      <c r="B16" s="44" t="s">
        <v>20</v>
      </c>
      <c r="C16" s="45">
        <v>131</v>
      </c>
      <c r="D16" s="45">
        <v>1861</v>
      </c>
      <c r="E16" s="45">
        <v>377</v>
      </c>
      <c r="F16" s="45">
        <v>1783</v>
      </c>
      <c r="G16" s="45">
        <v>609</v>
      </c>
      <c r="H16" s="45">
        <v>2361</v>
      </c>
      <c r="I16" s="45">
        <v>894</v>
      </c>
      <c r="J16" s="45">
        <v>6645</v>
      </c>
      <c r="K16" s="46"/>
    </row>
    <row r="17" spans="1:11" s="39" customFormat="1" ht="40.200000000000003" customHeight="1" x14ac:dyDescent="0.3">
      <c r="A17" s="48" t="s">
        <v>27</v>
      </c>
      <c r="B17" s="49" t="s">
        <v>28</v>
      </c>
      <c r="C17" s="42">
        <f t="shared" ref="C17:D17" si="6">C18+C21</f>
        <v>160773</v>
      </c>
      <c r="D17" s="42">
        <f t="shared" si="6"/>
        <v>154721</v>
      </c>
      <c r="E17" s="42">
        <f>E18+E21</f>
        <v>288361</v>
      </c>
      <c r="F17" s="42">
        <f>F18+F21</f>
        <v>280993</v>
      </c>
      <c r="G17" s="42">
        <f t="shared" ref="G17:J17" si="7">G18+G21</f>
        <v>420066</v>
      </c>
      <c r="H17" s="42">
        <f t="shared" si="7"/>
        <v>412629</v>
      </c>
      <c r="I17" s="42">
        <f t="shared" si="7"/>
        <v>584819</v>
      </c>
      <c r="J17" s="42">
        <f t="shared" si="7"/>
        <v>555286</v>
      </c>
      <c r="K17" s="38"/>
    </row>
    <row r="18" spans="1:11" ht="40.200000000000003" customHeight="1" x14ac:dyDescent="0.3">
      <c r="A18" s="50" t="s">
        <v>29</v>
      </c>
      <c r="B18" s="51" t="s">
        <v>30</v>
      </c>
      <c r="C18" s="52">
        <f>C19+C20</f>
        <v>143402</v>
      </c>
      <c r="D18" s="52">
        <f>D19+D20</f>
        <v>137350</v>
      </c>
      <c r="E18" s="52">
        <f t="shared" ref="E18:J18" si="8">E19+E20</f>
        <v>264385</v>
      </c>
      <c r="F18" s="52">
        <f t="shared" si="8"/>
        <v>257017</v>
      </c>
      <c r="G18" s="52">
        <f t="shared" si="8"/>
        <v>380474</v>
      </c>
      <c r="H18" s="52">
        <f t="shared" si="8"/>
        <v>373037</v>
      </c>
      <c r="I18" s="52">
        <f t="shared" si="8"/>
        <v>528370</v>
      </c>
      <c r="J18" s="52">
        <f t="shared" si="8"/>
        <v>498837</v>
      </c>
      <c r="K18" s="34"/>
    </row>
    <row r="19" spans="1:11" ht="40.200000000000003" customHeight="1" x14ac:dyDescent="0.3">
      <c r="A19" s="53" t="s">
        <v>31</v>
      </c>
      <c r="B19" s="54" t="s">
        <v>32</v>
      </c>
      <c r="C19" s="45">
        <v>12151</v>
      </c>
      <c r="D19" s="45">
        <v>0</v>
      </c>
      <c r="E19" s="45">
        <v>21154</v>
      </c>
      <c r="F19" s="45">
        <v>0</v>
      </c>
      <c r="G19" s="45">
        <v>27532</v>
      </c>
      <c r="H19" s="45">
        <v>0</v>
      </c>
      <c r="I19" s="45">
        <v>54750</v>
      </c>
      <c r="J19" s="45">
        <v>0</v>
      </c>
      <c r="K19" s="34"/>
    </row>
    <row r="20" spans="1:11" ht="40.200000000000003" customHeight="1" x14ac:dyDescent="0.3">
      <c r="A20" s="53" t="s">
        <v>19</v>
      </c>
      <c r="B20" s="54" t="s">
        <v>33</v>
      </c>
      <c r="C20" s="45">
        <v>131251</v>
      </c>
      <c r="D20" s="45">
        <v>137350</v>
      </c>
      <c r="E20" s="45">
        <v>243231</v>
      </c>
      <c r="F20" s="45">
        <v>257017</v>
      </c>
      <c r="G20" s="45">
        <v>352942</v>
      </c>
      <c r="H20" s="45">
        <v>373037</v>
      </c>
      <c r="I20" s="45">
        <v>473620</v>
      </c>
      <c r="J20" s="45">
        <v>498837</v>
      </c>
      <c r="K20" s="34"/>
    </row>
    <row r="21" spans="1:11" ht="40.200000000000003" customHeight="1" x14ac:dyDescent="0.3">
      <c r="A21" s="50" t="s">
        <v>34</v>
      </c>
      <c r="B21" s="51" t="s">
        <v>35</v>
      </c>
      <c r="C21" s="52">
        <v>17371</v>
      </c>
      <c r="D21" s="52">
        <v>17371</v>
      </c>
      <c r="E21" s="52">
        <v>23976</v>
      </c>
      <c r="F21" s="52">
        <v>23976</v>
      </c>
      <c r="G21" s="52">
        <v>39592</v>
      </c>
      <c r="H21" s="52">
        <v>39592</v>
      </c>
      <c r="I21" s="52">
        <v>56449</v>
      </c>
      <c r="J21" s="52">
        <v>56449</v>
      </c>
      <c r="K21" s="34"/>
    </row>
    <row r="22" spans="1:11" s="39" customFormat="1" ht="40.200000000000003" customHeight="1" x14ac:dyDescent="0.3">
      <c r="A22" s="55" t="s">
        <v>36</v>
      </c>
      <c r="B22" s="41" t="s">
        <v>37</v>
      </c>
      <c r="C22" s="42">
        <f t="shared" ref="C22:D22" si="9">C23+C27+C28+C31</f>
        <v>62007</v>
      </c>
      <c r="D22" s="42">
        <f t="shared" si="9"/>
        <v>101967</v>
      </c>
      <c r="E22" s="42">
        <f>E23+E27+E28+E31</f>
        <v>135607</v>
      </c>
      <c r="F22" s="42">
        <f>F23+F27+F28+F31</f>
        <v>199657</v>
      </c>
      <c r="G22" s="42">
        <f t="shared" ref="G22:J22" si="10">G23+G27+G28+G31</f>
        <v>191939</v>
      </c>
      <c r="H22" s="42">
        <f t="shared" si="10"/>
        <v>311895</v>
      </c>
      <c r="I22" s="42">
        <f t="shared" si="10"/>
        <v>341854</v>
      </c>
      <c r="J22" s="42">
        <f t="shared" si="10"/>
        <v>516111</v>
      </c>
      <c r="K22" s="38"/>
    </row>
    <row r="23" spans="1:11" s="39" customFormat="1" ht="40.200000000000003" customHeight="1" x14ac:dyDescent="0.3">
      <c r="A23" s="56" t="s">
        <v>38</v>
      </c>
      <c r="B23" s="57" t="s">
        <v>39</v>
      </c>
      <c r="C23" s="42">
        <f t="shared" ref="C23:D23" si="11">C24+C25+C26</f>
        <v>18352</v>
      </c>
      <c r="D23" s="42">
        <f t="shared" si="11"/>
        <v>18352</v>
      </c>
      <c r="E23" s="42">
        <f>E24+E25+E26</f>
        <v>41931</v>
      </c>
      <c r="F23" s="42">
        <f>F24+F25+F26</f>
        <v>41931</v>
      </c>
      <c r="G23" s="42">
        <f t="shared" ref="G23:J23" si="12">G24+G25+G26</f>
        <v>70289</v>
      </c>
      <c r="H23" s="42">
        <f t="shared" si="12"/>
        <v>70289</v>
      </c>
      <c r="I23" s="42">
        <f t="shared" si="12"/>
        <v>181296</v>
      </c>
      <c r="J23" s="42">
        <f t="shared" si="12"/>
        <v>181296</v>
      </c>
      <c r="K23" s="38"/>
    </row>
    <row r="24" spans="1:11" ht="40.200000000000003" customHeight="1" x14ac:dyDescent="0.3">
      <c r="A24" s="58" t="s">
        <v>40</v>
      </c>
      <c r="B24" s="59" t="s">
        <v>41</v>
      </c>
      <c r="C24" s="45">
        <v>0</v>
      </c>
      <c r="D24" s="45">
        <v>0</v>
      </c>
      <c r="E24" s="45">
        <v>7031</v>
      </c>
      <c r="F24" s="45">
        <v>7031</v>
      </c>
      <c r="G24" s="45">
        <v>7031</v>
      </c>
      <c r="H24" s="45">
        <v>7031</v>
      </c>
      <c r="I24" s="45">
        <v>59601</v>
      </c>
      <c r="J24" s="45">
        <v>59601</v>
      </c>
      <c r="K24" s="34"/>
    </row>
    <row r="25" spans="1:11" ht="40.200000000000003" customHeight="1" x14ac:dyDescent="0.3">
      <c r="A25" s="58" t="s">
        <v>42</v>
      </c>
      <c r="B25" s="59" t="s">
        <v>43</v>
      </c>
      <c r="C25" s="45">
        <v>13335</v>
      </c>
      <c r="D25" s="45">
        <v>13335</v>
      </c>
      <c r="E25" s="45">
        <v>26887</v>
      </c>
      <c r="F25" s="45">
        <v>26887</v>
      </c>
      <c r="G25" s="45">
        <v>49949</v>
      </c>
      <c r="H25" s="45">
        <v>49949</v>
      </c>
      <c r="I25" s="45">
        <v>96805</v>
      </c>
      <c r="J25" s="45">
        <v>96805</v>
      </c>
      <c r="K25" s="34"/>
    </row>
    <row r="26" spans="1:11" ht="40.200000000000003" customHeight="1" x14ac:dyDescent="0.3">
      <c r="A26" s="58" t="s">
        <v>19</v>
      </c>
      <c r="B26" s="59" t="s">
        <v>44</v>
      </c>
      <c r="C26" s="45">
        <v>5017</v>
      </c>
      <c r="D26" s="45">
        <v>5017</v>
      </c>
      <c r="E26" s="45">
        <v>8013</v>
      </c>
      <c r="F26" s="45">
        <v>8013</v>
      </c>
      <c r="G26" s="45">
        <v>13309</v>
      </c>
      <c r="H26" s="45">
        <v>13309</v>
      </c>
      <c r="I26" s="45">
        <v>24890</v>
      </c>
      <c r="J26" s="45">
        <v>24890</v>
      </c>
      <c r="K26" s="34"/>
    </row>
    <row r="27" spans="1:11" s="39" customFormat="1" ht="40.200000000000003" customHeight="1" x14ac:dyDescent="0.3">
      <c r="A27" s="56" t="s">
        <v>45</v>
      </c>
      <c r="B27" s="57" t="s">
        <v>46</v>
      </c>
      <c r="C27" s="42">
        <v>2114</v>
      </c>
      <c r="D27" s="42">
        <v>2114</v>
      </c>
      <c r="E27" s="42">
        <v>4071</v>
      </c>
      <c r="F27" s="42">
        <v>4071</v>
      </c>
      <c r="G27" s="42">
        <v>6059</v>
      </c>
      <c r="H27" s="42">
        <v>6059</v>
      </c>
      <c r="I27" s="42">
        <v>9004</v>
      </c>
      <c r="J27" s="42">
        <v>9004</v>
      </c>
      <c r="K27" s="38"/>
    </row>
    <row r="28" spans="1:11" s="39" customFormat="1" ht="40.200000000000003" customHeight="1" x14ac:dyDescent="0.3">
      <c r="A28" s="56" t="s">
        <v>47</v>
      </c>
      <c r="B28" s="57" t="s">
        <v>48</v>
      </c>
      <c r="C28" s="42">
        <f t="shared" ref="C28:D28" si="13">C29+C30</f>
        <v>41167</v>
      </c>
      <c r="D28" s="42">
        <f t="shared" si="13"/>
        <v>81127</v>
      </c>
      <c r="E28" s="42">
        <f>E29+E30</f>
        <v>89025</v>
      </c>
      <c r="F28" s="42">
        <f>F29+F30</f>
        <v>153074</v>
      </c>
      <c r="G28" s="42">
        <f t="shared" ref="G28:J28" si="14">G29+G30</f>
        <v>114784</v>
      </c>
      <c r="H28" s="42">
        <f t="shared" si="14"/>
        <v>234740</v>
      </c>
      <c r="I28" s="42">
        <f t="shared" si="14"/>
        <v>150473</v>
      </c>
      <c r="J28" s="42">
        <f t="shared" si="14"/>
        <v>324730</v>
      </c>
      <c r="K28" s="38"/>
    </row>
    <row r="29" spans="1:11" ht="40.200000000000003" customHeight="1" x14ac:dyDescent="0.3">
      <c r="A29" s="58" t="s">
        <v>49</v>
      </c>
      <c r="B29" s="59" t="s">
        <v>50</v>
      </c>
      <c r="C29" s="45">
        <v>34000</v>
      </c>
      <c r="D29" s="45">
        <v>0</v>
      </c>
      <c r="E29" s="45">
        <v>73799</v>
      </c>
      <c r="F29" s="45">
        <v>0</v>
      </c>
      <c r="G29" s="45">
        <v>90499</v>
      </c>
      <c r="H29" s="45">
        <v>0</v>
      </c>
      <c r="I29" s="45">
        <v>119999</v>
      </c>
      <c r="J29" s="45">
        <v>0</v>
      </c>
      <c r="K29" s="34"/>
    </row>
    <row r="30" spans="1:11" ht="40.200000000000003" customHeight="1" x14ac:dyDescent="0.3">
      <c r="A30" s="58" t="s">
        <v>19</v>
      </c>
      <c r="B30" s="59" t="s">
        <v>51</v>
      </c>
      <c r="C30" s="45">
        <v>7167</v>
      </c>
      <c r="D30" s="45">
        <v>81127</v>
      </c>
      <c r="E30" s="45">
        <v>15226</v>
      </c>
      <c r="F30" s="45">
        <v>153074</v>
      </c>
      <c r="G30" s="45">
        <v>24285</v>
      </c>
      <c r="H30" s="45">
        <v>234740</v>
      </c>
      <c r="I30" s="45">
        <v>30474</v>
      </c>
      <c r="J30" s="45">
        <v>324730</v>
      </c>
      <c r="K30" s="34"/>
    </row>
    <row r="31" spans="1:11" s="39" customFormat="1" ht="40.200000000000003" customHeight="1" x14ac:dyDescent="0.3">
      <c r="A31" s="56" t="s">
        <v>52</v>
      </c>
      <c r="B31" s="60" t="s">
        <v>53</v>
      </c>
      <c r="C31" s="42">
        <v>374</v>
      </c>
      <c r="D31" s="42">
        <v>374</v>
      </c>
      <c r="E31" s="42">
        <v>580</v>
      </c>
      <c r="F31" s="42">
        <v>581</v>
      </c>
      <c r="G31" s="42">
        <v>807</v>
      </c>
      <c r="H31" s="42">
        <v>807</v>
      </c>
      <c r="I31" s="42">
        <v>1081</v>
      </c>
      <c r="J31" s="42">
        <v>1081</v>
      </c>
      <c r="K31" s="38"/>
    </row>
    <row r="32" spans="1:11" s="39" customFormat="1" ht="40.200000000000003" customHeight="1" x14ac:dyDescent="0.3">
      <c r="A32" s="40" t="s">
        <v>54</v>
      </c>
      <c r="B32" s="41" t="s">
        <v>55</v>
      </c>
      <c r="C32" s="42">
        <f t="shared" ref="C32:D32" si="15">C33+C34</f>
        <v>25282</v>
      </c>
      <c r="D32" s="42">
        <f t="shared" si="15"/>
        <v>25421</v>
      </c>
      <c r="E32" s="42">
        <f>E33+E34</f>
        <v>52164</v>
      </c>
      <c r="F32" s="42">
        <f>F33+F34</f>
        <v>53050</v>
      </c>
      <c r="G32" s="42">
        <f t="shared" ref="G32:J32" si="16">G33+G34</f>
        <v>79681</v>
      </c>
      <c r="H32" s="42">
        <f t="shared" si="16"/>
        <v>80766</v>
      </c>
      <c r="I32" s="42">
        <f t="shared" si="16"/>
        <v>113416</v>
      </c>
      <c r="J32" s="42">
        <f t="shared" si="16"/>
        <v>115084</v>
      </c>
      <c r="K32" s="38"/>
    </row>
    <row r="33" spans="1:11" ht="40.200000000000003" customHeight="1" x14ac:dyDescent="0.3">
      <c r="A33" s="43" t="s">
        <v>56</v>
      </c>
      <c r="B33" s="44" t="s">
        <v>57</v>
      </c>
      <c r="C33" s="45">
        <v>22302</v>
      </c>
      <c r="D33" s="45">
        <v>22302</v>
      </c>
      <c r="E33" s="45">
        <v>43281</v>
      </c>
      <c r="F33" s="45">
        <v>43281</v>
      </c>
      <c r="G33" s="45">
        <v>65548</v>
      </c>
      <c r="H33" s="45">
        <v>65548</v>
      </c>
      <c r="I33" s="45">
        <v>89708</v>
      </c>
      <c r="J33" s="45">
        <v>89708</v>
      </c>
      <c r="K33" s="34"/>
    </row>
    <row r="34" spans="1:11" ht="40.200000000000003" customHeight="1" x14ac:dyDescent="0.3">
      <c r="A34" s="43" t="s">
        <v>19</v>
      </c>
      <c r="B34" s="44" t="s">
        <v>58</v>
      </c>
      <c r="C34" s="45">
        <v>2980</v>
      </c>
      <c r="D34" s="45">
        <v>3119</v>
      </c>
      <c r="E34" s="45">
        <v>8883</v>
      </c>
      <c r="F34" s="45">
        <v>9769</v>
      </c>
      <c r="G34" s="45">
        <v>14133</v>
      </c>
      <c r="H34" s="45">
        <v>15218</v>
      </c>
      <c r="I34" s="45">
        <v>23708</v>
      </c>
      <c r="J34" s="45">
        <v>25376</v>
      </c>
      <c r="K34" s="34"/>
    </row>
    <row r="35" spans="1:11" s="39" customFormat="1" ht="40.200000000000003" customHeight="1" x14ac:dyDescent="0.3">
      <c r="A35" s="40" t="s">
        <v>59</v>
      </c>
      <c r="B35" s="61" t="s">
        <v>60</v>
      </c>
      <c r="C35" s="42">
        <f t="shared" ref="C35:D35" si="17">C36+C37</f>
        <v>37746</v>
      </c>
      <c r="D35" s="42">
        <f t="shared" si="17"/>
        <v>37746</v>
      </c>
      <c r="E35" s="42">
        <f>E36+E37</f>
        <v>92965</v>
      </c>
      <c r="F35" s="42">
        <f>F36+F37</f>
        <v>92965</v>
      </c>
      <c r="G35" s="42">
        <f t="shared" ref="G35:J35" si="18">G36+G37</f>
        <v>155165</v>
      </c>
      <c r="H35" s="42">
        <f t="shared" si="18"/>
        <v>155165</v>
      </c>
      <c r="I35" s="42">
        <f t="shared" si="18"/>
        <v>318223</v>
      </c>
      <c r="J35" s="42">
        <f t="shared" si="18"/>
        <v>318223</v>
      </c>
    </row>
    <row r="36" spans="1:11" ht="40.200000000000003" customHeight="1" x14ac:dyDescent="0.3">
      <c r="A36" s="43" t="s">
        <v>61</v>
      </c>
      <c r="B36" s="44" t="s">
        <v>62</v>
      </c>
      <c r="C36" s="45">
        <v>34610</v>
      </c>
      <c r="D36" s="45">
        <v>34610</v>
      </c>
      <c r="E36" s="45">
        <v>84051</v>
      </c>
      <c r="F36" s="45">
        <v>84051</v>
      </c>
      <c r="G36" s="45">
        <v>141274</v>
      </c>
      <c r="H36" s="45">
        <v>141274</v>
      </c>
      <c r="I36" s="45">
        <v>217170</v>
      </c>
      <c r="J36" s="45">
        <v>217170</v>
      </c>
    </row>
    <row r="37" spans="1:11" ht="40.200000000000003" customHeight="1" x14ac:dyDescent="0.3">
      <c r="A37" s="62" t="s">
        <v>19</v>
      </c>
      <c r="B37" s="63" t="s">
        <v>63</v>
      </c>
      <c r="C37" s="64">
        <v>3136</v>
      </c>
      <c r="D37" s="64">
        <v>3136</v>
      </c>
      <c r="E37" s="64">
        <v>8914</v>
      </c>
      <c r="F37" s="64">
        <v>8914</v>
      </c>
      <c r="G37" s="64">
        <v>13891</v>
      </c>
      <c r="H37" s="64">
        <v>13891</v>
      </c>
      <c r="I37" s="64">
        <v>101053</v>
      </c>
      <c r="J37" s="64">
        <v>101053</v>
      </c>
    </row>
    <row r="38" spans="1:11" ht="21.9" customHeight="1" x14ac:dyDescent="0.3">
      <c r="A38" s="65" t="s">
        <v>64</v>
      </c>
      <c r="B38" s="66" t="s">
        <v>65</v>
      </c>
    </row>
    <row r="39" spans="1:11" ht="77.25" customHeight="1" x14ac:dyDescent="0.3">
      <c r="A39" s="68" t="s">
        <v>66</v>
      </c>
      <c r="B39" s="69" t="s">
        <v>67</v>
      </c>
    </row>
    <row r="40" spans="1:11" ht="60" customHeight="1" x14ac:dyDescent="0.3">
      <c r="A40" s="68" t="s">
        <v>68</v>
      </c>
      <c r="B40" s="70" t="s">
        <v>69</v>
      </c>
      <c r="C40" s="70"/>
    </row>
    <row r="41" spans="1:11" ht="21.9" customHeight="1" x14ac:dyDescent="0.3">
      <c r="B41" s="71"/>
      <c r="C41" s="71"/>
      <c r="D41" s="71"/>
      <c r="E41" s="71"/>
      <c r="F41" s="71"/>
      <c r="G41" s="67"/>
    </row>
    <row r="42" spans="1:11" ht="21.9" customHeight="1" x14ac:dyDescent="0.3"/>
    <row r="43" spans="1:11" ht="21.9" customHeight="1" x14ac:dyDescent="0.3"/>
    <row r="44" spans="1:11" ht="21.9" customHeight="1" x14ac:dyDescent="0.3"/>
    <row r="45" spans="1:11" ht="21.9" customHeight="1" x14ac:dyDescent="0.3"/>
    <row r="46" spans="1:11" ht="21.9" customHeight="1" x14ac:dyDescent="0.3"/>
    <row r="47" spans="1:11" ht="21.9" customHeight="1" x14ac:dyDescent="0.3"/>
    <row r="48" spans="1:11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</sheetData>
  <mergeCells count="8">
    <mergeCell ref="B40:C40"/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5" orientation="landscape" horizontalDpi="4294967295" verticalDpi="4294967295" r:id="rId1"/>
  <headerFooter alignWithMargins="0"/>
  <rowBreaks count="1" manualBreakCount="1">
    <brk id="37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Expenditures 2021-2022</vt:lpstr>
      <vt:lpstr>'Expenditures 2021-2022'!Print_Area</vt:lpstr>
      <vt:lpstr>'Expenditures 2021-2022'!Print_Titles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Hanaa Kamal</dc:creator>
  <cp:lastModifiedBy>Hanaa Kamal</cp:lastModifiedBy>
  <dcterms:created xsi:type="dcterms:W3CDTF">2015-06-05T18:17:20Z</dcterms:created>
  <dcterms:modified xsi:type="dcterms:W3CDTF">2024-07-03T07:48:00Z</dcterms:modified>
</cp:coreProperties>
</file>