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D6165568-ABF2-477A-8368-10C8F1C091B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2" sheetId="2" r:id="rId1"/>
  </sheets>
  <definedNames>
    <definedName name="_xlnm.Print_Area" localSheetId="0">Sheet2!$A$1:$X$34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/>
  <c r="E7" i="2"/>
  <c r="F7" i="2"/>
  <c r="G7" i="2"/>
  <c r="H7" i="2"/>
  <c r="I7" i="2"/>
  <c r="J7" i="2"/>
  <c r="K7" i="2"/>
  <c r="L7" i="2"/>
  <c r="M7" i="2"/>
  <c r="N7" i="2"/>
  <c r="C7" i="2"/>
</calcChain>
</file>

<file path=xl/sharedStrings.xml><?xml version="1.0" encoding="utf-8"?>
<sst xmlns="http://schemas.openxmlformats.org/spreadsheetml/2006/main" count="62" uniqueCount="50">
  <si>
    <t xml:space="preserve">فى آخر    </t>
  </si>
  <si>
    <t xml:space="preserve">End of       </t>
  </si>
  <si>
    <t>June</t>
  </si>
  <si>
    <t>الدين قصير الأجل</t>
  </si>
  <si>
    <t>القروض</t>
  </si>
  <si>
    <t xml:space="preserve">            Loans</t>
  </si>
  <si>
    <t xml:space="preserve">     القروض</t>
  </si>
  <si>
    <t xml:space="preserve">   Loans</t>
  </si>
  <si>
    <t xml:space="preserve"> Currency and deposits     </t>
  </si>
  <si>
    <t>البنوك</t>
  </si>
  <si>
    <t xml:space="preserve">  Banks</t>
  </si>
  <si>
    <t>Loans</t>
  </si>
  <si>
    <t xml:space="preserve">     العملة والودائع</t>
  </si>
  <si>
    <t xml:space="preserve">Currency and Deposits     </t>
  </si>
  <si>
    <t>القطاعات الأخرى</t>
  </si>
  <si>
    <t xml:space="preserve"> Other Sectors</t>
  </si>
  <si>
    <t>External Debt by Debtor</t>
  </si>
  <si>
    <t>الدين طويل الأجل</t>
  </si>
  <si>
    <t>البنك المركزي</t>
  </si>
  <si>
    <t>Central Bank</t>
  </si>
  <si>
    <t xml:space="preserve">الدين طويل الأجل  </t>
  </si>
  <si>
    <t>الدين طويل الأجل (قروض)</t>
  </si>
  <si>
    <t xml:space="preserve">الدين قصير الأجل </t>
  </si>
  <si>
    <t>الدين قصير الأجل (تسهيلات تجارية وسلفيات)</t>
  </si>
  <si>
    <t>العملة والودائع</t>
  </si>
  <si>
    <t>إجمالى الدين الخارجى</t>
  </si>
  <si>
    <t xml:space="preserve">Total External Debt </t>
  </si>
  <si>
    <t xml:space="preserve"> الحكومة</t>
  </si>
  <si>
    <t xml:space="preserve"> Government </t>
  </si>
  <si>
    <t xml:space="preserve"> Short-term Debt (Loans) </t>
  </si>
  <si>
    <t>الدين قصير الأجل ( القروض )</t>
  </si>
  <si>
    <t xml:space="preserve">    حقوق السحب الخاصة**</t>
  </si>
  <si>
    <r>
      <t xml:space="preserve">2009 </t>
    </r>
    <r>
      <rPr>
        <vertAlign val="superscript"/>
        <sz val="10"/>
        <color indexed="17"/>
        <rFont val="Arial"/>
        <family val="2"/>
      </rPr>
      <t>#</t>
    </r>
  </si>
  <si>
    <r>
      <t xml:space="preserve">Special Drawing Rights </t>
    </r>
    <r>
      <rPr>
        <vertAlign val="superscript"/>
        <sz val="10"/>
        <rFont val="Arial"/>
        <family val="2"/>
      </rPr>
      <t>**</t>
    </r>
  </si>
  <si>
    <t xml:space="preserve">  Long-term Debt </t>
  </si>
  <si>
    <t xml:space="preserve"> Short-term Debt  </t>
  </si>
  <si>
    <t xml:space="preserve"> Long-term Debt</t>
  </si>
  <si>
    <t>Short-term Debt</t>
  </si>
  <si>
    <t xml:space="preserve">  Long-term  Debt (Loans) </t>
  </si>
  <si>
    <t xml:space="preserve"> Short-term  Debt</t>
  </si>
  <si>
    <t xml:space="preserve"> Short-term  Debt (Trade Credit and Advances)</t>
  </si>
  <si>
    <t xml:space="preserve">           Debt securities</t>
  </si>
  <si>
    <t xml:space="preserve">    سندات الدين</t>
  </si>
  <si>
    <t xml:space="preserve">  Long-term  Debt</t>
  </si>
  <si>
    <t xml:space="preserve">الدين طويل الأجل </t>
  </si>
  <si>
    <t>** Representing the equivalent of SDRs allocated to Egypt by the IMF.</t>
  </si>
  <si>
    <t xml:space="preserve">                                                                                      </t>
  </si>
  <si>
    <t xml:space="preserve"> (US$ mn)</t>
  </si>
  <si>
    <t xml:space="preserve"> Debt securities</t>
  </si>
  <si>
    <t xml:space="preserve"> سندات 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</si>
</sst>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_-;_-* #,##0.00\-;_-* &quot;-&quot;??_-;_-@_-"/>
    <numFmt numFmtId="169" formatCode="0.0"/>
    <numFmt numFmtId="170" formatCode="0.000"/>
    <numFmt numFmtId="171" formatCode="_-[$€]* #,##0.00_-;\-[$€]* #,##0.00_-;_-[$€]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6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  <charset val="178"/>
    </font>
    <font>
      <sz val="10"/>
      <color indexed="17"/>
      <name val="Arial"/>
      <family val="2"/>
    </font>
    <font>
      <vertAlign val="superscript"/>
      <sz val="10"/>
      <color indexed="17"/>
      <name val="Arial"/>
      <family val="2"/>
    </font>
    <font>
      <vertAlign val="superscript"/>
      <sz val="10"/>
      <name val="Arial"/>
      <family val="2"/>
    </font>
    <font>
      <b/>
      <sz val="10"/>
      <color indexed="6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3" fillId="0" borderId="0"/>
    <xf numFmtId="0" fontId="5" fillId="0" borderId="0" applyNumberFormat="0">
      <alignment horizontal="right"/>
    </xf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1" fillId="0" borderId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1" applyFont="1" applyFill="1" applyBorder="1" applyAlignment="1">
      <alignment horizontal="left" vertical="center" indent="1" readingOrder="1"/>
    </xf>
    <xf numFmtId="170" fontId="4" fillId="0" borderId="0" xfId="0" applyNumberFormat="1" applyFont="1" applyBorder="1" applyAlignment="1">
      <alignment horizontal="left" vertical="center" wrapText="1" indent="1"/>
    </xf>
    <xf numFmtId="0" fontId="1" fillId="0" borderId="0" xfId="0" applyFont="1" applyFill="1" applyAlignment="1"/>
    <xf numFmtId="0" fontId="4" fillId="0" borderId="0" xfId="1" applyFont="1" applyFill="1" applyBorder="1" applyAlignment="1">
      <alignment horizontal="left" vertical="center" indent="1" readingOrder="1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4" fillId="0" borderId="0" xfId="0" applyFont="1" applyFill="1" applyBorder="1" applyAlignment="1">
      <alignment readingOrder="1"/>
    </xf>
    <xf numFmtId="0" fontId="8" fillId="0" borderId="0" xfId="0" applyFont="1"/>
    <xf numFmtId="0" fontId="9" fillId="0" borderId="0" xfId="0" applyFont="1"/>
    <xf numFmtId="170" fontId="1" fillId="0" borderId="0" xfId="0" applyNumberFormat="1" applyFont="1" applyBorder="1" applyAlignment="1">
      <alignment horizontal="left" vertical="center" wrapText="1" indent="1"/>
    </xf>
    <xf numFmtId="169" fontId="4" fillId="0" borderId="0" xfId="0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readingOrder="1"/>
    </xf>
    <xf numFmtId="169" fontId="4" fillId="0" borderId="0" xfId="0" applyNumberFormat="1" applyFont="1" applyFill="1" applyBorder="1" applyAlignment="1">
      <alignment readingOrder="1"/>
    </xf>
    <xf numFmtId="0" fontId="4" fillId="0" borderId="0" xfId="0" applyFont="1" applyFill="1" applyAlignment="1">
      <alignment readingOrder="1"/>
    </xf>
    <xf numFmtId="0" fontId="10" fillId="0" borderId="0" xfId="0" applyFont="1" applyFill="1"/>
    <xf numFmtId="0" fontId="4" fillId="0" borderId="0" xfId="0" applyFont="1" applyFill="1" applyAlignment="1">
      <alignment horizontal="center"/>
    </xf>
    <xf numFmtId="169" fontId="4" fillId="0" borderId="0" xfId="0" applyNumberFormat="1" applyFont="1" applyFill="1" applyBorder="1" applyAlignment="1">
      <alignment vertical="center" readingOrder="1"/>
    </xf>
    <xf numFmtId="170" fontId="4" fillId="0" borderId="0" xfId="0" applyNumberFormat="1" applyFont="1" applyFill="1" applyAlignment="1">
      <alignment wrapText="1"/>
    </xf>
    <xf numFmtId="170" fontId="4" fillId="0" borderId="0" xfId="0" applyNumberFormat="1" applyFont="1" applyFill="1" applyAlignment="1">
      <alignment horizontal="left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right" readingOrder="1"/>
    </xf>
    <xf numFmtId="0" fontId="12" fillId="3" borderId="6" xfId="1" applyFont="1" applyFill="1" applyBorder="1" applyAlignment="1">
      <alignment horizontal="center" vertical="center" readingOrder="1"/>
    </xf>
    <xf numFmtId="169" fontId="2" fillId="0" borderId="3" xfId="0" applyNumberFormat="1" applyFont="1" applyFill="1" applyBorder="1" applyAlignment="1">
      <alignment horizontal="right" vertical="center" indent="1" readingOrder="2"/>
    </xf>
    <xf numFmtId="0" fontId="2" fillId="0" borderId="2" xfId="0" applyFont="1" applyFill="1" applyBorder="1" applyAlignment="1">
      <alignment horizontal="left" vertical="center" indent="1"/>
    </xf>
    <xf numFmtId="169" fontId="2" fillId="0" borderId="2" xfId="0" applyNumberFormat="1" applyFont="1" applyFill="1" applyBorder="1" applyAlignment="1">
      <alignment horizontal="center" vertical="center"/>
    </xf>
    <xf numFmtId="169" fontId="2" fillId="0" borderId="7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indent="1"/>
    </xf>
    <xf numFmtId="0" fontId="2" fillId="0" borderId="3" xfId="0" applyFont="1" applyFill="1" applyBorder="1" applyAlignment="1">
      <alignment horizontal="center" vertical="center"/>
    </xf>
    <xf numFmtId="169" fontId="2" fillId="0" borderId="3" xfId="0" applyNumberFormat="1" applyFont="1" applyFill="1" applyBorder="1" applyAlignment="1">
      <alignment horizontal="center" vertical="center"/>
    </xf>
    <xf numFmtId="169" fontId="2" fillId="0" borderId="5" xfId="0" applyNumberFormat="1" applyFont="1" applyFill="1" applyBorder="1" applyAlignment="1">
      <alignment horizontal="center" vertical="center"/>
    </xf>
    <xf numFmtId="169" fontId="1" fillId="0" borderId="3" xfId="0" applyNumberFormat="1" applyFont="1" applyFill="1" applyBorder="1" applyAlignment="1">
      <alignment horizontal="right" vertical="center" indent="4" readingOrder="2"/>
    </xf>
    <xf numFmtId="169" fontId="1" fillId="0" borderId="3" xfId="0" applyNumberFormat="1" applyFont="1" applyFill="1" applyBorder="1" applyAlignment="1">
      <alignment horizontal="left" vertical="center" indent="1" readingOrder="1"/>
    </xf>
    <xf numFmtId="169" fontId="1" fillId="0" borderId="5" xfId="0" applyNumberFormat="1" applyFont="1" applyFill="1" applyBorder="1" applyAlignment="1">
      <alignment horizontal="center" vertical="center"/>
    </xf>
    <xf numFmtId="169" fontId="1" fillId="0" borderId="3" xfId="0" applyNumberFormat="1" applyFont="1" applyFill="1" applyBorder="1" applyAlignment="1">
      <alignment horizontal="center" vertical="center"/>
    </xf>
    <xf numFmtId="169" fontId="1" fillId="0" borderId="3" xfId="0" applyNumberFormat="1" applyFont="1" applyFill="1" applyBorder="1" applyAlignment="1">
      <alignment horizontal="right" vertical="center" indent="6" readingOrder="2"/>
    </xf>
    <xf numFmtId="169" fontId="1" fillId="0" borderId="3" xfId="0" applyNumberFormat="1" applyFont="1" applyFill="1" applyBorder="1" applyAlignment="1">
      <alignment horizontal="left" vertical="center" indent="5" readingOrder="1"/>
    </xf>
    <xf numFmtId="169" fontId="1" fillId="0" borderId="3" xfId="0" applyNumberFormat="1" applyFont="1" applyFill="1" applyBorder="1" applyAlignment="1">
      <alignment horizontal="center" vertical="center" wrapText="1"/>
    </xf>
    <xf numFmtId="169" fontId="1" fillId="0" borderId="3" xfId="0" applyNumberFormat="1" applyFont="1" applyFill="1" applyBorder="1" applyAlignment="1">
      <alignment horizontal="left" vertical="center" indent="5" readingOrder="2"/>
    </xf>
    <xf numFmtId="169" fontId="1" fillId="0" borderId="3" xfId="0" applyNumberFormat="1" applyFont="1" applyFill="1" applyBorder="1" applyAlignment="1">
      <alignment horizontal="left" vertical="center" indent="4" readingOrder="1"/>
    </xf>
    <xf numFmtId="169" fontId="1" fillId="0" borderId="4" xfId="0" applyNumberFormat="1" applyFont="1" applyFill="1" applyBorder="1" applyAlignment="1">
      <alignment horizontal="right" vertical="center" indent="4" readingOrder="2"/>
    </xf>
    <xf numFmtId="169" fontId="1" fillId="0" borderId="4" xfId="0" applyNumberFormat="1" applyFont="1" applyFill="1" applyBorder="1" applyAlignment="1">
      <alignment horizontal="left" vertical="center" indent="1" readingOrder="1"/>
    </xf>
    <xf numFmtId="169" fontId="1" fillId="0" borderId="4" xfId="0" applyNumberFormat="1" applyFont="1" applyFill="1" applyBorder="1" applyAlignment="1">
      <alignment horizontal="center" vertical="center"/>
    </xf>
    <xf numFmtId="169" fontId="1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69" fontId="1" fillId="0" borderId="0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69" fontId="0" fillId="0" borderId="0" xfId="0" applyNumberFormat="1"/>
    <xf numFmtId="169" fontId="15" fillId="0" borderId="3" xfId="0" applyNumberFormat="1" applyFont="1" applyFill="1" applyBorder="1" applyAlignment="1">
      <alignment horizontal="right" vertical="center" indent="1" readingOrder="2"/>
    </xf>
    <xf numFmtId="0" fontId="15" fillId="0" borderId="3" xfId="0" applyFont="1" applyFill="1" applyBorder="1" applyAlignment="1">
      <alignment horizontal="left" vertical="center" indent="1"/>
    </xf>
    <xf numFmtId="0" fontId="15" fillId="0" borderId="3" xfId="0" applyFont="1" applyFill="1" applyBorder="1" applyAlignment="1">
      <alignment horizontal="center" vertical="center"/>
    </xf>
    <xf numFmtId="169" fontId="15" fillId="0" borderId="3" xfId="0" applyNumberFormat="1" applyFont="1" applyFill="1" applyBorder="1" applyAlignment="1">
      <alignment horizontal="center" vertical="center"/>
    </xf>
    <xf numFmtId="169" fontId="15" fillId="0" borderId="5" xfId="0" applyNumberFormat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left" vertical="center" wrapText="1" readingOrder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 readingOrder="1"/>
    </xf>
    <xf numFmtId="0" fontId="7" fillId="2" borderId="0" xfId="1" applyFont="1" applyFill="1" applyBorder="1" applyAlignment="1">
      <alignment horizontal="center" vertical="center" readingOrder="1"/>
    </xf>
    <xf numFmtId="0" fontId="0" fillId="0" borderId="0" xfId="0" applyAlignment="1">
      <alignment horizontal="right"/>
    </xf>
  </cellXfs>
  <cellStyles count="16">
    <cellStyle name="_Book1" xfId="11" xr:uid="{00000000-0005-0000-0000-000000000000}"/>
    <cellStyle name="_الربع الثالث31" xfId="12" xr:uid="{00000000-0005-0000-0000-000001000000}"/>
    <cellStyle name="Comma 2" xfId="15" xr:uid="{00000000-0005-0000-0000-000002000000}"/>
    <cellStyle name="Comma䲠[0]_THESIS_COVER" xfId="13" xr:uid="{00000000-0005-0000-0000-000003000000}"/>
    <cellStyle name="Euro" xfId="14" xr:uid="{00000000-0005-0000-0000-000004000000}"/>
    <cellStyle name="MS_Arabic" xfId="3" xr:uid="{00000000-0005-0000-0000-000005000000}"/>
    <cellStyle name="Normal" xfId="0" builtinId="0"/>
    <cellStyle name="Normal 2" xfId="2" xr:uid="{00000000-0005-0000-0000-000007000000}"/>
    <cellStyle name="Normal_T 25- T20" xfId="1" xr:uid="{00000000-0005-0000-0000-000008000000}"/>
    <cellStyle name="Percent 2" xfId="4" xr:uid="{00000000-0005-0000-0000-000009000000}"/>
    <cellStyle name="Style 1" xfId="10" xr:uid="{00000000-0005-0000-0000-00000A000000}"/>
    <cellStyle name="عادي_30_09_03up" xfId="5" xr:uid="{00000000-0005-0000-0000-00000B000000}"/>
    <cellStyle name="عملة [0]_30_09_03up" xfId="6" xr:uid="{00000000-0005-0000-0000-00000C000000}"/>
    <cellStyle name="عملة_30_09_03up" xfId="7" xr:uid="{00000000-0005-0000-0000-00000D000000}"/>
    <cellStyle name="فاصلة [0]_30_09_03up" xfId="8" xr:uid="{00000000-0005-0000-0000-00000E000000}"/>
    <cellStyle name="فاصلة_30_09_03up" xfId="9" xr:uid="{00000000-0005-0000-0000-00000F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230475" y="330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230475" y="330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12</xdr:col>
      <xdr:colOff>0</xdr:colOff>
      <xdr:row>10</xdr:row>
      <xdr:rowOff>7620</xdr:rowOff>
    </xdr:from>
    <xdr:to>
      <xdr:col>12</xdr:col>
      <xdr:colOff>0</xdr:colOff>
      <xdr:row>10</xdr:row>
      <xdr:rowOff>167640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5230475" y="2617470"/>
          <a:ext cx="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5230475" y="330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12</xdr:col>
      <xdr:colOff>0</xdr:colOff>
      <xdr:row>10</xdr:row>
      <xdr:rowOff>7620</xdr:rowOff>
    </xdr:from>
    <xdr:to>
      <xdr:col>12</xdr:col>
      <xdr:colOff>0</xdr:colOff>
      <xdr:row>10</xdr:row>
      <xdr:rowOff>167640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5230475" y="2617470"/>
          <a:ext cx="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5230475" y="330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5230475" y="330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12</xdr:col>
      <xdr:colOff>0</xdr:colOff>
      <xdr:row>10</xdr:row>
      <xdr:rowOff>7620</xdr:rowOff>
    </xdr:from>
    <xdr:to>
      <xdr:col>12</xdr:col>
      <xdr:colOff>0</xdr:colOff>
      <xdr:row>10</xdr:row>
      <xdr:rowOff>167640</xdr:rowOff>
    </xdr:to>
    <xdr:sp macro="" textlink="">
      <xdr:nvSpPr>
        <xdr:cNvPr id="9" name="Text Box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5230475" y="2617470"/>
          <a:ext cx="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12</xdr:col>
      <xdr:colOff>0</xdr:colOff>
      <xdr:row>15</xdr:row>
      <xdr:rowOff>0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5230475" y="33051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</a:t>
          </a:r>
        </a:p>
      </xdr:txBody>
    </xdr:sp>
    <xdr:clientData/>
  </xdr:twoCellAnchor>
  <xdr:twoCellAnchor>
    <xdr:from>
      <xdr:col>12</xdr:col>
      <xdr:colOff>0</xdr:colOff>
      <xdr:row>10</xdr:row>
      <xdr:rowOff>7620</xdr:rowOff>
    </xdr:from>
    <xdr:to>
      <xdr:col>12</xdr:col>
      <xdr:colOff>0</xdr:colOff>
      <xdr:row>10</xdr:row>
      <xdr:rowOff>167640</xdr:rowOff>
    </xdr:to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5230475" y="2617470"/>
          <a:ext cx="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125"/>
  <sheetViews>
    <sheetView tabSelected="1" view="pageBreakPreview" zoomScaleNormal="100" zoomScaleSheetLayoutView="100" workbookViewId="0">
      <pane xSplit="2" ySplit="6" topLeftCell="Q7" activePane="bottomRight" state="frozen"/>
      <selection pane="topRight" activeCell="C1" sqref="C1"/>
      <selection pane="bottomLeft" activeCell="A7" sqref="A7"/>
      <selection pane="bottomRight" activeCell="A2" sqref="A2:X2"/>
    </sheetView>
  </sheetViews>
  <sheetFormatPr defaultRowHeight="15.75" x14ac:dyDescent="0.25"/>
  <cols>
    <col min="1" max="1" width="43.140625" style="8" customWidth="1"/>
    <col min="2" max="2" width="43.42578125" style="6" customWidth="1"/>
    <col min="3" max="3" width="9.7109375" style="16" hidden="1" customWidth="1"/>
    <col min="4" max="12" width="9.7109375" style="14" hidden="1" customWidth="1"/>
    <col min="13" max="14" width="9.7109375" style="7" hidden="1" customWidth="1"/>
    <col min="15" max="20" width="9.7109375" style="8" hidden="1" customWidth="1"/>
    <col min="21" max="21" width="10.5703125" customWidth="1"/>
    <col min="22" max="22" width="10.5703125" style="44" customWidth="1"/>
    <col min="23" max="24" width="11.42578125" style="44" bestFit="1" customWidth="1"/>
  </cols>
  <sheetData>
    <row r="2" spans="1:25" ht="18" x14ac:dyDescent="0.25">
      <c r="A2" s="64" t="s">
        <v>16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</row>
    <row r="3" spans="1:25" ht="15" x14ac:dyDescent="0.25">
      <c r="A3" s="46" t="s">
        <v>46</v>
      </c>
      <c r="B3" s="47"/>
      <c r="C3" s="66" t="s">
        <v>47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spans="1:25" ht="14.25" customHeight="1" x14ac:dyDescent="0.25">
      <c r="A4" s="55" t="s">
        <v>0</v>
      </c>
      <c r="B4" s="55" t="s">
        <v>1</v>
      </c>
      <c r="C4" s="58" t="s">
        <v>2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60"/>
    </row>
    <row r="5" spans="1:25" ht="14.25" customHeight="1" x14ac:dyDescent="0.25">
      <c r="A5" s="56"/>
      <c r="B5" s="56"/>
      <c r="C5" s="61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3"/>
    </row>
    <row r="6" spans="1:25" ht="15" x14ac:dyDescent="0.25">
      <c r="A6" s="57"/>
      <c r="B6" s="57"/>
      <c r="C6" s="22">
        <v>2004</v>
      </c>
      <c r="D6" s="22">
        <v>2005</v>
      </c>
      <c r="E6" s="22">
        <v>2006</v>
      </c>
      <c r="F6" s="22">
        <v>2007</v>
      </c>
      <c r="G6" s="22">
        <v>2008</v>
      </c>
      <c r="H6" s="22" t="s">
        <v>32</v>
      </c>
      <c r="I6" s="22">
        <v>2010</v>
      </c>
      <c r="J6" s="22">
        <v>2011</v>
      </c>
      <c r="K6" s="22">
        <v>2012</v>
      </c>
      <c r="L6" s="22">
        <v>2013</v>
      </c>
      <c r="M6" s="22">
        <v>2014</v>
      </c>
      <c r="N6" s="22">
        <v>2015</v>
      </c>
      <c r="O6" s="22">
        <v>2016</v>
      </c>
      <c r="P6" s="22">
        <v>2017</v>
      </c>
      <c r="Q6" s="22">
        <v>2018</v>
      </c>
      <c r="R6" s="22">
        <v>2019</v>
      </c>
      <c r="S6" s="22">
        <v>2020</v>
      </c>
      <c r="T6" s="22">
        <v>2021</v>
      </c>
      <c r="U6" s="22">
        <v>2022</v>
      </c>
      <c r="V6" s="22">
        <v>2023</v>
      </c>
      <c r="W6" s="22">
        <v>2024</v>
      </c>
      <c r="X6" s="22">
        <v>2025</v>
      </c>
    </row>
    <row r="7" spans="1:25" ht="15" x14ac:dyDescent="0.25">
      <c r="A7" s="23" t="s">
        <v>25</v>
      </c>
      <c r="B7" s="24" t="s">
        <v>26</v>
      </c>
      <c r="C7" s="25">
        <f t="shared" ref="C7:N7" si="0">+C10+C16+C24+C31</f>
        <v>29871.8</v>
      </c>
      <c r="D7" s="25">
        <f t="shared" si="0"/>
        <v>28948.799999999999</v>
      </c>
      <c r="E7" s="25">
        <f t="shared" si="0"/>
        <v>29592.600000000002</v>
      </c>
      <c r="F7" s="25">
        <f t="shared" si="0"/>
        <v>29898</v>
      </c>
      <c r="G7" s="25">
        <f t="shared" si="0"/>
        <v>33892.799999999996</v>
      </c>
      <c r="H7" s="25">
        <f t="shared" si="0"/>
        <v>31531.1</v>
      </c>
      <c r="I7" s="25">
        <f t="shared" si="0"/>
        <v>33694.200000000004</v>
      </c>
      <c r="J7" s="25">
        <f t="shared" si="0"/>
        <v>34905.699999999997</v>
      </c>
      <c r="K7" s="25">
        <f t="shared" si="0"/>
        <v>34384.5</v>
      </c>
      <c r="L7" s="25">
        <f t="shared" si="0"/>
        <v>43233.4</v>
      </c>
      <c r="M7" s="25">
        <f t="shared" si="0"/>
        <v>46067.100000000006</v>
      </c>
      <c r="N7" s="25">
        <f t="shared" si="0"/>
        <v>48062.9</v>
      </c>
      <c r="O7" s="25">
        <v>55764.4</v>
      </c>
      <c r="P7" s="25">
        <v>79032.800000000003</v>
      </c>
      <c r="Q7" s="25">
        <v>92643.9</v>
      </c>
      <c r="R7" s="25">
        <v>108699.1</v>
      </c>
      <c r="S7" s="25">
        <v>123490.5</v>
      </c>
      <c r="T7" s="26">
        <v>137859.6</v>
      </c>
      <c r="U7" s="25">
        <v>155708.9</v>
      </c>
      <c r="V7" s="25">
        <v>164727.6</v>
      </c>
      <c r="W7" s="25">
        <v>152885.19999999998</v>
      </c>
      <c r="X7" s="25">
        <v>161230.1</v>
      </c>
      <c r="Y7" s="48"/>
    </row>
    <row r="8" spans="1:25" ht="20.25" customHeight="1" x14ac:dyDescent="0.25">
      <c r="A8" s="23" t="s">
        <v>17</v>
      </c>
      <c r="B8" s="27" t="s">
        <v>34</v>
      </c>
      <c r="C8" s="28">
        <v>27904.3</v>
      </c>
      <c r="D8" s="29">
        <v>27094</v>
      </c>
      <c r="E8" s="29">
        <v>27959.599999999999</v>
      </c>
      <c r="F8" s="29">
        <v>28448.5</v>
      </c>
      <c r="G8" s="29">
        <v>31373.5</v>
      </c>
      <c r="H8" s="29">
        <v>29407.099999999995</v>
      </c>
      <c r="I8" s="29">
        <v>30739.4</v>
      </c>
      <c r="J8" s="29">
        <v>32148.2</v>
      </c>
      <c r="K8" s="29">
        <v>31482.6</v>
      </c>
      <c r="L8" s="29">
        <v>36187.300000000003</v>
      </c>
      <c r="M8" s="29">
        <v>42416.1</v>
      </c>
      <c r="N8" s="29">
        <v>45487.6</v>
      </c>
      <c r="O8" s="29">
        <v>48746.7</v>
      </c>
      <c r="P8" s="29">
        <v>66758.399999999994</v>
      </c>
      <c r="Q8" s="29">
        <v>80360.2</v>
      </c>
      <c r="R8" s="29">
        <v>97643.7</v>
      </c>
      <c r="S8" s="29">
        <v>112624.5</v>
      </c>
      <c r="T8" s="30">
        <v>124143.6</v>
      </c>
      <c r="U8" s="29">
        <v>129089.2</v>
      </c>
      <c r="V8" s="29">
        <v>136577</v>
      </c>
      <c r="W8" s="29">
        <v>126860.4</v>
      </c>
      <c r="X8" s="29">
        <v>130315.20000000001</v>
      </c>
      <c r="Y8" s="48"/>
    </row>
    <row r="9" spans="1:25" ht="20.25" customHeight="1" x14ac:dyDescent="0.25">
      <c r="A9" s="23" t="s">
        <v>3</v>
      </c>
      <c r="B9" s="27" t="s">
        <v>35</v>
      </c>
      <c r="C9" s="28">
        <v>1967.5</v>
      </c>
      <c r="D9" s="29">
        <v>1854.8</v>
      </c>
      <c r="E9" s="29">
        <v>1633</v>
      </c>
      <c r="F9" s="29">
        <v>1449.5</v>
      </c>
      <c r="G9" s="29">
        <v>2519.3000000000002</v>
      </c>
      <c r="H9" s="29">
        <v>2124</v>
      </c>
      <c r="I9" s="29">
        <v>2954.8</v>
      </c>
      <c r="J9" s="29">
        <v>2757.5</v>
      </c>
      <c r="K9" s="29">
        <v>2901.9</v>
      </c>
      <c r="L9" s="29">
        <v>7046.1</v>
      </c>
      <c r="M9" s="29">
        <v>3651</v>
      </c>
      <c r="N9" s="29">
        <v>2575.3000000000002</v>
      </c>
      <c r="O9" s="29">
        <v>7017.7</v>
      </c>
      <c r="P9" s="29">
        <v>12274.4</v>
      </c>
      <c r="Q9" s="29">
        <v>12283.7</v>
      </c>
      <c r="R9" s="29">
        <v>11055.4</v>
      </c>
      <c r="S9" s="29">
        <v>10866</v>
      </c>
      <c r="T9" s="30">
        <v>13716</v>
      </c>
      <c r="U9" s="29">
        <v>26619.7</v>
      </c>
      <c r="V9" s="29">
        <v>28150.6</v>
      </c>
      <c r="W9" s="29">
        <v>26024.799999999999</v>
      </c>
      <c r="X9" s="29">
        <v>30914.9</v>
      </c>
      <c r="Y9" s="48"/>
    </row>
    <row r="10" spans="1:25" ht="20.25" customHeight="1" x14ac:dyDescent="0.25">
      <c r="A10" s="49" t="s">
        <v>27</v>
      </c>
      <c r="B10" s="50" t="s">
        <v>28</v>
      </c>
      <c r="C10" s="51">
        <v>18964.5</v>
      </c>
      <c r="D10" s="52">
        <v>18231</v>
      </c>
      <c r="E10" s="52">
        <v>18864.5</v>
      </c>
      <c r="F10" s="52">
        <v>19492</v>
      </c>
      <c r="G10" s="52">
        <v>21641.1</v>
      </c>
      <c r="H10" s="52">
        <v>25817.699999999997</v>
      </c>
      <c r="I10" s="52">
        <v>26249.3</v>
      </c>
      <c r="J10" s="52">
        <v>27092.2</v>
      </c>
      <c r="K10" s="52">
        <v>25594.400000000001</v>
      </c>
      <c r="L10" s="52">
        <v>28489.599999999999</v>
      </c>
      <c r="M10" s="52">
        <v>29054</v>
      </c>
      <c r="N10" s="52">
        <v>25707.200000000001</v>
      </c>
      <c r="O10" s="52">
        <v>24436.7</v>
      </c>
      <c r="P10" s="52">
        <v>34874.699999999997</v>
      </c>
      <c r="Q10" s="52">
        <v>47648.800000000003</v>
      </c>
      <c r="R10" s="52">
        <v>57272</v>
      </c>
      <c r="S10" s="52">
        <v>69352.100000000006</v>
      </c>
      <c r="T10" s="53">
        <v>82445.600000000006</v>
      </c>
      <c r="U10" s="52">
        <v>82275.399999999994</v>
      </c>
      <c r="V10" s="52">
        <v>83428.3</v>
      </c>
      <c r="W10" s="52">
        <v>80178.2</v>
      </c>
      <c r="X10" s="52">
        <v>81993.700000000012</v>
      </c>
      <c r="Y10" s="48"/>
    </row>
    <row r="11" spans="1:25" ht="20.25" customHeight="1" x14ac:dyDescent="0.25">
      <c r="A11" s="31" t="s">
        <v>17</v>
      </c>
      <c r="B11" s="32" t="s">
        <v>36</v>
      </c>
      <c r="C11" s="33">
        <v>18964.5</v>
      </c>
      <c r="D11" s="33">
        <v>18231</v>
      </c>
      <c r="E11" s="33">
        <v>18864.5</v>
      </c>
      <c r="F11" s="33">
        <v>19492</v>
      </c>
      <c r="G11" s="33">
        <v>21641.1</v>
      </c>
      <c r="H11" s="33">
        <v>25817.699999999997</v>
      </c>
      <c r="I11" s="33">
        <v>26249.3</v>
      </c>
      <c r="J11" s="33">
        <v>27092.2</v>
      </c>
      <c r="K11" s="33">
        <v>25594.400000000001</v>
      </c>
      <c r="L11" s="33">
        <v>28489.599999999999</v>
      </c>
      <c r="M11" s="33">
        <v>29054</v>
      </c>
      <c r="N11" s="34">
        <v>25707.200000000001</v>
      </c>
      <c r="O11" s="34">
        <v>24436.7</v>
      </c>
      <c r="P11" s="34">
        <v>34874.699999999997</v>
      </c>
      <c r="Q11" s="34">
        <v>47648.800000000003</v>
      </c>
      <c r="R11" s="34">
        <v>57272</v>
      </c>
      <c r="S11" s="34">
        <v>69352.100000000006</v>
      </c>
      <c r="T11" s="33">
        <v>80445.600000000006</v>
      </c>
      <c r="U11" s="34">
        <v>82275.399999999994</v>
      </c>
      <c r="V11" s="34">
        <v>83428.3</v>
      </c>
      <c r="W11" s="34">
        <v>80178.2</v>
      </c>
      <c r="X11" s="34">
        <v>81993.700000000012</v>
      </c>
      <c r="Y11" s="48"/>
    </row>
    <row r="12" spans="1:25" ht="20.25" customHeight="1" x14ac:dyDescent="0.25">
      <c r="A12" s="35" t="s">
        <v>49</v>
      </c>
      <c r="B12" s="36" t="s">
        <v>48</v>
      </c>
      <c r="C12" s="37">
        <v>587.70000000000005</v>
      </c>
      <c r="D12" s="34">
        <v>613.6</v>
      </c>
      <c r="E12" s="34">
        <v>1861.9</v>
      </c>
      <c r="F12" s="34">
        <v>1570.3</v>
      </c>
      <c r="G12" s="34">
        <v>2651.8</v>
      </c>
      <c r="H12" s="34">
        <v>1926.1</v>
      </c>
      <c r="I12" s="34">
        <v>3079.5</v>
      </c>
      <c r="J12" s="34">
        <v>2821</v>
      </c>
      <c r="K12" s="34">
        <v>2900.7</v>
      </c>
      <c r="L12" s="34">
        <v>5158.6000000000004</v>
      </c>
      <c r="M12" s="34">
        <v>6085.3</v>
      </c>
      <c r="N12" s="34">
        <v>4937.7</v>
      </c>
      <c r="O12" s="34">
        <v>3493</v>
      </c>
      <c r="P12" s="34">
        <v>8984.5</v>
      </c>
      <c r="Q12" s="34">
        <v>14277.7</v>
      </c>
      <c r="R12" s="34">
        <v>19371.900000000001</v>
      </c>
      <c r="S12" s="34">
        <v>23899.3</v>
      </c>
      <c r="T12" s="33">
        <v>28709.3</v>
      </c>
      <c r="U12" s="34">
        <v>29013.5</v>
      </c>
      <c r="V12" s="34">
        <v>29479.200000000001</v>
      </c>
      <c r="W12" s="34">
        <v>27694.9</v>
      </c>
      <c r="X12" s="34">
        <v>28739.9</v>
      </c>
      <c r="Y12" s="48"/>
    </row>
    <row r="13" spans="1:25" ht="20.25" customHeight="1" x14ac:dyDescent="0.25">
      <c r="A13" s="35" t="s">
        <v>4</v>
      </c>
      <c r="B13" s="38" t="s">
        <v>5</v>
      </c>
      <c r="C13" s="37">
        <v>18376.8</v>
      </c>
      <c r="D13" s="34">
        <v>17617.400000000001</v>
      </c>
      <c r="E13" s="34">
        <v>17002.599999999999</v>
      </c>
      <c r="F13" s="34">
        <v>17921.7</v>
      </c>
      <c r="G13" s="34">
        <v>18989.3</v>
      </c>
      <c r="H13" s="34">
        <v>23891.599999999999</v>
      </c>
      <c r="I13" s="34">
        <v>23169.8</v>
      </c>
      <c r="J13" s="34">
        <v>24271.200000000001</v>
      </c>
      <c r="K13" s="34">
        <v>22693.7</v>
      </c>
      <c r="L13" s="34">
        <v>23331</v>
      </c>
      <c r="M13" s="34">
        <v>22968.7</v>
      </c>
      <c r="N13" s="34">
        <v>20769.5</v>
      </c>
      <c r="O13" s="34">
        <v>20943.7</v>
      </c>
      <c r="P13" s="34">
        <v>25890.2</v>
      </c>
      <c r="Q13" s="34">
        <v>33371.1</v>
      </c>
      <c r="R13" s="34">
        <v>37900.1</v>
      </c>
      <c r="S13" s="34">
        <v>45452.800000000003</v>
      </c>
      <c r="T13" s="33">
        <v>51736.3</v>
      </c>
      <c r="U13" s="34">
        <v>53261.9</v>
      </c>
      <c r="V13" s="34">
        <v>53949.1</v>
      </c>
      <c r="W13" s="34">
        <v>51398.400000000001</v>
      </c>
      <c r="X13" s="34">
        <v>50986.7</v>
      </c>
      <c r="Y13" s="48"/>
    </row>
    <row r="14" spans="1:25" ht="20.25" customHeight="1" x14ac:dyDescent="0.25">
      <c r="A14" s="31" t="s">
        <v>31</v>
      </c>
      <c r="B14" s="39" t="s">
        <v>33</v>
      </c>
      <c r="C14" s="37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3"/>
      <c r="U14" s="34">
        <v>0</v>
      </c>
      <c r="V14" s="34">
        <v>0</v>
      </c>
      <c r="W14" s="34">
        <v>1084.9000000000001</v>
      </c>
      <c r="X14" s="34">
        <v>2267.1</v>
      </c>
      <c r="Y14" s="48"/>
    </row>
    <row r="15" spans="1:25" ht="20.25" customHeight="1" x14ac:dyDescent="0.25">
      <c r="A15" s="31" t="s">
        <v>30</v>
      </c>
      <c r="B15" s="32" t="s">
        <v>29</v>
      </c>
      <c r="C15" s="37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3">
        <v>2000</v>
      </c>
      <c r="U15" s="34">
        <v>0</v>
      </c>
      <c r="V15" s="34">
        <v>0</v>
      </c>
      <c r="W15" s="34">
        <v>0</v>
      </c>
      <c r="X15" s="34">
        <v>0</v>
      </c>
      <c r="Y15" s="48"/>
    </row>
    <row r="16" spans="1:25" ht="20.25" customHeight="1" x14ac:dyDescent="0.25">
      <c r="A16" s="49" t="s">
        <v>18</v>
      </c>
      <c r="B16" s="50" t="s">
        <v>19</v>
      </c>
      <c r="C16" s="52">
        <v>987</v>
      </c>
      <c r="D16" s="52">
        <v>983</v>
      </c>
      <c r="E16" s="52">
        <v>664.3</v>
      </c>
      <c r="F16" s="52">
        <v>315.7</v>
      </c>
      <c r="G16" s="52">
        <v>290</v>
      </c>
      <c r="H16" s="52">
        <v>211.7</v>
      </c>
      <c r="I16" s="52">
        <v>1259.9000000000001</v>
      </c>
      <c r="J16" s="52">
        <v>1499.7</v>
      </c>
      <c r="K16" s="52">
        <v>2612</v>
      </c>
      <c r="L16" s="52">
        <v>9064.2000000000007</v>
      </c>
      <c r="M16" s="52">
        <v>11004.5</v>
      </c>
      <c r="N16" s="52">
        <v>16317.5</v>
      </c>
      <c r="O16" s="52">
        <v>22173.8</v>
      </c>
      <c r="P16" s="52">
        <v>30324.3</v>
      </c>
      <c r="Q16" s="52">
        <v>26560.3</v>
      </c>
      <c r="R16" s="52">
        <v>27979.3</v>
      </c>
      <c r="S16" s="52">
        <v>27885.9</v>
      </c>
      <c r="T16" s="53">
        <v>25566.9</v>
      </c>
      <c r="U16" s="52">
        <v>40881.9</v>
      </c>
      <c r="V16" s="52">
        <v>43617.2</v>
      </c>
      <c r="W16" s="52">
        <v>34668.1</v>
      </c>
      <c r="X16" s="52">
        <v>37335.599999999999</v>
      </c>
      <c r="Y16" s="48"/>
    </row>
    <row r="17" spans="1:25" ht="20.25" customHeight="1" x14ac:dyDescent="0.25">
      <c r="A17" s="31" t="s">
        <v>20</v>
      </c>
      <c r="B17" s="32" t="s">
        <v>36</v>
      </c>
      <c r="C17" s="34">
        <v>337</v>
      </c>
      <c r="D17" s="34">
        <v>833</v>
      </c>
      <c r="E17" s="34">
        <v>664.3</v>
      </c>
      <c r="F17" s="34">
        <v>315.7</v>
      </c>
      <c r="G17" s="34">
        <v>290</v>
      </c>
      <c r="H17" s="34">
        <v>211.7</v>
      </c>
      <c r="I17" s="34">
        <v>1259.9000000000001</v>
      </c>
      <c r="J17" s="34">
        <v>1499.7</v>
      </c>
      <c r="K17" s="34">
        <v>2612</v>
      </c>
      <c r="L17" s="34">
        <v>4564.2</v>
      </c>
      <c r="M17" s="34">
        <v>10504.5</v>
      </c>
      <c r="N17" s="34">
        <v>16317.5</v>
      </c>
      <c r="O17" s="34">
        <v>18973.8</v>
      </c>
      <c r="P17" s="34">
        <v>22137.7</v>
      </c>
      <c r="Q17" s="34">
        <v>20235.900000000001</v>
      </c>
      <c r="R17" s="34">
        <v>24776</v>
      </c>
      <c r="S17" s="34">
        <v>25226.7</v>
      </c>
      <c r="T17" s="33">
        <v>22716.2</v>
      </c>
      <c r="U17" s="34">
        <v>25195</v>
      </c>
      <c r="V17" s="34">
        <v>25729.5</v>
      </c>
      <c r="W17" s="34">
        <v>19230.7</v>
      </c>
      <c r="X17" s="34">
        <v>21858.7</v>
      </c>
      <c r="Y17" s="48"/>
    </row>
    <row r="18" spans="1:25" ht="20.25" customHeight="1" x14ac:dyDescent="0.25">
      <c r="A18" s="31" t="s">
        <v>6</v>
      </c>
      <c r="B18" s="39" t="s">
        <v>7</v>
      </c>
      <c r="C18" s="34">
        <v>337</v>
      </c>
      <c r="D18" s="34">
        <v>333</v>
      </c>
      <c r="E18" s="34">
        <v>364.3</v>
      </c>
      <c r="F18" s="34">
        <v>315.7</v>
      </c>
      <c r="G18" s="34">
        <v>290</v>
      </c>
      <c r="H18" s="34">
        <v>211.7</v>
      </c>
      <c r="I18" s="34">
        <v>132.19999999999999</v>
      </c>
      <c r="J18" s="34">
        <v>61.8</v>
      </c>
      <c r="K18" s="34">
        <v>254.8</v>
      </c>
      <c r="L18" s="34">
        <v>213</v>
      </c>
      <c r="M18" s="34">
        <v>115.6</v>
      </c>
      <c r="N18" s="34">
        <v>56.7</v>
      </c>
      <c r="O18" s="34">
        <v>1419.7</v>
      </c>
      <c r="P18" s="34">
        <v>2353.6999999999998</v>
      </c>
      <c r="Q18" s="34">
        <v>1573.6</v>
      </c>
      <c r="R18" s="34">
        <v>6323.8</v>
      </c>
      <c r="S18" s="34">
        <v>6802.3</v>
      </c>
      <c r="T18" s="33">
        <v>6458.1</v>
      </c>
      <c r="U18" s="34">
        <v>6433.3</v>
      </c>
      <c r="V18" s="34">
        <v>5972.3</v>
      </c>
      <c r="W18" s="34">
        <v>6266.6</v>
      </c>
      <c r="X18" s="34">
        <v>9558.6</v>
      </c>
      <c r="Y18" s="48"/>
    </row>
    <row r="19" spans="1:25" ht="20.25" customHeight="1" x14ac:dyDescent="0.25">
      <c r="A19" s="31" t="s">
        <v>12</v>
      </c>
      <c r="B19" s="39" t="s">
        <v>8</v>
      </c>
      <c r="C19" s="34">
        <v>0</v>
      </c>
      <c r="D19" s="34">
        <v>500</v>
      </c>
      <c r="E19" s="34">
        <v>300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1000</v>
      </c>
      <c r="L19" s="34">
        <v>3000</v>
      </c>
      <c r="M19" s="34">
        <v>9000</v>
      </c>
      <c r="N19" s="34">
        <v>15000</v>
      </c>
      <c r="O19" s="34">
        <v>16300</v>
      </c>
      <c r="P19" s="34">
        <v>18537.400000000001</v>
      </c>
      <c r="Q19" s="34">
        <v>17400</v>
      </c>
      <c r="R19" s="34">
        <v>17203.3</v>
      </c>
      <c r="S19" s="34">
        <v>17188.400000000001</v>
      </c>
      <c r="T19" s="33">
        <v>14976.5</v>
      </c>
      <c r="U19" s="34">
        <v>14961.7</v>
      </c>
      <c r="V19" s="34">
        <v>15953</v>
      </c>
      <c r="W19" s="34">
        <v>10300</v>
      </c>
      <c r="X19" s="34">
        <v>10650</v>
      </c>
      <c r="Y19" s="48"/>
    </row>
    <row r="20" spans="1:25" ht="20.25" customHeight="1" x14ac:dyDescent="0.25">
      <c r="A20" s="31" t="s">
        <v>31</v>
      </c>
      <c r="B20" s="39" t="s">
        <v>33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1127.7</v>
      </c>
      <c r="J20" s="34">
        <v>1437.9</v>
      </c>
      <c r="K20" s="34">
        <v>1357.2</v>
      </c>
      <c r="L20" s="34">
        <v>1351.2</v>
      </c>
      <c r="M20" s="34">
        <v>1388.9</v>
      </c>
      <c r="N20" s="34">
        <v>1260.8</v>
      </c>
      <c r="O20" s="34">
        <v>1254.0999999999999</v>
      </c>
      <c r="P20" s="34">
        <v>1246.5999999999999</v>
      </c>
      <c r="Q20" s="34">
        <v>1262.3</v>
      </c>
      <c r="R20" s="34">
        <v>1248.9000000000001</v>
      </c>
      <c r="S20" s="34">
        <v>1236</v>
      </c>
      <c r="T20" s="33">
        <v>1281.5999999999999</v>
      </c>
      <c r="U20" s="34">
        <v>3800</v>
      </c>
      <c r="V20" s="34">
        <v>3804.2</v>
      </c>
      <c r="W20" s="34">
        <v>2664.1</v>
      </c>
      <c r="X20" s="34">
        <v>1650.1</v>
      </c>
      <c r="Y20" s="48"/>
    </row>
    <row r="21" spans="1:25" ht="20.25" customHeight="1" x14ac:dyDescent="0.25">
      <c r="A21" s="31" t="s">
        <v>3</v>
      </c>
      <c r="B21" s="32" t="s">
        <v>37</v>
      </c>
      <c r="C21" s="34">
        <v>650</v>
      </c>
      <c r="D21" s="34">
        <v>150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4500</v>
      </c>
      <c r="M21" s="34">
        <v>500</v>
      </c>
      <c r="N21" s="34">
        <v>0</v>
      </c>
      <c r="O21" s="34">
        <v>3200</v>
      </c>
      <c r="P21" s="34">
        <v>8186.6</v>
      </c>
      <c r="Q21" s="34">
        <v>6324.4</v>
      </c>
      <c r="R21" s="34">
        <v>3203.3</v>
      </c>
      <c r="S21" s="34">
        <v>2659.2</v>
      </c>
      <c r="T21" s="33">
        <v>2850.7</v>
      </c>
      <c r="U21" s="34">
        <v>15686.9</v>
      </c>
      <c r="V21" s="34">
        <v>17887.7</v>
      </c>
      <c r="W21" s="34">
        <v>15437.4</v>
      </c>
      <c r="X21" s="34">
        <v>15476.9</v>
      </c>
      <c r="Y21" s="48"/>
    </row>
    <row r="22" spans="1:25" ht="20.25" customHeight="1" x14ac:dyDescent="0.25">
      <c r="A22" s="35" t="s">
        <v>4</v>
      </c>
      <c r="B22" s="36" t="s">
        <v>11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3200</v>
      </c>
      <c r="P22" s="34">
        <v>5334.3</v>
      </c>
      <c r="Q22" s="34">
        <v>3609</v>
      </c>
      <c r="R22" s="34">
        <v>586.6</v>
      </c>
      <c r="S22" s="34">
        <v>116.6</v>
      </c>
      <c r="T22" s="33">
        <v>63.5</v>
      </c>
      <c r="U22" s="34">
        <v>0</v>
      </c>
      <c r="V22" s="34">
        <v>0</v>
      </c>
      <c r="W22" s="34">
        <v>0</v>
      </c>
      <c r="X22" s="34">
        <v>0</v>
      </c>
      <c r="Y22" s="48"/>
    </row>
    <row r="23" spans="1:25" ht="20.25" customHeight="1" x14ac:dyDescent="0.25">
      <c r="A23" s="35" t="s">
        <v>24</v>
      </c>
      <c r="B23" s="36" t="s">
        <v>13</v>
      </c>
      <c r="C23" s="34">
        <v>650</v>
      </c>
      <c r="D23" s="34">
        <v>150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4500</v>
      </c>
      <c r="M23" s="34">
        <v>500</v>
      </c>
      <c r="N23" s="34">
        <v>0</v>
      </c>
      <c r="O23" s="34">
        <v>0</v>
      </c>
      <c r="P23" s="34">
        <v>2852.3</v>
      </c>
      <c r="Q23" s="34">
        <v>2715.4</v>
      </c>
      <c r="R23" s="34">
        <v>2616.6999999999998</v>
      </c>
      <c r="S23" s="34">
        <v>2542.6</v>
      </c>
      <c r="T23" s="33">
        <v>2787.2</v>
      </c>
      <c r="U23" s="34">
        <v>15686.9</v>
      </c>
      <c r="V23" s="34">
        <v>17887.7</v>
      </c>
      <c r="W23" s="34">
        <v>15437.4</v>
      </c>
      <c r="X23" s="34">
        <v>15476.9</v>
      </c>
      <c r="Y23" s="48"/>
    </row>
    <row r="24" spans="1:25" ht="20.25" customHeight="1" x14ac:dyDescent="0.25">
      <c r="A24" s="49" t="s">
        <v>9</v>
      </c>
      <c r="B24" s="50" t="s">
        <v>10</v>
      </c>
      <c r="C24" s="52">
        <v>2353.3000000000002</v>
      </c>
      <c r="D24" s="52">
        <v>2010.5</v>
      </c>
      <c r="E24" s="52">
        <v>2119.6000000000004</v>
      </c>
      <c r="F24" s="52">
        <v>1954</v>
      </c>
      <c r="G24" s="52">
        <v>2541.8000000000002</v>
      </c>
      <c r="H24" s="52">
        <v>1797.1999999999998</v>
      </c>
      <c r="I24" s="52">
        <v>1963.9</v>
      </c>
      <c r="J24" s="52">
        <v>1725.3</v>
      </c>
      <c r="K24" s="52">
        <v>1624.4</v>
      </c>
      <c r="L24" s="52">
        <v>1599.9</v>
      </c>
      <c r="M24" s="52">
        <v>1544.3</v>
      </c>
      <c r="N24" s="52">
        <v>2386.9</v>
      </c>
      <c r="O24" s="52">
        <v>3963.2</v>
      </c>
      <c r="P24" s="52">
        <v>4095.6</v>
      </c>
      <c r="Q24" s="52">
        <v>6046.8</v>
      </c>
      <c r="R24" s="52">
        <v>9510.4000000000015</v>
      </c>
      <c r="S24" s="52">
        <v>11920.7</v>
      </c>
      <c r="T24" s="53">
        <v>14390.4</v>
      </c>
      <c r="U24" s="52">
        <v>17714.3</v>
      </c>
      <c r="V24" s="52">
        <v>20978.799999999999</v>
      </c>
      <c r="W24" s="52">
        <v>20672.7</v>
      </c>
      <c r="X24" s="52">
        <v>22236.400000000001</v>
      </c>
      <c r="Y24" s="48"/>
    </row>
    <row r="25" spans="1:25" ht="20.25" customHeight="1" x14ac:dyDescent="0.25">
      <c r="A25" s="31" t="s">
        <v>44</v>
      </c>
      <c r="B25" s="32" t="s">
        <v>43</v>
      </c>
      <c r="C25" s="34">
        <v>1035.8</v>
      </c>
      <c r="D25" s="34">
        <v>1063.9000000000001</v>
      </c>
      <c r="E25" s="34">
        <v>1358.9</v>
      </c>
      <c r="F25" s="34">
        <v>1329.1</v>
      </c>
      <c r="G25" s="34">
        <v>1361.7</v>
      </c>
      <c r="H25" s="34">
        <v>621.1</v>
      </c>
      <c r="I25" s="34">
        <v>600.5</v>
      </c>
      <c r="J25" s="34">
        <v>735.1</v>
      </c>
      <c r="K25" s="34">
        <v>710.7</v>
      </c>
      <c r="L25" s="34">
        <v>806.5</v>
      </c>
      <c r="M25" s="34">
        <v>651.79999999999995</v>
      </c>
      <c r="N25" s="34">
        <v>937.2</v>
      </c>
      <c r="O25" s="34">
        <v>2050.5</v>
      </c>
      <c r="P25" s="34">
        <v>3043.8</v>
      </c>
      <c r="Q25" s="34">
        <v>4202.8999999999996</v>
      </c>
      <c r="R25" s="34">
        <v>5810.1</v>
      </c>
      <c r="S25" s="34">
        <v>8359.7000000000007</v>
      </c>
      <c r="T25" s="33">
        <v>10371.9</v>
      </c>
      <c r="U25" s="34">
        <v>11043.9</v>
      </c>
      <c r="V25" s="34">
        <v>14968.8</v>
      </c>
      <c r="W25" s="34">
        <v>15037</v>
      </c>
      <c r="X25" s="34">
        <v>13586.5</v>
      </c>
      <c r="Y25" s="48"/>
    </row>
    <row r="26" spans="1:25" ht="20.25" customHeight="1" x14ac:dyDescent="0.25">
      <c r="A26" s="31" t="s">
        <v>42</v>
      </c>
      <c r="B26" s="32" t="s">
        <v>41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>
        <v>0</v>
      </c>
      <c r="R26" s="34">
        <v>0</v>
      </c>
      <c r="S26" s="34">
        <v>0</v>
      </c>
      <c r="T26" s="34">
        <v>0</v>
      </c>
      <c r="U26" s="34">
        <v>100</v>
      </c>
      <c r="V26" s="34">
        <v>100</v>
      </c>
      <c r="W26" s="34">
        <v>100</v>
      </c>
      <c r="X26" s="34">
        <v>599</v>
      </c>
      <c r="Y26" s="48"/>
    </row>
    <row r="27" spans="1:25" ht="20.25" customHeight="1" x14ac:dyDescent="0.25">
      <c r="A27" s="31" t="s">
        <v>6</v>
      </c>
      <c r="B27" s="39" t="s">
        <v>7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>
        <v>4202.8999999999996</v>
      </c>
      <c r="R27" s="34">
        <v>5810.1</v>
      </c>
      <c r="S27" s="34">
        <v>8359.7000000000007</v>
      </c>
      <c r="T27" s="33">
        <v>10371.9</v>
      </c>
      <c r="U27" s="34">
        <v>10943.9</v>
      </c>
      <c r="V27" s="34">
        <v>14868.8</v>
      </c>
      <c r="W27" s="34">
        <v>14937</v>
      </c>
      <c r="X27" s="34">
        <v>12987.5</v>
      </c>
      <c r="Y27" s="48"/>
    </row>
    <row r="28" spans="1:25" ht="20.25" customHeight="1" x14ac:dyDescent="0.25">
      <c r="A28" s="31" t="s">
        <v>22</v>
      </c>
      <c r="B28" s="32" t="s">
        <v>39</v>
      </c>
      <c r="C28" s="34">
        <v>1317.5</v>
      </c>
      <c r="D28" s="34">
        <v>946.6</v>
      </c>
      <c r="E28" s="34">
        <v>760.7</v>
      </c>
      <c r="F28" s="34">
        <v>624.9</v>
      </c>
      <c r="G28" s="34">
        <v>1180.0999999999999</v>
      </c>
      <c r="H28" s="34">
        <v>1176.0999999999999</v>
      </c>
      <c r="I28" s="34">
        <v>1363.4</v>
      </c>
      <c r="J28" s="34">
        <v>990.2</v>
      </c>
      <c r="K28" s="34">
        <v>913.7</v>
      </c>
      <c r="L28" s="34">
        <v>793.4</v>
      </c>
      <c r="M28" s="34">
        <v>892.5</v>
      </c>
      <c r="N28" s="34">
        <v>1449.7</v>
      </c>
      <c r="O28" s="34">
        <v>1912.7</v>
      </c>
      <c r="P28" s="34">
        <v>1051.8</v>
      </c>
      <c r="Q28" s="34">
        <v>1843.9</v>
      </c>
      <c r="R28" s="34">
        <v>3700.3</v>
      </c>
      <c r="S28" s="34">
        <v>3561</v>
      </c>
      <c r="T28" s="33">
        <v>4018.5</v>
      </c>
      <c r="U28" s="34">
        <v>6670.4</v>
      </c>
      <c r="V28" s="34">
        <v>6010</v>
      </c>
      <c r="W28" s="34">
        <v>5635.7</v>
      </c>
      <c r="X28" s="34">
        <v>8649.9</v>
      </c>
      <c r="Y28" s="48"/>
    </row>
    <row r="29" spans="1:25" ht="20.25" customHeight="1" x14ac:dyDescent="0.25">
      <c r="A29" s="35" t="s">
        <v>4</v>
      </c>
      <c r="B29" s="39" t="s">
        <v>11</v>
      </c>
      <c r="C29" s="34">
        <v>87.7</v>
      </c>
      <c r="D29" s="34">
        <v>31.5</v>
      </c>
      <c r="E29" s="34">
        <v>9</v>
      </c>
      <c r="F29" s="34">
        <v>24</v>
      </c>
      <c r="G29" s="34">
        <v>36.5</v>
      </c>
      <c r="H29" s="34">
        <v>20</v>
      </c>
      <c r="I29" s="34">
        <v>3.9</v>
      </c>
      <c r="J29" s="34">
        <v>17.5</v>
      </c>
      <c r="K29" s="34">
        <v>0</v>
      </c>
      <c r="L29" s="34">
        <v>0</v>
      </c>
      <c r="M29" s="34">
        <v>0</v>
      </c>
      <c r="N29" s="34">
        <v>154.4</v>
      </c>
      <c r="O29" s="34">
        <v>434.4</v>
      </c>
      <c r="P29" s="34">
        <v>80</v>
      </c>
      <c r="Q29" s="34">
        <v>775.4</v>
      </c>
      <c r="R29" s="34">
        <v>2610.1</v>
      </c>
      <c r="S29" s="34">
        <v>2535.9</v>
      </c>
      <c r="T29" s="33">
        <v>2771</v>
      </c>
      <c r="U29" s="34">
        <v>5498.8</v>
      </c>
      <c r="V29" s="34">
        <v>5211.8</v>
      </c>
      <c r="W29" s="34">
        <v>5046.3999999999996</v>
      </c>
      <c r="X29" s="34">
        <v>7997.7</v>
      </c>
      <c r="Y29" s="48"/>
    </row>
    <row r="30" spans="1:25" ht="20.25" customHeight="1" x14ac:dyDescent="0.25">
      <c r="A30" s="35" t="s">
        <v>24</v>
      </c>
      <c r="B30" s="39" t="s">
        <v>13</v>
      </c>
      <c r="C30" s="34">
        <v>617.5</v>
      </c>
      <c r="D30" s="34">
        <v>669.3</v>
      </c>
      <c r="E30" s="34">
        <v>633.1</v>
      </c>
      <c r="F30" s="34">
        <v>536</v>
      </c>
      <c r="G30" s="34">
        <v>1048.3</v>
      </c>
      <c r="H30" s="34">
        <v>1156.0999999999999</v>
      </c>
      <c r="I30" s="34">
        <v>1359.5</v>
      </c>
      <c r="J30" s="34">
        <v>972.7</v>
      </c>
      <c r="K30" s="34">
        <v>913.7</v>
      </c>
      <c r="L30" s="34">
        <v>793.4</v>
      </c>
      <c r="M30" s="34">
        <v>892.5</v>
      </c>
      <c r="N30" s="34">
        <v>1295.3</v>
      </c>
      <c r="O30" s="34">
        <v>1478.3</v>
      </c>
      <c r="P30" s="34">
        <v>971.8</v>
      </c>
      <c r="Q30" s="34">
        <v>1068.5</v>
      </c>
      <c r="R30" s="34">
        <v>1090.2</v>
      </c>
      <c r="S30" s="34">
        <v>1025.0999999999999</v>
      </c>
      <c r="T30" s="33">
        <v>1247.5</v>
      </c>
      <c r="U30" s="34">
        <v>1171.5999999999999</v>
      </c>
      <c r="V30" s="34">
        <v>798.2</v>
      </c>
      <c r="W30" s="34">
        <v>589.29999999999995</v>
      </c>
      <c r="X30" s="34">
        <v>652.20000000000005</v>
      </c>
      <c r="Y30" s="48"/>
    </row>
    <row r="31" spans="1:25" ht="20.25" customHeight="1" x14ac:dyDescent="0.25">
      <c r="A31" s="49" t="s">
        <v>14</v>
      </c>
      <c r="B31" s="50" t="s">
        <v>15</v>
      </c>
      <c r="C31" s="52">
        <v>7567</v>
      </c>
      <c r="D31" s="52">
        <v>7724.3</v>
      </c>
      <c r="E31" s="52">
        <v>7944.2</v>
      </c>
      <c r="F31" s="52">
        <v>8136.3</v>
      </c>
      <c r="G31" s="52">
        <v>9419.9</v>
      </c>
      <c r="H31" s="52">
        <v>3704.5</v>
      </c>
      <c r="I31" s="52">
        <v>4221.1000000000004</v>
      </c>
      <c r="J31" s="52">
        <v>4588.5</v>
      </c>
      <c r="K31" s="52">
        <v>4553.7</v>
      </c>
      <c r="L31" s="52">
        <v>4079.7</v>
      </c>
      <c r="M31" s="52">
        <v>4464.3</v>
      </c>
      <c r="N31" s="52">
        <v>3651.3</v>
      </c>
      <c r="O31" s="52">
        <v>5190.7</v>
      </c>
      <c r="P31" s="52">
        <v>9738.2000000000007</v>
      </c>
      <c r="Q31" s="52">
        <v>12388</v>
      </c>
      <c r="R31" s="52">
        <v>13937.400000000001</v>
      </c>
      <c r="S31" s="52">
        <v>14331.8</v>
      </c>
      <c r="T31" s="53">
        <v>15456.7</v>
      </c>
      <c r="U31" s="52">
        <v>14837.3</v>
      </c>
      <c r="V31" s="52">
        <v>16703.3</v>
      </c>
      <c r="W31" s="52">
        <v>17366.2</v>
      </c>
      <c r="X31" s="52">
        <v>19664.400000000001</v>
      </c>
      <c r="Y31" s="48"/>
    </row>
    <row r="32" spans="1:25" ht="20.25" customHeight="1" x14ac:dyDescent="0.25">
      <c r="A32" s="31" t="s">
        <v>21</v>
      </c>
      <c r="B32" s="32" t="s">
        <v>38</v>
      </c>
      <c r="C32" s="34">
        <v>7567</v>
      </c>
      <c r="D32" s="34">
        <v>6966.1</v>
      </c>
      <c r="E32" s="34">
        <v>7071.9</v>
      </c>
      <c r="F32" s="34">
        <v>7311.7</v>
      </c>
      <c r="G32" s="34">
        <v>8080.7</v>
      </c>
      <c r="H32" s="34">
        <v>2756.6</v>
      </c>
      <c r="I32" s="34">
        <v>2629.7</v>
      </c>
      <c r="J32" s="34">
        <v>2821.2</v>
      </c>
      <c r="K32" s="34">
        <v>2565.5</v>
      </c>
      <c r="L32" s="34">
        <v>2327</v>
      </c>
      <c r="M32" s="34">
        <v>2205.8000000000002</v>
      </c>
      <c r="N32" s="34">
        <v>2525.6999999999998</v>
      </c>
      <c r="O32" s="34">
        <v>3285.7</v>
      </c>
      <c r="P32" s="34">
        <v>6702.2</v>
      </c>
      <c r="Q32" s="34">
        <v>8272.6</v>
      </c>
      <c r="R32" s="34">
        <v>9785.6</v>
      </c>
      <c r="S32" s="34">
        <v>9686</v>
      </c>
      <c r="T32" s="33">
        <v>10609.9</v>
      </c>
      <c r="U32" s="34">
        <v>10574.9</v>
      </c>
      <c r="V32" s="34">
        <v>12450.4</v>
      </c>
      <c r="W32" s="34">
        <v>12414.5</v>
      </c>
      <c r="X32" s="34">
        <v>12876.3</v>
      </c>
      <c r="Y32" s="48"/>
    </row>
    <row r="33" spans="1:25" ht="21.75" customHeight="1" x14ac:dyDescent="0.25">
      <c r="A33" s="40" t="s">
        <v>23</v>
      </c>
      <c r="B33" s="41" t="s">
        <v>40</v>
      </c>
      <c r="C33" s="42">
        <v>0</v>
      </c>
      <c r="D33" s="42">
        <v>758.2</v>
      </c>
      <c r="E33" s="42">
        <v>872.3</v>
      </c>
      <c r="F33" s="42">
        <v>824.6</v>
      </c>
      <c r="G33" s="42">
        <v>1339.2</v>
      </c>
      <c r="H33" s="42">
        <v>947.9</v>
      </c>
      <c r="I33" s="42">
        <v>1591.4</v>
      </c>
      <c r="J33" s="42">
        <v>1767.3</v>
      </c>
      <c r="K33" s="42">
        <v>1988.2</v>
      </c>
      <c r="L33" s="42">
        <v>1752.7</v>
      </c>
      <c r="M33" s="42">
        <v>2258.5</v>
      </c>
      <c r="N33" s="42">
        <v>1125.5999999999999</v>
      </c>
      <c r="O33" s="42">
        <v>1905</v>
      </c>
      <c r="P33" s="42">
        <v>3036</v>
      </c>
      <c r="Q33" s="42">
        <v>4115.3999999999996</v>
      </c>
      <c r="R33" s="42">
        <v>4151.8</v>
      </c>
      <c r="S33" s="42">
        <v>4645.8</v>
      </c>
      <c r="T33" s="43">
        <v>4846.8</v>
      </c>
      <c r="U33" s="42">
        <v>4262.3999999999996</v>
      </c>
      <c r="V33" s="42">
        <v>4252.8999999999996</v>
      </c>
      <c r="W33" s="42">
        <v>4951.7</v>
      </c>
      <c r="X33" s="42">
        <v>6788.1</v>
      </c>
      <c r="Y33" s="48"/>
    </row>
    <row r="34" spans="1:25" s="9" customFormat="1" ht="30" customHeight="1" x14ac:dyDescent="0.25">
      <c r="A34" s="54" t="s">
        <v>45</v>
      </c>
      <c r="B34" s="54"/>
      <c r="C34" s="12"/>
      <c r="D34" s="13"/>
      <c r="E34" s="13"/>
      <c r="F34" s="13"/>
      <c r="G34" s="13"/>
      <c r="H34" s="13"/>
      <c r="I34" s="14"/>
      <c r="J34" s="14"/>
      <c r="K34" s="4"/>
      <c r="L34" s="4"/>
      <c r="M34" s="15"/>
      <c r="N34" s="7"/>
      <c r="O34" s="8"/>
      <c r="P34" s="8"/>
      <c r="Q34" s="8"/>
      <c r="R34" s="8"/>
      <c r="S34" s="8"/>
      <c r="T34" s="8"/>
      <c r="U34" s="10"/>
      <c r="V34" s="45"/>
      <c r="W34" s="45"/>
      <c r="X34" s="45"/>
      <c r="Y34" s="48"/>
    </row>
    <row r="35" spans="1:25" s="9" customFormat="1" ht="20.25" customHeight="1" x14ac:dyDescent="0.25">
      <c r="A35" s="1"/>
      <c r="B35" s="3"/>
      <c r="C35" s="12"/>
      <c r="D35" s="13"/>
      <c r="E35" s="13"/>
      <c r="F35" s="13"/>
      <c r="G35" s="13"/>
      <c r="H35" s="13"/>
      <c r="I35" s="14"/>
      <c r="J35" s="14"/>
      <c r="K35" s="4"/>
      <c r="L35" s="4"/>
      <c r="M35" s="15"/>
      <c r="N35" s="7"/>
      <c r="O35" s="8"/>
      <c r="P35" s="8"/>
      <c r="Q35" s="8"/>
      <c r="R35" s="8"/>
      <c r="S35" s="8"/>
      <c r="T35" s="8"/>
      <c r="U35" s="10"/>
      <c r="V35" s="45"/>
      <c r="W35" s="45"/>
      <c r="X35" s="45"/>
    </row>
    <row r="36" spans="1:25" x14ac:dyDescent="0.25">
      <c r="A36" s="4"/>
      <c r="D36" s="13"/>
      <c r="E36" s="13"/>
      <c r="F36" s="13"/>
      <c r="G36" s="13"/>
      <c r="H36" s="13"/>
      <c r="I36" s="17"/>
      <c r="J36" s="7"/>
      <c r="K36" s="7"/>
      <c r="L36" s="7"/>
      <c r="M36" s="18"/>
      <c r="U36" s="2"/>
      <c r="V36" s="11"/>
      <c r="W36" s="11"/>
      <c r="X36" s="11"/>
    </row>
    <row r="37" spans="1:25" x14ac:dyDescent="0.25">
      <c r="A37" s="7"/>
      <c r="M37" s="19"/>
      <c r="U37" s="2"/>
      <c r="V37" s="11"/>
      <c r="W37" s="11"/>
      <c r="X37" s="11"/>
    </row>
    <row r="38" spans="1:25" x14ac:dyDescent="0.25">
      <c r="A38" s="7"/>
      <c r="M38" s="19"/>
      <c r="U38" s="2"/>
      <c r="V38" s="11"/>
      <c r="W38" s="11"/>
      <c r="X38" s="11"/>
    </row>
    <row r="39" spans="1:25" x14ac:dyDescent="0.25">
      <c r="A39" s="7"/>
      <c r="M39" s="19"/>
    </row>
    <row r="40" spans="1:25" x14ac:dyDescent="0.25">
      <c r="A40" s="7"/>
      <c r="M40" s="19"/>
    </row>
    <row r="47" spans="1:25" x14ac:dyDescent="0.25">
      <c r="A47" s="7"/>
      <c r="B47" s="5"/>
      <c r="C47" s="20"/>
      <c r="I47" s="21"/>
    </row>
    <row r="48" spans="1:25" x14ac:dyDescent="0.25">
      <c r="A48" s="7"/>
      <c r="B48" s="5"/>
      <c r="C48" s="20"/>
      <c r="I48" s="21"/>
    </row>
    <row r="49" spans="1:12" x14ac:dyDescent="0.25">
      <c r="A49" s="7"/>
      <c r="B49" s="5"/>
      <c r="C49" s="20"/>
      <c r="I49" s="21"/>
    </row>
    <row r="50" spans="1:12" x14ac:dyDescent="0.25">
      <c r="A50" s="7"/>
      <c r="B50" s="5"/>
      <c r="C50" s="20"/>
      <c r="I50" s="21"/>
    </row>
    <row r="51" spans="1:12" x14ac:dyDescent="0.25">
      <c r="A51" s="7"/>
      <c r="B51" s="5"/>
      <c r="C51" s="20"/>
      <c r="I51" s="21"/>
    </row>
    <row r="52" spans="1:12" x14ac:dyDescent="0.25">
      <c r="A52" s="7"/>
      <c r="B52" s="5"/>
      <c r="C52" s="20"/>
      <c r="I52" s="21"/>
    </row>
    <row r="53" spans="1:12" x14ac:dyDescent="0.25">
      <c r="A53" s="7"/>
      <c r="B53" s="5"/>
      <c r="C53" s="20"/>
      <c r="I53" s="21"/>
      <c r="J53" s="7"/>
      <c r="K53" s="7"/>
      <c r="L53" s="7"/>
    </row>
    <row r="54" spans="1:12" x14ac:dyDescent="0.25">
      <c r="A54" s="7"/>
      <c r="B54" s="5"/>
      <c r="C54" s="20"/>
      <c r="I54" s="21"/>
      <c r="J54" s="7"/>
      <c r="K54" s="7"/>
      <c r="L54" s="7"/>
    </row>
    <row r="55" spans="1:12" x14ac:dyDescent="0.25">
      <c r="A55" s="7"/>
      <c r="B55" s="5"/>
      <c r="C55" s="20"/>
      <c r="I55" s="21"/>
      <c r="J55" s="7"/>
      <c r="K55" s="7"/>
      <c r="L55" s="7"/>
    </row>
    <row r="56" spans="1:12" x14ac:dyDescent="0.25">
      <c r="A56" s="7"/>
      <c r="B56" s="5"/>
      <c r="C56" s="20"/>
      <c r="I56" s="21"/>
      <c r="J56" s="7"/>
      <c r="K56" s="7"/>
      <c r="L56" s="7"/>
    </row>
    <row r="57" spans="1:12" x14ac:dyDescent="0.25">
      <c r="A57" s="7"/>
      <c r="B57" s="5"/>
      <c r="C57" s="20"/>
      <c r="I57" s="21"/>
      <c r="J57" s="7"/>
      <c r="K57" s="7"/>
      <c r="L57" s="7"/>
    </row>
    <row r="58" spans="1:12" x14ac:dyDescent="0.25">
      <c r="A58" s="7"/>
      <c r="B58" s="5"/>
      <c r="C58" s="20"/>
      <c r="I58" s="21"/>
      <c r="J58" s="7"/>
      <c r="K58" s="7"/>
      <c r="L58" s="7"/>
    </row>
    <row r="59" spans="1:12" x14ac:dyDescent="0.25">
      <c r="A59" s="7"/>
      <c r="B59" s="5"/>
      <c r="C59" s="20"/>
      <c r="I59" s="21"/>
      <c r="J59" s="7"/>
      <c r="K59" s="7"/>
      <c r="L59" s="7"/>
    </row>
    <row r="60" spans="1:12" x14ac:dyDescent="0.25">
      <c r="A60" s="7"/>
      <c r="B60" s="5"/>
      <c r="C60" s="20"/>
      <c r="I60" s="21"/>
      <c r="J60" s="7"/>
      <c r="K60" s="7"/>
      <c r="L60" s="7"/>
    </row>
    <row r="61" spans="1:12" x14ac:dyDescent="0.25">
      <c r="A61" s="7"/>
      <c r="B61" s="5"/>
      <c r="C61" s="20"/>
      <c r="I61" s="21"/>
      <c r="J61" s="7"/>
      <c r="K61" s="7"/>
      <c r="L61" s="7"/>
    </row>
    <row r="62" spans="1:12" x14ac:dyDescent="0.25">
      <c r="A62" s="7"/>
      <c r="B62" s="5"/>
      <c r="C62" s="20"/>
      <c r="I62" s="21"/>
      <c r="J62" s="7"/>
      <c r="K62" s="7"/>
      <c r="L62" s="7"/>
    </row>
    <row r="63" spans="1:12" x14ac:dyDescent="0.25">
      <c r="A63" s="7"/>
      <c r="B63" s="5"/>
      <c r="C63" s="20"/>
      <c r="I63" s="21"/>
      <c r="J63" s="7"/>
      <c r="K63" s="7"/>
      <c r="L63" s="7"/>
    </row>
    <row r="64" spans="1:12" x14ac:dyDescent="0.25">
      <c r="A64" s="7"/>
      <c r="B64" s="5"/>
      <c r="C64" s="20"/>
      <c r="I64" s="21"/>
      <c r="J64" s="7"/>
      <c r="K64" s="7"/>
      <c r="L64" s="7"/>
    </row>
    <row r="65" spans="1:12" x14ac:dyDescent="0.25">
      <c r="A65" s="7"/>
      <c r="B65" s="5"/>
      <c r="C65" s="20"/>
      <c r="I65" s="21"/>
      <c r="J65" s="7"/>
      <c r="K65" s="7"/>
      <c r="L65" s="7"/>
    </row>
    <row r="66" spans="1:12" x14ac:dyDescent="0.25">
      <c r="A66" s="7"/>
      <c r="B66" s="5"/>
      <c r="C66" s="20"/>
      <c r="I66" s="21"/>
      <c r="J66" s="7"/>
      <c r="K66" s="7"/>
      <c r="L66" s="7"/>
    </row>
    <row r="67" spans="1:12" x14ac:dyDescent="0.25">
      <c r="A67" s="7"/>
      <c r="B67" s="5"/>
      <c r="C67" s="20"/>
      <c r="I67" s="21"/>
      <c r="J67" s="7"/>
      <c r="K67" s="7"/>
      <c r="L67" s="7"/>
    </row>
    <row r="68" spans="1:12" x14ac:dyDescent="0.25">
      <c r="A68" s="7"/>
      <c r="B68" s="5"/>
      <c r="C68" s="20"/>
      <c r="I68" s="21"/>
      <c r="J68" s="7"/>
      <c r="K68" s="7"/>
      <c r="L68" s="7"/>
    </row>
    <row r="69" spans="1:12" x14ac:dyDescent="0.25">
      <c r="A69" s="7"/>
      <c r="B69" s="5"/>
      <c r="C69" s="20"/>
      <c r="I69" s="21"/>
      <c r="J69" s="7"/>
      <c r="K69" s="7"/>
      <c r="L69" s="7"/>
    </row>
    <row r="70" spans="1:12" x14ac:dyDescent="0.25">
      <c r="A70" s="7"/>
      <c r="B70" s="5"/>
      <c r="C70" s="20"/>
      <c r="I70" s="21"/>
      <c r="J70" s="7"/>
      <c r="K70" s="7"/>
      <c r="L70" s="7"/>
    </row>
    <row r="71" spans="1:12" x14ac:dyDescent="0.25">
      <c r="A71" s="7"/>
      <c r="B71" s="5"/>
      <c r="C71" s="20"/>
      <c r="I71" s="21"/>
      <c r="J71" s="7"/>
      <c r="K71" s="7"/>
      <c r="L71" s="7"/>
    </row>
    <row r="72" spans="1:12" x14ac:dyDescent="0.25">
      <c r="A72" s="7"/>
      <c r="B72" s="5"/>
      <c r="C72" s="20"/>
      <c r="I72" s="21"/>
      <c r="J72" s="7"/>
      <c r="K72" s="7"/>
      <c r="L72" s="7"/>
    </row>
    <row r="73" spans="1:12" x14ac:dyDescent="0.25">
      <c r="A73" s="7"/>
      <c r="B73" s="5"/>
      <c r="C73" s="20"/>
      <c r="I73" s="21"/>
      <c r="J73" s="7"/>
      <c r="K73" s="7"/>
      <c r="L73" s="7"/>
    </row>
    <row r="74" spans="1:12" x14ac:dyDescent="0.25">
      <c r="A74" s="7"/>
      <c r="B74" s="5"/>
      <c r="C74" s="20"/>
      <c r="I74" s="21"/>
      <c r="J74" s="7"/>
      <c r="K74" s="7"/>
      <c r="L74" s="7"/>
    </row>
    <row r="75" spans="1:12" x14ac:dyDescent="0.25">
      <c r="A75" s="7"/>
      <c r="B75" s="5"/>
      <c r="C75" s="20"/>
      <c r="I75" s="21"/>
      <c r="J75" s="7"/>
      <c r="K75" s="7"/>
      <c r="L75" s="7"/>
    </row>
    <row r="76" spans="1:12" x14ac:dyDescent="0.25">
      <c r="A76" s="7"/>
      <c r="B76" s="5"/>
      <c r="C76" s="20"/>
      <c r="I76" s="21"/>
      <c r="J76" s="7"/>
      <c r="K76" s="7"/>
      <c r="L76" s="7"/>
    </row>
    <row r="77" spans="1:12" x14ac:dyDescent="0.25">
      <c r="A77" s="7"/>
      <c r="B77" s="5"/>
      <c r="C77" s="20"/>
      <c r="I77" s="21"/>
      <c r="J77" s="7"/>
      <c r="K77" s="7"/>
      <c r="L77" s="7"/>
    </row>
    <row r="78" spans="1:12" x14ac:dyDescent="0.25">
      <c r="A78" s="7"/>
      <c r="B78" s="5"/>
      <c r="C78" s="20"/>
      <c r="I78" s="21"/>
      <c r="J78" s="7"/>
      <c r="K78" s="7"/>
      <c r="L78" s="7"/>
    </row>
    <row r="79" spans="1:12" x14ac:dyDescent="0.25">
      <c r="A79" s="7"/>
      <c r="B79" s="5"/>
      <c r="C79" s="20"/>
      <c r="I79" s="21"/>
      <c r="J79" s="7"/>
      <c r="K79" s="7"/>
      <c r="L79" s="7"/>
    </row>
    <row r="80" spans="1:12" x14ac:dyDescent="0.25">
      <c r="A80" s="7"/>
      <c r="B80" s="5"/>
      <c r="C80" s="20"/>
      <c r="I80" s="21"/>
      <c r="J80" s="7"/>
      <c r="K80" s="7"/>
      <c r="L80" s="7"/>
    </row>
    <row r="81" spans="1:12" x14ac:dyDescent="0.25">
      <c r="A81" s="7"/>
      <c r="B81" s="5"/>
      <c r="C81" s="20"/>
      <c r="I81" s="21"/>
      <c r="J81" s="7"/>
      <c r="K81" s="7"/>
      <c r="L81" s="7"/>
    </row>
    <row r="82" spans="1:12" x14ac:dyDescent="0.25">
      <c r="A82" s="7"/>
      <c r="B82" s="5"/>
      <c r="C82" s="20"/>
      <c r="I82" s="21"/>
      <c r="J82" s="7"/>
      <c r="K82" s="7"/>
      <c r="L82" s="7"/>
    </row>
    <row r="83" spans="1:12" x14ac:dyDescent="0.25">
      <c r="A83" s="7"/>
      <c r="B83" s="5"/>
      <c r="C83" s="20"/>
      <c r="I83" s="21"/>
      <c r="J83" s="7"/>
      <c r="K83" s="7"/>
      <c r="L83" s="7"/>
    </row>
    <row r="84" spans="1:12" x14ac:dyDescent="0.25">
      <c r="A84" s="7"/>
      <c r="B84" s="5"/>
      <c r="C84" s="20"/>
      <c r="I84" s="21"/>
      <c r="J84" s="7"/>
      <c r="K84" s="7"/>
      <c r="L84" s="7"/>
    </row>
    <row r="85" spans="1:12" x14ac:dyDescent="0.25">
      <c r="A85" s="7"/>
      <c r="B85" s="5"/>
      <c r="C85" s="20"/>
      <c r="I85" s="21"/>
      <c r="J85" s="7"/>
      <c r="K85" s="7"/>
      <c r="L85" s="7"/>
    </row>
    <row r="86" spans="1:12" x14ac:dyDescent="0.25">
      <c r="A86" s="7"/>
      <c r="B86" s="5"/>
      <c r="C86" s="20"/>
      <c r="I86" s="21"/>
      <c r="J86" s="7"/>
      <c r="K86" s="7"/>
      <c r="L86" s="7"/>
    </row>
    <row r="87" spans="1:12" x14ac:dyDescent="0.25">
      <c r="A87" s="7"/>
      <c r="B87" s="5"/>
      <c r="C87" s="20"/>
      <c r="I87" s="21"/>
      <c r="J87" s="7"/>
      <c r="K87" s="7"/>
      <c r="L87" s="7"/>
    </row>
    <row r="88" spans="1:12" x14ac:dyDescent="0.25">
      <c r="A88" s="7"/>
      <c r="B88" s="5"/>
      <c r="C88" s="20"/>
      <c r="I88" s="21"/>
      <c r="J88" s="7"/>
      <c r="K88" s="7"/>
      <c r="L88" s="7"/>
    </row>
    <row r="89" spans="1:12" x14ac:dyDescent="0.25">
      <c r="A89" s="7"/>
      <c r="B89" s="5"/>
      <c r="C89" s="20"/>
      <c r="I89" s="21"/>
      <c r="J89" s="7"/>
      <c r="K89" s="7"/>
      <c r="L89" s="7"/>
    </row>
    <row r="90" spans="1:12" x14ac:dyDescent="0.25">
      <c r="A90" s="7"/>
      <c r="B90" s="5"/>
      <c r="C90" s="20"/>
      <c r="I90" s="21"/>
      <c r="J90" s="7"/>
      <c r="K90" s="7"/>
      <c r="L90" s="7"/>
    </row>
    <row r="91" spans="1:12" x14ac:dyDescent="0.25">
      <c r="A91" s="7"/>
      <c r="B91" s="5"/>
      <c r="C91" s="20"/>
      <c r="I91" s="21"/>
      <c r="J91" s="7"/>
      <c r="K91" s="7"/>
      <c r="L91" s="7"/>
    </row>
    <row r="92" spans="1:12" x14ac:dyDescent="0.25">
      <c r="A92" s="7"/>
      <c r="B92" s="5"/>
      <c r="C92" s="20"/>
      <c r="I92" s="21"/>
      <c r="J92" s="7"/>
      <c r="K92" s="7"/>
      <c r="L92" s="7"/>
    </row>
    <row r="93" spans="1:12" x14ac:dyDescent="0.25">
      <c r="A93" s="7"/>
      <c r="B93" s="5"/>
      <c r="C93" s="20"/>
      <c r="I93" s="21"/>
      <c r="J93" s="7"/>
      <c r="K93" s="7"/>
      <c r="L93" s="7"/>
    </row>
    <row r="94" spans="1:12" x14ac:dyDescent="0.25">
      <c r="A94" s="7"/>
      <c r="B94" s="5"/>
      <c r="C94" s="20"/>
      <c r="I94" s="21"/>
      <c r="J94" s="7"/>
      <c r="K94" s="7"/>
      <c r="L94" s="7"/>
    </row>
    <row r="95" spans="1:12" x14ac:dyDescent="0.25">
      <c r="A95" s="7"/>
      <c r="B95" s="5"/>
      <c r="C95" s="20"/>
      <c r="I95" s="21"/>
      <c r="J95" s="7"/>
      <c r="K95" s="7"/>
      <c r="L95" s="7"/>
    </row>
    <row r="96" spans="1:12" x14ac:dyDescent="0.25">
      <c r="A96" s="7"/>
      <c r="B96" s="5"/>
      <c r="C96" s="20"/>
      <c r="I96" s="21"/>
      <c r="J96" s="7"/>
      <c r="K96" s="7"/>
      <c r="L96" s="7"/>
    </row>
    <row r="97" spans="1:12" x14ac:dyDescent="0.25">
      <c r="A97" s="7"/>
      <c r="B97" s="5"/>
      <c r="C97" s="20"/>
      <c r="I97" s="21"/>
      <c r="J97" s="7"/>
      <c r="K97" s="7"/>
      <c r="L97" s="7"/>
    </row>
    <row r="98" spans="1:12" x14ac:dyDescent="0.25">
      <c r="A98" s="7"/>
      <c r="B98" s="5"/>
      <c r="C98" s="20"/>
      <c r="I98" s="21"/>
      <c r="J98" s="7"/>
      <c r="K98" s="7"/>
      <c r="L98" s="7"/>
    </row>
    <row r="99" spans="1:12" x14ac:dyDescent="0.25">
      <c r="A99" s="7"/>
      <c r="B99" s="5"/>
      <c r="C99" s="20"/>
      <c r="I99" s="21"/>
      <c r="J99" s="7"/>
      <c r="K99" s="7"/>
      <c r="L99" s="7"/>
    </row>
    <row r="100" spans="1:12" x14ac:dyDescent="0.25">
      <c r="A100" s="7"/>
      <c r="B100" s="5"/>
      <c r="C100" s="20"/>
      <c r="I100" s="21"/>
      <c r="J100" s="7"/>
      <c r="K100" s="7"/>
      <c r="L100" s="7"/>
    </row>
    <row r="101" spans="1:12" x14ac:dyDescent="0.25">
      <c r="A101" s="7"/>
      <c r="B101" s="5"/>
      <c r="C101" s="20"/>
      <c r="I101" s="21"/>
      <c r="J101" s="7"/>
      <c r="K101" s="7"/>
      <c r="L101" s="7"/>
    </row>
    <row r="102" spans="1:12" x14ac:dyDescent="0.25">
      <c r="A102" s="7"/>
      <c r="B102" s="5"/>
      <c r="C102" s="20"/>
      <c r="I102" s="21"/>
      <c r="J102" s="7"/>
      <c r="K102" s="7"/>
      <c r="L102" s="7"/>
    </row>
    <row r="103" spans="1:12" x14ac:dyDescent="0.25">
      <c r="A103" s="7"/>
      <c r="B103" s="5"/>
      <c r="C103" s="20"/>
      <c r="I103" s="21"/>
      <c r="J103" s="7"/>
      <c r="K103" s="7"/>
      <c r="L103" s="7"/>
    </row>
    <row r="104" spans="1:12" x14ac:dyDescent="0.25">
      <c r="A104" s="7"/>
      <c r="B104" s="5"/>
      <c r="C104" s="20"/>
      <c r="I104" s="21"/>
      <c r="J104" s="7"/>
      <c r="K104" s="7"/>
      <c r="L104" s="7"/>
    </row>
    <row r="105" spans="1:12" x14ac:dyDescent="0.25">
      <c r="A105" s="7"/>
      <c r="B105" s="5"/>
      <c r="C105" s="20"/>
      <c r="I105" s="21"/>
      <c r="J105" s="7"/>
      <c r="K105" s="7"/>
      <c r="L105" s="7"/>
    </row>
    <row r="106" spans="1:12" x14ac:dyDescent="0.25">
      <c r="A106" s="7"/>
      <c r="B106" s="5"/>
      <c r="C106" s="20"/>
      <c r="I106" s="21"/>
      <c r="J106" s="7"/>
      <c r="K106" s="7"/>
      <c r="L106" s="7"/>
    </row>
    <row r="107" spans="1:12" x14ac:dyDescent="0.25">
      <c r="A107" s="7"/>
      <c r="B107" s="5"/>
      <c r="C107" s="20"/>
      <c r="I107" s="21"/>
      <c r="J107" s="7"/>
      <c r="K107" s="7"/>
      <c r="L107" s="7"/>
    </row>
    <row r="108" spans="1:12" x14ac:dyDescent="0.25">
      <c r="A108" s="7"/>
      <c r="B108" s="5"/>
      <c r="C108" s="20"/>
      <c r="I108" s="21"/>
      <c r="J108" s="7"/>
      <c r="K108" s="7"/>
      <c r="L108" s="7"/>
    </row>
    <row r="109" spans="1:12" x14ac:dyDescent="0.25">
      <c r="A109" s="7"/>
      <c r="B109" s="5"/>
      <c r="C109" s="20"/>
      <c r="I109" s="21"/>
      <c r="J109" s="7"/>
      <c r="K109" s="7"/>
      <c r="L109" s="7"/>
    </row>
    <row r="110" spans="1:12" x14ac:dyDescent="0.25">
      <c r="A110" s="7"/>
      <c r="B110" s="5"/>
      <c r="C110" s="20"/>
      <c r="I110" s="21"/>
      <c r="J110" s="7"/>
      <c r="K110" s="7"/>
      <c r="L110" s="7"/>
    </row>
    <row r="111" spans="1:12" x14ac:dyDescent="0.25">
      <c r="A111" s="7"/>
      <c r="B111" s="5"/>
      <c r="C111" s="20"/>
      <c r="I111" s="21"/>
      <c r="J111" s="7"/>
      <c r="K111" s="7"/>
      <c r="L111" s="7"/>
    </row>
    <row r="112" spans="1:12" x14ac:dyDescent="0.25">
      <c r="A112" s="7"/>
      <c r="B112" s="5"/>
      <c r="C112" s="20"/>
      <c r="I112" s="21"/>
      <c r="J112" s="7"/>
      <c r="K112" s="7"/>
      <c r="L112" s="7"/>
    </row>
    <row r="113" spans="1:12" x14ac:dyDescent="0.25">
      <c r="A113" s="7"/>
      <c r="B113" s="5"/>
      <c r="C113" s="20"/>
      <c r="I113" s="21"/>
      <c r="J113" s="7"/>
      <c r="K113" s="7"/>
      <c r="L113" s="7"/>
    </row>
    <row r="114" spans="1:12" x14ac:dyDescent="0.25">
      <c r="A114" s="7"/>
      <c r="B114" s="5"/>
      <c r="C114" s="20"/>
      <c r="I114" s="21"/>
      <c r="J114" s="7"/>
      <c r="K114" s="7"/>
      <c r="L114" s="7"/>
    </row>
    <row r="115" spans="1:12" x14ac:dyDescent="0.25">
      <c r="A115" s="7"/>
      <c r="B115" s="5"/>
      <c r="C115" s="20"/>
      <c r="I115" s="21"/>
      <c r="J115" s="7"/>
      <c r="K115" s="7"/>
      <c r="L115" s="7"/>
    </row>
    <row r="116" spans="1:12" x14ac:dyDescent="0.25">
      <c r="A116" s="7"/>
      <c r="B116" s="5"/>
      <c r="C116" s="20"/>
      <c r="I116" s="21"/>
      <c r="J116" s="7"/>
      <c r="K116" s="7"/>
      <c r="L116" s="7"/>
    </row>
    <row r="117" spans="1:12" x14ac:dyDescent="0.25">
      <c r="A117" s="7"/>
      <c r="B117" s="5"/>
      <c r="C117" s="20"/>
      <c r="I117" s="21"/>
      <c r="J117" s="7"/>
      <c r="K117" s="7"/>
      <c r="L117" s="7"/>
    </row>
    <row r="118" spans="1:12" x14ac:dyDescent="0.25">
      <c r="A118" s="7"/>
      <c r="B118" s="5"/>
      <c r="C118" s="20"/>
      <c r="I118" s="21"/>
      <c r="J118" s="7"/>
      <c r="K118" s="7"/>
      <c r="L118" s="7"/>
    </row>
    <row r="119" spans="1:12" x14ac:dyDescent="0.25">
      <c r="A119" s="7"/>
      <c r="B119" s="5"/>
      <c r="C119" s="20"/>
      <c r="I119" s="21"/>
      <c r="J119" s="7"/>
      <c r="K119" s="7"/>
      <c r="L119" s="7"/>
    </row>
    <row r="120" spans="1:12" x14ac:dyDescent="0.25">
      <c r="A120" s="7"/>
      <c r="B120" s="5"/>
      <c r="C120" s="20"/>
      <c r="I120" s="21"/>
      <c r="J120" s="7"/>
      <c r="K120" s="7"/>
      <c r="L120" s="7"/>
    </row>
    <row r="121" spans="1:12" x14ac:dyDescent="0.25">
      <c r="A121" s="7"/>
      <c r="B121" s="5"/>
      <c r="C121" s="20"/>
      <c r="I121" s="21"/>
      <c r="J121" s="7"/>
      <c r="K121" s="7"/>
      <c r="L121" s="7"/>
    </row>
    <row r="122" spans="1:12" x14ac:dyDescent="0.25">
      <c r="A122" s="7"/>
      <c r="B122" s="5"/>
      <c r="C122" s="20"/>
      <c r="I122" s="21"/>
      <c r="J122" s="7"/>
      <c r="K122" s="7"/>
      <c r="L122" s="7"/>
    </row>
    <row r="123" spans="1:12" x14ac:dyDescent="0.25">
      <c r="A123" s="7"/>
      <c r="B123" s="5"/>
      <c r="C123" s="20"/>
      <c r="I123" s="21"/>
      <c r="J123" s="7"/>
      <c r="K123" s="7"/>
      <c r="L123" s="7"/>
    </row>
    <row r="124" spans="1:12" x14ac:dyDescent="0.25">
      <c r="A124" s="7"/>
      <c r="B124" s="5"/>
      <c r="C124" s="20"/>
      <c r="I124" s="21"/>
      <c r="J124" s="7"/>
      <c r="K124" s="7"/>
      <c r="L124" s="7"/>
    </row>
    <row r="125" spans="1:12" x14ac:dyDescent="0.25">
      <c r="A125" s="7"/>
      <c r="B125" s="5"/>
      <c r="C125" s="20"/>
      <c r="I125" s="21"/>
      <c r="J125" s="7"/>
      <c r="K125" s="7"/>
      <c r="L125" s="7"/>
    </row>
  </sheetData>
  <mergeCells count="6">
    <mergeCell ref="A34:B34"/>
    <mergeCell ref="A4:A6"/>
    <mergeCell ref="B4:B6"/>
    <mergeCell ref="C4:X5"/>
    <mergeCell ref="A2:X2"/>
    <mergeCell ref="C3:X3"/>
  </mergeCells>
  <printOptions horizontalCentered="1" verticalCentered="1"/>
  <pageMargins left="0" right="0" top="0" bottom="1.1811023622047245" header="0" footer="0"/>
  <pageSetup paperSize="9" scale="77" orientation="landscape" r:id="rId1"/>
  <headerFooter>
    <oddFooter>&amp;L&amp;F&amp;A&amp;R&amp;D&amp;T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Exempt xmlns="http://schemas.microsoft.com/sharepoint/v3">false</_dlc_Exempt>
  </documentManagement>
</p:properties>
</file>

<file path=customXml/item3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44FEE6-B791-4203-9B69-73B2CEC570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53D50E-1643-492C-B4AA-C9EB71834D45}">
  <ds:schemaRefs>
    <ds:schemaRef ds:uri="http://purl.org/dc/elements/1.1/"/>
    <ds:schemaRef ds:uri="806035d9-ad3b-44db-92a1-1ed4b9daec3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a1cef21-950b-48ce-bef3-2690db201377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5E2600-B6A9-4B0A-8CA3-546404C49AB7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0296E031-9AE7-44B1-B1C9-9A5B374A0025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774FFCD-75C4-4E64-B91F-6C390AC77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by Debtor Annual</dc:title>
  <dc:creator/>
  <cp:lastModifiedBy/>
  <dcterms:created xsi:type="dcterms:W3CDTF">2006-09-16T00:00:00Z</dcterms:created>
  <dcterms:modified xsi:type="dcterms:W3CDTF">2026-03-15T10:41:45Z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42900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