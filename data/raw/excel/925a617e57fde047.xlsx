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Y:\Time Series\Time Series _new web site (final)\New website\debt\for upload - khaled (final)\NIB\"/>
    </mc:Choice>
  </mc:AlternateContent>
  <bookViews>
    <workbookView xWindow="-60" yWindow="105" windowWidth="9210" windowHeight="11580" tabRatio="722"/>
  </bookViews>
  <sheets>
    <sheet name="2016-2017   " sheetId="34" r:id="rId1"/>
  </sheets>
  <definedNames>
    <definedName name="_xlnm.Print_Area" localSheetId="0">'2016-2017   '!$A$4:$F$25</definedName>
  </definedNames>
  <calcPr calcId="162913" fullPrecision="0"/>
</workbook>
</file>

<file path=xl/calcChain.xml><?xml version="1.0" encoding="utf-8"?>
<calcChain xmlns="http://schemas.openxmlformats.org/spreadsheetml/2006/main">
  <c r="F8" i="34" l="1"/>
  <c r="E8" i="34"/>
  <c r="D8" i="34"/>
  <c r="D21" i="34" s="1"/>
  <c r="D16" i="34" s="1"/>
  <c r="C8" i="34"/>
  <c r="F21" i="34" l="1"/>
  <c r="F16" i="34" s="1"/>
  <c r="E21" i="34"/>
  <c r="E16" i="34" s="1"/>
  <c r="C21" i="34"/>
  <c r="C16" i="34" s="1"/>
</calcChain>
</file>

<file path=xl/sharedStrings.xml><?xml version="1.0" encoding="utf-8"?>
<sst xmlns="http://schemas.openxmlformats.org/spreadsheetml/2006/main" count="43" uniqueCount="43">
  <si>
    <t>Q1</t>
  </si>
  <si>
    <t>Q2</t>
  </si>
  <si>
    <t>Q3</t>
  </si>
  <si>
    <t xml:space="preserve">وفقا للمنهجية الجديدة الخاصة بعرض بيانات البترول </t>
  </si>
  <si>
    <t>البيانات اولية وقابلة للتعديل  وغير قابلة للنشر</t>
  </si>
  <si>
    <t>( LE mn )</t>
  </si>
  <si>
    <t>Liabilities :of which</t>
  </si>
  <si>
    <t xml:space="preserve"> Social Insurance Fund for Gov. Employees</t>
  </si>
  <si>
    <t xml:space="preserve"> Social Insurance Fund for Pub. &amp; Priv. Business Sectors Employees</t>
  </si>
  <si>
    <t xml:space="preserve"> Proceeds from  investment certificates</t>
  </si>
  <si>
    <t xml:space="preserve"> Accumulated  interest on investment certificates (category A)</t>
  </si>
  <si>
    <t xml:space="preserve"> Proceeds from US dollar development bonds</t>
  </si>
  <si>
    <t xml:space="preserve"> Post office savings</t>
  </si>
  <si>
    <t>Assets :of which</t>
  </si>
  <si>
    <t xml:space="preserve"> Loans to government</t>
  </si>
  <si>
    <t xml:space="preserve"> Loans to economic authorities</t>
  </si>
  <si>
    <t xml:space="preserve"> Investments in government securities (bills and bonds)</t>
  </si>
  <si>
    <t xml:space="preserve"> Deposits of the NIB with the banking system</t>
  </si>
  <si>
    <t>. صندوق التأمين الاجتماعى للعاملين بالحكومة</t>
  </si>
  <si>
    <t>. صندوق التأمين الاجتماعى للعاملين بقطاعى الأعمال العام والخاص</t>
  </si>
  <si>
    <t>. حصيلة شهادات الاستثمار</t>
  </si>
  <si>
    <t>. حصيلة سندات التنمية الدولارية</t>
  </si>
  <si>
    <t>. ودائع صندوق توفير البريد</t>
  </si>
  <si>
    <t>.إستثمارات فى أوراق مالية حكومية (اذون وسندات)</t>
  </si>
  <si>
    <t xml:space="preserve">.ودائع بنك الاستثمار القومى لدى الجهاز المصرفى </t>
  </si>
  <si>
    <t>. العوائد المتراكمة لشهادات الاستثمار مجموعة (أ)</t>
  </si>
  <si>
    <r>
      <t xml:space="preserve"> </t>
    </r>
    <r>
      <rPr>
        <b/>
        <u/>
        <sz val="14"/>
        <rFont val="Arial"/>
        <family val="2"/>
      </rPr>
      <t>- الخصوم  : منها</t>
    </r>
  </si>
  <si>
    <r>
      <t xml:space="preserve"> </t>
    </r>
    <r>
      <rPr>
        <b/>
        <u/>
        <sz val="14"/>
        <rFont val="Arial"/>
        <family val="2"/>
      </rPr>
      <t>- الأصول : منها</t>
    </r>
  </si>
  <si>
    <t xml:space="preserve">End of </t>
  </si>
  <si>
    <t xml:space="preserve"> Lending to holding companies and affiliate units, concessional
 loans, and others </t>
  </si>
  <si>
    <t xml:space="preserve"> - اقراض للحكومة</t>
  </si>
  <si>
    <t xml:space="preserve"> NIB Resources and Uses</t>
  </si>
  <si>
    <t>Sept.2016</t>
  </si>
  <si>
    <t>Dec.2016</t>
  </si>
  <si>
    <t xml:space="preserve"> March 2017</t>
  </si>
  <si>
    <t xml:space="preserve"> June 2017</t>
  </si>
  <si>
    <t>. اقراض للهيئات  العامة الاقتصادية</t>
  </si>
  <si>
    <t>. اقراض للمساهمة فى الشركات القابضة والوحدات التابعة والقروض الميسرة وأخرى (صافى مديونية بنك الاستثمار القومى مطروحا منه المديونية البينية )</t>
  </si>
  <si>
    <t>Source: Central Bank of Egypt -  National Investment Bank.</t>
  </si>
  <si>
    <t>Q4</t>
  </si>
  <si>
    <t xml:space="preserve"> Others*</t>
  </si>
  <si>
    <t>* Including deposits of the private insurance funds, alternative insurance funds, deposits of various authorities and others.</t>
  </si>
  <si>
    <r>
      <t xml:space="preserve">. أخرى </t>
    </r>
    <r>
      <rPr>
        <sz val="14"/>
        <rFont val="Arial"/>
        <family val="2"/>
      </rPr>
      <t>*</t>
    </r>
    <r>
      <rPr>
        <sz val="14"/>
        <rFont val="Akhbar MT"/>
        <charset val="178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</si>
</sst>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2" formatCode="_-&quot;ج.م.‏&quot;\ * #,##0_-;_-&quot;ج.م.‏&quot;\ * #,##0\-;_-&quot;ج.م.‏&quot;\ * &quot;-&quot;_-;_-@_-"/>
    <numFmt numFmtId="41" formatCode="_-* #,##0_-;_-* #,##0\-;_-* &quot;-&quot;_-;_-@_-"/>
    <numFmt numFmtId="44" formatCode="_-&quot;ج.م.‏&quot;\ * #,##0.00_-;_-&quot;ج.م.‏&quot;\ * #,##0.00\-;_-&quot;ج.م.‏&quot;\ * &quot;-&quot;??_-;_-@_-"/>
    <numFmt numFmtId="43" formatCode="_-* #,##0.00_-;_-* #,##0.00\-;_-* &quot;-&quot;??_-;_-@_-"/>
    <numFmt numFmtId="164" formatCode="0.0"/>
    <numFmt numFmtId="165" formatCode="B1mmm\-yy"/>
  </numFmts>
  <fonts count="23">
    <font>
      <sz val="10"/>
      <name val="Arial"/>
      <charset val="178"/>
    </font>
    <font>
      <sz val="10"/>
      <name val="Arial"/>
      <family val="2"/>
      <charset val="178"/>
    </font>
    <font>
      <sz val="14"/>
      <name val="Times New (W1)"/>
      <family val="1"/>
    </font>
    <font>
      <b/>
      <u/>
      <sz val="12"/>
      <name val="Times New (W1)"/>
      <family val="1"/>
    </font>
    <font>
      <sz val="8"/>
      <name val="Arial"/>
      <family val="2"/>
      <charset val="178"/>
    </font>
    <font>
      <b/>
      <u/>
      <sz val="18"/>
      <color indexed="8"/>
      <name val="Lucida Bright"/>
      <family val="1"/>
    </font>
    <font>
      <sz val="14"/>
      <name val="Arial"/>
      <family val="2"/>
    </font>
    <font>
      <b/>
      <u/>
      <sz val="18"/>
      <name val="Arial"/>
      <family val="2"/>
    </font>
    <font>
      <i/>
      <sz val="12"/>
      <name val="Arial"/>
      <family val="2"/>
    </font>
    <font>
      <b/>
      <sz val="18"/>
      <name val="Arial"/>
      <family val="2"/>
    </font>
    <font>
      <sz val="10"/>
      <name val="Arabic Transparent"/>
      <charset val="178"/>
    </font>
    <font>
      <i/>
      <sz val="13"/>
      <name val="Arial"/>
      <family val="2"/>
    </font>
    <font>
      <sz val="10"/>
      <name val="Arial"/>
      <family val="2"/>
    </font>
    <font>
      <b/>
      <u/>
      <sz val="14"/>
      <name val="Times New Roman"/>
      <family val="1"/>
    </font>
    <font>
      <b/>
      <u/>
      <sz val="14"/>
      <name val="Times New (W1)"/>
      <charset val="178"/>
    </font>
    <font>
      <sz val="13"/>
      <name val="Times New (W1)"/>
      <charset val="178"/>
    </font>
    <font>
      <sz val="12"/>
      <name val="Times New Roman"/>
      <family val="1"/>
    </font>
    <font>
      <b/>
      <sz val="12"/>
      <name val="Arial"/>
      <family val="2"/>
      <charset val="178"/>
    </font>
    <font>
      <sz val="10"/>
      <name val="MS Sans Serif"/>
      <family val="2"/>
      <charset val="178"/>
    </font>
    <font>
      <sz val="14"/>
      <name val="Akhbar MT"/>
      <charset val="178"/>
    </font>
    <font>
      <b/>
      <u/>
      <sz val="14"/>
      <name val="Arial"/>
      <family val="2"/>
    </font>
    <font>
      <b/>
      <sz val="20"/>
      <name val="Arial"/>
      <family val="2"/>
    </font>
    <font>
      <sz val="11"/>
      <name val="Arial"/>
      <family val="2"/>
      <charset val="178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41"/>
      </right>
      <top style="double">
        <color indexed="41"/>
      </top>
      <bottom/>
      <diagonal/>
    </border>
    <border>
      <left style="double">
        <color rgb="FF00FFFF"/>
      </left>
      <right style="double">
        <color rgb="FF00FFFF"/>
      </right>
      <top style="double">
        <color rgb="FF00FFFF"/>
      </top>
      <bottom/>
      <diagonal/>
    </border>
    <border>
      <left style="double">
        <color rgb="FF00FFFF"/>
      </left>
      <right/>
      <top/>
      <bottom style="double">
        <color rgb="FF00FFFF"/>
      </bottom>
      <diagonal/>
    </border>
    <border>
      <left/>
      <right style="double">
        <color rgb="FF00FFFF"/>
      </right>
      <top/>
      <bottom style="double">
        <color rgb="FF00FFFF"/>
      </bottom>
      <diagonal/>
    </border>
    <border>
      <left style="double">
        <color rgb="FF00FFFF"/>
      </left>
      <right style="double">
        <color rgb="FF00FFFF"/>
      </right>
      <top/>
      <bottom style="double">
        <color rgb="FF00FFFF"/>
      </bottom>
      <diagonal/>
    </border>
  </borders>
  <cellStyleXfs count="9">
    <xf numFmtId="0" fontId="0" fillId="0" borderId="0"/>
    <xf numFmtId="0" fontId="10" fillId="0" borderId="0" applyNumberFormat="0">
      <alignment horizontal="right"/>
    </xf>
    <xf numFmtId="0" fontId="12" fillId="0" borderId="0"/>
    <xf numFmtId="0" fontId="12" fillId="0" borderId="0"/>
    <xf numFmtId="0" fontId="18" fillId="0" borderId="0"/>
    <xf numFmtId="42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</cellStyleXfs>
  <cellXfs count="54">
    <xf numFmtId="0" fontId="0" fillId="0" borderId="0" xfId="0"/>
    <xf numFmtId="0" fontId="1" fillId="0" borderId="0" xfId="0" applyFont="1" applyFill="1" applyAlignment="1">
      <alignment readingOrder="1"/>
    </xf>
    <xf numFmtId="0" fontId="4" fillId="0" borderId="0" xfId="0" applyFont="1" applyFill="1" applyAlignment="1">
      <alignment readingOrder="1"/>
    </xf>
    <xf numFmtId="0" fontId="8" fillId="0" borderId="0" xfId="0" applyFont="1"/>
    <xf numFmtId="164" fontId="0" fillId="0" borderId="0" xfId="0" applyNumberFormat="1"/>
    <xf numFmtId="0" fontId="0" fillId="0" borderId="0" xfId="0" applyFill="1"/>
    <xf numFmtId="164" fontId="11" fillId="0" borderId="0" xfId="0" applyNumberFormat="1" applyFont="1"/>
    <xf numFmtId="0" fontId="11" fillId="0" borderId="0" xfId="0" applyFont="1"/>
    <xf numFmtId="0" fontId="6" fillId="0" borderId="0" xfId="0" applyFont="1"/>
    <xf numFmtId="164" fontId="6" fillId="0" borderId="0" xfId="0" applyNumberFormat="1" applyFont="1"/>
    <xf numFmtId="0" fontId="15" fillId="3" borderId="1" xfId="0" quotePrefix="1" applyFont="1" applyFill="1" applyBorder="1" applyAlignment="1">
      <alignment horizontal="right" readingOrder="2"/>
    </xf>
    <xf numFmtId="0" fontId="15" fillId="3" borderId="1" xfId="0" applyFont="1" applyFill="1" applyBorder="1" applyAlignment="1">
      <alignment horizontal="right" readingOrder="2"/>
    </xf>
    <xf numFmtId="0" fontId="16" fillId="3" borderId="0" xfId="2" applyFont="1" applyFill="1" applyBorder="1" applyAlignment="1">
      <alignment horizontal="left" vertical="center" indent="1"/>
    </xf>
    <xf numFmtId="0" fontId="0" fillId="0" borderId="0" xfId="0" applyBorder="1"/>
    <xf numFmtId="0" fontId="0" fillId="0" borderId="0" xfId="0" applyFill="1" applyBorder="1"/>
    <xf numFmtId="0" fontId="17" fillId="0" borderId="0" xfId="2" quotePrefix="1" applyFont="1" applyBorder="1" applyAlignment="1">
      <alignment horizontal="center" vertical="center"/>
    </xf>
    <xf numFmtId="0" fontId="0" fillId="0" borderId="0" xfId="0" applyBorder="1" applyAlignment="1"/>
    <xf numFmtId="164" fontId="0" fillId="0" borderId="0" xfId="0" applyNumberFormat="1" applyBorder="1"/>
    <xf numFmtId="164" fontId="6" fillId="0" borderId="0" xfId="0" applyNumberFormat="1" applyFont="1" applyBorder="1"/>
    <xf numFmtId="0" fontId="6" fillId="0" borderId="0" xfId="0" applyFont="1" applyBorder="1"/>
    <xf numFmtId="164" fontId="11" fillId="0" borderId="0" xfId="0" applyNumberFormat="1" applyFont="1" applyBorder="1"/>
    <xf numFmtId="0" fontId="11" fillId="0" borderId="0" xfId="0" applyFont="1" applyBorder="1"/>
    <xf numFmtId="0" fontId="8" fillId="0" borderId="0" xfId="0" applyFont="1" applyBorder="1"/>
    <xf numFmtId="164" fontId="8" fillId="0" borderId="0" xfId="0" applyNumberFormat="1" applyFont="1" applyBorder="1"/>
    <xf numFmtId="164" fontId="0" fillId="0" borderId="0" xfId="0" applyNumberFormat="1" applyBorder="1" applyAlignment="1">
      <alignment horizontal="center"/>
    </xf>
    <xf numFmtId="0" fontId="13" fillId="3" borderId="1" xfId="2" applyFont="1" applyFill="1" applyBorder="1" applyAlignment="1">
      <alignment horizontal="right" vertical="center"/>
    </xf>
    <xf numFmtId="0" fontId="15" fillId="3" borderId="1" xfId="0" applyFont="1" applyFill="1" applyBorder="1" applyAlignment="1">
      <alignment horizontal="left" readingOrder="1"/>
    </xf>
    <xf numFmtId="0" fontId="13" fillId="3" borderId="1" xfId="2" applyFont="1" applyFill="1" applyBorder="1" applyAlignment="1">
      <alignment horizontal="left" vertical="center" readingOrder="1"/>
    </xf>
    <xf numFmtId="0" fontId="15" fillId="3" borderId="1" xfId="0" quotePrefix="1" applyFont="1" applyFill="1" applyBorder="1" applyAlignment="1">
      <alignment horizontal="left" readingOrder="1"/>
    </xf>
    <xf numFmtId="0" fontId="15" fillId="3" borderId="1" xfId="0" applyFont="1" applyFill="1" applyBorder="1" applyAlignment="1">
      <alignment horizontal="left" vertical="center" readingOrder="1"/>
    </xf>
    <xf numFmtId="0" fontId="15" fillId="3" borderId="1" xfId="0" applyFont="1" applyFill="1" applyBorder="1" applyAlignment="1">
      <alignment horizontal="right" vertical="center" readingOrder="2"/>
    </xf>
    <xf numFmtId="0" fontId="13" fillId="3" borderId="1" xfId="2" applyFont="1" applyFill="1" applyBorder="1" applyAlignment="1">
      <alignment horizontal="right" vertical="center" readingOrder="2"/>
    </xf>
    <xf numFmtId="0" fontId="0" fillId="0" borderId="0" xfId="0"/>
    <xf numFmtId="0" fontId="1" fillId="3" borderId="0" xfId="0" applyFont="1" applyFill="1" applyAlignment="1">
      <alignment readingOrder="1"/>
    </xf>
    <xf numFmtId="0" fontId="16" fillId="4" borderId="0" xfId="2" applyFont="1" applyFill="1" applyBorder="1" applyAlignment="1">
      <alignment horizontal="left" vertical="center" indent="1"/>
    </xf>
    <xf numFmtId="0" fontId="3" fillId="2" borderId="3" xfId="0" applyFont="1" applyFill="1" applyBorder="1" applyAlignment="1">
      <alignment horizontal="center" vertical="center" wrapText="1" readingOrder="1"/>
    </xf>
    <xf numFmtId="3" fontId="14" fillId="0" borderId="1" xfId="0" applyNumberFormat="1" applyFont="1" applyFill="1" applyBorder="1" applyAlignment="1">
      <alignment horizontal="center" readingOrder="1"/>
    </xf>
    <xf numFmtId="3" fontId="2" fillId="0" borderId="1" xfId="0" applyNumberFormat="1" applyFont="1" applyFill="1" applyBorder="1" applyAlignment="1">
      <alignment horizontal="center" readingOrder="1"/>
    </xf>
    <xf numFmtId="0" fontId="15" fillId="3" borderId="4" xfId="0" applyFont="1" applyFill="1" applyBorder="1" applyAlignment="1">
      <alignment horizontal="right" wrapText="1" readingOrder="2"/>
    </xf>
    <xf numFmtId="0" fontId="15" fillId="3" borderId="4" xfId="0" applyFont="1" applyFill="1" applyBorder="1" applyAlignment="1">
      <alignment horizontal="left" wrapText="1" readingOrder="1"/>
    </xf>
    <xf numFmtId="0" fontId="0" fillId="3" borderId="0" xfId="0" applyFill="1" applyBorder="1"/>
    <xf numFmtId="0" fontId="3" fillId="2" borderId="5" xfId="0" applyFont="1" applyFill="1" applyBorder="1" applyAlignment="1">
      <alignment horizontal="center" vertical="center" wrapText="1" readingOrder="1"/>
    </xf>
    <xf numFmtId="0" fontId="21" fillId="5" borderId="7" xfId="0" applyFont="1" applyFill="1" applyBorder="1" applyAlignment="1">
      <alignment horizontal="center"/>
    </xf>
    <xf numFmtId="0" fontId="21" fillId="5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 vertical="center" wrapText="1" readingOrder="1"/>
    </xf>
    <xf numFmtId="165" fontId="3" fillId="2" borderId="9" xfId="0" applyNumberFormat="1" applyFont="1" applyFill="1" applyBorder="1" applyAlignment="1">
      <alignment horizontal="center" vertical="center" wrapText="1" readingOrder="1"/>
    </xf>
    <xf numFmtId="0" fontId="5" fillId="0" borderId="0" xfId="0" applyFont="1" applyFill="1" applyBorder="1" applyAlignment="1">
      <alignment horizontal="center" vertical="center" readingOrder="1"/>
    </xf>
    <xf numFmtId="3" fontId="2" fillId="0" borderId="4" xfId="0" applyNumberFormat="1" applyFont="1" applyFill="1" applyBorder="1" applyAlignment="1">
      <alignment horizontal="center" vertical="center" readingOrder="1"/>
    </xf>
    <xf numFmtId="3" fontId="22" fillId="0" borderId="1" xfId="2" applyNumberFormat="1" applyFont="1" applyFill="1" applyBorder="1" applyAlignment="1">
      <alignment horizontal="center" vertical="center" readingOrder="1"/>
    </xf>
    <xf numFmtId="0" fontId="7" fillId="0" borderId="0" xfId="0" applyFont="1" applyFill="1" applyBorder="1" applyAlignment="1">
      <alignment horizontal="center" vertical="center" readingOrder="1"/>
    </xf>
    <xf numFmtId="0" fontId="9" fillId="0" borderId="0" xfId="0" applyFont="1" applyFill="1" applyAlignment="1">
      <alignment horizontal="center" vertical="center" readingOrder="1"/>
    </xf>
    <xf numFmtId="0" fontId="5" fillId="0" borderId="0" xfId="0" applyFont="1" applyFill="1" applyBorder="1" applyAlignment="1">
      <alignment horizontal="center" vertical="center" readingOrder="1"/>
    </xf>
    <xf numFmtId="0" fontId="21" fillId="5" borderId="6" xfId="0" applyFont="1" applyFill="1" applyBorder="1" applyAlignment="1">
      <alignment horizontal="center"/>
    </xf>
    <xf numFmtId="0" fontId="17" fillId="0" borderId="2" xfId="2" quotePrefix="1" applyFont="1" applyBorder="1" applyAlignment="1">
      <alignment horizontal="right"/>
    </xf>
  </cellXfs>
  <cellStyles count="9">
    <cellStyle name="MS_Arabic" xfId="1"/>
    <cellStyle name="Normal" xfId="0" builtinId="0"/>
    <cellStyle name="Normal 2" xfId="3"/>
    <cellStyle name="Normal_wafaa file_12_22-24_26-34" xfId="2"/>
    <cellStyle name="عادي_artim" xfId="4"/>
    <cellStyle name="عملة [0]_رسم" xfId="5"/>
    <cellStyle name="عملة_رسم" xfId="6"/>
    <cellStyle name="فاصلة [0]_رسم" xfId="7"/>
    <cellStyle name="فاصلة_رسم" xf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Equity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Equity">
      <a:majorFont>
        <a:latin typeface="Franklin Gothic Book"/>
        <a:ea typeface=""/>
        <a:cs typeface=""/>
        <a:font script="Grek" typeface="Calibri"/>
        <a:font script="Cyrl" typeface="Calibri"/>
        <a:font script="Jpan" typeface="HGｺﾞｼｯｸM"/>
        <a:font script="Hang" typeface="바탕"/>
        <a:font script="Hans" typeface="幼圆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Perpetua"/>
        <a:ea typeface=""/>
        <a:cs typeface=""/>
        <a:font script="Grek" typeface="Cambria"/>
        <a:font script="Cyrl" typeface="Cambria"/>
        <a:font script="Jpan" typeface="HG創英ﾌﾟﾚｾﾞﾝｽEB"/>
        <a:font script="Hang" typeface="맑은 고딕"/>
        <a:font script="Hans" typeface="宋体"/>
        <a:font script="Hant" typeface="新細明體"/>
        <a:font script="Arab" typeface="Times New Roman"/>
        <a:font script="Hebr" typeface="Aharoni"/>
        <a:font script="Thai" typeface="Eucrosia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Equity">
      <a: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tint val="30000"/>
                <a:satMod val="300000"/>
              </a:schemeClr>
              <a:schemeClr val="phClr">
                <a:tint val="40000"/>
                <a:satMod val="200000"/>
              </a:schemeClr>
            </a:duotone>
          </a:blip>
          <a:tile tx="0" ty="0" sx="70000" sy="70000" flip="none" algn="ctr"/>
        </a:blipFill>
        <a:blipFill>
          <a:blip xmlns:r="http://schemas.openxmlformats.org/officeDocument/2006/relationships" r:embed="rId1">
            <a:duotone>
              <a:schemeClr val="phClr">
                <a:shade val="22000"/>
                <a:satMod val="160000"/>
              </a:schemeClr>
              <a:schemeClr val="phClr">
                <a:shade val="45000"/>
                <a:satMod val="100000"/>
              </a:schemeClr>
            </a:duotone>
          </a:blip>
          <a:tile tx="0" ty="0" sx="65000" sy="65000" flip="none" algn="ctr"/>
        </a:blipFill>
      </a:fillStyleLst>
      <a:lnStyleLst>
        <a:ln w="9525" cap="flat" cmpd="sng" algn="ctr">
          <a:solidFill>
            <a:schemeClr val="phClr">
              <a:shade val="60000"/>
              <a:satMod val="110000"/>
            </a:schemeClr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50800" dist="50800" dir="5400000" algn="t" rotWithShape="0">
              <a:srgbClr val="000000">
                <a:alpha val="60000"/>
              </a:srgbClr>
            </a:outerShdw>
          </a:effectLst>
          <a:scene3d>
            <a:camera prst="isometricBottomUp" fov="0">
              <a:rot lat="0" lon="0" rev="0"/>
            </a:camera>
            <a:lightRig rig="soft" dir="b">
              <a:rot lat="0" lon="0" rev="9000000"/>
            </a:lightRig>
          </a:scene3d>
          <a:sp3d contourW="35000" prstMaterial="matte">
            <a:bevelT w="45000" h="38100" prst="convex"/>
            <a:contourClr>
              <a:schemeClr val="phClr">
                <a:tint val="1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40000"/>
                <a:satMod val="165000"/>
              </a:schemeClr>
            </a:gs>
            <a:gs pos="50000">
              <a:schemeClr val="phClr">
                <a:shade val="80000"/>
                <a:satMod val="155000"/>
              </a:schemeClr>
            </a:gs>
            <a:gs pos="100000">
              <a:schemeClr val="phClr">
                <a:tint val="95000"/>
                <a:satMod val="200000"/>
              </a:schemeClr>
            </a:gs>
          </a:gsLst>
          <a:lin ang="16200000" scaled="1"/>
        </a:gradFill>
        <a:blipFill>
          <a:blip xmlns:r="http://schemas.openxmlformats.org/officeDocument/2006/relationships" r:embed="rId1">
            <a:duotone>
              <a:schemeClr val="phClr">
                <a:tint val="95000"/>
                <a:satMod val="200000"/>
              </a:schemeClr>
              <a:schemeClr val="phClr">
                <a:shade val="80000"/>
                <a:satMod val="100000"/>
              </a:schemeClr>
            </a:duotone>
          </a:blip>
          <a:tile tx="0" ty="0" sx="55000" sy="5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4"/>
  <sheetViews>
    <sheetView tabSelected="1" view="pageBreakPreview" topLeftCell="B5" zoomScale="88" zoomScaleNormal="75" zoomScaleSheetLayoutView="88" workbookViewId="0">
      <selection activeCell="F5" sqref="F5"/>
    </sheetView>
  </sheetViews>
  <sheetFormatPr defaultRowHeight="12.75"/>
  <cols>
    <col min="1" max="1" width="71.140625" style="32" customWidth="1"/>
    <col min="2" max="2" width="66.85546875" style="1" customWidth="1"/>
    <col min="3" max="6" width="18.42578125" style="32" customWidth="1"/>
    <col min="7" max="7" width="11.7109375" style="13" customWidth="1"/>
    <col min="8" max="8" width="12.85546875" style="13" bestFit="1" customWidth="1"/>
    <col min="9" max="9" width="11.140625" style="13" bestFit="1" customWidth="1"/>
    <col min="10" max="10" width="10.7109375" style="13" bestFit="1" customWidth="1"/>
    <col min="11" max="19" width="9.140625" style="13"/>
    <col min="20" max="24" width="9.140625" style="32"/>
    <col min="25" max="25" width="9.28515625" style="32" bestFit="1" customWidth="1"/>
    <col min="26" max="16384" width="9.140625" style="32"/>
  </cols>
  <sheetData>
    <row r="1" spans="1:25" ht="15" hidden="1" customHeight="1"/>
    <row r="2" spans="1:25" ht="23.25" hidden="1">
      <c r="B2" s="49" t="s">
        <v>4</v>
      </c>
      <c r="C2" s="49"/>
      <c r="D2" s="49"/>
      <c r="E2" s="49"/>
      <c r="F2" s="49"/>
    </row>
    <row r="3" spans="1:25" ht="23.25" hidden="1">
      <c r="B3" s="50" t="s">
        <v>3</v>
      </c>
      <c r="C3" s="50"/>
      <c r="D3" s="50"/>
      <c r="E3" s="50"/>
      <c r="F3" s="50"/>
    </row>
    <row r="4" spans="1:25" s="5" customFormat="1" ht="45" customHeight="1">
      <c r="A4" s="51" t="s">
        <v>31</v>
      </c>
      <c r="B4" s="51"/>
      <c r="C4" s="51"/>
      <c r="D4" s="51"/>
      <c r="E4" s="51"/>
      <c r="F4" s="51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</row>
    <row r="5" spans="1:25" s="5" customFormat="1" ht="45" customHeight="1" thickBot="1">
      <c r="A5" s="46"/>
      <c r="B5" s="46"/>
      <c r="C5" s="46"/>
      <c r="D5" s="46"/>
      <c r="E5" s="46"/>
      <c r="F5" s="53" t="s">
        <v>5</v>
      </c>
      <c r="G5" s="15"/>
      <c r="H5" s="15"/>
      <c r="I5" s="15"/>
      <c r="J5" s="15"/>
      <c r="K5" s="15"/>
      <c r="L5" s="14"/>
      <c r="M5" s="14"/>
      <c r="N5" s="14"/>
      <c r="O5" s="14"/>
      <c r="P5" s="14"/>
      <c r="Q5" s="14"/>
      <c r="R5" s="14"/>
      <c r="S5" s="14"/>
    </row>
    <row r="6" spans="1:25" ht="25.5" customHeight="1" thickTop="1">
      <c r="A6" s="52" t="s">
        <v>28</v>
      </c>
      <c r="B6" s="52"/>
      <c r="C6" s="41" t="s">
        <v>0</v>
      </c>
      <c r="D6" s="35" t="s">
        <v>1</v>
      </c>
      <c r="E6" s="35" t="s">
        <v>2</v>
      </c>
      <c r="F6" s="35" t="s">
        <v>39</v>
      </c>
      <c r="I6" s="16"/>
    </row>
    <row r="7" spans="1:25" ht="36" customHeight="1" thickBot="1">
      <c r="A7" s="42"/>
      <c r="B7" s="43"/>
      <c r="C7" s="44" t="s">
        <v>32</v>
      </c>
      <c r="D7" s="44" t="s">
        <v>33</v>
      </c>
      <c r="E7" s="45" t="s">
        <v>34</v>
      </c>
      <c r="F7" s="45" t="s">
        <v>35</v>
      </c>
    </row>
    <row r="8" spans="1:25" ht="24.95" customHeight="1" thickTop="1">
      <c r="A8" s="25" t="s">
        <v>26</v>
      </c>
      <c r="B8" s="27" t="s">
        <v>6</v>
      </c>
      <c r="C8" s="36">
        <f>C9+C10+C11+C12+C13+C14+C15</f>
        <v>322283</v>
      </c>
      <c r="D8" s="36">
        <f t="shared" ref="D8:F8" si="0">D9+D10+D11+D12+D13+D14+D15</f>
        <v>322692</v>
      </c>
      <c r="E8" s="36">
        <f t="shared" si="0"/>
        <v>328838</v>
      </c>
      <c r="F8" s="36">
        <f t="shared" si="0"/>
        <v>344080</v>
      </c>
      <c r="G8" s="17"/>
      <c r="P8" s="17"/>
      <c r="Q8" s="17"/>
      <c r="R8" s="17"/>
      <c r="S8" s="17"/>
      <c r="T8" s="4"/>
      <c r="U8" s="4"/>
      <c r="V8" s="4"/>
      <c r="W8" s="4"/>
      <c r="X8" s="4"/>
      <c r="Y8" s="4"/>
    </row>
    <row r="9" spans="1:25" s="8" customFormat="1" ht="24.95" customHeight="1">
      <c r="A9" s="11" t="s">
        <v>18</v>
      </c>
      <c r="B9" s="26" t="s">
        <v>7</v>
      </c>
      <c r="C9" s="37">
        <v>33053</v>
      </c>
      <c r="D9" s="37">
        <v>33083</v>
      </c>
      <c r="E9" s="37">
        <v>32646</v>
      </c>
      <c r="F9" s="37">
        <v>33407</v>
      </c>
      <c r="G9" s="17"/>
      <c r="H9" s="18"/>
      <c r="I9" s="19"/>
      <c r="J9" s="19"/>
      <c r="K9" s="19"/>
      <c r="L9" s="19"/>
      <c r="M9" s="19"/>
      <c r="N9" s="19"/>
      <c r="O9" s="19"/>
      <c r="P9" s="18"/>
      <c r="Q9" s="18"/>
      <c r="R9" s="18"/>
      <c r="S9" s="18"/>
      <c r="T9" s="9"/>
      <c r="U9" s="9"/>
      <c r="V9" s="9"/>
      <c r="W9" s="9"/>
      <c r="X9" s="9"/>
      <c r="Y9" s="9"/>
    </row>
    <row r="10" spans="1:25" s="7" customFormat="1" ht="24.95" customHeight="1">
      <c r="A10" s="11" t="s">
        <v>19</v>
      </c>
      <c r="B10" s="28" t="s">
        <v>8</v>
      </c>
      <c r="C10" s="37">
        <v>23601</v>
      </c>
      <c r="D10" s="37">
        <v>23299</v>
      </c>
      <c r="E10" s="37">
        <v>22653</v>
      </c>
      <c r="F10" s="37">
        <v>22581</v>
      </c>
      <c r="G10" s="17"/>
      <c r="H10" s="21"/>
      <c r="I10" s="21"/>
      <c r="J10" s="21"/>
      <c r="K10" s="21"/>
      <c r="L10" s="21"/>
      <c r="M10" s="21"/>
      <c r="N10" s="21"/>
      <c r="O10" s="21"/>
      <c r="P10" s="20"/>
      <c r="Q10" s="20"/>
      <c r="R10" s="20"/>
      <c r="S10" s="20"/>
      <c r="T10" s="6"/>
      <c r="U10" s="6"/>
      <c r="V10" s="6"/>
      <c r="W10" s="6"/>
      <c r="X10" s="6"/>
      <c r="Y10" s="6"/>
    </row>
    <row r="11" spans="1:25" s="7" customFormat="1" ht="24.95" customHeight="1">
      <c r="A11" s="11" t="s">
        <v>20</v>
      </c>
      <c r="B11" s="26" t="s">
        <v>9</v>
      </c>
      <c r="C11" s="37">
        <v>141983</v>
      </c>
      <c r="D11" s="37">
        <v>140291</v>
      </c>
      <c r="E11" s="37">
        <v>144670</v>
      </c>
      <c r="F11" s="37">
        <v>155947</v>
      </c>
      <c r="G11" s="17"/>
      <c r="H11" s="20"/>
      <c r="I11" s="21"/>
      <c r="J11" s="21"/>
      <c r="K11" s="21"/>
      <c r="L11" s="21"/>
      <c r="M11" s="21"/>
      <c r="N11" s="21"/>
      <c r="O11" s="21"/>
      <c r="P11" s="20"/>
      <c r="Q11" s="20"/>
      <c r="R11" s="20"/>
      <c r="S11" s="20"/>
      <c r="T11" s="6"/>
      <c r="U11" s="6"/>
      <c r="V11" s="6"/>
      <c r="W11" s="6"/>
      <c r="X11" s="6"/>
      <c r="Y11" s="6"/>
    </row>
    <row r="12" spans="1:25" s="8" customFormat="1" ht="24.95" customHeight="1">
      <c r="A12" s="11" t="s">
        <v>25</v>
      </c>
      <c r="B12" s="28" t="s">
        <v>10</v>
      </c>
      <c r="C12" s="37">
        <v>8111</v>
      </c>
      <c r="D12" s="37">
        <v>7742</v>
      </c>
      <c r="E12" s="37">
        <v>7366</v>
      </c>
      <c r="F12" s="37">
        <v>7546</v>
      </c>
      <c r="G12" s="17"/>
      <c r="H12" s="18"/>
      <c r="I12" s="19"/>
      <c r="J12" s="19"/>
      <c r="K12" s="19"/>
      <c r="L12" s="19"/>
      <c r="M12" s="19"/>
      <c r="N12" s="19"/>
      <c r="O12" s="19"/>
      <c r="P12" s="18"/>
      <c r="Q12" s="18"/>
      <c r="R12" s="18"/>
      <c r="S12" s="18"/>
      <c r="T12" s="9"/>
      <c r="U12" s="9"/>
      <c r="V12" s="9"/>
      <c r="W12" s="9"/>
      <c r="X12" s="9"/>
      <c r="Y12" s="9"/>
    </row>
    <row r="13" spans="1:25" s="7" customFormat="1" ht="24.95" customHeight="1">
      <c r="A13" s="11" t="s">
        <v>21</v>
      </c>
      <c r="B13" s="26" t="s">
        <v>11</v>
      </c>
      <c r="C13" s="37">
        <v>3</v>
      </c>
      <c r="D13" s="37">
        <v>3</v>
      </c>
      <c r="E13" s="37">
        <v>2</v>
      </c>
      <c r="F13" s="37">
        <v>4</v>
      </c>
      <c r="G13" s="17"/>
      <c r="H13" s="18"/>
      <c r="I13" s="21"/>
      <c r="J13" s="21"/>
      <c r="K13" s="21"/>
      <c r="L13" s="21"/>
      <c r="M13" s="21"/>
      <c r="N13" s="21"/>
      <c r="O13" s="21"/>
      <c r="P13" s="20"/>
      <c r="Q13" s="20"/>
      <c r="R13" s="20"/>
      <c r="S13" s="20"/>
      <c r="T13" s="6"/>
      <c r="U13" s="6"/>
      <c r="V13" s="6"/>
      <c r="W13" s="6"/>
      <c r="X13" s="6"/>
      <c r="Y13" s="6"/>
    </row>
    <row r="14" spans="1:25" s="7" customFormat="1" ht="24.95" customHeight="1">
      <c r="A14" s="11" t="s">
        <v>22</v>
      </c>
      <c r="B14" s="28" t="s">
        <v>12</v>
      </c>
      <c r="C14" s="37">
        <v>113414</v>
      </c>
      <c r="D14" s="37">
        <v>116214</v>
      </c>
      <c r="E14" s="37">
        <v>119225</v>
      </c>
      <c r="F14" s="37">
        <v>122271</v>
      </c>
      <c r="G14" s="17"/>
      <c r="H14" s="18"/>
      <c r="I14" s="21"/>
      <c r="J14" s="21"/>
      <c r="K14" s="21"/>
      <c r="L14" s="21"/>
      <c r="M14" s="21"/>
      <c r="N14" s="21"/>
      <c r="O14" s="21"/>
      <c r="P14" s="20"/>
      <c r="Q14" s="20"/>
      <c r="R14" s="20"/>
      <c r="S14" s="20"/>
      <c r="T14" s="6"/>
      <c r="U14" s="6"/>
      <c r="V14" s="6"/>
      <c r="W14" s="6"/>
      <c r="X14" s="6"/>
      <c r="Y14" s="6"/>
    </row>
    <row r="15" spans="1:25" ht="30" customHeight="1">
      <c r="A15" s="30" t="s">
        <v>42</v>
      </c>
      <c r="B15" s="29" t="s">
        <v>40</v>
      </c>
      <c r="C15" s="37">
        <v>2118</v>
      </c>
      <c r="D15" s="37">
        <v>2060</v>
      </c>
      <c r="E15" s="37">
        <v>2276</v>
      </c>
      <c r="F15" s="37">
        <v>2324</v>
      </c>
      <c r="G15" s="17"/>
      <c r="P15" s="17"/>
      <c r="Q15" s="17"/>
      <c r="R15" s="17"/>
      <c r="S15" s="17"/>
      <c r="T15" s="4"/>
      <c r="U15" s="4"/>
      <c r="V15" s="4"/>
      <c r="W15" s="4"/>
      <c r="X15" s="4"/>
      <c r="Y15" s="4"/>
    </row>
    <row r="16" spans="1:25" ht="24.95" customHeight="1">
      <c r="A16" s="31" t="s">
        <v>27</v>
      </c>
      <c r="B16" s="27" t="s">
        <v>13</v>
      </c>
      <c r="C16" s="36">
        <f>SUM(C18:C21)</f>
        <v>322283</v>
      </c>
      <c r="D16" s="36">
        <f>SUM(D18:D21)</f>
        <v>322692</v>
      </c>
      <c r="E16" s="36">
        <f>SUM(E18:E21)</f>
        <v>328838</v>
      </c>
      <c r="F16" s="36">
        <f t="shared" ref="F16" si="1">SUM(F17:F21)</f>
        <v>344080</v>
      </c>
      <c r="G16" s="17"/>
      <c r="P16" s="17"/>
      <c r="Q16" s="17"/>
      <c r="R16" s="17"/>
      <c r="S16" s="17"/>
      <c r="T16" s="4"/>
      <c r="U16" s="4"/>
      <c r="V16" s="4"/>
      <c r="W16" s="4"/>
      <c r="X16" s="4"/>
      <c r="Y16" s="4"/>
    </row>
    <row r="17" spans="1:25" ht="24.95" customHeight="1">
      <c r="A17" s="11" t="s">
        <v>30</v>
      </c>
      <c r="B17" s="26" t="s">
        <v>14</v>
      </c>
      <c r="C17" s="48">
        <v>0</v>
      </c>
      <c r="D17" s="48">
        <v>0</v>
      </c>
      <c r="E17" s="48">
        <v>0</v>
      </c>
      <c r="F17" s="37">
        <v>0</v>
      </c>
      <c r="G17" s="17"/>
      <c r="I17" s="17"/>
      <c r="P17" s="17"/>
      <c r="Q17" s="17"/>
      <c r="R17" s="17"/>
      <c r="S17" s="17"/>
      <c r="T17" s="4"/>
      <c r="U17" s="4"/>
      <c r="V17" s="4"/>
      <c r="W17" s="4"/>
      <c r="X17" s="4"/>
      <c r="Y17" s="4"/>
    </row>
    <row r="18" spans="1:25" s="3" customFormat="1" ht="24.95" customHeight="1">
      <c r="A18" s="10" t="s">
        <v>36</v>
      </c>
      <c r="B18" s="28" t="s">
        <v>15</v>
      </c>
      <c r="C18" s="37">
        <v>53233</v>
      </c>
      <c r="D18" s="37">
        <v>53056</v>
      </c>
      <c r="E18" s="37">
        <v>51391</v>
      </c>
      <c r="F18" s="37">
        <v>51616</v>
      </c>
      <c r="G18" s="17"/>
      <c r="H18" s="22"/>
      <c r="I18" s="23"/>
      <c r="J18" s="23"/>
      <c r="K18" s="22"/>
      <c r="L18" s="22"/>
      <c r="M18" s="22"/>
      <c r="N18" s="22"/>
      <c r="O18" s="22"/>
      <c r="P18" s="17"/>
      <c r="Q18" s="17"/>
      <c r="R18" s="17"/>
      <c r="S18" s="17"/>
      <c r="T18" s="4"/>
      <c r="U18" s="4"/>
      <c r="V18" s="4"/>
      <c r="W18" s="4"/>
      <c r="X18" s="4"/>
      <c r="Y18" s="4"/>
    </row>
    <row r="19" spans="1:25" ht="24.95" customHeight="1">
      <c r="A19" s="11" t="s">
        <v>23</v>
      </c>
      <c r="B19" s="26" t="s">
        <v>16</v>
      </c>
      <c r="C19" s="37">
        <v>28753</v>
      </c>
      <c r="D19" s="37">
        <v>28088</v>
      </c>
      <c r="E19" s="37">
        <v>27963</v>
      </c>
      <c r="F19" s="37">
        <v>32681</v>
      </c>
      <c r="G19" s="17"/>
      <c r="H19" s="24"/>
      <c r="I19" s="17"/>
      <c r="P19" s="17"/>
      <c r="Q19" s="17"/>
      <c r="R19" s="17"/>
      <c r="S19" s="17"/>
      <c r="T19" s="4"/>
      <c r="U19" s="4"/>
      <c r="V19" s="4"/>
      <c r="W19" s="4"/>
      <c r="X19" s="4"/>
      <c r="Y19" s="4"/>
    </row>
    <row r="20" spans="1:25" ht="24.95" customHeight="1">
      <c r="A20" s="10" t="s">
        <v>24</v>
      </c>
      <c r="B20" s="28" t="s">
        <v>17</v>
      </c>
      <c r="C20" s="37">
        <v>4852</v>
      </c>
      <c r="D20" s="37">
        <v>1512</v>
      </c>
      <c r="E20" s="37">
        <v>5138</v>
      </c>
      <c r="F20" s="37">
        <v>7146</v>
      </c>
      <c r="G20" s="17"/>
      <c r="J20" s="17"/>
      <c r="P20" s="17"/>
      <c r="Q20" s="17"/>
      <c r="R20" s="17"/>
      <c r="S20" s="17"/>
      <c r="T20" s="4"/>
      <c r="U20" s="4"/>
      <c r="V20" s="4"/>
      <c r="W20" s="4"/>
      <c r="X20" s="4"/>
      <c r="Y20" s="4"/>
    </row>
    <row r="21" spans="1:25" ht="40.5" customHeight="1">
      <c r="A21" s="38" t="s">
        <v>37</v>
      </c>
      <c r="B21" s="39" t="s">
        <v>29</v>
      </c>
      <c r="C21" s="47">
        <f>C8-C17-C18-C19-C20</f>
        <v>235445</v>
      </c>
      <c r="D21" s="47">
        <f>D8-D17-D18-D19-D20</f>
        <v>240036</v>
      </c>
      <c r="E21" s="47">
        <f>E8-E17-E18-E19-E20</f>
        <v>244346</v>
      </c>
      <c r="F21" s="47">
        <f>F8-F17-F18-F19-F20</f>
        <v>252637</v>
      </c>
      <c r="G21" s="17"/>
      <c r="H21" s="17"/>
      <c r="P21" s="17"/>
      <c r="Q21" s="17"/>
      <c r="R21" s="17"/>
      <c r="S21" s="17"/>
      <c r="T21" s="4"/>
      <c r="U21" s="4"/>
      <c r="V21" s="4"/>
      <c r="W21" s="4"/>
      <c r="X21" s="4"/>
      <c r="Y21" s="4"/>
    </row>
    <row r="22" spans="1:25">
      <c r="B22" s="2"/>
    </row>
    <row r="23" spans="1:25" ht="15.75">
      <c r="A23" s="40" t="s">
        <v>38</v>
      </c>
      <c r="B23" s="33"/>
      <c r="C23" s="34"/>
      <c r="D23" s="34"/>
      <c r="E23" s="34"/>
      <c r="F23" s="34"/>
      <c r="G23" s="12"/>
      <c r="H23" s="12"/>
    </row>
    <row r="24" spans="1:25" ht="18.75" customHeight="1">
      <c r="A24" s="40" t="s">
        <v>41</v>
      </c>
      <c r="B24" s="33"/>
    </row>
  </sheetData>
  <mergeCells count="4">
    <mergeCell ref="B2:F2"/>
    <mergeCell ref="B3:F3"/>
    <mergeCell ref="A4:F4"/>
    <mergeCell ref="A6:B6"/>
  </mergeCells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" right="0" top="0" bottom="0" header="0" footer="0"/>
  <pageSetup paperSize="9" scale="69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806035d9-ad3b-44db-92a1-1ed4b9daec3e">7NQWTN4WQ7WA-971242747-1541</_dlc_DocId>
    <FiscalYear xmlns="806035d9-ad3b-44db-92a1-1ed4b9daec3e">25</FiscalYear>
    <_dlc_DocIdUrl xmlns="806035d9-ad3b-44db-92a1-1ed4b9daec3e">
      <Url>http://cbe-test-spsql:4050/_layouts/15/DocIdRedir.aspx?ID=7NQWTN4WQ7WA-971242747-1541</Url>
      <Description>7NQWTN4WQ7WA-971242747-1541</Description>
    </_dlc_DocIdUrl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9329815C-9573-40C0-80C5-6644D96249EA}"/>
</file>

<file path=customXml/itemProps2.xml><?xml version="1.0" encoding="utf-8"?>
<ds:datastoreItem xmlns:ds="http://schemas.openxmlformats.org/officeDocument/2006/customXml" ds:itemID="{D3BA5630-B5D1-45F4-8798-83F34D4F6CEA}"/>
</file>

<file path=customXml/itemProps3.xml><?xml version="1.0" encoding="utf-8"?>
<ds:datastoreItem xmlns:ds="http://schemas.openxmlformats.org/officeDocument/2006/customXml" ds:itemID="{56C54FDC-C221-4CDF-984D-804749593BF5}"/>
</file>

<file path=customXml/itemProps4.xml><?xml version="1.0" encoding="utf-8"?>
<ds:datastoreItem xmlns:ds="http://schemas.openxmlformats.org/officeDocument/2006/customXml" ds:itemID="{3B2EBF84-1329-4340-B045-D0251606E4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2016-2017   </vt:lpstr>
      <vt:lpstr>'2016-2017  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NIB Quarter 2016 2017</dc:title>
  <dc:creator>mamdouh.marghany</dc:creator>
  <cp:lastModifiedBy>Khaled Abdelnabi</cp:lastModifiedBy>
  <cp:lastPrinted>2017-10-18T11:02:57Z</cp:lastPrinted>
  <dcterms:created xsi:type="dcterms:W3CDTF">2009-04-23T10:41:14Z</dcterms:created>
  <dcterms:modified xsi:type="dcterms:W3CDTF">2019-09-26T14:17:33Z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d644dfc2-9d19-42d3-b28c-bf017eff8b1a</vt:lpwstr>
  </property>
  <property fmtid="{D5CDD505-2E9C-101B-9397-08002B2CF9AE}" pid="3" name="ContentTypeId">
    <vt:lpwstr>0x0101000F4E389F7C5D8E45A95A9ACBCB8FEC82</vt:lpwstr>
  </property>
</Properties>
</file>