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&amp; Hanaa &amp; Wafaa (final 18 May 2021)\debt\"/>
    </mc:Choice>
  </mc:AlternateContent>
  <xr:revisionPtr revIDLastSave="0" documentId="13_ncr:1_{38FD6D5A-5C77-4E02-A0B7-4341615A377F}" xr6:coauthVersionLast="36" xr6:coauthVersionMax="36" xr10:uidLastSave="{00000000-0000-0000-0000-000000000000}"/>
  <bookViews>
    <workbookView xWindow="-60" yWindow="228" windowWidth="9216" windowHeight="11460" tabRatio="722" xr2:uid="{00000000-000D-0000-FFFF-FFFF00000000}"/>
  </bookViews>
  <sheets>
    <sheet name="Debt_annual" sheetId="13" r:id="rId1"/>
  </sheets>
  <definedNames>
    <definedName name="_xlnm.Print_Area" localSheetId="0">Debt_annual!$A$1:$R$53</definedName>
    <definedName name="_xlnm.Print_Titles" localSheetId="0">Debt_annual!$A:$B,Debt_annual!$2:$3</definedName>
  </definedNames>
  <calcPr calcId="191029" fullPrecision="0"/>
</workbook>
</file>

<file path=xl/calcChain.xml><?xml version="1.0" encoding="utf-8"?>
<calcChain xmlns="http://schemas.openxmlformats.org/spreadsheetml/2006/main">
  <c r="R33" i="13" l="1"/>
  <c r="R8" i="13"/>
  <c r="R39" i="13" l="1"/>
  <c r="R36" i="13"/>
  <c r="R24" i="13"/>
  <c r="R7" i="13" s="1"/>
  <c r="R6" i="13" s="1"/>
  <c r="R5" i="13" l="1"/>
  <c r="Q39" i="13"/>
  <c r="Q36" i="13"/>
  <c r="Q33" i="13"/>
  <c r="Q24" i="13"/>
  <c r="Q8" i="13"/>
  <c r="Q7" i="13" s="1"/>
  <c r="Q6" i="13" s="1"/>
  <c r="Q5" i="13" s="1"/>
  <c r="E12" i="13" l="1"/>
  <c r="D12" i="13"/>
  <c r="C12" i="13"/>
  <c r="D8" i="13"/>
  <c r="K8" i="13"/>
  <c r="P12" i="13"/>
  <c r="P8" i="13" s="1"/>
  <c r="F12" i="13"/>
  <c r="G12" i="13"/>
  <c r="G8" i="13" s="1"/>
  <c r="H12" i="13"/>
  <c r="H8" i="13" s="1"/>
  <c r="I12" i="13"/>
  <c r="I8" i="13" s="1"/>
  <c r="J12" i="13"/>
  <c r="J8" i="13" s="1"/>
  <c r="K12" i="13"/>
  <c r="L12" i="13"/>
  <c r="L8" i="13" s="1"/>
  <c r="M12" i="13"/>
  <c r="M8" i="13" s="1"/>
  <c r="N12" i="13"/>
  <c r="N8" i="13" s="1"/>
  <c r="O12" i="13"/>
  <c r="O8" i="13" s="1"/>
  <c r="P24" i="13" l="1"/>
  <c r="P33" i="13"/>
  <c r="P36" i="13"/>
  <c r="P39" i="13"/>
  <c r="P7" i="13" l="1"/>
  <c r="P6" i="13" s="1"/>
  <c r="P5" i="13" s="1"/>
  <c r="O39" i="13"/>
  <c r="O36" i="13"/>
  <c r="O33" i="13"/>
  <c r="O24" i="13"/>
  <c r="O7" i="13" l="1"/>
  <c r="O6" i="13" s="1"/>
  <c r="O5" i="13" s="1"/>
  <c r="N39" i="13"/>
  <c r="N36" i="13"/>
  <c r="N33" i="13"/>
  <c r="M24" i="13"/>
  <c r="N24" i="13"/>
  <c r="N7" i="13" s="1"/>
  <c r="N6" i="13" s="1"/>
  <c r="N5" i="13" s="1"/>
  <c r="M39" i="13" l="1"/>
  <c r="M36" i="13"/>
  <c r="L33" i="13"/>
  <c r="M33" i="13"/>
  <c r="M7" i="13" l="1"/>
  <c r="M6" i="13" s="1"/>
  <c r="M5" i="13" s="1"/>
  <c r="L36" i="13" l="1"/>
  <c r="L39" i="13"/>
  <c r="K24" i="13" l="1"/>
  <c r="K7" i="13" s="1"/>
  <c r="K6" i="13" s="1"/>
  <c r="K33" i="13"/>
  <c r="K36" i="13"/>
  <c r="K39" i="13"/>
  <c r="L24" i="13"/>
  <c r="L7" i="13" s="1"/>
  <c r="L6" i="13" s="1"/>
  <c r="L5" i="13" s="1"/>
  <c r="K5" i="13" l="1"/>
  <c r="F39" i="13"/>
  <c r="F36" i="13"/>
  <c r="F24" i="13"/>
  <c r="F9" i="13"/>
  <c r="F8" i="13" s="1"/>
  <c r="F7" i="13" l="1"/>
  <c r="F6" i="13" s="1"/>
  <c r="F5" i="13" s="1"/>
  <c r="J39" i="13" l="1"/>
  <c r="J36" i="13"/>
  <c r="J33" i="13"/>
  <c r="J24" i="13"/>
  <c r="J7" i="13"/>
  <c r="J6" i="13" s="1"/>
  <c r="I39" i="13"/>
  <c r="I36" i="13"/>
  <c r="I33" i="13"/>
  <c r="I24" i="13"/>
  <c r="H39" i="13"/>
  <c r="H36" i="13"/>
  <c r="H33" i="13"/>
  <c r="H24" i="13"/>
  <c r="H7" i="13" s="1"/>
  <c r="H6" i="13" s="1"/>
  <c r="G39" i="13"/>
  <c r="G36" i="13"/>
  <c r="G24" i="13"/>
  <c r="G7" i="13" s="1"/>
  <c r="G6" i="13" s="1"/>
  <c r="E39" i="13"/>
  <c r="E36" i="13"/>
  <c r="E24" i="13"/>
  <c r="E9" i="13"/>
  <c r="E8" i="13" s="1"/>
  <c r="D39" i="13"/>
  <c r="D36" i="13"/>
  <c r="D24" i="13"/>
  <c r="D7" i="13" s="1"/>
  <c r="D6" i="13" s="1"/>
  <c r="H5" i="13" l="1"/>
  <c r="G5" i="13"/>
  <c r="I5" i="13"/>
  <c r="D5" i="13"/>
  <c r="J5" i="13"/>
  <c r="E7" i="13"/>
  <c r="E6" i="13" s="1"/>
  <c r="E5" i="13" s="1"/>
  <c r="C39" i="13"/>
  <c r="C36" i="13"/>
  <c r="C24" i="13"/>
  <c r="C9" i="13"/>
  <c r="C8" i="13" s="1"/>
  <c r="C7" i="13" l="1"/>
  <c r="C6" i="13" s="1"/>
  <c r="C5" i="13" s="1"/>
</calcChain>
</file>

<file path=xl/sharedStrings.xml><?xml version="1.0" encoding="utf-8"?>
<sst xmlns="http://schemas.openxmlformats.org/spreadsheetml/2006/main" count="90" uniqueCount="85">
  <si>
    <t>Gross Domestic Debt</t>
  </si>
  <si>
    <t xml:space="preserve"> Gross Domestic Debt (1+2+3-4)</t>
  </si>
  <si>
    <t xml:space="preserve"> 1- Net Domestic Debt of Government (A+B+C+D+E+F)</t>
  </si>
  <si>
    <t>A-  Balances of  Bonds &amp; Bills</t>
  </si>
  <si>
    <t xml:space="preserve">  Treasury bonds with the CBE</t>
  </si>
  <si>
    <t xml:space="preserve">  Local currency bonds  with public sector banks</t>
  </si>
  <si>
    <t>US$</t>
  </si>
  <si>
    <t xml:space="preserve">LE </t>
  </si>
  <si>
    <t xml:space="preserve">    Housing bonds</t>
  </si>
  <si>
    <t xml:space="preserve">    Foreign currency bonds with public sector commercial banks </t>
  </si>
  <si>
    <t xml:space="preserve">   The equivalent of the retained 5% of corporate profits to purchase government  bonds</t>
  </si>
  <si>
    <t xml:space="preserve">   Bonds of Barwa Real Estate Investment Company.</t>
  </si>
  <si>
    <t xml:space="preserve">   Treasury Bills :</t>
  </si>
  <si>
    <t>Euro</t>
  </si>
  <si>
    <t>B-  Borrowing from other entities</t>
  </si>
  <si>
    <t>C - Credit Facilities from the Social Insurance Funds</t>
  </si>
  <si>
    <t>E- Net Government Balances with the Banking System</t>
  </si>
  <si>
    <t>NIB  Debt</t>
  </si>
  <si>
    <t>Deposits of the NIB with the banking system (-)</t>
  </si>
  <si>
    <t>أ- الأرصدة من السندات والأذون</t>
  </si>
  <si>
    <t xml:space="preserve">. سندات على الخزانة العامة لدى البنك المركزى </t>
  </si>
  <si>
    <t xml:space="preserve"> . السندات الصادرة بالعملة المحلية لدى بنوك القطاع العام  </t>
  </si>
  <si>
    <t>بالدولار</t>
  </si>
  <si>
    <t>بالجنيه المصرى</t>
  </si>
  <si>
    <t>. سندات الإسكان</t>
  </si>
  <si>
    <t>. مقابل نسبة ال5% المجنبة من أرباح الشركات لشراء سندات حكومية</t>
  </si>
  <si>
    <t>. سندات شركة بروه للإستثمار العقارى</t>
  </si>
  <si>
    <t xml:space="preserve"> أذون على الخزانة العامة </t>
  </si>
  <si>
    <t>ب-  إقتراض من جهات أخرى</t>
  </si>
  <si>
    <t>ج-  تسهيلات إئتمانية من صندوقى التأمين الإجتماعى</t>
  </si>
  <si>
    <t>هـ- صافى أرصدة الحكومة لدى الجهاز المصرفى</t>
  </si>
  <si>
    <t>2-  صافى مديونية الهيئات  العامة الإقتصادية</t>
  </si>
  <si>
    <t xml:space="preserve"> 3-  صافى مديونية بنك الإستثمار القومى </t>
  </si>
  <si>
    <t>. مديونية بنك الإستثمار القومى</t>
  </si>
  <si>
    <t xml:space="preserve"> 4-  المديونية البينية </t>
  </si>
  <si>
    <t>. السندات الصادرة بالعملات الاجنبية لدى بنوك القطاع العام التجارية</t>
  </si>
  <si>
    <t>.اقتراض الحكومة من بنك الاستثمار القومى</t>
  </si>
  <si>
    <t>1- صافى  الدين المحلى الحكومى(أ+ب+ج+د+هـ+و )</t>
  </si>
  <si>
    <t xml:space="preserve">End of June </t>
  </si>
  <si>
    <t>سندات على الخزانة العامة</t>
  </si>
  <si>
    <t xml:space="preserve">   Treasury Bonds :</t>
  </si>
  <si>
    <t xml:space="preserve">  Source: Central Bank of Egypt - Ministry of Finance - National Investment Bank.</t>
  </si>
  <si>
    <r>
      <t>.السندات الدولية (الطرح الخاص لصالح البنك المركزى)</t>
    </r>
    <r>
      <rPr>
        <vertAlign val="superscript"/>
        <sz val="20"/>
        <color indexed="63"/>
        <rFont val="Akhbar MT"/>
        <charset val="178"/>
      </rPr>
      <t>++</t>
    </r>
  </si>
  <si>
    <r>
      <t xml:space="preserve">    International euro bonds ( private placment for the account of CBE)</t>
    </r>
    <r>
      <rPr>
        <vertAlign val="superscript"/>
        <sz val="16"/>
        <rFont val="Arial"/>
        <family val="2"/>
      </rPr>
      <t xml:space="preserve"> ++</t>
    </r>
  </si>
  <si>
    <t xml:space="preserve"> ++  This item represnts the local equivalent of the international euro bonds issued in 11/2016.</t>
  </si>
  <si>
    <t xml:space="preserve"> Moreover, bonds were issued against the government debt to the Bank at an initial value of LE 197.7 billion.  </t>
  </si>
  <si>
    <r>
      <t xml:space="preserve">    Egyptian treasury bonds</t>
    </r>
    <r>
      <rPr>
        <vertAlign val="superscript"/>
        <sz val="14"/>
        <rFont val="Times New Roman"/>
        <family val="1"/>
      </rPr>
      <t>+</t>
    </r>
  </si>
  <si>
    <t xml:space="preserve">         resident abroad to invest their savings in the Egyptian market. .  The Masri Dollar Certificate is a three-year certificate, with a 4% annual return, and is  </t>
  </si>
  <si>
    <t xml:space="preserve">         not redeemable in the first six months.  Its minimum purchase value is US$ 1000, with no ceiling.</t>
  </si>
  <si>
    <r>
      <t xml:space="preserve">. سندات صادرة على الخزانة المصرية </t>
    </r>
    <r>
      <rPr>
        <b/>
        <vertAlign val="superscript"/>
        <sz val="14"/>
        <rFont val="Times New (W1)"/>
        <charset val="178"/>
      </rPr>
      <t>+</t>
    </r>
  </si>
  <si>
    <t xml:space="preserve">  US dollar bonds issued for commercial banks ( NBE - Banque Misr )</t>
  </si>
  <si>
    <t>. السندات الصادرة بالدولار الامريكى لصالح البنوك التجارية (البنك الأهلى المصرى - بنك مصر)</t>
  </si>
  <si>
    <r>
      <t xml:space="preserve">د-  شهادة المصرى الدولارية </t>
    </r>
    <r>
      <rPr>
        <b/>
        <u/>
        <vertAlign val="superscript"/>
        <sz val="14"/>
        <rFont val="Times New (W1)"/>
        <charset val="178"/>
      </rPr>
      <t>**</t>
    </r>
  </si>
  <si>
    <r>
      <t>وـ -اقتراض الحكومة من بنك الاستثمار القومى</t>
    </r>
    <r>
      <rPr>
        <b/>
        <u/>
        <sz val="14"/>
        <rFont val="Arial"/>
        <family val="2"/>
      </rPr>
      <t>***</t>
    </r>
  </si>
  <si>
    <t xml:space="preserve"> **  In order to support the national economy and finance the development plan, the National Bank of Egypt issued a  US dollar certificate in May 2012 for Egyptians </t>
  </si>
  <si>
    <t>*** As of 1/7/2006, the government debt to the NIB was cleared to zero, and the Bank's obligations to insurance and pension funds were transferred to become obligations on the government.</t>
  </si>
  <si>
    <t xml:space="preserve"> **** Apart from the interest payments due to the NIB.</t>
  </si>
  <si>
    <t xml:space="preserve"> . السندات المطروحة فى الخارج *: </t>
  </si>
  <si>
    <t xml:space="preserve">Euro </t>
  </si>
  <si>
    <t>باليورو</t>
  </si>
  <si>
    <t>( LE mn )</t>
  </si>
  <si>
    <t>3- Net NIB Debt</t>
  </si>
  <si>
    <t>. ودائع بنك الإستثمار القومى لدى الجهاز المصرفى (-)</t>
  </si>
  <si>
    <t xml:space="preserve"> 4- Intra-Debt </t>
  </si>
  <si>
    <t>. مديونية الهيئات العامة الإقتصادية قبل بنك الإستثمار القومى</t>
  </si>
  <si>
    <t>2- Net Debt of Public Economic Authorities</t>
  </si>
  <si>
    <t xml:space="preserve">  Bonds offered abroad * :</t>
  </si>
  <si>
    <r>
      <t xml:space="preserve">F- Government Borrowing  from NIB </t>
    </r>
    <r>
      <rPr>
        <b/>
        <u/>
        <vertAlign val="superscript"/>
        <sz val="14"/>
        <rFont val="Times New Roman"/>
        <family val="1"/>
      </rPr>
      <t>***</t>
    </r>
  </si>
  <si>
    <t>D -  The Masri Dollar Certificate**</t>
  </si>
  <si>
    <t>. مديونية الحكومة قبل بنك الإستثمار القومى (إستثمارات فى أوراق مالية حكومية)</t>
  </si>
  <si>
    <t xml:space="preserve"> *  Represents  Holdings of  financial institutions ( the banking and insurance sectors ) resident in Egypt.</t>
  </si>
  <si>
    <t xml:space="preserve">  الدين العام المحلى (1+2+3-4)</t>
  </si>
  <si>
    <t xml:space="preserve">Government debt to the NIB (investments in government securities) </t>
  </si>
  <si>
    <t>Government Borrowing from NIB</t>
  </si>
  <si>
    <t>Loans of public economic authorities to NIB</t>
  </si>
  <si>
    <t>. صافى أرصدة الهيئات العامة الإقتصادية لدى الجهاز  المصرفى</t>
  </si>
  <si>
    <t>Net Balances of Public Economic Authorities with the Banking System</t>
  </si>
  <si>
    <t>Borrowing of Public Economic Authorities from NIB ****</t>
  </si>
  <si>
    <t>. إقتراض الهيئات العامة الإقتصادية من بنك الإستثمار القومى****</t>
  </si>
  <si>
    <t xml:space="preserve"> +   Based on its nominal value, including US$ 980.7 Million worth Egyptian T-bonds, with Zero-Coupon issued on 26/2/2019 with a maturity of two years.</t>
  </si>
  <si>
    <r>
      <t xml:space="preserve">. صكوك على الخزانة العامة بقيمة العجز الإكتوارى فى صناديق التأمينات الإجتماعية </t>
    </r>
    <r>
      <rPr>
        <vertAlign val="superscript"/>
        <sz val="13"/>
        <rFont val="Times New (W1)"/>
        <charset val="178"/>
      </rPr>
      <t>+++</t>
    </r>
  </si>
  <si>
    <r>
      <t xml:space="preserve">. سندات صندوقى التأمينات مقابل نقل مديونية بنك الإستثمار القومى إلى الخزانة  </t>
    </r>
    <r>
      <rPr>
        <vertAlign val="superscript"/>
        <sz val="13"/>
        <rFont val="Times New (W1)"/>
        <charset val="178"/>
      </rPr>
      <t>+++</t>
    </r>
  </si>
  <si>
    <r>
      <t xml:space="preserve">    Government notes to compensate for the actuarial deficit in social  insurance funds  </t>
    </r>
    <r>
      <rPr>
        <vertAlign val="superscript"/>
        <sz val="14"/>
        <rFont val="Times New Roman"/>
        <family val="1"/>
      </rPr>
      <t xml:space="preserve">+++  </t>
    </r>
    <r>
      <rPr>
        <sz val="14"/>
        <rFont val="Times New Roman"/>
        <family val="1"/>
      </rPr>
      <t xml:space="preserve"> </t>
    </r>
  </si>
  <si>
    <r>
      <t xml:space="preserve">   Bonds of the Insurance Funds (against the transfer of NIB debt to the Treasury)  </t>
    </r>
    <r>
      <rPr>
        <vertAlign val="superscript"/>
        <sz val="14"/>
        <rFont val="Times New Roman"/>
        <family val="1"/>
      </rPr>
      <t>+++</t>
    </r>
  </si>
  <si>
    <t xml:space="preserve"> +++  The debt between the Ministry of Finance and SIFs was settled during July/Sept. 2019/2020, pursuant to the Social Insurance and Pension  Law No. 148 issued on 19 August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</si>
</sst>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37">
    <font>
      <sz val="10"/>
      <name val="Arial"/>
      <charset val="178"/>
    </font>
    <font>
      <sz val="10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0"/>
      <name val="Arabic Transparent"/>
      <charset val="178"/>
    </font>
    <font>
      <sz val="13"/>
      <name val="Times New (W1)"/>
      <family val="1"/>
    </font>
    <font>
      <i/>
      <sz val="13"/>
      <name val="Arial"/>
      <family val="2"/>
    </font>
    <font>
      <sz val="14"/>
      <name val="Times New (W1)"/>
      <charset val="178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u/>
      <sz val="14"/>
      <name val="Times New (W1)"/>
      <charset val="178"/>
    </font>
    <font>
      <b/>
      <u/>
      <sz val="14"/>
      <name val="Times New (W1)"/>
      <charset val="178"/>
    </font>
    <font>
      <b/>
      <u/>
      <vertAlign val="superscript"/>
      <sz val="14"/>
      <name val="Times New Roman"/>
      <family val="1"/>
    </font>
    <font>
      <sz val="13"/>
      <name val="Times New (W1)"/>
      <charset val="178"/>
    </font>
    <font>
      <b/>
      <u/>
      <sz val="16"/>
      <name val="Times New (W1)"/>
      <family val="1"/>
    </font>
    <font>
      <b/>
      <u/>
      <sz val="16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u/>
      <vertAlign val="superscript"/>
      <sz val="14"/>
      <name val="Times New (W1)"/>
      <charset val="178"/>
    </font>
    <font>
      <b/>
      <u/>
      <sz val="10"/>
      <name val="Arial"/>
      <family val="2"/>
    </font>
    <font>
      <b/>
      <u/>
      <sz val="16"/>
      <name val="Arial"/>
      <family val="2"/>
      <charset val="178"/>
    </font>
    <font>
      <u/>
      <sz val="10"/>
      <name val="Arial"/>
      <family val="2"/>
    </font>
    <font>
      <sz val="12"/>
      <name val="Arial"/>
      <family val="2"/>
      <charset val="178"/>
    </font>
    <font>
      <sz val="10"/>
      <name val="MS Sans Serif"/>
      <family val="2"/>
      <charset val="178"/>
    </font>
    <font>
      <vertAlign val="superscript"/>
      <sz val="20"/>
      <color indexed="63"/>
      <name val="Akhbar MT"/>
      <charset val="178"/>
    </font>
    <font>
      <vertAlign val="superscript"/>
      <sz val="16"/>
      <name val="Arial"/>
      <family val="2"/>
    </font>
    <font>
      <vertAlign val="superscript"/>
      <sz val="14"/>
      <name val="Times New Roman"/>
      <family val="1"/>
    </font>
    <font>
      <b/>
      <vertAlign val="superscript"/>
      <sz val="14"/>
      <name val="Times New (W1)"/>
      <charset val="178"/>
    </font>
    <font>
      <b/>
      <u/>
      <sz val="14"/>
      <name val="Arial"/>
      <family val="2"/>
    </font>
    <font>
      <b/>
      <sz val="12"/>
      <name val="Arial"/>
      <family val="2"/>
    </font>
    <font>
      <b/>
      <u/>
      <sz val="22"/>
      <color indexed="8"/>
      <name val="Lucida Bright"/>
      <family val="1"/>
    </font>
    <font>
      <vertAlign val="superscript"/>
      <sz val="13"/>
      <name val="Times New (W1)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 style="double">
        <color rgb="FF66FFFF"/>
      </left>
      <right/>
      <top style="double">
        <color rgb="FF66FFFF"/>
      </top>
      <bottom style="double">
        <color rgb="FF66FFFF"/>
      </bottom>
      <diagonal/>
    </border>
    <border>
      <left/>
      <right style="double">
        <color rgb="FF66FFFF"/>
      </right>
      <top style="double">
        <color rgb="FF66FFFF"/>
      </top>
      <bottom style="double">
        <color rgb="FF66FFFF"/>
      </bottom>
      <diagonal/>
    </border>
    <border>
      <left style="thin">
        <color indexed="64"/>
      </left>
      <right style="thin">
        <color indexed="64"/>
      </right>
      <top style="double">
        <color indexed="41"/>
      </top>
      <bottom/>
      <diagonal/>
    </border>
  </borders>
  <cellStyleXfs count="11">
    <xf numFmtId="0" fontId="0" fillId="0" borderId="0"/>
    <xf numFmtId="0" fontId="8" fillId="0" borderId="0" applyNumberFormat="0">
      <alignment horizontal="right"/>
    </xf>
    <xf numFmtId="0" fontId="12" fillId="0" borderId="0"/>
    <xf numFmtId="0" fontId="12" fillId="0" borderId="0"/>
    <xf numFmtId="0" fontId="12" fillId="0" borderId="0"/>
    <xf numFmtId="0" fontId="28" fillId="0" borderId="0"/>
    <xf numFmtId="16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12" fillId="0" borderId="0"/>
  </cellStyleXfs>
  <cellXfs count="57">
    <xf numFmtId="0" fontId="0" fillId="0" borderId="0" xfId="0"/>
    <xf numFmtId="0" fontId="1" fillId="0" borderId="0" xfId="0" applyFont="1" applyFill="1" applyAlignment="1">
      <alignment readingOrder="1"/>
    </xf>
    <xf numFmtId="0" fontId="6" fillId="0" borderId="0" xfId="0" applyFont="1"/>
    <xf numFmtId="0" fontId="7" fillId="0" borderId="0" xfId="0" applyFont="1"/>
    <xf numFmtId="168" fontId="0" fillId="0" borderId="0" xfId="0" applyNumberFormat="1"/>
    <xf numFmtId="0" fontId="0" fillId="0" borderId="0" xfId="0" applyFill="1"/>
    <xf numFmtId="168" fontId="10" fillId="0" borderId="0" xfId="0" applyNumberFormat="1" applyFont="1"/>
    <xf numFmtId="0" fontId="10" fillId="0" borderId="0" xfId="0" applyFont="1"/>
    <xf numFmtId="0" fontId="5" fillId="0" borderId="0" xfId="0" applyFont="1"/>
    <xf numFmtId="168" fontId="5" fillId="0" borderId="0" xfId="0" applyNumberFormat="1" applyFont="1"/>
    <xf numFmtId="0" fontId="13" fillId="3" borderId="2" xfId="2" applyFont="1" applyFill="1" applyBorder="1" applyAlignment="1">
      <alignment horizontal="left" vertical="center" indent="1"/>
    </xf>
    <xf numFmtId="0" fontId="13" fillId="3" borderId="2" xfId="2" applyFont="1" applyFill="1" applyBorder="1" applyAlignment="1">
      <alignment horizontal="left" vertical="center" indent="3"/>
    </xf>
    <xf numFmtId="0" fontId="13" fillId="3" borderId="2" xfId="2" applyFont="1" applyFill="1" applyBorder="1" applyAlignment="1">
      <alignment horizontal="left" vertical="center" wrapText="1" indent="1"/>
    </xf>
    <xf numFmtId="0" fontId="13" fillId="3" borderId="3" xfId="2" applyFont="1" applyFill="1" applyBorder="1" applyAlignment="1">
      <alignment horizontal="left" vertical="center" indent="1"/>
    </xf>
    <xf numFmtId="0" fontId="14" fillId="3" borderId="2" xfId="2" applyFont="1" applyFill="1" applyBorder="1" applyAlignment="1">
      <alignment horizontal="left" vertical="center"/>
    </xf>
    <xf numFmtId="0" fontId="16" fillId="3" borderId="2" xfId="0" quotePrefix="1" applyFont="1" applyFill="1" applyBorder="1" applyAlignment="1">
      <alignment horizontal="right" readingOrder="2"/>
    </xf>
    <xf numFmtId="0" fontId="2" fillId="3" borderId="2" xfId="0" applyFont="1" applyFill="1" applyBorder="1" applyAlignment="1">
      <alignment horizontal="right" readingOrder="2"/>
    </xf>
    <xf numFmtId="0" fontId="18" fillId="3" borderId="2" xfId="0" quotePrefix="1" applyFont="1" applyFill="1" applyBorder="1" applyAlignment="1">
      <alignment horizontal="right" readingOrder="2"/>
    </xf>
    <xf numFmtId="0" fontId="18" fillId="3" borderId="2" xfId="0" applyFont="1" applyFill="1" applyBorder="1" applyAlignment="1">
      <alignment horizontal="right" readingOrder="2"/>
    </xf>
    <xf numFmtId="0" fontId="2" fillId="3" borderId="2" xfId="0" quotePrefix="1" applyFont="1" applyFill="1" applyBorder="1" applyAlignment="1">
      <alignment horizontal="right" readingOrder="2"/>
    </xf>
    <xf numFmtId="0" fontId="19" fillId="3" borderId="2" xfId="0" applyFont="1" applyFill="1" applyBorder="1" applyAlignment="1">
      <alignment horizontal="right" readingOrder="2"/>
    </xf>
    <xf numFmtId="0" fontId="20" fillId="3" borderId="2" xfId="2" applyFont="1" applyFill="1" applyBorder="1" applyAlignment="1">
      <alignment horizontal="left" vertical="center"/>
    </xf>
    <xf numFmtId="0" fontId="21" fillId="3" borderId="2" xfId="2" applyFont="1" applyFill="1" applyBorder="1" applyAlignment="1">
      <alignment horizontal="left" vertical="center" indent="3"/>
    </xf>
    <xf numFmtId="0" fontId="22" fillId="3" borderId="0" xfId="2" applyFont="1" applyFill="1" applyBorder="1" applyAlignment="1">
      <alignment horizontal="left" vertical="center" indent="1"/>
    </xf>
    <xf numFmtId="0" fontId="0" fillId="4" borderId="0" xfId="0" applyFill="1"/>
    <xf numFmtId="0" fontId="0" fillId="4" borderId="0" xfId="0" applyFill="1" applyBorder="1"/>
    <xf numFmtId="0" fontId="19" fillId="5" borderId="1" xfId="0" applyFont="1" applyFill="1" applyBorder="1" applyAlignment="1">
      <alignment horizontal="center" vertical="center" wrapText="1" readingOrder="1"/>
    </xf>
    <xf numFmtId="0" fontId="1" fillId="3" borderId="0" xfId="0" applyFont="1" applyFill="1" applyAlignment="1">
      <alignment readingOrder="1"/>
    </xf>
    <xf numFmtId="0" fontId="19" fillId="5" borderId="4" xfId="0" applyFont="1" applyFill="1" applyBorder="1" applyAlignment="1">
      <alignment horizontal="center" vertical="center" wrapText="1" readingOrder="1"/>
    </xf>
    <xf numFmtId="168" fontId="24" fillId="0" borderId="0" xfId="0" applyNumberFormat="1" applyFont="1"/>
    <xf numFmtId="0" fontId="24" fillId="0" borderId="0" xfId="0" applyFont="1"/>
    <xf numFmtId="0" fontId="19" fillId="2" borderId="5" xfId="0" applyFont="1" applyFill="1" applyBorder="1" applyAlignment="1">
      <alignment horizontal="center" vertical="center" wrapText="1" readingOrder="1"/>
    </xf>
    <xf numFmtId="168" fontId="26" fillId="0" borderId="0" xfId="0" applyNumberFormat="1" applyFont="1"/>
    <xf numFmtId="0" fontId="26" fillId="0" borderId="0" xfId="0" applyFont="1"/>
    <xf numFmtId="3" fontId="3" fillId="4" borderId="3" xfId="0" applyNumberFormat="1" applyFont="1" applyFill="1" applyBorder="1" applyAlignment="1">
      <alignment horizontal="center" readingOrder="1"/>
    </xf>
    <xf numFmtId="3" fontId="16" fillId="4" borderId="2" xfId="0" applyNumberFormat="1" applyFont="1" applyFill="1" applyBorder="1" applyAlignment="1">
      <alignment horizontal="center" readingOrder="1"/>
    </xf>
    <xf numFmtId="3" fontId="15" fillId="4" borderId="2" xfId="0" applyNumberFormat="1" applyFont="1" applyFill="1" applyBorder="1" applyAlignment="1">
      <alignment horizontal="center" readingOrder="1"/>
    </xf>
    <xf numFmtId="1" fontId="3" fillId="4" borderId="2" xfId="0" applyNumberFormat="1" applyFont="1" applyFill="1" applyBorder="1" applyAlignment="1">
      <alignment horizontal="center" readingOrder="1"/>
    </xf>
    <xf numFmtId="3" fontId="3" fillId="4" borderId="2" xfId="0" applyNumberFormat="1" applyFont="1" applyFill="1" applyBorder="1" applyAlignment="1">
      <alignment horizontal="center" readingOrder="1"/>
    </xf>
    <xf numFmtId="3" fontId="11" fillId="4" borderId="2" xfId="0" applyNumberFormat="1" applyFont="1" applyFill="1" applyBorder="1" applyAlignment="1">
      <alignment horizontal="center" readingOrder="1"/>
    </xf>
    <xf numFmtId="3" fontId="2" fillId="4" borderId="2" xfId="0" applyNumberFormat="1" applyFont="1" applyFill="1" applyBorder="1" applyAlignment="1">
      <alignment horizontal="center" readingOrder="1"/>
    </xf>
    <xf numFmtId="3" fontId="16" fillId="4" borderId="8" xfId="0" applyNumberFormat="1" applyFont="1" applyFill="1" applyBorder="1" applyAlignment="1">
      <alignment horizontal="center" readingOrder="1"/>
    </xf>
    <xf numFmtId="0" fontId="16" fillId="3" borderId="2" xfId="0" applyFont="1" applyFill="1" applyBorder="1" applyAlignment="1">
      <alignment horizontal="right" readingOrder="2"/>
    </xf>
    <xf numFmtId="0" fontId="18" fillId="3" borderId="2" xfId="0" quotePrefix="1" applyFont="1" applyFill="1" applyBorder="1" applyAlignment="1">
      <alignment horizontal="right" vertical="center" readingOrder="2"/>
    </xf>
    <xf numFmtId="0" fontId="13" fillId="3" borderId="2" xfId="2" applyFont="1" applyFill="1" applyBorder="1" applyAlignment="1">
      <alignment horizontal="left" vertical="center"/>
    </xf>
    <xf numFmtId="0" fontId="22" fillId="3" borderId="0" xfId="2" applyFont="1" applyFill="1" applyBorder="1" applyAlignment="1">
      <alignment horizontal="left" vertical="center" indent="1"/>
    </xf>
    <xf numFmtId="0" fontId="27" fillId="0" borderId="0" xfId="0" applyFont="1" applyFill="1" applyAlignment="1">
      <alignment readingOrder="1"/>
    </xf>
    <xf numFmtId="0" fontId="34" fillId="0" borderId="0" xfId="0" applyFont="1" applyFill="1" applyAlignment="1">
      <alignment horizontal="right"/>
    </xf>
    <xf numFmtId="0" fontId="4" fillId="0" borderId="0" xfId="0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vertical="center" readingOrder="1"/>
    </xf>
    <xf numFmtId="0" fontId="13" fillId="3" borderId="2" xfId="2" applyFont="1" applyFill="1" applyBorder="1" applyAlignment="1">
      <alignment horizontal="right" vertical="center" indent="3"/>
    </xf>
    <xf numFmtId="0" fontId="11" fillId="3" borderId="2" xfId="0" quotePrefix="1" applyFont="1" applyFill="1" applyBorder="1" applyAlignment="1">
      <alignment horizontal="right" indent="1" readingOrder="2"/>
    </xf>
    <xf numFmtId="0" fontId="11" fillId="3" borderId="3" xfId="0" quotePrefix="1" applyFont="1" applyFill="1" applyBorder="1" applyAlignment="1">
      <alignment horizontal="right" indent="1" readingOrder="2"/>
    </xf>
    <xf numFmtId="0" fontId="9" fillId="3" borderId="2" xfId="0" quotePrefix="1" applyFont="1" applyFill="1" applyBorder="1" applyAlignment="1">
      <alignment horizontal="right" indent="3" readingOrder="2"/>
    </xf>
    <xf numFmtId="0" fontId="25" fillId="5" borderId="6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 readingOrder="1"/>
    </xf>
  </cellXfs>
  <cellStyles count="11">
    <cellStyle name="MS_Arabic" xfId="1" xr:uid="{00000000-0005-0000-0000-000000000000}"/>
    <cellStyle name="Normal" xfId="0" builtinId="0"/>
    <cellStyle name="Normal 2" xfId="4" xr:uid="{00000000-0005-0000-0000-000002000000}"/>
    <cellStyle name="Normal 3" xfId="10" xr:uid="{00000000-0005-0000-0000-000003000000}"/>
    <cellStyle name="Normal 4" xfId="3" xr:uid="{00000000-0005-0000-0000-000004000000}"/>
    <cellStyle name="Normal_wafaa file_12_22-24_26-34" xfId="2" xr:uid="{00000000-0005-0000-0000-000005000000}"/>
    <cellStyle name="عادي_artim" xfId="5" xr:uid="{00000000-0005-0000-0000-000006000000}"/>
    <cellStyle name="عملة [0]_رسم" xfId="6" xr:uid="{00000000-0005-0000-0000-000007000000}"/>
    <cellStyle name="عملة_رسم" xfId="7" xr:uid="{00000000-0005-0000-0000-000008000000}"/>
    <cellStyle name="فاصلة [0]_رسم" xfId="8" xr:uid="{00000000-0005-0000-0000-000009000000}"/>
    <cellStyle name="فاصلة_رسم" xfId="9" xr:uid="{00000000-0005-0000-0000-00000A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tabSelected="1" view="pageBreakPreview" topLeftCell="A22" zoomScale="50" zoomScaleNormal="60" zoomScaleSheetLayoutView="50" workbookViewId="0">
      <selection activeCell="A2" sqref="A2:R53"/>
    </sheetView>
  </sheetViews>
  <sheetFormatPr defaultRowHeight="13.2"/>
  <cols>
    <col min="1" max="1" width="75.6640625" customWidth="1"/>
    <col min="2" max="2" width="96.5546875" style="1" customWidth="1"/>
    <col min="3" max="3" width="18.44140625" customWidth="1"/>
    <col min="4" max="11" width="18.44140625" style="24" customWidth="1"/>
    <col min="12" max="15" width="18.44140625" style="25" customWidth="1"/>
    <col min="16" max="17" width="18.44140625" customWidth="1"/>
    <col min="18" max="18" width="18.33203125" customWidth="1"/>
    <col min="21" max="21" width="9.33203125" bestFit="1" customWidth="1"/>
  </cols>
  <sheetData>
    <row r="1" spans="1:21" ht="26.25" customHeight="1"/>
    <row r="2" spans="1:21" s="5" customFormat="1" ht="34.5" customHeight="1">
      <c r="A2" s="56" t="s">
        <v>0</v>
      </c>
      <c r="B2" s="56"/>
      <c r="C2" s="56"/>
      <c r="D2" s="56"/>
      <c r="E2" s="56"/>
      <c r="F2" s="49"/>
      <c r="G2" s="49"/>
      <c r="H2" s="49"/>
      <c r="I2" s="49"/>
      <c r="J2" s="49"/>
      <c r="K2" s="49"/>
      <c r="L2" s="49"/>
      <c r="M2" s="49"/>
      <c r="N2" s="49"/>
      <c r="O2" s="25"/>
    </row>
    <row r="3" spans="1:21" s="5" customFormat="1" ht="34.5" customHeight="1" thickBot="1">
      <c r="A3" s="48"/>
      <c r="B3" s="48"/>
      <c r="C3" s="48"/>
      <c r="D3" s="48"/>
      <c r="E3" s="48"/>
      <c r="F3" s="49"/>
      <c r="G3" s="49"/>
      <c r="H3" s="49"/>
      <c r="I3" s="49"/>
      <c r="J3" s="49"/>
      <c r="K3" s="49"/>
      <c r="L3" s="49"/>
      <c r="M3" s="49"/>
      <c r="N3" s="49"/>
      <c r="O3" s="25"/>
      <c r="P3" s="47"/>
      <c r="R3" s="47" t="s">
        <v>60</v>
      </c>
    </row>
    <row r="4" spans="1:21" ht="51" customHeight="1" thickTop="1" thickBot="1">
      <c r="A4" s="54" t="s">
        <v>38</v>
      </c>
      <c r="B4" s="55"/>
      <c r="C4" s="31">
        <v>2005</v>
      </c>
      <c r="D4" s="26">
        <v>2006</v>
      </c>
      <c r="E4" s="26">
        <v>2007</v>
      </c>
      <c r="F4" s="26">
        <v>2008</v>
      </c>
      <c r="G4" s="26">
        <v>2009</v>
      </c>
      <c r="H4" s="26">
        <v>2010</v>
      </c>
      <c r="I4" s="26">
        <v>2011</v>
      </c>
      <c r="J4" s="26">
        <v>2012</v>
      </c>
      <c r="K4" s="28">
        <v>2013</v>
      </c>
      <c r="L4" s="28">
        <v>2014</v>
      </c>
      <c r="M4" s="28">
        <v>2015</v>
      </c>
      <c r="N4" s="28">
        <v>2016</v>
      </c>
      <c r="O4" s="28">
        <v>2017</v>
      </c>
      <c r="P4" s="28">
        <v>2018</v>
      </c>
      <c r="Q4" s="28">
        <v>2019</v>
      </c>
      <c r="R4" s="28">
        <v>2020</v>
      </c>
    </row>
    <row r="5" spans="1:21" ht="20.100000000000001" customHeight="1" thickTop="1">
      <c r="A5" s="20" t="s">
        <v>71</v>
      </c>
      <c r="B5" s="21" t="s">
        <v>1</v>
      </c>
      <c r="C5" s="41">
        <f t="shared" ref="C5:O5" si="0">C6+C33+C36-C39</f>
        <v>504681</v>
      </c>
      <c r="D5" s="41">
        <f t="shared" si="0"/>
        <v>587405</v>
      </c>
      <c r="E5" s="41">
        <f t="shared" si="0"/>
        <v>630966</v>
      </c>
      <c r="F5" s="41">
        <f t="shared" si="0"/>
        <v>658307</v>
      </c>
      <c r="G5" s="41">
        <f t="shared" si="0"/>
        <v>755297</v>
      </c>
      <c r="H5" s="41">
        <f t="shared" si="0"/>
        <v>888715</v>
      </c>
      <c r="I5" s="41">
        <f t="shared" si="0"/>
        <v>1044898</v>
      </c>
      <c r="J5" s="41">
        <f t="shared" si="0"/>
        <v>1238137</v>
      </c>
      <c r="K5" s="41">
        <f t="shared" si="0"/>
        <v>1527378</v>
      </c>
      <c r="L5" s="41">
        <f t="shared" si="0"/>
        <v>1816582</v>
      </c>
      <c r="M5" s="41">
        <f t="shared" si="0"/>
        <v>2116345</v>
      </c>
      <c r="N5" s="41">
        <f t="shared" si="0"/>
        <v>2620662</v>
      </c>
      <c r="O5" s="41">
        <f t="shared" si="0"/>
        <v>3160864</v>
      </c>
      <c r="P5" s="41">
        <f>P6+P33+P36-P39</f>
        <v>3696401</v>
      </c>
      <c r="Q5" s="41">
        <f>Q6+Q33+Q36-Q39</f>
        <v>4282112</v>
      </c>
      <c r="R5" s="41">
        <f>R6+R33+R36-R39</f>
        <v>4742107</v>
      </c>
      <c r="S5" s="4"/>
      <c r="T5" s="4"/>
      <c r="U5" s="4"/>
    </row>
    <row r="6" spans="1:21" s="8" customFormat="1" ht="20.100000000000001" customHeight="1">
      <c r="A6" s="19" t="s">
        <v>37</v>
      </c>
      <c r="B6" s="14" t="s">
        <v>2</v>
      </c>
      <c r="C6" s="35">
        <f>C7+C28+C29+C30+C31+C32</f>
        <v>349169</v>
      </c>
      <c r="D6" s="35">
        <f>D7+D28+D29+D30+D31+D32</f>
        <v>387719</v>
      </c>
      <c r="E6" s="35">
        <f>E7+E28+E29+E30+E31+E32</f>
        <v>478173</v>
      </c>
      <c r="F6" s="35">
        <f>F7+F28+F29+F30+F31+F32</f>
        <v>478811</v>
      </c>
      <c r="G6" s="35">
        <f>G7+G28+G29+G30+G31+G32</f>
        <v>562327</v>
      </c>
      <c r="H6" s="35">
        <f>H7+H29+H31</f>
        <v>663818</v>
      </c>
      <c r="I6" s="35">
        <v>808113</v>
      </c>
      <c r="J6" s="35">
        <f>J7+J28+J29+J30+J31+J32</f>
        <v>990529</v>
      </c>
      <c r="K6" s="35">
        <f>K7+K28+K29+K30+K31</f>
        <v>1261141</v>
      </c>
      <c r="L6" s="35">
        <f>L7+L28+L29+L30+L31</f>
        <v>1538459</v>
      </c>
      <c r="M6" s="35">
        <f>M7+M28+M29+M30+M31</f>
        <v>1871332</v>
      </c>
      <c r="N6" s="35">
        <f>N7+N28+N29+N30+N31</f>
        <v>2285644</v>
      </c>
      <c r="O6" s="35">
        <f>O7+O28+O29+O30+O31+O32</f>
        <v>2685898</v>
      </c>
      <c r="P6" s="35">
        <f>P7+P28+P29+P30+P31+P32</f>
        <v>3121804</v>
      </c>
      <c r="Q6" s="35">
        <f>Q7+Q28+Q29+Q30+Q31+Q32</f>
        <v>3730857</v>
      </c>
      <c r="R6" s="35">
        <f>R7+R28+R29+R30+R31+R32</f>
        <v>4163620</v>
      </c>
      <c r="S6" s="9"/>
      <c r="T6" s="9"/>
      <c r="U6" s="9"/>
    </row>
    <row r="7" spans="1:21" s="7" customFormat="1" ht="20.100000000000001" customHeight="1">
      <c r="A7" s="42" t="s">
        <v>19</v>
      </c>
      <c r="B7" s="14" t="s">
        <v>3</v>
      </c>
      <c r="C7" s="36">
        <f>C9+C10+C13+C14+C16+C18+C19+C20+C21+C22+C23+C24</f>
        <v>340898</v>
      </c>
      <c r="D7" s="36">
        <f>D9+D10+D13+D14+D16+D18+D19+D20+D21+D22+D23+D24</f>
        <v>349957</v>
      </c>
      <c r="E7" s="36">
        <f>E9+E10+E13+E14+E16+E18+E19+E20+E21+E22+E23+E24</f>
        <v>562897</v>
      </c>
      <c r="F7" s="36">
        <f>F9+F10+F13+F14+F16+F18+F19+F20+F21+F22+F23+F24</f>
        <v>568960</v>
      </c>
      <c r="G7" s="36">
        <f>G9+G10+G13+G14+G16+G18+G19+G20+G21+G22+G23+G24</f>
        <v>681838</v>
      </c>
      <c r="H7" s="36">
        <f>H9+H10+H13+H14+H16+H18+H19+H20+H21+H22+H24</f>
        <v>779232</v>
      </c>
      <c r="I7" s="36">
        <v>916976</v>
      </c>
      <c r="J7" s="36">
        <f>J9+J10+J13+J14+J16+J18+J19+J20+J21+J22+J25+J26+J27</f>
        <v>1078162</v>
      </c>
      <c r="K7" s="36">
        <f>K9+K10+K11+K13+K14+K16+K18+K19+K20+K21+K22+K23+K24</f>
        <v>1269289</v>
      </c>
      <c r="L7" s="36">
        <f>L9+L10+L11+L13+L14+L16+L18+L19+L20+L21+L22+L23+L24</f>
        <v>1478846</v>
      </c>
      <c r="M7" s="36">
        <f>M9+M10+M11+M13+M14+M16+M18+M19+M20+M21+M22+M23+M24</f>
        <v>1722165</v>
      </c>
      <c r="N7" s="36">
        <f>N9+N10+N11+N13+N14+N16+N18+N19+N20+N21+N22+N23+N24</f>
        <v>2290527</v>
      </c>
      <c r="O7" s="36">
        <f>O8+O24</f>
        <v>3024480</v>
      </c>
      <c r="P7" s="36">
        <f>P8+P24</f>
        <v>3405440</v>
      </c>
      <c r="Q7" s="36">
        <f>Q8+Q24</f>
        <v>3875002</v>
      </c>
      <c r="R7" s="36">
        <f>R8+R24</f>
        <v>4325922</v>
      </c>
      <c r="S7" s="6"/>
      <c r="T7" s="6"/>
      <c r="U7" s="6"/>
    </row>
    <row r="8" spans="1:21" s="7" customFormat="1" ht="20.100000000000001" customHeight="1">
      <c r="A8" s="42" t="s">
        <v>39</v>
      </c>
      <c r="B8" s="14" t="s">
        <v>40</v>
      </c>
      <c r="C8" s="36">
        <f>C9+C10+C11+C12+C16+C17+C18+C19+C20+C21+C22+C23</f>
        <v>215991</v>
      </c>
      <c r="D8" s="36">
        <f t="shared" ref="D8:R8" si="1">D9+D10+D11+D12+D16+D17+D18+D19+D20+D21+D22+D23</f>
        <v>246813</v>
      </c>
      <c r="E8" s="36">
        <f t="shared" si="1"/>
        <v>444240</v>
      </c>
      <c r="F8" s="36">
        <f t="shared" si="1"/>
        <v>422521</v>
      </c>
      <c r="G8" s="36">
        <f t="shared" si="1"/>
        <v>442758</v>
      </c>
      <c r="H8" s="36">
        <f t="shared" si="1"/>
        <v>513111</v>
      </c>
      <c r="I8" s="36">
        <f t="shared" si="1"/>
        <v>560873</v>
      </c>
      <c r="J8" s="36">
        <f t="shared" si="1"/>
        <v>669554</v>
      </c>
      <c r="K8" s="36">
        <f t="shared" si="1"/>
        <v>786024</v>
      </c>
      <c r="L8" s="36">
        <f t="shared" si="1"/>
        <v>944176</v>
      </c>
      <c r="M8" s="36">
        <f t="shared" si="1"/>
        <v>1125969</v>
      </c>
      <c r="N8" s="36">
        <f t="shared" si="1"/>
        <v>1474532</v>
      </c>
      <c r="O8" s="36">
        <f t="shared" si="1"/>
        <v>1838777</v>
      </c>
      <c r="P8" s="36">
        <f t="shared" si="1"/>
        <v>1858300</v>
      </c>
      <c r="Q8" s="36">
        <f t="shared" si="1"/>
        <v>2235971</v>
      </c>
      <c r="R8" s="36">
        <f t="shared" si="1"/>
        <v>2557544</v>
      </c>
      <c r="S8" s="6"/>
      <c r="T8" s="6"/>
      <c r="U8" s="6"/>
    </row>
    <row r="9" spans="1:21" s="7" customFormat="1" ht="20.100000000000001" customHeight="1">
      <c r="A9" s="18" t="s">
        <v>20</v>
      </c>
      <c r="B9" s="10" t="s">
        <v>4</v>
      </c>
      <c r="C9" s="38">
        <f>200284-C10-C13-C16</f>
        <v>164162</v>
      </c>
      <c r="D9" s="38">
        <v>164016</v>
      </c>
      <c r="E9" s="38">
        <f>230848-E16-E10-E13</f>
        <v>165980</v>
      </c>
      <c r="F9" s="38">
        <f>208628-F10-F13-F16</f>
        <v>122378</v>
      </c>
      <c r="G9" s="38">
        <v>121708</v>
      </c>
      <c r="H9" s="38">
        <v>121533</v>
      </c>
      <c r="I9" s="38">
        <v>130596</v>
      </c>
      <c r="J9" s="38">
        <v>178830</v>
      </c>
      <c r="K9" s="38">
        <v>238830</v>
      </c>
      <c r="L9" s="38">
        <v>240330</v>
      </c>
      <c r="M9" s="38">
        <v>240330</v>
      </c>
      <c r="N9" s="38">
        <v>390830</v>
      </c>
      <c r="O9" s="38">
        <v>642330</v>
      </c>
      <c r="P9" s="38">
        <v>613830</v>
      </c>
      <c r="Q9" s="38">
        <v>616530</v>
      </c>
      <c r="R9" s="38">
        <v>618930</v>
      </c>
      <c r="S9" s="6"/>
      <c r="T9" s="6"/>
      <c r="U9" s="6"/>
    </row>
    <row r="10" spans="1:21" s="8" customFormat="1" ht="19.5" customHeight="1">
      <c r="A10" s="17" t="s">
        <v>21</v>
      </c>
      <c r="B10" s="10" t="s">
        <v>5</v>
      </c>
      <c r="C10" s="38">
        <v>4000</v>
      </c>
      <c r="D10" s="38">
        <v>4000</v>
      </c>
      <c r="E10" s="38">
        <v>4000</v>
      </c>
      <c r="F10" s="38">
        <v>4000</v>
      </c>
      <c r="G10" s="38">
        <v>4000</v>
      </c>
      <c r="H10" s="38">
        <v>4000</v>
      </c>
      <c r="I10" s="38">
        <v>4000</v>
      </c>
      <c r="J10" s="38">
        <v>4000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9"/>
      <c r="T10" s="9"/>
      <c r="U10" s="9"/>
    </row>
    <row r="11" spans="1:21" s="7" customFormat="1" ht="20.100000000000001" customHeight="1">
      <c r="A11" s="17" t="s">
        <v>51</v>
      </c>
      <c r="B11" s="10" t="s">
        <v>50</v>
      </c>
      <c r="C11" s="38">
        <v>0</v>
      </c>
      <c r="D11" s="38">
        <v>0</v>
      </c>
      <c r="E11" s="38">
        <v>0</v>
      </c>
      <c r="F11" s="38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8">
        <v>21390</v>
      </c>
      <c r="M11" s="38">
        <v>22560</v>
      </c>
      <c r="N11" s="38">
        <v>26310</v>
      </c>
      <c r="O11" s="38">
        <v>49584</v>
      </c>
      <c r="P11" s="38">
        <v>49018</v>
      </c>
      <c r="Q11" s="38">
        <v>45763</v>
      </c>
      <c r="R11" s="38">
        <v>44199</v>
      </c>
      <c r="S11" s="6"/>
      <c r="T11" s="6"/>
      <c r="U11" s="6"/>
    </row>
    <row r="12" spans="1:21" s="7" customFormat="1" ht="20.100000000000001" customHeight="1">
      <c r="A12" s="18" t="s">
        <v>57</v>
      </c>
      <c r="B12" s="10" t="s">
        <v>66</v>
      </c>
      <c r="C12" s="38">
        <f>C13+C14+C15</f>
        <v>5122</v>
      </c>
      <c r="D12" s="38">
        <f>D13+D14+D15</f>
        <v>5109</v>
      </c>
      <c r="E12" s="38">
        <f>E13+E14+E15</f>
        <v>3868</v>
      </c>
      <c r="F12" s="38">
        <f t="shared" ref="F12:O12" si="2">F13+F14+F15</f>
        <v>3862</v>
      </c>
      <c r="G12" s="38">
        <f t="shared" si="2"/>
        <v>7809</v>
      </c>
      <c r="H12" s="38">
        <f t="shared" si="2"/>
        <v>9813</v>
      </c>
      <c r="I12" s="38">
        <f t="shared" si="2"/>
        <v>11537</v>
      </c>
      <c r="J12" s="38">
        <f t="shared" si="2"/>
        <v>8113</v>
      </c>
      <c r="K12" s="38">
        <f t="shared" si="2"/>
        <v>5539</v>
      </c>
      <c r="L12" s="38">
        <f t="shared" si="2"/>
        <v>6166</v>
      </c>
      <c r="M12" s="38">
        <f t="shared" si="2"/>
        <v>6108</v>
      </c>
      <c r="N12" s="38">
        <f t="shared" si="2"/>
        <v>8832</v>
      </c>
      <c r="O12" s="38">
        <f t="shared" si="2"/>
        <v>18309</v>
      </c>
      <c r="P12" s="38">
        <f>P13+P14+P15</f>
        <v>36336</v>
      </c>
      <c r="Q12" s="38">
        <v>52867</v>
      </c>
      <c r="R12" s="38">
        <v>73570</v>
      </c>
      <c r="S12" s="6"/>
      <c r="T12" s="6"/>
      <c r="U12" s="6"/>
    </row>
    <row r="13" spans="1:21" ht="20.100000000000001" customHeight="1">
      <c r="A13" s="50" t="s">
        <v>22</v>
      </c>
      <c r="B13" s="11" t="s">
        <v>6</v>
      </c>
      <c r="C13" s="38">
        <v>5122</v>
      </c>
      <c r="D13" s="38">
        <v>5109</v>
      </c>
      <c r="E13" s="38">
        <v>3868</v>
      </c>
      <c r="F13" s="38">
        <v>3750</v>
      </c>
      <c r="G13" s="38">
        <v>4036</v>
      </c>
      <c r="H13" s="38">
        <v>6005</v>
      </c>
      <c r="I13" s="38">
        <v>7583</v>
      </c>
      <c r="J13" s="38">
        <v>3834</v>
      </c>
      <c r="K13" s="38">
        <v>5539</v>
      </c>
      <c r="L13" s="38">
        <v>6166</v>
      </c>
      <c r="M13" s="38">
        <v>6108</v>
      </c>
      <c r="N13" s="38">
        <v>8832</v>
      </c>
      <c r="O13" s="38">
        <v>18309</v>
      </c>
      <c r="P13" s="38">
        <v>33573</v>
      </c>
      <c r="Q13" s="38">
        <v>49262</v>
      </c>
      <c r="R13" s="38">
        <v>68971</v>
      </c>
      <c r="S13" s="4"/>
      <c r="T13" s="4"/>
      <c r="U13" s="4"/>
    </row>
    <row r="14" spans="1:21" ht="20.100000000000001" customHeight="1">
      <c r="A14" s="50" t="s">
        <v>23</v>
      </c>
      <c r="B14" s="11" t="s">
        <v>7</v>
      </c>
      <c r="C14" s="38">
        <v>0</v>
      </c>
      <c r="D14" s="38">
        <v>0</v>
      </c>
      <c r="E14" s="38">
        <v>0</v>
      </c>
      <c r="F14" s="38">
        <v>112</v>
      </c>
      <c r="G14" s="38">
        <v>3773</v>
      </c>
      <c r="H14" s="38">
        <v>3808</v>
      </c>
      <c r="I14" s="38">
        <v>3954</v>
      </c>
      <c r="J14" s="38">
        <v>4279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4"/>
      <c r="T14" s="4"/>
      <c r="U14" s="4"/>
    </row>
    <row r="15" spans="1:21" ht="20.100000000000001" customHeight="1">
      <c r="A15" s="50" t="s">
        <v>59</v>
      </c>
      <c r="B15" s="11" t="s">
        <v>58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2763</v>
      </c>
      <c r="Q15" s="38">
        <v>3605</v>
      </c>
      <c r="R15" s="38">
        <v>4599</v>
      </c>
      <c r="S15" s="4"/>
      <c r="T15" s="4"/>
      <c r="U15" s="4"/>
    </row>
    <row r="16" spans="1:21" ht="20.100000000000001" customHeight="1">
      <c r="A16" s="17" t="s">
        <v>49</v>
      </c>
      <c r="B16" s="44" t="s">
        <v>46</v>
      </c>
      <c r="C16" s="38">
        <v>27000</v>
      </c>
      <c r="D16" s="38">
        <v>58000</v>
      </c>
      <c r="E16" s="38">
        <v>57000</v>
      </c>
      <c r="F16" s="38">
        <v>78500</v>
      </c>
      <c r="G16" s="38">
        <v>92500</v>
      </c>
      <c r="H16" s="38">
        <v>159767</v>
      </c>
      <c r="I16" s="38">
        <v>206767</v>
      </c>
      <c r="J16" s="38">
        <v>270567</v>
      </c>
      <c r="K16" s="38">
        <v>315478</v>
      </c>
      <c r="L16" s="38">
        <v>436510</v>
      </c>
      <c r="M16" s="38">
        <v>596940</v>
      </c>
      <c r="N16" s="38">
        <v>745005</v>
      </c>
      <c r="O16" s="38">
        <v>728991</v>
      </c>
      <c r="P16" s="38">
        <v>740398</v>
      </c>
      <c r="Q16" s="38">
        <v>1062923</v>
      </c>
      <c r="R16" s="38">
        <v>1737057</v>
      </c>
      <c r="S16" s="4"/>
      <c r="T16" s="4"/>
      <c r="U16" s="4"/>
    </row>
    <row r="17" spans="1:21" ht="20.100000000000001" customHeight="1">
      <c r="A17" s="43" t="s">
        <v>42</v>
      </c>
      <c r="B17" s="44" t="s">
        <v>43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72123</v>
      </c>
      <c r="P17" s="38">
        <v>71299</v>
      </c>
      <c r="Q17" s="38">
        <v>86700</v>
      </c>
      <c r="R17" s="38">
        <v>83737</v>
      </c>
      <c r="S17" s="4"/>
      <c r="T17" s="4"/>
      <c r="U17" s="4"/>
    </row>
    <row r="18" spans="1:21" s="3" customFormat="1" ht="20.100000000000001" customHeight="1">
      <c r="A18" s="17" t="s">
        <v>80</v>
      </c>
      <c r="B18" s="44" t="s">
        <v>82</v>
      </c>
      <c r="C18" s="38">
        <v>2000</v>
      </c>
      <c r="D18" s="38">
        <v>2000</v>
      </c>
      <c r="E18" s="38">
        <v>2000</v>
      </c>
      <c r="F18" s="38">
        <v>2000</v>
      </c>
      <c r="G18" s="38">
        <v>2000</v>
      </c>
      <c r="H18" s="38">
        <v>2000</v>
      </c>
      <c r="I18" s="38">
        <v>2000</v>
      </c>
      <c r="J18" s="38">
        <v>2000</v>
      </c>
      <c r="K18" s="38">
        <v>2000</v>
      </c>
      <c r="L18" s="38">
        <v>2000</v>
      </c>
      <c r="M18" s="38">
        <v>2000</v>
      </c>
      <c r="N18" s="38">
        <v>2000</v>
      </c>
      <c r="O18" s="38">
        <v>2000</v>
      </c>
      <c r="P18" s="38">
        <v>2000</v>
      </c>
      <c r="Q18" s="38">
        <v>2000</v>
      </c>
      <c r="R18" s="38">
        <v>0</v>
      </c>
      <c r="S18" s="4"/>
      <c r="T18" s="4"/>
      <c r="U18" s="4"/>
    </row>
    <row r="19" spans="1:21" ht="20.100000000000001" customHeight="1">
      <c r="A19" s="17" t="s">
        <v>24</v>
      </c>
      <c r="B19" s="44" t="s">
        <v>8</v>
      </c>
      <c r="C19" s="38">
        <v>124</v>
      </c>
      <c r="D19" s="38">
        <v>122</v>
      </c>
      <c r="E19" s="38">
        <v>119</v>
      </c>
      <c r="F19" s="38">
        <v>117</v>
      </c>
      <c r="G19" s="38">
        <v>116</v>
      </c>
      <c r="H19" s="38">
        <v>114</v>
      </c>
      <c r="I19" s="38">
        <v>115</v>
      </c>
      <c r="J19" s="38">
        <v>111</v>
      </c>
      <c r="K19" s="38">
        <v>106</v>
      </c>
      <c r="L19" s="38">
        <v>101</v>
      </c>
      <c r="M19" s="38">
        <v>92</v>
      </c>
      <c r="N19" s="38">
        <v>62</v>
      </c>
      <c r="O19" s="38">
        <v>46</v>
      </c>
      <c r="P19" s="38">
        <v>48</v>
      </c>
      <c r="Q19" s="38">
        <v>50</v>
      </c>
      <c r="R19" s="38">
        <v>51</v>
      </c>
      <c r="S19" s="4"/>
      <c r="T19" s="4"/>
      <c r="U19" s="4"/>
    </row>
    <row r="20" spans="1:21" ht="19.5" customHeight="1">
      <c r="A20" s="17" t="s">
        <v>35</v>
      </c>
      <c r="B20" s="44" t="s">
        <v>9</v>
      </c>
      <c r="C20" s="38">
        <v>12070</v>
      </c>
      <c r="D20" s="38">
        <v>12014</v>
      </c>
      <c r="E20" s="38">
        <v>11886</v>
      </c>
      <c r="F20" s="38">
        <v>11126</v>
      </c>
      <c r="G20" s="38">
        <v>11677</v>
      </c>
      <c r="H20" s="38">
        <v>11883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4"/>
      <c r="T20" s="4"/>
      <c r="U20" s="4"/>
    </row>
    <row r="21" spans="1:21" ht="20.100000000000001" customHeight="1">
      <c r="A21" s="17" t="s">
        <v>25</v>
      </c>
      <c r="B21" s="44" t="s">
        <v>10</v>
      </c>
      <c r="C21" s="38">
        <v>1513</v>
      </c>
      <c r="D21" s="38">
        <v>1552</v>
      </c>
      <c r="E21" s="38">
        <v>1588</v>
      </c>
      <c r="F21" s="38">
        <v>1636</v>
      </c>
      <c r="G21" s="38">
        <v>1700</v>
      </c>
      <c r="H21" s="38">
        <v>1764</v>
      </c>
      <c r="I21" s="38">
        <v>1830</v>
      </c>
      <c r="J21" s="38">
        <v>1905</v>
      </c>
      <c r="K21" s="38">
        <v>1998</v>
      </c>
      <c r="L21" s="38">
        <v>2051</v>
      </c>
      <c r="M21" s="38">
        <v>2124</v>
      </c>
      <c r="N21" s="38">
        <v>2199</v>
      </c>
      <c r="O21" s="38">
        <v>2270</v>
      </c>
      <c r="P21" s="38">
        <v>0</v>
      </c>
      <c r="Q21" s="38">
        <v>0</v>
      </c>
      <c r="R21" s="38">
        <v>0</v>
      </c>
      <c r="S21" s="4"/>
      <c r="T21" s="4"/>
      <c r="U21" s="4"/>
    </row>
    <row r="22" spans="1:21" ht="20.100000000000001" customHeight="1">
      <c r="A22" s="17" t="s">
        <v>81</v>
      </c>
      <c r="B22" s="44" t="s">
        <v>83</v>
      </c>
      <c r="C22" s="38">
        <v>0</v>
      </c>
      <c r="D22" s="38">
        <v>0</v>
      </c>
      <c r="E22" s="38">
        <v>197799</v>
      </c>
      <c r="F22" s="38">
        <v>198902</v>
      </c>
      <c r="G22" s="38">
        <v>201248</v>
      </c>
      <c r="H22" s="38">
        <v>202237</v>
      </c>
      <c r="I22" s="38">
        <v>204028</v>
      </c>
      <c r="J22" s="38">
        <v>204028</v>
      </c>
      <c r="K22" s="38">
        <v>219507</v>
      </c>
      <c r="L22" s="38">
        <v>233704</v>
      </c>
      <c r="M22" s="38">
        <v>254532</v>
      </c>
      <c r="N22" s="38">
        <v>298653</v>
      </c>
      <c r="O22" s="38">
        <v>323124</v>
      </c>
      <c r="P22" s="38">
        <v>345371</v>
      </c>
      <c r="Q22" s="38">
        <v>369138</v>
      </c>
      <c r="R22" s="38">
        <v>0</v>
      </c>
      <c r="S22" s="4"/>
      <c r="T22" s="4"/>
      <c r="U22" s="4"/>
    </row>
    <row r="23" spans="1:21" ht="20.100000000000001" customHeight="1">
      <c r="A23" s="17" t="s">
        <v>26</v>
      </c>
      <c r="B23" s="44" t="s">
        <v>11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2566</v>
      </c>
      <c r="L23" s="38">
        <v>1924</v>
      </c>
      <c r="M23" s="38">
        <v>1283</v>
      </c>
      <c r="N23" s="38">
        <v>641</v>
      </c>
      <c r="O23" s="38">
        <v>0</v>
      </c>
      <c r="P23" s="38">
        <v>0</v>
      </c>
      <c r="Q23" s="38">
        <v>0</v>
      </c>
      <c r="R23" s="38">
        <v>0</v>
      </c>
      <c r="S23" s="4"/>
      <c r="T23" s="4"/>
      <c r="U23" s="4"/>
    </row>
    <row r="24" spans="1:21" ht="20.100000000000001" customHeight="1">
      <c r="A24" s="42" t="s">
        <v>27</v>
      </c>
      <c r="B24" s="14" t="s">
        <v>12</v>
      </c>
      <c r="C24" s="35">
        <f t="shared" ref="C24:F24" si="3">C25+C26+C27</f>
        <v>124907</v>
      </c>
      <c r="D24" s="35">
        <f t="shared" si="3"/>
        <v>103144</v>
      </c>
      <c r="E24" s="35">
        <f t="shared" si="3"/>
        <v>118657</v>
      </c>
      <c r="F24" s="35">
        <f t="shared" si="3"/>
        <v>146439</v>
      </c>
      <c r="G24" s="35">
        <f t="shared" ref="G24:K24" si="4">G25+G26+G27</f>
        <v>239080</v>
      </c>
      <c r="H24" s="35">
        <f t="shared" si="4"/>
        <v>266121</v>
      </c>
      <c r="I24" s="35">
        <f t="shared" si="4"/>
        <v>356103</v>
      </c>
      <c r="J24" s="35">
        <f t="shared" si="4"/>
        <v>408608</v>
      </c>
      <c r="K24" s="35">
        <f t="shared" si="4"/>
        <v>483265</v>
      </c>
      <c r="L24" s="35">
        <f>L25+L26+L27</f>
        <v>534670</v>
      </c>
      <c r="M24" s="35">
        <f t="shared" ref="M24:O24" si="5">M25+M26+M27</f>
        <v>596196</v>
      </c>
      <c r="N24" s="35">
        <f t="shared" si="5"/>
        <v>815995</v>
      </c>
      <c r="O24" s="35">
        <f t="shared" si="5"/>
        <v>1185703</v>
      </c>
      <c r="P24" s="35">
        <f t="shared" ref="P24:R24" si="6">P25+P26+P27</f>
        <v>1547140</v>
      </c>
      <c r="Q24" s="35">
        <f t="shared" si="6"/>
        <v>1639031</v>
      </c>
      <c r="R24" s="35">
        <f t="shared" si="6"/>
        <v>1768378</v>
      </c>
      <c r="S24" s="4"/>
      <c r="T24" s="4"/>
      <c r="U24" s="4"/>
    </row>
    <row r="25" spans="1:21" ht="20.100000000000001" customHeight="1">
      <c r="A25" s="53" t="s">
        <v>23</v>
      </c>
      <c r="B25" s="22" t="s">
        <v>7</v>
      </c>
      <c r="C25" s="39">
        <v>124907</v>
      </c>
      <c r="D25" s="39">
        <v>103144</v>
      </c>
      <c r="E25" s="39">
        <v>118657</v>
      </c>
      <c r="F25" s="39">
        <v>146439</v>
      </c>
      <c r="G25" s="39">
        <v>239080</v>
      </c>
      <c r="H25" s="39">
        <v>266121</v>
      </c>
      <c r="I25" s="39">
        <v>356103</v>
      </c>
      <c r="J25" s="39">
        <v>373398</v>
      </c>
      <c r="K25" s="39">
        <v>425847</v>
      </c>
      <c r="L25" s="39">
        <v>471521</v>
      </c>
      <c r="M25" s="39">
        <v>531543</v>
      </c>
      <c r="N25" s="39">
        <v>656740</v>
      </c>
      <c r="O25" s="39">
        <v>858004</v>
      </c>
      <c r="P25" s="39">
        <v>1227566</v>
      </c>
      <c r="Q25" s="39">
        <v>1417389</v>
      </c>
      <c r="R25" s="39">
        <v>1567759</v>
      </c>
      <c r="S25" s="4"/>
      <c r="T25" s="4"/>
      <c r="U25" s="4"/>
    </row>
    <row r="26" spans="1:21" ht="20.100000000000001" customHeight="1">
      <c r="A26" s="53" t="s">
        <v>22</v>
      </c>
      <c r="B26" s="22" t="s">
        <v>6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35210</v>
      </c>
      <c r="K26" s="39">
        <v>46914</v>
      </c>
      <c r="L26" s="39">
        <v>51166</v>
      </c>
      <c r="M26" s="39">
        <v>53307</v>
      </c>
      <c r="N26" s="39">
        <v>145576</v>
      </c>
      <c r="O26" s="39">
        <v>300218</v>
      </c>
      <c r="P26" s="39">
        <v>291648</v>
      </c>
      <c r="Q26" s="39">
        <v>196796</v>
      </c>
      <c r="R26" s="39">
        <v>177144</v>
      </c>
      <c r="S26" s="4"/>
      <c r="T26" s="4"/>
      <c r="U26" s="4"/>
    </row>
    <row r="27" spans="1:21" s="2" customFormat="1" ht="20.100000000000001" customHeight="1">
      <c r="A27" s="53" t="s">
        <v>59</v>
      </c>
      <c r="B27" s="22" t="s">
        <v>13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10504</v>
      </c>
      <c r="L27" s="39">
        <v>11983</v>
      </c>
      <c r="M27" s="39">
        <v>11346</v>
      </c>
      <c r="N27" s="39">
        <v>13679</v>
      </c>
      <c r="O27" s="39">
        <v>27481</v>
      </c>
      <c r="P27" s="39">
        <v>27926</v>
      </c>
      <c r="Q27" s="39">
        <v>24846</v>
      </c>
      <c r="R27" s="39">
        <v>23475</v>
      </c>
      <c r="S27" s="4"/>
      <c r="T27" s="4"/>
      <c r="U27" s="4"/>
    </row>
    <row r="28" spans="1:21" ht="20.100000000000001" customHeight="1">
      <c r="A28" s="15" t="s">
        <v>28</v>
      </c>
      <c r="B28" s="14" t="s">
        <v>14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2000</v>
      </c>
      <c r="J28" s="35">
        <v>13036</v>
      </c>
      <c r="K28" s="35">
        <v>25348</v>
      </c>
      <c r="L28" s="35">
        <v>15686</v>
      </c>
      <c r="M28" s="35">
        <v>5640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4"/>
      <c r="T28" s="4"/>
      <c r="U28" s="4"/>
    </row>
    <row r="29" spans="1:21" ht="21" customHeight="1">
      <c r="A29" s="15" t="s">
        <v>29</v>
      </c>
      <c r="B29" s="14" t="s">
        <v>15</v>
      </c>
      <c r="C29" s="35">
        <v>0</v>
      </c>
      <c r="D29" s="35">
        <v>0</v>
      </c>
      <c r="E29" s="35">
        <v>4517</v>
      </c>
      <c r="F29" s="35">
        <v>2343</v>
      </c>
      <c r="G29" s="35">
        <v>2343</v>
      </c>
      <c r="H29" s="35">
        <v>2343</v>
      </c>
      <c r="I29" s="35">
        <v>2343</v>
      </c>
      <c r="J29" s="35">
        <v>1725</v>
      </c>
      <c r="K29" s="35">
        <v>1225</v>
      </c>
      <c r="L29" s="35">
        <v>1225</v>
      </c>
      <c r="M29" s="35">
        <v>450</v>
      </c>
      <c r="N29" s="35">
        <v>250</v>
      </c>
      <c r="O29" s="35">
        <v>250</v>
      </c>
      <c r="P29" s="35">
        <v>0</v>
      </c>
      <c r="Q29" s="35">
        <v>0</v>
      </c>
      <c r="R29" s="35">
        <v>0</v>
      </c>
      <c r="S29" s="4"/>
      <c r="T29" s="4"/>
      <c r="U29" s="4"/>
    </row>
    <row r="30" spans="1:21" ht="20.100000000000001" customHeight="1">
      <c r="A30" s="15" t="s">
        <v>52</v>
      </c>
      <c r="B30" s="14" t="s">
        <v>68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193</v>
      </c>
      <c r="K30" s="35">
        <v>1421</v>
      </c>
      <c r="L30" s="35">
        <v>2256</v>
      </c>
      <c r="M30" s="35">
        <v>2207</v>
      </c>
      <c r="N30" s="35">
        <v>1125</v>
      </c>
      <c r="O30" s="35">
        <v>248</v>
      </c>
      <c r="P30" s="35">
        <v>0</v>
      </c>
      <c r="Q30" s="35">
        <v>0</v>
      </c>
      <c r="R30" s="35">
        <v>0</v>
      </c>
      <c r="S30" s="4"/>
      <c r="T30" s="4"/>
      <c r="U30" s="4"/>
    </row>
    <row r="31" spans="1:21" s="30" customFormat="1" ht="20.100000000000001" customHeight="1">
      <c r="A31" s="16" t="s">
        <v>30</v>
      </c>
      <c r="B31" s="14" t="s">
        <v>16</v>
      </c>
      <c r="C31" s="35">
        <v>-135480</v>
      </c>
      <c r="D31" s="35">
        <v>-104860</v>
      </c>
      <c r="E31" s="35">
        <v>-89241</v>
      </c>
      <c r="F31" s="35">
        <v>-92492</v>
      </c>
      <c r="G31" s="35">
        <v>-121854</v>
      </c>
      <c r="H31" s="35">
        <v>-117757</v>
      </c>
      <c r="I31" s="35">
        <v>-113206</v>
      </c>
      <c r="J31" s="35">
        <v>-102587</v>
      </c>
      <c r="K31" s="35">
        <v>-36142</v>
      </c>
      <c r="L31" s="35">
        <v>40446</v>
      </c>
      <c r="M31" s="35">
        <v>140870</v>
      </c>
      <c r="N31" s="35">
        <v>-6258</v>
      </c>
      <c r="O31" s="35">
        <v>-339080</v>
      </c>
      <c r="P31" s="35">
        <v>-283636</v>
      </c>
      <c r="Q31" s="35">
        <v>-144145</v>
      </c>
      <c r="R31" s="35">
        <v>-162302</v>
      </c>
      <c r="S31" s="29"/>
      <c r="T31" s="29"/>
      <c r="U31" s="29"/>
    </row>
    <row r="32" spans="1:21" s="33" customFormat="1" ht="20.100000000000001" customHeight="1">
      <c r="A32" s="16" t="s">
        <v>53</v>
      </c>
      <c r="B32" s="14" t="s">
        <v>67</v>
      </c>
      <c r="C32" s="40">
        <v>143751</v>
      </c>
      <c r="D32" s="40">
        <v>142622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32"/>
      <c r="T32" s="32"/>
      <c r="U32" s="32"/>
    </row>
    <row r="33" spans="1:21" ht="23.25" customHeight="1">
      <c r="A33" s="16" t="s">
        <v>31</v>
      </c>
      <c r="B33" s="14" t="s">
        <v>65</v>
      </c>
      <c r="C33" s="35">
        <v>47176</v>
      </c>
      <c r="D33" s="35">
        <v>47387</v>
      </c>
      <c r="E33" s="35">
        <v>44557</v>
      </c>
      <c r="F33" s="35">
        <v>50123</v>
      </c>
      <c r="G33" s="35">
        <v>52255</v>
      </c>
      <c r="H33" s="35">
        <f t="shared" ref="H33:O33" si="7">H34+H35</f>
        <v>67771</v>
      </c>
      <c r="I33" s="35">
        <f t="shared" si="7"/>
        <v>66290</v>
      </c>
      <c r="J33" s="35">
        <f t="shared" si="7"/>
        <v>63112</v>
      </c>
      <c r="K33" s="35">
        <f t="shared" si="7"/>
        <v>63256</v>
      </c>
      <c r="L33" s="35">
        <f t="shared" si="7"/>
        <v>58360</v>
      </c>
      <c r="M33" s="35">
        <f t="shared" si="7"/>
        <v>11341</v>
      </c>
      <c r="N33" s="35">
        <f t="shared" si="7"/>
        <v>103720</v>
      </c>
      <c r="O33" s="35">
        <f t="shared" si="7"/>
        <v>222329</v>
      </c>
      <c r="P33" s="35">
        <f t="shared" ref="P33:R33" si="8">P34+P35</f>
        <v>317607</v>
      </c>
      <c r="Q33" s="35">
        <f t="shared" si="8"/>
        <v>282912</v>
      </c>
      <c r="R33" s="35">
        <f t="shared" si="8"/>
        <v>286382</v>
      </c>
      <c r="S33" s="4"/>
      <c r="T33" s="4"/>
      <c r="U33" s="4"/>
    </row>
    <row r="34" spans="1:21" ht="21.75" customHeight="1">
      <c r="A34" s="51" t="s">
        <v>75</v>
      </c>
      <c r="B34" s="12" t="s">
        <v>76</v>
      </c>
      <c r="C34" s="38">
        <v>-11089</v>
      </c>
      <c r="D34" s="38">
        <v>-2809</v>
      </c>
      <c r="E34" s="38">
        <v>-7177</v>
      </c>
      <c r="F34" s="38">
        <v>-1156</v>
      </c>
      <c r="G34" s="38">
        <v>2193</v>
      </c>
      <c r="H34" s="38">
        <v>16302</v>
      </c>
      <c r="I34" s="38">
        <v>14149</v>
      </c>
      <c r="J34" s="38">
        <v>10457</v>
      </c>
      <c r="K34" s="38">
        <v>11943</v>
      </c>
      <c r="L34" s="38">
        <v>6331</v>
      </c>
      <c r="M34" s="38">
        <v>-41524</v>
      </c>
      <c r="N34" s="38">
        <v>52171</v>
      </c>
      <c r="O34" s="38">
        <v>170713</v>
      </c>
      <c r="P34" s="38">
        <v>245916</v>
      </c>
      <c r="Q34" s="38">
        <v>210880</v>
      </c>
      <c r="R34" s="38">
        <v>212600</v>
      </c>
      <c r="S34" s="4"/>
      <c r="T34" s="4"/>
      <c r="U34" s="4"/>
    </row>
    <row r="35" spans="1:21" ht="20.100000000000001" customHeight="1">
      <c r="A35" s="51" t="s">
        <v>78</v>
      </c>
      <c r="B35" s="12" t="s">
        <v>77</v>
      </c>
      <c r="C35" s="38">
        <v>58265</v>
      </c>
      <c r="D35" s="38">
        <v>50196</v>
      </c>
      <c r="E35" s="38">
        <v>51734</v>
      </c>
      <c r="F35" s="38">
        <v>51279</v>
      </c>
      <c r="G35" s="38">
        <v>50062</v>
      </c>
      <c r="H35" s="38">
        <v>51469</v>
      </c>
      <c r="I35" s="38">
        <v>52141</v>
      </c>
      <c r="J35" s="38">
        <v>52655</v>
      </c>
      <c r="K35" s="38">
        <v>51313</v>
      </c>
      <c r="L35" s="38">
        <v>52029</v>
      </c>
      <c r="M35" s="38">
        <v>52865</v>
      </c>
      <c r="N35" s="38">
        <v>51549</v>
      </c>
      <c r="O35" s="38">
        <v>51616</v>
      </c>
      <c r="P35" s="38">
        <v>71691</v>
      </c>
      <c r="Q35" s="38">
        <v>72032</v>
      </c>
      <c r="R35" s="38">
        <v>73782</v>
      </c>
      <c r="S35" s="4"/>
      <c r="T35" s="4"/>
      <c r="U35" s="4"/>
    </row>
    <row r="36" spans="1:21" ht="19.5" customHeight="1">
      <c r="A36" s="16" t="s">
        <v>32</v>
      </c>
      <c r="B36" s="14" t="s">
        <v>61</v>
      </c>
      <c r="C36" s="35">
        <f>C37-C38</f>
        <v>316476</v>
      </c>
      <c r="D36" s="35">
        <f>D37-D38</f>
        <v>351205</v>
      </c>
      <c r="E36" s="35">
        <f>E37-E38</f>
        <v>166201</v>
      </c>
      <c r="F36" s="35">
        <f>F37-F38</f>
        <v>189180</v>
      </c>
      <c r="G36" s="35">
        <f>G37-G38</f>
        <v>200754</v>
      </c>
      <c r="H36" s="35">
        <f t="shared" ref="H36:O36" si="9">H37-H38</f>
        <v>222259</v>
      </c>
      <c r="I36" s="35">
        <f t="shared" si="9"/>
        <v>238179</v>
      </c>
      <c r="J36" s="35">
        <f t="shared" si="9"/>
        <v>251028</v>
      </c>
      <c r="K36" s="35">
        <f t="shared" si="9"/>
        <v>266595</v>
      </c>
      <c r="L36" s="35">
        <f t="shared" si="9"/>
        <v>280946</v>
      </c>
      <c r="M36" s="35">
        <f t="shared" si="9"/>
        <v>293902</v>
      </c>
      <c r="N36" s="35">
        <f t="shared" si="9"/>
        <v>309591</v>
      </c>
      <c r="O36" s="35">
        <f t="shared" si="9"/>
        <v>336934</v>
      </c>
      <c r="P36" s="35">
        <f t="shared" ref="P36:R36" si="10">P37-P38</f>
        <v>473022</v>
      </c>
      <c r="Q36" s="35">
        <f t="shared" si="10"/>
        <v>631018</v>
      </c>
      <c r="R36" s="35">
        <f t="shared" si="10"/>
        <v>713058</v>
      </c>
    </row>
    <row r="37" spans="1:21" ht="24" customHeight="1">
      <c r="A37" s="51" t="s">
        <v>33</v>
      </c>
      <c r="B37" s="12" t="s">
        <v>17</v>
      </c>
      <c r="C37" s="38">
        <v>321393</v>
      </c>
      <c r="D37" s="38">
        <v>354962</v>
      </c>
      <c r="E37" s="38">
        <v>169152</v>
      </c>
      <c r="F37" s="38">
        <v>193071</v>
      </c>
      <c r="G37" s="38">
        <v>205560</v>
      </c>
      <c r="H37" s="38">
        <v>227769</v>
      </c>
      <c r="I37" s="38">
        <v>240851</v>
      </c>
      <c r="J37" s="38">
        <v>253679</v>
      </c>
      <c r="K37" s="38">
        <v>268388</v>
      </c>
      <c r="L37" s="38">
        <v>282674</v>
      </c>
      <c r="M37" s="38">
        <v>295339</v>
      </c>
      <c r="N37" s="38">
        <v>315201</v>
      </c>
      <c r="O37" s="38">
        <v>344080</v>
      </c>
      <c r="P37" s="38">
        <v>484045</v>
      </c>
      <c r="Q37" s="38">
        <v>643252</v>
      </c>
      <c r="R37" s="38">
        <v>726183</v>
      </c>
    </row>
    <row r="38" spans="1:21" ht="20.25" customHeight="1">
      <c r="A38" s="51" t="s">
        <v>62</v>
      </c>
      <c r="B38" s="12" t="s">
        <v>18</v>
      </c>
      <c r="C38" s="38">
        <v>4917</v>
      </c>
      <c r="D38" s="38">
        <v>3757</v>
      </c>
      <c r="E38" s="38">
        <v>2951</v>
      </c>
      <c r="F38" s="38">
        <v>3891</v>
      </c>
      <c r="G38" s="38">
        <v>4806</v>
      </c>
      <c r="H38" s="38">
        <v>5510</v>
      </c>
      <c r="I38" s="38">
        <v>2672</v>
      </c>
      <c r="J38" s="38">
        <v>2651</v>
      </c>
      <c r="K38" s="38">
        <v>1793</v>
      </c>
      <c r="L38" s="38">
        <v>1728</v>
      </c>
      <c r="M38" s="38">
        <v>1437</v>
      </c>
      <c r="N38" s="38">
        <v>5610</v>
      </c>
      <c r="O38" s="38">
        <v>7146</v>
      </c>
      <c r="P38" s="38">
        <v>11023</v>
      </c>
      <c r="Q38" s="38">
        <v>12234</v>
      </c>
      <c r="R38" s="38">
        <v>13125</v>
      </c>
    </row>
    <row r="39" spans="1:21" ht="26.25" customHeight="1">
      <c r="A39" s="16" t="s">
        <v>34</v>
      </c>
      <c r="B39" s="14" t="s">
        <v>63</v>
      </c>
      <c r="C39" s="35">
        <f>C40+C41+C42</f>
        <v>208140</v>
      </c>
      <c r="D39" s="35">
        <f>D40+D41+D42</f>
        <v>198906</v>
      </c>
      <c r="E39" s="35">
        <f>E40+E41+E42</f>
        <v>57965</v>
      </c>
      <c r="F39" s="35">
        <f>F40+F41+F42</f>
        <v>59807</v>
      </c>
      <c r="G39" s="35">
        <f>G40+G41+G42</f>
        <v>60039</v>
      </c>
      <c r="H39" s="35">
        <f t="shared" ref="H39:I39" si="11">SUM(H40:H42)</f>
        <v>65133</v>
      </c>
      <c r="I39" s="35">
        <f t="shared" si="11"/>
        <v>67684</v>
      </c>
      <c r="J39" s="35">
        <f>SUM(J40:J42)</f>
        <v>66532</v>
      </c>
      <c r="K39" s="35">
        <f>K40+K42</f>
        <v>63614</v>
      </c>
      <c r="L39" s="35">
        <f>L40+L42</f>
        <v>61183</v>
      </c>
      <c r="M39" s="35">
        <f>M40+M42</f>
        <v>60230</v>
      </c>
      <c r="N39" s="35">
        <f>N40+N42</f>
        <v>78293</v>
      </c>
      <c r="O39" s="35">
        <f>SUM(O40:O42)</f>
        <v>84297</v>
      </c>
      <c r="P39" s="35">
        <f>SUM(P40:P42)</f>
        <v>216032</v>
      </c>
      <c r="Q39" s="35">
        <f>SUM(Q40:Q42)</f>
        <v>362675</v>
      </c>
      <c r="R39" s="35">
        <f>SUM(R40:R42)</f>
        <v>420953</v>
      </c>
    </row>
    <row r="40" spans="1:21" ht="18" customHeight="1">
      <c r="A40" s="51" t="s">
        <v>69</v>
      </c>
      <c r="B40" s="10" t="s">
        <v>72</v>
      </c>
      <c r="C40" s="38">
        <v>6124</v>
      </c>
      <c r="D40" s="38">
        <v>6088</v>
      </c>
      <c r="E40" s="38">
        <v>6231</v>
      </c>
      <c r="F40" s="38">
        <v>8528</v>
      </c>
      <c r="G40" s="38">
        <v>9977</v>
      </c>
      <c r="H40" s="38">
        <v>13664</v>
      </c>
      <c r="I40" s="38">
        <v>15543</v>
      </c>
      <c r="J40" s="38">
        <v>13877</v>
      </c>
      <c r="K40" s="38">
        <v>12301</v>
      </c>
      <c r="L40" s="38">
        <v>9154</v>
      </c>
      <c r="M40" s="38">
        <v>7365</v>
      </c>
      <c r="N40" s="38">
        <v>26744</v>
      </c>
      <c r="O40" s="38">
        <v>32681</v>
      </c>
      <c r="P40" s="38">
        <v>144341</v>
      </c>
      <c r="Q40" s="38">
        <v>290643</v>
      </c>
      <c r="R40" s="38">
        <v>347171</v>
      </c>
    </row>
    <row r="41" spans="1:21" ht="18.75" customHeight="1">
      <c r="A41" s="51" t="s">
        <v>36</v>
      </c>
      <c r="B41" s="10" t="s">
        <v>73</v>
      </c>
      <c r="C41" s="38">
        <v>143751</v>
      </c>
      <c r="D41" s="38">
        <v>142622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</row>
    <row r="42" spans="1:21" ht="17.25" customHeight="1">
      <c r="A42" s="52" t="s">
        <v>64</v>
      </c>
      <c r="B42" s="13" t="s">
        <v>74</v>
      </c>
      <c r="C42" s="34">
        <v>58265</v>
      </c>
      <c r="D42" s="34">
        <v>50196</v>
      </c>
      <c r="E42" s="34">
        <v>51734</v>
      </c>
      <c r="F42" s="34">
        <v>51279</v>
      </c>
      <c r="G42" s="34">
        <v>50062</v>
      </c>
      <c r="H42" s="34">
        <v>51469</v>
      </c>
      <c r="I42" s="34">
        <v>52141</v>
      </c>
      <c r="J42" s="34">
        <v>52655</v>
      </c>
      <c r="K42" s="34">
        <v>51313</v>
      </c>
      <c r="L42" s="34">
        <v>52029</v>
      </c>
      <c r="M42" s="34">
        <v>52865</v>
      </c>
      <c r="N42" s="34">
        <v>51549</v>
      </c>
      <c r="O42" s="34">
        <v>51616</v>
      </c>
      <c r="P42" s="34">
        <v>71691</v>
      </c>
      <c r="Q42" s="34">
        <v>72032</v>
      </c>
      <c r="R42" s="34">
        <v>73782</v>
      </c>
    </row>
    <row r="43" spans="1:21" ht="15.6">
      <c r="A43" s="23" t="s">
        <v>41</v>
      </c>
      <c r="B43" s="27"/>
      <c r="C43" s="23"/>
      <c r="D43" s="23"/>
      <c r="E43" s="23"/>
      <c r="F43" s="23"/>
      <c r="G43" s="23"/>
      <c r="H43" s="23"/>
      <c r="I43" s="23"/>
      <c r="J43" s="23"/>
      <c r="K43" s="23"/>
      <c r="L43" s="27"/>
      <c r="M43" s="27"/>
      <c r="N43" s="27"/>
      <c r="O43" s="27"/>
      <c r="P43" s="27"/>
      <c r="Q43" s="27"/>
      <c r="R43" s="27"/>
    </row>
    <row r="44" spans="1:21" ht="15.6">
      <c r="A44" s="23" t="s">
        <v>70</v>
      </c>
      <c r="B44" s="27"/>
      <c r="C44" s="23"/>
      <c r="D44" s="23"/>
      <c r="E44" s="23"/>
      <c r="F44" s="23"/>
      <c r="G44" s="23"/>
      <c r="H44" s="23"/>
      <c r="I44" s="23"/>
      <c r="J44" s="23"/>
      <c r="K44" s="23"/>
      <c r="L44" s="27"/>
      <c r="M44" s="27"/>
      <c r="N44" s="27"/>
      <c r="O44" s="27"/>
      <c r="P44" s="27"/>
      <c r="Q44" s="27"/>
      <c r="R44" s="27"/>
    </row>
    <row r="45" spans="1:21" ht="15.6">
      <c r="A45" s="23" t="s">
        <v>54</v>
      </c>
      <c r="B45" s="27"/>
      <c r="C45" s="23"/>
      <c r="D45" s="23"/>
      <c r="E45" s="23"/>
      <c r="F45" s="23"/>
      <c r="G45" s="23"/>
      <c r="H45" s="23"/>
      <c r="I45" s="23"/>
      <c r="J45" s="23"/>
      <c r="K45" s="23"/>
      <c r="L45" s="27"/>
      <c r="M45" s="27"/>
      <c r="N45" s="27"/>
      <c r="O45" s="27"/>
      <c r="P45" s="27"/>
      <c r="Q45" s="27"/>
      <c r="R45" s="27"/>
    </row>
    <row r="46" spans="1:21" ht="15.6">
      <c r="A46" s="23" t="s">
        <v>47</v>
      </c>
      <c r="B46" s="27"/>
      <c r="C46" s="23"/>
      <c r="D46" s="23"/>
      <c r="E46" s="23"/>
      <c r="F46" s="23"/>
      <c r="G46" s="23"/>
      <c r="H46" s="23"/>
      <c r="I46" s="23"/>
      <c r="J46" s="23"/>
      <c r="K46" s="23"/>
      <c r="L46" s="27"/>
      <c r="M46" s="27"/>
      <c r="N46" s="27"/>
      <c r="O46" s="27"/>
      <c r="P46" s="27"/>
      <c r="Q46" s="27"/>
      <c r="R46" s="27"/>
    </row>
    <row r="47" spans="1:21" ht="15.6">
      <c r="A47" s="45" t="s">
        <v>48</v>
      </c>
      <c r="B47" s="27"/>
      <c r="C47" s="45"/>
      <c r="D47" s="45"/>
      <c r="E47" s="45"/>
      <c r="F47" s="45"/>
      <c r="G47" s="45"/>
      <c r="H47" s="45"/>
      <c r="I47" s="45"/>
      <c r="J47" s="45"/>
      <c r="K47" s="45"/>
      <c r="L47" s="27"/>
      <c r="M47" s="27"/>
      <c r="N47" s="27"/>
      <c r="O47" s="27"/>
      <c r="P47" s="27"/>
      <c r="Q47" s="27"/>
      <c r="R47" s="27"/>
    </row>
    <row r="48" spans="1:21" ht="15.6">
      <c r="A48" s="45" t="s">
        <v>55</v>
      </c>
      <c r="B48" s="27"/>
      <c r="C48" s="45"/>
      <c r="D48" s="45"/>
      <c r="E48" s="45"/>
      <c r="F48" s="45"/>
      <c r="G48" s="45"/>
      <c r="H48" s="45"/>
      <c r="I48" s="45"/>
      <c r="J48" s="45"/>
      <c r="K48" s="45"/>
      <c r="L48" s="27"/>
      <c r="M48" s="27"/>
      <c r="N48" s="27"/>
      <c r="O48" s="27"/>
      <c r="P48" s="27"/>
      <c r="Q48" s="27"/>
      <c r="R48" s="27"/>
    </row>
    <row r="49" spans="1:18" ht="15.6">
      <c r="A49" s="45" t="s">
        <v>45</v>
      </c>
      <c r="B49" s="27"/>
      <c r="C49" s="45"/>
      <c r="D49" s="45"/>
      <c r="E49" s="45"/>
      <c r="F49" s="45"/>
      <c r="G49" s="45"/>
      <c r="H49" s="45"/>
      <c r="I49" s="45"/>
      <c r="J49" s="45"/>
      <c r="K49" s="45"/>
      <c r="L49" s="27"/>
      <c r="M49" s="27"/>
      <c r="N49" s="27"/>
      <c r="O49" s="27"/>
      <c r="P49" s="27"/>
      <c r="Q49" s="27"/>
      <c r="R49" s="27"/>
    </row>
    <row r="50" spans="1:18" ht="15.6">
      <c r="A50" s="45" t="s">
        <v>56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</row>
    <row r="51" spans="1:18" ht="15.6">
      <c r="A51" s="45" t="s">
        <v>79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 spans="1:18" ht="15" customHeight="1">
      <c r="A52" s="45" t="s">
        <v>44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</row>
    <row r="53" spans="1:18" ht="15.6">
      <c r="A53" s="45" t="s">
        <v>84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4" spans="1:18" ht="15">
      <c r="B54" s="46"/>
    </row>
  </sheetData>
  <mergeCells count="2">
    <mergeCell ref="A4:B4"/>
    <mergeCell ref="A2:E2"/>
  </mergeCells>
  <conditionalFormatting sqref="A2:A3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8" scale="75" orientation="landscape" r:id="rId1"/>
  <headerFooter alignWithMargins="0"/>
  <colBreaks count="4" manualBreakCount="4">
    <brk id="5" max="52" man="1"/>
    <brk id="8" max="52" man="1"/>
    <brk id="11" max="52" man="1"/>
    <brk id="14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Debt_annual</vt:lpstr>
      <vt:lpstr>Debt_annual!Print_Area</vt:lpstr>
      <vt:lpstr>Debt_annual!Print_Titles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mamdouh.marghany</dc:creator>
  <cp:lastModifiedBy>Hanaa Kamal</cp:lastModifiedBy>
  <cp:lastPrinted>2023-03-23T08:16:04Z</cp:lastPrinted>
  <dcterms:created xsi:type="dcterms:W3CDTF">2009-04-23T10:41:14Z</dcterms:created>
  <dcterms:modified xsi:type="dcterms:W3CDTF">2023-03-23T08:29:54Z</dcterms:modified>
</cp:coreProperties>
</file>