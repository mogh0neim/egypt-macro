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Y:\Time Series\2025\Budget without GDP\Def\"/>
    </mc:Choice>
  </mc:AlternateContent>
  <xr:revisionPtr revIDLastSave="0" documentId="13_ncr:1_{B9C76D85-D47B-43D8-ABB0-3E8EBC8A7625}" xr6:coauthVersionLast="47" xr6:coauthVersionMax="47" xr10:uidLastSave="{00000000-0000-0000-0000-000000000000}"/>
  <bookViews>
    <workbookView xWindow="-108" yWindow="-108" windowWidth="17496" windowHeight="10560" tabRatio="625" xr2:uid="{00000000-000D-0000-FFFF-FFFF00000000}"/>
  </bookViews>
  <sheets>
    <sheet name="Deficit and Sources_ Annual" sheetId="56" r:id="rId1"/>
  </sheets>
  <definedNames>
    <definedName name="_xlnm.Print_Area" localSheetId="0">'Deficit and Sources_ Annual'!$A$1:$AN$43</definedName>
    <definedName name="_xlnm.Print_Titles" localSheetId="0">'Deficit and Sources_ Annual'!$A:$B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I11" i="56" l="1"/>
  <c r="AJ11" i="56"/>
  <c r="AK11" i="56"/>
  <c r="AL11" i="56"/>
  <c r="AN11" i="56"/>
  <c r="AM11" i="56"/>
  <c r="AM10" i="56"/>
  <c r="AN10" i="56"/>
  <c r="AM8" i="56"/>
  <c r="AN8" i="56"/>
  <c r="AL8" i="56"/>
  <c r="AL10" i="56" s="1"/>
  <c r="AK8" i="56"/>
  <c r="AK10" i="56" s="1"/>
  <c r="AI8" i="56" l="1"/>
  <c r="AI10" i="56" s="1"/>
  <c r="AJ8" i="56"/>
  <c r="AJ10" i="56" s="1"/>
  <c r="AH8" i="56" l="1"/>
  <c r="AH10" i="56" s="1"/>
  <c r="AG8" i="56"/>
  <c r="AG10" i="56" s="1"/>
  <c r="AF10" i="56"/>
  <c r="AE10" i="56"/>
  <c r="AF8" i="56"/>
  <c r="AE8" i="56"/>
  <c r="AD30" i="56"/>
  <c r="AC30" i="56"/>
  <c r="AD16" i="56"/>
  <c r="AC16" i="56"/>
  <c r="AD13" i="56"/>
  <c r="AD12" i="56" s="1"/>
  <c r="AD11" i="56" s="1"/>
  <c r="AC13" i="56"/>
  <c r="AD8" i="56"/>
  <c r="AD10" i="56" s="1"/>
  <c r="AC8" i="56"/>
  <c r="AC10" i="56" s="1"/>
  <c r="AB16" i="56"/>
  <c r="AA16" i="56"/>
  <c r="AB13" i="56"/>
  <c r="AA13" i="56"/>
  <c r="AB8" i="56"/>
  <c r="AB10" i="56" s="1"/>
  <c r="AA8" i="56"/>
  <c r="AA10" i="56" s="1"/>
  <c r="D30" i="56"/>
  <c r="E30" i="56"/>
  <c r="E11" i="56" s="1"/>
  <c r="F30" i="56"/>
  <c r="F11" i="56" s="1"/>
  <c r="G30" i="56"/>
  <c r="H30" i="56"/>
  <c r="I30" i="56"/>
  <c r="I11" i="56" s="1"/>
  <c r="J30" i="56"/>
  <c r="J11" i="56" s="1"/>
  <c r="K30" i="56"/>
  <c r="L30" i="56"/>
  <c r="M30" i="56"/>
  <c r="M11" i="56" s="1"/>
  <c r="N30" i="56"/>
  <c r="N11" i="56" s="1"/>
  <c r="O30" i="56"/>
  <c r="P30" i="56"/>
  <c r="Q30" i="56"/>
  <c r="Q11" i="56" s="1"/>
  <c r="R30" i="56"/>
  <c r="R11" i="56" s="1"/>
  <c r="S30" i="56"/>
  <c r="T30" i="56"/>
  <c r="W30" i="56"/>
  <c r="W11" i="56" s="1"/>
  <c r="X30" i="56"/>
  <c r="X11" i="56" s="1"/>
  <c r="Y30" i="56"/>
  <c r="Z30" i="56"/>
  <c r="C30" i="56"/>
  <c r="C11" i="56" s="1"/>
  <c r="D11" i="56"/>
  <c r="G11" i="56"/>
  <c r="H11" i="56"/>
  <c r="K11" i="56"/>
  <c r="L11" i="56"/>
  <c r="O11" i="56"/>
  <c r="P11" i="56"/>
  <c r="S11" i="56"/>
  <c r="T11" i="56"/>
  <c r="Y11" i="56"/>
  <c r="Z11" i="56"/>
  <c r="D10" i="56"/>
  <c r="C10" i="56"/>
  <c r="D8" i="56"/>
  <c r="E8" i="56"/>
  <c r="E10" i="56" s="1"/>
  <c r="F8" i="56"/>
  <c r="F10" i="56" s="1"/>
  <c r="G8" i="56"/>
  <c r="G10" i="56" s="1"/>
  <c r="H8" i="56"/>
  <c r="H10" i="56" s="1"/>
  <c r="I8" i="56"/>
  <c r="I10" i="56" s="1"/>
  <c r="J8" i="56"/>
  <c r="J10" i="56" s="1"/>
  <c r="K8" i="56"/>
  <c r="K10" i="56" s="1"/>
  <c r="L8" i="56"/>
  <c r="L10" i="56" s="1"/>
  <c r="M8" i="56"/>
  <c r="M10" i="56" s="1"/>
  <c r="N8" i="56"/>
  <c r="N10" i="56" s="1"/>
  <c r="O8" i="56"/>
  <c r="O10" i="56" s="1"/>
  <c r="P8" i="56"/>
  <c r="P10" i="56" s="1"/>
  <c r="Q8" i="56"/>
  <c r="Q10" i="56" s="1"/>
  <c r="R8" i="56"/>
  <c r="R10" i="56" s="1"/>
  <c r="S8" i="56"/>
  <c r="S10" i="56" s="1"/>
  <c r="T8" i="56"/>
  <c r="T10" i="56" s="1"/>
  <c r="U8" i="56"/>
  <c r="U10" i="56" s="1"/>
  <c r="W8" i="56"/>
  <c r="W10" i="56" s="1"/>
  <c r="X8" i="56"/>
  <c r="X10" i="56" s="1"/>
  <c r="Y8" i="56"/>
  <c r="Y10" i="56" s="1"/>
  <c r="Z8" i="56"/>
  <c r="Z10" i="56" s="1"/>
  <c r="C8" i="56"/>
  <c r="AB12" i="56" l="1"/>
  <c r="AB11" i="56" s="1"/>
  <c r="AC12" i="56"/>
  <c r="AC11" i="56" s="1"/>
  <c r="AA12" i="56"/>
  <c r="AA11" i="56" s="1"/>
</calcChain>
</file>

<file path=xl/sharedStrings.xml><?xml version="1.0" encoding="utf-8"?>
<sst xmlns="http://schemas.openxmlformats.org/spreadsheetml/2006/main" count="452" uniqueCount="101">
  <si>
    <t>Other</t>
  </si>
  <si>
    <t>The
 Budget
 Sector</t>
  </si>
  <si>
    <t>2011/2012</t>
  </si>
  <si>
    <t>2010/2011</t>
  </si>
  <si>
    <t>2012/2013</t>
  </si>
  <si>
    <t>2009/2010</t>
  </si>
  <si>
    <t>2008/2009</t>
  </si>
  <si>
    <t>Total Revenues</t>
  </si>
  <si>
    <t>Source :  Ministry of Finance.</t>
  </si>
  <si>
    <t>Total Expenditures</t>
  </si>
  <si>
    <t>Net Acquisition of  Financial Assets</t>
  </si>
  <si>
    <t>Financing Sources</t>
  </si>
  <si>
    <t>Domestic Financing</t>
  </si>
  <si>
    <t xml:space="preserve">Banking Financing </t>
  </si>
  <si>
    <t>Central Bank</t>
  </si>
  <si>
    <t>Other Banks</t>
  </si>
  <si>
    <t>Non- Banking Financing</t>
  </si>
  <si>
    <t>NIB</t>
  </si>
  <si>
    <t>SIFs</t>
  </si>
  <si>
    <t>NIB Borrowing</t>
  </si>
  <si>
    <t>Special Accounts for Economic Authorities</t>
  </si>
  <si>
    <t>Foreign Borrowing</t>
  </si>
  <si>
    <t>Arrears</t>
  </si>
  <si>
    <t>Others, of which :</t>
  </si>
  <si>
    <t>Special Accounts for Budget Entities</t>
  </si>
  <si>
    <t>Financing Effects for Eliminations</t>
  </si>
  <si>
    <t xml:space="preserve">Exchange Rate Revaluation </t>
  </si>
  <si>
    <t xml:space="preserve">Net Privatization Proceeds </t>
  </si>
  <si>
    <t>Privatization Proceeds</t>
  </si>
  <si>
    <t>Treasury Contribution to the Fund</t>
  </si>
  <si>
    <t>Discrepancy</t>
  </si>
  <si>
    <t>2007/2008</t>
  </si>
  <si>
    <t>2006/2007</t>
  </si>
  <si>
    <t xml:space="preserve"> Overall fiscal balance  as a  percentage of GDP (%)</t>
  </si>
  <si>
    <t xml:space="preserve"> Revenues as a percentage of GDP (%)</t>
  </si>
  <si>
    <t xml:space="preserve"> Expenditures as a percentage of GDP (%)</t>
  </si>
  <si>
    <t>Net Credit &amp; Debt Liabilities</t>
  </si>
  <si>
    <t>Difference between Treasury 
Bills Face Value &amp; Present  Value</t>
  </si>
  <si>
    <t xml:space="preserve">Foreign Debt Reclassification Diff. 
&amp; Related  FX Diff. </t>
  </si>
  <si>
    <t>Blocked Account Used in Amortizing Part 
of  CBE  Bonds</t>
  </si>
  <si>
    <t xml:space="preserve">إجمالى الإيرادات </t>
  </si>
  <si>
    <t>صافى حيازة الأصول المالية</t>
  </si>
  <si>
    <t xml:space="preserve">مصادر التمويل </t>
  </si>
  <si>
    <t>التمويل المحلى</t>
  </si>
  <si>
    <t>التمويل المصرفى</t>
  </si>
  <si>
    <t>البنك المركزى</t>
  </si>
  <si>
    <t>البنوك الاخرى</t>
  </si>
  <si>
    <t>التمويل غير المصرفى</t>
  </si>
  <si>
    <t xml:space="preserve">من بنك الاستثمار القومى </t>
  </si>
  <si>
    <t>من صناديق التأمينات</t>
  </si>
  <si>
    <t xml:space="preserve">من مصادر غير مصرفية أخرى </t>
  </si>
  <si>
    <t>اقتراض من بنك الاستثمار القومى</t>
  </si>
  <si>
    <t>الحسابات الخاصة بالهيئات الأقتصادية</t>
  </si>
  <si>
    <t xml:space="preserve">صافى الأرصدة المدينة و الدائنة </t>
  </si>
  <si>
    <t xml:space="preserve">المستخدم من الحساب المجمد فى اهلاك سندات البنك المركزى </t>
  </si>
  <si>
    <t>الاقتراض الخارجى</t>
  </si>
  <si>
    <t>المتأخرات</t>
  </si>
  <si>
    <t>اخرى ، منها :</t>
  </si>
  <si>
    <t>الحسابات الخاصة بوحدات الموازنة</t>
  </si>
  <si>
    <t>التمويل المتأثر بالاستبعادات</t>
  </si>
  <si>
    <t>فروق اعادة التقييم</t>
  </si>
  <si>
    <t>صافى متحصلات الخصخصة</t>
  </si>
  <si>
    <t>متحصلات الخصخصة</t>
  </si>
  <si>
    <t>مساهمة الخزانة فى صندوق اعادة الهيكلة</t>
  </si>
  <si>
    <t>الفرق بين القيمة الاسمية والحالية لأذون الخزانة</t>
  </si>
  <si>
    <t>فروق إعادة تبويب الدين الخارجى الحكومى نقلاً من قطاعات أخرى</t>
  </si>
  <si>
    <t>غير محدد</t>
  </si>
  <si>
    <t>2013/2014</t>
  </si>
  <si>
    <t xml:space="preserve">إجمالى النفقات </t>
  </si>
  <si>
    <t>..</t>
  </si>
  <si>
    <t xml:space="preserve">Overall Fiscal Balance  </t>
  </si>
  <si>
    <t>المصدر : وزارة المالية.</t>
  </si>
  <si>
    <t>.. Not Available.</t>
  </si>
  <si>
    <t>(LE mn)</t>
  </si>
  <si>
    <t xml:space="preserve"> 2014/2015</t>
  </si>
  <si>
    <t xml:space="preserve"> 2015/2016</t>
  </si>
  <si>
    <t xml:space="preserve"> 2016/2017</t>
  </si>
  <si>
    <t xml:space="preserve"> 2017/2018</t>
  </si>
  <si>
    <t xml:space="preserve">The General Government
 </t>
  </si>
  <si>
    <t xml:space="preserve"> Cash balance as a percentage of GDP (%)</t>
  </si>
  <si>
    <t>الرصيد النقدي نسبة إلى الناتج المحلي الإجمالي (%)</t>
  </si>
  <si>
    <t>الرصيد الكلي نسبة إلى الناتج المحلي الإجمالي (%)</t>
  </si>
  <si>
    <t xml:space="preserve"> الإيرادات نسبة إلى الناتج المحلي الإجمالي (%)</t>
  </si>
  <si>
    <t>النفقات نسبة إلى الناتج المحلي الإجمالي (%)</t>
  </si>
  <si>
    <t>الرصيد النقدي</t>
  </si>
  <si>
    <t>الرصيد الكلي</t>
  </si>
  <si>
    <t>Cash Balance</t>
  </si>
  <si>
    <t xml:space="preserve"> 2018/2019</t>
  </si>
  <si>
    <t xml:space="preserve"> 2019/2020</t>
  </si>
  <si>
    <t xml:space="preserve"> 2020/2021</t>
  </si>
  <si>
    <t xml:space="preserve"> 2021/2022</t>
  </si>
  <si>
    <t xml:space="preserve"> .. غير متوافر.  </t>
  </si>
  <si>
    <r>
      <t xml:space="preserve">  </t>
    </r>
    <r>
      <rPr>
        <vertAlign val="superscript"/>
        <sz val="14"/>
        <rFont val="Arial"/>
        <family val="2"/>
      </rPr>
      <t>+</t>
    </r>
    <r>
      <rPr>
        <sz val="14"/>
        <rFont val="Arial"/>
        <family val="2"/>
      </rPr>
      <t xml:space="preserve">  تتضمن كل من قطاع الموازنة العامة، وبنك الاستثمار القومى، وصناديق التأمين الاجتماعى</t>
    </r>
  </si>
  <si>
    <r>
      <rPr>
        <vertAlign val="superscript"/>
        <sz val="14"/>
        <rFont val="Arial"/>
        <family val="2"/>
      </rPr>
      <t xml:space="preserve"> +</t>
    </r>
    <r>
      <rPr>
        <sz val="14"/>
        <rFont val="Arial"/>
        <family val="2"/>
      </rPr>
      <t xml:space="preserve"> Includes the Budget Sector, NIB, and SIFs.</t>
    </r>
  </si>
  <si>
    <r>
      <t xml:space="preserve"> Consolidated Fiscal Operations*  of the General Government </t>
    </r>
    <r>
      <rPr>
        <b/>
        <vertAlign val="superscript"/>
        <sz val="16"/>
        <rFont val="Arial"/>
        <family val="2"/>
      </rPr>
      <t>+</t>
    </r>
    <r>
      <rPr>
        <b/>
        <sz val="16"/>
        <rFont val="Arial"/>
        <family val="2"/>
      </rPr>
      <t xml:space="preserve">  
</t>
    </r>
  </si>
  <si>
    <r>
      <rPr>
        <sz val="16"/>
        <rFont val="Arial"/>
        <family val="2"/>
      </rPr>
      <t>*</t>
    </r>
    <r>
      <rPr>
        <sz val="14"/>
        <rFont val="Arial"/>
        <family val="2"/>
      </rPr>
      <t xml:space="preserve"> طبقا للتبويب الجديد للموازنة العامة والذى أعد وفقا لدليل احصاءات المالية للحكومة الصادرعن صندوق النقد الدولى لسنة 2001 ، وبعد إجراء آخر تعديلات.</t>
    </r>
  </si>
  <si>
    <r>
      <t xml:space="preserve"> </t>
    </r>
    <r>
      <rPr>
        <sz val="16"/>
        <rFont val="Arial"/>
        <family val="2"/>
      </rPr>
      <t xml:space="preserve">* </t>
    </r>
    <r>
      <rPr>
        <sz val="14"/>
        <rFont val="Arial"/>
        <family val="2"/>
      </rPr>
      <t xml:space="preserve"> A new budget classification was prepared in accordance with the IMF's 2001 GFS (Government Finance Statistics) Manual  and the latest modifications.  </t>
    </r>
  </si>
  <si>
    <r>
      <t xml:space="preserve">العمليات المالية الموحدة *
  للحكومة العامة  </t>
    </r>
    <r>
      <rPr>
        <b/>
        <vertAlign val="superscript"/>
        <sz val="16"/>
        <rFont val="Arial"/>
        <family val="2"/>
      </rPr>
      <t>+</t>
    </r>
    <r>
      <rPr>
        <b/>
        <sz val="16"/>
        <rFont val="Arial"/>
        <family val="2"/>
      </rPr>
      <t xml:space="preserve"> </t>
    </r>
  </si>
  <si>
    <t xml:space="preserve"> 2022/2023</t>
  </si>
  <si>
    <t xml:space="preserve"> 2023/2024</t>
  </si>
  <si>
    <t xml:space="preserve"> 2024/2025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</si>
</sst>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ج.م.‏&quot;\ #,##0_-;[Red]&quot;ج.م.‏&quot;\ #,##0\-"/>
    <numFmt numFmtId="165" formatCode="&quot;ج.م.‏&quot;\ #,##0.00_-;[Red]&quot;ج.م.‏&quot;\ #,##0.00\-"/>
    <numFmt numFmtId="166" formatCode="_-* #,##0_-;_-* #,##0\-;_-* &quot;-&quot;_-;_-@_-"/>
    <numFmt numFmtId="167" formatCode="0.0"/>
  </numFmts>
  <fonts count="20" x14ac:knownFonts="1"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0"/>
      <name val="Arabic Transparent"/>
      <charset val="178"/>
    </font>
    <font>
      <u/>
      <sz val="10"/>
      <color indexed="36"/>
      <name val="Arial"/>
      <family val="2"/>
    </font>
    <font>
      <u/>
      <sz val="10"/>
      <color indexed="12"/>
      <name val="MS Sans Serif"/>
      <family val="2"/>
      <charset val="178"/>
    </font>
    <font>
      <sz val="10"/>
      <name val="MS Sans Serif"/>
      <family val="2"/>
      <charset val="178"/>
    </font>
    <font>
      <sz val="14"/>
      <name val="Arial"/>
      <family val="2"/>
    </font>
    <font>
      <b/>
      <u/>
      <sz val="14"/>
      <name val="Arial"/>
      <family val="2"/>
    </font>
    <font>
      <sz val="14"/>
      <name val="Calibri"/>
      <family val="2"/>
      <scheme val="minor"/>
    </font>
    <font>
      <u/>
      <sz val="14"/>
      <name val="Arial"/>
      <family val="2"/>
    </font>
    <font>
      <vertAlign val="superscript"/>
      <sz val="14"/>
      <name val="Arial"/>
      <family val="2"/>
    </font>
    <font>
      <b/>
      <sz val="16"/>
      <name val="Arial"/>
      <family val="2"/>
    </font>
    <font>
      <b/>
      <vertAlign val="superscript"/>
      <sz val="16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b/>
      <u/>
      <sz val="16"/>
      <name val="Arial"/>
      <family val="2"/>
    </font>
    <font>
      <b/>
      <u/>
      <sz val="16"/>
      <color theme="1"/>
      <name val="Arial"/>
      <family val="2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4" fillId="0" borderId="0" applyNumberFormat="0">
      <alignment horizontal="right"/>
    </xf>
    <xf numFmtId="0" fontId="1" fillId="0" borderId="0"/>
    <xf numFmtId="166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7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38" fontId="7" fillId="0" borderId="0" applyFont="0" applyFill="0" applyBorder="0" applyAlignment="0" applyProtection="0"/>
    <xf numFmtId="40" fontId="7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1">
    <xf numFmtId="0" fontId="0" fillId="0" borderId="0" xfId="0"/>
    <xf numFmtId="0" fontId="8" fillId="2" borderId="0" xfId="0" applyFont="1" applyFill="1" applyAlignment="1">
      <alignment horizontal="center" vertical="center"/>
    </xf>
    <xf numFmtId="0" fontId="8" fillId="0" borderId="0" xfId="11" applyFont="1"/>
    <xf numFmtId="0" fontId="8" fillId="0" borderId="0" xfId="11" applyFont="1" applyAlignment="1">
      <alignment horizontal="left" vertical="center"/>
    </xf>
    <xf numFmtId="0" fontId="8" fillId="0" borderId="0" xfId="11" applyFont="1" applyAlignment="1">
      <alignment horizontal="center"/>
    </xf>
    <xf numFmtId="0" fontId="8" fillId="0" borderId="0" xfId="11" applyFont="1" applyAlignment="1">
      <alignment horizontal="left" vertical="center" wrapText="1" readingOrder="1"/>
    </xf>
    <xf numFmtId="49" fontId="2" fillId="0" borderId="0" xfId="11" applyNumberFormat="1" applyFont="1" applyBorder="1" applyAlignment="1">
      <alignment horizontal="center" vertical="center"/>
    </xf>
    <xf numFmtId="0" fontId="8" fillId="0" borderId="0" xfId="11" applyFont="1" applyAlignment="1">
      <alignment vertical="center"/>
    </xf>
    <xf numFmtId="0" fontId="8" fillId="0" borderId="0" xfId="11" applyFont="1" applyFill="1" applyBorder="1" applyAlignment="1">
      <alignment vertical="center"/>
    </xf>
    <xf numFmtId="0" fontId="8" fillId="3" borderId="0" xfId="11" applyFont="1" applyFill="1" applyAlignment="1">
      <alignment horizontal="center"/>
    </xf>
    <xf numFmtId="0" fontId="8" fillId="3" borderId="0" xfId="11" applyFont="1" applyFill="1" applyAlignment="1"/>
    <xf numFmtId="0" fontId="2" fillId="0" borderId="0" xfId="11" applyFont="1"/>
    <xf numFmtId="49" fontId="2" fillId="0" borderId="0" xfId="11" applyNumberFormat="1" applyFont="1" applyBorder="1" applyAlignment="1">
      <alignment horizontal="left" vertical="center"/>
    </xf>
    <xf numFmtId="0" fontId="8" fillId="0" borderId="0" xfId="11" applyFont="1" applyAlignment="1">
      <alignment horizontal="right" vertical="center" wrapText="1" readingOrder="2"/>
    </xf>
    <xf numFmtId="0" fontId="8" fillId="0" borderId="0" xfId="0" applyFont="1" applyBorder="1" applyAlignment="1">
      <alignment horizontal="right" vertical="center" readingOrder="2"/>
    </xf>
    <xf numFmtId="0" fontId="8" fillId="0" borderId="0" xfId="11" applyFont="1" applyFill="1" applyAlignment="1">
      <alignment horizontal="center" vertical="center"/>
    </xf>
    <xf numFmtId="0" fontId="8" fillId="0" borderId="0" xfId="11" applyFont="1" applyAlignment="1">
      <alignment horizontal="center" vertical="center"/>
    </xf>
    <xf numFmtId="0" fontId="10" fillId="0" borderId="0" xfId="11" applyFont="1" applyAlignment="1">
      <alignment horizontal="right" vertical="center" readingOrder="2"/>
    </xf>
    <xf numFmtId="167" fontId="8" fillId="0" borderId="0" xfId="11" applyNumberFormat="1" applyFont="1" applyAlignment="1">
      <alignment horizontal="center" vertical="center"/>
    </xf>
    <xf numFmtId="0" fontId="13" fillId="0" borderId="0" xfId="11" applyFont="1" applyAlignment="1">
      <alignment horizontal="center" vertical="center" wrapText="1" readingOrder="2"/>
    </xf>
    <xf numFmtId="0" fontId="13" fillId="0" borderId="0" xfId="11" applyFont="1" applyAlignment="1">
      <alignment horizontal="center" vertical="center" wrapText="1" readingOrder="1"/>
    </xf>
    <xf numFmtId="1" fontId="13" fillId="0" borderId="0" xfId="11" applyNumberFormat="1" applyFont="1" applyBorder="1" applyAlignment="1">
      <alignment vertical="center" wrapText="1" readingOrder="2"/>
    </xf>
    <xf numFmtId="0" fontId="15" fillId="0" borderId="0" xfId="11" applyFont="1" applyFill="1" applyBorder="1" applyAlignment="1">
      <alignment vertical="center"/>
    </xf>
    <xf numFmtId="0" fontId="15" fillId="0" borderId="0" xfId="11" applyFont="1" applyFill="1" applyBorder="1" applyAlignment="1">
      <alignment horizontal="center" vertical="center"/>
    </xf>
    <xf numFmtId="0" fontId="15" fillId="0" borderId="8" xfId="11" applyFont="1" applyFill="1" applyBorder="1" applyAlignment="1">
      <alignment horizontal="left" vertical="center"/>
    </xf>
    <xf numFmtId="0" fontId="13" fillId="0" borderId="0" xfId="11" applyFont="1" applyFill="1" applyBorder="1" applyAlignment="1">
      <alignment horizontal="center" vertical="center"/>
    </xf>
    <xf numFmtId="0" fontId="13" fillId="0" borderId="8" xfId="11" applyFont="1" applyFill="1" applyBorder="1" applyAlignment="1">
      <alignment vertical="center"/>
    </xf>
    <xf numFmtId="0" fontId="15" fillId="0" borderId="0" xfId="11" applyFont="1" applyFill="1" applyAlignment="1">
      <alignment horizontal="center" vertical="center"/>
    </xf>
    <xf numFmtId="0" fontId="15" fillId="4" borderId="2" xfId="11" applyFont="1" applyFill="1" applyBorder="1" applyAlignment="1">
      <alignment horizontal="center"/>
    </xf>
    <xf numFmtId="0" fontId="15" fillId="4" borderId="2" xfId="11" applyFont="1" applyFill="1" applyBorder="1" applyAlignment="1">
      <alignment horizontal="left" vertical="center"/>
    </xf>
    <xf numFmtId="0" fontId="15" fillId="4" borderId="4" xfId="11" applyFont="1" applyFill="1" applyBorder="1" applyAlignment="1">
      <alignment horizontal="center"/>
    </xf>
    <xf numFmtId="0" fontId="15" fillId="4" borderId="4" xfId="11" applyFont="1" applyFill="1" applyBorder="1" applyAlignment="1">
      <alignment horizontal="left" vertical="center"/>
    </xf>
    <xf numFmtId="0" fontId="15" fillId="4" borderId="4" xfId="11" applyFont="1" applyFill="1" applyBorder="1" applyAlignment="1"/>
    <xf numFmtId="0" fontId="15" fillId="4" borderId="5" xfId="11" applyFont="1" applyFill="1" applyBorder="1" applyAlignment="1">
      <alignment horizontal="left" vertical="center"/>
    </xf>
    <xf numFmtId="0" fontId="13" fillId="4" borderId="5" xfId="11" quotePrefix="1" applyFont="1" applyFill="1" applyBorder="1" applyAlignment="1">
      <alignment horizontal="center" vertical="center" wrapText="1"/>
    </xf>
    <xf numFmtId="0" fontId="13" fillId="4" borderId="9" xfId="11" quotePrefix="1" applyFont="1" applyFill="1" applyBorder="1" applyAlignment="1">
      <alignment horizontal="center" vertical="center" wrapText="1"/>
    </xf>
    <xf numFmtId="0" fontId="13" fillId="0" borderId="4" xfId="11" applyFont="1" applyFill="1" applyBorder="1" applyAlignment="1">
      <alignment horizontal="center" vertical="center"/>
    </xf>
    <xf numFmtId="1" fontId="13" fillId="0" borderId="4" xfId="11" applyNumberFormat="1" applyFont="1" applyFill="1" applyBorder="1" applyAlignment="1">
      <alignment horizontal="center" vertical="center"/>
    </xf>
    <xf numFmtId="0" fontId="13" fillId="0" borderId="5" xfId="11" applyFont="1" applyFill="1" applyBorder="1" applyAlignment="1">
      <alignment horizontal="center" vertical="center"/>
    </xf>
    <xf numFmtId="0" fontId="15" fillId="0" borderId="1" xfId="11" applyFont="1" applyFill="1" applyBorder="1" applyAlignment="1">
      <alignment horizontal="center" vertical="center"/>
    </xf>
    <xf numFmtId="1" fontId="15" fillId="0" borderId="4" xfId="11" applyNumberFormat="1" applyFont="1" applyFill="1" applyBorder="1" applyAlignment="1">
      <alignment horizontal="center" vertical="center"/>
    </xf>
    <xf numFmtId="1" fontId="15" fillId="0" borderId="3" xfId="11" applyNumberFormat="1" applyFont="1" applyFill="1" applyBorder="1" applyAlignment="1">
      <alignment horizontal="center" vertical="center"/>
    </xf>
    <xf numFmtId="1" fontId="15" fillId="0" borderId="1" xfId="11" applyNumberFormat="1" applyFont="1" applyFill="1" applyBorder="1" applyAlignment="1">
      <alignment horizontal="center" vertical="center"/>
    </xf>
    <xf numFmtId="0" fontId="15" fillId="0" borderId="4" xfId="11" applyFont="1" applyFill="1" applyBorder="1" applyAlignment="1">
      <alignment horizontal="center" vertical="center"/>
    </xf>
    <xf numFmtId="0" fontId="15" fillId="2" borderId="5" xfId="2" applyFont="1" applyFill="1" applyBorder="1" applyAlignment="1">
      <alignment horizontal="right" vertical="center" readingOrder="2"/>
    </xf>
    <xf numFmtId="0" fontId="15" fillId="0" borderId="5" xfId="11" applyFont="1" applyFill="1" applyBorder="1" applyAlignment="1">
      <alignment horizontal="center" vertical="center"/>
    </xf>
    <xf numFmtId="1" fontId="16" fillId="0" borderId="4" xfId="11" applyNumberFormat="1" applyFont="1" applyFill="1" applyBorder="1" applyAlignment="1">
      <alignment horizontal="center" vertical="center"/>
    </xf>
    <xf numFmtId="1" fontId="16" fillId="0" borderId="5" xfId="11" applyNumberFormat="1" applyFont="1" applyFill="1" applyBorder="1" applyAlignment="1">
      <alignment horizontal="center" vertical="center"/>
    </xf>
    <xf numFmtId="1" fontId="15" fillId="0" borderId="6" xfId="11" applyNumberFormat="1" applyFont="1" applyFill="1" applyBorder="1" applyAlignment="1">
      <alignment horizontal="center" vertical="center"/>
    </xf>
    <xf numFmtId="167" fontId="17" fillId="0" borderId="4" xfId="11" applyNumberFormat="1" applyFont="1" applyFill="1" applyBorder="1" applyAlignment="1">
      <alignment horizontal="center" vertical="center"/>
    </xf>
    <xf numFmtId="1" fontId="18" fillId="0" borderId="4" xfId="11" applyNumberFormat="1" applyFont="1" applyFill="1" applyBorder="1" applyAlignment="1">
      <alignment horizontal="center" vertical="center"/>
    </xf>
    <xf numFmtId="1" fontId="18" fillId="0" borderId="2" xfId="11" applyNumberFormat="1" applyFont="1" applyFill="1" applyBorder="1" applyAlignment="1">
      <alignment horizontal="center" vertical="center"/>
    </xf>
    <xf numFmtId="1" fontId="17" fillId="0" borderId="4" xfId="11" applyNumberFormat="1" applyFont="1" applyFill="1" applyBorder="1" applyAlignment="1">
      <alignment horizontal="center" vertical="center"/>
    </xf>
    <xf numFmtId="1" fontId="17" fillId="0" borderId="2" xfId="11" applyNumberFormat="1" applyFont="1" applyFill="1" applyBorder="1" applyAlignment="1">
      <alignment horizontal="center" vertical="center"/>
    </xf>
    <xf numFmtId="0" fontId="15" fillId="2" borderId="9" xfId="2" applyFont="1" applyFill="1" applyBorder="1" applyAlignment="1">
      <alignment horizontal="right" vertical="center" readingOrder="2"/>
    </xf>
    <xf numFmtId="0" fontId="15" fillId="0" borderId="11" xfId="11" applyFont="1" applyFill="1" applyBorder="1" applyAlignment="1">
      <alignment horizontal="left" vertical="center" readingOrder="1"/>
    </xf>
    <xf numFmtId="167" fontId="15" fillId="0" borderId="9" xfId="11" applyNumberFormat="1" applyFont="1" applyBorder="1" applyAlignment="1">
      <alignment horizontal="center" vertical="center"/>
    </xf>
    <xf numFmtId="167" fontId="15" fillId="0" borderId="9" xfId="14" applyNumberFormat="1" applyFont="1" applyFill="1" applyBorder="1" applyAlignment="1">
      <alignment horizontal="center" vertical="center"/>
    </xf>
    <xf numFmtId="0" fontId="15" fillId="0" borderId="13" xfId="14" applyNumberFormat="1" applyFont="1" applyFill="1" applyBorder="1" applyAlignment="1">
      <alignment horizontal="center" vertical="center"/>
    </xf>
    <xf numFmtId="167" fontId="15" fillId="0" borderId="13" xfId="14" applyNumberFormat="1" applyFont="1" applyFill="1" applyBorder="1" applyAlignment="1">
      <alignment horizontal="center" vertical="center"/>
    </xf>
    <xf numFmtId="167" fontId="15" fillId="0" borderId="9" xfId="11" applyNumberFormat="1" applyFont="1" applyFill="1" applyBorder="1" applyAlignment="1">
      <alignment horizontal="center" vertical="center"/>
    </xf>
    <xf numFmtId="167" fontId="16" fillId="0" borderId="9" xfId="11" applyNumberFormat="1" applyFont="1" applyFill="1" applyBorder="1" applyAlignment="1">
      <alignment horizontal="center" vertical="center"/>
    </xf>
    <xf numFmtId="0" fontId="15" fillId="0" borderId="9" xfId="11" applyFont="1" applyBorder="1" applyAlignment="1">
      <alignment horizontal="center" vertical="center"/>
    </xf>
    <xf numFmtId="0" fontId="15" fillId="0" borderId="9" xfId="11" applyNumberFormat="1" applyFont="1" applyFill="1" applyBorder="1" applyAlignment="1">
      <alignment horizontal="center" vertical="center"/>
    </xf>
    <xf numFmtId="167" fontId="16" fillId="0" borderId="2" xfId="11" applyNumberFormat="1" applyFont="1" applyFill="1" applyBorder="1" applyAlignment="1">
      <alignment horizontal="center" vertical="center"/>
    </xf>
    <xf numFmtId="0" fontId="15" fillId="0" borderId="7" xfId="11" applyFont="1" applyFill="1" applyBorder="1" applyAlignment="1">
      <alignment horizontal="left" vertical="center" readingOrder="1"/>
    </xf>
    <xf numFmtId="0" fontId="15" fillId="0" borderId="5" xfId="11" applyNumberFormat="1" applyFont="1" applyFill="1" applyBorder="1" applyAlignment="1">
      <alignment horizontal="center" vertical="center"/>
    </xf>
    <xf numFmtId="0" fontId="15" fillId="0" borderId="9" xfId="11" applyFont="1" applyFill="1" applyBorder="1" applyAlignment="1">
      <alignment horizontal="center" vertical="center"/>
    </xf>
    <xf numFmtId="0" fontId="13" fillId="0" borderId="2" xfId="2" applyFont="1" applyFill="1" applyBorder="1" applyAlignment="1">
      <alignment horizontal="right" vertical="center" readingOrder="2"/>
    </xf>
    <xf numFmtId="1" fontId="13" fillId="0" borderId="2" xfId="11" applyNumberFormat="1" applyFont="1" applyFill="1" applyBorder="1" applyAlignment="1">
      <alignment horizontal="left" vertical="center" readingOrder="1"/>
    </xf>
    <xf numFmtId="1" fontId="13" fillId="0" borderId="2" xfId="11" applyNumberFormat="1" applyFont="1" applyFill="1" applyBorder="1" applyAlignment="1">
      <alignment horizontal="center" vertical="center" readingOrder="1"/>
    </xf>
    <xf numFmtId="1" fontId="13" fillId="0" borderId="4" xfId="11" applyNumberFormat="1" applyFont="1" applyFill="1" applyBorder="1" applyAlignment="1">
      <alignment horizontal="center" vertical="center" readingOrder="1"/>
    </xf>
    <xf numFmtId="0" fontId="13" fillId="0" borderId="2" xfId="11" applyFont="1" applyFill="1" applyBorder="1" applyAlignment="1">
      <alignment horizontal="center" vertical="center"/>
    </xf>
    <xf numFmtId="0" fontId="13" fillId="0" borderId="3" xfId="11" applyFont="1" applyFill="1" applyBorder="1" applyAlignment="1">
      <alignment horizontal="center" vertical="center"/>
    </xf>
    <xf numFmtId="0" fontId="13" fillId="0" borderId="1" xfId="11" applyFont="1" applyFill="1" applyBorder="1" applyAlignment="1">
      <alignment horizontal="center" vertical="center"/>
    </xf>
    <xf numFmtId="0" fontId="9" fillId="0" borderId="0" xfId="11" applyFont="1" applyFill="1"/>
    <xf numFmtId="0" fontId="13" fillId="0" borderId="4" xfId="2" applyFont="1" applyFill="1" applyBorder="1" applyAlignment="1">
      <alignment horizontal="right" vertical="center" readingOrder="2"/>
    </xf>
    <xf numFmtId="1" fontId="13" fillId="0" borderId="5" xfId="11" applyNumberFormat="1" applyFont="1" applyFill="1" applyBorder="1" applyAlignment="1">
      <alignment horizontal="left" vertical="center" readingOrder="1"/>
    </xf>
    <xf numFmtId="1" fontId="13" fillId="0" borderId="5" xfId="11" applyNumberFormat="1" applyFont="1" applyFill="1" applyBorder="1" applyAlignment="1">
      <alignment horizontal="center" vertical="center" readingOrder="1"/>
    </xf>
    <xf numFmtId="0" fontId="13" fillId="0" borderId="6" xfId="11" applyFont="1" applyFill="1" applyBorder="1" applyAlignment="1">
      <alignment horizontal="center" vertical="center"/>
    </xf>
    <xf numFmtId="1" fontId="13" fillId="0" borderId="5" xfId="11" applyNumberFormat="1" applyFont="1" applyFill="1" applyBorder="1" applyAlignment="1">
      <alignment horizontal="center" vertical="center"/>
    </xf>
    <xf numFmtId="0" fontId="15" fillId="0" borderId="2" xfId="2" quotePrefix="1" applyFont="1" applyFill="1" applyBorder="1" applyAlignment="1">
      <alignment horizontal="right" vertical="center" readingOrder="2"/>
    </xf>
    <xf numFmtId="1" fontId="15" fillId="0" borderId="4" xfId="11" applyNumberFormat="1" applyFont="1" applyFill="1" applyBorder="1" applyAlignment="1">
      <alignment horizontal="left" vertical="center" readingOrder="1"/>
    </xf>
    <xf numFmtId="1" fontId="15" fillId="0" borderId="1" xfId="11" applyNumberFormat="1" applyFont="1" applyFill="1" applyBorder="1" applyAlignment="1">
      <alignment horizontal="center" vertical="center" readingOrder="1"/>
    </xf>
    <xf numFmtId="0" fontId="8" fillId="0" borderId="0" xfId="11" applyFont="1" applyFill="1"/>
    <xf numFmtId="0" fontId="15" fillId="0" borderId="4" xfId="2" quotePrefix="1" applyFont="1" applyFill="1" applyBorder="1" applyAlignment="1">
      <alignment horizontal="right" vertical="center" readingOrder="2"/>
    </xf>
    <xf numFmtId="1" fontId="15" fillId="0" borderId="4" xfId="11" applyNumberFormat="1" applyFont="1" applyFill="1" applyBorder="1" applyAlignment="1">
      <alignment horizontal="center" vertical="center" readingOrder="1"/>
    </xf>
    <xf numFmtId="0" fontId="15" fillId="0" borderId="5" xfId="2" applyFont="1" applyFill="1" applyBorder="1" applyAlignment="1">
      <alignment horizontal="right" vertical="center" readingOrder="2"/>
    </xf>
    <xf numFmtId="1" fontId="15" fillId="0" borderId="5" xfId="11" applyNumberFormat="1" applyFont="1" applyFill="1" applyBorder="1" applyAlignment="1">
      <alignment horizontal="left" vertical="center" readingOrder="1"/>
    </xf>
    <xf numFmtId="1" fontId="15" fillId="0" borderId="5" xfId="11" applyNumberFormat="1" applyFont="1" applyFill="1" applyBorder="1" applyAlignment="1">
      <alignment horizontal="center" vertical="center" readingOrder="1"/>
    </xf>
    <xf numFmtId="0" fontId="17" fillId="0" borderId="4" xfId="2" quotePrefix="1" applyFont="1" applyFill="1" applyBorder="1" applyAlignment="1">
      <alignment horizontal="right" vertical="center" readingOrder="2"/>
    </xf>
    <xf numFmtId="1" fontId="17" fillId="0" borderId="4" xfId="11" applyNumberFormat="1" applyFont="1" applyFill="1" applyBorder="1" applyAlignment="1">
      <alignment horizontal="left" vertical="center" readingOrder="1"/>
    </xf>
    <xf numFmtId="1" fontId="17" fillId="0" borderId="4" xfId="11" applyNumberFormat="1" applyFont="1" applyFill="1" applyBorder="1" applyAlignment="1">
      <alignment horizontal="center" vertical="center" readingOrder="1"/>
    </xf>
    <xf numFmtId="0" fontId="17" fillId="0" borderId="4" xfId="2" applyFont="1" applyFill="1" applyBorder="1" applyAlignment="1">
      <alignment horizontal="right" vertical="center" readingOrder="2"/>
    </xf>
    <xf numFmtId="0" fontId="17" fillId="0" borderId="4" xfId="11" applyFont="1" applyFill="1" applyBorder="1" applyAlignment="1">
      <alignment horizontal="center" vertical="center"/>
    </xf>
    <xf numFmtId="0" fontId="17" fillId="0" borderId="1" xfId="11" applyFont="1" applyFill="1" applyBorder="1" applyAlignment="1">
      <alignment horizontal="center" vertical="center"/>
    </xf>
    <xf numFmtId="0" fontId="17" fillId="0" borderId="4" xfId="2" quotePrefix="1" applyFont="1" applyFill="1" applyBorder="1" applyAlignment="1">
      <alignment horizontal="right" vertical="center" indent="1" readingOrder="2"/>
    </xf>
    <xf numFmtId="1" fontId="17" fillId="0" borderId="4" xfId="11" applyNumberFormat="1" applyFont="1" applyFill="1" applyBorder="1" applyAlignment="1">
      <alignment horizontal="left" vertical="center" indent="1" readingOrder="1"/>
    </xf>
    <xf numFmtId="0" fontId="15" fillId="0" borderId="4" xfId="2" applyFont="1" applyFill="1" applyBorder="1" applyAlignment="1">
      <alignment horizontal="right" vertical="center" indent="2" readingOrder="2"/>
    </xf>
    <xf numFmtId="1" fontId="15" fillId="0" borderId="4" xfId="11" applyNumberFormat="1" applyFont="1" applyFill="1" applyBorder="1" applyAlignment="1">
      <alignment horizontal="left" vertical="center" indent="2" readingOrder="1"/>
    </xf>
    <xf numFmtId="0" fontId="17" fillId="0" borderId="4" xfId="2" applyFont="1" applyFill="1" applyBorder="1" applyAlignment="1">
      <alignment horizontal="right" vertical="center" indent="1" readingOrder="2"/>
    </xf>
    <xf numFmtId="1" fontId="17" fillId="0" borderId="1" xfId="11" applyNumberFormat="1" applyFont="1" applyFill="1" applyBorder="1" applyAlignment="1">
      <alignment horizontal="center" vertical="center"/>
    </xf>
    <xf numFmtId="0" fontId="15" fillId="0" borderId="4" xfId="2" quotePrefix="1" applyFont="1" applyFill="1" applyBorder="1" applyAlignment="1">
      <alignment horizontal="right" vertical="center" indent="2" readingOrder="2"/>
    </xf>
    <xf numFmtId="0" fontId="17" fillId="0" borderId="4" xfId="2" applyFont="1" applyFill="1" applyBorder="1" applyAlignment="1">
      <alignment horizontal="right" vertical="center" wrapText="1" readingOrder="2"/>
    </xf>
    <xf numFmtId="1" fontId="17" fillId="0" borderId="4" xfId="11" applyNumberFormat="1" applyFont="1" applyFill="1" applyBorder="1" applyAlignment="1">
      <alignment horizontal="left" vertical="center" wrapText="1" readingOrder="1"/>
    </xf>
    <xf numFmtId="0" fontId="15" fillId="0" borderId="4" xfId="2" applyFont="1" applyFill="1" applyBorder="1" applyAlignment="1">
      <alignment horizontal="right" vertical="center" indent="1" readingOrder="2"/>
    </xf>
    <xf numFmtId="1" fontId="15" fillId="0" borderId="4" xfId="11" applyNumberFormat="1" applyFont="1" applyFill="1" applyBorder="1" applyAlignment="1">
      <alignment horizontal="left" vertical="center" indent="1" readingOrder="1"/>
    </xf>
    <xf numFmtId="0" fontId="11" fillId="0" borderId="0" xfId="11" applyFont="1" applyFill="1"/>
    <xf numFmtId="1" fontId="17" fillId="0" borderId="4" xfId="11" applyNumberFormat="1" applyFont="1" applyFill="1" applyBorder="1" applyAlignment="1">
      <alignment horizontal="center" vertical="center" wrapText="1" readingOrder="1"/>
    </xf>
    <xf numFmtId="0" fontId="17" fillId="0" borderId="4" xfId="11" applyFont="1" applyFill="1" applyBorder="1" applyAlignment="1">
      <alignment horizontal="center" vertical="center" wrapText="1"/>
    </xf>
    <xf numFmtId="1" fontId="17" fillId="0" borderId="1" xfId="11" applyNumberFormat="1" applyFont="1" applyFill="1" applyBorder="1" applyAlignment="1">
      <alignment horizontal="center" vertical="center" wrapText="1"/>
    </xf>
    <xf numFmtId="0" fontId="17" fillId="0" borderId="1" xfId="11" applyFont="1" applyFill="1" applyBorder="1" applyAlignment="1">
      <alignment horizontal="center" vertical="center" wrapText="1"/>
    </xf>
    <xf numFmtId="0" fontId="8" fillId="0" borderId="0" xfId="11" applyFont="1" applyFill="1" applyAlignment="1">
      <alignment wrapText="1"/>
    </xf>
    <xf numFmtId="0" fontId="13" fillId="4" borderId="9" xfId="11" applyFont="1" applyFill="1" applyBorder="1" applyAlignment="1">
      <alignment horizontal="center" vertical="center"/>
    </xf>
    <xf numFmtId="0" fontId="13" fillId="4" borderId="10" xfId="11" applyFont="1" applyFill="1" applyBorder="1" applyAlignment="1">
      <alignment horizontal="center" vertical="center"/>
    </xf>
    <xf numFmtId="0" fontId="13" fillId="4" borderId="3" xfId="11" applyFont="1" applyFill="1" applyBorder="1" applyAlignment="1">
      <alignment horizontal="center" vertical="center"/>
    </xf>
    <xf numFmtId="0" fontId="13" fillId="4" borderId="7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13" fillId="4" borderId="12" xfId="11" applyFont="1" applyFill="1" applyBorder="1" applyAlignment="1">
      <alignment horizontal="center" vertical="center"/>
    </xf>
    <xf numFmtId="0" fontId="13" fillId="4" borderId="8" xfId="11" applyFont="1" applyFill="1" applyBorder="1" applyAlignment="1">
      <alignment horizontal="center" vertical="center"/>
    </xf>
    <xf numFmtId="49" fontId="2" fillId="0" borderId="0" xfId="11" applyNumberFormat="1" applyFont="1" applyBorder="1" applyAlignment="1">
      <alignment horizontal="center" vertical="center"/>
    </xf>
  </cellXfs>
  <cellStyles count="15">
    <cellStyle name="MS_Arabic" xfId="1" xr:uid="{00000000-0005-0000-0000-000000000000}"/>
    <cellStyle name="Normal" xfId="0" builtinId="0"/>
    <cellStyle name="Normal 2" xfId="12" xr:uid="{00000000-0005-0000-0000-000002000000}"/>
    <cellStyle name="Normal_wafaa file_12_22-24_26-34 2" xfId="11" xr:uid="{00000000-0005-0000-0000-000004000000}"/>
    <cellStyle name="Normal_ملحق العدد الثالث" xfId="2" xr:uid="{00000000-0005-0000-0000-000005000000}"/>
    <cellStyle name="Percent 2" xfId="14" xr:uid="{00000000-0005-0000-0000-000007000000}"/>
    <cellStyle name="Spelling 1033,0" xfId="3" xr:uid="{00000000-0005-0000-0000-000008000000}"/>
    <cellStyle name="Spelling 1033,0 2" xfId="13" xr:uid="{00000000-0005-0000-0000-000009000000}"/>
    <cellStyle name="ارتباط تشعبي متبع_قطاعات" xfId="4" xr:uid="{00000000-0005-0000-0000-00000A000000}"/>
    <cellStyle name="ارتباط تشعبي_a" xfId="5" xr:uid="{00000000-0005-0000-0000-00000B000000}"/>
    <cellStyle name="عادي_2002 2003 الرابع" xfId="6" xr:uid="{00000000-0005-0000-0000-00000C000000}"/>
    <cellStyle name="عملة [0]_2002 2003 الرابع" xfId="7" xr:uid="{00000000-0005-0000-0000-00000D000000}"/>
    <cellStyle name="عملة_2002 2003 الرابع" xfId="8" xr:uid="{00000000-0005-0000-0000-00000E000000}"/>
    <cellStyle name="فاصلة [0]_2002 2003 الرابع" xfId="9" xr:uid="{00000000-0005-0000-0000-00000F000000}"/>
    <cellStyle name="فاصلة_2002 2003 الرابع" xfId="10" xr:uid="{00000000-0005-0000-0000-000010000000}"/>
  </cellStyles>
  <dxfs count="0"/>
  <tableStyles count="0" defaultTableStyle="TableStyleMedium9" defaultPivotStyle="PivotStyleLight16"/>
  <colors>
    <mruColors>
      <color rgb="FF0000CC"/>
      <color rgb="FF0000FF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307"/>
  <sheetViews>
    <sheetView tabSelected="1" view="pageBreakPreview" zoomScale="40" zoomScaleNormal="75" zoomScaleSheetLayoutView="40" workbookViewId="0">
      <pane xSplit="2" topLeftCell="AL1" activePane="topRight" state="frozenSplit"/>
      <selection pane="topRight" activeCell="AM3" sqref="AM3:AN4"/>
    </sheetView>
  </sheetViews>
  <sheetFormatPr defaultColWidth="9.109375" defaultRowHeight="17.399999999999999" x14ac:dyDescent="0.3"/>
  <cols>
    <col min="1" max="1" width="64.6640625" style="2" customWidth="1"/>
    <col min="2" max="2" width="80.44140625" style="3" customWidth="1"/>
    <col min="3" max="16" width="24.6640625" style="4" customWidth="1"/>
    <col min="17" max="40" width="24.6640625" style="2" customWidth="1"/>
    <col min="41" max="16384" width="9.109375" style="2"/>
  </cols>
  <sheetData>
    <row r="1" spans="1:61" s="7" customFormat="1" ht="54" customHeight="1" x14ac:dyDescent="0.25">
      <c r="A1" s="19" t="s">
        <v>97</v>
      </c>
      <c r="B1" s="20" t="s">
        <v>94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2"/>
      <c r="AB1" s="22"/>
      <c r="AC1" s="22"/>
      <c r="AD1" s="22"/>
      <c r="AE1" s="22"/>
      <c r="AF1" s="22"/>
      <c r="AG1" s="22"/>
      <c r="AH1" s="22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</row>
    <row r="2" spans="1:61" s="15" customFormat="1" ht="24.75" customHeight="1" x14ac:dyDescent="0.25">
      <c r="A2" s="23"/>
      <c r="B2" s="24"/>
      <c r="C2" s="23"/>
      <c r="D2" s="25" t="s">
        <v>73</v>
      </c>
      <c r="E2" s="23"/>
      <c r="F2" s="25" t="s">
        <v>73</v>
      </c>
      <c r="G2" s="23"/>
      <c r="H2" s="25" t="s">
        <v>73</v>
      </c>
      <c r="I2" s="23"/>
      <c r="J2" s="25" t="s">
        <v>73</v>
      </c>
      <c r="K2" s="23"/>
      <c r="L2" s="25" t="s">
        <v>73</v>
      </c>
      <c r="M2" s="23"/>
      <c r="N2" s="25" t="s">
        <v>73</v>
      </c>
      <c r="O2" s="26"/>
      <c r="P2" s="25" t="s">
        <v>73</v>
      </c>
      <c r="Q2" s="27"/>
      <c r="R2" s="25" t="s">
        <v>73</v>
      </c>
      <c r="S2" s="27"/>
      <c r="T2" s="25" t="s">
        <v>73</v>
      </c>
      <c r="U2" s="27"/>
      <c r="V2" s="25" t="s">
        <v>73</v>
      </c>
      <c r="W2" s="27"/>
      <c r="X2" s="25" t="s">
        <v>73</v>
      </c>
      <c r="Y2" s="27"/>
      <c r="Z2" s="25" t="s">
        <v>73</v>
      </c>
      <c r="AA2" s="27"/>
      <c r="AB2" s="25" t="s">
        <v>73</v>
      </c>
      <c r="AC2" s="27"/>
      <c r="AD2" s="25" t="s">
        <v>73</v>
      </c>
      <c r="AE2" s="27"/>
      <c r="AF2" s="25" t="s">
        <v>73</v>
      </c>
      <c r="AG2" s="27"/>
      <c r="AH2" s="25" t="s">
        <v>73</v>
      </c>
      <c r="AJ2" s="25" t="s">
        <v>73</v>
      </c>
      <c r="AL2" s="25" t="s">
        <v>73</v>
      </c>
      <c r="AN2" s="25" t="s">
        <v>73</v>
      </c>
    </row>
    <row r="3" spans="1:61" s="9" customFormat="1" ht="16.95" customHeight="1" x14ac:dyDescent="0.35">
      <c r="A3" s="28"/>
      <c r="B3" s="29"/>
      <c r="C3" s="114" t="s">
        <v>32</v>
      </c>
      <c r="D3" s="115"/>
      <c r="E3" s="118" t="s">
        <v>31</v>
      </c>
      <c r="F3" s="115"/>
      <c r="G3" s="114" t="s">
        <v>6</v>
      </c>
      <c r="H3" s="115"/>
      <c r="I3" s="118" t="s">
        <v>5</v>
      </c>
      <c r="J3" s="115"/>
      <c r="K3" s="118" t="s">
        <v>3</v>
      </c>
      <c r="L3" s="115"/>
      <c r="M3" s="118" t="s">
        <v>2</v>
      </c>
      <c r="N3" s="115"/>
      <c r="O3" s="118" t="s">
        <v>4</v>
      </c>
      <c r="P3" s="115"/>
      <c r="Q3" s="118" t="s">
        <v>67</v>
      </c>
      <c r="R3" s="115"/>
      <c r="S3" s="118" t="s">
        <v>74</v>
      </c>
      <c r="T3" s="115"/>
      <c r="U3" s="118" t="s">
        <v>75</v>
      </c>
      <c r="V3" s="115"/>
      <c r="W3" s="113" t="s">
        <v>76</v>
      </c>
      <c r="X3" s="113"/>
      <c r="Y3" s="113" t="s">
        <v>77</v>
      </c>
      <c r="Z3" s="113"/>
      <c r="AA3" s="113" t="s">
        <v>87</v>
      </c>
      <c r="AB3" s="113"/>
      <c r="AC3" s="113" t="s">
        <v>88</v>
      </c>
      <c r="AD3" s="113"/>
      <c r="AE3" s="113" t="s">
        <v>89</v>
      </c>
      <c r="AF3" s="113"/>
      <c r="AG3" s="113" t="s">
        <v>90</v>
      </c>
      <c r="AH3" s="113"/>
      <c r="AI3" s="113" t="s">
        <v>98</v>
      </c>
      <c r="AJ3" s="113"/>
      <c r="AK3" s="113" t="s">
        <v>99</v>
      </c>
      <c r="AL3" s="113"/>
      <c r="AM3" s="113" t="s">
        <v>100</v>
      </c>
      <c r="AN3" s="113"/>
    </row>
    <row r="4" spans="1:61" s="9" customFormat="1" ht="18.600000000000001" customHeight="1" x14ac:dyDescent="0.35">
      <c r="A4" s="30"/>
      <c r="B4" s="31"/>
      <c r="C4" s="116"/>
      <c r="D4" s="117"/>
      <c r="E4" s="119"/>
      <c r="F4" s="117"/>
      <c r="G4" s="116"/>
      <c r="H4" s="117"/>
      <c r="I4" s="119"/>
      <c r="J4" s="117"/>
      <c r="K4" s="119"/>
      <c r="L4" s="117"/>
      <c r="M4" s="119"/>
      <c r="N4" s="117"/>
      <c r="O4" s="119"/>
      <c r="P4" s="117"/>
      <c r="Q4" s="119"/>
      <c r="R4" s="117"/>
      <c r="S4" s="119"/>
      <c r="T4" s="117"/>
      <c r="U4" s="119"/>
      <c r="V4" s="117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</row>
    <row r="5" spans="1:61" s="10" customFormat="1" ht="105" customHeight="1" x14ac:dyDescent="0.35">
      <c r="A5" s="32"/>
      <c r="B5" s="33"/>
      <c r="C5" s="34" t="s">
        <v>1</v>
      </c>
      <c r="D5" s="34" t="s">
        <v>78</v>
      </c>
      <c r="E5" s="34" t="s">
        <v>1</v>
      </c>
      <c r="F5" s="34" t="s">
        <v>78</v>
      </c>
      <c r="G5" s="34" t="s">
        <v>1</v>
      </c>
      <c r="H5" s="34" t="s">
        <v>78</v>
      </c>
      <c r="I5" s="34" t="s">
        <v>1</v>
      </c>
      <c r="J5" s="34" t="s">
        <v>78</v>
      </c>
      <c r="K5" s="34" t="s">
        <v>1</v>
      </c>
      <c r="L5" s="34" t="s">
        <v>78</v>
      </c>
      <c r="M5" s="34" t="s">
        <v>1</v>
      </c>
      <c r="N5" s="34" t="s">
        <v>78</v>
      </c>
      <c r="O5" s="34" t="s">
        <v>1</v>
      </c>
      <c r="P5" s="34" t="s">
        <v>78</v>
      </c>
      <c r="Q5" s="34" t="s">
        <v>1</v>
      </c>
      <c r="R5" s="34" t="s">
        <v>78</v>
      </c>
      <c r="S5" s="34" t="s">
        <v>1</v>
      </c>
      <c r="T5" s="34" t="s">
        <v>78</v>
      </c>
      <c r="U5" s="34" t="s">
        <v>1</v>
      </c>
      <c r="V5" s="34" t="s">
        <v>78</v>
      </c>
      <c r="W5" s="35" t="s">
        <v>1</v>
      </c>
      <c r="X5" s="34" t="s">
        <v>78</v>
      </c>
      <c r="Y5" s="35" t="s">
        <v>1</v>
      </c>
      <c r="Z5" s="34" t="s">
        <v>78</v>
      </c>
      <c r="AA5" s="35" t="s">
        <v>1</v>
      </c>
      <c r="AB5" s="34" t="s">
        <v>78</v>
      </c>
      <c r="AC5" s="35" t="s">
        <v>1</v>
      </c>
      <c r="AD5" s="34" t="s">
        <v>78</v>
      </c>
      <c r="AE5" s="35" t="s">
        <v>1</v>
      </c>
      <c r="AF5" s="34" t="s">
        <v>78</v>
      </c>
      <c r="AG5" s="35" t="s">
        <v>1</v>
      </c>
      <c r="AH5" s="34" t="s">
        <v>78</v>
      </c>
      <c r="AI5" s="35" t="s">
        <v>1</v>
      </c>
      <c r="AJ5" s="34" t="s">
        <v>78</v>
      </c>
      <c r="AK5" s="35" t="s">
        <v>1</v>
      </c>
      <c r="AL5" s="34" t="s">
        <v>78</v>
      </c>
      <c r="AM5" s="35" t="s">
        <v>1</v>
      </c>
      <c r="AN5" s="34" t="s">
        <v>78</v>
      </c>
    </row>
    <row r="6" spans="1:61" s="75" customFormat="1" ht="30" customHeight="1" x14ac:dyDescent="0.3">
      <c r="A6" s="68" t="s">
        <v>40</v>
      </c>
      <c r="B6" s="69" t="s">
        <v>7</v>
      </c>
      <c r="C6" s="70">
        <v>180215</v>
      </c>
      <c r="D6" s="70">
        <v>205654</v>
      </c>
      <c r="E6" s="70">
        <v>221404</v>
      </c>
      <c r="F6" s="70">
        <v>248835</v>
      </c>
      <c r="G6" s="71">
        <v>282505</v>
      </c>
      <c r="H6" s="71">
        <v>288545</v>
      </c>
      <c r="I6" s="71">
        <v>268114</v>
      </c>
      <c r="J6" s="71">
        <v>303361</v>
      </c>
      <c r="K6" s="71">
        <v>265286</v>
      </c>
      <c r="L6" s="71">
        <v>302010</v>
      </c>
      <c r="M6" s="72">
        <v>303622</v>
      </c>
      <c r="N6" s="73">
        <v>348865</v>
      </c>
      <c r="O6" s="72">
        <v>350322</v>
      </c>
      <c r="P6" s="74">
        <v>403637</v>
      </c>
      <c r="Q6" s="72">
        <v>456788</v>
      </c>
      <c r="R6" s="74">
        <v>519449</v>
      </c>
      <c r="S6" s="72">
        <v>465241</v>
      </c>
      <c r="T6" s="74">
        <v>538378</v>
      </c>
      <c r="U6" s="72">
        <v>491488</v>
      </c>
      <c r="V6" s="43" t="s">
        <v>69</v>
      </c>
      <c r="W6" s="37">
        <v>659184</v>
      </c>
      <c r="X6" s="37">
        <v>755110</v>
      </c>
      <c r="Y6" s="37">
        <v>805741</v>
      </c>
      <c r="Z6" s="37">
        <v>915974</v>
      </c>
      <c r="AA6" s="36">
        <v>941910</v>
      </c>
      <c r="AB6" s="36">
        <v>1080152</v>
      </c>
      <c r="AC6" s="37">
        <v>975430</v>
      </c>
      <c r="AD6" s="37">
        <v>1121422</v>
      </c>
      <c r="AE6" s="37">
        <v>1108626</v>
      </c>
      <c r="AF6" s="37">
        <v>1266027</v>
      </c>
      <c r="AG6" s="37">
        <v>1325571</v>
      </c>
      <c r="AH6" s="37">
        <v>1483977</v>
      </c>
      <c r="AI6" s="37">
        <v>1564115</v>
      </c>
      <c r="AJ6" s="37">
        <v>1723717</v>
      </c>
      <c r="AK6" s="37">
        <v>2506443</v>
      </c>
      <c r="AL6" s="37">
        <v>2717715</v>
      </c>
      <c r="AM6" s="37">
        <v>2644113</v>
      </c>
      <c r="AN6" s="37">
        <v>2921214</v>
      </c>
    </row>
    <row r="7" spans="1:61" s="75" customFormat="1" ht="30" customHeight="1" x14ac:dyDescent="0.3">
      <c r="A7" s="76" t="s">
        <v>68</v>
      </c>
      <c r="B7" s="77" t="s">
        <v>9</v>
      </c>
      <c r="C7" s="78">
        <v>222029</v>
      </c>
      <c r="D7" s="78">
        <v>244018</v>
      </c>
      <c r="E7" s="78">
        <v>282290</v>
      </c>
      <c r="F7" s="78">
        <v>305795</v>
      </c>
      <c r="G7" s="78">
        <v>351500</v>
      </c>
      <c r="H7" s="78">
        <v>356944</v>
      </c>
      <c r="I7" s="78">
        <v>365987</v>
      </c>
      <c r="J7" s="78">
        <v>396768</v>
      </c>
      <c r="K7" s="78">
        <v>401866</v>
      </c>
      <c r="L7" s="78">
        <v>440410</v>
      </c>
      <c r="M7" s="38">
        <v>470992</v>
      </c>
      <c r="N7" s="79">
        <v>516422</v>
      </c>
      <c r="O7" s="38">
        <v>588188</v>
      </c>
      <c r="P7" s="79">
        <v>644080</v>
      </c>
      <c r="Q7" s="38">
        <v>701514</v>
      </c>
      <c r="R7" s="79">
        <v>759847</v>
      </c>
      <c r="S7" s="38">
        <v>733350</v>
      </c>
      <c r="T7" s="79">
        <v>805929</v>
      </c>
      <c r="U7" s="38">
        <v>817844</v>
      </c>
      <c r="V7" s="45" t="s">
        <v>69</v>
      </c>
      <c r="W7" s="80">
        <v>1031941</v>
      </c>
      <c r="X7" s="80">
        <v>1116985</v>
      </c>
      <c r="Y7" s="80">
        <v>1229132</v>
      </c>
      <c r="Z7" s="80">
        <v>1335980</v>
      </c>
      <c r="AA7" s="38">
        <v>1369870</v>
      </c>
      <c r="AB7" s="38">
        <v>1505187</v>
      </c>
      <c r="AC7" s="80">
        <v>1434724</v>
      </c>
      <c r="AD7" s="80">
        <v>1580934</v>
      </c>
      <c r="AE7" s="80">
        <v>1578774</v>
      </c>
      <c r="AF7" s="80">
        <v>1729464</v>
      </c>
      <c r="AG7" s="37">
        <v>1812074</v>
      </c>
      <c r="AH7" s="37">
        <v>1937165</v>
      </c>
      <c r="AI7" s="37">
        <v>2184783</v>
      </c>
      <c r="AJ7" s="37">
        <v>2309495</v>
      </c>
      <c r="AK7" s="37">
        <v>3016951</v>
      </c>
      <c r="AL7" s="37">
        <v>3188425</v>
      </c>
      <c r="AM7" s="37">
        <v>3904865</v>
      </c>
      <c r="AN7" s="37">
        <v>4111401</v>
      </c>
    </row>
    <row r="8" spans="1:61" s="84" customFormat="1" ht="30" customHeight="1" x14ac:dyDescent="0.3">
      <c r="A8" s="81" t="s">
        <v>84</v>
      </c>
      <c r="B8" s="82" t="s">
        <v>86</v>
      </c>
      <c r="C8" s="83">
        <f>C6-C7</f>
        <v>-41814</v>
      </c>
      <c r="D8" s="83">
        <f t="shared" ref="D8:AN8" si="0">D6-D7</f>
        <v>-38364</v>
      </c>
      <c r="E8" s="83">
        <f t="shared" si="0"/>
        <v>-60886</v>
      </c>
      <c r="F8" s="83">
        <f t="shared" si="0"/>
        <v>-56960</v>
      </c>
      <c r="G8" s="83">
        <f t="shared" si="0"/>
        <v>-68995</v>
      </c>
      <c r="H8" s="83">
        <f t="shared" si="0"/>
        <v>-68399</v>
      </c>
      <c r="I8" s="83">
        <f t="shared" si="0"/>
        <v>-97873</v>
      </c>
      <c r="J8" s="83">
        <f t="shared" si="0"/>
        <v>-93407</v>
      </c>
      <c r="K8" s="83">
        <f t="shared" si="0"/>
        <v>-136580</v>
      </c>
      <c r="L8" s="83">
        <f t="shared" si="0"/>
        <v>-138400</v>
      </c>
      <c r="M8" s="83">
        <f t="shared" si="0"/>
        <v>-167370</v>
      </c>
      <c r="N8" s="83">
        <f t="shared" si="0"/>
        <v>-167557</v>
      </c>
      <c r="O8" s="83">
        <f t="shared" si="0"/>
        <v>-237866</v>
      </c>
      <c r="P8" s="83">
        <f t="shared" si="0"/>
        <v>-240443</v>
      </c>
      <c r="Q8" s="83">
        <f t="shared" si="0"/>
        <v>-244726</v>
      </c>
      <c r="R8" s="83">
        <f t="shared" si="0"/>
        <v>-240398</v>
      </c>
      <c r="S8" s="83">
        <f t="shared" si="0"/>
        <v>-268109</v>
      </c>
      <c r="T8" s="83">
        <f t="shared" si="0"/>
        <v>-267551</v>
      </c>
      <c r="U8" s="83">
        <f t="shared" si="0"/>
        <v>-326356</v>
      </c>
      <c r="V8" s="83" t="s">
        <v>69</v>
      </c>
      <c r="W8" s="83">
        <f t="shared" si="0"/>
        <v>-372757</v>
      </c>
      <c r="X8" s="83">
        <f t="shared" si="0"/>
        <v>-361875</v>
      </c>
      <c r="Y8" s="83">
        <f t="shared" si="0"/>
        <v>-423391</v>
      </c>
      <c r="Z8" s="83">
        <f t="shared" si="0"/>
        <v>-420006</v>
      </c>
      <c r="AA8" s="39">
        <f t="shared" si="0"/>
        <v>-427960</v>
      </c>
      <c r="AB8" s="39">
        <f t="shared" si="0"/>
        <v>-425035</v>
      </c>
      <c r="AC8" s="40">
        <f t="shared" si="0"/>
        <v>-459294</v>
      </c>
      <c r="AD8" s="40">
        <f t="shared" si="0"/>
        <v>-459512</v>
      </c>
      <c r="AE8" s="40">
        <f t="shared" si="0"/>
        <v>-470148</v>
      </c>
      <c r="AF8" s="40">
        <f t="shared" si="0"/>
        <v>-463437</v>
      </c>
      <c r="AG8" s="41">
        <f t="shared" si="0"/>
        <v>-486503</v>
      </c>
      <c r="AH8" s="41">
        <f t="shared" si="0"/>
        <v>-453188</v>
      </c>
      <c r="AI8" s="41">
        <f t="shared" si="0"/>
        <v>-620668</v>
      </c>
      <c r="AJ8" s="41">
        <f t="shared" si="0"/>
        <v>-585778</v>
      </c>
      <c r="AK8" s="41">
        <f t="shared" si="0"/>
        <v>-510508</v>
      </c>
      <c r="AL8" s="41">
        <f t="shared" si="0"/>
        <v>-470710</v>
      </c>
      <c r="AM8" s="41">
        <f t="shared" si="0"/>
        <v>-1260752</v>
      </c>
      <c r="AN8" s="41">
        <f t="shared" si="0"/>
        <v>-1190187</v>
      </c>
    </row>
    <row r="9" spans="1:61" s="84" customFormat="1" ht="30" customHeight="1" x14ac:dyDescent="0.3">
      <c r="A9" s="85" t="s">
        <v>41</v>
      </c>
      <c r="B9" s="82" t="s">
        <v>10</v>
      </c>
      <c r="C9" s="86">
        <v>-12883</v>
      </c>
      <c r="D9" s="86">
        <v>-17849</v>
      </c>
      <c r="E9" s="86">
        <v>-236</v>
      </c>
      <c r="F9" s="86">
        <v>-10603</v>
      </c>
      <c r="G9" s="86">
        <v>-2831</v>
      </c>
      <c r="H9" s="86">
        <v>-3980</v>
      </c>
      <c r="I9" s="86">
        <v>-165</v>
      </c>
      <c r="J9" s="86">
        <v>-5479</v>
      </c>
      <c r="K9" s="86">
        <v>2120</v>
      </c>
      <c r="L9" s="86">
        <v>4262</v>
      </c>
      <c r="M9" s="43">
        <v>665</v>
      </c>
      <c r="N9" s="39">
        <v>1868</v>
      </c>
      <c r="O9" s="43">
        <v>-1853</v>
      </c>
      <c r="P9" s="39">
        <v>-6410</v>
      </c>
      <c r="Q9" s="43">
        <v>-10713</v>
      </c>
      <c r="R9" s="39">
        <v>-14317</v>
      </c>
      <c r="S9" s="43">
        <v>-11321</v>
      </c>
      <c r="T9" s="39">
        <v>-16763</v>
      </c>
      <c r="U9" s="43">
        <v>-13139</v>
      </c>
      <c r="V9" s="43" t="s">
        <v>69</v>
      </c>
      <c r="W9" s="42">
        <v>-6833</v>
      </c>
      <c r="X9" s="42">
        <v>-4526</v>
      </c>
      <c r="Y9" s="42">
        <v>-9306</v>
      </c>
      <c r="Z9" s="42">
        <v>-5379</v>
      </c>
      <c r="AA9" s="43">
        <v>-1991</v>
      </c>
      <c r="AB9" s="43">
        <v>2016</v>
      </c>
      <c r="AC9" s="40">
        <v>-3481</v>
      </c>
      <c r="AD9" s="40">
        <v>51003</v>
      </c>
      <c r="AE9" s="40">
        <v>-2196</v>
      </c>
      <c r="AF9" s="40">
        <v>3988</v>
      </c>
      <c r="AG9" s="42">
        <v>1705</v>
      </c>
      <c r="AH9" s="42">
        <v>-24298</v>
      </c>
      <c r="AI9" s="42">
        <v>10772</v>
      </c>
      <c r="AJ9" s="42">
        <v>5596</v>
      </c>
      <c r="AK9" s="42">
        <v>7410</v>
      </c>
      <c r="AL9" s="42">
        <v>-21273</v>
      </c>
      <c r="AM9" s="42">
        <v>-29340</v>
      </c>
      <c r="AN9" s="42">
        <v>-45167</v>
      </c>
    </row>
    <row r="10" spans="1:61" s="84" customFormat="1" ht="30" customHeight="1" x14ac:dyDescent="0.3">
      <c r="A10" s="87" t="s">
        <v>85</v>
      </c>
      <c r="B10" s="88" t="s">
        <v>70</v>
      </c>
      <c r="C10" s="89">
        <f>C8+C9</f>
        <v>-54697</v>
      </c>
      <c r="D10" s="89">
        <f>D8+D9</f>
        <v>-56213</v>
      </c>
      <c r="E10" s="89">
        <f t="shared" ref="E10:AF10" si="1">E8+E9</f>
        <v>-61122</v>
      </c>
      <c r="F10" s="89">
        <f t="shared" si="1"/>
        <v>-67563</v>
      </c>
      <c r="G10" s="89">
        <f t="shared" si="1"/>
        <v>-71826</v>
      </c>
      <c r="H10" s="89">
        <f t="shared" si="1"/>
        <v>-72379</v>
      </c>
      <c r="I10" s="89">
        <f t="shared" si="1"/>
        <v>-98038</v>
      </c>
      <c r="J10" s="89">
        <f t="shared" si="1"/>
        <v>-98886</v>
      </c>
      <c r="K10" s="89">
        <f t="shared" si="1"/>
        <v>-134460</v>
      </c>
      <c r="L10" s="89">
        <f t="shared" si="1"/>
        <v>-134138</v>
      </c>
      <c r="M10" s="89">
        <f t="shared" si="1"/>
        <v>-166705</v>
      </c>
      <c r="N10" s="89">
        <f t="shared" si="1"/>
        <v>-165689</v>
      </c>
      <c r="O10" s="89">
        <f t="shared" si="1"/>
        <v>-239719</v>
      </c>
      <c r="P10" s="89">
        <f t="shared" si="1"/>
        <v>-246853</v>
      </c>
      <c r="Q10" s="89">
        <f t="shared" si="1"/>
        <v>-255439</v>
      </c>
      <c r="R10" s="89">
        <f t="shared" si="1"/>
        <v>-254715</v>
      </c>
      <c r="S10" s="89">
        <f t="shared" si="1"/>
        <v>-279430</v>
      </c>
      <c r="T10" s="89">
        <f t="shared" si="1"/>
        <v>-284314</v>
      </c>
      <c r="U10" s="89">
        <f t="shared" si="1"/>
        <v>-339495</v>
      </c>
      <c r="V10" s="89" t="s">
        <v>69</v>
      </c>
      <c r="W10" s="89">
        <f t="shared" si="1"/>
        <v>-379590</v>
      </c>
      <c r="X10" s="89">
        <f t="shared" si="1"/>
        <v>-366401</v>
      </c>
      <c r="Y10" s="89">
        <f t="shared" si="1"/>
        <v>-432697</v>
      </c>
      <c r="Z10" s="89">
        <f t="shared" si="1"/>
        <v>-425385</v>
      </c>
      <c r="AA10" s="45">
        <f t="shared" si="1"/>
        <v>-429951</v>
      </c>
      <c r="AB10" s="45">
        <f t="shared" si="1"/>
        <v>-423019</v>
      </c>
      <c r="AC10" s="46">
        <f t="shared" si="1"/>
        <v>-462775</v>
      </c>
      <c r="AD10" s="46">
        <f t="shared" si="1"/>
        <v>-408509</v>
      </c>
      <c r="AE10" s="47">
        <f t="shared" si="1"/>
        <v>-472344</v>
      </c>
      <c r="AF10" s="46">
        <f t="shared" si="1"/>
        <v>-459449</v>
      </c>
      <c r="AG10" s="48">
        <f>AG8+AG9</f>
        <v>-484798</v>
      </c>
      <c r="AH10" s="48">
        <f>AH8+AH9</f>
        <v>-477486</v>
      </c>
      <c r="AI10" s="48">
        <f t="shared" ref="AI10:AN10" si="2">AI8+AI9</f>
        <v>-609896</v>
      </c>
      <c r="AJ10" s="48">
        <f t="shared" si="2"/>
        <v>-580182</v>
      </c>
      <c r="AK10" s="48">
        <f t="shared" si="2"/>
        <v>-503098</v>
      </c>
      <c r="AL10" s="48">
        <f t="shared" si="2"/>
        <v>-491983</v>
      </c>
      <c r="AM10" s="48">
        <f t="shared" si="2"/>
        <v>-1290092</v>
      </c>
      <c r="AN10" s="48">
        <f t="shared" si="2"/>
        <v>-1235354</v>
      </c>
    </row>
    <row r="11" spans="1:61" s="75" customFormat="1" ht="30" customHeight="1" x14ac:dyDescent="0.3">
      <c r="A11" s="90" t="s">
        <v>42</v>
      </c>
      <c r="B11" s="91" t="s">
        <v>11</v>
      </c>
      <c r="C11" s="92">
        <f>C12+C23+C24+C25+C26+C28+C29+C30+C33+C34+C35</f>
        <v>54697</v>
      </c>
      <c r="D11" s="92">
        <f t="shared" ref="D11:AD11" si="3">D12+D23+D24+D25+D26+D28+D29+D30+D33+D34+D35</f>
        <v>56213</v>
      </c>
      <c r="E11" s="92">
        <f t="shared" si="3"/>
        <v>61122</v>
      </c>
      <c r="F11" s="92">
        <f t="shared" si="3"/>
        <v>67563</v>
      </c>
      <c r="G11" s="92">
        <f t="shared" si="3"/>
        <v>71826</v>
      </c>
      <c r="H11" s="92">
        <f t="shared" si="3"/>
        <v>72379</v>
      </c>
      <c r="I11" s="92">
        <f t="shared" si="3"/>
        <v>98038</v>
      </c>
      <c r="J11" s="92">
        <f t="shared" si="3"/>
        <v>98886</v>
      </c>
      <c r="K11" s="92">
        <f t="shared" si="3"/>
        <v>134460</v>
      </c>
      <c r="L11" s="92">
        <f t="shared" si="3"/>
        <v>134138</v>
      </c>
      <c r="M11" s="92">
        <f t="shared" si="3"/>
        <v>166705</v>
      </c>
      <c r="N11" s="92">
        <f t="shared" si="3"/>
        <v>165689</v>
      </c>
      <c r="O11" s="92">
        <f t="shared" si="3"/>
        <v>239719</v>
      </c>
      <c r="P11" s="92">
        <f t="shared" si="3"/>
        <v>246853</v>
      </c>
      <c r="Q11" s="92">
        <f t="shared" si="3"/>
        <v>256139</v>
      </c>
      <c r="R11" s="92">
        <f t="shared" si="3"/>
        <v>255415</v>
      </c>
      <c r="S11" s="92">
        <f t="shared" si="3"/>
        <v>279430</v>
      </c>
      <c r="T11" s="92">
        <f t="shared" si="3"/>
        <v>284314</v>
      </c>
      <c r="U11" s="92">
        <v>339495</v>
      </c>
      <c r="V11" s="49" t="s">
        <v>69</v>
      </c>
      <c r="W11" s="92">
        <f t="shared" si="3"/>
        <v>379590</v>
      </c>
      <c r="X11" s="92">
        <f t="shared" si="3"/>
        <v>366401</v>
      </c>
      <c r="Y11" s="92">
        <f t="shared" si="3"/>
        <v>432697</v>
      </c>
      <c r="Z11" s="92">
        <f t="shared" si="3"/>
        <v>425385</v>
      </c>
      <c r="AA11" s="50">
        <f t="shared" si="3"/>
        <v>429951</v>
      </c>
      <c r="AB11" s="50">
        <f t="shared" si="3"/>
        <v>423019</v>
      </c>
      <c r="AC11" s="51">
        <f t="shared" si="3"/>
        <v>462775</v>
      </c>
      <c r="AD11" s="51">
        <f t="shared" si="3"/>
        <v>408509</v>
      </c>
      <c r="AE11" s="52">
        <v>472344</v>
      </c>
      <c r="AF11" s="53">
        <v>459449</v>
      </c>
      <c r="AG11" s="52">
        <v>484798</v>
      </c>
      <c r="AH11" s="52">
        <v>477486</v>
      </c>
      <c r="AI11" s="52">
        <f t="shared" ref="AI11:AL11" si="4">-AI10</f>
        <v>609896</v>
      </c>
      <c r="AJ11" s="52">
        <f t="shared" si="4"/>
        <v>580182</v>
      </c>
      <c r="AK11" s="52">
        <f t="shared" si="4"/>
        <v>503098</v>
      </c>
      <c r="AL11" s="52">
        <f t="shared" si="4"/>
        <v>491983</v>
      </c>
      <c r="AM11" s="52">
        <f>-AM10</f>
        <v>1290092</v>
      </c>
      <c r="AN11" s="52">
        <f>-AN10</f>
        <v>1235354</v>
      </c>
    </row>
    <row r="12" spans="1:61" s="75" customFormat="1" ht="30" customHeight="1" x14ac:dyDescent="0.3">
      <c r="A12" s="93" t="s">
        <v>43</v>
      </c>
      <c r="B12" s="91" t="s">
        <v>12</v>
      </c>
      <c r="C12" s="92">
        <v>33283</v>
      </c>
      <c r="D12" s="92">
        <v>35401</v>
      </c>
      <c r="E12" s="92">
        <v>527</v>
      </c>
      <c r="F12" s="92">
        <v>6604</v>
      </c>
      <c r="G12" s="92">
        <v>83627</v>
      </c>
      <c r="H12" s="92">
        <v>79664</v>
      </c>
      <c r="I12" s="92">
        <v>101492</v>
      </c>
      <c r="J12" s="92">
        <v>102415</v>
      </c>
      <c r="K12" s="92">
        <v>144295</v>
      </c>
      <c r="L12" s="92">
        <v>135903</v>
      </c>
      <c r="M12" s="94">
        <v>182411</v>
      </c>
      <c r="N12" s="94">
        <v>184014</v>
      </c>
      <c r="O12" s="94">
        <v>270624</v>
      </c>
      <c r="P12" s="95">
        <v>244807</v>
      </c>
      <c r="Q12" s="94">
        <v>277319</v>
      </c>
      <c r="R12" s="95">
        <v>258399</v>
      </c>
      <c r="S12" s="94">
        <v>327728</v>
      </c>
      <c r="T12" s="95">
        <v>296593</v>
      </c>
      <c r="U12" s="49" t="s">
        <v>69</v>
      </c>
      <c r="V12" s="49" t="s">
        <v>69</v>
      </c>
      <c r="W12" s="52">
        <v>398784</v>
      </c>
      <c r="X12" s="52">
        <v>347980</v>
      </c>
      <c r="Y12" s="52">
        <v>429784</v>
      </c>
      <c r="Z12" s="52">
        <v>382963</v>
      </c>
      <c r="AA12" s="52">
        <f t="shared" ref="AA12:AD12" si="5">AA13+AA16+AA22</f>
        <v>467949</v>
      </c>
      <c r="AB12" s="52">
        <f t="shared" si="5"/>
        <v>406324</v>
      </c>
      <c r="AC12" s="52">
        <f t="shared" si="5"/>
        <v>447373</v>
      </c>
      <c r="AD12" s="52">
        <f t="shared" si="5"/>
        <v>764196</v>
      </c>
      <c r="AE12" s="52" t="s">
        <v>69</v>
      </c>
      <c r="AF12" s="52" t="s">
        <v>69</v>
      </c>
      <c r="AG12" s="52" t="s">
        <v>69</v>
      </c>
      <c r="AH12" s="52" t="s">
        <v>69</v>
      </c>
      <c r="AI12" s="52" t="s">
        <v>69</v>
      </c>
      <c r="AJ12" s="52" t="s">
        <v>69</v>
      </c>
      <c r="AK12" s="52" t="s">
        <v>69</v>
      </c>
      <c r="AL12" s="52" t="s">
        <v>69</v>
      </c>
      <c r="AM12" s="52" t="s">
        <v>69</v>
      </c>
      <c r="AN12" s="52" t="s">
        <v>69</v>
      </c>
    </row>
    <row r="13" spans="1:61" s="75" customFormat="1" ht="30" customHeight="1" x14ac:dyDescent="0.3">
      <c r="A13" s="96" t="s">
        <v>44</v>
      </c>
      <c r="B13" s="97" t="s">
        <v>13</v>
      </c>
      <c r="C13" s="92">
        <v>-20926</v>
      </c>
      <c r="D13" s="92">
        <v>-17662</v>
      </c>
      <c r="E13" s="92">
        <v>-3187</v>
      </c>
      <c r="F13" s="92">
        <v>-4701</v>
      </c>
      <c r="G13" s="92">
        <v>98818</v>
      </c>
      <c r="H13" s="92">
        <v>100140</v>
      </c>
      <c r="I13" s="92">
        <v>40263</v>
      </c>
      <c r="J13" s="92">
        <v>39380</v>
      </c>
      <c r="K13" s="92">
        <v>109583</v>
      </c>
      <c r="L13" s="92">
        <v>107238</v>
      </c>
      <c r="M13" s="94">
        <v>146374</v>
      </c>
      <c r="N13" s="95">
        <v>145320</v>
      </c>
      <c r="O13" s="94">
        <v>221338</v>
      </c>
      <c r="P13" s="95">
        <v>222087</v>
      </c>
      <c r="Q13" s="94">
        <v>244363</v>
      </c>
      <c r="R13" s="95">
        <v>240151</v>
      </c>
      <c r="S13" s="94">
        <v>248454</v>
      </c>
      <c r="T13" s="95">
        <v>248580</v>
      </c>
      <c r="U13" s="49" t="s">
        <v>69</v>
      </c>
      <c r="V13" s="49" t="s">
        <v>69</v>
      </c>
      <c r="W13" s="52">
        <v>206048</v>
      </c>
      <c r="X13" s="52">
        <v>180395</v>
      </c>
      <c r="Y13" s="52">
        <v>176201</v>
      </c>
      <c r="Z13" s="52">
        <v>175947</v>
      </c>
      <c r="AA13" s="52">
        <f t="shared" ref="AA13:AD13" si="6">AA14+AA15</f>
        <v>203432</v>
      </c>
      <c r="AB13" s="52">
        <f t="shared" si="6"/>
        <v>175391</v>
      </c>
      <c r="AC13" s="52">
        <f t="shared" si="6"/>
        <v>862893</v>
      </c>
      <c r="AD13" s="52">
        <f t="shared" si="6"/>
        <v>863563</v>
      </c>
      <c r="AE13" s="52" t="s">
        <v>69</v>
      </c>
      <c r="AF13" s="52" t="s">
        <v>69</v>
      </c>
      <c r="AG13" s="52" t="s">
        <v>69</v>
      </c>
      <c r="AH13" s="52" t="s">
        <v>69</v>
      </c>
      <c r="AI13" s="52" t="s">
        <v>69</v>
      </c>
      <c r="AJ13" s="52" t="s">
        <v>69</v>
      </c>
      <c r="AK13" s="52" t="s">
        <v>69</v>
      </c>
      <c r="AL13" s="52" t="s">
        <v>69</v>
      </c>
      <c r="AM13" s="52" t="s">
        <v>69</v>
      </c>
      <c r="AN13" s="52" t="s">
        <v>69</v>
      </c>
    </row>
    <row r="14" spans="1:61" s="84" customFormat="1" ht="30" customHeight="1" x14ac:dyDescent="0.3">
      <c r="A14" s="98" t="s">
        <v>45</v>
      </c>
      <c r="B14" s="99" t="s">
        <v>14</v>
      </c>
      <c r="C14" s="86">
        <v>3146</v>
      </c>
      <c r="D14" s="86">
        <v>3196</v>
      </c>
      <c r="E14" s="86">
        <v>-33394</v>
      </c>
      <c r="F14" s="86">
        <v>-35306</v>
      </c>
      <c r="G14" s="86">
        <v>-15285</v>
      </c>
      <c r="H14" s="86">
        <v>-15285</v>
      </c>
      <c r="I14" s="86">
        <v>11561</v>
      </c>
      <c r="J14" s="86">
        <v>11561</v>
      </c>
      <c r="K14" s="86">
        <v>22115</v>
      </c>
      <c r="L14" s="86">
        <v>22115</v>
      </c>
      <c r="M14" s="42">
        <v>62574</v>
      </c>
      <c r="N14" s="42">
        <v>62574</v>
      </c>
      <c r="O14" s="43">
        <v>134177</v>
      </c>
      <c r="P14" s="39">
        <v>134177</v>
      </c>
      <c r="Q14" s="43">
        <v>119349</v>
      </c>
      <c r="R14" s="39">
        <v>119349</v>
      </c>
      <c r="S14" s="43">
        <v>105724</v>
      </c>
      <c r="T14" s="39">
        <v>105724</v>
      </c>
      <c r="U14" s="43" t="s">
        <v>69</v>
      </c>
      <c r="V14" s="43" t="s">
        <v>69</v>
      </c>
      <c r="W14" s="40">
        <v>80602</v>
      </c>
      <c r="X14" s="40">
        <v>80602</v>
      </c>
      <c r="Y14" s="40">
        <v>4149</v>
      </c>
      <c r="Z14" s="40">
        <v>4149</v>
      </c>
      <c r="AA14" s="43">
        <v>49284</v>
      </c>
      <c r="AB14" s="43">
        <v>49284</v>
      </c>
      <c r="AC14" s="40">
        <v>42408</v>
      </c>
      <c r="AD14" s="40">
        <v>42408</v>
      </c>
      <c r="AE14" s="40" t="s">
        <v>69</v>
      </c>
      <c r="AF14" s="40" t="s">
        <v>69</v>
      </c>
      <c r="AG14" s="40" t="s">
        <v>69</v>
      </c>
      <c r="AH14" s="40" t="s">
        <v>69</v>
      </c>
      <c r="AI14" s="40" t="s">
        <v>69</v>
      </c>
      <c r="AJ14" s="40" t="s">
        <v>69</v>
      </c>
      <c r="AK14" s="40" t="s">
        <v>69</v>
      </c>
      <c r="AL14" s="40" t="s">
        <v>69</v>
      </c>
      <c r="AM14" s="40" t="s">
        <v>69</v>
      </c>
      <c r="AN14" s="40" t="s">
        <v>69</v>
      </c>
    </row>
    <row r="15" spans="1:61" s="84" customFormat="1" ht="30" customHeight="1" x14ac:dyDescent="0.3">
      <c r="A15" s="98" t="s">
        <v>46</v>
      </c>
      <c r="B15" s="99" t="s">
        <v>15</v>
      </c>
      <c r="C15" s="86">
        <v>-24072</v>
      </c>
      <c r="D15" s="86">
        <v>-20858</v>
      </c>
      <c r="E15" s="86">
        <v>30207</v>
      </c>
      <c r="F15" s="86">
        <v>30605</v>
      </c>
      <c r="G15" s="86">
        <v>114103</v>
      </c>
      <c r="H15" s="86">
        <v>115425</v>
      </c>
      <c r="I15" s="86">
        <v>28702</v>
      </c>
      <c r="J15" s="86">
        <v>27819</v>
      </c>
      <c r="K15" s="86">
        <v>87468</v>
      </c>
      <c r="L15" s="86">
        <v>85123</v>
      </c>
      <c r="M15" s="42">
        <v>83800</v>
      </c>
      <c r="N15" s="42">
        <v>82746</v>
      </c>
      <c r="O15" s="43">
        <v>87161</v>
      </c>
      <c r="P15" s="39">
        <v>87910</v>
      </c>
      <c r="Q15" s="43">
        <v>125014</v>
      </c>
      <c r="R15" s="39">
        <v>120802</v>
      </c>
      <c r="S15" s="43">
        <v>142730</v>
      </c>
      <c r="T15" s="39">
        <v>142856</v>
      </c>
      <c r="U15" s="43" t="s">
        <v>69</v>
      </c>
      <c r="V15" s="43" t="s">
        <v>69</v>
      </c>
      <c r="W15" s="40">
        <v>125446</v>
      </c>
      <c r="X15" s="40">
        <v>99793</v>
      </c>
      <c r="Y15" s="40">
        <v>172052</v>
      </c>
      <c r="Z15" s="40">
        <v>171798</v>
      </c>
      <c r="AA15" s="43">
        <v>154148</v>
      </c>
      <c r="AB15" s="43">
        <v>126107</v>
      </c>
      <c r="AC15" s="40">
        <v>820485</v>
      </c>
      <c r="AD15" s="40">
        <v>821155</v>
      </c>
      <c r="AE15" s="40" t="s">
        <v>69</v>
      </c>
      <c r="AF15" s="40" t="s">
        <v>69</v>
      </c>
      <c r="AG15" s="40" t="s">
        <v>69</v>
      </c>
      <c r="AH15" s="40" t="s">
        <v>69</v>
      </c>
      <c r="AI15" s="40" t="s">
        <v>69</v>
      </c>
      <c r="AJ15" s="40" t="s">
        <v>69</v>
      </c>
      <c r="AK15" s="40" t="s">
        <v>69</v>
      </c>
      <c r="AL15" s="40" t="s">
        <v>69</v>
      </c>
      <c r="AM15" s="40" t="s">
        <v>69</v>
      </c>
      <c r="AN15" s="40" t="s">
        <v>69</v>
      </c>
    </row>
    <row r="16" spans="1:61" s="75" customFormat="1" ht="30" customHeight="1" x14ac:dyDescent="0.3">
      <c r="A16" s="100" t="s">
        <v>47</v>
      </c>
      <c r="B16" s="97" t="s">
        <v>16</v>
      </c>
      <c r="C16" s="92">
        <v>54209</v>
      </c>
      <c r="D16" s="92">
        <v>53063</v>
      </c>
      <c r="E16" s="92">
        <v>3714</v>
      </c>
      <c r="F16" s="92">
        <v>11305</v>
      </c>
      <c r="G16" s="92">
        <v>-15191</v>
      </c>
      <c r="H16" s="92">
        <v>-20476</v>
      </c>
      <c r="I16" s="92">
        <v>61229</v>
      </c>
      <c r="J16" s="92">
        <v>63035</v>
      </c>
      <c r="K16" s="92">
        <v>34712</v>
      </c>
      <c r="L16" s="92">
        <v>28665</v>
      </c>
      <c r="M16" s="101">
        <v>36037</v>
      </c>
      <c r="N16" s="101">
        <v>38694</v>
      </c>
      <c r="O16" s="94">
        <v>49286</v>
      </c>
      <c r="P16" s="95">
        <v>22720</v>
      </c>
      <c r="Q16" s="94">
        <v>32956</v>
      </c>
      <c r="R16" s="95">
        <v>18248</v>
      </c>
      <c r="S16" s="94">
        <v>79274</v>
      </c>
      <c r="T16" s="95">
        <v>48013</v>
      </c>
      <c r="U16" s="49" t="s">
        <v>69</v>
      </c>
      <c r="V16" s="49" t="s">
        <v>69</v>
      </c>
      <c r="W16" s="52">
        <v>192736</v>
      </c>
      <c r="X16" s="52">
        <v>167585</v>
      </c>
      <c r="Y16" s="52">
        <v>253583</v>
      </c>
      <c r="Z16" s="52">
        <v>207016</v>
      </c>
      <c r="AA16" s="52">
        <f t="shared" ref="AA16:AD16" si="7">AA17+AA18+AA19+AA20+AA21</f>
        <v>264517</v>
      </c>
      <c r="AB16" s="52">
        <f t="shared" si="7"/>
        <v>230933</v>
      </c>
      <c r="AC16" s="52">
        <f t="shared" si="7"/>
        <v>-415520</v>
      </c>
      <c r="AD16" s="52">
        <f t="shared" si="7"/>
        <v>-99367</v>
      </c>
      <c r="AE16" s="52" t="s">
        <v>69</v>
      </c>
      <c r="AF16" s="52" t="s">
        <v>69</v>
      </c>
      <c r="AG16" s="52" t="s">
        <v>69</v>
      </c>
      <c r="AH16" s="52" t="s">
        <v>69</v>
      </c>
      <c r="AI16" s="52" t="s">
        <v>69</v>
      </c>
      <c r="AJ16" s="52" t="s">
        <v>69</v>
      </c>
      <c r="AK16" s="52" t="s">
        <v>69</v>
      </c>
      <c r="AL16" s="52" t="s">
        <v>69</v>
      </c>
      <c r="AM16" s="52" t="s">
        <v>69</v>
      </c>
      <c r="AN16" s="52" t="s">
        <v>69</v>
      </c>
    </row>
    <row r="17" spans="1:40" s="84" customFormat="1" ht="30" customHeight="1" x14ac:dyDescent="0.3">
      <c r="A17" s="102" t="s">
        <v>48</v>
      </c>
      <c r="B17" s="99" t="s">
        <v>17</v>
      </c>
      <c r="C17" s="86">
        <v>143</v>
      </c>
      <c r="D17" s="86">
        <v>0</v>
      </c>
      <c r="E17" s="86">
        <v>2271</v>
      </c>
      <c r="F17" s="86">
        <v>0</v>
      </c>
      <c r="G17" s="86">
        <v>1449</v>
      </c>
      <c r="H17" s="86">
        <v>0</v>
      </c>
      <c r="I17" s="86">
        <v>3687</v>
      </c>
      <c r="J17" s="86">
        <v>0</v>
      </c>
      <c r="K17" s="86">
        <v>1861</v>
      </c>
      <c r="L17" s="86">
        <v>0</v>
      </c>
      <c r="M17" s="42">
        <v>-1666</v>
      </c>
      <c r="N17" s="42">
        <v>0</v>
      </c>
      <c r="O17" s="43">
        <v>-1595</v>
      </c>
      <c r="P17" s="39">
        <v>0</v>
      </c>
      <c r="Q17" s="43">
        <v>-3513</v>
      </c>
      <c r="R17" s="39">
        <v>0</v>
      </c>
      <c r="S17" s="43">
        <v>-1792</v>
      </c>
      <c r="T17" s="39">
        <v>0</v>
      </c>
      <c r="U17" s="43" t="s">
        <v>69</v>
      </c>
      <c r="V17" s="43" t="s">
        <v>69</v>
      </c>
      <c r="W17" s="40">
        <v>6519</v>
      </c>
      <c r="X17" s="40">
        <v>0</v>
      </c>
      <c r="Y17" s="40">
        <v>111544</v>
      </c>
      <c r="Z17" s="40">
        <v>0</v>
      </c>
      <c r="AA17" s="43">
        <v>117740</v>
      </c>
      <c r="AB17" s="43">
        <v>0</v>
      </c>
      <c r="AC17" s="40">
        <v>26713</v>
      </c>
      <c r="AD17" s="40">
        <v>0</v>
      </c>
      <c r="AE17" s="40" t="s">
        <v>69</v>
      </c>
      <c r="AF17" s="40" t="s">
        <v>69</v>
      </c>
      <c r="AG17" s="40" t="s">
        <v>69</v>
      </c>
      <c r="AH17" s="40" t="s">
        <v>69</v>
      </c>
      <c r="AI17" s="40" t="s">
        <v>69</v>
      </c>
      <c r="AJ17" s="40" t="s">
        <v>69</v>
      </c>
      <c r="AK17" s="40" t="s">
        <v>69</v>
      </c>
      <c r="AL17" s="40" t="s">
        <v>69</v>
      </c>
      <c r="AM17" s="40" t="s">
        <v>69</v>
      </c>
      <c r="AN17" s="40" t="s">
        <v>69</v>
      </c>
    </row>
    <row r="18" spans="1:40" s="84" customFormat="1" ht="30" customHeight="1" x14ac:dyDescent="0.3">
      <c r="A18" s="102" t="s">
        <v>49</v>
      </c>
      <c r="B18" s="99" t="s">
        <v>18</v>
      </c>
      <c r="C18" s="86">
        <v>6861</v>
      </c>
      <c r="D18" s="86">
        <v>0</v>
      </c>
      <c r="E18" s="86">
        <v>119</v>
      </c>
      <c r="F18" s="86">
        <v>0</v>
      </c>
      <c r="G18" s="86">
        <v>5417</v>
      </c>
      <c r="H18" s="86">
        <v>0</v>
      </c>
      <c r="I18" s="86">
        <v>5176</v>
      </c>
      <c r="J18" s="86">
        <v>0</v>
      </c>
      <c r="K18" s="86">
        <v>10875</v>
      </c>
      <c r="L18" s="86">
        <v>0</v>
      </c>
      <c r="M18" s="42">
        <v>1498</v>
      </c>
      <c r="N18" s="42">
        <v>0</v>
      </c>
      <c r="O18" s="43">
        <v>25646</v>
      </c>
      <c r="P18" s="39">
        <v>0</v>
      </c>
      <c r="Q18" s="43">
        <v>26261</v>
      </c>
      <c r="R18" s="39">
        <v>0</v>
      </c>
      <c r="S18" s="43">
        <v>34365</v>
      </c>
      <c r="T18" s="39">
        <v>0</v>
      </c>
      <c r="U18" s="43" t="s">
        <v>69</v>
      </c>
      <c r="V18" s="43" t="s">
        <v>69</v>
      </c>
      <c r="W18" s="40">
        <v>31717</v>
      </c>
      <c r="X18" s="40">
        <v>0</v>
      </c>
      <c r="Y18" s="40">
        <v>60882</v>
      </c>
      <c r="Z18" s="40">
        <v>0</v>
      </c>
      <c r="AA18" s="43">
        <v>49191</v>
      </c>
      <c r="AB18" s="43">
        <v>0</v>
      </c>
      <c r="AC18" s="40">
        <v>-292585</v>
      </c>
      <c r="AD18" s="40">
        <v>0</v>
      </c>
      <c r="AE18" s="40" t="s">
        <v>69</v>
      </c>
      <c r="AF18" s="40" t="s">
        <v>69</v>
      </c>
      <c r="AG18" s="40" t="s">
        <v>69</v>
      </c>
      <c r="AH18" s="40" t="s">
        <v>69</v>
      </c>
      <c r="AI18" s="40" t="s">
        <v>69</v>
      </c>
      <c r="AJ18" s="40" t="s">
        <v>69</v>
      </c>
      <c r="AK18" s="40" t="s">
        <v>69</v>
      </c>
      <c r="AL18" s="40" t="s">
        <v>69</v>
      </c>
      <c r="AM18" s="40" t="s">
        <v>69</v>
      </c>
      <c r="AN18" s="40" t="s">
        <v>69</v>
      </c>
    </row>
    <row r="19" spans="1:40" s="84" customFormat="1" ht="30" customHeight="1" x14ac:dyDescent="0.3">
      <c r="A19" s="102" t="s">
        <v>50</v>
      </c>
      <c r="B19" s="99" t="s">
        <v>0</v>
      </c>
      <c r="C19" s="86">
        <v>28525</v>
      </c>
      <c r="D19" s="86">
        <v>28525</v>
      </c>
      <c r="E19" s="86">
        <v>7545</v>
      </c>
      <c r="F19" s="86">
        <v>7545</v>
      </c>
      <c r="G19" s="86">
        <v>-19930</v>
      </c>
      <c r="H19" s="86">
        <v>-19930</v>
      </c>
      <c r="I19" s="86">
        <v>53014</v>
      </c>
      <c r="J19" s="86">
        <v>53014</v>
      </c>
      <c r="K19" s="86">
        <v>21049</v>
      </c>
      <c r="L19" s="86">
        <v>21049</v>
      </c>
      <c r="M19" s="42">
        <v>37590</v>
      </c>
      <c r="N19" s="42">
        <v>37590</v>
      </c>
      <c r="O19" s="43">
        <v>25034</v>
      </c>
      <c r="P19" s="39">
        <v>25034</v>
      </c>
      <c r="Q19" s="43">
        <v>6373</v>
      </c>
      <c r="R19" s="39">
        <v>6373</v>
      </c>
      <c r="S19" s="43">
        <v>596</v>
      </c>
      <c r="T19" s="39">
        <v>596</v>
      </c>
      <c r="U19" s="43" t="s">
        <v>69</v>
      </c>
      <c r="V19" s="43" t="s">
        <v>69</v>
      </c>
      <c r="W19" s="40">
        <v>159829</v>
      </c>
      <c r="X19" s="40">
        <v>159829</v>
      </c>
      <c r="Y19" s="40">
        <v>98135</v>
      </c>
      <c r="Z19" s="40">
        <v>98135</v>
      </c>
      <c r="AA19" s="43">
        <v>112079</v>
      </c>
      <c r="AB19" s="43">
        <v>112079</v>
      </c>
      <c r="AC19" s="40">
        <v>-154575</v>
      </c>
      <c r="AD19" s="40">
        <v>-154575</v>
      </c>
      <c r="AE19" s="40" t="s">
        <v>69</v>
      </c>
      <c r="AF19" s="40" t="s">
        <v>69</v>
      </c>
      <c r="AG19" s="40" t="s">
        <v>69</v>
      </c>
      <c r="AH19" s="40" t="s">
        <v>69</v>
      </c>
      <c r="AI19" s="40" t="s">
        <v>69</v>
      </c>
      <c r="AJ19" s="40" t="s">
        <v>69</v>
      </c>
      <c r="AK19" s="40" t="s">
        <v>69</v>
      </c>
      <c r="AL19" s="40" t="s">
        <v>69</v>
      </c>
      <c r="AM19" s="40" t="s">
        <v>69</v>
      </c>
      <c r="AN19" s="40" t="s">
        <v>69</v>
      </c>
    </row>
    <row r="20" spans="1:40" s="84" customFormat="1" ht="30" customHeight="1" x14ac:dyDescent="0.3">
      <c r="A20" s="98" t="s">
        <v>51</v>
      </c>
      <c r="B20" s="99" t="s">
        <v>19</v>
      </c>
      <c r="C20" s="86">
        <v>0</v>
      </c>
      <c r="D20" s="86">
        <v>5858</v>
      </c>
      <c r="E20" s="86">
        <v>0</v>
      </c>
      <c r="F20" s="86">
        <v>9981</v>
      </c>
      <c r="G20" s="86">
        <v>0</v>
      </c>
      <c r="H20" s="86">
        <v>1581</v>
      </c>
      <c r="I20" s="86">
        <v>0</v>
      </c>
      <c r="J20" s="86">
        <v>10669</v>
      </c>
      <c r="K20" s="86">
        <v>0</v>
      </c>
      <c r="L20" s="86">
        <v>6689</v>
      </c>
      <c r="M20" s="40">
        <v>0</v>
      </c>
      <c r="N20" s="40">
        <v>2489</v>
      </c>
      <c r="O20" s="43">
        <v>0</v>
      </c>
      <c r="P20" s="39">
        <v>-2515</v>
      </c>
      <c r="Q20" s="43">
        <v>0</v>
      </c>
      <c r="R20" s="39">
        <v>8040</v>
      </c>
      <c r="S20" s="43">
        <v>0</v>
      </c>
      <c r="T20" s="39">
        <v>1312</v>
      </c>
      <c r="U20" s="43" t="s">
        <v>69</v>
      </c>
      <c r="V20" s="43" t="s">
        <v>69</v>
      </c>
      <c r="W20" s="40">
        <v>0</v>
      </c>
      <c r="X20" s="40">
        <v>13085</v>
      </c>
      <c r="Y20" s="40">
        <v>0</v>
      </c>
      <c r="Z20" s="40">
        <v>125859</v>
      </c>
      <c r="AA20" s="43">
        <v>0</v>
      </c>
      <c r="AB20" s="43">
        <v>133347</v>
      </c>
      <c r="AC20" s="40">
        <v>0</v>
      </c>
      <c r="AD20" s="40">
        <v>50281</v>
      </c>
      <c r="AE20" s="40" t="s">
        <v>69</v>
      </c>
      <c r="AF20" s="40" t="s">
        <v>69</v>
      </c>
      <c r="AG20" s="40" t="s">
        <v>69</v>
      </c>
      <c r="AH20" s="40" t="s">
        <v>69</v>
      </c>
      <c r="AI20" s="40" t="s">
        <v>69</v>
      </c>
      <c r="AJ20" s="40" t="s">
        <v>69</v>
      </c>
      <c r="AK20" s="40" t="s">
        <v>69</v>
      </c>
      <c r="AL20" s="40" t="s">
        <v>69</v>
      </c>
      <c r="AM20" s="40" t="s">
        <v>69</v>
      </c>
      <c r="AN20" s="40" t="s">
        <v>69</v>
      </c>
    </row>
    <row r="21" spans="1:40" s="84" customFormat="1" ht="30" customHeight="1" x14ac:dyDescent="0.3">
      <c r="A21" s="98" t="s">
        <v>52</v>
      </c>
      <c r="B21" s="99" t="s">
        <v>20</v>
      </c>
      <c r="C21" s="86">
        <v>18680</v>
      </c>
      <c r="D21" s="86">
        <v>18680</v>
      </c>
      <c r="E21" s="86">
        <v>-6221</v>
      </c>
      <c r="F21" s="86">
        <v>-6221</v>
      </c>
      <c r="G21" s="86">
        <v>-2127</v>
      </c>
      <c r="H21" s="86">
        <v>-2127</v>
      </c>
      <c r="I21" s="86">
        <v>-648</v>
      </c>
      <c r="J21" s="86">
        <v>-648</v>
      </c>
      <c r="K21" s="86">
        <v>927</v>
      </c>
      <c r="L21" s="86">
        <v>927</v>
      </c>
      <c r="M21" s="42">
        <v>-1385</v>
      </c>
      <c r="N21" s="42">
        <v>-1385</v>
      </c>
      <c r="O21" s="43">
        <v>201</v>
      </c>
      <c r="P21" s="39">
        <v>201</v>
      </c>
      <c r="Q21" s="43">
        <v>3835</v>
      </c>
      <c r="R21" s="39">
        <v>3835</v>
      </c>
      <c r="S21" s="43">
        <v>46105</v>
      </c>
      <c r="T21" s="39">
        <v>46105</v>
      </c>
      <c r="U21" s="43" t="s">
        <v>69</v>
      </c>
      <c r="V21" s="43" t="s">
        <v>69</v>
      </c>
      <c r="W21" s="40">
        <v>-5329</v>
      </c>
      <c r="X21" s="40">
        <v>-5329</v>
      </c>
      <c r="Y21" s="40">
        <v>-16978</v>
      </c>
      <c r="Z21" s="40">
        <v>-16978</v>
      </c>
      <c r="AA21" s="43">
        <v>-14493</v>
      </c>
      <c r="AB21" s="43">
        <v>-14493</v>
      </c>
      <c r="AC21" s="40">
        <v>4927</v>
      </c>
      <c r="AD21" s="40">
        <v>4927</v>
      </c>
      <c r="AE21" s="40" t="s">
        <v>69</v>
      </c>
      <c r="AF21" s="40" t="s">
        <v>69</v>
      </c>
      <c r="AG21" s="40" t="s">
        <v>69</v>
      </c>
      <c r="AH21" s="40" t="s">
        <v>69</v>
      </c>
      <c r="AI21" s="40" t="s">
        <v>69</v>
      </c>
      <c r="AJ21" s="40" t="s">
        <v>69</v>
      </c>
      <c r="AK21" s="40" t="s">
        <v>69</v>
      </c>
      <c r="AL21" s="40" t="s">
        <v>69</v>
      </c>
      <c r="AM21" s="40" t="s">
        <v>69</v>
      </c>
      <c r="AN21" s="40" t="s">
        <v>69</v>
      </c>
    </row>
    <row r="22" spans="1:40" s="75" customFormat="1" ht="30" customHeight="1" x14ac:dyDescent="0.3">
      <c r="A22" s="100" t="s">
        <v>53</v>
      </c>
      <c r="B22" s="97" t="s">
        <v>36</v>
      </c>
      <c r="C22" s="92">
        <v>0</v>
      </c>
      <c r="D22" s="92">
        <v>0</v>
      </c>
      <c r="E22" s="94">
        <v>0</v>
      </c>
      <c r="F22" s="94">
        <v>0</v>
      </c>
      <c r="G22" s="92">
        <v>0</v>
      </c>
      <c r="H22" s="92">
        <v>0</v>
      </c>
      <c r="I22" s="92">
        <v>0</v>
      </c>
      <c r="J22" s="92">
        <v>0</v>
      </c>
      <c r="K22" s="92">
        <v>0</v>
      </c>
      <c r="L22" s="92">
        <v>0</v>
      </c>
      <c r="M22" s="101">
        <v>0</v>
      </c>
      <c r="N22" s="101">
        <v>0</v>
      </c>
      <c r="O22" s="94">
        <v>0</v>
      </c>
      <c r="P22" s="95">
        <v>0</v>
      </c>
      <c r="Q22" s="94">
        <v>0</v>
      </c>
      <c r="R22" s="95">
        <v>0</v>
      </c>
      <c r="S22" s="94">
        <v>0</v>
      </c>
      <c r="T22" s="95">
        <v>0</v>
      </c>
      <c r="U22" s="49" t="s">
        <v>69</v>
      </c>
      <c r="V22" s="49" t="s">
        <v>69</v>
      </c>
      <c r="W22" s="101">
        <v>0</v>
      </c>
      <c r="X22" s="101">
        <v>0</v>
      </c>
      <c r="Y22" s="101">
        <v>0</v>
      </c>
      <c r="Z22" s="101">
        <v>0</v>
      </c>
      <c r="AA22" s="95">
        <v>0</v>
      </c>
      <c r="AB22" s="94">
        <v>0</v>
      </c>
      <c r="AC22" s="52">
        <v>0</v>
      </c>
      <c r="AD22" s="52">
        <v>0</v>
      </c>
      <c r="AE22" s="52" t="s">
        <v>69</v>
      </c>
      <c r="AF22" s="52" t="s">
        <v>69</v>
      </c>
      <c r="AG22" s="52" t="s">
        <v>69</v>
      </c>
      <c r="AH22" s="52" t="s">
        <v>69</v>
      </c>
      <c r="AI22" s="52" t="s">
        <v>69</v>
      </c>
      <c r="AJ22" s="52" t="s">
        <v>69</v>
      </c>
      <c r="AK22" s="52" t="s">
        <v>69</v>
      </c>
      <c r="AL22" s="52" t="s">
        <v>69</v>
      </c>
      <c r="AM22" s="52" t="s">
        <v>69</v>
      </c>
      <c r="AN22" s="52" t="s">
        <v>69</v>
      </c>
    </row>
    <row r="23" spans="1:40" s="75" customFormat="1" ht="49.95" customHeight="1" x14ac:dyDescent="0.3">
      <c r="A23" s="103" t="s">
        <v>54</v>
      </c>
      <c r="B23" s="104" t="s">
        <v>39</v>
      </c>
      <c r="C23" s="92">
        <v>0</v>
      </c>
      <c r="D23" s="92">
        <v>0</v>
      </c>
      <c r="E23" s="94">
        <v>38970</v>
      </c>
      <c r="F23" s="94">
        <v>38970</v>
      </c>
      <c r="G23" s="92">
        <v>0</v>
      </c>
      <c r="H23" s="92">
        <v>0</v>
      </c>
      <c r="I23" s="92">
        <v>0</v>
      </c>
      <c r="J23" s="92">
        <v>0</v>
      </c>
      <c r="K23" s="92">
        <v>0</v>
      </c>
      <c r="L23" s="92">
        <v>0</v>
      </c>
      <c r="M23" s="101">
        <v>0</v>
      </c>
      <c r="N23" s="101">
        <v>0</v>
      </c>
      <c r="O23" s="94">
        <v>0</v>
      </c>
      <c r="P23" s="95">
        <v>0</v>
      </c>
      <c r="Q23" s="94">
        <v>0</v>
      </c>
      <c r="R23" s="95">
        <v>0</v>
      </c>
      <c r="S23" s="94">
        <v>0</v>
      </c>
      <c r="T23" s="95">
        <v>0</v>
      </c>
      <c r="U23" s="49" t="s">
        <v>69</v>
      </c>
      <c r="V23" s="49" t="s">
        <v>69</v>
      </c>
      <c r="W23" s="52">
        <v>0</v>
      </c>
      <c r="X23" s="52">
        <v>0</v>
      </c>
      <c r="Y23" s="52">
        <v>0</v>
      </c>
      <c r="Z23" s="52">
        <v>0</v>
      </c>
      <c r="AA23" s="52">
        <v>0</v>
      </c>
      <c r="AB23" s="52">
        <v>0</v>
      </c>
      <c r="AC23" s="52">
        <v>0</v>
      </c>
      <c r="AD23" s="52">
        <v>0</v>
      </c>
      <c r="AE23" s="52" t="s">
        <v>69</v>
      </c>
      <c r="AF23" s="52" t="s">
        <v>69</v>
      </c>
      <c r="AG23" s="52" t="s">
        <v>69</v>
      </c>
      <c r="AH23" s="52" t="s">
        <v>69</v>
      </c>
      <c r="AI23" s="52" t="s">
        <v>69</v>
      </c>
      <c r="AJ23" s="52" t="s">
        <v>69</v>
      </c>
      <c r="AK23" s="52" t="s">
        <v>69</v>
      </c>
      <c r="AL23" s="52" t="s">
        <v>69</v>
      </c>
      <c r="AM23" s="52" t="s">
        <v>69</v>
      </c>
      <c r="AN23" s="52" t="s">
        <v>69</v>
      </c>
    </row>
    <row r="24" spans="1:40" s="75" customFormat="1" ht="30" customHeight="1" x14ac:dyDescent="0.3">
      <c r="A24" s="93" t="s">
        <v>55</v>
      </c>
      <c r="B24" s="91" t="s">
        <v>21</v>
      </c>
      <c r="C24" s="92">
        <v>3581</v>
      </c>
      <c r="D24" s="92">
        <v>3581</v>
      </c>
      <c r="E24" s="92">
        <v>11439</v>
      </c>
      <c r="F24" s="92">
        <v>11439</v>
      </c>
      <c r="G24" s="92">
        <v>23343</v>
      </c>
      <c r="H24" s="92">
        <v>23343</v>
      </c>
      <c r="I24" s="92">
        <v>2458</v>
      </c>
      <c r="J24" s="92">
        <v>2458</v>
      </c>
      <c r="K24" s="92">
        <v>5022</v>
      </c>
      <c r="L24" s="92">
        <v>5022</v>
      </c>
      <c r="M24" s="101">
        <v>-9062</v>
      </c>
      <c r="N24" s="101">
        <v>-9062</v>
      </c>
      <c r="O24" s="94">
        <v>20270</v>
      </c>
      <c r="P24" s="95">
        <v>20270</v>
      </c>
      <c r="Q24" s="94">
        <v>4022</v>
      </c>
      <c r="R24" s="95">
        <v>4022</v>
      </c>
      <c r="S24" s="94">
        <v>-25119</v>
      </c>
      <c r="T24" s="95">
        <v>-25119</v>
      </c>
      <c r="U24" s="49" t="s">
        <v>69</v>
      </c>
      <c r="V24" s="49" t="s">
        <v>69</v>
      </c>
      <c r="W24" s="52">
        <v>188211</v>
      </c>
      <c r="X24" s="52">
        <v>188211</v>
      </c>
      <c r="Y24" s="52">
        <v>230332</v>
      </c>
      <c r="Z24" s="52">
        <v>230332</v>
      </c>
      <c r="AA24" s="52">
        <v>178652</v>
      </c>
      <c r="AB24" s="52">
        <v>178652</v>
      </c>
      <c r="AC24" s="52">
        <v>14177</v>
      </c>
      <c r="AD24" s="52">
        <v>14177</v>
      </c>
      <c r="AE24" s="52" t="s">
        <v>69</v>
      </c>
      <c r="AF24" s="52" t="s">
        <v>69</v>
      </c>
      <c r="AG24" s="52" t="s">
        <v>69</v>
      </c>
      <c r="AH24" s="52" t="s">
        <v>69</v>
      </c>
      <c r="AI24" s="52" t="s">
        <v>69</v>
      </c>
      <c r="AJ24" s="52" t="s">
        <v>69</v>
      </c>
      <c r="AK24" s="52" t="s">
        <v>69</v>
      </c>
      <c r="AL24" s="52" t="s">
        <v>69</v>
      </c>
      <c r="AM24" s="52" t="s">
        <v>69</v>
      </c>
      <c r="AN24" s="52" t="s">
        <v>69</v>
      </c>
    </row>
    <row r="25" spans="1:40" s="75" customFormat="1" ht="30" customHeight="1" x14ac:dyDescent="0.3">
      <c r="A25" s="93" t="s">
        <v>56</v>
      </c>
      <c r="B25" s="91" t="s">
        <v>22</v>
      </c>
      <c r="C25" s="92">
        <v>-693</v>
      </c>
      <c r="D25" s="92">
        <v>-693</v>
      </c>
      <c r="E25" s="92">
        <v>-56</v>
      </c>
      <c r="F25" s="92">
        <v>-56</v>
      </c>
      <c r="G25" s="92">
        <v>-4</v>
      </c>
      <c r="H25" s="92">
        <v>-4</v>
      </c>
      <c r="I25" s="92">
        <v>0</v>
      </c>
      <c r="J25" s="92">
        <v>0</v>
      </c>
      <c r="K25" s="92">
        <v>0</v>
      </c>
      <c r="L25" s="92">
        <v>0</v>
      </c>
      <c r="M25" s="101">
        <v>0</v>
      </c>
      <c r="N25" s="101">
        <v>0</v>
      </c>
      <c r="O25" s="94">
        <v>0</v>
      </c>
      <c r="P25" s="95">
        <v>0</v>
      </c>
      <c r="Q25" s="94">
        <v>0</v>
      </c>
      <c r="R25" s="95">
        <v>0</v>
      </c>
      <c r="S25" s="94">
        <v>0</v>
      </c>
      <c r="T25" s="95">
        <v>0</v>
      </c>
      <c r="U25" s="49" t="s">
        <v>69</v>
      </c>
      <c r="V25" s="49" t="s">
        <v>69</v>
      </c>
      <c r="W25" s="52">
        <v>0</v>
      </c>
      <c r="X25" s="52">
        <v>0</v>
      </c>
      <c r="Y25" s="52">
        <v>0</v>
      </c>
      <c r="Z25" s="52">
        <v>0</v>
      </c>
      <c r="AA25" s="52">
        <v>0</v>
      </c>
      <c r="AB25" s="52">
        <v>0</v>
      </c>
      <c r="AC25" s="52">
        <v>0</v>
      </c>
      <c r="AD25" s="52">
        <v>0</v>
      </c>
      <c r="AE25" s="52" t="s">
        <v>69</v>
      </c>
      <c r="AF25" s="52" t="s">
        <v>69</v>
      </c>
      <c r="AG25" s="52" t="s">
        <v>69</v>
      </c>
      <c r="AH25" s="52" t="s">
        <v>69</v>
      </c>
      <c r="AI25" s="52" t="s">
        <v>69</v>
      </c>
      <c r="AJ25" s="52" t="s">
        <v>69</v>
      </c>
      <c r="AK25" s="52" t="s">
        <v>69</v>
      </c>
      <c r="AL25" s="52" t="s">
        <v>69</v>
      </c>
      <c r="AM25" s="52" t="s">
        <v>69</v>
      </c>
      <c r="AN25" s="52" t="s">
        <v>69</v>
      </c>
    </row>
    <row r="26" spans="1:40" s="75" customFormat="1" ht="30" customHeight="1" x14ac:dyDescent="0.3">
      <c r="A26" s="93" t="s">
        <v>57</v>
      </c>
      <c r="B26" s="91" t="s">
        <v>23</v>
      </c>
      <c r="C26" s="92">
        <v>19922</v>
      </c>
      <c r="D26" s="92">
        <v>19320</v>
      </c>
      <c r="E26" s="92">
        <v>14791</v>
      </c>
      <c r="F26" s="92">
        <v>15154</v>
      </c>
      <c r="G26" s="92">
        <v>-601</v>
      </c>
      <c r="H26" s="92">
        <v>3915</v>
      </c>
      <c r="I26" s="92">
        <v>347</v>
      </c>
      <c r="J26" s="92">
        <v>273</v>
      </c>
      <c r="K26" s="92">
        <v>3553</v>
      </c>
      <c r="L26" s="92">
        <v>11623</v>
      </c>
      <c r="M26" s="101">
        <v>622</v>
      </c>
      <c r="N26" s="101">
        <v>-1997</v>
      </c>
      <c r="O26" s="94">
        <v>-13148</v>
      </c>
      <c r="P26" s="95">
        <v>19803</v>
      </c>
      <c r="Q26" s="94">
        <v>-25387</v>
      </c>
      <c r="R26" s="95">
        <v>-7191</v>
      </c>
      <c r="S26" s="94">
        <v>-35987</v>
      </c>
      <c r="T26" s="95">
        <v>32</v>
      </c>
      <c r="U26" s="49" t="s">
        <v>69</v>
      </c>
      <c r="V26" s="49" t="s">
        <v>69</v>
      </c>
      <c r="W26" s="52">
        <v>-25933</v>
      </c>
      <c r="X26" s="52">
        <v>11682</v>
      </c>
      <c r="Y26" s="52">
        <v>-43681</v>
      </c>
      <c r="Z26" s="52">
        <v>-4172</v>
      </c>
      <c r="AA26" s="52">
        <v>-52303</v>
      </c>
      <c r="AB26" s="52">
        <v>2389</v>
      </c>
      <c r="AC26" s="52">
        <v>-159440</v>
      </c>
      <c r="AD26" s="52">
        <v>-530530</v>
      </c>
      <c r="AE26" s="52" t="s">
        <v>69</v>
      </c>
      <c r="AF26" s="52" t="s">
        <v>69</v>
      </c>
      <c r="AG26" s="52" t="s">
        <v>69</v>
      </c>
      <c r="AH26" s="52" t="s">
        <v>69</v>
      </c>
      <c r="AI26" s="52" t="s">
        <v>69</v>
      </c>
      <c r="AJ26" s="52" t="s">
        <v>69</v>
      </c>
      <c r="AK26" s="52" t="s">
        <v>69</v>
      </c>
      <c r="AL26" s="52" t="s">
        <v>69</v>
      </c>
      <c r="AM26" s="52" t="s">
        <v>69</v>
      </c>
      <c r="AN26" s="52" t="s">
        <v>69</v>
      </c>
    </row>
    <row r="27" spans="1:40" s="84" customFormat="1" ht="30" customHeight="1" x14ac:dyDescent="0.3">
      <c r="A27" s="105" t="s">
        <v>58</v>
      </c>
      <c r="B27" s="106" t="s">
        <v>24</v>
      </c>
      <c r="C27" s="86">
        <v>12952</v>
      </c>
      <c r="D27" s="86">
        <v>12952</v>
      </c>
      <c r="E27" s="86">
        <v>0</v>
      </c>
      <c r="F27" s="86">
        <v>0</v>
      </c>
      <c r="G27" s="86">
        <v>0</v>
      </c>
      <c r="H27" s="86">
        <v>0</v>
      </c>
      <c r="I27" s="86">
        <v>0</v>
      </c>
      <c r="J27" s="86">
        <v>0</v>
      </c>
      <c r="K27" s="86">
        <v>0</v>
      </c>
      <c r="L27" s="86">
        <v>0</v>
      </c>
      <c r="M27" s="42">
        <v>0</v>
      </c>
      <c r="N27" s="42">
        <v>0</v>
      </c>
      <c r="O27" s="43">
        <v>0</v>
      </c>
      <c r="P27" s="39">
        <v>0</v>
      </c>
      <c r="Q27" s="43">
        <v>0</v>
      </c>
      <c r="R27" s="39">
        <v>0</v>
      </c>
      <c r="S27" s="43">
        <v>0</v>
      </c>
      <c r="T27" s="39">
        <v>0</v>
      </c>
      <c r="U27" s="43" t="s">
        <v>69</v>
      </c>
      <c r="V27" s="43" t="s">
        <v>69</v>
      </c>
      <c r="W27" s="40">
        <v>0</v>
      </c>
      <c r="X27" s="40">
        <v>0</v>
      </c>
      <c r="Y27" s="40">
        <v>0</v>
      </c>
      <c r="Z27" s="40">
        <v>0</v>
      </c>
      <c r="AA27" s="40">
        <v>0</v>
      </c>
      <c r="AB27" s="40">
        <v>0</v>
      </c>
      <c r="AC27" s="40">
        <v>0</v>
      </c>
      <c r="AD27" s="40">
        <v>0</v>
      </c>
      <c r="AE27" s="40" t="s">
        <v>69</v>
      </c>
      <c r="AF27" s="40" t="s">
        <v>69</v>
      </c>
      <c r="AG27" s="40" t="s">
        <v>69</v>
      </c>
      <c r="AH27" s="40" t="s">
        <v>69</v>
      </c>
      <c r="AI27" s="40" t="s">
        <v>69</v>
      </c>
      <c r="AJ27" s="40" t="s">
        <v>69</v>
      </c>
      <c r="AK27" s="40" t="s">
        <v>69</v>
      </c>
      <c r="AL27" s="40" t="s">
        <v>69</v>
      </c>
      <c r="AM27" s="40" t="s">
        <v>69</v>
      </c>
      <c r="AN27" s="40" t="s">
        <v>69</v>
      </c>
    </row>
    <row r="28" spans="1:40" s="75" customFormat="1" ht="30" customHeight="1" x14ac:dyDescent="0.3">
      <c r="A28" s="93" t="s">
        <v>59</v>
      </c>
      <c r="B28" s="91" t="s">
        <v>25</v>
      </c>
      <c r="C28" s="92">
        <v>0</v>
      </c>
      <c r="D28" s="92">
        <v>0</v>
      </c>
      <c r="E28" s="92">
        <v>0</v>
      </c>
      <c r="F28" s="92">
        <v>1</v>
      </c>
      <c r="G28" s="92">
        <v>0</v>
      </c>
      <c r="H28" s="92">
        <v>0</v>
      </c>
      <c r="I28" s="92">
        <v>0</v>
      </c>
      <c r="J28" s="92">
        <v>-1</v>
      </c>
      <c r="K28" s="92">
        <v>0</v>
      </c>
      <c r="L28" s="92">
        <v>0</v>
      </c>
      <c r="M28" s="101">
        <v>0</v>
      </c>
      <c r="N28" s="101">
        <v>0</v>
      </c>
      <c r="O28" s="94">
        <v>0</v>
      </c>
      <c r="P28" s="95">
        <v>0</v>
      </c>
      <c r="Q28" s="94">
        <v>0</v>
      </c>
      <c r="R28" s="95">
        <v>0</v>
      </c>
      <c r="S28" s="94">
        <v>0</v>
      </c>
      <c r="T28" s="95">
        <v>0</v>
      </c>
      <c r="U28" s="49" t="s">
        <v>69</v>
      </c>
      <c r="V28" s="49" t="s">
        <v>69</v>
      </c>
      <c r="W28" s="52">
        <v>0</v>
      </c>
      <c r="X28" s="52">
        <v>0</v>
      </c>
      <c r="Y28" s="52">
        <v>0</v>
      </c>
      <c r="Z28" s="52">
        <v>0</v>
      </c>
      <c r="AA28" s="52">
        <v>0</v>
      </c>
      <c r="AB28" s="52">
        <v>1</v>
      </c>
      <c r="AC28" s="52">
        <v>0</v>
      </c>
      <c r="AD28" s="52">
        <v>1</v>
      </c>
      <c r="AE28" s="52" t="s">
        <v>69</v>
      </c>
      <c r="AF28" s="52" t="s">
        <v>69</v>
      </c>
      <c r="AG28" s="52" t="s">
        <v>69</v>
      </c>
      <c r="AH28" s="52" t="s">
        <v>69</v>
      </c>
      <c r="AI28" s="52" t="s">
        <v>69</v>
      </c>
      <c r="AJ28" s="52" t="s">
        <v>69</v>
      </c>
      <c r="AK28" s="52" t="s">
        <v>69</v>
      </c>
      <c r="AL28" s="52" t="s">
        <v>69</v>
      </c>
      <c r="AM28" s="52" t="s">
        <v>69</v>
      </c>
      <c r="AN28" s="52" t="s">
        <v>69</v>
      </c>
    </row>
    <row r="29" spans="1:40" s="75" customFormat="1" ht="30" customHeight="1" x14ac:dyDescent="0.3">
      <c r="A29" s="93" t="s">
        <v>60</v>
      </c>
      <c r="B29" s="91" t="s">
        <v>26</v>
      </c>
      <c r="C29" s="92">
        <v>-432</v>
      </c>
      <c r="D29" s="92">
        <v>-432</v>
      </c>
      <c r="E29" s="92">
        <v>-4276</v>
      </c>
      <c r="F29" s="92">
        <v>-4276</v>
      </c>
      <c r="G29" s="92">
        <v>3366</v>
      </c>
      <c r="H29" s="92">
        <v>3366</v>
      </c>
      <c r="I29" s="92">
        <v>1328</v>
      </c>
      <c r="J29" s="92">
        <v>1328</v>
      </c>
      <c r="K29" s="92">
        <v>3922</v>
      </c>
      <c r="L29" s="92">
        <v>3922</v>
      </c>
      <c r="M29" s="101">
        <v>1533</v>
      </c>
      <c r="N29" s="101">
        <v>1533</v>
      </c>
      <c r="O29" s="94">
        <v>11357</v>
      </c>
      <c r="P29" s="95">
        <v>11357</v>
      </c>
      <c r="Q29" s="94">
        <v>1242</v>
      </c>
      <c r="R29" s="95">
        <v>1242</v>
      </c>
      <c r="S29" s="94">
        <v>549</v>
      </c>
      <c r="T29" s="95">
        <v>549</v>
      </c>
      <c r="U29" s="49" t="s">
        <v>69</v>
      </c>
      <c r="V29" s="49" t="s">
        <v>69</v>
      </c>
      <c r="W29" s="52">
        <v>0</v>
      </c>
      <c r="X29" s="52">
        <v>0</v>
      </c>
      <c r="Y29" s="52">
        <v>2004</v>
      </c>
      <c r="Z29" s="52">
        <v>2004</v>
      </c>
      <c r="AA29" s="52">
        <v>28314</v>
      </c>
      <c r="AB29" s="52">
        <v>28314</v>
      </c>
      <c r="AC29" s="52">
        <v>7644</v>
      </c>
      <c r="AD29" s="52">
        <v>7644</v>
      </c>
      <c r="AE29" s="52" t="s">
        <v>69</v>
      </c>
      <c r="AF29" s="52" t="s">
        <v>69</v>
      </c>
      <c r="AG29" s="52" t="s">
        <v>69</v>
      </c>
      <c r="AH29" s="52" t="s">
        <v>69</v>
      </c>
      <c r="AI29" s="52" t="s">
        <v>69</v>
      </c>
      <c r="AJ29" s="52" t="s">
        <v>69</v>
      </c>
      <c r="AK29" s="52" t="s">
        <v>69</v>
      </c>
      <c r="AL29" s="52" t="s">
        <v>69</v>
      </c>
      <c r="AM29" s="52" t="s">
        <v>69</v>
      </c>
      <c r="AN29" s="52" t="s">
        <v>69</v>
      </c>
    </row>
    <row r="30" spans="1:40" s="75" customFormat="1" ht="30" customHeight="1" x14ac:dyDescent="0.3">
      <c r="A30" s="93" t="s">
        <v>61</v>
      </c>
      <c r="B30" s="91" t="s">
        <v>27</v>
      </c>
      <c r="C30" s="92">
        <f>C31-C32</f>
        <v>172</v>
      </c>
      <c r="D30" s="92">
        <f t="shared" ref="D30:Z30" si="8">D31-D32</f>
        <v>172</v>
      </c>
      <c r="E30" s="92">
        <f t="shared" si="8"/>
        <v>673</v>
      </c>
      <c r="F30" s="92">
        <f t="shared" si="8"/>
        <v>673</v>
      </c>
      <c r="G30" s="92">
        <f t="shared" si="8"/>
        <v>183</v>
      </c>
      <c r="H30" s="92">
        <f t="shared" si="8"/>
        <v>183</v>
      </c>
      <c r="I30" s="92">
        <f t="shared" si="8"/>
        <v>425</v>
      </c>
      <c r="J30" s="92">
        <f t="shared" si="8"/>
        <v>425</v>
      </c>
      <c r="K30" s="92">
        <f t="shared" si="8"/>
        <v>22</v>
      </c>
      <c r="L30" s="92">
        <f t="shared" si="8"/>
        <v>22</v>
      </c>
      <c r="M30" s="92">
        <f t="shared" si="8"/>
        <v>0</v>
      </c>
      <c r="N30" s="92">
        <f t="shared" si="8"/>
        <v>0</v>
      </c>
      <c r="O30" s="92">
        <f t="shared" si="8"/>
        <v>12</v>
      </c>
      <c r="P30" s="92">
        <f t="shared" si="8"/>
        <v>12</v>
      </c>
      <c r="Q30" s="92">
        <f t="shared" si="8"/>
        <v>385</v>
      </c>
      <c r="R30" s="92">
        <f t="shared" si="8"/>
        <v>385</v>
      </c>
      <c r="S30" s="92">
        <f t="shared" si="8"/>
        <v>0</v>
      </c>
      <c r="T30" s="92">
        <f t="shared" si="8"/>
        <v>0</v>
      </c>
      <c r="U30" s="49" t="s">
        <v>69</v>
      </c>
      <c r="V30" s="49" t="s">
        <v>69</v>
      </c>
      <c r="W30" s="92">
        <f t="shared" si="8"/>
        <v>0</v>
      </c>
      <c r="X30" s="92">
        <f t="shared" si="8"/>
        <v>0</v>
      </c>
      <c r="Y30" s="92">
        <f t="shared" si="8"/>
        <v>0</v>
      </c>
      <c r="Z30" s="92">
        <f t="shared" si="8"/>
        <v>0</v>
      </c>
      <c r="AA30" s="52">
        <v>0</v>
      </c>
      <c r="AB30" s="52">
        <v>0</v>
      </c>
      <c r="AC30" s="52">
        <f t="shared" ref="AC30:AD30" si="9">AC31-AC32</f>
        <v>-2913</v>
      </c>
      <c r="AD30" s="52">
        <f t="shared" si="9"/>
        <v>-2913</v>
      </c>
      <c r="AE30" s="52" t="s">
        <v>69</v>
      </c>
      <c r="AF30" s="52" t="s">
        <v>69</v>
      </c>
      <c r="AG30" s="52" t="s">
        <v>69</v>
      </c>
      <c r="AH30" s="52" t="s">
        <v>69</v>
      </c>
      <c r="AI30" s="52" t="s">
        <v>69</v>
      </c>
      <c r="AJ30" s="52" t="s">
        <v>69</v>
      </c>
      <c r="AK30" s="52" t="s">
        <v>69</v>
      </c>
      <c r="AL30" s="52" t="s">
        <v>69</v>
      </c>
      <c r="AM30" s="52" t="s">
        <v>69</v>
      </c>
      <c r="AN30" s="52" t="s">
        <v>69</v>
      </c>
    </row>
    <row r="31" spans="1:40" s="107" customFormat="1" ht="30" customHeight="1" x14ac:dyDescent="0.3">
      <c r="A31" s="105" t="s">
        <v>62</v>
      </c>
      <c r="B31" s="106" t="s">
        <v>28</v>
      </c>
      <c r="C31" s="86">
        <v>9962</v>
      </c>
      <c r="D31" s="86">
        <v>9962</v>
      </c>
      <c r="E31" s="86">
        <v>673</v>
      </c>
      <c r="F31" s="86">
        <v>673</v>
      </c>
      <c r="G31" s="86">
        <v>183</v>
      </c>
      <c r="H31" s="86">
        <v>183</v>
      </c>
      <c r="I31" s="86">
        <v>805</v>
      </c>
      <c r="J31" s="86">
        <v>805</v>
      </c>
      <c r="K31" s="86">
        <v>22</v>
      </c>
      <c r="L31" s="86">
        <v>22</v>
      </c>
      <c r="M31" s="42">
        <v>0</v>
      </c>
      <c r="N31" s="42">
        <v>0</v>
      </c>
      <c r="O31" s="43">
        <v>12</v>
      </c>
      <c r="P31" s="39">
        <v>12</v>
      </c>
      <c r="Q31" s="43">
        <v>35</v>
      </c>
      <c r="R31" s="39">
        <v>35</v>
      </c>
      <c r="S31" s="43">
        <v>0</v>
      </c>
      <c r="T31" s="39">
        <v>0</v>
      </c>
      <c r="U31" s="43" t="s">
        <v>69</v>
      </c>
      <c r="V31" s="43" t="s">
        <v>69</v>
      </c>
      <c r="W31" s="40">
        <v>0</v>
      </c>
      <c r="X31" s="40">
        <v>0</v>
      </c>
      <c r="Y31" s="40">
        <v>0</v>
      </c>
      <c r="Z31" s="40">
        <v>0</v>
      </c>
      <c r="AA31" s="43">
        <v>0</v>
      </c>
      <c r="AB31" s="43">
        <v>0</v>
      </c>
      <c r="AC31" s="40">
        <v>-2913</v>
      </c>
      <c r="AD31" s="40">
        <v>-2913</v>
      </c>
      <c r="AE31" s="40" t="s">
        <v>69</v>
      </c>
      <c r="AF31" s="40" t="s">
        <v>69</v>
      </c>
      <c r="AG31" s="40" t="s">
        <v>69</v>
      </c>
      <c r="AH31" s="40" t="s">
        <v>69</v>
      </c>
      <c r="AI31" s="40" t="s">
        <v>69</v>
      </c>
      <c r="AJ31" s="40" t="s">
        <v>69</v>
      </c>
      <c r="AK31" s="40" t="s">
        <v>69</v>
      </c>
      <c r="AL31" s="40" t="s">
        <v>69</v>
      </c>
      <c r="AM31" s="40" t="s">
        <v>69</v>
      </c>
      <c r="AN31" s="40" t="s">
        <v>69</v>
      </c>
    </row>
    <row r="32" spans="1:40" s="84" customFormat="1" ht="30" customHeight="1" x14ac:dyDescent="0.3">
      <c r="A32" s="105" t="s">
        <v>63</v>
      </c>
      <c r="B32" s="106" t="s">
        <v>29</v>
      </c>
      <c r="C32" s="86">
        <v>9790</v>
      </c>
      <c r="D32" s="86">
        <v>9790</v>
      </c>
      <c r="E32" s="86">
        <v>0</v>
      </c>
      <c r="F32" s="86">
        <v>0</v>
      </c>
      <c r="G32" s="86">
        <v>0</v>
      </c>
      <c r="H32" s="86">
        <v>0</v>
      </c>
      <c r="I32" s="86">
        <v>380</v>
      </c>
      <c r="J32" s="86">
        <v>380</v>
      </c>
      <c r="K32" s="86">
        <v>0</v>
      </c>
      <c r="L32" s="86">
        <v>0</v>
      </c>
      <c r="M32" s="42">
        <v>0</v>
      </c>
      <c r="N32" s="42">
        <v>0</v>
      </c>
      <c r="O32" s="43">
        <v>0</v>
      </c>
      <c r="P32" s="39">
        <v>0</v>
      </c>
      <c r="Q32" s="43">
        <v>-350</v>
      </c>
      <c r="R32" s="43">
        <v>-350</v>
      </c>
      <c r="S32" s="43">
        <v>0</v>
      </c>
      <c r="T32" s="39">
        <v>0</v>
      </c>
      <c r="U32" s="43" t="s">
        <v>69</v>
      </c>
      <c r="V32" s="43" t="s">
        <v>69</v>
      </c>
      <c r="W32" s="40">
        <v>0</v>
      </c>
      <c r="X32" s="40">
        <v>0</v>
      </c>
      <c r="Y32" s="40">
        <v>0</v>
      </c>
      <c r="Z32" s="40">
        <v>0</v>
      </c>
      <c r="AA32" s="43">
        <v>0</v>
      </c>
      <c r="AB32" s="43">
        <v>0</v>
      </c>
      <c r="AC32" s="40">
        <v>0</v>
      </c>
      <c r="AD32" s="40">
        <v>0</v>
      </c>
      <c r="AE32" s="40" t="s">
        <v>69</v>
      </c>
      <c r="AF32" s="40" t="s">
        <v>69</v>
      </c>
      <c r="AG32" s="40" t="s">
        <v>69</v>
      </c>
      <c r="AH32" s="40" t="s">
        <v>69</v>
      </c>
      <c r="AI32" s="40" t="s">
        <v>69</v>
      </c>
      <c r="AJ32" s="40" t="s">
        <v>69</v>
      </c>
      <c r="AK32" s="40" t="s">
        <v>69</v>
      </c>
      <c r="AL32" s="40" t="s">
        <v>69</v>
      </c>
      <c r="AM32" s="40" t="s">
        <v>69</v>
      </c>
      <c r="AN32" s="40" t="s">
        <v>69</v>
      </c>
    </row>
    <row r="33" spans="1:40" s="84" customFormat="1" ht="57" customHeight="1" x14ac:dyDescent="0.3">
      <c r="A33" s="93" t="s">
        <v>64</v>
      </c>
      <c r="B33" s="104" t="s">
        <v>37</v>
      </c>
      <c r="C33" s="92">
        <v>-1168</v>
      </c>
      <c r="D33" s="92">
        <v>-1168</v>
      </c>
      <c r="E33" s="92">
        <v>-1149</v>
      </c>
      <c r="F33" s="92">
        <v>-1149</v>
      </c>
      <c r="G33" s="92">
        <v>-10915</v>
      </c>
      <c r="H33" s="92">
        <v>-10915</v>
      </c>
      <c r="I33" s="92">
        <v>-227</v>
      </c>
      <c r="J33" s="92">
        <v>-227</v>
      </c>
      <c r="K33" s="92">
        <v>-7419</v>
      </c>
      <c r="L33" s="92">
        <v>-7419</v>
      </c>
      <c r="M33" s="101">
        <v>-11376</v>
      </c>
      <c r="N33" s="101">
        <v>-11376</v>
      </c>
      <c r="O33" s="94">
        <v>-6791</v>
      </c>
      <c r="P33" s="95">
        <v>-6791</v>
      </c>
      <c r="Q33" s="94">
        <v>-1051</v>
      </c>
      <c r="R33" s="95">
        <v>-1051</v>
      </c>
      <c r="S33" s="94">
        <v>-9540</v>
      </c>
      <c r="T33" s="95">
        <v>-9540</v>
      </c>
      <c r="U33" s="49" t="s">
        <v>69</v>
      </c>
      <c r="V33" s="49" t="s">
        <v>69</v>
      </c>
      <c r="W33" s="52">
        <v>-46987</v>
      </c>
      <c r="X33" s="52">
        <v>-46987</v>
      </c>
      <c r="Y33" s="52">
        <v>-43062</v>
      </c>
      <c r="Z33" s="52">
        <v>-43062</v>
      </c>
      <c r="AA33" s="52">
        <v>-35657</v>
      </c>
      <c r="AB33" s="52">
        <v>-35657</v>
      </c>
      <c r="AC33" s="52">
        <v>9877</v>
      </c>
      <c r="AD33" s="52">
        <v>9877</v>
      </c>
      <c r="AE33" s="52" t="s">
        <v>69</v>
      </c>
      <c r="AF33" s="52" t="s">
        <v>69</v>
      </c>
      <c r="AG33" s="52" t="s">
        <v>69</v>
      </c>
      <c r="AH33" s="52" t="s">
        <v>69</v>
      </c>
      <c r="AI33" s="52" t="s">
        <v>69</v>
      </c>
      <c r="AJ33" s="52" t="s">
        <v>69</v>
      </c>
      <c r="AK33" s="52" t="s">
        <v>69</v>
      </c>
      <c r="AL33" s="52" t="s">
        <v>69</v>
      </c>
      <c r="AM33" s="52" t="s">
        <v>69</v>
      </c>
      <c r="AN33" s="52" t="s">
        <v>69</v>
      </c>
    </row>
    <row r="34" spans="1:40" s="112" customFormat="1" ht="52.95" customHeight="1" x14ac:dyDescent="0.3">
      <c r="A34" s="103" t="s">
        <v>65</v>
      </c>
      <c r="B34" s="104" t="s">
        <v>38</v>
      </c>
      <c r="C34" s="108">
        <v>0</v>
      </c>
      <c r="D34" s="108">
        <v>0</v>
      </c>
      <c r="E34" s="109">
        <v>0</v>
      </c>
      <c r="F34" s="109">
        <v>0</v>
      </c>
      <c r="G34" s="108">
        <v>-25155</v>
      </c>
      <c r="H34" s="108">
        <v>-25155</v>
      </c>
      <c r="I34" s="108">
        <v>0</v>
      </c>
      <c r="J34" s="108">
        <v>0</v>
      </c>
      <c r="K34" s="108">
        <v>0</v>
      </c>
      <c r="L34" s="108">
        <v>0</v>
      </c>
      <c r="M34" s="110">
        <v>0</v>
      </c>
      <c r="N34" s="110">
        <v>0</v>
      </c>
      <c r="O34" s="109">
        <v>0</v>
      </c>
      <c r="P34" s="111">
        <v>0</v>
      </c>
      <c r="Q34" s="109">
        <v>0</v>
      </c>
      <c r="R34" s="111">
        <v>0</v>
      </c>
      <c r="S34" s="109">
        <v>0</v>
      </c>
      <c r="T34" s="111">
        <v>0</v>
      </c>
      <c r="U34" s="49" t="s">
        <v>69</v>
      </c>
      <c r="V34" s="49" t="s">
        <v>69</v>
      </c>
      <c r="W34" s="52">
        <v>0</v>
      </c>
      <c r="X34" s="52">
        <v>0</v>
      </c>
      <c r="Y34" s="52">
        <v>0</v>
      </c>
      <c r="Z34" s="52">
        <v>0</v>
      </c>
      <c r="AA34" s="52">
        <v>0</v>
      </c>
      <c r="AB34" s="52">
        <v>0</v>
      </c>
      <c r="AC34" s="52">
        <v>0</v>
      </c>
      <c r="AD34" s="52">
        <v>0</v>
      </c>
      <c r="AE34" s="52" t="s">
        <v>69</v>
      </c>
      <c r="AF34" s="52" t="s">
        <v>69</v>
      </c>
      <c r="AG34" s="52" t="s">
        <v>69</v>
      </c>
      <c r="AH34" s="52" t="s">
        <v>69</v>
      </c>
      <c r="AI34" s="52" t="s">
        <v>69</v>
      </c>
      <c r="AJ34" s="52" t="s">
        <v>69</v>
      </c>
      <c r="AK34" s="52" t="s">
        <v>69</v>
      </c>
      <c r="AL34" s="52" t="s">
        <v>69</v>
      </c>
      <c r="AM34" s="52" t="s">
        <v>69</v>
      </c>
      <c r="AN34" s="52" t="s">
        <v>69</v>
      </c>
    </row>
    <row r="35" spans="1:40" s="84" customFormat="1" ht="30" customHeight="1" x14ac:dyDescent="0.3">
      <c r="A35" s="93" t="s">
        <v>66</v>
      </c>
      <c r="B35" s="91" t="s">
        <v>30</v>
      </c>
      <c r="C35" s="94">
        <v>32</v>
      </c>
      <c r="D35" s="95">
        <v>32</v>
      </c>
      <c r="E35" s="92">
        <v>203</v>
      </c>
      <c r="F35" s="92">
        <v>203</v>
      </c>
      <c r="G35" s="94">
        <v>-2018</v>
      </c>
      <c r="H35" s="95">
        <v>-2018</v>
      </c>
      <c r="I35" s="94">
        <v>-7785</v>
      </c>
      <c r="J35" s="95">
        <v>-7785</v>
      </c>
      <c r="K35" s="94">
        <v>-14935</v>
      </c>
      <c r="L35" s="95">
        <v>-14935</v>
      </c>
      <c r="M35" s="101">
        <v>2577</v>
      </c>
      <c r="N35" s="101">
        <v>2577</v>
      </c>
      <c r="O35" s="94">
        <v>-42605</v>
      </c>
      <c r="P35" s="95">
        <v>-42605</v>
      </c>
      <c r="Q35" s="94">
        <v>-391</v>
      </c>
      <c r="R35" s="95">
        <v>-391</v>
      </c>
      <c r="S35" s="94">
        <v>21799</v>
      </c>
      <c r="T35" s="95">
        <v>21799</v>
      </c>
      <c r="U35" s="49" t="s">
        <v>69</v>
      </c>
      <c r="V35" s="49" t="s">
        <v>69</v>
      </c>
      <c r="W35" s="52">
        <v>-134485</v>
      </c>
      <c r="X35" s="52">
        <v>-134485</v>
      </c>
      <c r="Y35" s="52">
        <v>-142680</v>
      </c>
      <c r="Z35" s="52">
        <v>-142680</v>
      </c>
      <c r="AA35" s="52">
        <v>-157004</v>
      </c>
      <c r="AB35" s="52">
        <v>-157004</v>
      </c>
      <c r="AC35" s="52">
        <v>146057</v>
      </c>
      <c r="AD35" s="52">
        <v>146057</v>
      </c>
      <c r="AE35" s="52" t="s">
        <v>69</v>
      </c>
      <c r="AF35" s="52" t="s">
        <v>69</v>
      </c>
      <c r="AG35" s="52" t="s">
        <v>69</v>
      </c>
      <c r="AH35" s="52" t="s">
        <v>69</v>
      </c>
      <c r="AI35" s="52" t="s">
        <v>69</v>
      </c>
      <c r="AJ35" s="52" t="s">
        <v>69</v>
      </c>
      <c r="AK35" s="52" t="s">
        <v>69</v>
      </c>
      <c r="AL35" s="52" t="s">
        <v>69</v>
      </c>
      <c r="AM35" s="52" t="s">
        <v>69</v>
      </c>
      <c r="AN35" s="52" t="s">
        <v>69</v>
      </c>
    </row>
    <row r="36" spans="1:40" s="11" customFormat="1" ht="30" customHeight="1" x14ac:dyDescent="0.3">
      <c r="A36" s="54" t="s">
        <v>80</v>
      </c>
      <c r="B36" s="55" t="s">
        <v>79</v>
      </c>
      <c r="C36" s="56">
        <v>-5.7</v>
      </c>
      <c r="D36" s="56">
        <v>-5.2</v>
      </c>
      <c r="E36" s="56">
        <v>-6.8</v>
      </c>
      <c r="F36" s="56">
        <v>-6.4</v>
      </c>
      <c r="G36" s="56">
        <v>-6.6</v>
      </c>
      <c r="H36" s="56">
        <v>-6.6</v>
      </c>
      <c r="I36" s="56">
        <v>-8.1</v>
      </c>
      <c r="J36" s="56">
        <v>-7.7</v>
      </c>
      <c r="K36" s="56">
        <v>-10</v>
      </c>
      <c r="L36" s="56">
        <v>-10.1</v>
      </c>
      <c r="M36" s="57">
        <v>-10.1</v>
      </c>
      <c r="N36" s="58">
        <v>-10.1</v>
      </c>
      <c r="O36" s="57">
        <v>-12.9</v>
      </c>
      <c r="P36" s="59">
        <v>-13</v>
      </c>
      <c r="Q36" s="57">
        <v>-11.7</v>
      </c>
      <c r="R36" s="58">
        <v>-11.5</v>
      </c>
      <c r="S36" s="56">
        <v>-11</v>
      </c>
      <c r="T36" s="56">
        <v>-11</v>
      </c>
      <c r="U36" s="56">
        <v>-12.1</v>
      </c>
      <c r="V36" s="60" t="s">
        <v>69</v>
      </c>
      <c r="W36" s="61">
        <v>-10.7</v>
      </c>
      <c r="X36" s="61">
        <v>-10.4</v>
      </c>
      <c r="Y36" s="61">
        <v>-9.6</v>
      </c>
      <c r="Z36" s="61">
        <v>-9.5</v>
      </c>
      <c r="AA36" s="62">
        <v>-8.1999999999999993</v>
      </c>
      <c r="AB36" s="61">
        <v>-8.1</v>
      </c>
      <c r="AC36" s="61">
        <v>-7.9</v>
      </c>
      <c r="AD36" s="61">
        <v>-7.9</v>
      </c>
      <c r="AE36" s="61">
        <v>-7.3</v>
      </c>
      <c r="AF36" s="61">
        <v>-7.2</v>
      </c>
      <c r="AG36" s="61">
        <v>-6.1</v>
      </c>
      <c r="AH36" s="61">
        <v>-5.7</v>
      </c>
      <c r="AI36" s="61">
        <v>-6.1452277227722769</v>
      </c>
      <c r="AJ36" s="61">
        <v>-5.7997821782178214</v>
      </c>
      <c r="AK36" s="61">
        <v>-3.9</v>
      </c>
      <c r="AL36" s="61">
        <v>-3.6</v>
      </c>
      <c r="AM36" s="61">
        <v>-7.2</v>
      </c>
      <c r="AN36" s="61">
        <v>-6.8</v>
      </c>
    </row>
    <row r="37" spans="1:40" s="11" customFormat="1" ht="30" customHeight="1" x14ac:dyDescent="0.3">
      <c r="A37" s="54" t="s">
        <v>81</v>
      </c>
      <c r="B37" s="55" t="s">
        <v>33</v>
      </c>
      <c r="C37" s="56">
        <v>-7.5</v>
      </c>
      <c r="D37" s="56">
        <v>-7.7</v>
      </c>
      <c r="E37" s="56">
        <v>-6.8</v>
      </c>
      <c r="F37" s="56">
        <v>-7.5</v>
      </c>
      <c r="G37" s="56">
        <v>-6.9</v>
      </c>
      <c r="H37" s="56">
        <v>-6.9</v>
      </c>
      <c r="I37" s="56">
        <v>-8.1</v>
      </c>
      <c r="J37" s="56">
        <v>-8.1999999999999993</v>
      </c>
      <c r="K37" s="56">
        <v>-9.8000000000000007</v>
      </c>
      <c r="L37" s="56">
        <v>-9.8000000000000007</v>
      </c>
      <c r="M37" s="63">
        <v>-10.1</v>
      </c>
      <c r="N37" s="60">
        <v>-10</v>
      </c>
      <c r="O37" s="60">
        <v>-13</v>
      </c>
      <c r="P37" s="63">
        <v>-13.4</v>
      </c>
      <c r="Q37" s="63">
        <v>-12.2</v>
      </c>
      <c r="R37" s="63">
        <v>-12.1</v>
      </c>
      <c r="S37" s="62">
        <v>-11.5</v>
      </c>
      <c r="T37" s="56">
        <v>-11.7</v>
      </c>
      <c r="U37" s="56">
        <v>-12.5</v>
      </c>
      <c r="V37" s="60" t="s">
        <v>69</v>
      </c>
      <c r="W37" s="64">
        <v>-10.9</v>
      </c>
      <c r="X37" s="64">
        <v>-10.6</v>
      </c>
      <c r="Y37" s="64">
        <v>-9.8000000000000007</v>
      </c>
      <c r="Z37" s="64">
        <v>-9.6999999999999993</v>
      </c>
      <c r="AA37" s="62">
        <v>-8.1999999999999993</v>
      </c>
      <c r="AB37" s="64">
        <v>-8</v>
      </c>
      <c r="AC37" s="64">
        <v>-7.9</v>
      </c>
      <c r="AD37" s="64">
        <v>-7</v>
      </c>
      <c r="AE37" s="64">
        <v>-7.4</v>
      </c>
      <c r="AF37" s="64">
        <v>-7.2</v>
      </c>
      <c r="AG37" s="61">
        <v>-6.1</v>
      </c>
      <c r="AH37" s="61">
        <v>-6</v>
      </c>
      <c r="AI37" s="61">
        <v>-6.0385742574257426</v>
      </c>
      <c r="AJ37" s="61">
        <v>-5.7443762376237624</v>
      </c>
      <c r="AK37" s="61">
        <v>-3.9</v>
      </c>
      <c r="AL37" s="61">
        <v>-3.8</v>
      </c>
      <c r="AM37" s="61">
        <v>-7.4</v>
      </c>
      <c r="AN37" s="61">
        <v>-7.1</v>
      </c>
    </row>
    <row r="38" spans="1:40" s="11" customFormat="1" ht="30" customHeight="1" x14ac:dyDescent="0.3">
      <c r="A38" s="44" t="s">
        <v>82</v>
      </c>
      <c r="B38" s="65" t="s">
        <v>34</v>
      </c>
      <c r="C38" s="56">
        <v>24.6</v>
      </c>
      <c r="D38" s="56">
        <v>28.1</v>
      </c>
      <c r="E38" s="56">
        <v>24.7</v>
      </c>
      <c r="F38" s="56">
        <v>27.8</v>
      </c>
      <c r="G38" s="56">
        <v>27.1</v>
      </c>
      <c r="H38" s="56">
        <v>27.7</v>
      </c>
      <c r="I38" s="56">
        <v>22.2</v>
      </c>
      <c r="J38" s="56">
        <v>25.1</v>
      </c>
      <c r="K38" s="56">
        <v>19.3</v>
      </c>
      <c r="L38" s="56">
        <v>22</v>
      </c>
      <c r="M38" s="63">
        <v>18.3</v>
      </c>
      <c r="N38" s="60">
        <v>21.1</v>
      </c>
      <c r="O38" s="60">
        <v>19</v>
      </c>
      <c r="P38" s="60">
        <v>21.9</v>
      </c>
      <c r="Q38" s="63">
        <v>21.7</v>
      </c>
      <c r="R38" s="60">
        <v>24.7</v>
      </c>
      <c r="S38" s="56">
        <v>19.100000000000001</v>
      </c>
      <c r="T38" s="56">
        <v>22.1</v>
      </c>
      <c r="U38" s="56">
        <v>18.100000000000001</v>
      </c>
      <c r="V38" s="60" t="s">
        <v>69</v>
      </c>
      <c r="W38" s="61">
        <v>19</v>
      </c>
      <c r="X38" s="61">
        <v>21.8</v>
      </c>
      <c r="Y38" s="61">
        <v>18.3</v>
      </c>
      <c r="Z38" s="61">
        <v>20.8</v>
      </c>
      <c r="AA38" s="62">
        <v>17.899999999999999</v>
      </c>
      <c r="AB38" s="61">
        <v>20.5</v>
      </c>
      <c r="AC38" s="61">
        <v>16.7</v>
      </c>
      <c r="AD38" s="61">
        <v>19.2</v>
      </c>
      <c r="AE38" s="61">
        <v>17.3</v>
      </c>
      <c r="AF38" s="61">
        <v>19.8</v>
      </c>
      <c r="AG38" s="61">
        <v>16.7</v>
      </c>
      <c r="AH38" s="61">
        <v>18.7</v>
      </c>
      <c r="AI38" s="61">
        <v>15.486287128712872</v>
      </c>
      <c r="AJ38" s="61">
        <v>17.066504950495048</v>
      </c>
      <c r="AK38" s="61">
        <v>19.3</v>
      </c>
      <c r="AL38" s="61">
        <v>20.9</v>
      </c>
      <c r="AM38" s="61">
        <v>15.2</v>
      </c>
      <c r="AN38" s="61">
        <v>16.7</v>
      </c>
    </row>
    <row r="39" spans="1:40" s="11" customFormat="1" ht="30" customHeight="1" x14ac:dyDescent="0.3">
      <c r="A39" s="54" t="s">
        <v>83</v>
      </c>
      <c r="B39" s="55" t="s">
        <v>35</v>
      </c>
      <c r="C39" s="56">
        <v>30.4</v>
      </c>
      <c r="D39" s="56">
        <v>33.4</v>
      </c>
      <c r="E39" s="56">
        <v>31.5</v>
      </c>
      <c r="F39" s="56">
        <v>34.1</v>
      </c>
      <c r="G39" s="56">
        <v>33.700000000000003</v>
      </c>
      <c r="H39" s="56">
        <v>34.200000000000003</v>
      </c>
      <c r="I39" s="56">
        <v>30.3</v>
      </c>
      <c r="J39" s="56">
        <v>32.9</v>
      </c>
      <c r="K39" s="56">
        <v>29.3</v>
      </c>
      <c r="L39" s="56">
        <v>32.1</v>
      </c>
      <c r="M39" s="66">
        <v>28.4</v>
      </c>
      <c r="N39" s="66">
        <v>31.2</v>
      </c>
      <c r="O39" s="66">
        <v>31.9</v>
      </c>
      <c r="P39" s="66">
        <v>34.9</v>
      </c>
      <c r="Q39" s="66">
        <v>33.4</v>
      </c>
      <c r="R39" s="66">
        <v>36.200000000000003</v>
      </c>
      <c r="S39" s="56">
        <v>30.2</v>
      </c>
      <c r="T39" s="56">
        <v>33.200000000000003</v>
      </c>
      <c r="U39" s="56">
        <v>30.2</v>
      </c>
      <c r="V39" s="60" t="s">
        <v>69</v>
      </c>
      <c r="W39" s="61">
        <v>29.7</v>
      </c>
      <c r="X39" s="61">
        <v>32.200000000000003</v>
      </c>
      <c r="Y39" s="61">
        <v>27.9</v>
      </c>
      <c r="Z39" s="61">
        <v>30.3</v>
      </c>
      <c r="AA39" s="62">
        <v>26.1</v>
      </c>
      <c r="AB39" s="61">
        <v>28.6</v>
      </c>
      <c r="AC39" s="61">
        <v>24.6</v>
      </c>
      <c r="AD39" s="61">
        <v>27.1</v>
      </c>
      <c r="AE39" s="67">
        <v>24.6</v>
      </c>
      <c r="AF39" s="60">
        <v>27</v>
      </c>
      <c r="AG39" s="61">
        <v>22.8</v>
      </c>
      <c r="AH39" s="61">
        <v>24.4</v>
      </c>
      <c r="AI39" s="61">
        <v>21.631514851485147</v>
      </c>
      <c r="AJ39" s="61">
        <v>22.86628712871287</v>
      </c>
      <c r="AK39" s="61">
        <v>23.2</v>
      </c>
      <c r="AL39" s="61">
        <v>24.5</v>
      </c>
      <c r="AM39" s="61">
        <v>22.4</v>
      </c>
      <c r="AN39" s="61">
        <v>23.5</v>
      </c>
    </row>
    <row r="40" spans="1:40" ht="21.9" customHeight="1" x14ac:dyDescent="0.3">
      <c r="A40" s="14" t="s">
        <v>71</v>
      </c>
      <c r="B40" s="3" t="s">
        <v>8</v>
      </c>
      <c r="C40" s="18"/>
      <c r="D40" s="18"/>
      <c r="E40" s="18"/>
      <c r="F40" s="18"/>
      <c r="G40" s="18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40" ht="74.400000000000006" customHeight="1" x14ac:dyDescent="0.3">
      <c r="A41" s="13" t="s">
        <v>95</v>
      </c>
      <c r="B41" s="5" t="s">
        <v>96</v>
      </c>
      <c r="C41" s="18"/>
      <c r="D41" s="18"/>
      <c r="E41" s="18"/>
      <c r="F41" s="18"/>
      <c r="G41" s="18"/>
      <c r="H41" s="16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40" ht="54" customHeight="1" x14ac:dyDescent="0.3">
      <c r="A42" s="13" t="s">
        <v>92</v>
      </c>
      <c r="B42" s="5" t="s">
        <v>93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40" ht="21.9" customHeight="1" x14ac:dyDescent="0.3">
      <c r="A43" s="17" t="s">
        <v>91</v>
      </c>
      <c r="B43" s="7" t="s">
        <v>72</v>
      </c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40" ht="21.9" customHeight="1" x14ac:dyDescent="0.3">
      <c r="B44" s="12"/>
      <c r="C44" s="6"/>
      <c r="D44" s="6"/>
      <c r="E44" s="6"/>
      <c r="F44" s="6"/>
      <c r="G44" s="6"/>
      <c r="H44" s="6"/>
      <c r="I44" s="6"/>
      <c r="J44" s="6"/>
      <c r="K44" s="6"/>
      <c r="L44" s="6"/>
      <c r="M44" s="120"/>
      <c r="N44" s="120"/>
    </row>
    <row r="45" spans="1:40" ht="21.9" customHeight="1" x14ac:dyDescent="0.3"/>
    <row r="46" spans="1:40" ht="21.9" customHeight="1" x14ac:dyDescent="0.3"/>
    <row r="47" spans="1:40" ht="21.9" customHeight="1" x14ac:dyDescent="0.3"/>
    <row r="48" spans="1:40" ht="21.9" customHeight="1" x14ac:dyDescent="0.3"/>
    <row r="49" ht="21.9" customHeight="1" x14ac:dyDescent="0.3"/>
    <row r="50" ht="21.9" customHeight="1" x14ac:dyDescent="0.3"/>
    <row r="51" ht="21.9" customHeight="1" x14ac:dyDescent="0.3"/>
    <row r="52" ht="21.9" customHeight="1" x14ac:dyDescent="0.3"/>
    <row r="53" ht="21.9" customHeight="1" x14ac:dyDescent="0.3"/>
    <row r="54" ht="21.9" customHeight="1" x14ac:dyDescent="0.3"/>
    <row r="55" ht="21.9" customHeight="1" x14ac:dyDescent="0.3"/>
    <row r="56" ht="21.9" customHeight="1" x14ac:dyDescent="0.3"/>
    <row r="57" ht="21.9" customHeight="1" x14ac:dyDescent="0.3"/>
    <row r="58" ht="21.9" customHeight="1" x14ac:dyDescent="0.3"/>
    <row r="59" ht="21.9" customHeight="1" x14ac:dyDescent="0.3"/>
    <row r="60" ht="21.9" customHeight="1" x14ac:dyDescent="0.3"/>
    <row r="61" ht="21.9" customHeight="1" x14ac:dyDescent="0.3"/>
    <row r="62" ht="21.9" customHeight="1" x14ac:dyDescent="0.3"/>
    <row r="63" ht="21.9" customHeight="1" x14ac:dyDescent="0.3"/>
    <row r="64" ht="21.9" customHeight="1" x14ac:dyDescent="0.3"/>
    <row r="65" ht="21.9" customHeight="1" x14ac:dyDescent="0.3"/>
    <row r="66" ht="21.9" customHeight="1" x14ac:dyDescent="0.3"/>
    <row r="67" ht="21.9" customHeight="1" x14ac:dyDescent="0.3"/>
    <row r="68" ht="21.9" customHeight="1" x14ac:dyDescent="0.3"/>
    <row r="69" ht="21.9" customHeight="1" x14ac:dyDescent="0.3"/>
    <row r="70" ht="21.9" customHeight="1" x14ac:dyDescent="0.3"/>
    <row r="71" ht="21.9" customHeight="1" x14ac:dyDescent="0.3"/>
    <row r="72" ht="21.9" customHeight="1" x14ac:dyDescent="0.3"/>
    <row r="73" ht="21.9" customHeight="1" x14ac:dyDescent="0.3"/>
    <row r="74" ht="21.9" customHeight="1" x14ac:dyDescent="0.3"/>
    <row r="75" ht="21.9" customHeight="1" x14ac:dyDescent="0.3"/>
    <row r="76" ht="21.9" customHeight="1" x14ac:dyDescent="0.3"/>
    <row r="77" ht="21.9" customHeight="1" x14ac:dyDescent="0.3"/>
    <row r="78" ht="21.9" customHeight="1" x14ac:dyDescent="0.3"/>
    <row r="79" ht="21.9" customHeight="1" x14ac:dyDescent="0.3"/>
    <row r="80" ht="21.9" customHeight="1" x14ac:dyDescent="0.3"/>
    <row r="81" ht="21.9" customHeight="1" x14ac:dyDescent="0.3"/>
    <row r="82" ht="21.9" customHeight="1" x14ac:dyDescent="0.3"/>
    <row r="83" ht="21.9" customHeight="1" x14ac:dyDescent="0.3"/>
    <row r="84" ht="21.9" customHeight="1" x14ac:dyDescent="0.3"/>
    <row r="85" ht="21.9" customHeight="1" x14ac:dyDescent="0.3"/>
    <row r="86" ht="21.9" customHeight="1" x14ac:dyDescent="0.3"/>
    <row r="87" ht="21.9" customHeight="1" x14ac:dyDescent="0.3"/>
    <row r="88" ht="21.9" customHeight="1" x14ac:dyDescent="0.3"/>
    <row r="89" ht="21.9" customHeight="1" x14ac:dyDescent="0.3"/>
    <row r="90" ht="21.9" customHeight="1" x14ac:dyDescent="0.3"/>
    <row r="91" ht="21.9" customHeight="1" x14ac:dyDescent="0.3"/>
    <row r="92" ht="21.9" customHeight="1" x14ac:dyDescent="0.3"/>
    <row r="93" ht="21.9" customHeight="1" x14ac:dyDescent="0.3"/>
    <row r="94" ht="21.9" customHeight="1" x14ac:dyDescent="0.3"/>
    <row r="95" ht="21.9" customHeight="1" x14ac:dyDescent="0.3"/>
    <row r="96" ht="21.9" customHeight="1" x14ac:dyDescent="0.3"/>
    <row r="97" ht="21.9" customHeight="1" x14ac:dyDescent="0.3"/>
    <row r="98" ht="21.9" customHeight="1" x14ac:dyDescent="0.3"/>
    <row r="99" ht="21.9" customHeight="1" x14ac:dyDescent="0.3"/>
    <row r="100" ht="21.9" customHeight="1" x14ac:dyDescent="0.3"/>
    <row r="101" ht="21.9" customHeight="1" x14ac:dyDescent="0.3"/>
    <row r="102" ht="21.9" customHeight="1" x14ac:dyDescent="0.3"/>
    <row r="103" ht="21.9" customHeight="1" x14ac:dyDescent="0.3"/>
    <row r="104" ht="21.9" customHeight="1" x14ac:dyDescent="0.3"/>
    <row r="105" ht="21.9" customHeight="1" x14ac:dyDescent="0.3"/>
    <row r="106" ht="21.9" customHeight="1" x14ac:dyDescent="0.3"/>
    <row r="107" ht="21.9" customHeight="1" x14ac:dyDescent="0.3"/>
    <row r="108" ht="21.9" customHeight="1" x14ac:dyDescent="0.3"/>
    <row r="109" ht="21.9" customHeight="1" x14ac:dyDescent="0.3"/>
    <row r="110" ht="21.9" customHeight="1" x14ac:dyDescent="0.3"/>
    <row r="111" ht="21.9" customHeight="1" x14ac:dyDescent="0.3"/>
    <row r="112" ht="21.9" customHeight="1" x14ac:dyDescent="0.3"/>
    <row r="113" ht="21.9" customHeight="1" x14ac:dyDescent="0.3"/>
    <row r="114" ht="21.9" customHeight="1" x14ac:dyDescent="0.3"/>
    <row r="115" ht="21.9" customHeight="1" x14ac:dyDescent="0.3"/>
    <row r="116" ht="21.9" customHeight="1" x14ac:dyDescent="0.3"/>
    <row r="117" ht="21.9" customHeight="1" x14ac:dyDescent="0.3"/>
    <row r="118" ht="21.9" customHeight="1" x14ac:dyDescent="0.3"/>
    <row r="119" ht="21.9" customHeight="1" x14ac:dyDescent="0.3"/>
    <row r="120" ht="21.9" customHeight="1" x14ac:dyDescent="0.3"/>
    <row r="121" ht="21.9" customHeight="1" x14ac:dyDescent="0.3"/>
    <row r="122" ht="21.9" customHeight="1" x14ac:dyDescent="0.3"/>
    <row r="123" ht="21.9" customHeight="1" x14ac:dyDescent="0.3"/>
    <row r="124" ht="21.9" customHeight="1" x14ac:dyDescent="0.3"/>
    <row r="125" ht="21.9" customHeight="1" x14ac:dyDescent="0.3"/>
    <row r="126" ht="21.9" customHeight="1" x14ac:dyDescent="0.3"/>
    <row r="127" ht="21.9" customHeight="1" x14ac:dyDescent="0.3"/>
    <row r="128" ht="21.9" customHeight="1" x14ac:dyDescent="0.3"/>
    <row r="129" ht="21.9" customHeight="1" x14ac:dyDescent="0.3"/>
    <row r="130" ht="21.9" customHeight="1" x14ac:dyDescent="0.3"/>
    <row r="131" ht="21.9" customHeight="1" x14ac:dyDescent="0.3"/>
    <row r="132" ht="21.9" customHeight="1" x14ac:dyDescent="0.3"/>
    <row r="133" ht="21.9" customHeight="1" x14ac:dyDescent="0.3"/>
    <row r="134" ht="21.9" customHeight="1" x14ac:dyDescent="0.3"/>
    <row r="135" ht="21.9" customHeight="1" x14ac:dyDescent="0.3"/>
    <row r="136" ht="21.9" customHeight="1" x14ac:dyDescent="0.3"/>
    <row r="137" ht="21.9" customHeight="1" x14ac:dyDescent="0.3"/>
    <row r="138" ht="21.9" customHeight="1" x14ac:dyDescent="0.3"/>
    <row r="139" ht="21.9" customHeight="1" x14ac:dyDescent="0.3"/>
    <row r="140" ht="21.9" customHeight="1" x14ac:dyDescent="0.3"/>
    <row r="141" ht="21.9" customHeight="1" x14ac:dyDescent="0.3"/>
    <row r="142" ht="21.9" customHeight="1" x14ac:dyDescent="0.3"/>
    <row r="143" ht="21.9" customHeight="1" x14ac:dyDescent="0.3"/>
    <row r="144" ht="21.9" customHeight="1" x14ac:dyDescent="0.3"/>
    <row r="145" ht="21.9" customHeight="1" x14ac:dyDescent="0.3"/>
    <row r="146" ht="21.9" customHeight="1" x14ac:dyDescent="0.3"/>
    <row r="147" ht="21.9" customHeight="1" x14ac:dyDescent="0.3"/>
    <row r="148" ht="21.9" customHeight="1" x14ac:dyDescent="0.3"/>
    <row r="149" ht="21.9" customHeight="1" x14ac:dyDescent="0.3"/>
    <row r="150" ht="21.9" customHeight="1" x14ac:dyDescent="0.3"/>
    <row r="151" ht="21.9" customHeight="1" x14ac:dyDescent="0.3"/>
    <row r="152" ht="21.9" customHeight="1" x14ac:dyDescent="0.3"/>
    <row r="153" ht="21.9" customHeight="1" x14ac:dyDescent="0.3"/>
    <row r="154" ht="21.9" customHeight="1" x14ac:dyDescent="0.3"/>
    <row r="155" ht="21.9" customHeight="1" x14ac:dyDescent="0.3"/>
    <row r="156" ht="21.9" customHeight="1" x14ac:dyDescent="0.3"/>
    <row r="157" ht="21.9" customHeight="1" x14ac:dyDescent="0.3"/>
    <row r="158" ht="21.9" customHeight="1" x14ac:dyDescent="0.3"/>
    <row r="159" ht="21.9" customHeight="1" x14ac:dyDescent="0.3"/>
    <row r="160" ht="21.9" customHeight="1" x14ac:dyDescent="0.3"/>
    <row r="161" ht="21.9" customHeight="1" x14ac:dyDescent="0.3"/>
    <row r="162" ht="21.9" customHeight="1" x14ac:dyDescent="0.3"/>
    <row r="163" ht="21.9" customHeight="1" x14ac:dyDescent="0.3"/>
    <row r="164" ht="21.9" customHeight="1" x14ac:dyDescent="0.3"/>
    <row r="165" ht="21.9" customHeight="1" x14ac:dyDescent="0.3"/>
    <row r="166" ht="21.9" customHeight="1" x14ac:dyDescent="0.3"/>
    <row r="167" ht="21.9" customHeight="1" x14ac:dyDescent="0.3"/>
    <row r="168" ht="21.9" customHeight="1" x14ac:dyDescent="0.3"/>
    <row r="169" ht="21.9" customHeight="1" x14ac:dyDescent="0.3"/>
    <row r="170" ht="21.9" customHeight="1" x14ac:dyDescent="0.3"/>
    <row r="171" ht="21.9" customHeight="1" x14ac:dyDescent="0.3"/>
    <row r="172" ht="21.9" customHeight="1" x14ac:dyDescent="0.3"/>
    <row r="173" ht="21.9" customHeight="1" x14ac:dyDescent="0.3"/>
    <row r="174" ht="21.9" customHeight="1" x14ac:dyDescent="0.3"/>
    <row r="175" ht="21.9" customHeight="1" x14ac:dyDescent="0.3"/>
    <row r="176" ht="21.9" customHeight="1" x14ac:dyDescent="0.3"/>
    <row r="177" ht="21.9" customHeight="1" x14ac:dyDescent="0.3"/>
    <row r="178" ht="21.9" customHeight="1" x14ac:dyDescent="0.3"/>
    <row r="179" ht="21.9" customHeight="1" x14ac:dyDescent="0.3"/>
    <row r="180" ht="21.9" customHeight="1" x14ac:dyDescent="0.3"/>
    <row r="181" ht="21.9" customHeight="1" x14ac:dyDescent="0.3"/>
    <row r="182" ht="21.9" customHeight="1" x14ac:dyDescent="0.3"/>
    <row r="183" ht="21.9" customHeight="1" x14ac:dyDescent="0.3"/>
    <row r="184" ht="21.9" customHeight="1" x14ac:dyDescent="0.3"/>
    <row r="185" ht="21.9" customHeight="1" x14ac:dyDescent="0.3"/>
    <row r="186" ht="21.9" customHeight="1" x14ac:dyDescent="0.3"/>
    <row r="187" ht="21.9" customHeight="1" x14ac:dyDescent="0.3"/>
    <row r="188" ht="21.9" customHeight="1" x14ac:dyDescent="0.3"/>
    <row r="189" ht="21.9" customHeight="1" x14ac:dyDescent="0.3"/>
    <row r="190" ht="21.9" customHeight="1" x14ac:dyDescent="0.3"/>
    <row r="191" ht="21.9" customHeight="1" x14ac:dyDescent="0.3"/>
    <row r="192" ht="21.9" customHeight="1" x14ac:dyDescent="0.3"/>
    <row r="193" ht="21.9" customHeight="1" x14ac:dyDescent="0.3"/>
    <row r="194" ht="21.9" customHeight="1" x14ac:dyDescent="0.3"/>
    <row r="195" ht="21.9" customHeight="1" x14ac:dyDescent="0.3"/>
    <row r="196" ht="21.9" customHeight="1" x14ac:dyDescent="0.3"/>
    <row r="197" ht="21.9" customHeight="1" x14ac:dyDescent="0.3"/>
    <row r="198" ht="21.9" customHeight="1" x14ac:dyDescent="0.3"/>
    <row r="199" ht="21.9" customHeight="1" x14ac:dyDescent="0.3"/>
    <row r="200" ht="21.9" customHeight="1" x14ac:dyDescent="0.3"/>
    <row r="201" ht="21.9" customHeight="1" x14ac:dyDescent="0.3"/>
    <row r="202" ht="21.9" customHeight="1" x14ac:dyDescent="0.3"/>
    <row r="203" ht="21.9" customHeight="1" x14ac:dyDescent="0.3"/>
    <row r="204" ht="21.9" customHeight="1" x14ac:dyDescent="0.3"/>
    <row r="205" ht="21.9" customHeight="1" x14ac:dyDescent="0.3"/>
    <row r="206" ht="21.9" customHeight="1" x14ac:dyDescent="0.3"/>
    <row r="207" ht="21.9" customHeight="1" x14ac:dyDescent="0.3"/>
    <row r="208" ht="21.9" customHeight="1" x14ac:dyDescent="0.3"/>
    <row r="209" ht="21.9" customHeight="1" x14ac:dyDescent="0.3"/>
    <row r="210" ht="21.9" customHeight="1" x14ac:dyDescent="0.3"/>
    <row r="211" ht="21.9" customHeight="1" x14ac:dyDescent="0.3"/>
    <row r="212" ht="21.9" customHeight="1" x14ac:dyDescent="0.3"/>
    <row r="213" ht="21.9" customHeight="1" x14ac:dyDescent="0.3"/>
    <row r="214" ht="21.9" customHeight="1" x14ac:dyDescent="0.3"/>
    <row r="215" ht="21.9" customHeight="1" x14ac:dyDescent="0.3"/>
    <row r="216" ht="21.9" customHeight="1" x14ac:dyDescent="0.3"/>
    <row r="217" ht="21.9" customHeight="1" x14ac:dyDescent="0.3"/>
    <row r="218" ht="21.9" customHeight="1" x14ac:dyDescent="0.3"/>
    <row r="219" ht="21.9" customHeight="1" x14ac:dyDescent="0.3"/>
    <row r="220" ht="21.9" customHeight="1" x14ac:dyDescent="0.3"/>
    <row r="221" ht="21.9" customHeight="1" x14ac:dyDescent="0.3"/>
    <row r="222" ht="21.9" customHeight="1" x14ac:dyDescent="0.3"/>
    <row r="223" ht="21.9" customHeight="1" x14ac:dyDescent="0.3"/>
    <row r="224" ht="21.9" customHeight="1" x14ac:dyDescent="0.3"/>
    <row r="225" ht="21.9" customHeight="1" x14ac:dyDescent="0.3"/>
    <row r="226" ht="21.9" customHeight="1" x14ac:dyDescent="0.3"/>
    <row r="227" ht="21.9" customHeight="1" x14ac:dyDescent="0.3"/>
    <row r="228" ht="21.9" customHeight="1" x14ac:dyDescent="0.3"/>
    <row r="229" ht="21.9" customHeight="1" x14ac:dyDescent="0.3"/>
    <row r="230" ht="21.9" customHeight="1" x14ac:dyDescent="0.3"/>
    <row r="231" ht="21.9" customHeight="1" x14ac:dyDescent="0.3"/>
    <row r="232" ht="21.9" customHeight="1" x14ac:dyDescent="0.3"/>
    <row r="233" ht="21.9" customHeight="1" x14ac:dyDescent="0.3"/>
    <row r="234" ht="21.9" customHeight="1" x14ac:dyDescent="0.3"/>
    <row r="235" ht="21.9" customHeight="1" x14ac:dyDescent="0.3"/>
    <row r="236" ht="21.9" customHeight="1" x14ac:dyDescent="0.3"/>
    <row r="237" ht="21.9" customHeight="1" x14ac:dyDescent="0.3"/>
    <row r="238" ht="21.9" customHeight="1" x14ac:dyDescent="0.3"/>
    <row r="239" ht="21.9" customHeight="1" x14ac:dyDescent="0.3"/>
    <row r="240" ht="21.9" customHeight="1" x14ac:dyDescent="0.3"/>
    <row r="241" ht="21.9" customHeight="1" x14ac:dyDescent="0.3"/>
    <row r="242" ht="21.9" customHeight="1" x14ac:dyDescent="0.3"/>
    <row r="243" ht="21.9" customHeight="1" x14ac:dyDescent="0.3"/>
    <row r="244" ht="21.9" customHeight="1" x14ac:dyDescent="0.3"/>
    <row r="245" ht="21.9" customHeight="1" x14ac:dyDescent="0.3"/>
    <row r="246" ht="21.9" customHeight="1" x14ac:dyDescent="0.3"/>
    <row r="247" ht="21.9" customHeight="1" x14ac:dyDescent="0.3"/>
    <row r="248" ht="21.9" customHeight="1" x14ac:dyDescent="0.3"/>
    <row r="249" ht="21.9" customHeight="1" x14ac:dyDescent="0.3"/>
    <row r="250" ht="21.9" customHeight="1" x14ac:dyDescent="0.3"/>
    <row r="251" ht="21.9" customHeight="1" x14ac:dyDescent="0.3"/>
    <row r="252" ht="21.9" customHeight="1" x14ac:dyDescent="0.3"/>
    <row r="253" ht="21.9" customHeight="1" x14ac:dyDescent="0.3"/>
    <row r="254" ht="21.9" customHeight="1" x14ac:dyDescent="0.3"/>
    <row r="255" ht="21.9" customHeight="1" x14ac:dyDescent="0.3"/>
    <row r="256" ht="21.9" customHeight="1" x14ac:dyDescent="0.3"/>
    <row r="257" ht="21.9" customHeight="1" x14ac:dyDescent="0.3"/>
    <row r="258" ht="21.9" customHeight="1" x14ac:dyDescent="0.3"/>
    <row r="259" ht="21.9" customHeight="1" x14ac:dyDescent="0.3"/>
    <row r="260" ht="21.9" customHeight="1" x14ac:dyDescent="0.3"/>
    <row r="261" ht="21.9" customHeight="1" x14ac:dyDescent="0.3"/>
    <row r="262" ht="21.9" customHeight="1" x14ac:dyDescent="0.3"/>
    <row r="263" ht="21.9" customHeight="1" x14ac:dyDescent="0.3"/>
    <row r="264" ht="21.9" customHeight="1" x14ac:dyDescent="0.3"/>
    <row r="265" ht="21.9" customHeight="1" x14ac:dyDescent="0.3"/>
    <row r="266" ht="21.9" customHeight="1" x14ac:dyDescent="0.3"/>
    <row r="267" ht="21.9" customHeight="1" x14ac:dyDescent="0.3"/>
    <row r="268" ht="21.9" customHeight="1" x14ac:dyDescent="0.3"/>
    <row r="269" ht="21.9" customHeight="1" x14ac:dyDescent="0.3"/>
    <row r="270" ht="21.9" customHeight="1" x14ac:dyDescent="0.3"/>
    <row r="271" ht="21.9" customHeight="1" x14ac:dyDescent="0.3"/>
    <row r="272" ht="21.9" customHeight="1" x14ac:dyDescent="0.3"/>
    <row r="273" ht="21.9" customHeight="1" x14ac:dyDescent="0.3"/>
    <row r="274" ht="21.9" customHeight="1" x14ac:dyDescent="0.3"/>
    <row r="275" ht="21.9" customHeight="1" x14ac:dyDescent="0.3"/>
    <row r="276" ht="21.9" customHeight="1" x14ac:dyDescent="0.3"/>
    <row r="277" ht="21.9" customHeight="1" x14ac:dyDescent="0.3"/>
    <row r="278" ht="21.9" customHeight="1" x14ac:dyDescent="0.3"/>
    <row r="279" ht="21.9" customHeight="1" x14ac:dyDescent="0.3"/>
    <row r="280" ht="21.9" customHeight="1" x14ac:dyDescent="0.3"/>
    <row r="281" ht="21.9" customHeight="1" x14ac:dyDescent="0.3"/>
    <row r="282" ht="21.9" customHeight="1" x14ac:dyDescent="0.3"/>
    <row r="283" ht="21.9" customHeight="1" x14ac:dyDescent="0.3"/>
    <row r="284" ht="21.9" customHeight="1" x14ac:dyDescent="0.3"/>
    <row r="285" ht="21.9" customHeight="1" x14ac:dyDescent="0.3"/>
    <row r="286" ht="21.9" customHeight="1" x14ac:dyDescent="0.3"/>
    <row r="287" ht="21.9" customHeight="1" x14ac:dyDescent="0.3"/>
    <row r="288" ht="21.9" customHeight="1" x14ac:dyDescent="0.3"/>
    <row r="289" ht="21.9" customHeight="1" x14ac:dyDescent="0.3"/>
    <row r="290" ht="21.9" customHeight="1" x14ac:dyDescent="0.3"/>
    <row r="291" ht="21.9" customHeight="1" x14ac:dyDescent="0.3"/>
    <row r="292" ht="21.9" customHeight="1" x14ac:dyDescent="0.3"/>
    <row r="293" ht="21.9" customHeight="1" x14ac:dyDescent="0.3"/>
    <row r="294" ht="21.9" customHeight="1" x14ac:dyDescent="0.3"/>
    <row r="295" ht="21.9" customHeight="1" x14ac:dyDescent="0.3"/>
    <row r="296" ht="21.9" customHeight="1" x14ac:dyDescent="0.3"/>
    <row r="297" ht="21.9" customHeight="1" x14ac:dyDescent="0.3"/>
    <row r="298" ht="21.9" customHeight="1" x14ac:dyDescent="0.3"/>
    <row r="299" ht="21.9" customHeight="1" x14ac:dyDescent="0.3"/>
    <row r="300" ht="21.9" customHeight="1" x14ac:dyDescent="0.3"/>
    <row r="301" ht="21.9" customHeight="1" x14ac:dyDescent="0.3"/>
    <row r="302" ht="21.9" customHeight="1" x14ac:dyDescent="0.3"/>
    <row r="303" ht="21.9" customHeight="1" x14ac:dyDescent="0.3"/>
    <row r="304" ht="21.9" customHeight="1" x14ac:dyDescent="0.3"/>
    <row r="305" ht="21.9" customHeight="1" x14ac:dyDescent="0.3"/>
    <row r="306" ht="21.9" customHeight="1" x14ac:dyDescent="0.3"/>
    <row r="307" ht="21.9" customHeight="1" x14ac:dyDescent="0.3"/>
    <row r="308" ht="21.9" customHeight="1" x14ac:dyDescent="0.3"/>
    <row r="309" ht="21.9" customHeight="1" x14ac:dyDescent="0.3"/>
    <row r="310" ht="21.9" customHeight="1" x14ac:dyDescent="0.3"/>
    <row r="311" ht="21.9" customHeight="1" x14ac:dyDescent="0.3"/>
    <row r="312" ht="21.9" customHeight="1" x14ac:dyDescent="0.3"/>
    <row r="313" ht="21.9" customHeight="1" x14ac:dyDescent="0.3"/>
    <row r="314" ht="21.9" customHeight="1" x14ac:dyDescent="0.3"/>
    <row r="315" ht="21.9" customHeight="1" x14ac:dyDescent="0.3"/>
    <row r="316" ht="21.9" customHeight="1" x14ac:dyDescent="0.3"/>
    <row r="317" ht="21.9" customHeight="1" x14ac:dyDescent="0.3"/>
    <row r="318" ht="21.9" customHeight="1" x14ac:dyDescent="0.3"/>
    <row r="319" ht="21.9" customHeight="1" x14ac:dyDescent="0.3"/>
    <row r="320" ht="21.9" customHeight="1" x14ac:dyDescent="0.3"/>
    <row r="321" ht="21.9" customHeight="1" x14ac:dyDescent="0.3"/>
    <row r="322" ht="21.9" customHeight="1" x14ac:dyDescent="0.3"/>
    <row r="323" ht="21.9" customHeight="1" x14ac:dyDescent="0.3"/>
    <row r="324" ht="21.9" customHeight="1" x14ac:dyDescent="0.3"/>
    <row r="325" ht="21.9" customHeight="1" x14ac:dyDescent="0.3"/>
    <row r="326" ht="21.9" customHeight="1" x14ac:dyDescent="0.3"/>
    <row r="327" ht="21.9" customHeight="1" x14ac:dyDescent="0.3"/>
    <row r="328" ht="21.9" customHeight="1" x14ac:dyDescent="0.3"/>
    <row r="329" ht="21.9" customHeight="1" x14ac:dyDescent="0.3"/>
    <row r="330" ht="21.9" customHeight="1" x14ac:dyDescent="0.3"/>
    <row r="331" ht="21.9" customHeight="1" x14ac:dyDescent="0.3"/>
    <row r="332" ht="21.9" customHeight="1" x14ac:dyDescent="0.3"/>
    <row r="333" ht="21.9" customHeight="1" x14ac:dyDescent="0.3"/>
    <row r="334" ht="21.9" customHeight="1" x14ac:dyDescent="0.3"/>
    <row r="335" ht="21.9" customHeight="1" x14ac:dyDescent="0.3"/>
    <row r="336" ht="21.9" customHeight="1" x14ac:dyDescent="0.3"/>
    <row r="337" ht="21.9" customHeight="1" x14ac:dyDescent="0.3"/>
    <row r="338" ht="21.9" customHeight="1" x14ac:dyDescent="0.3"/>
    <row r="339" ht="21.9" customHeight="1" x14ac:dyDescent="0.3"/>
    <row r="340" ht="21.9" customHeight="1" x14ac:dyDescent="0.3"/>
    <row r="341" ht="21.9" customHeight="1" x14ac:dyDescent="0.3"/>
    <row r="342" ht="21.9" customHeight="1" x14ac:dyDescent="0.3"/>
    <row r="343" ht="21.9" customHeight="1" x14ac:dyDescent="0.3"/>
    <row r="344" ht="21.9" customHeight="1" x14ac:dyDescent="0.3"/>
    <row r="345" ht="21.9" customHeight="1" x14ac:dyDescent="0.3"/>
    <row r="346" ht="21.9" customHeight="1" x14ac:dyDescent="0.3"/>
    <row r="347" ht="21.9" customHeight="1" x14ac:dyDescent="0.3"/>
    <row r="348" ht="21.9" customHeight="1" x14ac:dyDescent="0.3"/>
    <row r="349" ht="21.9" customHeight="1" x14ac:dyDescent="0.3"/>
    <row r="350" ht="21.9" customHeight="1" x14ac:dyDescent="0.3"/>
    <row r="351" ht="21.9" customHeight="1" x14ac:dyDescent="0.3"/>
    <row r="352" ht="21.9" customHeight="1" x14ac:dyDescent="0.3"/>
    <row r="353" ht="21.9" customHeight="1" x14ac:dyDescent="0.3"/>
    <row r="354" ht="21.9" customHeight="1" x14ac:dyDescent="0.3"/>
    <row r="355" ht="21.9" customHeight="1" x14ac:dyDescent="0.3"/>
    <row r="356" ht="21.9" customHeight="1" x14ac:dyDescent="0.3"/>
    <row r="357" ht="21.9" customHeight="1" x14ac:dyDescent="0.3"/>
    <row r="358" ht="21.9" customHeight="1" x14ac:dyDescent="0.3"/>
    <row r="359" ht="21.9" customHeight="1" x14ac:dyDescent="0.3"/>
    <row r="360" ht="21.9" customHeight="1" x14ac:dyDescent="0.3"/>
    <row r="361" ht="21.9" customHeight="1" x14ac:dyDescent="0.3"/>
    <row r="362" ht="21.9" customHeight="1" x14ac:dyDescent="0.3"/>
    <row r="363" ht="21.9" customHeight="1" x14ac:dyDescent="0.3"/>
    <row r="364" ht="21.9" customHeight="1" x14ac:dyDescent="0.3"/>
    <row r="365" ht="21.9" customHeight="1" x14ac:dyDescent="0.3"/>
    <row r="366" ht="21.9" customHeight="1" x14ac:dyDescent="0.3"/>
    <row r="367" ht="21.9" customHeight="1" x14ac:dyDescent="0.3"/>
    <row r="368" ht="21.9" customHeight="1" x14ac:dyDescent="0.3"/>
    <row r="369" ht="21.9" customHeight="1" x14ac:dyDescent="0.3"/>
    <row r="370" ht="21.9" customHeight="1" x14ac:dyDescent="0.3"/>
    <row r="371" ht="21.9" customHeight="1" x14ac:dyDescent="0.3"/>
    <row r="372" ht="21.9" customHeight="1" x14ac:dyDescent="0.3"/>
    <row r="373" ht="21.9" customHeight="1" x14ac:dyDescent="0.3"/>
    <row r="374" ht="21.9" customHeight="1" x14ac:dyDescent="0.3"/>
    <row r="375" ht="21.9" customHeight="1" x14ac:dyDescent="0.3"/>
    <row r="376" ht="21.9" customHeight="1" x14ac:dyDescent="0.3"/>
    <row r="377" ht="21.9" customHeight="1" x14ac:dyDescent="0.3"/>
    <row r="378" ht="21.9" customHeight="1" x14ac:dyDescent="0.3"/>
    <row r="379" ht="21.9" customHeight="1" x14ac:dyDescent="0.3"/>
    <row r="380" ht="21.9" customHeight="1" x14ac:dyDescent="0.3"/>
    <row r="381" ht="21.9" customHeight="1" x14ac:dyDescent="0.3"/>
    <row r="382" ht="21.9" customHeight="1" x14ac:dyDescent="0.3"/>
    <row r="383" ht="21.9" customHeight="1" x14ac:dyDescent="0.3"/>
    <row r="384" ht="21.9" customHeight="1" x14ac:dyDescent="0.3"/>
    <row r="385" ht="21.9" customHeight="1" x14ac:dyDescent="0.3"/>
    <row r="386" ht="21.9" customHeight="1" x14ac:dyDescent="0.3"/>
    <row r="387" ht="21.9" customHeight="1" x14ac:dyDescent="0.3"/>
    <row r="388" ht="21.9" customHeight="1" x14ac:dyDescent="0.3"/>
    <row r="389" ht="21.9" customHeight="1" x14ac:dyDescent="0.3"/>
    <row r="390" ht="21.9" customHeight="1" x14ac:dyDescent="0.3"/>
    <row r="391" ht="21.9" customHeight="1" x14ac:dyDescent="0.3"/>
    <row r="392" ht="21.9" customHeight="1" x14ac:dyDescent="0.3"/>
    <row r="393" ht="21.9" customHeight="1" x14ac:dyDescent="0.3"/>
    <row r="394" ht="21.9" customHeight="1" x14ac:dyDescent="0.3"/>
    <row r="395" ht="21.9" customHeight="1" x14ac:dyDescent="0.3"/>
    <row r="396" ht="21.9" customHeight="1" x14ac:dyDescent="0.3"/>
    <row r="397" ht="21.9" customHeight="1" x14ac:dyDescent="0.3"/>
    <row r="398" ht="21.9" customHeight="1" x14ac:dyDescent="0.3"/>
    <row r="399" ht="21.9" customHeight="1" x14ac:dyDescent="0.3"/>
    <row r="400" ht="21.9" customHeight="1" x14ac:dyDescent="0.3"/>
    <row r="401" ht="21.9" customHeight="1" x14ac:dyDescent="0.3"/>
    <row r="402" ht="21.9" customHeight="1" x14ac:dyDescent="0.3"/>
    <row r="403" ht="21.9" customHeight="1" x14ac:dyDescent="0.3"/>
    <row r="404" ht="21.9" customHeight="1" x14ac:dyDescent="0.3"/>
    <row r="405" ht="21.9" customHeight="1" x14ac:dyDescent="0.3"/>
    <row r="406" ht="21.9" customHeight="1" x14ac:dyDescent="0.3"/>
    <row r="407" ht="21.9" customHeight="1" x14ac:dyDescent="0.3"/>
    <row r="408" ht="21.9" customHeight="1" x14ac:dyDescent="0.3"/>
    <row r="409" ht="21.9" customHeight="1" x14ac:dyDescent="0.3"/>
    <row r="410" ht="21.9" customHeight="1" x14ac:dyDescent="0.3"/>
    <row r="411" ht="21.9" customHeight="1" x14ac:dyDescent="0.3"/>
    <row r="412" ht="21.9" customHeight="1" x14ac:dyDescent="0.3"/>
    <row r="413" ht="21.9" customHeight="1" x14ac:dyDescent="0.3"/>
    <row r="414" ht="21.9" customHeight="1" x14ac:dyDescent="0.3"/>
    <row r="415" ht="21.9" customHeight="1" x14ac:dyDescent="0.3"/>
    <row r="416" ht="21.9" customHeight="1" x14ac:dyDescent="0.3"/>
    <row r="417" ht="21.9" customHeight="1" x14ac:dyDescent="0.3"/>
    <row r="418" ht="21.9" customHeight="1" x14ac:dyDescent="0.3"/>
    <row r="419" ht="21.9" customHeight="1" x14ac:dyDescent="0.3"/>
    <row r="420" ht="21.9" customHeight="1" x14ac:dyDescent="0.3"/>
    <row r="421" ht="21.9" customHeight="1" x14ac:dyDescent="0.3"/>
    <row r="422" ht="21.9" customHeight="1" x14ac:dyDescent="0.3"/>
    <row r="423" ht="21.9" customHeight="1" x14ac:dyDescent="0.3"/>
    <row r="424" ht="21.9" customHeight="1" x14ac:dyDescent="0.3"/>
    <row r="425" ht="21.9" customHeight="1" x14ac:dyDescent="0.3"/>
    <row r="426" ht="21.9" customHeight="1" x14ac:dyDescent="0.3"/>
    <row r="427" ht="21.9" customHeight="1" x14ac:dyDescent="0.3"/>
    <row r="428" ht="21.9" customHeight="1" x14ac:dyDescent="0.3"/>
    <row r="429" ht="21.9" customHeight="1" x14ac:dyDescent="0.3"/>
    <row r="430" ht="21.9" customHeight="1" x14ac:dyDescent="0.3"/>
    <row r="431" ht="21.9" customHeight="1" x14ac:dyDescent="0.3"/>
    <row r="432" ht="21.9" customHeight="1" x14ac:dyDescent="0.3"/>
    <row r="433" ht="21.9" customHeight="1" x14ac:dyDescent="0.3"/>
    <row r="434" ht="21.9" customHeight="1" x14ac:dyDescent="0.3"/>
    <row r="435" ht="21.9" customHeight="1" x14ac:dyDescent="0.3"/>
    <row r="436" ht="21.9" customHeight="1" x14ac:dyDescent="0.3"/>
    <row r="437" ht="21.9" customHeight="1" x14ac:dyDescent="0.3"/>
    <row r="438" ht="21.9" customHeight="1" x14ac:dyDescent="0.3"/>
    <row r="439" ht="21.9" customHeight="1" x14ac:dyDescent="0.3"/>
    <row r="440" ht="21.9" customHeight="1" x14ac:dyDescent="0.3"/>
    <row r="441" ht="21.9" customHeight="1" x14ac:dyDescent="0.3"/>
    <row r="442" ht="21.9" customHeight="1" x14ac:dyDescent="0.3"/>
    <row r="443" ht="21.9" customHeight="1" x14ac:dyDescent="0.3"/>
    <row r="444" ht="21.9" customHeight="1" x14ac:dyDescent="0.3"/>
    <row r="445" ht="21.9" customHeight="1" x14ac:dyDescent="0.3"/>
    <row r="446" ht="21.9" customHeight="1" x14ac:dyDescent="0.3"/>
    <row r="447" ht="21.9" customHeight="1" x14ac:dyDescent="0.3"/>
    <row r="448" ht="21.9" customHeight="1" x14ac:dyDescent="0.3"/>
    <row r="449" ht="21.9" customHeight="1" x14ac:dyDescent="0.3"/>
    <row r="450" ht="21.9" customHeight="1" x14ac:dyDescent="0.3"/>
    <row r="451" ht="21.9" customHeight="1" x14ac:dyDescent="0.3"/>
    <row r="452" ht="21.9" customHeight="1" x14ac:dyDescent="0.3"/>
    <row r="453" ht="21.9" customHeight="1" x14ac:dyDescent="0.3"/>
    <row r="454" ht="21.9" customHeight="1" x14ac:dyDescent="0.3"/>
    <row r="455" ht="21.9" customHeight="1" x14ac:dyDescent="0.3"/>
    <row r="456" ht="21.9" customHeight="1" x14ac:dyDescent="0.3"/>
    <row r="457" ht="21.9" customHeight="1" x14ac:dyDescent="0.3"/>
    <row r="458" ht="21.9" customHeight="1" x14ac:dyDescent="0.3"/>
    <row r="459" ht="21.9" customHeight="1" x14ac:dyDescent="0.3"/>
    <row r="460" ht="21.9" customHeight="1" x14ac:dyDescent="0.3"/>
    <row r="461" ht="21.9" customHeight="1" x14ac:dyDescent="0.3"/>
    <row r="462" ht="21.9" customHeight="1" x14ac:dyDescent="0.3"/>
    <row r="463" ht="21.9" customHeight="1" x14ac:dyDescent="0.3"/>
    <row r="464" ht="21.9" customHeight="1" x14ac:dyDescent="0.3"/>
    <row r="465" ht="21.9" customHeight="1" x14ac:dyDescent="0.3"/>
    <row r="466" ht="21.9" customHeight="1" x14ac:dyDescent="0.3"/>
    <row r="467" ht="21.9" customHeight="1" x14ac:dyDescent="0.3"/>
    <row r="468" ht="21.9" customHeight="1" x14ac:dyDescent="0.3"/>
    <row r="469" ht="21.9" customHeight="1" x14ac:dyDescent="0.3"/>
    <row r="470" ht="21.9" customHeight="1" x14ac:dyDescent="0.3"/>
    <row r="471" ht="21.9" customHeight="1" x14ac:dyDescent="0.3"/>
    <row r="472" ht="21.9" customHeight="1" x14ac:dyDescent="0.3"/>
    <row r="473" ht="21.9" customHeight="1" x14ac:dyDescent="0.3"/>
    <row r="474" ht="21.9" customHeight="1" x14ac:dyDescent="0.3"/>
    <row r="475" ht="21.9" customHeight="1" x14ac:dyDescent="0.3"/>
    <row r="476" ht="21.9" customHeight="1" x14ac:dyDescent="0.3"/>
    <row r="477" ht="21.9" customHeight="1" x14ac:dyDescent="0.3"/>
    <row r="478" ht="21.9" customHeight="1" x14ac:dyDescent="0.3"/>
    <row r="479" ht="21.9" customHeight="1" x14ac:dyDescent="0.3"/>
    <row r="480" ht="21.9" customHeight="1" x14ac:dyDescent="0.3"/>
    <row r="481" ht="21.9" customHeight="1" x14ac:dyDescent="0.3"/>
    <row r="482" ht="21.9" customHeight="1" x14ac:dyDescent="0.3"/>
    <row r="483" ht="21.9" customHeight="1" x14ac:dyDescent="0.3"/>
    <row r="484" ht="21.9" customHeight="1" x14ac:dyDescent="0.3"/>
    <row r="485" ht="21.9" customHeight="1" x14ac:dyDescent="0.3"/>
    <row r="486" ht="21.9" customHeight="1" x14ac:dyDescent="0.3"/>
    <row r="487" ht="21.9" customHeight="1" x14ac:dyDescent="0.3"/>
    <row r="488" ht="21.9" customHeight="1" x14ac:dyDescent="0.3"/>
    <row r="489" ht="21.9" customHeight="1" x14ac:dyDescent="0.3"/>
    <row r="490" ht="21.9" customHeight="1" x14ac:dyDescent="0.3"/>
    <row r="491" ht="21.9" customHeight="1" x14ac:dyDescent="0.3"/>
    <row r="492" ht="21.9" customHeight="1" x14ac:dyDescent="0.3"/>
    <row r="493" ht="21.9" customHeight="1" x14ac:dyDescent="0.3"/>
    <row r="494" ht="21.9" customHeight="1" x14ac:dyDescent="0.3"/>
    <row r="495" ht="21.9" customHeight="1" x14ac:dyDescent="0.3"/>
    <row r="496" ht="21.9" customHeight="1" x14ac:dyDescent="0.3"/>
    <row r="497" ht="21.9" customHeight="1" x14ac:dyDescent="0.3"/>
    <row r="498" ht="21.9" customHeight="1" x14ac:dyDescent="0.3"/>
    <row r="499" ht="21.9" customHeight="1" x14ac:dyDescent="0.3"/>
    <row r="500" ht="21.9" customHeight="1" x14ac:dyDescent="0.3"/>
    <row r="501" ht="21.9" customHeight="1" x14ac:dyDescent="0.3"/>
    <row r="502" ht="21.9" customHeight="1" x14ac:dyDescent="0.3"/>
    <row r="503" ht="21.9" customHeight="1" x14ac:dyDescent="0.3"/>
    <row r="504" ht="21.9" customHeight="1" x14ac:dyDescent="0.3"/>
    <row r="505" ht="21.9" customHeight="1" x14ac:dyDescent="0.3"/>
    <row r="506" ht="21.9" customHeight="1" x14ac:dyDescent="0.3"/>
    <row r="507" ht="21.9" customHeight="1" x14ac:dyDescent="0.3"/>
    <row r="508" ht="21.9" customHeight="1" x14ac:dyDescent="0.3"/>
    <row r="509" ht="21.9" customHeight="1" x14ac:dyDescent="0.3"/>
    <row r="510" ht="21.9" customHeight="1" x14ac:dyDescent="0.3"/>
    <row r="511" ht="21.9" customHeight="1" x14ac:dyDescent="0.3"/>
    <row r="512" ht="21.9" customHeight="1" x14ac:dyDescent="0.3"/>
    <row r="513" ht="21.9" customHeight="1" x14ac:dyDescent="0.3"/>
    <row r="514" ht="21.9" customHeight="1" x14ac:dyDescent="0.3"/>
    <row r="515" ht="21.9" customHeight="1" x14ac:dyDescent="0.3"/>
    <row r="516" ht="21.9" customHeight="1" x14ac:dyDescent="0.3"/>
    <row r="517" ht="21.9" customHeight="1" x14ac:dyDescent="0.3"/>
    <row r="518" ht="21.9" customHeight="1" x14ac:dyDescent="0.3"/>
    <row r="519" ht="21.9" customHeight="1" x14ac:dyDescent="0.3"/>
    <row r="520" ht="21.9" customHeight="1" x14ac:dyDescent="0.3"/>
    <row r="521" ht="21.9" customHeight="1" x14ac:dyDescent="0.3"/>
    <row r="522" ht="21.9" customHeight="1" x14ac:dyDescent="0.3"/>
    <row r="523" ht="21.9" customHeight="1" x14ac:dyDescent="0.3"/>
    <row r="524" ht="21.9" customHeight="1" x14ac:dyDescent="0.3"/>
    <row r="525" ht="21.9" customHeight="1" x14ac:dyDescent="0.3"/>
    <row r="526" ht="21.9" customHeight="1" x14ac:dyDescent="0.3"/>
    <row r="527" ht="21.9" customHeight="1" x14ac:dyDescent="0.3"/>
    <row r="528" ht="21.9" customHeight="1" x14ac:dyDescent="0.3"/>
    <row r="529" ht="21.9" customHeight="1" x14ac:dyDescent="0.3"/>
    <row r="530" ht="21.9" customHeight="1" x14ac:dyDescent="0.3"/>
    <row r="531" ht="21.9" customHeight="1" x14ac:dyDescent="0.3"/>
    <row r="532" ht="21.9" customHeight="1" x14ac:dyDescent="0.3"/>
    <row r="533" ht="21.9" customHeight="1" x14ac:dyDescent="0.3"/>
    <row r="534" ht="21.9" customHeight="1" x14ac:dyDescent="0.3"/>
    <row r="535" ht="21.9" customHeight="1" x14ac:dyDescent="0.3"/>
    <row r="536" ht="21.9" customHeight="1" x14ac:dyDescent="0.3"/>
    <row r="537" ht="21.9" customHeight="1" x14ac:dyDescent="0.3"/>
    <row r="538" ht="21.9" customHeight="1" x14ac:dyDescent="0.3"/>
    <row r="539" ht="21.9" customHeight="1" x14ac:dyDescent="0.3"/>
    <row r="540" ht="21.9" customHeight="1" x14ac:dyDescent="0.3"/>
    <row r="541" ht="21.9" customHeight="1" x14ac:dyDescent="0.3"/>
    <row r="542" ht="21.9" customHeight="1" x14ac:dyDescent="0.3"/>
    <row r="543" ht="21.9" customHeight="1" x14ac:dyDescent="0.3"/>
    <row r="544" ht="21.9" customHeight="1" x14ac:dyDescent="0.3"/>
    <row r="545" ht="21.9" customHeight="1" x14ac:dyDescent="0.3"/>
    <row r="546" ht="21.9" customHeight="1" x14ac:dyDescent="0.3"/>
    <row r="547" ht="21.9" customHeight="1" x14ac:dyDescent="0.3"/>
    <row r="548" ht="21.9" customHeight="1" x14ac:dyDescent="0.3"/>
    <row r="549" ht="21.9" customHeight="1" x14ac:dyDescent="0.3"/>
    <row r="550" ht="21.9" customHeight="1" x14ac:dyDescent="0.3"/>
    <row r="551" ht="21.9" customHeight="1" x14ac:dyDescent="0.3"/>
    <row r="552" ht="21.9" customHeight="1" x14ac:dyDescent="0.3"/>
    <row r="553" ht="21.9" customHeight="1" x14ac:dyDescent="0.3"/>
    <row r="554" ht="21.9" customHeight="1" x14ac:dyDescent="0.3"/>
    <row r="555" ht="21.9" customHeight="1" x14ac:dyDescent="0.3"/>
    <row r="556" ht="21.9" customHeight="1" x14ac:dyDescent="0.3"/>
    <row r="557" ht="21.9" customHeight="1" x14ac:dyDescent="0.3"/>
    <row r="558" ht="21.9" customHeight="1" x14ac:dyDescent="0.3"/>
    <row r="559" ht="21.9" customHeight="1" x14ac:dyDescent="0.3"/>
    <row r="560" ht="21.9" customHeight="1" x14ac:dyDescent="0.3"/>
    <row r="561" ht="21.9" customHeight="1" x14ac:dyDescent="0.3"/>
    <row r="562" ht="21.9" customHeight="1" x14ac:dyDescent="0.3"/>
    <row r="563" ht="21.9" customHeight="1" x14ac:dyDescent="0.3"/>
    <row r="564" ht="21.9" customHeight="1" x14ac:dyDescent="0.3"/>
    <row r="565" ht="21.9" customHeight="1" x14ac:dyDescent="0.3"/>
    <row r="566" ht="21.9" customHeight="1" x14ac:dyDescent="0.3"/>
    <row r="567" ht="21.9" customHeight="1" x14ac:dyDescent="0.3"/>
    <row r="568" ht="21.9" customHeight="1" x14ac:dyDescent="0.3"/>
    <row r="569" ht="21.9" customHeight="1" x14ac:dyDescent="0.3"/>
    <row r="570" ht="21.9" customHeight="1" x14ac:dyDescent="0.3"/>
    <row r="571" ht="21.9" customHeight="1" x14ac:dyDescent="0.3"/>
    <row r="572" ht="21.9" customHeight="1" x14ac:dyDescent="0.3"/>
    <row r="573" ht="21.9" customHeight="1" x14ac:dyDescent="0.3"/>
    <row r="574" ht="21.9" customHeight="1" x14ac:dyDescent="0.3"/>
    <row r="575" ht="21.9" customHeight="1" x14ac:dyDescent="0.3"/>
    <row r="576" ht="21.9" customHeight="1" x14ac:dyDescent="0.3"/>
    <row r="577" ht="21.9" customHeight="1" x14ac:dyDescent="0.3"/>
    <row r="578" ht="21.9" customHeight="1" x14ac:dyDescent="0.3"/>
    <row r="579" ht="21.9" customHeight="1" x14ac:dyDescent="0.3"/>
    <row r="580" ht="21.9" customHeight="1" x14ac:dyDescent="0.3"/>
    <row r="581" ht="21.9" customHeight="1" x14ac:dyDescent="0.3"/>
    <row r="582" ht="21.9" customHeight="1" x14ac:dyDescent="0.3"/>
    <row r="583" ht="21.9" customHeight="1" x14ac:dyDescent="0.3"/>
    <row r="584" ht="21.9" customHeight="1" x14ac:dyDescent="0.3"/>
    <row r="585" ht="21.9" customHeight="1" x14ac:dyDescent="0.3"/>
    <row r="586" ht="21.9" customHeight="1" x14ac:dyDescent="0.3"/>
    <row r="587" ht="21.9" customHeight="1" x14ac:dyDescent="0.3"/>
    <row r="588" ht="21.9" customHeight="1" x14ac:dyDescent="0.3"/>
    <row r="589" ht="21.9" customHeight="1" x14ac:dyDescent="0.3"/>
    <row r="590" ht="21.9" customHeight="1" x14ac:dyDescent="0.3"/>
    <row r="591" ht="21.9" customHeight="1" x14ac:dyDescent="0.3"/>
    <row r="592" ht="21.9" customHeight="1" x14ac:dyDescent="0.3"/>
    <row r="593" ht="21.9" customHeight="1" x14ac:dyDescent="0.3"/>
    <row r="594" ht="21.9" customHeight="1" x14ac:dyDescent="0.3"/>
    <row r="595" ht="21.9" customHeight="1" x14ac:dyDescent="0.3"/>
    <row r="596" ht="21.9" customHeight="1" x14ac:dyDescent="0.3"/>
    <row r="597" ht="21.9" customHeight="1" x14ac:dyDescent="0.3"/>
    <row r="598" ht="21.9" customHeight="1" x14ac:dyDescent="0.3"/>
    <row r="599" ht="21.9" customHeight="1" x14ac:dyDescent="0.3"/>
    <row r="600" ht="21.9" customHeight="1" x14ac:dyDescent="0.3"/>
    <row r="601" ht="21.9" customHeight="1" x14ac:dyDescent="0.3"/>
    <row r="602" ht="21.9" customHeight="1" x14ac:dyDescent="0.3"/>
    <row r="603" ht="21.9" customHeight="1" x14ac:dyDescent="0.3"/>
    <row r="604" ht="21.9" customHeight="1" x14ac:dyDescent="0.3"/>
    <row r="605" ht="21.9" customHeight="1" x14ac:dyDescent="0.3"/>
    <row r="606" ht="21.9" customHeight="1" x14ac:dyDescent="0.3"/>
    <row r="607" ht="21.9" customHeight="1" x14ac:dyDescent="0.3"/>
    <row r="608" ht="21.9" customHeight="1" x14ac:dyDescent="0.3"/>
    <row r="609" ht="21.9" customHeight="1" x14ac:dyDescent="0.3"/>
    <row r="610" ht="21.9" customHeight="1" x14ac:dyDescent="0.3"/>
    <row r="611" ht="21.9" customHeight="1" x14ac:dyDescent="0.3"/>
    <row r="612" ht="21.9" customHeight="1" x14ac:dyDescent="0.3"/>
    <row r="613" ht="21.9" customHeight="1" x14ac:dyDescent="0.3"/>
    <row r="614" ht="21.9" customHeight="1" x14ac:dyDescent="0.3"/>
    <row r="615" ht="21.9" customHeight="1" x14ac:dyDescent="0.3"/>
    <row r="616" ht="21.9" customHeight="1" x14ac:dyDescent="0.3"/>
    <row r="617" ht="21.9" customHeight="1" x14ac:dyDescent="0.3"/>
    <row r="618" ht="21.9" customHeight="1" x14ac:dyDescent="0.3"/>
    <row r="619" ht="21.9" customHeight="1" x14ac:dyDescent="0.3"/>
    <row r="620" ht="21.9" customHeight="1" x14ac:dyDescent="0.3"/>
    <row r="621" ht="21.9" customHeight="1" x14ac:dyDescent="0.3"/>
    <row r="622" ht="21.9" customHeight="1" x14ac:dyDescent="0.3"/>
    <row r="623" ht="21.9" customHeight="1" x14ac:dyDescent="0.3"/>
    <row r="624" ht="21.9" customHeight="1" x14ac:dyDescent="0.3"/>
    <row r="625" ht="21.9" customHeight="1" x14ac:dyDescent="0.3"/>
    <row r="626" ht="21.9" customHeight="1" x14ac:dyDescent="0.3"/>
    <row r="627" ht="21.9" customHeight="1" x14ac:dyDescent="0.3"/>
    <row r="628" ht="21.9" customHeight="1" x14ac:dyDescent="0.3"/>
    <row r="629" ht="21.9" customHeight="1" x14ac:dyDescent="0.3"/>
    <row r="630" ht="21.9" customHeight="1" x14ac:dyDescent="0.3"/>
    <row r="631" ht="21.9" customHeight="1" x14ac:dyDescent="0.3"/>
    <row r="632" ht="21.9" customHeight="1" x14ac:dyDescent="0.3"/>
    <row r="633" ht="21.9" customHeight="1" x14ac:dyDescent="0.3"/>
    <row r="634" ht="21.9" customHeight="1" x14ac:dyDescent="0.3"/>
    <row r="635" ht="21.9" customHeight="1" x14ac:dyDescent="0.3"/>
    <row r="636" ht="21.9" customHeight="1" x14ac:dyDescent="0.3"/>
    <row r="637" ht="21.9" customHeight="1" x14ac:dyDescent="0.3"/>
    <row r="638" ht="21.9" customHeight="1" x14ac:dyDescent="0.3"/>
    <row r="639" ht="21.9" customHeight="1" x14ac:dyDescent="0.3"/>
    <row r="640" ht="21.9" customHeight="1" x14ac:dyDescent="0.3"/>
    <row r="641" ht="21.9" customHeight="1" x14ac:dyDescent="0.3"/>
    <row r="642" ht="21.9" customHeight="1" x14ac:dyDescent="0.3"/>
    <row r="643" ht="21.9" customHeight="1" x14ac:dyDescent="0.3"/>
    <row r="644" ht="21.9" customHeight="1" x14ac:dyDescent="0.3"/>
    <row r="645" ht="21.9" customHeight="1" x14ac:dyDescent="0.3"/>
    <row r="646" ht="21.9" customHeight="1" x14ac:dyDescent="0.3"/>
    <row r="647" ht="21.9" customHeight="1" x14ac:dyDescent="0.3"/>
    <row r="648" ht="21.9" customHeight="1" x14ac:dyDescent="0.3"/>
    <row r="649" ht="21.9" customHeight="1" x14ac:dyDescent="0.3"/>
    <row r="650" ht="21.9" customHeight="1" x14ac:dyDescent="0.3"/>
    <row r="651" ht="21.9" customHeight="1" x14ac:dyDescent="0.3"/>
    <row r="652" ht="21.9" customHeight="1" x14ac:dyDescent="0.3"/>
    <row r="653" ht="21.9" customHeight="1" x14ac:dyDescent="0.3"/>
    <row r="654" ht="21.9" customHeight="1" x14ac:dyDescent="0.3"/>
    <row r="655" ht="21.9" customHeight="1" x14ac:dyDescent="0.3"/>
    <row r="656" ht="21.9" customHeight="1" x14ac:dyDescent="0.3"/>
    <row r="657" ht="21.9" customHeight="1" x14ac:dyDescent="0.3"/>
    <row r="658" ht="21.9" customHeight="1" x14ac:dyDescent="0.3"/>
    <row r="659" ht="21.9" customHeight="1" x14ac:dyDescent="0.3"/>
    <row r="660" ht="21.9" customHeight="1" x14ac:dyDescent="0.3"/>
    <row r="661" ht="21.9" customHeight="1" x14ac:dyDescent="0.3"/>
    <row r="662" ht="21.9" customHeight="1" x14ac:dyDescent="0.3"/>
    <row r="663" ht="21.9" customHeight="1" x14ac:dyDescent="0.3"/>
    <row r="664" ht="21.9" customHeight="1" x14ac:dyDescent="0.3"/>
    <row r="665" ht="21.9" customHeight="1" x14ac:dyDescent="0.3"/>
    <row r="666" ht="21.9" customHeight="1" x14ac:dyDescent="0.3"/>
    <row r="667" ht="21.9" customHeight="1" x14ac:dyDescent="0.3"/>
    <row r="668" ht="21.9" customHeight="1" x14ac:dyDescent="0.3"/>
    <row r="669" ht="21.9" customHeight="1" x14ac:dyDescent="0.3"/>
    <row r="670" ht="21.9" customHeight="1" x14ac:dyDescent="0.3"/>
    <row r="671" ht="21.9" customHeight="1" x14ac:dyDescent="0.3"/>
    <row r="672" ht="21.9" customHeight="1" x14ac:dyDescent="0.3"/>
    <row r="673" ht="21.9" customHeight="1" x14ac:dyDescent="0.3"/>
    <row r="674" ht="21.9" customHeight="1" x14ac:dyDescent="0.3"/>
    <row r="675" ht="21.9" customHeight="1" x14ac:dyDescent="0.3"/>
    <row r="676" ht="21.9" customHeight="1" x14ac:dyDescent="0.3"/>
    <row r="677" ht="21.9" customHeight="1" x14ac:dyDescent="0.3"/>
    <row r="678" ht="21.9" customHeight="1" x14ac:dyDescent="0.3"/>
    <row r="679" ht="21.9" customHeight="1" x14ac:dyDescent="0.3"/>
    <row r="680" ht="21.9" customHeight="1" x14ac:dyDescent="0.3"/>
    <row r="681" ht="21.9" customHeight="1" x14ac:dyDescent="0.3"/>
    <row r="682" ht="21.9" customHeight="1" x14ac:dyDescent="0.3"/>
    <row r="683" ht="21.9" customHeight="1" x14ac:dyDescent="0.3"/>
    <row r="684" ht="21.9" customHeight="1" x14ac:dyDescent="0.3"/>
    <row r="685" ht="21.9" customHeight="1" x14ac:dyDescent="0.3"/>
    <row r="686" ht="21.9" customHeight="1" x14ac:dyDescent="0.3"/>
    <row r="687" ht="21.9" customHeight="1" x14ac:dyDescent="0.3"/>
    <row r="688" ht="21.9" customHeight="1" x14ac:dyDescent="0.3"/>
    <row r="689" ht="21.9" customHeight="1" x14ac:dyDescent="0.3"/>
    <row r="690" ht="21.9" customHeight="1" x14ac:dyDescent="0.3"/>
    <row r="691" ht="21.9" customHeight="1" x14ac:dyDescent="0.3"/>
    <row r="692" ht="21.9" customHeight="1" x14ac:dyDescent="0.3"/>
    <row r="693" ht="21.9" customHeight="1" x14ac:dyDescent="0.3"/>
    <row r="694" ht="21.9" customHeight="1" x14ac:dyDescent="0.3"/>
    <row r="695" ht="21.9" customHeight="1" x14ac:dyDescent="0.3"/>
    <row r="696" ht="21.9" customHeight="1" x14ac:dyDescent="0.3"/>
    <row r="697" ht="21.9" customHeight="1" x14ac:dyDescent="0.3"/>
    <row r="698" ht="21.9" customHeight="1" x14ac:dyDescent="0.3"/>
    <row r="699" ht="21.9" customHeight="1" x14ac:dyDescent="0.3"/>
    <row r="700" ht="21.9" customHeight="1" x14ac:dyDescent="0.3"/>
    <row r="701" ht="21.9" customHeight="1" x14ac:dyDescent="0.3"/>
    <row r="702" ht="21.9" customHeight="1" x14ac:dyDescent="0.3"/>
    <row r="703" ht="21.9" customHeight="1" x14ac:dyDescent="0.3"/>
    <row r="704" ht="21.9" customHeight="1" x14ac:dyDescent="0.3"/>
    <row r="705" ht="21.9" customHeight="1" x14ac:dyDescent="0.3"/>
    <row r="706" ht="21.9" customHeight="1" x14ac:dyDescent="0.3"/>
    <row r="707" ht="21.9" customHeight="1" x14ac:dyDescent="0.3"/>
    <row r="708" ht="21.9" customHeight="1" x14ac:dyDescent="0.3"/>
    <row r="709" ht="21.9" customHeight="1" x14ac:dyDescent="0.3"/>
    <row r="710" ht="21.9" customHeight="1" x14ac:dyDescent="0.3"/>
    <row r="711" ht="21.9" customHeight="1" x14ac:dyDescent="0.3"/>
    <row r="712" ht="21.9" customHeight="1" x14ac:dyDescent="0.3"/>
    <row r="713" ht="21.9" customHeight="1" x14ac:dyDescent="0.3"/>
    <row r="714" ht="21.9" customHeight="1" x14ac:dyDescent="0.3"/>
    <row r="715" ht="21.9" customHeight="1" x14ac:dyDescent="0.3"/>
    <row r="716" ht="21.9" customHeight="1" x14ac:dyDescent="0.3"/>
    <row r="717" ht="21.9" customHeight="1" x14ac:dyDescent="0.3"/>
    <row r="718" ht="21.9" customHeight="1" x14ac:dyDescent="0.3"/>
    <row r="719" ht="21.9" customHeight="1" x14ac:dyDescent="0.3"/>
    <row r="720" ht="21.9" customHeight="1" x14ac:dyDescent="0.3"/>
    <row r="721" ht="21.9" customHeight="1" x14ac:dyDescent="0.3"/>
    <row r="722" ht="21.9" customHeight="1" x14ac:dyDescent="0.3"/>
    <row r="723" ht="21.9" customHeight="1" x14ac:dyDescent="0.3"/>
    <row r="724" ht="21.9" customHeight="1" x14ac:dyDescent="0.3"/>
    <row r="725" ht="21.9" customHeight="1" x14ac:dyDescent="0.3"/>
    <row r="726" ht="21.9" customHeight="1" x14ac:dyDescent="0.3"/>
    <row r="727" ht="21.9" customHeight="1" x14ac:dyDescent="0.3"/>
    <row r="728" ht="21.9" customHeight="1" x14ac:dyDescent="0.3"/>
    <row r="729" ht="21.9" customHeight="1" x14ac:dyDescent="0.3"/>
    <row r="730" ht="21.9" customHeight="1" x14ac:dyDescent="0.3"/>
    <row r="731" ht="21.9" customHeight="1" x14ac:dyDescent="0.3"/>
    <row r="732" ht="21.9" customHeight="1" x14ac:dyDescent="0.3"/>
    <row r="733" ht="21.9" customHeight="1" x14ac:dyDescent="0.3"/>
    <row r="734" ht="21.9" customHeight="1" x14ac:dyDescent="0.3"/>
    <row r="735" ht="21.9" customHeight="1" x14ac:dyDescent="0.3"/>
    <row r="736" ht="21.9" customHeight="1" x14ac:dyDescent="0.3"/>
    <row r="737" ht="21.9" customHeight="1" x14ac:dyDescent="0.3"/>
    <row r="738" ht="21.9" customHeight="1" x14ac:dyDescent="0.3"/>
    <row r="739" ht="21.9" customHeight="1" x14ac:dyDescent="0.3"/>
    <row r="740" ht="21.9" customHeight="1" x14ac:dyDescent="0.3"/>
    <row r="741" ht="21.9" customHeight="1" x14ac:dyDescent="0.3"/>
    <row r="742" ht="21.9" customHeight="1" x14ac:dyDescent="0.3"/>
    <row r="743" ht="21.9" customHeight="1" x14ac:dyDescent="0.3"/>
    <row r="744" ht="21.9" customHeight="1" x14ac:dyDescent="0.3"/>
    <row r="745" ht="21.9" customHeight="1" x14ac:dyDescent="0.3"/>
    <row r="746" ht="21.9" customHeight="1" x14ac:dyDescent="0.3"/>
    <row r="747" ht="21.9" customHeight="1" x14ac:dyDescent="0.3"/>
    <row r="748" ht="21.9" customHeight="1" x14ac:dyDescent="0.3"/>
    <row r="749" ht="21.9" customHeight="1" x14ac:dyDescent="0.3"/>
    <row r="750" ht="21.9" customHeight="1" x14ac:dyDescent="0.3"/>
    <row r="751" ht="21.9" customHeight="1" x14ac:dyDescent="0.3"/>
    <row r="752" ht="21.9" customHeight="1" x14ac:dyDescent="0.3"/>
    <row r="753" ht="21.9" customHeight="1" x14ac:dyDescent="0.3"/>
    <row r="754" ht="21.9" customHeight="1" x14ac:dyDescent="0.3"/>
    <row r="755" ht="21.9" customHeight="1" x14ac:dyDescent="0.3"/>
    <row r="756" ht="21.9" customHeight="1" x14ac:dyDescent="0.3"/>
    <row r="757" ht="21.9" customHeight="1" x14ac:dyDescent="0.3"/>
    <row r="758" ht="21.9" customHeight="1" x14ac:dyDescent="0.3"/>
    <row r="759" ht="21.9" customHeight="1" x14ac:dyDescent="0.3"/>
    <row r="760" ht="21.9" customHeight="1" x14ac:dyDescent="0.3"/>
    <row r="761" ht="21.9" customHeight="1" x14ac:dyDescent="0.3"/>
    <row r="762" ht="21.9" customHeight="1" x14ac:dyDescent="0.3"/>
    <row r="763" ht="21.9" customHeight="1" x14ac:dyDescent="0.3"/>
    <row r="764" ht="21.9" customHeight="1" x14ac:dyDescent="0.3"/>
    <row r="765" ht="21.9" customHeight="1" x14ac:dyDescent="0.3"/>
    <row r="766" ht="21.9" customHeight="1" x14ac:dyDescent="0.3"/>
    <row r="767" ht="21.9" customHeight="1" x14ac:dyDescent="0.3"/>
    <row r="768" ht="21.9" customHeight="1" x14ac:dyDescent="0.3"/>
    <row r="769" ht="21.9" customHeight="1" x14ac:dyDescent="0.3"/>
    <row r="770" ht="21.9" customHeight="1" x14ac:dyDescent="0.3"/>
    <row r="771" ht="21.9" customHeight="1" x14ac:dyDescent="0.3"/>
    <row r="772" ht="21.9" customHeight="1" x14ac:dyDescent="0.3"/>
    <row r="773" ht="21.9" customHeight="1" x14ac:dyDescent="0.3"/>
    <row r="774" ht="21.9" customHeight="1" x14ac:dyDescent="0.3"/>
    <row r="775" ht="21.9" customHeight="1" x14ac:dyDescent="0.3"/>
    <row r="776" ht="21.9" customHeight="1" x14ac:dyDescent="0.3"/>
    <row r="777" ht="21.9" customHeight="1" x14ac:dyDescent="0.3"/>
    <row r="778" ht="21.9" customHeight="1" x14ac:dyDescent="0.3"/>
    <row r="779" ht="21.9" customHeight="1" x14ac:dyDescent="0.3"/>
    <row r="780" ht="21.9" customHeight="1" x14ac:dyDescent="0.3"/>
    <row r="781" ht="21.9" customHeight="1" x14ac:dyDescent="0.3"/>
    <row r="782" ht="21.9" customHeight="1" x14ac:dyDescent="0.3"/>
    <row r="783" ht="21.9" customHeight="1" x14ac:dyDescent="0.3"/>
    <row r="784" ht="21.9" customHeight="1" x14ac:dyDescent="0.3"/>
    <row r="785" ht="21.9" customHeight="1" x14ac:dyDescent="0.3"/>
    <row r="786" ht="21.9" customHeight="1" x14ac:dyDescent="0.3"/>
    <row r="787" ht="21.9" customHeight="1" x14ac:dyDescent="0.3"/>
    <row r="788" ht="21.9" customHeight="1" x14ac:dyDescent="0.3"/>
    <row r="789" ht="21.9" customHeight="1" x14ac:dyDescent="0.3"/>
    <row r="790" ht="21.9" customHeight="1" x14ac:dyDescent="0.3"/>
    <row r="791" ht="21.9" customHeight="1" x14ac:dyDescent="0.3"/>
    <row r="792" ht="21.9" customHeight="1" x14ac:dyDescent="0.3"/>
    <row r="793" ht="21.9" customHeight="1" x14ac:dyDescent="0.3"/>
    <row r="794" ht="21.9" customHeight="1" x14ac:dyDescent="0.3"/>
    <row r="795" ht="21.9" customHeight="1" x14ac:dyDescent="0.3"/>
    <row r="796" ht="21.9" customHeight="1" x14ac:dyDescent="0.3"/>
    <row r="797" ht="21.9" customHeight="1" x14ac:dyDescent="0.3"/>
    <row r="798" ht="21.9" customHeight="1" x14ac:dyDescent="0.3"/>
    <row r="799" ht="21.9" customHeight="1" x14ac:dyDescent="0.3"/>
    <row r="800" ht="21.9" customHeight="1" x14ac:dyDescent="0.3"/>
    <row r="801" ht="21.9" customHeight="1" x14ac:dyDescent="0.3"/>
    <row r="802" ht="21.9" customHeight="1" x14ac:dyDescent="0.3"/>
    <row r="803" ht="21.9" customHeight="1" x14ac:dyDescent="0.3"/>
    <row r="804" ht="21.9" customHeight="1" x14ac:dyDescent="0.3"/>
    <row r="805" ht="21.9" customHeight="1" x14ac:dyDescent="0.3"/>
    <row r="806" ht="21.9" customHeight="1" x14ac:dyDescent="0.3"/>
    <row r="807" ht="21.9" customHeight="1" x14ac:dyDescent="0.3"/>
    <row r="808" ht="21.9" customHeight="1" x14ac:dyDescent="0.3"/>
    <row r="809" ht="21.9" customHeight="1" x14ac:dyDescent="0.3"/>
    <row r="810" ht="21.9" customHeight="1" x14ac:dyDescent="0.3"/>
    <row r="811" ht="21.9" customHeight="1" x14ac:dyDescent="0.3"/>
    <row r="812" ht="21.9" customHeight="1" x14ac:dyDescent="0.3"/>
    <row r="813" ht="21.9" customHeight="1" x14ac:dyDescent="0.3"/>
    <row r="814" ht="21.9" customHeight="1" x14ac:dyDescent="0.3"/>
    <row r="815" ht="21.9" customHeight="1" x14ac:dyDescent="0.3"/>
    <row r="816" ht="21.9" customHeight="1" x14ac:dyDescent="0.3"/>
    <row r="817" ht="21.9" customHeight="1" x14ac:dyDescent="0.3"/>
    <row r="818" ht="21.9" customHeight="1" x14ac:dyDescent="0.3"/>
    <row r="819" ht="21.9" customHeight="1" x14ac:dyDescent="0.3"/>
    <row r="820" ht="21.9" customHeight="1" x14ac:dyDescent="0.3"/>
    <row r="821" ht="21.9" customHeight="1" x14ac:dyDescent="0.3"/>
    <row r="822" ht="21.9" customHeight="1" x14ac:dyDescent="0.3"/>
    <row r="823" ht="21.9" customHeight="1" x14ac:dyDescent="0.3"/>
    <row r="824" ht="21.9" customHeight="1" x14ac:dyDescent="0.3"/>
    <row r="825" ht="21.9" customHeight="1" x14ac:dyDescent="0.3"/>
    <row r="826" ht="21.9" customHeight="1" x14ac:dyDescent="0.3"/>
    <row r="827" ht="21.9" customHeight="1" x14ac:dyDescent="0.3"/>
    <row r="828" ht="21.9" customHeight="1" x14ac:dyDescent="0.3"/>
    <row r="829" ht="21.9" customHeight="1" x14ac:dyDescent="0.3"/>
    <row r="830" ht="21.9" customHeight="1" x14ac:dyDescent="0.3"/>
    <row r="831" ht="21.9" customHeight="1" x14ac:dyDescent="0.3"/>
    <row r="832" ht="21.9" customHeight="1" x14ac:dyDescent="0.3"/>
    <row r="833" ht="21.9" customHeight="1" x14ac:dyDescent="0.3"/>
    <row r="834" ht="21.9" customHeight="1" x14ac:dyDescent="0.3"/>
    <row r="835" ht="21.9" customHeight="1" x14ac:dyDescent="0.3"/>
    <row r="836" ht="21.9" customHeight="1" x14ac:dyDescent="0.3"/>
    <row r="837" ht="21.9" customHeight="1" x14ac:dyDescent="0.3"/>
    <row r="838" ht="21.9" customHeight="1" x14ac:dyDescent="0.3"/>
    <row r="839" ht="21.9" customHeight="1" x14ac:dyDescent="0.3"/>
    <row r="840" ht="21.9" customHeight="1" x14ac:dyDescent="0.3"/>
    <row r="841" ht="21.9" customHeight="1" x14ac:dyDescent="0.3"/>
    <row r="842" ht="21.9" customHeight="1" x14ac:dyDescent="0.3"/>
    <row r="843" ht="21.9" customHeight="1" x14ac:dyDescent="0.3"/>
    <row r="844" ht="21.9" customHeight="1" x14ac:dyDescent="0.3"/>
    <row r="845" ht="21.9" customHeight="1" x14ac:dyDescent="0.3"/>
    <row r="846" ht="21.9" customHeight="1" x14ac:dyDescent="0.3"/>
    <row r="847" ht="21.9" customHeight="1" x14ac:dyDescent="0.3"/>
    <row r="848" ht="21.9" customHeight="1" x14ac:dyDescent="0.3"/>
    <row r="849" ht="21.9" customHeight="1" x14ac:dyDescent="0.3"/>
    <row r="850" ht="21.9" customHeight="1" x14ac:dyDescent="0.3"/>
    <row r="851" ht="21.9" customHeight="1" x14ac:dyDescent="0.3"/>
    <row r="852" ht="21.9" customHeight="1" x14ac:dyDescent="0.3"/>
    <row r="853" ht="21.9" customHeight="1" x14ac:dyDescent="0.3"/>
    <row r="854" ht="21.9" customHeight="1" x14ac:dyDescent="0.3"/>
    <row r="855" ht="21.9" customHeight="1" x14ac:dyDescent="0.3"/>
    <row r="856" ht="21.9" customHeight="1" x14ac:dyDescent="0.3"/>
    <row r="857" ht="21.9" customHeight="1" x14ac:dyDescent="0.3"/>
    <row r="858" ht="21.9" customHeight="1" x14ac:dyDescent="0.3"/>
    <row r="859" ht="21.9" customHeight="1" x14ac:dyDescent="0.3"/>
    <row r="860" ht="21.9" customHeight="1" x14ac:dyDescent="0.3"/>
    <row r="861" ht="21.9" customHeight="1" x14ac:dyDescent="0.3"/>
    <row r="862" ht="21.9" customHeight="1" x14ac:dyDescent="0.3"/>
    <row r="863" ht="21.9" customHeight="1" x14ac:dyDescent="0.3"/>
    <row r="864" ht="21.9" customHeight="1" x14ac:dyDescent="0.3"/>
    <row r="865" ht="21.9" customHeight="1" x14ac:dyDescent="0.3"/>
    <row r="866" ht="21.9" customHeight="1" x14ac:dyDescent="0.3"/>
    <row r="867" ht="21.9" customHeight="1" x14ac:dyDescent="0.3"/>
    <row r="868" ht="21.9" customHeight="1" x14ac:dyDescent="0.3"/>
    <row r="869" ht="21.9" customHeight="1" x14ac:dyDescent="0.3"/>
    <row r="870" ht="21.9" customHeight="1" x14ac:dyDescent="0.3"/>
    <row r="871" ht="21.9" customHeight="1" x14ac:dyDescent="0.3"/>
    <row r="872" ht="21.9" customHeight="1" x14ac:dyDescent="0.3"/>
    <row r="873" ht="21.9" customHeight="1" x14ac:dyDescent="0.3"/>
    <row r="874" ht="21.9" customHeight="1" x14ac:dyDescent="0.3"/>
    <row r="875" ht="21.9" customHeight="1" x14ac:dyDescent="0.3"/>
    <row r="876" ht="21.9" customHeight="1" x14ac:dyDescent="0.3"/>
    <row r="877" ht="21.9" customHeight="1" x14ac:dyDescent="0.3"/>
    <row r="878" ht="21.9" customHeight="1" x14ac:dyDescent="0.3"/>
    <row r="879" ht="21.9" customHeight="1" x14ac:dyDescent="0.3"/>
    <row r="880" ht="21.9" customHeight="1" x14ac:dyDescent="0.3"/>
    <row r="881" ht="21.9" customHeight="1" x14ac:dyDescent="0.3"/>
    <row r="882" ht="21.9" customHeight="1" x14ac:dyDescent="0.3"/>
    <row r="883" ht="21.9" customHeight="1" x14ac:dyDescent="0.3"/>
    <row r="884" ht="21.9" customHeight="1" x14ac:dyDescent="0.3"/>
    <row r="885" ht="21.9" customHeight="1" x14ac:dyDescent="0.3"/>
    <row r="886" ht="21.9" customHeight="1" x14ac:dyDescent="0.3"/>
    <row r="887" ht="21.9" customHeight="1" x14ac:dyDescent="0.3"/>
    <row r="888" ht="21.9" customHeight="1" x14ac:dyDescent="0.3"/>
    <row r="889" ht="21.9" customHeight="1" x14ac:dyDescent="0.3"/>
    <row r="890" ht="21.9" customHeight="1" x14ac:dyDescent="0.3"/>
    <row r="891" ht="21.9" customHeight="1" x14ac:dyDescent="0.3"/>
    <row r="892" ht="21.9" customHeight="1" x14ac:dyDescent="0.3"/>
    <row r="893" ht="21.9" customHeight="1" x14ac:dyDescent="0.3"/>
    <row r="894" ht="21.9" customHeight="1" x14ac:dyDescent="0.3"/>
    <row r="895" ht="21.9" customHeight="1" x14ac:dyDescent="0.3"/>
    <row r="896" ht="21.9" customHeight="1" x14ac:dyDescent="0.3"/>
    <row r="897" ht="21.9" customHeight="1" x14ac:dyDescent="0.3"/>
    <row r="898" ht="21.9" customHeight="1" x14ac:dyDescent="0.3"/>
    <row r="899" ht="21.9" customHeight="1" x14ac:dyDescent="0.3"/>
    <row r="900" ht="21.9" customHeight="1" x14ac:dyDescent="0.3"/>
    <row r="901" ht="21.9" customHeight="1" x14ac:dyDescent="0.3"/>
    <row r="902" ht="21.9" customHeight="1" x14ac:dyDescent="0.3"/>
    <row r="903" ht="21.9" customHeight="1" x14ac:dyDescent="0.3"/>
    <row r="904" ht="21.9" customHeight="1" x14ac:dyDescent="0.3"/>
    <row r="905" ht="21.9" customHeight="1" x14ac:dyDescent="0.3"/>
    <row r="906" ht="21.9" customHeight="1" x14ac:dyDescent="0.3"/>
    <row r="907" ht="21.9" customHeight="1" x14ac:dyDescent="0.3"/>
    <row r="908" ht="21.9" customHeight="1" x14ac:dyDescent="0.3"/>
    <row r="909" ht="21.9" customHeight="1" x14ac:dyDescent="0.3"/>
    <row r="910" ht="21.9" customHeight="1" x14ac:dyDescent="0.3"/>
    <row r="911" ht="21.9" customHeight="1" x14ac:dyDescent="0.3"/>
    <row r="912" ht="21.9" customHeight="1" x14ac:dyDescent="0.3"/>
    <row r="913" ht="21.9" customHeight="1" x14ac:dyDescent="0.3"/>
    <row r="914" ht="21.9" customHeight="1" x14ac:dyDescent="0.3"/>
    <row r="915" ht="21.9" customHeight="1" x14ac:dyDescent="0.3"/>
    <row r="916" ht="21.9" customHeight="1" x14ac:dyDescent="0.3"/>
    <row r="917" ht="21.9" customHeight="1" x14ac:dyDescent="0.3"/>
    <row r="918" ht="21.9" customHeight="1" x14ac:dyDescent="0.3"/>
    <row r="919" ht="21.9" customHeight="1" x14ac:dyDescent="0.3"/>
    <row r="920" ht="21.9" customHeight="1" x14ac:dyDescent="0.3"/>
    <row r="921" ht="21.9" customHeight="1" x14ac:dyDescent="0.3"/>
    <row r="922" ht="21.9" customHeight="1" x14ac:dyDescent="0.3"/>
    <row r="923" ht="21.9" customHeight="1" x14ac:dyDescent="0.3"/>
    <row r="924" ht="21.9" customHeight="1" x14ac:dyDescent="0.3"/>
    <row r="925" ht="21.9" customHeight="1" x14ac:dyDescent="0.3"/>
    <row r="926" ht="21.9" customHeight="1" x14ac:dyDescent="0.3"/>
    <row r="927" ht="21.9" customHeight="1" x14ac:dyDescent="0.3"/>
    <row r="928" ht="21.9" customHeight="1" x14ac:dyDescent="0.3"/>
    <row r="929" ht="21.9" customHeight="1" x14ac:dyDescent="0.3"/>
    <row r="930" ht="21.9" customHeight="1" x14ac:dyDescent="0.3"/>
    <row r="931" ht="21.9" customHeight="1" x14ac:dyDescent="0.3"/>
    <row r="932" ht="21.9" customHeight="1" x14ac:dyDescent="0.3"/>
    <row r="933" ht="21.9" customHeight="1" x14ac:dyDescent="0.3"/>
    <row r="934" ht="21.9" customHeight="1" x14ac:dyDescent="0.3"/>
    <row r="935" ht="21.9" customHeight="1" x14ac:dyDescent="0.3"/>
    <row r="936" ht="21.9" customHeight="1" x14ac:dyDescent="0.3"/>
    <row r="937" ht="21.9" customHeight="1" x14ac:dyDescent="0.3"/>
    <row r="938" ht="21.9" customHeight="1" x14ac:dyDescent="0.3"/>
    <row r="939" ht="21.9" customHeight="1" x14ac:dyDescent="0.3"/>
    <row r="940" ht="21.9" customHeight="1" x14ac:dyDescent="0.3"/>
    <row r="941" ht="21.9" customHeight="1" x14ac:dyDescent="0.3"/>
    <row r="942" ht="21.9" customHeight="1" x14ac:dyDescent="0.3"/>
    <row r="943" ht="21.9" customHeight="1" x14ac:dyDescent="0.3"/>
    <row r="944" ht="21.9" customHeight="1" x14ac:dyDescent="0.3"/>
    <row r="945" ht="21.9" customHeight="1" x14ac:dyDescent="0.3"/>
    <row r="946" ht="21.9" customHeight="1" x14ac:dyDescent="0.3"/>
    <row r="947" ht="21.9" customHeight="1" x14ac:dyDescent="0.3"/>
    <row r="948" ht="21.9" customHeight="1" x14ac:dyDescent="0.3"/>
    <row r="949" ht="21.9" customHeight="1" x14ac:dyDescent="0.3"/>
    <row r="950" ht="21.9" customHeight="1" x14ac:dyDescent="0.3"/>
    <row r="951" ht="21.9" customHeight="1" x14ac:dyDescent="0.3"/>
    <row r="952" ht="21.9" customHeight="1" x14ac:dyDescent="0.3"/>
    <row r="953" ht="21.9" customHeight="1" x14ac:dyDescent="0.3"/>
    <row r="954" ht="21.9" customHeight="1" x14ac:dyDescent="0.3"/>
    <row r="955" ht="21.9" customHeight="1" x14ac:dyDescent="0.3"/>
    <row r="956" ht="21.9" customHeight="1" x14ac:dyDescent="0.3"/>
    <row r="957" ht="21.9" customHeight="1" x14ac:dyDescent="0.3"/>
    <row r="958" ht="21.9" customHeight="1" x14ac:dyDescent="0.3"/>
    <row r="959" ht="21.9" customHeight="1" x14ac:dyDescent="0.3"/>
    <row r="960" ht="21.9" customHeight="1" x14ac:dyDescent="0.3"/>
    <row r="961" ht="21.9" customHeight="1" x14ac:dyDescent="0.3"/>
    <row r="962" ht="21.9" customHeight="1" x14ac:dyDescent="0.3"/>
    <row r="963" ht="21.9" customHeight="1" x14ac:dyDescent="0.3"/>
    <row r="964" ht="21.9" customHeight="1" x14ac:dyDescent="0.3"/>
    <row r="965" ht="21.9" customHeight="1" x14ac:dyDescent="0.3"/>
    <row r="966" ht="21.9" customHeight="1" x14ac:dyDescent="0.3"/>
    <row r="967" ht="21.9" customHeight="1" x14ac:dyDescent="0.3"/>
    <row r="968" ht="21.9" customHeight="1" x14ac:dyDescent="0.3"/>
    <row r="969" ht="21.9" customHeight="1" x14ac:dyDescent="0.3"/>
    <row r="970" ht="21.9" customHeight="1" x14ac:dyDescent="0.3"/>
    <row r="971" ht="21.9" customHeight="1" x14ac:dyDescent="0.3"/>
    <row r="972" ht="21.9" customHeight="1" x14ac:dyDescent="0.3"/>
    <row r="973" ht="21.9" customHeight="1" x14ac:dyDescent="0.3"/>
    <row r="974" ht="21.9" customHeight="1" x14ac:dyDescent="0.3"/>
    <row r="975" ht="21.9" customHeight="1" x14ac:dyDescent="0.3"/>
    <row r="976" ht="21.9" customHeight="1" x14ac:dyDescent="0.3"/>
    <row r="977" ht="21.9" customHeight="1" x14ac:dyDescent="0.3"/>
    <row r="978" ht="21.9" customHeight="1" x14ac:dyDescent="0.3"/>
    <row r="979" ht="21.9" customHeight="1" x14ac:dyDescent="0.3"/>
    <row r="980" ht="21.9" customHeight="1" x14ac:dyDescent="0.3"/>
    <row r="981" ht="21.9" customHeight="1" x14ac:dyDescent="0.3"/>
    <row r="982" ht="21.9" customHeight="1" x14ac:dyDescent="0.3"/>
    <row r="983" ht="21.9" customHeight="1" x14ac:dyDescent="0.3"/>
    <row r="984" ht="21.9" customHeight="1" x14ac:dyDescent="0.3"/>
    <row r="985" ht="21.9" customHeight="1" x14ac:dyDescent="0.3"/>
    <row r="986" ht="21.9" customHeight="1" x14ac:dyDescent="0.3"/>
    <row r="987" ht="21.9" customHeight="1" x14ac:dyDescent="0.3"/>
    <row r="988" ht="21.9" customHeight="1" x14ac:dyDescent="0.3"/>
    <row r="989" ht="21.9" customHeight="1" x14ac:dyDescent="0.3"/>
    <row r="990" ht="21.9" customHeight="1" x14ac:dyDescent="0.3"/>
    <row r="991" ht="21.9" customHeight="1" x14ac:dyDescent="0.3"/>
    <row r="992" ht="21.9" customHeight="1" x14ac:dyDescent="0.3"/>
    <row r="993" ht="21.9" customHeight="1" x14ac:dyDescent="0.3"/>
    <row r="994" ht="21.9" customHeight="1" x14ac:dyDescent="0.3"/>
    <row r="995" ht="21.9" customHeight="1" x14ac:dyDescent="0.3"/>
    <row r="996" ht="21.9" customHeight="1" x14ac:dyDescent="0.3"/>
    <row r="997" ht="21.9" customHeight="1" x14ac:dyDescent="0.3"/>
    <row r="998" ht="21.9" customHeight="1" x14ac:dyDescent="0.3"/>
    <row r="999" ht="21.9" customHeight="1" x14ac:dyDescent="0.3"/>
    <row r="1000" ht="21.9" customHeight="1" x14ac:dyDescent="0.3"/>
    <row r="1001" ht="21.9" customHeight="1" x14ac:dyDescent="0.3"/>
    <row r="1002" ht="21.9" customHeight="1" x14ac:dyDescent="0.3"/>
    <row r="1003" ht="21.9" customHeight="1" x14ac:dyDescent="0.3"/>
    <row r="1004" ht="21.9" customHeight="1" x14ac:dyDescent="0.3"/>
    <row r="1005" ht="21.9" customHeight="1" x14ac:dyDescent="0.3"/>
    <row r="1006" ht="21.9" customHeight="1" x14ac:dyDescent="0.3"/>
    <row r="1007" ht="21.9" customHeight="1" x14ac:dyDescent="0.3"/>
    <row r="1008" ht="21.9" customHeight="1" x14ac:dyDescent="0.3"/>
    <row r="1009" ht="21.9" customHeight="1" x14ac:dyDescent="0.3"/>
    <row r="1010" ht="21.9" customHeight="1" x14ac:dyDescent="0.3"/>
    <row r="1011" ht="21.9" customHeight="1" x14ac:dyDescent="0.3"/>
    <row r="1012" ht="21.9" customHeight="1" x14ac:dyDescent="0.3"/>
    <row r="1013" ht="21.9" customHeight="1" x14ac:dyDescent="0.3"/>
    <row r="1014" ht="21.9" customHeight="1" x14ac:dyDescent="0.3"/>
    <row r="1015" ht="21.9" customHeight="1" x14ac:dyDescent="0.3"/>
    <row r="1016" ht="21.9" customHeight="1" x14ac:dyDescent="0.3"/>
    <row r="1017" ht="21.9" customHeight="1" x14ac:dyDescent="0.3"/>
    <row r="1018" ht="21.9" customHeight="1" x14ac:dyDescent="0.3"/>
    <row r="1019" ht="21.9" customHeight="1" x14ac:dyDescent="0.3"/>
    <row r="1020" ht="21.9" customHeight="1" x14ac:dyDescent="0.3"/>
    <row r="1021" ht="21.9" customHeight="1" x14ac:dyDescent="0.3"/>
    <row r="1022" ht="21.9" customHeight="1" x14ac:dyDescent="0.3"/>
    <row r="1023" ht="21.9" customHeight="1" x14ac:dyDescent="0.3"/>
    <row r="1024" ht="21.9" customHeight="1" x14ac:dyDescent="0.3"/>
    <row r="1025" ht="21.9" customHeight="1" x14ac:dyDescent="0.3"/>
    <row r="1026" ht="21.9" customHeight="1" x14ac:dyDescent="0.3"/>
    <row r="1027" ht="21.9" customHeight="1" x14ac:dyDescent="0.3"/>
    <row r="1028" ht="21.9" customHeight="1" x14ac:dyDescent="0.3"/>
    <row r="1029" ht="21.9" customHeight="1" x14ac:dyDescent="0.3"/>
    <row r="1030" ht="21.9" customHeight="1" x14ac:dyDescent="0.3"/>
    <row r="1031" ht="21.9" customHeight="1" x14ac:dyDescent="0.3"/>
    <row r="1032" ht="21.9" customHeight="1" x14ac:dyDescent="0.3"/>
    <row r="1033" ht="21.9" customHeight="1" x14ac:dyDescent="0.3"/>
    <row r="1034" ht="21.9" customHeight="1" x14ac:dyDescent="0.3"/>
    <row r="1035" ht="21.9" customHeight="1" x14ac:dyDescent="0.3"/>
    <row r="1036" ht="21.9" customHeight="1" x14ac:dyDescent="0.3"/>
    <row r="1037" ht="21.9" customHeight="1" x14ac:dyDescent="0.3"/>
    <row r="1038" ht="21.9" customHeight="1" x14ac:dyDescent="0.3"/>
    <row r="1039" ht="21.9" customHeight="1" x14ac:dyDescent="0.3"/>
    <row r="1040" ht="21.9" customHeight="1" x14ac:dyDescent="0.3"/>
    <row r="1041" ht="21.9" customHeight="1" x14ac:dyDescent="0.3"/>
    <row r="1042" ht="21.9" customHeight="1" x14ac:dyDescent="0.3"/>
    <row r="1043" ht="21.9" customHeight="1" x14ac:dyDescent="0.3"/>
    <row r="1044" ht="21.9" customHeight="1" x14ac:dyDescent="0.3"/>
    <row r="1045" ht="21.9" customHeight="1" x14ac:dyDescent="0.3"/>
    <row r="1046" ht="21.9" customHeight="1" x14ac:dyDescent="0.3"/>
    <row r="1047" ht="21.9" customHeight="1" x14ac:dyDescent="0.3"/>
    <row r="1048" ht="21.9" customHeight="1" x14ac:dyDescent="0.3"/>
    <row r="1049" ht="21.9" customHeight="1" x14ac:dyDescent="0.3"/>
    <row r="1050" ht="21.9" customHeight="1" x14ac:dyDescent="0.3"/>
    <row r="1051" ht="21.9" customHeight="1" x14ac:dyDescent="0.3"/>
    <row r="1052" ht="21.9" customHeight="1" x14ac:dyDescent="0.3"/>
    <row r="1053" ht="21.9" customHeight="1" x14ac:dyDescent="0.3"/>
    <row r="1054" ht="21.9" customHeight="1" x14ac:dyDescent="0.3"/>
    <row r="1055" ht="21.9" customHeight="1" x14ac:dyDescent="0.3"/>
    <row r="1056" ht="21.9" customHeight="1" x14ac:dyDescent="0.3"/>
    <row r="1057" ht="21.9" customHeight="1" x14ac:dyDescent="0.3"/>
    <row r="1058" ht="21.9" customHeight="1" x14ac:dyDescent="0.3"/>
    <row r="1059" ht="21.9" customHeight="1" x14ac:dyDescent="0.3"/>
    <row r="1060" ht="21.9" customHeight="1" x14ac:dyDescent="0.3"/>
    <row r="1061" ht="21.9" customHeight="1" x14ac:dyDescent="0.3"/>
    <row r="1062" ht="21.9" customHeight="1" x14ac:dyDescent="0.3"/>
    <row r="1063" ht="21.9" customHeight="1" x14ac:dyDescent="0.3"/>
    <row r="1064" ht="21.9" customHeight="1" x14ac:dyDescent="0.3"/>
    <row r="1065" ht="21.9" customHeight="1" x14ac:dyDescent="0.3"/>
    <row r="1066" ht="21.9" customHeight="1" x14ac:dyDescent="0.3"/>
    <row r="1067" ht="21.9" customHeight="1" x14ac:dyDescent="0.3"/>
    <row r="1068" ht="21.9" customHeight="1" x14ac:dyDescent="0.3"/>
    <row r="1069" ht="21.9" customHeight="1" x14ac:dyDescent="0.3"/>
    <row r="1070" ht="21.9" customHeight="1" x14ac:dyDescent="0.3"/>
    <row r="1071" ht="21.9" customHeight="1" x14ac:dyDescent="0.3"/>
    <row r="1072" ht="21.9" customHeight="1" x14ac:dyDescent="0.3"/>
    <row r="1073" ht="21.9" customHeight="1" x14ac:dyDescent="0.3"/>
    <row r="1074" ht="21.9" customHeight="1" x14ac:dyDescent="0.3"/>
    <row r="1075" ht="21.9" customHeight="1" x14ac:dyDescent="0.3"/>
    <row r="1076" ht="21.9" customHeight="1" x14ac:dyDescent="0.3"/>
    <row r="1077" ht="21.9" customHeight="1" x14ac:dyDescent="0.3"/>
    <row r="1078" ht="21.9" customHeight="1" x14ac:dyDescent="0.3"/>
    <row r="1079" ht="21.9" customHeight="1" x14ac:dyDescent="0.3"/>
    <row r="1080" ht="21.9" customHeight="1" x14ac:dyDescent="0.3"/>
    <row r="1081" ht="21.9" customHeight="1" x14ac:dyDescent="0.3"/>
    <row r="1082" ht="21.9" customHeight="1" x14ac:dyDescent="0.3"/>
    <row r="1083" ht="21.9" customHeight="1" x14ac:dyDescent="0.3"/>
    <row r="1084" ht="21.9" customHeight="1" x14ac:dyDescent="0.3"/>
    <row r="1085" ht="21.9" customHeight="1" x14ac:dyDescent="0.3"/>
    <row r="1086" ht="21.9" customHeight="1" x14ac:dyDescent="0.3"/>
    <row r="1087" ht="21.9" customHeight="1" x14ac:dyDescent="0.3"/>
    <row r="1088" ht="21.9" customHeight="1" x14ac:dyDescent="0.3"/>
    <row r="1089" ht="21.9" customHeight="1" x14ac:dyDescent="0.3"/>
    <row r="1090" ht="21.9" customHeight="1" x14ac:dyDescent="0.3"/>
    <row r="1091" ht="21.9" customHeight="1" x14ac:dyDescent="0.3"/>
    <row r="1092" ht="21.9" customHeight="1" x14ac:dyDescent="0.3"/>
    <row r="1093" ht="21.9" customHeight="1" x14ac:dyDescent="0.3"/>
    <row r="1094" ht="21.9" customHeight="1" x14ac:dyDescent="0.3"/>
    <row r="1095" ht="21.9" customHeight="1" x14ac:dyDescent="0.3"/>
    <row r="1096" ht="21.9" customHeight="1" x14ac:dyDescent="0.3"/>
    <row r="1097" ht="21.9" customHeight="1" x14ac:dyDescent="0.3"/>
    <row r="1098" ht="21.9" customHeight="1" x14ac:dyDescent="0.3"/>
    <row r="1099" ht="21.9" customHeight="1" x14ac:dyDescent="0.3"/>
    <row r="1100" ht="21.9" customHeight="1" x14ac:dyDescent="0.3"/>
    <row r="1101" ht="21.9" customHeight="1" x14ac:dyDescent="0.3"/>
    <row r="1102" ht="21.9" customHeight="1" x14ac:dyDescent="0.3"/>
    <row r="1103" ht="21.9" customHeight="1" x14ac:dyDescent="0.3"/>
    <row r="1104" ht="21.9" customHeight="1" x14ac:dyDescent="0.3"/>
    <row r="1105" ht="21.9" customHeight="1" x14ac:dyDescent="0.3"/>
    <row r="1106" ht="21.9" customHeight="1" x14ac:dyDescent="0.3"/>
    <row r="1107" ht="21.9" customHeight="1" x14ac:dyDescent="0.3"/>
    <row r="1108" ht="21.9" customHeight="1" x14ac:dyDescent="0.3"/>
    <row r="1109" ht="21.9" customHeight="1" x14ac:dyDescent="0.3"/>
    <row r="1110" ht="21.9" customHeight="1" x14ac:dyDescent="0.3"/>
    <row r="1111" ht="21.9" customHeight="1" x14ac:dyDescent="0.3"/>
    <row r="1112" ht="21.9" customHeight="1" x14ac:dyDescent="0.3"/>
    <row r="1113" ht="21.9" customHeight="1" x14ac:dyDescent="0.3"/>
    <row r="1114" ht="21.9" customHeight="1" x14ac:dyDescent="0.3"/>
    <row r="1115" ht="21.9" customHeight="1" x14ac:dyDescent="0.3"/>
    <row r="1116" ht="21.9" customHeight="1" x14ac:dyDescent="0.3"/>
    <row r="1117" ht="21.9" customHeight="1" x14ac:dyDescent="0.3"/>
    <row r="1118" ht="21.9" customHeight="1" x14ac:dyDescent="0.3"/>
    <row r="1119" ht="21.9" customHeight="1" x14ac:dyDescent="0.3"/>
    <row r="1120" ht="21.9" customHeight="1" x14ac:dyDescent="0.3"/>
    <row r="1121" ht="21.9" customHeight="1" x14ac:dyDescent="0.3"/>
    <row r="1122" ht="21.9" customHeight="1" x14ac:dyDescent="0.3"/>
    <row r="1123" ht="21.9" customHeight="1" x14ac:dyDescent="0.3"/>
    <row r="1124" ht="21.9" customHeight="1" x14ac:dyDescent="0.3"/>
    <row r="1125" ht="21.9" customHeight="1" x14ac:dyDescent="0.3"/>
    <row r="1126" ht="21.9" customHeight="1" x14ac:dyDescent="0.3"/>
    <row r="1127" ht="21.9" customHeight="1" x14ac:dyDescent="0.3"/>
    <row r="1128" ht="21.9" customHeight="1" x14ac:dyDescent="0.3"/>
    <row r="1129" ht="21.9" customHeight="1" x14ac:dyDescent="0.3"/>
    <row r="1130" ht="21.9" customHeight="1" x14ac:dyDescent="0.3"/>
    <row r="1131" ht="21.9" customHeight="1" x14ac:dyDescent="0.3"/>
    <row r="1132" ht="21.9" customHeight="1" x14ac:dyDescent="0.3"/>
    <row r="1133" ht="21.9" customHeight="1" x14ac:dyDescent="0.3"/>
    <row r="1134" ht="21.9" customHeight="1" x14ac:dyDescent="0.3"/>
    <row r="1135" ht="21.9" customHeight="1" x14ac:dyDescent="0.3"/>
    <row r="1136" ht="21.9" customHeight="1" x14ac:dyDescent="0.3"/>
    <row r="1137" ht="21.9" customHeight="1" x14ac:dyDescent="0.3"/>
    <row r="1138" ht="21.9" customHeight="1" x14ac:dyDescent="0.3"/>
    <row r="1139" ht="21.9" customHeight="1" x14ac:dyDescent="0.3"/>
    <row r="1140" ht="21.9" customHeight="1" x14ac:dyDescent="0.3"/>
    <row r="1141" ht="21.9" customHeight="1" x14ac:dyDescent="0.3"/>
    <row r="1142" ht="21.9" customHeight="1" x14ac:dyDescent="0.3"/>
    <row r="1143" ht="21.9" customHeight="1" x14ac:dyDescent="0.3"/>
    <row r="1144" ht="21.9" customHeight="1" x14ac:dyDescent="0.3"/>
    <row r="1145" ht="21.9" customHeight="1" x14ac:dyDescent="0.3"/>
    <row r="1146" ht="21.9" customHeight="1" x14ac:dyDescent="0.3"/>
    <row r="1147" ht="21.9" customHeight="1" x14ac:dyDescent="0.3"/>
    <row r="1148" ht="21.9" customHeight="1" x14ac:dyDescent="0.3"/>
    <row r="1149" ht="21.9" customHeight="1" x14ac:dyDescent="0.3"/>
    <row r="1150" ht="21.9" customHeight="1" x14ac:dyDescent="0.3"/>
    <row r="1151" ht="21.9" customHeight="1" x14ac:dyDescent="0.3"/>
    <row r="1152" ht="21.9" customHeight="1" x14ac:dyDescent="0.3"/>
    <row r="1153" ht="21.9" customHeight="1" x14ac:dyDescent="0.3"/>
    <row r="1154" ht="21.9" customHeight="1" x14ac:dyDescent="0.3"/>
    <row r="1155" ht="21.9" customHeight="1" x14ac:dyDescent="0.3"/>
    <row r="1156" ht="21.9" customHeight="1" x14ac:dyDescent="0.3"/>
    <row r="1157" ht="21.9" customHeight="1" x14ac:dyDescent="0.3"/>
    <row r="1158" ht="21.9" customHeight="1" x14ac:dyDescent="0.3"/>
    <row r="1159" ht="21.9" customHeight="1" x14ac:dyDescent="0.3"/>
    <row r="1160" ht="21.9" customHeight="1" x14ac:dyDescent="0.3"/>
    <row r="1161" ht="21.9" customHeight="1" x14ac:dyDescent="0.3"/>
    <row r="1162" ht="21.9" customHeight="1" x14ac:dyDescent="0.3"/>
    <row r="1163" ht="21.9" customHeight="1" x14ac:dyDescent="0.3"/>
    <row r="1164" ht="21.9" customHeight="1" x14ac:dyDescent="0.3"/>
    <row r="1165" ht="21.9" customHeight="1" x14ac:dyDescent="0.3"/>
    <row r="1166" ht="21.9" customHeight="1" x14ac:dyDescent="0.3"/>
    <row r="1167" ht="21.9" customHeight="1" x14ac:dyDescent="0.3"/>
    <row r="1168" ht="21.9" customHeight="1" x14ac:dyDescent="0.3"/>
    <row r="1169" ht="21.9" customHeight="1" x14ac:dyDescent="0.3"/>
    <row r="1170" ht="21.9" customHeight="1" x14ac:dyDescent="0.3"/>
    <row r="1171" ht="21.9" customHeight="1" x14ac:dyDescent="0.3"/>
    <row r="1172" ht="21.9" customHeight="1" x14ac:dyDescent="0.3"/>
    <row r="1173" ht="21.9" customHeight="1" x14ac:dyDescent="0.3"/>
    <row r="1174" ht="21.9" customHeight="1" x14ac:dyDescent="0.3"/>
    <row r="1175" ht="21.9" customHeight="1" x14ac:dyDescent="0.3"/>
    <row r="1176" ht="21.9" customHeight="1" x14ac:dyDescent="0.3"/>
    <row r="1177" ht="21.9" customHeight="1" x14ac:dyDescent="0.3"/>
    <row r="1178" ht="21.9" customHeight="1" x14ac:dyDescent="0.3"/>
    <row r="1179" ht="21.9" customHeight="1" x14ac:dyDescent="0.3"/>
    <row r="1180" ht="21.9" customHeight="1" x14ac:dyDescent="0.3"/>
    <row r="1181" ht="21.9" customHeight="1" x14ac:dyDescent="0.3"/>
    <row r="1182" ht="21.9" customHeight="1" x14ac:dyDescent="0.3"/>
    <row r="1183" ht="21.9" customHeight="1" x14ac:dyDescent="0.3"/>
    <row r="1184" ht="21.9" customHeight="1" x14ac:dyDescent="0.3"/>
    <row r="1185" ht="21.9" customHeight="1" x14ac:dyDescent="0.3"/>
    <row r="1186" ht="21.9" customHeight="1" x14ac:dyDescent="0.3"/>
    <row r="1187" ht="21.9" customHeight="1" x14ac:dyDescent="0.3"/>
    <row r="1188" ht="21.9" customHeight="1" x14ac:dyDescent="0.3"/>
    <row r="1189" ht="21.9" customHeight="1" x14ac:dyDescent="0.3"/>
    <row r="1190" ht="21.9" customHeight="1" x14ac:dyDescent="0.3"/>
    <row r="1191" ht="21.9" customHeight="1" x14ac:dyDescent="0.3"/>
    <row r="1192" ht="21.9" customHeight="1" x14ac:dyDescent="0.3"/>
    <row r="1193" ht="21.9" customHeight="1" x14ac:dyDescent="0.3"/>
    <row r="1194" ht="21.9" customHeight="1" x14ac:dyDescent="0.3"/>
    <row r="1195" ht="21.9" customHeight="1" x14ac:dyDescent="0.3"/>
    <row r="1196" ht="21.9" customHeight="1" x14ac:dyDescent="0.3"/>
    <row r="1197" ht="21.9" customHeight="1" x14ac:dyDescent="0.3"/>
    <row r="1198" ht="21.9" customHeight="1" x14ac:dyDescent="0.3"/>
    <row r="1199" ht="21.9" customHeight="1" x14ac:dyDescent="0.3"/>
    <row r="1200" ht="21.9" customHeight="1" x14ac:dyDescent="0.3"/>
    <row r="1201" ht="21.9" customHeight="1" x14ac:dyDescent="0.3"/>
    <row r="1202" ht="21.9" customHeight="1" x14ac:dyDescent="0.3"/>
    <row r="1203" ht="21.9" customHeight="1" x14ac:dyDescent="0.3"/>
    <row r="1204" ht="21.9" customHeight="1" x14ac:dyDescent="0.3"/>
    <row r="1205" ht="21.9" customHeight="1" x14ac:dyDescent="0.3"/>
    <row r="1206" ht="21.9" customHeight="1" x14ac:dyDescent="0.3"/>
    <row r="1207" ht="21.9" customHeight="1" x14ac:dyDescent="0.3"/>
    <row r="1208" ht="21.9" customHeight="1" x14ac:dyDescent="0.3"/>
    <row r="1209" ht="21.9" customHeight="1" x14ac:dyDescent="0.3"/>
    <row r="1210" ht="21.9" customHeight="1" x14ac:dyDescent="0.3"/>
    <row r="1211" ht="21.9" customHeight="1" x14ac:dyDescent="0.3"/>
    <row r="1212" ht="21.9" customHeight="1" x14ac:dyDescent="0.3"/>
    <row r="1213" ht="21.9" customHeight="1" x14ac:dyDescent="0.3"/>
    <row r="1214" ht="21.9" customHeight="1" x14ac:dyDescent="0.3"/>
    <row r="1215" ht="21.9" customHeight="1" x14ac:dyDescent="0.3"/>
    <row r="1216" ht="21.9" customHeight="1" x14ac:dyDescent="0.3"/>
    <row r="1217" ht="21.9" customHeight="1" x14ac:dyDescent="0.3"/>
    <row r="1218" ht="21.9" customHeight="1" x14ac:dyDescent="0.3"/>
    <row r="1219" ht="21.9" customHeight="1" x14ac:dyDescent="0.3"/>
    <row r="1220" ht="21.9" customHeight="1" x14ac:dyDescent="0.3"/>
    <row r="1221" ht="21.9" customHeight="1" x14ac:dyDescent="0.3"/>
    <row r="1222" ht="21.9" customHeight="1" x14ac:dyDescent="0.3"/>
    <row r="1223" ht="21.9" customHeight="1" x14ac:dyDescent="0.3"/>
    <row r="1224" ht="21.9" customHeight="1" x14ac:dyDescent="0.3"/>
    <row r="1225" ht="21.9" customHeight="1" x14ac:dyDescent="0.3"/>
    <row r="1226" ht="21.9" customHeight="1" x14ac:dyDescent="0.3"/>
    <row r="1227" ht="21.9" customHeight="1" x14ac:dyDescent="0.3"/>
    <row r="1228" ht="21.9" customHeight="1" x14ac:dyDescent="0.3"/>
    <row r="1229" ht="21.9" customHeight="1" x14ac:dyDescent="0.3"/>
    <row r="1230" ht="21.9" customHeight="1" x14ac:dyDescent="0.3"/>
    <row r="1231" ht="21.9" customHeight="1" x14ac:dyDescent="0.3"/>
    <row r="1232" ht="21.9" customHeight="1" x14ac:dyDescent="0.3"/>
    <row r="1233" ht="21.9" customHeight="1" x14ac:dyDescent="0.3"/>
    <row r="1234" ht="21.9" customHeight="1" x14ac:dyDescent="0.3"/>
    <row r="1235" ht="21.9" customHeight="1" x14ac:dyDescent="0.3"/>
    <row r="1236" ht="21.9" customHeight="1" x14ac:dyDescent="0.3"/>
    <row r="1237" ht="21.9" customHeight="1" x14ac:dyDescent="0.3"/>
    <row r="1238" ht="21.9" customHeight="1" x14ac:dyDescent="0.3"/>
    <row r="1239" ht="21.9" customHeight="1" x14ac:dyDescent="0.3"/>
    <row r="1240" ht="21.9" customHeight="1" x14ac:dyDescent="0.3"/>
    <row r="1241" ht="21.9" customHeight="1" x14ac:dyDescent="0.3"/>
    <row r="1242" ht="21.9" customHeight="1" x14ac:dyDescent="0.3"/>
    <row r="1243" ht="21.9" customHeight="1" x14ac:dyDescent="0.3"/>
    <row r="1244" ht="21.9" customHeight="1" x14ac:dyDescent="0.3"/>
    <row r="1245" ht="21.9" customHeight="1" x14ac:dyDescent="0.3"/>
    <row r="1246" ht="21.9" customHeight="1" x14ac:dyDescent="0.3"/>
    <row r="1247" ht="21.9" customHeight="1" x14ac:dyDescent="0.3"/>
    <row r="1248" ht="21.9" customHeight="1" x14ac:dyDescent="0.3"/>
    <row r="1249" ht="21.9" customHeight="1" x14ac:dyDescent="0.3"/>
    <row r="1250" ht="21.9" customHeight="1" x14ac:dyDescent="0.3"/>
    <row r="1251" ht="21.9" customHeight="1" x14ac:dyDescent="0.3"/>
    <row r="1252" ht="21.9" customHeight="1" x14ac:dyDescent="0.3"/>
    <row r="1253" ht="21.9" customHeight="1" x14ac:dyDescent="0.3"/>
    <row r="1254" ht="21.9" customHeight="1" x14ac:dyDescent="0.3"/>
    <row r="1255" ht="21.9" customHeight="1" x14ac:dyDescent="0.3"/>
    <row r="1256" ht="21.9" customHeight="1" x14ac:dyDescent="0.3"/>
    <row r="1257" ht="21.9" customHeight="1" x14ac:dyDescent="0.3"/>
    <row r="1258" ht="21.9" customHeight="1" x14ac:dyDescent="0.3"/>
    <row r="1259" ht="21.9" customHeight="1" x14ac:dyDescent="0.3"/>
    <row r="1260" ht="21.9" customHeight="1" x14ac:dyDescent="0.3"/>
    <row r="1261" ht="21.9" customHeight="1" x14ac:dyDescent="0.3"/>
    <row r="1262" ht="21.9" customHeight="1" x14ac:dyDescent="0.3"/>
    <row r="1263" ht="21.9" customHeight="1" x14ac:dyDescent="0.3"/>
    <row r="1264" ht="21.9" customHeight="1" x14ac:dyDescent="0.3"/>
    <row r="1265" ht="21.9" customHeight="1" x14ac:dyDescent="0.3"/>
    <row r="1266" ht="21.9" customHeight="1" x14ac:dyDescent="0.3"/>
    <row r="1267" ht="21.9" customHeight="1" x14ac:dyDescent="0.3"/>
    <row r="1268" ht="21.9" customHeight="1" x14ac:dyDescent="0.3"/>
    <row r="1269" ht="21.9" customHeight="1" x14ac:dyDescent="0.3"/>
    <row r="1270" ht="21.9" customHeight="1" x14ac:dyDescent="0.3"/>
    <row r="1271" ht="21.9" customHeight="1" x14ac:dyDescent="0.3"/>
    <row r="1272" ht="21.9" customHeight="1" x14ac:dyDescent="0.3"/>
    <row r="1273" ht="21.9" customHeight="1" x14ac:dyDescent="0.3"/>
    <row r="1274" ht="21.9" customHeight="1" x14ac:dyDescent="0.3"/>
    <row r="1275" ht="21.9" customHeight="1" x14ac:dyDescent="0.3"/>
    <row r="1276" ht="21.9" customHeight="1" x14ac:dyDescent="0.3"/>
    <row r="1277" ht="21.9" customHeight="1" x14ac:dyDescent="0.3"/>
    <row r="1278" ht="21.9" customHeight="1" x14ac:dyDescent="0.3"/>
    <row r="1279" ht="21.9" customHeight="1" x14ac:dyDescent="0.3"/>
    <row r="1280" ht="21.9" customHeight="1" x14ac:dyDescent="0.3"/>
    <row r="1281" ht="21.9" customHeight="1" x14ac:dyDescent="0.3"/>
    <row r="1282" ht="21.9" customHeight="1" x14ac:dyDescent="0.3"/>
    <row r="1283" ht="21.9" customHeight="1" x14ac:dyDescent="0.3"/>
    <row r="1284" ht="21.9" customHeight="1" x14ac:dyDescent="0.3"/>
    <row r="1285" ht="21.9" customHeight="1" x14ac:dyDescent="0.3"/>
    <row r="1286" ht="21.9" customHeight="1" x14ac:dyDescent="0.3"/>
    <row r="1287" ht="21.9" customHeight="1" x14ac:dyDescent="0.3"/>
    <row r="1288" ht="21.9" customHeight="1" x14ac:dyDescent="0.3"/>
    <row r="1289" ht="21.9" customHeight="1" x14ac:dyDescent="0.3"/>
    <row r="1290" ht="21.9" customHeight="1" x14ac:dyDescent="0.3"/>
    <row r="1291" ht="21.9" customHeight="1" x14ac:dyDescent="0.3"/>
    <row r="1292" ht="21.9" customHeight="1" x14ac:dyDescent="0.3"/>
    <row r="1293" ht="21.9" customHeight="1" x14ac:dyDescent="0.3"/>
    <row r="1294" ht="21.9" customHeight="1" x14ac:dyDescent="0.3"/>
    <row r="1295" ht="21.9" customHeight="1" x14ac:dyDescent="0.3"/>
    <row r="1296" ht="21.9" customHeight="1" x14ac:dyDescent="0.3"/>
    <row r="1297" ht="21.9" customHeight="1" x14ac:dyDescent="0.3"/>
    <row r="1298" ht="21.9" customHeight="1" x14ac:dyDescent="0.3"/>
    <row r="1299" ht="21.9" customHeight="1" x14ac:dyDescent="0.3"/>
    <row r="1300" ht="21.9" customHeight="1" x14ac:dyDescent="0.3"/>
    <row r="1301" ht="21.9" customHeight="1" x14ac:dyDescent="0.3"/>
    <row r="1302" ht="21.9" customHeight="1" x14ac:dyDescent="0.3"/>
    <row r="1303" ht="21.9" customHeight="1" x14ac:dyDescent="0.3"/>
    <row r="1304" ht="21.9" customHeight="1" x14ac:dyDescent="0.3"/>
    <row r="1305" ht="21.9" customHeight="1" x14ac:dyDescent="0.3"/>
    <row r="1306" ht="21.9" customHeight="1" x14ac:dyDescent="0.3"/>
    <row r="1307" ht="21.9" customHeight="1" x14ac:dyDescent="0.3"/>
  </sheetData>
  <mergeCells count="20">
    <mergeCell ref="M44:N44"/>
    <mergeCell ref="O3:P4"/>
    <mergeCell ref="Q3:R4"/>
    <mergeCell ref="S3:T4"/>
    <mergeCell ref="U3:V4"/>
    <mergeCell ref="M3:N4"/>
    <mergeCell ref="AM3:AN4"/>
    <mergeCell ref="C3:D4"/>
    <mergeCell ref="E3:F4"/>
    <mergeCell ref="G3:H4"/>
    <mergeCell ref="I3:J4"/>
    <mergeCell ref="K3:L4"/>
    <mergeCell ref="AK3:AL4"/>
    <mergeCell ref="W3:X4"/>
    <mergeCell ref="Y3:Z4"/>
    <mergeCell ref="AI3:AJ4"/>
    <mergeCell ref="AA3:AB4"/>
    <mergeCell ref="AC3:AD4"/>
    <mergeCell ref="AE3:AF4"/>
    <mergeCell ref="AG3:AH4"/>
  </mergeCells>
  <phoneticPr fontId="19" type="noConversion"/>
  <printOptions horizontalCentered="1" verticalCentered="1"/>
  <pageMargins left="0" right="0" top="0" bottom="0" header="0" footer="0"/>
  <pageSetup paperSize="9" scale="38" orientation="portrait" r:id="rId1"/>
  <headerFooter alignWithMargins="0"/>
  <colBreaks count="9" manualBreakCount="9">
    <brk id="6" max="1048575" man="1"/>
    <brk id="10" max="42" man="1"/>
    <brk id="14" max="1048575" man="1"/>
    <brk id="18" max="42" man="1"/>
    <brk id="22" max="42" man="1"/>
    <brk id="26" max="42" man="1"/>
    <brk id="30" max="42" man="1"/>
    <brk id="34" max="42" man="1"/>
    <brk id="38" max="4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Deficit and Sources_ Annual</vt:lpstr>
      <vt:lpstr>'Deficit and Sources_ Annual'!Print_Area</vt:lpstr>
      <vt:lpstr>'Deficit and Sources_ Annual'!Print_Titles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Hamis Abdelrashid</dc:creator>
  <cp:lastModifiedBy>Hames Abdelrashaed</cp:lastModifiedBy>
  <cp:lastPrinted>2024-03-20T07:52:05Z</cp:lastPrinted>
  <dcterms:created xsi:type="dcterms:W3CDTF">1996-10-14T23:33:28Z</dcterms:created>
  <dcterms:modified xsi:type="dcterms:W3CDTF">2026-03-05T11:32:41Z</dcterms:modified>
</cp:coreProperties>
</file>