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ALL YEARS\CBE MON ALL\"/>
    </mc:Choice>
  </mc:AlternateContent>
  <xr:revisionPtr revIDLastSave="0" documentId="13_ncr:1_{D6098680-81F0-407E-A63B-76CBFE1AE21E}" xr6:coauthVersionLast="36" xr6:coauthVersionMax="36" xr10:uidLastSave="{00000000-0000-0000-0000-000000000000}"/>
  <bookViews>
    <workbookView xWindow="0" yWindow="0" windowWidth="24000" windowHeight="8925" tabRatio="965" firstSheet="4" activeTab="18" xr2:uid="{33D72746-B567-4C80-BB6C-718FFCF4BF57}"/>
  </bookViews>
  <sheets>
    <sheet name="2004-2005" sheetId="3" r:id="rId1"/>
    <sheet name="2005-2006" sheetId="4" r:id="rId2"/>
    <sheet name="2006-2007" sheetId="5" r:id="rId3"/>
    <sheet name="2007-2008" sheetId="6" r:id="rId4"/>
    <sheet name="2008-2009" sheetId="7" r:id="rId5"/>
    <sheet name="2009-2010" sheetId="8" r:id="rId6"/>
    <sheet name="2010-2011" sheetId="9" r:id="rId7"/>
    <sheet name="2011-2012" sheetId="10" r:id="rId8"/>
    <sheet name="2012-2013" sheetId="11" r:id="rId9"/>
    <sheet name="2013-2014" sheetId="12" r:id="rId10"/>
    <sheet name="2014-2015" sheetId="13" r:id="rId11"/>
    <sheet name="2015-2016" sheetId="14" r:id="rId12"/>
    <sheet name="2016-2017" sheetId="15" r:id="rId13"/>
    <sheet name="2017-2018" sheetId="16" r:id="rId14"/>
    <sheet name="2018-2019" sheetId="17" r:id="rId15"/>
    <sheet name="2019-2020" sheetId="18" r:id="rId16"/>
    <sheet name="2020-2021" sheetId="19" r:id="rId17"/>
    <sheet name="2021-2022" sheetId="2" r:id="rId18"/>
    <sheet name="2022-2023" sheetId="20" r:id="rId19"/>
  </sheets>
  <definedNames>
    <definedName name="_xlnm.Print_Area" localSheetId="11">'2015-2016'!$B$3:$H$16</definedName>
    <definedName name="_xlnm.Print_Area" localSheetId="12">'2016-2017'!$B$3:$N$16</definedName>
    <definedName name="_xlnm.Print_Area" localSheetId="13">'2017-2018'!$B$3:$O$16</definedName>
    <definedName name="_xlnm.Print_Area" localSheetId="14">'2018-2019'!$A$1:$O$16</definedName>
    <definedName name="_xlnm.Print_Area" localSheetId="15">'2019-2020'!$A$1:$O$16</definedName>
    <definedName name="_xlnm.Print_Area" localSheetId="16">'2020-2021'!$A$1:$O$27</definedName>
    <definedName name="_xlnm.Print_Area" localSheetId="17">'2021-2022'!$A$1:$O$27</definedName>
    <definedName name="_xlnm.Print_Area" localSheetId="18">'2022-2023'!$A$1:$O$27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" i="14" l="1"/>
  <c r="M13" i="14"/>
  <c r="L13" i="14"/>
  <c r="K13" i="14"/>
  <c r="J13" i="14"/>
  <c r="I13" i="14"/>
  <c r="N12" i="14"/>
  <c r="M10" i="14"/>
  <c r="L10" i="14"/>
  <c r="K10" i="14"/>
  <c r="J10" i="14"/>
  <c r="I10" i="14"/>
</calcChain>
</file>

<file path=xl/sharedStrings.xml><?xml version="1.0" encoding="utf-8"?>
<sst xmlns="http://schemas.openxmlformats.org/spreadsheetml/2006/main" count="818" uniqueCount="86">
  <si>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</si>
  <si>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</si>
  <si>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End of</t>
  </si>
  <si>
    <t xml:space="preserve"> فى نهاية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</si>
  <si>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</si>
  <si>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</si>
  <si>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</si>
  <si>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</si>
  <si>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</si>
  <si>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</si>
  <si>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</si>
  <si>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</si>
  <si>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</si>
  <si>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April</t>
  </si>
  <si>
    <t>May</t>
  </si>
  <si>
    <t>Transactions via RTGS*</t>
  </si>
  <si>
    <t>أولاً: العمليات التى تم تسويتها من خلال نظام التسوية اللحظية (RTGS)*</t>
  </si>
  <si>
    <t xml:space="preserve">   1- Automated Clearing House (ACH)</t>
  </si>
  <si>
    <t>1- غرفة المقاصة الإلكترونية</t>
  </si>
  <si>
    <t>In EGP</t>
  </si>
  <si>
    <t>بالجنيه المصري</t>
  </si>
  <si>
    <t>Number of transactions (thousand)</t>
  </si>
  <si>
    <t>عدد العمليات (بالألف)</t>
  </si>
  <si>
    <t>Value of transactions (LE bn)</t>
  </si>
  <si>
    <t>قيمة العمليات (بالمليار جنيه)</t>
  </si>
  <si>
    <t>In US Dollar**</t>
  </si>
  <si>
    <t>بالدولار الأمريكى**</t>
  </si>
  <si>
    <t>Number of transactions (in unit)</t>
  </si>
  <si>
    <t>عدد العمليات (بالوحدة)</t>
  </si>
  <si>
    <t>Value of transactions (US$ mn)</t>
  </si>
  <si>
    <t>قيمة العمليات (بالمليون دولار)</t>
  </si>
  <si>
    <t>In Euro**</t>
  </si>
  <si>
    <t>باليورو **</t>
  </si>
  <si>
    <t>Value of transactions (EUR mn)</t>
  </si>
  <si>
    <t>قيمة العمليات (بالمليون يورو)</t>
  </si>
  <si>
    <t xml:space="preserve">   2- Other Transactions via RTGS***</t>
  </si>
  <si>
    <t>2- العمليات الأخرى التى تمت من خلال نظام (RTGS)***</t>
  </si>
  <si>
    <t>Foreign Currency Transfers (Dollar Interbank Transactions) via the Fin-Copy System****</t>
  </si>
  <si>
    <t>ثانياً: التحويلات بالعملة الأجنبية (عمليات الانتربنك الدولارى) بنظام Fin-Copy****</t>
  </si>
  <si>
    <t xml:space="preserve">   Number of transactions (in unit)</t>
  </si>
  <si>
    <t xml:space="preserve">   Value of  transactions (US$ mn)</t>
  </si>
  <si>
    <t>قيمة العمليات ( بالمليون دولار )</t>
  </si>
  <si>
    <t xml:space="preserve">*  The RTGS was launched on 15/3/2009. </t>
  </si>
  <si>
    <t>*   تم العمل بنظام التسوية اللحظية (RTGS) فى 3/15/ 2009.</t>
  </si>
  <si>
    <t>** The system of settling the packages of payment orders of the Cheque Clearing House (CCH) in dollar and euro was launched as of 15/6/2021.</t>
  </si>
  <si>
    <t>** تم إطلاق تسوية حزم أوامر الدفع الخاصة بغرفة مقاصة الشيكات بعملتي الدولار واليورو بداية من 2021/6/15.</t>
  </si>
  <si>
    <t>*** Including transfers of banks and customers, operations of Treasury bills and bonds, operations of Misr for Central Clearing and National Switch, corridor operations and deposits for monetary policy purposes.</t>
  </si>
  <si>
    <t>***   تشمل تحويلات البنوك والعملاء وعمليات أذون وسندات الخزانة وعمليات مصر المقاصة والمحول القومي وعمليات الكوريدور والإيداعات لأغراض السياسة النقدية .</t>
  </si>
  <si>
    <t>****  This service was introduced on 19/9/2004.</t>
  </si>
  <si>
    <t>****  بدأ العمل بهذه الخدمة اعتباراً من 2004/9/19.</t>
  </si>
  <si>
    <t>Title_EN</t>
  </si>
  <si>
    <t>Title_AR</t>
  </si>
  <si>
    <t>Apr.</t>
  </si>
  <si>
    <t>Jun.</t>
  </si>
  <si>
    <t>Local Currency Transactions via RTGS</t>
  </si>
  <si>
    <t>العمليات التى تم تسويتها بالعملة المحلية من خلال نظام التسوية اللحظية (RTGS)</t>
  </si>
  <si>
    <t>1- Automated Clearing House (ACH)</t>
  </si>
  <si>
    <r>
      <rPr>
        <b/>
        <u/>
        <sz val="14"/>
        <color rgb="FF993366"/>
        <rFont val="Arial"/>
        <family val="2"/>
      </rPr>
      <t xml:space="preserve">1- غرفة المقاصة الإلكترونية  </t>
    </r>
    <r>
      <rPr>
        <b/>
        <sz val="14"/>
        <color rgb="FF993366"/>
        <rFont val="Arial"/>
        <family val="2"/>
      </rPr>
      <t xml:space="preserve">                                    </t>
    </r>
  </si>
  <si>
    <t>(Number of transactions (thousand</t>
  </si>
  <si>
    <t>(Value of transactions (LE mn</t>
  </si>
  <si>
    <t>قيمة العمليات (بالمليون جنيه)</t>
  </si>
  <si>
    <t>2- Other Transactions via RTGS</t>
  </si>
  <si>
    <t>2- العمليات الأخرى التى تمت من خلال نظام (RTGS)</t>
  </si>
  <si>
    <t>(Number of transactions (in unit</t>
  </si>
  <si>
    <t>Foreign Currency Transfers (Dollar Interbank Transactions) via the Fin-Copy System</t>
  </si>
  <si>
    <r>
      <t>التحويلات بالعملة الأجنبية (عمليات الانتربنك الدولارى) بنظام Fin-Copy</t>
    </r>
    <r>
      <rPr>
        <b/>
        <u/>
        <vertAlign val="superscript"/>
        <sz val="14"/>
        <color rgb="FF993366"/>
        <rFont val="Arial"/>
        <family val="2"/>
      </rPr>
      <t xml:space="preserve"> </t>
    </r>
  </si>
  <si>
    <r>
      <t xml:space="preserve">1- غرفة المقاصة الإلكترونية  </t>
    </r>
    <r>
      <rPr>
        <b/>
        <sz val="14"/>
        <color rgb="FF993366"/>
        <rFont val="Arial"/>
        <family val="2"/>
      </rPr>
      <t xml:space="preserve">                                    </t>
    </r>
  </si>
  <si>
    <r>
      <t xml:space="preserve">1- غرفة المقاصة الإلكترونية  </t>
    </r>
    <r>
      <rPr>
        <b/>
        <sz val="16"/>
        <color rgb="FF993366"/>
        <rFont val="Arial"/>
        <family val="2"/>
      </rPr>
      <t xml:space="preserve">                                    </t>
    </r>
  </si>
  <si>
    <r>
      <t>التحويلات بالعملة الأجنبية (عمليات الانتربنك الدولارى) بنظام Fin-Copy</t>
    </r>
    <r>
      <rPr>
        <b/>
        <u/>
        <vertAlign val="superscript"/>
        <sz val="16"/>
        <color rgb="FF993366"/>
        <rFont val="Arial"/>
        <family val="2"/>
      </rPr>
      <t xml:space="preserve"> </t>
    </r>
  </si>
  <si>
    <t>June</t>
  </si>
  <si>
    <t xml:space="preserve">1- غرفة المقاصة الإلكترونية                                      </t>
  </si>
  <si>
    <r>
      <t>التحويلات بالعملة الأجنبية (عمليات الانتربنك الدولارى) بنظام Fin-Copy</t>
    </r>
    <r>
      <rPr>
        <b/>
        <u/>
        <vertAlign val="superscript"/>
        <sz val="12"/>
        <color rgb="FF993366"/>
        <rFont val="Arial"/>
        <family val="2"/>
      </rPr>
      <t xml:space="preserve"> </t>
    </r>
  </si>
  <si>
    <r>
      <t xml:space="preserve">أولاً: العمليات التى تم تسويتها من خلال نظام التسوية اللحظية </t>
    </r>
    <r>
      <rPr>
        <u/>
        <sz val="16"/>
        <color indexed="25"/>
        <rFont val="Arial"/>
        <family val="2"/>
      </rPr>
      <t>(</t>
    </r>
    <r>
      <rPr>
        <b/>
        <u/>
        <sz val="16"/>
        <color indexed="25"/>
        <rFont val="Arial"/>
        <family val="2"/>
      </rPr>
      <t>RTGS</t>
    </r>
    <r>
      <rPr>
        <u/>
        <sz val="16"/>
        <color indexed="25"/>
        <rFont val="Arial"/>
        <family val="2"/>
      </rPr>
      <t>)*</t>
    </r>
  </si>
  <si>
    <t>(Value of transactions (LE bn</t>
  </si>
  <si>
    <r>
      <t>بالدولار الأمريكى</t>
    </r>
    <r>
      <rPr>
        <u/>
        <sz val="16"/>
        <color indexed="25"/>
        <rFont val="Arial"/>
        <family val="2"/>
      </rPr>
      <t>**</t>
    </r>
  </si>
  <si>
    <t>-</t>
  </si>
  <si>
    <t>(Value of transactions (US$ mn</t>
  </si>
  <si>
    <r>
      <t xml:space="preserve">باليورو </t>
    </r>
    <r>
      <rPr>
        <u/>
        <sz val="16"/>
        <color indexed="25"/>
        <rFont val="Arial"/>
        <family val="2"/>
      </rPr>
      <t>**</t>
    </r>
  </si>
  <si>
    <t>(Value of transactions (EUR mn</t>
  </si>
  <si>
    <t>2- Other Transactions via RTGS***</t>
  </si>
  <si>
    <r>
      <t>2- العمليات الأخرى التى تمت من خلال نظام</t>
    </r>
    <r>
      <rPr>
        <b/>
        <sz val="16"/>
        <color indexed="25"/>
        <rFont val="Akhbar MT"/>
        <charset val="178"/>
      </rPr>
      <t xml:space="preserve"> </t>
    </r>
    <r>
      <rPr>
        <b/>
        <sz val="16"/>
        <color indexed="25"/>
        <rFont val="Arial"/>
        <family val="2"/>
      </rPr>
      <t>(RTGS)***</t>
    </r>
  </si>
  <si>
    <r>
      <t>ثانياً: التحويلات بالعملة الأجنبية (عمليات الانتربنك الدولارى) بنظام</t>
    </r>
    <r>
      <rPr>
        <u/>
        <sz val="16"/>
        <color indexed="25"/>
        <rFont val="Akhbar MT"/>
        <charset val="178"/>
      </rPr>
      <t xml:space="preserve"> </t>
    </r>
    <r>
      <rPr>
        <b/>
        <u/>
        <sz val="16"/>
        <color indexed="25"/>
        <rFont val="Arial"/>
        <family val="2"/>
      </rPr>
      <t>Fin-Copy</t>
    </r>
    <r>
      <rPr>
        <u/>
        <sz val="16"/>
        <color indexed="25"/>
        <rFont val="Arial"/>
        <family val="2"/>
      </rPr>
      <t>****</t>
    </r>
  </si>
  <si>
    <r>
      <rPr>
        <sz val="12"/>
        <rFont val="Arial"/>
        <family val="2"/>
      </rPr>
      <t>*</t>
    </r>
    <r>
      <rPr>
        <vertAlign val="subscript"/>
        <sz val="12"/>
        <rFont val="Akhbar MT"/>
        <charset val="178"/>
      </rPr>
      <t xml:space="preserve"> </t>
    </r>
    <r>
      <rPr>
        <sz val="12"/>
        <rFont val="Akhbar MT"/>
        <charset val="178"/>
      </rPr>
      <t xml:space="preserve">  تم العمل بنظام التسوية اللحظية </t>
    </r>
    <r>
      <rPr>
        <sz val="12"/>
        <rFont val="Arial"/>
        <family val="2"/>
      </rPr>
      <t>(RTGS)</t>
    </r>
    <r>
      <rPr>
        <sz val="12"/>
        <rFont val="Akhbar MT"/>
        <charset val="178"/>
      </rPr>
      <t xml:space="preserve"> فى 3/15/ 2009.</t>
    </r>
  </si>
  <si>
    <r>
      <rPr>
        <sz val="12"/>
        <rFont val="Arial"/>
        <family val="2"/>
      </rPr>
      <t>**</t>
    </r>
    <r>
      <rPr>
        <sz val="12"/>
        <rFont val="Akhbar MT"/>
        <charset val="178"/>
      </rPr>
      <t xml:space="preserve"> تم إطلاق تسوية حزم أوامر الدفع الخاصة بغرفة مقاصة الشيكات بعملتي الدولار واليورو بداية من 2021/6/15.</t>
    </r>
  </si>
  <si>
    <r>
      <rPr>
        <sz val="12"/>
        <rFont val="Arial"/>
        <family val="2"/>
      </rPr>
      <t>***</t>
    </r>
    <r>
      <rPr>
        <vertAlign val="subscript"/>
        <sz val="12"/>
        <rFont val="Akhbar MT"/>
        <charset val="178"/>
      </rPr>
      <t xml:space="preserve">   </t>
    </r>
    <r>
      <rPr>
        <sz val="12"/>
        <rFont val="Akhbar MT"/>
        <charset val="178"/>
      </rPr>
      <t>تشمل تحويلات البنوك والعملاء وعمليات أذون وسندات الخزانة وعمليات مصر المقاصة والمحول القومي وعمليات الكوريدور والإيداعات لأغراض السياسة النقدية .</t>
    </r>
  </si>
  <si>
    <r>
      <rPr>
        <sz val="12"/>
        <rFont val="Arial"/>
        <family val="2"/>
      </rPr>
      <t>****</t>
    </r>
    <r>
      <rPr>
        <vertAlign val="subscript"/>
        <sz val="12"/>
        <rFont val="Akhbar MT"/>
        <charset val="178"/>
      </rPr>
      <t xml:space="preserve"> </t>
    </r>
    <r>
      <rPr>
        <sz val="12"/>
        <rFont val="Akhbar MT"/>
        <charset val="178"/>
      </rPr>
      <t xml:space="preserve"> 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</si>
</sst>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0.0"/>
  </numFmts>
  <fonts count="87"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6"/>
      <name val="Calibri"/>
      <family val="1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 Light"/>
      <family val="1"/>
      <scheme val="major"/>
    </font>
    <font>
      <b/>
      <u/>
      <sz val="13"/>
      <color theme="4" tint="-0.499984740745262"/>
      <name val="Calibri Light"/>
      <family val="1"/>
      <scheme val="major"/>
    </font>
    <font>
      <sz val="12"/>
      <name val="Arial"/>
      <family val="2"/>
    </font>
    <font>
      <u/>
      <sz val="12"/>
      <color indexed="61"/>
      <name val="Arial"/>
      <family val="2"/>
    </font>
    <font>
      <b/>
      <u/>
      <sz val="12"/>
      <name val="Arial"/>
      <family val="2"/>
    </font>
    <font>
      <b/>
      <sz val="13"/>
      <color rgb="FF345C8C"/>
      <name val="Calibri Light"/>
      <family val="1"/>
      <scheme val="major"/>
    </font>
    <font>
      <u/>
      <sz val="12"/>
      <color theme="4" tint="-0.249977111117893"/>
      <name val="Arial"/>
      <family val="2"/>
      <charset val="178"/>
    </font>
    <font>
      <sz val="12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0"/>
      <name val="Calibri Light"/>
      <family val="1"/>
      <scheme val="major"/>
    </font>
    <font>
      <vertAlign val="subscript"/>
      <sz val="10"/>
      <name val="Calibri Light"/>
      <family val="1"/>
      <scheme val="major"/>
    </font>
    <font>
      <sz val="14"/>
      <name val="Calibri"/>
      <family val="1"/>
      <scheme val="minor"/>
    </font>
    <font>
      <b/>
      <u/>
      <sz val="14"/>
      <color indexed="8"/>
      <name val="Arial"/>
      <family val="2"/>
    </font>
    <font>
      <b/>
      <u/>
      <sz val="18"/>
      <color indexed="8"/>
      <name val="Lucida Bright"/>
      <family val="1"/>
    </font>
    <font>
      <b/>
      <u/>
      <sz val="14"/>
      <name val="Arial"/>
      <family val="2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4"/>
      <name val="Arial"/>
      <family val="2"/>
    </font>
    <font>
      <b/>
      <sz val="14"/>
      <name val="Calibri"/>
      <family val="1"/>
      <scheme val="minor"/>
    </font>
    <font>
      <b/>
      <sz val="12"/>
      <name val="Times New (W1)"/>
      <family val="1"/>
    </font>
    <font>
      <b/>
      <u/>
      <sz val="14"/>
      <name val="Calibri"/>
      <family val="1"/>
      <scheme val="minor"/>
    </font>
    <font>
      <sz val="14"/>
      <name val="Arial"/>
      <family val="2"/>
    </font>
    <font>
      <sz val="10"/>
      <name val="Arial"/>
      <family val="2"/>
      <charset val="178"/>
    </font>
    <font>
      <b/>
      <u/>
      <sz val="14"/>
      <color rgb="FF993366"/>
      <name val="Calibri"/>
      <family val="1"/>
      <scheme val="minor"/>
    </font>
    <font>
      <b/>
      <u/>
      <sz val="14"/>
      <color rgb="FF993366"/>
      <name val="Arial"/>
      <family val="2"/>
    </font>
    <font>
      <b/>
      <sz val="14"/>
      <color rgb="FF993366"/>
      <name val="Arial"/>
      <family val="2"/>
    </font>
    <font>
      <b/>
      <u/>
      <vertAlign val="superscript"/>
      <sz val="14"/>
      <color rgb="FF993366"/>
      <name val="Arial"/>
      <family val="2"/>
    </font>
    <font>
      <vertAlign val="subscript"/>
      <sz val="14"/>
      <name val="Arial"/>
      <family val="2"/>
    </font>
    <font>
      <b/>
      <vertAlign val="subscript"/>
      <sz val="14"/>
      <name val="Arial"/>
      <family val="2"/>
    </font>
    <font>
      <b/>
      <sz val="9"/>
      <name val="Times New (W1)"/>
      <family val="1"/>
    </font>
    <font>
      <b/>
      <sz val="14"/>
      <color rgb="FF993366"/>
      <name val="Calibri"/>
      <family val="1"/>
      <scheme val="minor"/>
    </font>
    <font>
      <b/>
      <u/>
      <sz val="10"/>
      <color indexed="8"/>
      <name val="Lucida Bright"/>
      <family val="1"/>
    </font>
    <font>
      <b/>
      <u/>
      <sz val="10"/>
      <name val="Times New (W1)"/>
      <family val="1"/>
    </font>
    <font>
      <b/>
      <sz val="10"/>
      <name val="Times New (W1)"/>
      <family val="1"/>
    </font>
    <font>
      <b/>
      <u/>
      <sz val="12"/>
      <color indexed="8"/>
      <name val="Lucida Bright"/>
      <family val="1"/>
    </font>
    <font>
      <sz val="12"/>
      <name val="Arial"/>
      <family val="2"/>
      <charset val="178"/>
    </font>
    <font>
      <b/>
      <u/>
      <sz val="16"/>
      <color indexed="8"/>
      <name val="Arial"/>
      <family val="2"/>
    </font>
    <font>
      <b/>
      <u/>
      <sz val="12"/>
      <color indexed="8"/>
      <name val="Calibri"/>
      <family val="2"/>
      <scheme val="minor"/>
    </font>
    <font>
      <b/>
      <u/>
      <sz val="16"/>
      <name val="Arial"/>
      <family val="2"/>
    </font>
    <font>
      <b/>
      <u/>
      <sz val="12"/>
      <name val="Calibri"/>
      <family val="2"/>
      <scheme val="minor"/>
    </font>
    <font>
      <b/>
      <sz val="16"/>
      <color indexed="8"/>
      <name val="Calibri"/>
      <family val="1"/>
      <scheme val="minor"/>
    </font>
    <font>
      <b/>
      <sz val="16"/>
      <name val="Times New (W1)"/>
      <family val="1"/>
    </font>
    <font>
      <b/>
      <sz val="16"/>
      <name val="Calibri"/>
      <family val="1"/>
      <scheme val="minor"/>
    </font>
    <font>
      <b/>
      <sz val="16"/>
      <name val="Arial"/>
      <family val="2"/>
    </font>
    <font>
      <b/>
      <u/>
      <sz val="16"/>
      <name val="Calibri"/>
      <family val="1"/>
      <scheme val="minor"/>
    </font>
    <font>
      <sz val="16"/>
      <name val="Arial"/>
      <family val="2"/>
    </font>
    <font>
      <b/>
      <u/>
      <sz val="16"/>
      <color rgb="FF993366"/>
      <name val="Calibri"/>
      <family val="1"/>
      <scheme val="minor"/>
    </font>
    <font>
      <b/>
      <u/>
      <sz val="16"/>
      <color rgb="FF993366"/>
      <name val="Arial"/>
      <family val="2"/>
    </font>
    <font>
      <b/>
      <sz val="16"/>
      <color rgb="FF993366"/>
      <name val="Calibri"/>
      <family val="1"/>
      <scheme val="minor"/>
    </font>
    <font>
      <b/>
      <sz val="16"/>
      <color rgb="FF993366"/>
      <name val="Arial"/>
      <family val="2"/>
    </font>
    <font>
      <b/>
      <u/>
      <vertAlign val="superscript"/>
      <sz val="16"/>
      <color rgb="FF993366"/>
      <name val="Arial"/>
      <family val="2"/>
    </font>
    <font>
      <vertAlign val="subscript"/>
      <sz val="16"/>
      <name val="Arial"/>
      <family val="2"/>
    </font>
    <font>
      <b/>
      <vertAlign val="subscript"/>
      <sz val="16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2"/>
      <color rgb="FF993366"/>
      <name val="Arial"/>
      <family val="2"/>
    </font>
    <font>
      <b/>
      <sz val="12"/>
      <color rgb="FF993366"/>
      <name val="Arial"/>
      <family val="2"/>
    </font>
    <font>
      <b/>
      <u/>
      <vertAlign val="superscript"/>
      <sz val="12"/>
      <color rgb="FF993366"/>
      <name val="Arial"/>
      <family val="2"/>
    </font>
    <font>
      <u/>
      <sz val="16"/>
      <color indexed="61"/>
      <name val="Akhbar MT"/>
      <charset val="178"/>
    </font>
    <font>
      <u/>
      <sz val="16"/>
      <color indexed="25"/>
      <name val="Arial"/>
      <family val="2"/>
    </font>
    <font>
      <b/>
      <u/>
      <sz val="16"/>
      <color indexed="25"/>
      <name val="Arial"/>
      <family val="2"/>
    </font>
    <font>
      <b/>
      <sz val="12"/>
      <color indexed="61"/>
      <name val="Arial"/>
      <family val="2"/>
    </font>
    <font>
      <b/>
      <sz val="16"/>
      <color indexed="61"/>
      <name val="Akhbar MT"/>
      <charset val="178"/>
    </font>
    <font>
      <sz val="16"/>
      <name val="Akhbar MT"/>
      <charset val="178"/>
    </font>
    <font>
      <b/>
      <sz val="16"/>
      <color indexed="25"/>
      <name val="Akhbar MT"/>
      <charset val="178"/>
    </font>
    <font>
      <b/>
      <sz val="16"/>
      <color indexed="25"/>
      <name val="Arial"/>
      <family val="2"/>
    </font>
    <font>
      <u/>
      <sz val="16"/>
      <color indexed="25"/>
      <name val="Akhbar MT"/>
      <charset val="178"/>
    </font>
    <font>
      <vertAlign val="subscript"/>
      <sz val="12"/>
      <name val="Akhbar MT"/>
      <family val="2"/>
      <charset val="178"/>
    </font>
    <font>
      <vertAlign val="subscript"/>
      <sz val="12"/>
      <name val="Akhbar MT"/>
      <charset val="178"/>
    </font>
    <font>
      <sz val="12"/>
      <name val="Akhbar MT"/>
      <charset val="178"/>
    </font>
    <font>
      <vertAlign val="subscript"/>
      <sz val="16"/>
      <name val="Akhbar MT"/>
      <family val="2"/>
      <charset val="178"/>
    </font>
    <font>
      <sz val="12"/>
      <name val="Akhbar MT"/>
      <family val="2"/>
      <charset val="178"/>
    </font>
    <font>
      <sz val="16"/>
      <name val="Akhbar MT"/>
      <family val="2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name val="MS Sans Serif"/>
      <family val="2"/>
      <charset val="178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8B6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34">
    <xf numFmtId="0" fontId="0" fillId="0" borderId="0"/>
    <xf numFmtId="0" fontId="1" fillId="0" borderId="0"/>
    <xf numFmtId="0" fontId="5" fillId="0" borderId="0"/>
    <xf numFmtId="0" fontId="5" fillId="0" borderId="0"/>
    <xf numFmtId="0" fontId="83" fillId="0" borderId="0"/>
    <xf numFmtId="165" fontId="8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6" fillId="0" borderId="0"/>
    <xf numFmtId="0" fontId="5" fillId="0" borderId="0"/>
    <xf numFmtId="0" fontId="5" fillId="0" borderId="0"/>
    <xf numFmtId="0" fontId="82" fillId="0" borderId="0"/>
    <xf numFmtId="0" fontId="5" fillId="0" borderId="0"/>
    <xf numFmtId="0" fontId="84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5" fillId="0" borderId="0"/>
    <xf numFmtId="42" fontId="84" fillId="0" borderId="0" applyFont="0" applyFill="0" applyBorder="0" applyAlignment="0" applyProtection="0"/>
    <xf numFmtId="4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5" fontId="84" fillId="0" borderId="0" applyFont="0" applyFill="0" applyBorder="0" applyAlignment="0" applyProtection="0"/>
  </cellStyleXfs>
  <cellXfs count="278">
    <xf numFmtId="0" fontId="0" fillId="0" borderId="0" xfId="0"/>
    <xf numFmtId="0" fontId="2" fillId="0" borderId="0" xfId="1" applyFont="1" applyAlignment="1">
      <alignment horizontal="left" vertical="center"/>
    </xf>
    <xf numFmtId="166" fontId="3" fillId="0" borderId="1" xfId="1" applyNumberFormat="1" applyFont="1" applyBorder="1" applyAlignment="1">
      <alignment vertical="center" readingOrder="2"/>
    </xf>
    <xf numFmtId="0" fontId="4" fillId="0" borderId="0" xfId="1" applyFont="1"/>
    <xf numFmtId="0" fontId="5" fillId="0" borderId="0" xfId="1" applyFont="1"/>
    <xf numFmtId="0" fontId="6" fillId="2" borderId="2" xfId="2" applyFont="1" applyFill="1" applyBorder="1" applyAlignment="1">
      <alignment horizontal="left" vertical="center"/>
    </xf>
    <xf numFmtId="0" fontId="1" fillId="0" borderId="0" xfId="1"/>
    <xf numFmtId="0" fontId="6" fillId="2" borderId="6" xfId="2" applyFont="1" applyFill="1" applyBorder="1" applyAlignment="1">
      <alignment horizontal="center" vertical="center"/>
    </xf>
    <xf numFmtId="17" fontId="6" fillId="2" borderId="7" xfId="3" applyNumberFormat="1" applyFont="1" applyFill="1" applyBorder="1" applyAlignment="1">
      <alignment horizontal="center" vertical="center"/>
    </xf>
    <xf numFmtId="17" fontId="6" fillId="2" borderId="8" xfId="3" applyNumberFormat="1" applyFont="1" applyFill="1" applyBorder="1" applyAlignment="1">
      <alignment horizontal="center" vertical="center"/>
    </xf>
    <xf numFmtId="0" fontId="7" fillId="0" borderId="7" xfId="3" applyFont="1" applyFill="1" applyBorder="1" applyAlignment="1">
      <alignment horizontal="left" vertical="center" readingOrder="1"/>
    </xf>
    <xf numFmtId="0" fontId="7" fillId="0" borderId="7" xfId="3" applyFont="1" applyFill="1" applyBorder="1" applyAlignment="1">
      <alignment horizontal="right" vertical="center" readingOrder="2"/>
    </xf>
    <xf numFmtId="0" fontId="8" fillId="0" borderId="7" xfId="1" applyFont="1" applyBorder="1"/>
    <xf numFmtId="0" fontId="8" fillId="0" borderId="8" xfId="1" applyFont="1" applyBorder="1"/>
    <xf numFmtId="0" fontId="9" fillId="0" borderId="7" xfId="3" applyFont="1" applyBorder="1" applyAlignment="1">
      <alignment horizontal="left" vertical="center"/>
    </xf>
    <xf numFmtId="0" fontId="9" fillId="0" borderId="7" xfId="3" applyFont="1" applyBorder="1" applyAlignment="1">
      <alignment horizontal="right" vertical="center" readingOrder="2"/>
    </xf>
    <xf numFmtId="1" fontId="10" fillId="0" borderId="7" xfId="1" applyNumberFormat="1" applyFont="1" applyBorder="1" applyAlignment="1">
      <alignment horizontal="center" readingOrder="1"/>
    </xf>
    <xf numFmtId="1" fontId="10" fillId="0" borderId="8" xfId="1" applyNumberFormat="1" applyFont="1" applyBorder="1" applyAlignment="1">
      <alignment horizontal="center" readingOrder="1"/>
    </xf>
    <xf numFmtId="0" fontId="11" fillId="0" borderId="7" xfId="3" quotePrefix="1" applyFont="1" applyFill="1" applyBorder="1" applyAlignment="1">
      <alignment horizontal="left" vertical="center" readingOrder="1"/>
    </xf>
    <xf numFmtId="0" fontId="11" fillId="0" borderId="7" xfId="3" quotePrefix="1" applyFont="1" applyFill="1" applyBorder="1" applyAlignment="1">
      <alignment horizontal="right" vertical="center" readingOrder="2"/>
    </xf>
    <xf numFmtId="0" fontId="12" fillId="0" borderId="7" xfId="3" applyFont="1" applyBorder="1" applyAlignment="1">
      <alignment horizontal="left" vertical="center" indent="1"/>
    </xf>
    <xf numFmtId="0" fontId="12" fillId="0" borderId="7" xfId="3" applyFont="1" applyBorder="1" applyAlignment="1">
      <alignment horizontal="right" vertical="center" readingOrder="2"/>
    </xf>
    <xf numFmtId="0" fontId="13" fillId="0" borderId="7" xfId="3" quotePrefix="1" applyFont="1" applyFill="1" applyBorder="1" applyAlignment="1">
      <alignment horizontal="left" vertical="center" indent="1" readingOrder="1"/>
    </xf>
    <xf numFmtId="0" fontId="13" fillId="0" borderId="7" xfId="3" quotePrefix="1" applyFont="1" applyFill="1" applyBorder="1" applyAlignment="1">
      <alignment horizontal="right" vertical="center" readingOrder="2"/>
    </xf>
    <xf numFmtId="1" fontId="14" fillId="0" borderId="7" xfId="3" applyNumberFormat="1" applyFont="1" applyFill="1" applyBorder="1" applyAlignment="1">
      <alignment horizontal="center" vertical="center"/>
    </xf>
    <xf numFmtId="1" fontId="14" fillId="0" borderId="9" xfId="3" applyNumberFormat="1" applyFont="1" applyFill="1" applyBorder="1" applyAlignment="1">
      <alignment horizontal="center" vertical="center"/>
    </xf>
    <xf numFmtId="1" fontId="14" fillId="0" borderId="10" xfId="3" applyNumberFormat="1" applyFont="1" applyFill="1" applyBorder="1" applyAlignment="1">
      <alignment horizontal="center" vertical="center"/>
    </xf>
    <xf numFmtId="0" fontId="5" fillId="0" borderId="0" xfId="2"/>
    <xf numFmtId="1" fontId="8" fillId="0" borderId="7" xfId="1" applyNumberFormat="1" applyFont="1" applyBorder="1" applyAlignment="1">
      <alignment horizontal="center" vertical="center" readingOrder="1"/>
    </xf>
    <xf numFmtId="1" fontId="8" fillId="0" borderId="8" xfId="1" applyNumberFormat="1" applyFont="1" applyBorder="1" applyAlignment="1">
      <alignment horizontal="center" vertical="center" readingOrder="1"/>
    </xf>
    <xf numFmtId="0" fontId="8" fillId="0" borderId="7" xfId="3" applyFont="1" applyBorder="1" applyAlignment="1">
      <alignment horizontal="left" vertical="center" indent="2" readingOrder="2"/>
    </xf>
    <xf numFmtId="0" fontId="8" fillId="0" borderId="7" xfId="3" applyFont="1" applyBorder="1" applyAlignment="1">
      <alignment horizontal="right" vertical="center" readingOrder="2"/>
    </xf>
    <xf numFmtId="0" fontId="7" fillId="0" borderId="7" xfId="3" applyFont="1" applyFill="1" applyBorder="1" applyAlignment="1">
      <alignment horizontal="left" vertical="center" wrapText="1" readingOrder="1"/>
    </xf>
    <xf numFmtId="0" fontId="7" fillId="0" borderId="7" xfId="3" applyFont="1" applyFill="1" applyBorder="1" applyAlignment="1">
      <alignment horizontal="right" vertical="center" wrapText="1" readingOrder="2"/>
    </xf>
    <xf numFmtId="1" fontId="8" fillId="0" borderId="7" xfId="3" applyNumberFormat="1" applyFont="1" applyBorder="1" applyAlignment="1">
      <alignment horizontal="center" vertical="center"/>
    </xf>
    <xf numFmtId="1" fontId="8" fillId="0" borderId="8" xfId="3" applyNumberFormat="1" applyFont="1" applyBorder="1" applyAlignment="1">
      <alignment horizontal="center" vertical="center"/>
    </xf>
    <xf numFmtId="1" fontId="14" fillId="0" borderId="11" xfId="3" applyNumberFormat="1" applyFont="1" applyFill="1" applyBorder="1" applyAlignment="1">
      <alignment horizontal="center" vertical="center"/>
    </xf>
    <xf numFmtId="1" fontId="14" fillId="0" borderId="12" xfId="3" applyNumberFormat="1" applyFont="1" applyFill="1" applyBorder="1" applyAlignment="1">
      <alignment horizontal="center" vertical="center"/>
    </xf>
    <xf numFmtId="1" fontId="14" fillId="0" borderId="13" xfId="3" applyNumberFormat="1" applyFont="1" applyFill="1" applyBorder="1" applyAlignment="1">
      <alignment horizontal="center" vertical="center"/>
    </xf>
    <xf numFmtId="0" fontId="15" fillId="0" borderId="14" xfId="3" applyFont="1" applyFill="1" applyBorder="1" applyAlignment="1">
      <alignment vertical="center"/>
    </xf>
    <xf numFmtId="0" fontId="15" fillId="0" borderId="14" xfId="3" applyFont="1" applyFill="1" applyBorder="1" applyAlignment="1">
      <alignment horizontal="right" vertical="center" readingOrder="2"/>
    </xf>
    <xf numFmtId="0" fontId="16" fillId="0" borderId="14" xfId="3" applyFont="1" applyFill="1" applyBorder="1" applyAlignment="1">
      <alignment vertical="center" readingOrder="2"/>
    </xf>
    <xf numFmtId="0" fontId="15" fillId="0" borderId="0" xfId="1" applyFont="1"/>
    <xf numFmtId="0" fontId="15" fillId="0" borderId="0" xfId="3" applyFont="1" applyFill="1" applyBorder="1" applyAlignment="1">
      <alignment vertical="center" wrapText="1"/>
    </xf>
    <xf numFmtId="0" fontId="15" fillId="0" borderId="0" xfId="3" applyFont="1" applyFill="1" applyBorder="1" applyAlignment="1">
      <alignment horizontal="right" vertical="center" wrapText="1" readingOrder="2"/>
    </xf>
    <xf numFmtId="0" fontId="15" fillId="0" borderId="0" xfId="3" applyFont="1" applyFill="1" applyBorder="1" applyAlignment="1">
      <alignment vertical="center" readingOrder="2"/>
    </xf>
    <xf numFmtId="0" fontId="16" fillId="0" borderId="0" xfId="3" applyFont="1" applyFill="1" applyBorder="1" applyAlignment="1">
      <alignment vertical="center" readingOrder="2"/>
    </xf>
    <xf numFmtId="0" fontId="15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horizontal="right" vertical="center" readingOrder="2"/>
    </xf>
    <xf numFmtId="0" fontId="2" fillId="0" borderId="0" xfId="3" applyFont="1" applyAlignment="1">
      <alignment horizontal="left" vertical="center"/>
    </xf>
    <xf numFmtId="0" fontId="3" fillId="0" borderId="0" xfId="1" quotePrefix="1" applyFont="1" applyAlignment="1">
      <alignment horizontal="left" readingOrder="1"/>
    </xf>
    <xf numFmtId="0" fontId="4" fillId="0" borderId="0" xfId="1" applyFont="1" applyAlignment="1">
      <alignment readingOrder="1"/>
    </xf>
    <xf numFmtId="0" fontId="17" fillId="0" borderId="0" xfId="1" applyFont="1" applyFill="1" applyAlignment="1">
      <alignment horizontal="left" vertical="center"/>
    </xf>
    <xf numFmtId="0" fontId="18" fillId="0" borderId="0" xfId="1" applyFont="1" applyFill="1" applyBorder="1" applyAlignment="1">
      <alignment horizontal="right" vertical="center" readingOrder="1"/>
    </xf>
    <xf numFmtId="0" fontId="19" fillId="0" borderId="0" xfId="1" applyFont="1" applyFill="1" applyBorder="1" applyAlignment="1">
      <alignment vertical="center" readingOrder="1"/>
    </xf>
    <xf numFmtId="0" fontId="1" fillId="0" borderId="0" xfId="1" applyFill="1"/>
    <xf numFmtId="166" fontId="20" fillId="0" borderId="0" xfId="1" applyNumberFormat="1" applyFont="1" applyFill="1" applyBorder="1" applyAlignment="1">
      <alignment horizontal="right" vertical="center" readingOrder="1"/>
    </xf>
    <xf numFmtId="166" fontId="21" fillId="0" borderId="0" xfId="1" applyNumberFormat="1" applyFont="1" applyFill="1" applyBorder="1" applyAlignment="1">
      <alignment vertical="center" readingOrder="1"/>
    </xf>
    <xf numFmtId="0" fontId="22" fillId="0" borderId="1" xfId="1" applyFont="1" applyFill="1" applyBorder="1" applyAlignment="1">
      <alignment horizontal="left" vertical="center" readingOrder="1"/>
    </xf>
    <xf numFmtId="166" fontId="23" fillId="0" borderId="1" xfId="1" applyNumberFormat="1" applyFont="1" applyFill="1" applyBorder="1" applyAlignment="1">
      <alignment horizontal="right" vertical="center" readingOrder="2"/>
    </xf>
    <xf numFmtId="0" fontId="24" fillId="0" borderId="6" xfId="1" applyFont="1" applyFill="1" applyBorder="1" applyAlignment="1">
      <alignment horizontal="left" vertical="center" readingOrder="1"/>
    </xf>
    <xf numFmtId="0" fontId="23" fillId="0" borderId="6" xfId="1" applyFont="1" applyFill="1" applyBorder="1" applyAlignment="1">
      <alignment horizontal="right" vertical="center" readingOrder="2"/>
    </xf>
    <xf numFmtId="166" fontId="24" fillId="0" borderId="6" xfId="1" applyNumberFormat="1" applyFont="1" applyFill="1" applyBorder="1" applyAlignment="1">
      <alignment horizontal="left" vertical="center" readingOrder="2"/>
    </xf>
    <xf numFmtId="0" fontId="25" fillId="0" borderId="6" xfId="1" applyFont="1" applyFill="1" applyBorder="1" applyAlignment="1">
      <alignment horizontal="center" vertical="center" wrapText="1" readingOrder="1"/>
    </xf>
    <xf numFmtId="0" fontId="26" fillId="0" borderId="15" xfId="1" applyFont="1" applyFill="1" applyBorder="1" applyAlignment="1">
      <alignment horizontal="left" vertical="center"/>
    </xf>
    <xf numFmtId="0" fontId="27" fillId="0" borderId="15" xfId="1" applyFont="1" applyFill="1" applyBorder="1" applyAlignment="1">
      <alignment horizontal="right" vertical="center" readingOrder="2"/>
    </xf>
    <xf numFmtId="0" fontId="28" fillId="0" borderId="7" xfId="1" applyFont="1" applyFill="1" applyBorder="1" applyAlignment="1">
      <alignment readingOrder="1"/>
    </xf>
    <xf numFmtId="0" fontId="1" fillId="0" borderId="7" xfId="1" applyFill="1" applyBorder="1"/>
    <xf numFmtId="166" fontId="1" fillId="0" borderId="0" xfId="1" applyNumberFormat="1" applyFill="1"/>
    <xf numFmtId="0" fontId="29" fillId="0" borderId="7" xfId="1" applyFont="1" applyFill="1" applyBorder="1" applyAlignment="1">
      <alignment horizontal="left" vertical="center" readingOrder="1"/>
    </xf>
    <xf numFmtId="0" fontId="30" fillId="0" borderId="7" xfId="1" applyFont="1" applyFill="1" applyBorder="1" applyAlignment="1">
      <alignment horizontal="right" vertical="center" readingOrder="2"/>
    </xf>
    <xf numFmtId="1" fontId="21" fillId="0" borderId="7" xfId="1" applyNumberFormat="1" applyFont="1" applyFill="1" applyBorder="1" applyAlignment="1">
      <alignment horizontal="center" readingOrder="1"/>
    </xf>
    <xf numFmtId="0" fontId="31" fillId="0" borderId="7" xfId="1" applyFont="1" applyFill="1" applyBorder="1" applyAlignment="1">
      <alignment horizontal="right" vertical="center" readingOrder="2"/>
    </xf>
    <xf numFmtId="0" fontId="17" fillId="0" borderId="7" xfId="1" applyFont="1" applyFill="1" applyBorder="1" applyAlignment="1">
      <alignment horizontal="left" vertical="center" readingOrder="2"/>
    </xf>
    <xf numFmtId="0" fontId="27" fillId="0" borderId="7" xfId="1" quotePrefix="1" applyFont="1" applyFill="1" applyBorder="1" applyAlignment="1">
      <alignment horizontal="right" vertical="center" readingOrder="2"/>
    </xf>
    <xf numFmtId="1" fontId="8" fillId="0" borderId="7" xfId="1" applyNumberFormat="1" applyFont="1" applyFill="1" applyBorder="1" applyAlignment="1">
      <alignment horizontal="center" readingOrder="1"/>
    </xf>
    <xf numFmtId="1" fontId="10" fillId="0" borderId="7" xfId="1" applyNumberFormat="1" applyFont="1" applyFill="1" applyBorder="1" applyAlignment="1">
      <alignment horizontal="center" readingOrder="1"/>
    </xf>
    <xf numFmtId="0" fontId="29" fillId="0" borderId="7" xfId="1" applyFont="1" applyFill="1" applyBorder="1" applyAlignment="1">
      <alignment horizontal="left" vertical="center" wrapText="1" readingOrder="1"/>
    </xf>
    <xf numFmtId="0" fontId="8" fillId="0" borderId="0" xfId="1" applyFont="1" applyFill="1"/>
    <xf numFmtId="0" fontId="17" fillId="0" borderId="11" xfId="1" applyFont="1" applyFill="1" applyBorder="1" applyAlignment="1">
      <alignment horizontal="left" vertical="center" readingOrder="2"/>
    </xf>
    <xf numFmtId="0" fontId="27" fillId="0" borderId="11" xfId="1" quotePrefix="1" applyFont="1" applyFill="1" applyBorder="1" applyAlignment="1">
      <alignment horizontal="right" vertical="center" readingOrder="2"/>
    </xf>
    <xf numFmtId="1" fontId="8" fillId="0" borderId="11" xfId="1" applyNumberFormat="1" applyFont="1" applyFill="1" applyBorder="1" applyAlignment="1">
      <alignment horizontal="center" readingOrder="1"/>
    </xf>
    <xf numFmtId="0" fontId="17" fillId="0" borderId="0" xfId="3" applyFont="1" applyFill="1" applyBorder="1" applyAlignment="1">
      <alignment horizontal="left" vertical="center"/>
    </xf>
    <xf numFmtId="0" fontId="27" fillId="0" borderId="0" xfId="3" quotePrefix="1" applyFont="1" applyFill="1" applyBorder="1" applyAlignment="1">
      <alignment horizontal="right" vertical="center" indent="1" readingOrder="2"/>
    </xf>
    <xf numFmtId="0" fontId="33" fillId="0" borderId="0" xfId="3" applyFont="1" applyFill="1" applyBorder="1" applyAlignment="1">
      <alignment horizontal="right" vertical="center" readingOrder="2"/>
    </xf>
    <xf numFmtId="0" fontId="33" fillId="0" borderId="0" xfId="3" applyFont="1" applyFill="1" applyBorder="1" applyAlignment="1">
      <alignment horizontal="right" vertical="center" indent="1" readingOrder="2"/>
    </xf>
    <xf numFmtId="0" fontId="27" fillId="0" borderId="0" xfId="1" applyFont="1" applyFill="1" applyAlignment="1">
      <alignment horizontal="right" vertical="center"/>
    </xf>
    <xf numFmtId="0" fontId="34" fillId="0" borderId="0" xfId="3" quotePrefix="1" applyFont="1" applyFill="1" applyBorder="1" applyAlignment="1">
      <alignment horizontal="right" vertical="center" indent="1" readingOrder="2"/>
    </xf>
    <xf numFmtId="0" fontId="35" fillId="0" borderId="0" xfId="1" quotePrefix="1" applyFont="1" applyFill="1" applyAlignment="1">
      <alignment horizontal="left" readingOrder="1"/>
    </xf>
    <xf numFmtId="0" fontId="28" fillId="0" borderId="0" xfId="1" applyFont="1" applyFill="1" applyAlignment="1">
      <alignment readingOrder="1"/>
    </xf>
    <xf numFmtId="0" fontId="36" fillId="0" borderId="7" xfId="1" applyFont="1" applyFill="1" applyBorder="1" applyAlignment="1">
      <alignment horizontal="left" vertical="center" readingOrder="1"/>
    </xf>
    <xf numFmtId="0" fontId="37" fillId="0" borderId="0" xfId="1" applyFont="1" applyFill="1" applyBorder="1" applyAlignment="1">
      <alignment vertical="center" readingOrder="1"/>
    </xf>
    <xf numFmtId="0" fontId="5" fillId="0" borderId="0" xfId="1" applyFont="1" applyFill="1"/>
    <xf numFmtId="166" fontId="38" fillId="0" borderId="0" xfId="1" applyNumberFormat="1" applyFont="1" applyFill="1" applyBorder="1" applyAlignment="1">
      <alignment vertical="center" readingOrder="1"/>
    </xf>
    <xf numFmtId="166" fontId="39" fillId="0" borderId="1" xfId="1" applyNumberFormat="1" applyFont="1" applyFill="1" applyBorder="1" applyAlignment="1">
      <alignment vertical="center" readingOrder="2"/>
    </xf>
    <xf numFmtId="0" fontId="5" fillId="0" borderId="7" xfId="1" applyFont="1" applyFill="1" applyBorder="1"/>
    <xf numFmtId="166" fontId="5" fillId="0" borderId="0" xfId="1" applyNumberFormat="1" applyFont="1" applyFill="1"/>
    <xf numFmtId="1" fontId="38" fillId="0" borderId="7" xfId="1" applyNumberFormat="1" applyFont="1" applyFill="1" applyBorder="1" applyAlignment="1">
      <alignment horizontal="center" readingOrder="1"/>
    </xf>
    <xf numFmtId="0" fontId="39" fillId="0" borderId="0" xfId="1" quotePrefix="1" applyFont="1" applyFill="1" applyAlignment="1">
      <alignment horizontal="left" readingOrder="1"/>
    </xf>
    <xf numFmtId="0" fontId="40" fillId="0" borderId="0" xfId="1" applyFont="1" applyFill="1" applyBorder="1" applyAlignment="1">
      <alignment vertical="center" readingOrder="1"/>
    </xf>
    <xf numFmtId="166" fontId="25" fillId="0" borderId="1" xfId="1" applyNumberFormat="1" applyFont="1" applyFill="1" applyBorder="1" applyAlignment="1">
      <alignment vertical="center" readingOrder="2"/>
    </xf>
    <xf numFmtId="0" fontId="41" fillId="0" borderId="7" xfId="1" applyFont="1" applyFill="1" applyBorder="1" applyAlignment="1">
      <alignment readingOrder="1"/>
    </xf>
    <xf numFmtId="0" fontId="8" fillId="0" borderId="7" xfId="1" applyFont="1" applyFill="1" applyBorder="1"/>
    <xf numFmtId="0" fontId="25" fillId="0" borderId="0" xfId="1" quotePrefix="1" applyFont="1" applyFill="1" applyAlignment="1">
      <alignment horizontal="left" readingOrder="1"/>
    </xf>
    <xf numFmtId="0" fontId="41" fillId="0" borderId="0" xfId="1" applyFont="1" applyFill="1" applyAlignment="1">
      <alignment readingOrder="1"/>
    </xf>
    <xf numFmtId="0" fontId="2" fillId="0" borderId="0" xfId="1" applyFont="1" applyFill="1" applyAlignment="1">
      <alignment horizontal="left" vertical="center"/>
    </xf>
    <xf numFmtId="0" fontId="42" fillId="0" borderId="0" xfId="1" applyFont="1" applyFill="1" applyBorder="1" applyAlignment="1">
      <alignment horizontal="right" vertical="center" readingOrder="1"/>
    </xf>
    <xf numFmtId="166" fontId="44" fillId="0" borderId="0" xfId="1" applyNumberFormat="1" applyFont="1" applyFill="1" applyBorder="1" applyAlignment="1">
      <alignment horizontal="right" vertical="center" readingOrder="1"/>
    </xf>
    <xf numFmtId="166" fontId="45" fillId="0" borderId="0" xfId="1" applyNumberFormat="1" applyFont="1" applyFill="1" applyBorder="1" applyAlignment="1">
      <alignment vertical="center" readingOrder="1"/>
    </xf>
    <xf numFmtId="0" fontId="46" fillId="0" borderId="1" xfId="1" applyFont="1" applyFill="1" applyBorder="1" applyAlignment="1">
      <alignment horizontal="left" vertical="center" readingOrder="1"/>
    </xf>
    <xf numFmtId="166" fontId="47" fillId="0" borderId="1" xfId="1" applyNumberFormat="1" applyFont="1" applyFill="1" applyBorder="1" applyAlignment="1">
      <alignment vertical="center" readingOrder="2"/>
    </xf>
    <xf numFmtId="166" fontId="3" fillId="0" borderId="1" xfId="1" applyNumberFormat="1" applyFont="1" applyFill="1" applyBorder="1" applyAlignment="1">
      <alignment vertical="center" readingOrder="2"/>
    </xf>
    <xf numFmtId="0" fontId="4" fillId="0" borderId="0" xfId="1" applyFont="1" applyFill="1"/>
    <xf numFmtId="0" fontId="48" fillId="0" borderId="6" xfId="1" applyFont="1" applyFill="1" applyBorder="1" applyAlignment="1">
      <alignment horizontal="left" vertical="center" readingOrder="1"/>
    </xf>
    <xf numFmtId="0" fontId="49" fillId="0" borderId="6" xfId="1" applyFont="1" applyFill="1" applyBorder="1" applyAlignment="1">
      <alignment horizontal="right" vertical="center" readingOrder="2"/>
    </xf>
    <xf numFmtId="166" fontId="48" fillId="0" borderId="6" xfId="1" applyNumberFormat="1" applyFont="1" applyFill="1" applyBorder="1" applyAlignment="1">
      <alignment horizontal="left" vertical="center" readingOrder="2"/>
    </xf>
    <xf numFmtId="0" fontId="3" fillId="0" borderId="6" xfId="1" applyFont="1" applyFill="1" applyBorder="1" applyAlignment="1">
      <alignment horizontal="center" vertical="center" wrapText="1" readingOrder="1"/>
    </xf>
    <xf numFmtId="0" fontId="50" fillId="0" borderId="15" xfId="1" applyFont="1" applyFill="1" applyBorder="1" applyAlignment="1">
      <alignment horizontal="left" vertical="center"/>
    </xf>
    <xf numFmtId="0" fontId="51" fillId="0" borderId="15" xfId="1" applyFont="1" applyFill="1" applyBorder="1" applyAlignment="1">
      <alignment horizontal="right" vertical="center" readingOrder="2"/>
    </xf>
    <xf numFmtId="0" fontId="4" fillId="0" borderId="7" xfId="1" applyFont="1" applyFill="1" applyBorder="1"/>
    <xf numFmtId="166" fontId="5" fillId="0" borderId="15" xfId="1" applyNumberFormat="1" applyFont="1" applyFill="1" applyBorder="1"/>
    <xf numFmtId="0" fontId="52" fillId="0" borderId="7" xfId="1" applyFont="1" applyFill="1" applyBorder="1" applyAlignment="1">
      <alignment horizontal="left" vertical="center" readingOrder="1"/>
    </xf>
    <xf numFmtId="0" fontId="53" fillId="0" borderId="7" xfId="1" applyFont="1" applyFill="1" applyBorder="1" applyAlignment="1">
      <alignment horizontal="right" vertical="center" readingOrder="2"/>
    </xf>
    <xf numFmtId="1" fontId="45" fillId="0" borderId="7" xfId="1" applyNumberFormat="1" applyFont="1" applyFill="1" applyBorder="1" applyAlignment="1">
      <alignment horizontal="center" readingOrder="1"/>
    </xf>
    <xf numFmtId="166" fontId="5" fillId="0" borderId="7" xfId="1" applyNumberFormat="1" applyFont="1" applyFill="1" applyBorder="1"/>
    <xf numFmtId="0" fontId="54" fillId="0" borderId="7" xfId="1" applyFont="1" applyFill="1" applyBorder="1" applyAlignment="1">
      <alignment horizontal="left" vertical="center" readingOrder="1"/>
    </xf>
    <xf numFmtId="0" fontId="2" fillId="0" borderId="7" xfId="1" applyFont="1" applyFill="1" applyBorder="1" applyAlignment="1">
      <alignment horizontal="left" vertical="center" readingOrder="2"/>
    </xf>
    <xf numFmtId="0" fontId="51" fillId="0" borderId="7" xfId="1" quotePrefix="1" applyFont="1" applyFill="1" applyBorder="1" applyAlignment="1">
      <alignment horizontal="right" vertical="center" readingOrder="2"/>
    </xf>
    <xf numFmtId="1" fontId="4" fillId="0" borderId="7" xfId="1" applyNumberFormat="1" applyFont="1" applyFill="1" applyBorder="1" applyAlignment="1">
      <alignment horizontal="center" vertical="center" readingOrder="1"/>
    </xf>
    <xf numFmtId="1" fontId="28" fillId="0" borderId="7" xfId="3" applyNumberFormat="1" applyFont="1" applyFill="1" applyBorder="1" applyAlignment="1">
      <alignment horizontal="center" vertical="center"/>
    </xf>
    <xf numFmtId="1" fontId="28" fillId="0" borderId="16" xfId="3" applyNumberFormat="1" applyFont="1" applyFill="1" applyBorder="1" applyAlignment="1">
      <alignment horizontal="center" vertical="center"/>
    </xf>
    <xf numFmtId="0" fontId="52" fillId="0" borderId="7" xfId="1" applyFont="1" applyFill="1" applyBorder="1" applyAlignment="1">
      <alignment horizontal="left" vertical="center" wrapText="1" readingOrder="1"/>
    </xf>
    <xf numFmtId="1" fontId="4" fillId="0" borderId="7" xfId="1" applyNumberFormat="1" applyFont="1" applyFill="1" applyBorder="1" applyAlignment="1">
      <alignment horizontal="center" readingOrder="1"/>
    </xf>
    <xf numFmtId="0" fontId="2" fillId="0" borderId="11" xfId="1" applyFont="1" applyFill="1" applyBorder="1" applyAlignment="1">
      <alignment horizontal="left" vertical="center" readingOrder="2"/>
    </xf>
    <xf numFmtId="0" fontId="51" fillId="0" borderId="11" xfId="1" quotePrefix="1" applyFont="1" applyFill="1" applyBorder="1" applyAlignment="1">
      <alignment horizontal="right" vertical="center" readingOrder="2"/>
    </xf>
    <xf numFmtId="1" fontId="4" fillId="0" borderId="11" xfId="1" applyNumberFormat="1" applyFont="1" applyFill="1" applyBorder="1" applyAlignment="1">
      <alignment horizontal="center" vertical="center" readingOrder="1"/>
    </xf>
    <xf numFmtId="1" fontId="28" fillId="0" borderId="11" xfId="3" applyNumberFormat="1" applyFont="1" applyFill="1" applyBorder="1" applyAlignment="1">
      <alignment horizontal="center" vertical="center"/>
    </xf>
    <xf numFmtId="1" fontId="28" fillId="0" borderId="17" xfId="3" applyNumberFormat="1" applyFont="1" applyFill="1" applyBorder="1" applyAlignment="1">
      <alignment horizontal="center" vertical="center"/>
    </xf>
    <xf numFmtId="0" fontId="2" fillId="0" borderId="0" xfId="3" applyFont="1" applyFill="1" applyBorder="1" applyAlignment="1">
      <alignment horizontal="left" vertical="center"/>
    </xf>
    <xf numFmtId="0" fontId="51" fillId="0" borderId="0" xfId="3" quotePrefix="1" applyFont="1" applyFill="1" applyBorder="1" applyAlignment="1">
      <alignment horizontal="right" vertical="center" indent="1" readingOrder="2"/>
    </xf>
    <xf numFmtId="0" fontId="57" fillId="0" borderId="0" xfId="3" applyFont="1" applyFill="1" applyBorder="1" applyAlignment="1">
      <alignment horizontal="right" vertical="center" readingOrder="2"/>
    </xf>
    <xf numFmtId="0" fontId="57" fillId="0" borderId="0" xfId="3" applyFont="1" applyFill="1" applyBorder="1" applyAlignment="1">
      <alignment horizontal="right" vertical="center" indent="1" readingOrder="2"/>
    </xf>
    <xf numFmtId="0" fontId="51" fillId="0" borderId="0" xfId="1" applyFont="1" applyFill="1" applyAlignment="1">
      <alignment horizontal="right" vertical="center"/>
    </xf>
    <xf numFmtId="0" fontId="58" fillId="0" borderId="0" xfId="3" quotePrefix="1" applyFont="1" applyFill="1" applyBorder="1" applyAlignment="1">
      <alignment horizontal="right" vertical="center" indent="1" readingOrder="2"/>
    </xf>
    <xf numFmtId="0" fontId="3" fillId="0" borderId="0" xfId="1" quotePrefix="1" applyFont="1" applyFill="1" applyAlignment="1">
      <alignment horizontal="left" readingOrder="1"/>
    </xf>
    <xf numFmtId="0" fontId="4" fillId="0" borderId="0" xfId="1" applyFont="1" applyFill="1" applyAlignment="1">
      <alignment readingOrder="1"/>
    </xf>
    <xf numFmtId="0" fontId="46" fillId="0" borderId="6" xfId="1" applyFont="1" applyFill="1" applyBorder="1" applyAlignment="1">
      <alignment horizontal="left" vertical="center" readingOrder="1"/>
    </xf>
    <xf numFmtId="166" fontId="47" fillId="0" borderId="6" xfId="1" applyNumberFormat="1" applyFont="1" applyFill="1" applyBorder="1" applyAlignment="1">
      <alignment vertical="center" readingOrder="2"/>
    </xf>
    <xf numFmtId="0" fontId="3" fillId="0" borderId="11" xfId="1" applyFont="1" applyFill="1" applyBorder="1" applyAlignment="1">
      <alignment horizontal="center" vertical="center" wrapText="1" readingOrder="1"/>
    </xf>
    <xf numFmtId="0" fontId="60" fillId="0" borderId="6" xfId="1" applyFont="1" applyFill="1" applyBorder="1" applyAlignment="1">
      <alignment horizontal="center" vertical="center" wrapText="1" readingOrder="1"/>
    </xf>
    <xf numFmtId="0" fontId="60" fillId="0" borderId="11" xfId="1" applyFont="1" applyFill="1" applyBorder="1" applyAlignment="1">
      <alignment horizontal="center" vertical="center" wrapText="1" readingOrder="1"/>
    </xf>
    <xf numFmtId="1" fontId="5" fillId="0" borderId="7" xfId="1" applyNumberFormat="1" applyFont="1" applyFill="1" applyBorder="1" applyAlignment="1">
      <alignment horizontal="center" vertical="center" readingOrder="1"/>
    </xf>
    <xf numFmtId="1" fontId="5" fillId="0" borderId="7" xfId="3" applyNumberFormat="1" applyFont="1" applyFill="1" applyBorder="1" applyAlignment="1">
      <alignment horizontal="center" vertical="center"/>
    </xf>
    <xf numFmtId="1" fontId="59" fillId="0" borderId="7" xfId="1" applyNumberFormat="1" applyFont="1" applyFill="1" applyBorder="1" applyAlignment="1">
      <alignment horizontal="center" readingOrder="1"/>
    </xf>
    <xf numFmtId="1" fontId="5" fillId="0" borderId="7" xfId="1" applyNumberFormat="1" applyFont="1" applyFill="1" applyBorder="1" applyAlignment="1">
      <alignment horizontal="center" readingOrder="1"/>
    </xf>
    <xf numFmtId="1" fontId="5" fillId="0" borderId="11" xfId="3" applyNumberFormat="1" applyFont="1" applyFill="1" applyBorder="1" applyAlignment="1">
      <alignment horizontal="center" vertical="center"/>
    </xf>
    <xf numFmtId="0" fontId="61" fillId="0" borderId="18" xfId="1" applyFont="1" applyFill="1" applyBorder="1" applyAlignment="1">
      <alignment horizontal="left" vertical="center" readingOrder="1"/>
    </xf>
    <xf numFmtId="166" fontId="60" fillId="0" borderId="6" xfId="1" applyNumberFormat="1" applyFont="1" applyFill="1" applyBorder="1" applyAlignment="1">
      <alignment vertical="center" readingOrder="2"/>
    </xf>
    <xf numFmtId="166" fontId="62" fillId="0" borderId="18" xfId="1" applyNumberFormat="1" applyFont="1" applyFill="1" applyBorder="1" applyAlignment="1">
      <alignment horizontal="left" vertical="center" readingOrder="2"/>
    </xf>
    <xf numFmtId="0" fontId="62" fillId="0" borderId="6" xfId="1" applyFont="1" applyFill="1" applyBorder="1" applyAlignment="1">
      <alignment horizontal="right" vertical="center" readingOrder="2"/>
    </xf>
    <xf numFmtId="0" fontId="62" fillId="0" borderId="6" xfId="1" applyFont="1" applyFill="1" applyBorder="1" applyAlignment="1">
      <alignment horizontal="center" vertical="center" wrapText="1" readingOrder="1"/>
    </xf>
    <xf numFmtId="17" fontId="62" fillId="0" borderId="6" xfId="3" applyNumberFormat="1" applyFont="1" applyFill="1" applyBorder="1" applyAlignment="1">
      <alignment horizontal="center" vertical="center"/>
    </xf>
    <xf numFmtId="0" fontId="63" fillId="0" borderId="0" xfId="1" applyFont="1" applyFill="1"/>
    <xf numFmtId="0" fontId="64" fillId="0" borderId="16" xfId="1" applyFont="1" applyFill="1" applyBorder="1" applyAlignment="1">
      <alignment horizontal="left" vertical="center" readingOrder="1"/>
    </xf>
    <xf numFmtId="0" fontId="64" fillId="0" borderId="7" xfId="1" applyFont="1" applyFill="1" applyBorder="1" applyAlignment="1">
      <alignment horizontal="right" vertical="center" readingOrder="2"/>
    </xf>
    <xf numFmtId="0" fontId="51" fillId="0" borderId="7" xfId="1" applyFont="1" applyFill="1" applyBorder="1" applyAlignment="1">
      <alignment horizontal="right" vertical="center"/>
    </xf>
    <xf numFmtId="0" fontId="65" fillId="0" borderId="16" xfId="1" applyFont="1" applyFill="1" applyBorder="1" applyAlignment="1">
      <alignment horizontal="left" vertical="center" readingOrder="1"/>
    </xf>
    <xf numFmtId="0" fontId="65" fillId="0" borderId="7" xfId="1" applyFont="1" applyFill="1" applyBorder="1" applyAlignment="1">
      <alignment horizontal="right" vertical="center" readingOrder="2"/>
    </xf>
    <xf numFmtId="0" fontId="8" fillId="0" borderId="16" xfId="1" applyFont="1" applyFill="1" applyBorder="1" applyAlignment="1">
      <alignment horizontal="left" vertical="center" readingOrder="2"/>
    </xf>
    <xf numFmtId="0" fontId="8" fillId="0" borderId="7" xfId="1" quotePrefix="1" applyFont="1" applyFill="1" applyBorder="1" applyAlignment="1">
      <alignment horizontal="right" vertical="center" readingOrder="2"/>
    </xf>
    <xf numFmtId="1" fontId="8" fillId="0" borderId="7" xfId="1" applyNumberFormat="1" applyFont="1" applyFill="1" applyBorder="1" applyAlignment="1">
      <alignment horizontal="center" vertical="center" readingOrder="1"/>
    </xf>
    <xf numFmtId="1" fontId="8" fillId="0" borderId="7" xfId="3" applyNumberFormat="1" applyFont="1" applyFill="1" applyBorder="1" applyAlignment="1">
      <alignment horizontal="center" vertical="center"/>
    </xf>
    <xf numFmtId="0" fontId="64" fillId="0" borderId="16" xfId="1" applyFont="1" applyFill="1" applyBorder="1" applyAlignment="1">
      <alignment horizontal="left" vertical="center" wrapText="1" readingOrder="1"/>
    </xf>
    <xf numFmtId="0" fontId="8" fillId="0" borderId="17" xfId="1" applyFont="1" applyFill="1" applyBorder="1" applyAlignment="1">
      <alignment horizontal="left" vertical="center" readingOrder="2"/>
    </xf>
    <xf numFmtId="0" fontId="8" fillId="0" borderId="11" xfId="1" quotePrefix="1" applyFont="1" applyFill="1" applyBorder="1" applyAlignment="1">
      <alignment horizontal="right" vertical="center" readingOrder="2"/>
    </xf>
    <xf numFmtId="1" fontId="8" fillId="0" borderId="11" xfId="3" applyNumberFormat="1" applyFont="1" applyFill="1" applyBorder="1" applyAlignment="1">
      <alignment horizontal="center" vertical="center"/>
    </xf>
    <xf numFmtId="0" fontId="51" fillId="0" borderId="0" xfId="1" applyFont="1" applyAlignment="1">
      <alignment horizontal="right" vertical="center"/>
    </xf>
    <xf numFmtId="0" fontId="61" fillId="0" borderId="18" xfId="1" applyFont="1" applyBorder="1" applyAlignment="1">
      <alignment horizontal="left" vertical="center" readingOrder="1"/>
    </xf>
    <xf numFmtId="166" fontId="60" fillId="0" borderId="6" xfId="1" applyNumberFormat="1" applyFont="1" applyBorder="1" applyAlignment="1">
      <alignment vertical="center" readingOrder="2"/>
    </xf>
    <xf numFmtId="0" fontId="8" fillId="0" borderId="0" xfId="1" applyFont="1"/>
    <xf numFmtId="166" fontId="62" fillId="0" borderId="18" xfId="1" applyNumberFormat="1" applyFont="1" applyBorder="1" applyAlignment="1">
      <alignment horizontal="left" vertical="center" readingOrder="2"/>
    </xf>
    <xf numFmtId="0" fontId="62" fillId="0" borderId="6" xfId="1" applyFont="1" applyBorder="1" applyAlignment="1">
      <alignment horizontal="right" vertical="center" readingOrder="2"/>
    </xf>
    <xf numFmtId="0" fontId="62" fillId="0" borderId="6" xfId="1" applyFont="1" applyBorder="1" applyAlignment="1">
      <alignment horizontal="center" vertical="center" wrapText="1" readingOrder="1"/>
    </xf>
    <xf numFmtId="17" fontId="62" fillId="0" borderId="6" xfId="3" applyNumberFormat="1" applyFont="1" applyBorder="1" applyAlignment="1">
      <alignment horizontal="center" vertical="center"/>
    </xf>
    <xf numFmtId="0" fontId="63" fillId="0" borderId="0" xfId="1" applyFont="1"/>
    <xf numFmtId="0" fontId="9" fillId="3" borderId="7" xfId="3" applyFont="1" applyFill="1" applyBorder="1" applyAlignment="1">
      <alignment horizontal="left" vertical="center"/>
    </xf>
    <xf numFmtId="0" fontId="67" fillId="3" borderId="7" xfId="3" applyFont="1" applyFill="1" applyBorder="1" applyAlignment="1">
      <alignment horizontal="right" vertical="center" wrapText="1"/>
    </xf>
    <xf numFmtId="0" fontId="67" fillId="0" borderId="7" xfId="3" applyFont="1" applyBorder="1" applyAlignment="1">
      <alignment horizontal="right" vertical="center"/>
    </xf>
    <xf numFmtId="0" fontId="70" fillId="0" borderId="7" xfId="3" applyFont="1" applyBorder="1" applyAlignment="1">
      <alignment horizontal="left" vertical="center" indent="1"/>
    </xf>
    <xf numFmtId="0" fontId="71" fillId="0" borderId="7" xfId="3" applyFont="1" applyBorder="1" applyAlignment="1">
      <alignment horizontal="right" vertical="center" indent="1" readingOrder="2"/>
    </xf>
    <xf numFmtId="0" fontId="9" fillId="0" borderId="7" xfId="3" applyFont="1" applyBorder="1" applyAlignment="1">
      <alignment horizontal="left" vertical="center" indent="1"/>
    </xf>
    <xf numFmtId="0" fontId="67" fillId="0" borderId="7" xfId="3" applyFont="1" applyBorder="1" applyAlignment="1">
      <alignment horizontal="right" vertical="center" indent="1"/>
    </xf>
    <xf numFmtId="0" fontId="72" fillId="0" borderId="7" xfId="3" applyFont="1" applyBorder="1" applyAlignment="1">
      <alignment horizontal="right" vertical="center" indent="2" readingOrder="2"/>
    </xf>
    <xf numFmtId="0" fontId="71" fillId="0" borderId="7" xfId="3" applyFont="1" applyBorder="1" applyAlignment="1">
      <alignment horizontal="right" vertical="center" wrapText="1" indent="1" readingOrder="2"/>
    </xf>
    <xf numFmtId="1" fontId="8" fillId="0" borderId="7" xfId="1" applyNumberFormat="1" applyFont="1" applyBorder="1" applyAlignment="1">
      <alignment horizontal="center" readingOrder="1"/>
    </xf>
    <xf numFmtId="0" fontId="8" fillId="0" borderId="7" xfId="3" quotePrefix="1" applyFont="1" applyBorder="1" applyAlignment="1">
      <alignment horizontal="left" vertical="center"/>
    </xf>
    <xf numFmtId="0" fontId="72" fillId="0" borderId="7" xfId="3" quotePrefix="1" applyFont="1" applyBorder="1" applyAlignment="1">
      <alignment horizontal="right" vertical="center"/>
    </xf>
    <xf numFmtId="0" fontId="9" fillId="0" borderId="7" xfId="3" applyFont="1" applyBorder="1" applyAlignment="1">
      <alignment horizontal="left" vertical="center" wrapText="1"/>
    </xf>
    <xf numFmtId="0" fontId="67" fillId="0" borderId="7" xfId="3" applyFont="1" applyBorder="1" applyAlignment="1">
      <alignment horizontal="right" vertical="center" wrapText="1"/>
    </xf>
    <xf numFmtId="0" fontId="8" fillId="0" borderId="7" xfId="3" applyFont="1" applyBorder="1" applyAlignment="1">
      <alignment vertical="center"/>
    </xf>
    <xf numFmtId="0" fontId="72" fillId="0" borderId="7" xfId="3" applyFont="1" applyBorder="1" applyAlignment="1">
      <alignment horizontal="right" vertical="center"/>
    </xf>
    <xf numFmtId="0" fontId="8" fillId="0" borderId="11" xfId="3" applyFont="1" applyBorder="1" applyAlignment="1">
      <alignment horizontal="left" vertical="center"/>
    </xf>
    <xf numFmtId="0" fontId="72" fillId="0" borderId="11" xfId="3" applyFont="1" applyBorder="1" applyAlignment="1">
      <alignment horizontal="right" vertical="center"/>
    </xf>
    <xf numFmtId="1" fontId="8" fillId="0" borderId="11" xfId="3" applyNumberFormat="1" applyFont="1" applyBorder="1" applyAlignment="1">
      <alignment horizontal="center" vertical="center"/>
    </xf>
    <xf numFmtId="0" fontId="8" fillId="0" borderId="14" xfId="3" applyFont="1" applyFill="1" applyBorder="1" applyAlignment="1">
      <alignment vertical="center"/>
    </xf>
    <xf numFmtId="0" fontId="76" fillId="0" borderId="14" xfId="3" applyFont="1" applyFill="1" applyBorder="1" applyAlignment="1">
      <alignment horizontal="right" vertical="center" readingOrder="2"/>
    </xf>
    <xf numFmtId="0" fontId="79" fillId="0" borderId="14" xfId="3" applyFont="1" applyFill="1" applyBorder="1" applyAlignment="1">
      <alignment vertical="center" readingOrder="2"/>
    </xf>
    <xf numFmtId="0" fontId="8" fillId="0" borderId="0" xfId="3" applyFont="1" applyFill="1" applyBorder="1" applyAlignment="1">
      <alignment vertical="center" wrapText="1"/>
    </xf>
    <xf numFmtId="0" fontId="80" fillId="0" borderId="0" xfId="3" applyFont="1" applyFill="1" applyBorder="1" applyAlignment="1">
      <alignment horizontal="right" vertical="center" readingOrder="2"/>
    </xf>
    <xf numFmtId="0" fontId="81" fillId="0" borderId="0" xfId="3" applyFont="1" applyFill="1" applyBorder="1" applyAlignment="1">
      <alignment vertical="center" readingOrder="2"/>
    </xf>
    <xf numFmtId="0" fontId="76" fillId="0" borderId="0" xfId="3" applyFont="1" applyFill="1" applyBorder="1" applyAlignment="1">
      <alignment horizontal="right" vertical="center" wrapText="1" readingOrder="2"/>
    </xf>
    <xf numFmtId="0" fontId="79" fillId="0" borderId="0" xfId="3" applyFont="1" applyFill="1" applyBorder="1" applyAlignment="1">
      <alignment vertical="center" readingOrder="2"/>
    </xf>
    <xf numFmtId="0" fontId="8" fillId="0" borderId="0" xfId="3" applyFont="1" applyFill="1" applyBorder="1" applyAlignment="1">
      <alignment vertical="center"/>
    </xf>
    <xf numFmtId="0" fontId="76" fillId="0" borderId="0" xfId="3" applyFont="1" applyFill="1" applyBorder="1" applyAlignment="1">
      <alignment horizontal="right" vertical="center" readingOrder="2"/>
    </xf>
    <xf numFmtId="0" fontId="58" fillId="0" borderId="0" xfId="3" quotePrefix="1" applyFont="1" applyAlignment="1">
      <alignment horizontal="right" vertical="center" indent="1" readingOrder="2"/>
    </xf>
    <xf numFmtId="17" fontId="6" fillId="2" borderId="22" xfId="3" applyNumberFormat="1" applyFont="1" applyFill="1" applyBorder="1" applyAlignment="1">
      <alignment horizontal="center" vertical="center"/>
    </xf>
    <xf numFmtId="0" fontId="8" fillId="0" borderId="22" xfId="0" applyFont="1" applyBorder="1"/>
    <xf numFmtId="0" fontId="8" fillId="0" borderId="7" xfId="0" applyFont="1" applyBorder="1"/>
    <xf numFmtId="0" fontId="8" fillId="0" borderId="8" xfId="0" applyFont="1" applyBorder="1"/>
    <xf numFmtId="1" fontId="10" fillId="0" borderId="22" xfId="0" applyNumberFormat="1" applyFont="1" applyBorder="1" applyAlignment="1">
      <alignment horizontal="center" readingOrder="1"/>
    </xf>
    <xf numFmtId="1" fontId="10" fillId="0" borderId="7" xfId="0" applyNumberFormat="1" applyFont="1" applyBorder="1" applyAlignment="1">
      <alignment horizontal="center" readingOrder="1"/>
    </xf>
    <xf numFmtId="1" fontId="10" fillId="0" borderId="8" xfId="0" applyNumberFormat="1" applyFont="1" applyBorder="1" applyAlignment="1">
      <alignment horizontal="center" readingOrder="1"/>
    </xf>
    <xf numFmtId="1" fontId="14" fillId="0" borderId="22" xfId="3" applyNumberFormat="1" applyFont="1" applyFill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 readingOrder="1"/>
    </xf>
    <xf numFmtId="1" fontId="8" fillId="0" borderId="7" xfId="0" applyNumberFormat="1" applyFont="1" applyBorder="1" applyAlignment="1">
      <alignment horizontal="center" vertical="center" readingOrder="1"/>
    </xf>
    <xf numFmtId="1" fontId="8" fillId="0" borderId="8" xfId="0" applyNumberFormat="1" applyFont="1" applyBorder="1" applyAlignment="1">
      <alignment horizontal="center" vertical="center" readingOrder="1"/>
    </xf>
    <xf numFmtId="1" fontId="8" fillId="0" borderId="22" xfId="3" applyNumberFormat="1" applyFont="1" applyBorder="1" applyAlignment="1">
      <alignment horizontal="center" vertical="center"/>
    </xf>
    <xf numFmtId="1" fontId="14" fillId="0" borderId="23" xfId="3" applyNumberFormat="1" applyFont="1" applyFill="1" applyBorder="1" applyAlignment="1">
      <alignment horizontal="center" vertical="center"/>
    </xf>
    <xf numFmtId="0" fontId="8" fillId="0" borderId="22" xfId="1" applyFont="1" applyBorder="1"/>
    <xf numFmtId="1" fontId="10" fillId="0" borderId="22" xfId="1" applyNumberFormat="1" applyFont="1" applyBorder="1" applyAlignment="1">
      <alignment horizontal="center" readingOrder="1"/>
    </xf>
    <xf numFmtId="1" fontId="8" fillId="0" borderId="22" xfId="1" applyNumberFormat="1" applyFont="1" applyBorder="1" applyAlignment="1">
      <alignment horizontal="center" vertical="center" readingOrder="1"/>
    </xf>
    <xf numFmtId="1" fontId="14" fillId="0" borderId="24" xfId="3" applyNumberFormat="1" applyFont="1" applyFill="1" applyBorder="1" applyAlignment="1">
      <alignment horizontal="center" vertical="center"/>
    </xf>
    <xf numFmtId="1" fontId="14" fillId="0" borderId="25" xfId="3" applyNumberFormat="1" applyFont="1" applyFill="1" applyBorder="1" applyAlignment="1">
      <alignment horizontal="center" vertical="center"/>
    </xf>
    <xf numFmtId="1" fontId="14" fillId="0" borderId="26" xfId="3" applyNumberFormat="1" applyFont="1" applyFill="1" applyBorder="1" applyAlignment="1">
      <alignment horizontal="center" vertical="center"/>
    </xf>
    <xf numFmtId="0" fontId="6" fillId="2" borderId="27" xfId="2" applyFont="1" applyFill="1" applyBorder="1" applyAlignment="1">
      <alignment horizontal="left" vertical="center"/>
    </xf>
    <xf numFmtId="0" fontId="6" fillId="2" borderId="28" xfId="2" applyFont="1" applyFill="1" applyBorder="1" applyAlignment="1">
      <alignment horizontal="left" vertical="center"/>
    </xf>
    <xf numFmtId="0" fontId="6" fillId="2" borderId="29" xfId="2" applyFont="1" applyFill="1" applyBorder="1" applyAlignment="1">
      <alignment horizontal="center" vertical="center"/>
    </xf>
    <xf numFmtId="0" fontId="6" fillId="2" borderId="30" xfId="2" applyFont="1" applyFill="1" applyBorder="1" applyAlignment="1">
      <alignment horizontal="center" vertical="center"/>
    </xf>
    <xf numFmtId="0" fontId="7" fillId="0" borderId="22" xfId="3" applyFont="1" applyFill="1" applyBorder="1" applyAlignment="1">
      <alignment horizontal="left" vertical="center" readingOrder="1"/>
    </xf>
    <xf numFmtId="0" fontId="7" fillId="0" borderId="8" xfId="3" applyFont="1" applyFill="1" applyBorder="1" applyAlignment="1">
      <alignment horizontal="right" vertical="center" readingOrder="2"/>
    </xf>
    <xf numFmtId="0" fontId="9" fillId="0" borderId="22" xfId="3" applyFont="1" applyBorder="1" applyAlignment="1">
      <alignment horizontal="left" vertical="center"/>
    </xf>
    <xf numFmtId="0" fontId="9" fillId="0" borderId="8" xfId="3" applyFont="1" applyBorder="1" applyAlignment="1">
      <alignment horizontal="right" vertical="center" readingOrder="2"/>
    </xf>
    <xf numFmtId="0" fontId="11" fillId="0" borderId="22" xfId="3" quotePrefix="1" applyFont="1" applyFill="1" applyBorder="1" applyAlignment="1">
      <alignment horizontal="left" vertical="center" readingOrder="1"/>
    </xf>
    <xf numFmtId="0" fontId="11" fillId="0" borderId="8" xfId="3" quotePrefix="1" applyFont="1" applyFill="1" applyBorder="1" applyAlignment="1">
      <alignment horizontal="right" vertical="center" readingOrder="2"/>
    </xf>
    <xf numFmtId="0" fontId="12" fillId="0" borderId="22" xfId="3" applyFont="1" applyBorder="1" applyAlignment="1">
      <alignment horizontal="left" vertical="center" indent="1"/>
    </xf>
    <xf numFmtId="0" fontId="12" fillId="0" borderId="8" xfId="3" applyFont="1" applyBorder="1" applyAlignment="1">
      <alignment horizontal="right" vertical="center" readingOrder="2"/>
    </xf>
    <xf numFmtId="0" fontId="13" fillId="0" borderId="22" xfId="3" quotePrefix="1" applyFont="1" applyFill="1" applyBorder="1" applyAlignment="1">
      <alignment horizontal="left" vertical="center" indent="1" readingOrder="1"/>
    </xf>
    <xf numFmtId="0" fontId="13" fillId="0" borderId="8" xfId="3" quotePrefix="1" applyFont="1" applyFill="1" applyBorder="1" applyAlignment="1">
      <alignment horizontal="right" vertical="center" readingOrder="2"/>
    </xf>
    <xf numFmtId="0" fontId="8" fillId="0" borderId="22" xfId="3" applyFont="1" applyBorder="1" applyAlignment="1">
      <alignment horizontal="left" vertical="center" indent="2" readingOrder="2"/>
    </xf>
    <xf numFmtId="0" fontId="8" fillId="0" borderId="8" xfId="3" applyFont="1" applyBorder="1" applyAlignment="1">
      <alignment horizontal="right" vertical="center" readingOrder="2"/>
    </xf>
    <xf numFmtId="0" fontId="7" fillId="0" borderId="22" xfId="3" applyFont="1" applyFill="1" applyBorder="1" applyAlignment="1">
      <alignment horizontal="left" vertical="center" wrapText="1" readingOrder="1"/>
    </xf>
    <xf numFmtId="0" fontId="7" fillId="0" borderId="8" xfId="3" applyFont="1" applyFill="1" applyBorder="1" applyAlignment="1">
      <alignment horizontal="right" vertical="center" wrapText="1" readingOrder="2"/>
    </xf>
    <xf numFmtId="0" fontId="13" fillId="0" borderId="24" xfId="3" quotePrefix="1" applyFont="1" applyFill="1" applyBorder="1" applyAlignment="1">
      <alignment horizontal="left" vertical="center" indent="1" readingOrder="1"/>
    </xf>
    <xf numFmtId="0" fontId="13" fillId="0" borderId="31" xfId="3" quotePrefix="1" applyFont="1" applyFill="1" applyBorder="1" applyAlignment="1">
      <alignment horizontal="right" vertical="center" readingOrder="2"/>
    </xf>
    <xf numFmtId="1" fontId="14" fillId="0" borderId="32" xfId="3" applyNumberFormat="1" applyFont="1" applyFill="1" applyBorder="1" applyAlignment="1">
      <alignment horizontal="center" vertical="center"/>
    </xf>
    <xf numFmtId="0" fontId="19" fillId="0" borderId="0" xfId="1" applyFont="1" applyFill="1" applyBorder="1" applyAlignment="1">
      <alignment horizontal="center" vertical="center" readingOrder="1"/>
    </xf>
    <xf numFmtId="0" fontId="25" fillId="0" borderId="6" xfId="1" applyFont="1" applyFill="1" applyBorder="1" applyAlignment="1">
      <alignment horizontal="center" vertical="center" wrapText="1" readingOrder="1"/>
    </xf>
    <xf numFmtId="0" fontId="37" fillId="0" borderId="0" xfId="1" applyFont="1" applyFill="1" applyBorder="1" applyAlignment="1">
      <alignment horizontal="center" vertical="center" readingOrder="1"/>
    </xf>
    <xf numFmtId="0" fontId="39" fillId="0" borderId="6" xfId="1" applyFont="1" applyFill="1" applyBorder="1" applyAlignment="1">
      <alignment horizontal="center" vertical="center" wrapText="1" readingOrder="1"/>
    </xf>
    <xf numFmtId="0" fontId="40" fillId="0" borderId="0" xfId="1" applyFont="1" applyFill="1" applyBorder="1" applyAlignment="1">
      <alignment horizontal="center" vertical="center" readingOrder="1"/>
    </xf>
    <xf numFmtId="0" fontId="43" fillId="0" borderId="0" xfId="1" applyFont="1" applyFill="1" applyBorder="1" applyAlignment="1">
      <alignment horizontal="center" vertical="center" readingOrder="1"/>
    </xf>
    <xf numFmtId="0" fontId="45" fillId="0" borderId="6" xfId="1" applyFont="1" applyFill="1" applyBorder="1" applyAlignment="1">
      <alignment horizontal="center" vertical="center" wrapText="1" readingOrder="1"/>
    </xf>
    <xf numFmtId="0" fontId="59" fillId="0" borderId="18" xfId="1" applyFont="1" applyFill="1" applyBorder="1" applyAlignment="1">
      <alignment horizontal="center" vertical="center"/>
    </xf>
    <xf numFmtId="0" fontId="59" fillId="0" borderId="19" xfId="1" applyFont="1" applyFill="1" applyBorder="1" applyAlignment="1">
      <alignment horizontal="center" vertical="center"/>
    </xf>
    <xf numFmtId="0" fontId="59" fillId="0" borderId="20" xfId="1" applyFont="1" applyFill="1" applyBorder="1" applyAlignment="1">
      <alignment horizontal="center" vertical="center"/>
    </xf>
    <xf numFmtId="0" fontId="10" fillId="0" borderId="18" xfId="1" applyFont="1" applyFill="1" applyBorder="1" applyAlignment="1">
      <alignment horizontal="center" vertical="center" wrapText="1" readingOrder="1"/>
    </xf>
    <xf numFmtId="0" fontId="10" fillId="0" borderId="19" xfId="1" applyFont="1" applyFill="1" applyBorder="1" applyAlignment="1">
      <alignment horizontal="center" vertical="center" wrapText="1" readingOrder="1"/>
    </xf>
    <xf numFmtId="0" fontId="10" fillId="0" borderId="20" xfId="1" applyFont="1" applyFill="1" applyBorder="1" applyAlignment="1">
      <alignment horizontal="center" vertical="center" wrapText="1" readingOrder="1"/>
    </xf>
    <xf numFmtId="0" fontId="60" fillId="0" borderId="18" xfId="1" applyFont="1" applyFill="1" applyBorder="1" applyAlignment="1">
      <alignment horizontal="center" vertical="center"/>
    </xf>
    <xf numFmtId="0" fontId="60" fillId="0" borderId="19" xfId="1" applyFont="1" applyFill="1" applyBorder="1" applyAlignment="1">
      <alignment horizontal="center" vertical="center"/>
    </xf>
    <xf numFmtId="0" fontId="60" fillId="0" borderId="20" xfId="1" applyFont="1" applyFill="1" applyBorder="1" applyAlignment="1">
      <alignment horizontal="center" vertical="center"/>
    </xf>
    <xf numFmtId="0" fontId="60" fillId="0" borderId="18" xfId="1" applyFont="1" applyBorder="1" applyAlignment="1">
      <alignment horizontal="center" vertical="center"/>
    </xf>
    <xf numFmtId="0" fontId="60" fillId="0" borderId="19" xfId="1" applyFont="1" applyBorder="1" applyAlignment="1">
      <alignment horizontal="center" vertical="center"/>
    </xf>
    <xf numFmtId="0" fontId="60" fillId="0" borderId="20" xfId="1" applyFont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5" xfId="2" applyFont="1" applyFill="1" applyBorder="1" applyAlignment="1">
      <alignment horizontal="center" vertical="center"/>
    </xf>
    <xf numFmtId="0" fontId="6" fillId="2" borderId="21" xfId="2" applyFont="1" applyFill="1" applyBorder="1" applyAlignment="1">
      <alignment horizontal="center" vertical="center"/>
    </xf>
  </cellXfs>
  <cellStyles count="134">
    <cellStyle name="Comma 2" xfId="6" xr:uid="{00000000-0005-0000-0000-000033000000}"/>
    <cellStyle name="Comma 2 2" xfId="7" xr:uid="{00000000-0005-0000-0000-000034000000}"/>
    <cellStyle name="Comma 2 2 2" xfId="8" xr:uid="{00000000-0005-0000-0000-000035000000}"/>
    <cellStyle name="Comma 2 2 2 2" xfId="9" xr:uid="{00000000-0005-0000-0000-000036000000}"/>
    <cellStyle name="Comma 2 2 2 2 2" xfId="10" xr:uid="{00000000-0005-0000-0000-000037000000}"/>
    <cellStyle name="Comma 2 2 2 3" xfId="11" xr:uid="{00000000-0005-0000-0000-000038000000}"/>
    <cellStyle name="Comma 2 3" xfId="12" xr:uid="{00000000-0005-0000-0000-000039000000}"/>
    <cellStyle name="Comma 2 3 2" xfId="13" xr:uid="{00000000-0005-0000-0000-00003A000000}"/>
    <cellStyle name="Comma 2 3 2 2" xfId="14" xr:uid="{00000000-0005-0000-0000-00003B000000}"/>
    <cellStyle name="Comma 2 3 3" xfId="15" xr:uid="{00000000-0005-0000-0000-00003C000000}"/>
    <cellStyle name="Comma 3" xfId="16" xr:uid="{00000000-0005-0000-0000-00003D000000}"/>
    <cellStyle name="Comma 3 2" xfId="17" xr:uid="{00000000-0005-0000-0000-00003E000000}"/>
    <cellStyle name="Comma 3 2 2" xfId="18" xr:uid="{00000000-0005-0000-0000-00003F000000}"/>
    <cellStyle name="Comma 3 2 2 2" xfId="19" xr:uid="{00000000-0005-0000-0000-000040000000}"/>
    <cellStyle name="Comma 3 2 2 2 2" xfId="20" xr:uid="{00000000-0005-0000-0000-000041000000}"/>
    <cellStyle name="Comma 3 2 2 2 2 2" xfId="21" xr:uid="{00000000-0005-0000-0000-000042000000}"/>
    <cellStyle name="Comma 3 2 2 2 3" xfId="22" xr:uid="{00000000-0005-0000-0000-000043000000}"/>
    <cellStyle name="Comma 3 2 3" xfId="23" xr:uid="{00000000-0005-0000-0000-000044000000}"/>
    <cellStyle name="Comma 3 2 3 2" xfId="24" xr:uid="{00000000-0005-0000-0000-000045000000}"/>
    <cellStyle name="Comma 3 2 3 2 2" xfId="25" xr:uid="{00000000-0005-0000-0000-000046000000}"/>
    <cellStyle name="Comma 3 2 3 3" xfId="26" xr:uid="{00000000-0005-0000-0000-000047000000}"/>
    <cellStyle name="Comma 3 3" xfId="27" xr:uid="{00000000-0005-0000-0000-000048000000}"/>
    <cellStyle name="Comma 3 3 2" xfId="28" xr:uid="{00000000-0005-0000-0000-000049000000}"/>
    <cellStyle name="Comma 3 3 2 2" xfId="29" xr:uid="{00000000-0005-0000-0000-00004A000000}"/>
    <cellStyle name="Comma 3 3 2 2 2" xfId="30" xr:uid="{00000000-0005-0000-0000-00004B000000}"/>
    <cellStyle name="Comma 3 3 2 2 2 2" xfId="31" xr:uid="{00000000-0005-0000-0000-00004C000000}"/>
    <cellStyle name="Comma 3 3 2 2 2 2 2" xfId="32" xr:uid="{00000000-0005-0000-0000-00004D000000}"/>
    <cellStyle name="Comma 3 3 2 2 2 3" xfId="33" xr:uid="{00000000-0005-0000-0000-00004E000000}"/>
    <cellStyle name="Comma 3 3 2 3" xfId="34" xr:uid="{00000000-0005-0000-0000-00004F000000}"/>
    <cellStyle name="Comma 3 3 2 3 2" xfId="35" xr:uid="{00000000-0005-0000-0000-000050000000}"/>
    <cellStyle name="Comma 3 3 2 3 2 2" xfId="36" xr:uid="{00000000-0005-0000-0000-000051000000}"/>
    <cellStyle name="Comma 3 3 2 3 3" xfId="37" xr:uid="{00000000-0005-0000-0000-000052000000}"/>
    <cellStyle name="Comma 3 3 3" xfId="38" xr:uid="{00000000-0005-0000-0000-000053000000}"/>
    <cellStyle name="Comma 3 3 3 2" xfId="39" xr:uid="{00000000-0005-0000-0000-000054000000}"/>
    <cellStyle name="Comma 3 3 3 2 2" xfId="40" xr:uid="{00000000-0005-0000-0000-000055000000}"/>
    <cellStyle name="Comma 3 3 3 2 2 2" xfId="41" xr:uid="{00000000-0005-0000-0000-000056000000}"/>
    <cellStyle name="Comma 3 3 3 2 3" xfId="42" xr:uid="{00000000-0005-0000-0000-000057000000}"/>
    <cellStyle name="Comma 3 3 4" xfId="43" xr:uid="{00000000-0005-0000-0000-000058000000}"/>
    <cellStyle name="Comma 3 3 4 2" xfId="44" xr:uid="{00000000-0005-0000-0000-000059000000}"/>
    <cellStyle name="Comma 3 3 4 2 2" xfId="45" xr:uid="{00000000-0005-0000-0000-00005A000000}"/>
    <cellStyle name="Comma 3 3 4 3" xfId="46" xr:uid="{00000000-0005-0000-0000-00005B000000}"/>
    <cellStyle name="Comma 3 4" xfId="47" xr:uid="{00000000-0005-0000-0000-00005C000000}"/>
    <cellStyle name="Comma 3 4 2" xfId="48" xr:uid="{00000000-0005-0000-0000-00005D000000}"/>
    <cellStyle name="Comma 3 4 2 2" xfId="49" xr:uid="{00000000-0005-0000-0000-00005E000000}"/>
    <cellStyle name="Comma 3 4 3" xfId="50" xr:uid="{00000000-0005-0000-0000-00005F000000}"/>
    <cellStyle name="Comma 4" xfId="51" xr:uid="{00000000-0005-0000-0000-000060000000}"/>
    <cellStyle name="Comma 4 2" xfId="52" xr:uid="{00000000-0005-0000-0000-000061000000}"/>
    <cellStyle name="Comma 4 2 2" xfId="53" xr:uid="{00000000-0005-0000-0000-000062000000}"/>
    <cellStyle name="Comma 4 2 2 2" xfId="54" xr:uid="{00000000-0005-0000-0000-000063000000}"/>
    <cellStyle name="Comma 4 2 2 2 2" xfId="55" xr:uid="{00000000-0005-0000-0000-000064000000}"/>
    <cellStyle name="Comma 4 2 2 3" xfId="56" xr:uid="{00000000-0005-0000-0000-000065000000}"/>
    <cellStyle name="Comma 4 3" xfId="57" xr:uid="{00000000-0005-0000-0000-000066000000}"/>
    <cellStyle name="Comma 4 3 2" xfId="58" xr:uid="{00000000-0005-0000-0000-000067000000}"/>
    <cellStyle name="Comma 4 3 2 2" xfId="59" xr:uid="{00000000-0005-0000-0000-000068000000}"/>
    <cellStyle name="Comma 4 3 2 2 2" xfId="60" xr:uid="{00000000-0005-0000-0000-000069000000}"/>
    <cellStyle name="Comma 4 3 2 3" xfId="61" xr:uid="{00000000-0005-0000-0000-00006A000000}"/>
    <cellStyle name="Comma 4 4" xfId="62" xr:uid="{00000000-0005-0000-0000-00006B000000}"/>
    <cellStyle name="Comma 4 4 2" xfId="63" xr:uid="{00000000-0005-0000-0000-00006C000000}"/>
    <cellStyle name="Comma 4 4 2 2" xfId="64" xr:uid="{00000000-0005-0000-0000-00006D000000}"/>
    <cellStyle name="Comma 4 4 3" xfId="65" xr:uid="{00000000-0005-0000-0000-00006E000000}"/>
    <cellStyle name="Comma 5" xfId="66" xr:uid="{00000000-0005-0000-0000-00006F000000}"/>
    <cellStyle name="Comma 5 2" xfId="67" xr:uid="{00000000-0005-0000-0000-000070000000}"/>
    <cellStyle name="Comma 5 2 2" xfId="68" xr:uid="{00000000-0005-0000-0000-000071000000}"/>
    <cellStyle name="Comma 5 2 2 2" xfId="69" xr:uid="{00000000-0005-0000-0000-000072000000}"/>
    <cellStyle name="Comma 5 2 2 2 2" xfId="70" xr:uid="{00000000-0005-0000-0000-000073000000}"/>
    <cellStyle name="Comma 5 2 2 3" xfId="71" xr:uid="{00000000-0005-0000-0000-000074000000}"/>
    <cellStyle name="Comma 5 3" xfId="72" xr:uid="{00000000-0005-0000-0000-000075000000}"/>
    <cellStyle name="Comma 5 3 2" xfId="73" xr:uid="{00000000-0005-0000-0000-000076000000}"/>
    <cellStyle name="Comma 5 3 2 2" xfId="74" xr:uid="{00000000-0005-0000-0000-000077000000}"/>
    <cellStyle name="Comma 5 3 2 2 2" xfId="75" xr:uid="{00000000-0005-0000-0000-000078000000}"/>
    <cellStyle name="Comma 5 3 2 3" xfId="76" xr:uid="{00000000-0005-0000-0000-000079000000}"/>
    <cellStyle name="Comma 5 4" xfId="77" xr:uid="{00000000-0005-0000-0000-00007A000000}"/>
    <cellStyle name="Comma 5 4 2" xfId="78" xr:uid="{00000000-0005-0000-0000-00007B000000}"/>
    <cellStyle name="Comma 5 4 2 2" xfId="79" xr:uid="{00000000-0005-0000-0000-00007C000000}"/>
    <cellStyle name="Comma 5 4 3" xfId="80" xr:uid="{00000000-0005-0000-0000-00007D000000}"/>
    <cellStyle name="Comma 6" xfId="81" xr:uid="{00000000-0005-0000-0000-00007E000000}"/>
    <cellStyle name="Comma 6 2" xfId="82" xr:uid="{00000000-0005-0000-0000-00007F000000}"/>
    <cellStyle name="Comma 6 2 2" xfId="83" xr:uid="{00000000-0005-0000-0000-000080000000}"/>
    <cellStyle name="Comma 6 2 2 2" xfId="84" xr:uid="{00000000-0005-0000-0000-000081000000}"/>
    <cellStyle name="Comma 6 2 2 2 2" xfId="85" xr:uid="{00000000-0005-0000-0000-000082000000}"/>
    <cellStyle name="Comma 6 2 2 2 2 2" xfId="86" xr:uid="{00000000-0005-0000-0000-000083000000}"/>
    <cellStyle name="Comma 6 2 2 2 3" xfId="87" xr:uid="{00000000-0005-0000-0000-000084000000}"/>
    <cellStyle name="Comma 6 2 3" xfId="88" xr:uid="{00000000-0005-0000-0000-000085000000}"/>
    <cellStyle name="Comma 6 2 3 2" xfId="89" xr:uid="{00000000-0005-0000-0000-000086000000}"/>
    <cellStyle name="Comma 6 2 3 2 2" xfId="90" xr:uid="{00000000-0005-0000-0000-000087000000}"/>
    <cellStyle name="Comma 6 2 3 3" xfId="91" xr:uid="{00000000-0005-0000-0000-000088000000}"/>
    <cellStyle name="Comma 6 3" xfId="92" xr:uid="{00000000-0005-0000-0000-000089000000}"/>
    <cellStyle name="Comma 6 3 2" xfId="93" xr:uid="{00000000-0005-0000-0000-00008A000000}"/>
    <cellStyle name="Comma 6 3 2 2" xfId="94" xr:uid="{00000000-0005-0000-0000-00008B000000}"/>
    <cellStyle name="Comma 6 3 2 2 2" xfId="95" xr:uid="{00000000-0005-0000-0000-00008C000000}"/>
    <cellStyle name="Comma 6 3 2 3" xfId="96" xr:uid="{00000000-0005-0000-0000-00008D000000}"/>
    <cellStyle name="Comma 6 4" xfId="97" xr:uid="{00000000-0005-0000-0000-00008E000000}"/>
    <cellStyle name="Comma 6 4 2" xfId="98" xr:uid="{00000000-0005-0000-0000-00008F000000}"/>
    <cellStyle name="Comma 6 4 2 2" xfId="99" xr:uid="{00000000-0005-0000-0000-000090000000}"/>
    <cellStyle name="Comma 6 4 3" xfId="100" xr:uid="{00000000-0005-0000-0000-000091000000}"/>
    <cellStyle name="Comma 7" xfId="101" xr:uid="{00000000-0005-0000-0000-000092000000}"/>
    <cellStyle name="Comma 8" xfId="5" xr:uid="{00000000-0005-0000-0000-000032000000}"/>
    <cellStyle name="Normal" xfId="0" builtinId="0"/>
    <cellStyle name="Normal 2" xfId="1" xr:uid="{EE7F951C-8A53-4FE5-8123-A43BD475CE0E}"/>
    <cellStyle name="Normal 2 2" xfId="102" xr:uid="{00000000-0005-0000-0000-000094000000}"/>
    <cellStyle name="Normal 27 2" xfId="2" xr:uid="{DB050B73-1E03-4B60-93BB-134D0BE72331}"/>
    <cellStyle name="Normal 3" xfId="103" xr:uid="{00000000-0005-0000-0000-000095000000}"/>
    <cellStyle name="Normal 3 2" xfId="104" xr:uid="{00000000-0005-0000-0000-000096000000}"/>
    <cellStyle name="Normal 4" xfId="105" xr:uid="{00000000-0005-0000-0000-000097000000}"/>
    <cellStyle name="Normal 4 2" xfId="106" xr:uid="{00000000-0005-0000-0000-000098000000}"/>
    <cellStyle name="Normal 5" xfId="107" xr:uid="{00000000-0005-0000-0000-000099000000}"/>
    <cellStyle name="Normal 5 2" xfId="108" xr:uid="{00000000-0005-0000-0000-00009A000000}"/>
    <cellStyle name="Normal 5 3" xfId="109" xr:uid="{00000000-0005-0000-0000-00009B000000}"/>
    <cellStyle name="Normal 6" xfId="110" xr:uid="{00000000-0005-0000-0000-00009C000000}"/>
    <cellStyle name="Normal 6 2" xfId="111" xr:uid="{00000000-0005-0000-0000-00009D000000}"/>
    <cellStyle name="Normal 7" xfId="112" xr:uid="{00000000-0005-0000-0000-00009E000000}"/>
    <cellStyle name="Normal 8" xfId="113" xr:uid="{00000000-0005-0000-0000-00009F000000}"/>
    <cellStyle name="Normal 9" xfId="4" xr:uid="{00000000-0005-0000-0000-000093000000}"/>
    <cellStyle name="Normal_Table Rafik To Mohmoud_1-10_13 2" xfId="3" xr:uid="{57858FFF-6014-4002-9C7C-5DCBCA20A26F}"/>
    <cellStyle name="Percent 2" xfId="114" xr:uid="{00000000-0005-0000-0000-0000A1000000}"/>
    <cellStyle name="Percent 2 2" xfId="115" xr:uid="{00000000-0005-0000-0000-0000A2000000}"/>
    <cellStyle name="Percent 2 2 2" xfId="116" xr:uid="{00000000-0005-0000-0000-0000A3000000}"/>
    <cellStyle name="Percent 2 3" xfId="117" xr:uid="{00000000-0005-0000-0000-0000A4000000}"/>
    <cellStyle name="Percent 3" xfId="118" xr:uid="{00000000-0005-0000-0000-0000A5000000}"/>
    <cellStyle name="Percent 3 2" xfId="119" xr:uid="{00000000-0005-0000-0000-0000A6000000}"/>
    <cellStyle name="Percent 3 2 2" xfId="120" xr:uid="{00000000-0005-0000-0000-0000A7000000}"/>
    <cellStyle name="Percent 4" xfId="121" xr:uid="{00000000-0005-0000-0000-0000A8000000}"/>
    <cellStyle name="Percent 4 2" xfId="122" xr:uid="{00000000-0005-0000-0000-0000A9000000}"/>
    <cellStyle name="Percent 4 3" xfId="123" xr:uid="{00000000-0005-0000-0000-0000AA000000}"/>
    <cellStyle name="Percent 5" xfId="124" xr:uid="{00000000-0005-0000-0000-0000AB000000}"/>
    <cellStyle name="Percent 5 2" xfId="125" xr:uid="{00000000-0005-0000-0000-0000AC000000}"/>
    <cellStyle name="Percent 5 3" xfId="126" xr:uid="{00000000-0005-0000-0000-0000AD000000}"/>
    <cellStyle name="Percent 6" xfId="127" xr:uid="{00000000-0005-0000-0000-0000AE000000}"/>
    <cellStyle name="Percent 6 2" xfId="128" xr:uid="{00000000-0005-0000-0000-0000AF000000}"/>
    <cellStyle name="عادي_artim" xfId="129" xr:uid="{00000000-0005-0000-0000-0000B0000000}"/>
    <cellStyle name="عملة [0]_رسم" xfId="130" xr:uid="{00000000-0005-0000-0000-0000B1000000}"/>
    <cellStyle name="عملة_رسم" xfId="131" xr:uid="{00000000-0005-0000-0000-0000B2000000}"/>
    <cellStyle name="فاصلة [0]_رسم" xfId="132" xr:uid="{00000000-0005-0000-0000-0000B3000000}"/>
    <cellStyle name="فاصلة_رسم" xfId="133" xr:uid="{00000000-0005-0000-0000-0000B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8B5F-E0E7-4113-9A1A-923D0A73EF08}">
  <sheetPr>
    <pageSetUpPr fitToPage="1"/>
  </sheetPr>
  <dimension ref="A1:AC22"/>
  <sheetViews>
    <sheetView topLeftCell="C1" zoomScale="90" zoomScaleNormal="90" zoomScaleSheetLayoutView="88" workbookViewId="0"/>
  </sheetViews>
  <sheetFormatPr defaultColWidth="8" defaultRowHeight="18.75"/>
  <cols>
    <col min="1" max="1" width="83.28515625" style="52" customWidth="1"/>
    <col min="2" max="2" width="83.28515625" style="86" customWidth="1"/>
    <col min="3" max="3" width="11.140625" style="89" customWidth="1"/>
    <col min="4" max="10" width="11.140625" style="55" customWidth="1"/>
    <col min="11" max="11" width="9.85546875" style="55" customWidth="1"/>
    <col min="12" max="20" width="10" style="55" customWidth="1"/>
    <col min="21" max="29" width="8" style="55"/>
    <col min="30" max="30" width="8.140625" style="55" bestFit="1" customWidth="1"/>
    <col min="31" max="16384" width="8" style="55"/>
  </cols>
  <sheetData>
    <row r="1" spans="1:29" ht="24.95" customHeight="1">
      <c r="B1" s="53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54"/>
      <c r="O1" s="54"/>
    </row>
    <row r="2" spans="1:29" ht="24.95" customHeight="1">
      <c r="B2" s="56"/>
      <c r="C2" s="57"/>
      <c r="D2" s="57"/>
      <c r="E2" s="57"/>
      <c r="F2" s="57"/>
      <c r="G2" s="57"/>
      <c r="H2" s="57"/>
      <c r="J2" s="57"/>
      <c r="L2" s="57"/>
      <c r="N2" s="54"/>
    </row>
    <row r="3" spans="1:29" ht="24.95" customHeight="1">
      <c r="A3" s="58" t="s">
        <v>0</v>
      </c>
      <c r="B3" s="59" t="s">
        <v>1</v>
      </c>
      <c r="C3" s="55"/>
    </row>
    <row r="4" spans="1:29" ht="24.95" customHeight="1">
      <c r="A4" s="60" t="s">
        <v>50</v>
      </c>
      <c r="B4" s="61" t="s">
        <v>51</v>
      </c>
      <c r="C4" s="256">
        <v>2004</v>
      </c>
      <c r="D4" s="256"/>
      <c r="E4" s="256"/>
      <c r="F4" s="256"/>
      <c r="G4" s="256"/>
      <c r="H4" s="256"/>
      <c r="I4" s="256">
        <v>2005</v>
      </c>
      <c r="J4" s="256"/>
      <c r="K4" s="256"/>
      <c r="L4" s="256"/>
      <c r="M4" s="256"/>
      <c r="N4" s="256"/>
    </row>
    <row r="5" spans="1:29" ht="24.95" customHeight="1">
      <c r="A5" s="62" t="s">
        <v>2</v>
      </c>
      <c r="B5" s="61" t="s">
        <v>3</v>
      </c>
      <c r="C5" s="63" t="s">
        <v>4</v>
      </c>
      <c r="D5" s="63" t="s">
        <v>5</v>
      </c>
      <c r="E5" s="63" t="s">
        <v>6</v>
      </c>
      <c r="F5" s="63" t="s">
        <v>7</v>
      </c>
      <c r="G5" s="63" t="s">
        <v>8</v>
      </c>
      <c r="H5" s="63" t="s">
        <v>9</v>
      </c>
      <c r="I5" s="63" t="s">
        <v>10</v>
      </c>
      <c r="J5" s="63" t="s">
        <v>11</v>
      </c>
      <c r="K5" s="63" t="s">
        <v>12</v>
      </c>
      <c r="L5" s="63" t="s">
        <v>52</v>
      </c>
      <c r="M5" s="63" t="s">
        <v>14</v>
      </c>
      <c r="N5" s="63" t="s">
        <v>53</v>
      </c>
    </row>
    <row r="6" spans="1:29" ht="35.1" customHeight="1">
      <c r="A6" s="64"/>
      <c r="B6" s="65"/>
      <c r="C6" s="66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T6" s="68"/>
      <c r="U6" s="68"/>
      <c r="V6" s="68"/>
      <c r="W6" s="68"/>
      <c r="X6" s="68"/>
      <c r="Y6" s="68"/>
      <c r="Z6" s="68"/>
      <c r="AA6" s="68"/>
      <c r="AB6" s="68"/>
      <c r="AC6" s="68"/>
    </row>
    <row r="7" spans="1:29" ht="35.1" customHeight="1">
      <c r="A7" s="69" t="s">
        <v>54</v>
      </c>
      <c r="B7" s="70" t="s">
        <v>55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T7" s="68"/>
      <c r="U7" s="68"/>
      <c r="V7" s="68"/>
      <c r="W7" s="68"/>
      <c r="X7" s="68"/>
      <c r="Y7" s="68"/>
      <c r="Z7" s="68"/>
      <c r="AA7" s="68"/>
      <c r="AB7" s="68"/>
      <c r="AC7" s="68"/>
    </row>
    <row r="8" spans="1:29" ht="35.1" customHeight="1">
      <c r="A8" s="69" t="s">
        <v>56</v>
      </c>
      <c r="B8" s="72" t="s">
        <v>57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T8" s="68"/>
      <c r="U8" s="68"/>
      <c r="V8" s="68"/>
      <c r="W8" s="68"/>
      <c r="X8" s="68"/>
      <c r="Y8" s="68"/>
      <c r="Z8" s="68"/>
      <c r="AA8" s="68"/>
      <c r="AB8" s="68"/>
      <c r="AC8" s="68"/>
    </row>
    <row r="9" spans="1:29" ht="35.1" customHeight="1">
      <c r="A9" s="73" t="s">
        <v>58</v>
      </c>
      <c r="B9" s="74" t="s">
        <v>22</v>
      </c>
      <c r="C9" s="75">
        <v>749</v>
      </c>
      <c r="D9" s="75">
        <v>887</v>
      </c>
      <c r="E9" s="75">
        <v>596</v>
      </c>
      <c r="F9" s="75">
        <v>764</v>
      </c>
      <c r="G9" s="75">
        <v>764</v>
      </c>
      <c r="H9" s="75">
        <v>871</v>
      </c>
      <c r="I9" s="75">
        <v>791</v>
      </c>
      <c r="J9" s="75">
        <v>755</v>
      </c>
      <c r="K9" s="75">
        <v>795</v>
      </c>
      <c r="L9" s="75">
        <v>533</v>
      </c>
      <c r="M9" s="75">
        <v>931</v>
      </c>
      <c r="N9" s="75">
        <v>886</v>
      </c>
      <c r="T9" s="68"/>
      <c r="U9" s="68"/>
      <c r="V9" s="68"/>
      <c r="W9" s="68"/>
      <c r="X9" s="68"/>
      <c r="Y9" s="68"/>
      <c r="Z9" s="68"/>
      <c r="AA9" s="68"/>
      <c r="AB9" s="68"/>
      <c r="AC9" s="68"/>
    </row>
    <row r="10" spans="1:29" ht="35.1" customHeight="1">
      <c r="A10" s="73" t="s">
        <v>59</v>
      </c>
      <c r="B10" s="74" t="s">
        <v>60</v>
      </c>
      <c r="C10" s="75">
        <v>23177</v>
      </c>
      <c r="D10" s="75">
        <v>23431</v>
      </c>
      <c r="E10" s="75">
        <v>16827</v>
      </c>
      <c r="F10" s="75">
        <v>21135</v>
      </c>
      <c r="G10" s="75">
        <v>21418</v>
      </c>
      <c r="H10" s="75">
        <v>22686</v>
      </c>
      <c r="I10" s="75">
        <v>22372</v>
      </c>
      <c r="J10" s="75">
        <v>20930</v>
      </c>
      <c r="K10" s="75">
        <v>22031</v>
      </c>
      <c r="L10" s="75">
        <v>15528</v>
      </c>
      <c r="M10" s="75">
        <v>27075</v>
      </c>
      <c r="N10" s="75">
        <v>25815</v>
      </c>
      <c r="T10" s="68"/>
      <c r="U10" s="68"/>
      <c r="V10" s="68"/>
      <c r="W10" s="68"/>
      <c r="X10" s="68"/>
      <c r="Y10" s="68"/>
      <c r="Z10" s="68"/>
      <c r="AA10" s="68"/>
      <c r="AB10" s="68"/>
      <c r="AC10" s="68"/>
    </row>
    <row r="11" spans="1:29" ht="35.1" customHeight="1">
      <c r="A11" s="69" t="s">
        <v>61</v>
      </c>
      <c r="B11" s="70" t="s">
        <v>62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T11" s="68"/>
      <c r="U11" s="68"/>
      <c r="V11" s="68"/>
      <c r="W11" s="68"/>
      <c r="X11" s="68"/>
      <c r="Y11" s="68"/>
      <c r="Z11" s="68"/>
      <c r="AA11" s="68"/>
      <c r="AB11" s="68"/>
      <c r="AC11" s="68"/>
    </row>
    <row r="12" spans="1:29" ht="35.1" customHeight="1">
      <c r="A12" s="73" t="s">
        <v>63</v>
      </c>
      <c r="B12" s="74" t="s">
        <v>28</v>
      </c>
      <c r="C12" s="75">
        <v>22360</v>
      </c>
      <c r="D12" s="75">
        <v>25214</v>
      </c>
      <c r="E12" s="75">
        <v>25377</v>
      </c>
      <c r="F12" s="75">
        <v>25355</v>
      </c>
      <c r="G12" s="75">
        <v>26054</v>
      </c>
      <c r="H12" s="75">
        <v>28820</v>
      </c>
      <c r="I12" s="75">
        <v>28836</v>
      </c>
      <c r="J12" s="75">
        <v>25952</v>
      </c>
      <c r="K12" s="75">
        <v>31931</v>
      </c>
      <c r="L12" s="75">
        <v>25785</v>
      </c>
      <c r="M12" s="75">
        <v>30464</v>
      </c>
      <c r="N12" s="75">
        <v>30193</v>
      </c>
      <c r="T12" s="68"/>
      <c r="U12" s="68"/>
      <c r="V12" s="68"/>
      <c r="W12" s="68"/>
      <c r="X12" s="68"/>
      <c r="Y12" s="68"/>
      <c r="Z12" s="68"/>
      <c r="AA12" s="68"/>
      <c r="AB12" s="68"/>
      <c r="AC12" s="68"/>
    </row>
    <row r="13" spans="1:29" ht="35.1" customHeight="1">
      <c r="A13" s="73" t="s">
        <v>59</v>
      </c>
      <c r="B13" s="74" t="s">
        <v>60</v>
      </c>
      <c r="C13" s="75">
        <v>91686</v>
      </c>
      <c r="D13" s="75">
        <v>101149</v>
      </c>
      <c r="E13" s="75">
        <v>100961</v>
      </c>
      <c r="F13" s="75">
        <v>100001</v>
      </c>
      <c r="G13" s="75">
        <v>96085</v>
      </c>
      <c r="H13" s="75">
        <v>116338</v>
      </c>
      <c r="I13" s="75">
        <v>105348</v>
      </c>
      <c r="J13" s="75">
        <v>114195</v>
      </c>
      <c r="K13" s="75">
        <v>113237</v>
      </c>
      <c r="L13" s="75">
        <v>93251</v>
      </c>
      <c r="M13" s="75">
        <v>98996</v>
      </c>
      <c r="N13" s="75">
        <v>114776</v>
      </c>
      <c r="T13" s="68"/>
      <c r="U13" s="68"/>
      <c r="V13" s="68"/>
      <c r="W13" s="68"/>
      <c r="X13" s="68"/>
      <c r="Y13" s="68"/>
      <c r="Z13" s="68"/>
      <c r="AA13" s="68"/>
      <c r="AB13" s="68"/>
      <c r="AC13" s="68"/>
    </row>
    <row r="14" spans="1:29" s="78" customFormat="1" ht="35.1" customHeight="1">
      <c r="A14" s="77" t="s">
        <v>64</v>
      </c>
      <c r="B14" s="70" t="s">
        <v>65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T14" s="68"/>
      <c r="U14" s="68"/>
      <c r="V14" s="68"/>
      <c r="W14" s="68"/>
      <c r="X14" s="68"/>
      <c r="Y14" s="68"/>
      <c r="Z14" s="68"/>
      <c r="AA14" s="68"/>
      <c r="AB14" s="68"/>
      <c r="AC14" s="68"/>
    </row>
    <row r="15" spans="1:29" ht="35.1" customHeight="1">
      <c r="A15" s="73" t="s">
        <v>39</v>
      </c>
      <c r="B15" s="74" t="s">
        <v>28</v>
      </c>
      <c r="C15" s="75"/>
      <c r="D15" s="75"/>
      <c r="E15" s="75">
        <v>153</v>
      </c>
      <c r="F15" s="75">
        <v>773</v>
      </c>
      <c r="G15" s="75">
        <v>574</v>
      </c>
      <c r="H15" s="75">
        <v>1232</v>
      </c>
      <c r="I15" s="75">
        <v>3252</v>
      </c>
      <c r="J15" s="75">
        <v>1075</v>
      </c>
      <c r="K15" s="75">
        <v>890</v>
      </c>
      <c r="L15" s="75">
        <v>720</v>
      </c>
      <c r="M15" s="75">
        <v>891</v>
      </c>
      <c r="N15" s="75">
        <v>1044</v>
      </c>
      <c r="T15" s="68"/>
      <c r="U15" s="68"/>
      <c r="V15" s="68"/>
      <c r="W15" s="68"/>
      <c r="X15" s="68"/>
      <c r="Y15" s="68"/>
      <c r="Z15" s="68"/>
      <c r="AA15" s="68"/>
      <c r="AB15" s="68"/>
      <c r="AC15" s="68"/>
    </row>
    <row r="16" spans="1:29" ht="35.1" customHeight="1">
      <c r="A16" s="79" t="s">
        <v>40</v>
      </c>
      <c r="B16" s="80" t="s">
        <v>41</v>
      </c>
      <c r="C16" s="81"/>
      <c r="D16" s="81"/>
      <c r="E16" s="81">
        <v>25.63</v>
      </c>
      <c r="F16" s="81">
        <v>175</v>
      </c>
      <c r="G16" s="81">
        <v>108</v>
      </c>
      <c r="H16" s="81">
        <v>237</v>
      </c>
      <c r="I16" s="81">
        <v>2268</v>
      </c>
      <c r="J16" s="81">
        <v>1127</v>
      </c>
      <c r="K16" s="81">
        <v>1679</v>
      </c>
      <c r="L16" s="81">
        <v>1661</v>
      </c>
      <c r="M16" s="81">
        <v>1770</v>
      </c>
      <c r="N16" s="81">
        <v>2882</v>
      </c>
      <c r="T16" s="68"/>
      <c r="U16" s="68"/>
      <c r="V16" s="68"/>
      <c r="W16" s="68"/>
      <c r="X16" s="68"/>
      <c r="Y16" s="68"/>
      <c r="Z16" s="68"/>
      <c r="AA16" s="68"/>
      <c r="AB16" s="68"/>
      <c r="AC16" s="68"/>
    </row>
    <row r="17" spans="1:29" ht="25.5" customHeight="1">
      <c r="A17" s="82"/>
      <c r="B17" s="83"/>
      <c r="C17" s="55"/>
      <c r="T17" s="68"/>
      <c r="U17" s="68"/>
      <c r="V17" s="68"/>
      <c r="W17" s="68"/>
      <c r="X17" s="68"/>
      <c r="Y17" s="68"/>
      <c r="Z17" s="68"/>
      <c r="AA17" s="68"/>
      <c r="AB17" s="68"/>
      <c r="AC17" s="68"/>
    </row>
    <row r="18" spans="1:29" ht="21.75" customHeight="1">
      <c r="A18" s="82"/>
      <c r="B18" s="84"/>
      <c r="C18" s="55"/>
      <c r="T18" s="68"/>
      <c r="U18" s="68"/>
      <c r="V18" s="68"/>
      <c r="W18" s="68"/>
      <c r="X18" s="68"/>
      <c r="Y18" s="68"/>
      <c r="Z18" s="68"/>
      <c r="AA18" s="68"/>
      <c r="AB18" s="68"/>
      <c r="AC18" s="68"/>
    </row>
    <row r="19" spans="1:29" ht="21">
      <c r="A19" s="82"/>
      <c r="B19" s="85"/>
      <c r="C19" s="55"/>
      <c r="T19" s="68"/>
      <c r="U19" s="68"/>
      <c r="V19" s="68"/>
      <c r="W19" s="68"/>
      <c r="X19" s="68"/>
      <c r="Y19" s="68"/>
      <c r="Z19" s="68"/>
      <c r="AA19" s="68"/>
      <c r="AB19" s="68"/>
      <c r="AC19" s="68"/>
    </row>
    <row r="20" spans="1:29" ht="26.25" customHeight="1">
      <c r="C20" s="55"/>
      <c r="T20" s="68"/>
      <c r="U20" s="68"/>
      <c r="V20" s="68"/>
      <c r="W20" s="68"/>
      <c r="X20" s="68"/>
      <c r="Y20" s="68"/>
      <c r="Z20" s="68"/>
      <c r="AA20" s="68"/>
      <c r="AB20" s="68"/>
      <c r="AC20" s="68"/>
    </row>
    <row r="21" spans="1:29" ht="21">
      <c r="A21" s="82"/>
      <c r="B21" s="84"/>
      <c r="C21" s="55"/>
      <c r="T21" s="68"/>
      <c r="U21" s="68"/>
      <c r="V21" s="68"/>
      <c r="W21" s="68"/>
      <c r="X21" s="68"/>
      <c r="Y21" s="68"/>
      <c r="Z21" s="68"/>
      <c r="AA21" s="68"/>
      <c r="AB21" s="68"/>
      <c r="AC21" s="68"/>
    </row>
    <row r="22" spans="1:29" ht="21">
      <c r="A22" s="82"/>
      <c r="B22" s="87"/>
      <c r="C22" s="88"/>
    </row>
  </sheetData>
  <mergeCells count="3">
    <mergeCell ref="C1:M1"/>
    <mergeCell ref="C4:H4"/>
    <mergeCell ref="I4:N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BC14-98E4-407F-9B4E-4C5D7BEB24B6}">
  <sheetPr>
    <pageSetUpPr fitToPage="1"/>
  </sheetPr>
  <dimension ref="A1:AC22"/>
  <sheetViews>
    <sheetView topLeftCell="C1" zoomScale="90" zoomScaleNormal="90" workbookViewId="0"/>
  </sheetViews>
  <sheetFormatPr defaultColWidth="8" defaultRowHeight="18.75"/>
  <cols>
    <col min="1" max="1" width="86.140625" style="52" customWidth="1"/>
    <col min="2" max="2" width="86.140625" style="86" customWidth="1"/>
    <col min="3" max="3" width="11.140625" style="89" customWidth="1"/>
    <col min="4" max="10" width="11.140625" style="55" customWidth="1"/>
    <col min="11" max="11" width="9.85546875" style="55" customWidth="1"/>
    <col min="12" max="20" width="10" style="55" customWidth="1"/>
    <col min="21" max="29" width="8" style="55"/>
    <col min="30" max="30" width="8.140625" style="55" bestFit="1" customWidth="1"/>
    <col min="31" max="16384" width="8" style="55"/>
  </cols>
  <sheetData>
    <row r="1" spans="1:29" ht="24.95" customHeight="1">
      <c r="B1" s="53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54"/>
      <c r="O1" s="54"/>
    </row>
    <row r="2" spans="1:29" ht="24.95" customHeight="1">
      <c r="B2" s="56"/>
      <c r="C2" s="57"/>
      <c r="D2" s="57"/>
      <c r="E2" s="57"/>
      <c r="F2" s="57"/>
      <c r="G2" s="57"/>
      <c r="H2" s="57"/>
      <c r="J2" s="57"/>
      <c r="L2" s="57"/>
      <c r="N2" s="54"/>
    </row>
    <row r="3" spans="1:29" ht="24.95" customHeight="1">
      <c r="A3" s="58" t="s">
        <v>0</v>
      </c>
      <c r="B3" s="59" t="s">
        <v>1</v>
      </c>
      <c r="C3" s="55"/>
    </row>
    <row r="4" spans="1:29" ht="24.95" customHeight="1">
      <c r="A4" s="60" t="s">
        <v>50</v>
      </c>
      <c r="B4" s="61" t="s">
        <v>51</v>
      </c>
      <c r="C4" s="256">
        <v>2005</v>
      </c>
      <c r="D4" s="256"/>
      <c r="E4" s="256"/>
      <c r="F4" s="256"/>
      <c r="G4" s="256"/>
      <c r="H4" s="256"/>
      <c r="I4" s="256">
        <v>2006</v>
      </c>
      <c r="J4" s="256"/>
      <c r="K4" s="256"/>
      <c r="L4" s="256"/>
      <c r="M4" s="256"/>
      <c r="N4" s="256"/>
    </row>
    <row r="5" spans="1:29" ht="24.95" customHeight="1">
      <c r="A5" s="62" t="s">
        <v>2</v>
      </c>
      <c r="B5" s="61" t="s">
        <v>3</v>
      </c>
      <c r="C5" s="63" t="s">
        <v>4</v>
      </c>
      <c r="D5" s="63" t="s">
        <v>5</v>
      </c>
      <c r="E5" s="63" t="s">
        <v>6</v>
      </c>
      <c r="F5" s="63" t="s">
        <v>7</v>
      </c>
      <c r="G5" s="63" t="s">
        <v>8</v>
      </c>
      <c r="H5" s="63" t="s">
        <v>9</v>
      </c>
      <c r="I5" s="63" t="s">
        <v>10</v>
      </c>
      <c r="J5" s="63" t="s">
        <v>11</v>
      </c>
      <c r="K5" s="63" t="s">
        <v>12</v>
      </c>
      <c r="L5" s="63" t="s">
        <v>52</v>
      </c>
      <c r="M5" s="63" t="s">
        <v>14</v>
      </c>
      <c r="N5" s="63" t="s">
        <v>53</v>
      </c>
    </row>
    <row r="6" spans="1:29" ht="24.95" customHeight="1">
      <c r="A6" s="64"/>
      <c r="B6" s="65"/>
      <c r="C6" s="66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T6" s="68"/>
      <c r="U6" s="68"/>
      <c r="V6" s="68"/>
      <c r="W6" s="68"/>
      <c r="X6" s="68"/>
      <c r="Y6" s="68"/>
      <c r="Z6" s="68"/>
      <c r="AA6" s="68"/>
      <c r="AB6" s="68"/>
      <c r="AC6" s="68"/>
    </row>
    <row r="7" spans="1:29" ht="24.95" customHeight="1">
      <c r="A7" s="69" t="s">
        <v>54</v>
      </c>
      <c r="B7" s="70" t="s">
        <v>55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T7" s="68"/>
      <c r="U7" s="68"/>
      <c r="V7" s="68"/>
      <c r="W7" s="68"/>
      <c r="X7" s="68"/>
      <c r="Y7" s="68"/>
      <c r="Z7" s="68"/>
      <c r="AA7" s="68"/>
      <c r="AB7" s="68"/>
      <c r="AC7" s="68"/>
    </row>
    <row r="8" spans="1:29" ht="24.95" customHeight="1">
      <c r="A8" s="90" t="s">
        <v>56</v>
      </c>
      <c r="B8" s="70" t="s">
        <v>66</v>
      </c>
      <c r="C8" s="71">
        <v>798</v>
      </c>
      <c r="D8" s="71">
        <v>900</v>
      </c>
      <c r="E8" s="71">
        <v>592</v>
      </c>
      <c r="F8" s="71">
        <v>842</v>
      </c>
      <c r="G8" s="71">
        <v>837</v>
      </c>
      <c r="H8" s="71">
        <v>652</v>
      </c>
      <c r="I8" s="71">
        <v>536</v>
      </c>
      <c r="J8" s="71">
        <v>854</v>
      </c>
      <c r="K8" s="71">
        <v>814</v>
      </c>
      <c r="L8" s="71">
        <v>778</v>
      </c>
      <c r="M8" s="71">
        <v>1028</v>
      </c>
      <c r="N8" s="71">
        <v>877</v>
      </c>
      <c r="T8" s="68"/>
      <c r="U8" s="68"/>
      <c r="V8" s="68"/>
      <c r="W8" s="68"/>
      <c r="X8" s="68"/>
      <c r="Y8" s="68"/>
      <c r="Z8" s="68"/>
      <c r="AA8" s="68"/>
      <c r="AB8" s="68"/>
      <c r="AC8" s="68"/>
    </row>
    <row r="9" spans="1:29" ht="24.95" customHeight="1">
      <c r="A9" s="73" t="s">
        <v>58</v>
      </c>
      <c r="B9" s="74" t="s">
        <v>22</v>
      </c>
      <c r="C9" s="75">
        <v>24831</v>
      </c>
      <c r="D9" s="75">
        <v>25813</v>
      </c>
      <c r="E9" s="75">
        <v>18982</v>
      </c>
      <c r="F9" s="75">
        <v>26078</v>
      </c>
      <c r="G9" s="75">
        <v>24149</v>
      </c>
      <c r="H9" s="75">
        <v>20524</v>
      </c>
      <c r="I9" s="75">
        <v>15096</v>
      </c>
      <c r="J9" s="75">
        <v>27035</v>
      </c>
      <c r="K9" s="75">
        <v>23053</v>
      </c>
      <c r="L9" s="75">
        <v>24374</v>
      </c>
      <c r="M9" s="75">
        <v>31651</v>
      </c>
      <c r="N9" s="75">
        <v>27129</v>
      </c>
      <c r="T9" s="68"/>
      <c r="U9" s="68"/>
      <c r="V9" s="68"/>
      <c r="W9" s="68"/>
      <c r="X9" s="68"/>
      <c r="Y9" s="68"/>
      <c r="Z9" s="68"/>
      <c r="AA9" s="68"/>
      <c r="AB9" s="68"/>
      <c r="AC9" s="68"/>
    </row>
    <row r="10" spans="1:29" ht="24.95" customHeight="1">
      <c r="A10" s="73" t="s">
        <v>59</v>
      </c>
      <c r="B10" s="74" t="s">
        <v>60</v>
      </c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T10" s="68"/>
      <c r="U10" s="68"/>
      <c r="V10" s="68"/>
      <c r="W10" s="68"/>
      <c r="X10" s="68"/>
      <c r="Y10" s="68"/>
      <c r="Z10" s="68"/>
      <c r="AA10" s="68"/>
      <c r="AB10" s="68"/>
      <c r="AC10" s="68"/>
    </row>
    <row r="11" spans="1:29" ht="24.95" customHeight="1">
      <c r="A11" s="69" t="s">
        <v>61</v>
      </c>
      <c r="B11" s="70" t="s">
        <v>62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T11" s="68"/>
      <c r="U11" s="68"/>
      <c r="V11" s="68"/>
      <c r="W11" s="68"/>
      <c r="X11" s="68"/>
      <c r="Y11" s="68"/>
      <c r="Z11" s="68"/>
      <c r="AA11" s="68"/>
      <c r="AB11" s="68"/>
      <c r="AC11" s="68"/>
    </row>
    <row r="12" spans="1:29" ht="24.95" customHeight="1">
      <c r="A12" s="73" t="s">
        <v>63</v>
      </c>
      <c r="B12" s="74" t="s">
        <v>28</v>
      </c>
      <c r="C12" s="75">
        <v>28603</v>
      </c>
      <c r="D12" s="75">
        <v>30165</v>
      </c>
      <c r="E12" s="75">
        <v>29945</v>
      </c>
      <c r="F12" s="75">
        <v>33348</v>
      </c>
      <c r="G12" s="75">
        <v>30458</v>
      </c>
      <c r="H12" s="75">
        <v>37207</v>
      </c>
      <c r="I12" s="75">
        <v>31557</v>
      </c>
      <c r="J12" s="75">
        <v>33666</v>
      </c>
      <c r="K12" s="75">
        <v>38348</v>
      </c>
      <c r="L12" s="75">
        <v>32932</v>
      </c>
      <c r="M12" s="75">
        <v>41455</v>
      </c>
      <c r="N12" s="75">
        <v>37092</v>
      </c>
      <c r="T12" s="68"/>
      <c r="U12" s="68"/>
      <c r="V12" s="68"/>
      <c r="W12" s="68"/>
      <c r="X12" s="68"/>
      <c r="Y12" s="68"/>
      <c r="Z12" s="68"/>
      <c r="AA12" s="68"/>
      <c r="AB12" s="68"/>
      <c r="AC12" s="68"/>
    </row>
    <row r="13" spans="1:29" ht="24.95" customHeight="1">
      <c r="A13" s="73" t="s">
        <v>59</v>
      </c>
      <c r="B13" s="74" t="s">
        <v>60</v>
      </c>
      <c r="C13" s="75">
        <v>116249</v>
      </c>
      <c r="D13" s="75">
        <v>102956</v>
      </c>
      <c r="E13" s="75">
        <v>133147</v>
      </c>
      <c r="F13" s="75">
        <v>121332</v>
      </c>
      <c r="G13" s="75">
        <v>104997</v>
      </c>
      <c r="H13" s="75">
        <v>177075</v>
      </c>
      <c r="I13" s="75">
        <v>124552</v>
      </c>
      <c r="J13" s="75">
        <v>142397</v>
      </c>
      <c r="K13" s="75">
        <v>166201</v>
      </c>
      <c r="L13" s="75">
        <v>128132</v>
      </c>
      <c r="M13" s="75">
        <v>183400</v>
      </c>
      <c r="N13" s="75">
        <v>158356</v>
      </c>
      <c r="T13" s="68"/>
      <c r="U13" s="68"/>
      <c r="V13" s="68"/>
      <c r="W13" s="68"/>
      <c r="X13" s="68"/>
      <c r="Y13" s="68"/>
      <c r="Z13" s="68"/>
      <c r="AA13" s="68"/>
      <c r="AB13" s="68"/>
      <c r="AC13" s="68"/>
    </row>
    <row r="14" spans="1:29" s="78" customFormat="1" ht="24.95" customHeight="1">
      <c r="A14" s="77" t="s">
        <v>64</v>
      </c>
      <c r="B14" s="70" t="s">
        <v>65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T14" s="68"/>
      <c r="U14" s="68"/>
      <c r="V14" s="68"/>
      <c r="W14" s="68"/>
      <c r="X14" s="68"/>
      <c r="Y14" s="68"/>
      <c r="Z14" s="68"/>
      <c r="AA14" s="68"/>
      <c r="AB14" s="68"/>
      <c r="AC14" s="68"/>
    </row>
    <row r="15" spans="1:29" ht="24.95" customHeight="1">
      <c r="A15" s="73" t="s">
        <v>39</v>
      </c>
      <c r="B15" s="74" t="s">
        <v>28</v>
      </c>
      <c r="C15" s="75">
        <v>1255</v>
      </c>
      <c r="D15" s="75">
        <v>913</v>
      </c>
      <c r="E15" s="75">
        <v>946</v>
      </c>
      <c r="F15" s="75">
        <v>764</v>
      </c>
      <c r="G15" s="75">
        <v>689</v>
      </c>
      <c r="H15" s="75">
        <v>964</v>
      </c>
      <c r="I15" s="75">
        <v>941</v>
      </c>
      <c r="J15" s="75">
        <v>796</v>
      </c>
      <c r="K15" s="75">
        <v>896</v>
      </c>
      <c r="L15" s="75">
        <v>580</v>
      </c>
      <c r="M15" s="75">
        <v>1315</v>
      </c>
      <c r="N15" s="75">
        <v>990</v>
      </c>
      <c r="T15" s="68"/>
      <c r="U15" s="68"/>
      <c r="V15" s="68"/>
      <c r="W15" s="68"/>
      <c r="X15" s="68"/>
      <c r="Y15" s="68"/>
      <c r="Z15" s="68"/>
      <c r="AA15" s="68"/>
      <c r="AB15" s="68"/>
      <c r="AC15" s="68"/>
    </row>
    <row r="16" spans="1:29" ht="24.95" customHeight="1">
      <c r="A16" s="79" t="s">
        <v>40</v>
      </c>
      <c r="B16" s="80" t="s">
        <v>41</v>
      </c>
      <c r="C16" s="81">
        <v>3356</v>
      </c>
      <c r="D16" s="81">
        <v>1900</v>
      </c>
      <c r="E16" s="81">
        <v>3088</v>
      </c>
      <c r="F16" s="81">
        <v>2332</v>
      </c>
      <c r="G16" s="81">
        <v>2187</v>
      </c>
      <c r="H16" s="81">
        <v>4194</v>
      </c>
      <c r="I16" s="81">
        <v>4421</v>
      </c>
      <c r="J16" s="81">
        <v>3280</v>
      </c>
      <c r="K16" s="81">
        <v>3286</v>
      </c>
      <c r="L16" s="81">
        <v>1972</v>
      </c>
      <c r="M16" s="81">
        <v>5433</v>
      </c>
      <c r="N16" s="81">
        <v>4323</v>
      </c>
      <c r="T16" s="68"/>
      <c r="U16" s="68"/>
      <c r="V16" s="68"/>
      <c r="W16" s="68"/>
      <c r="X16" s="68"/>
      <c r="Y16" s="68"/>
      <c r="Z16" s="68"/>
      <c r="AA16" s="68"/>
      <c r="AB16" s="68"/>
      <c r="AC16" s="68"/>
    </row>
    <row r="17" spans="1:29">
      <c r="A17" s="82"/>
      <c r="B17" s="83"/>
      <c r="C17" s="55"/>
      <c r="T17" s="68"/>
      <c r="U17" s="68"/>
      <c r="V17" s="68"/>
      <c r="W17" s="68"/>
      <c r="X17" s="68"/>
      <c r="Y17" s="68"/>
      <c r="Z17" s="68"/>
      <c r="AA17" s="68"/>
      <c r="AB17" s="68"/>
      <c r="AC17" s="68"/>
    </row>
    <row r="18" spans="1:29" ht="21">
      <c r="A18" s="82"/>
      <c r="B18" s="84"/>
      <c r="C18" s="55"/>
      <c r="T18" s="68"/>
      <c r="U18" s="68"/>
      <c r="V18" s="68"/>
      <c r="W18" s="68"/>
      <c r="X18" s="68"/>
      <c r="Y18" s="68"/>
      <c r="Z18" s="68"/>
      <c r="AA18" s="68"/>
      <c r="AB18" s="68"/>
      <c r="AC18" s="68"/>
    </row>
    <row r="19" spans="1:29" ht="21">
      <c r="A19" s="82"/>
      <c r="B19" s="85"/>
      <c r="C19" s="55"/>
      <c r="T19" s="68"/>
      <c r="U19" s="68"/>
      <c r="V19" s="68"/>
      <c r="W19" s="68"/>
      <c r="X19" s="68"/>
      <c r="Y19" s="68"/>
      <c r="Z19" s="68"/>
      <c r="AA19" s="68"/>
      <c r="AB19" s="68"/>
      <c r="AC19" s="68"/>
    </row>
    <row r="20" spans="1:29">
      <c r="C20" s="55"/>
      <c r="T20" s="68"/>
      <c r="U20" s="68"/>
      <c r="V20" s="68"/>
      <c r="W20" s="68"/>
      <c r="X20" s="68"/>
      <c r="Y20" s="68"/>
      <c r="Z20" s="68"/>
      <c r="AA20" s="68"/>
      <c r="AB20" s="68"/>
      <c r="AC20" s="68"/>
    </row>
    <row r="21" spans="1:29" ht="21">
      <c r="A21" s="82"/>
      <c r="B21" s="84"/>
      <c r="C21" s="55"/>
      <c r="T21" s="68"/>
      <c r="U21" s="68"/>
      <c r="V21" s="68"/>
      <c r="W21" s="68"/>
      <c r="X21" s="68"/>
      <c r="Y21" s="68"/>
      <c r="Z21" s="68"/>
      <c r="AA21" s="68"/>
      <c r="AB21" s="68"/>
      <c r="AC21" s="68"/>
    </row>
    <row r="22" spans="1:29" ht="21">
      <c r="A22" s="82"/>
      <c r="B22" s="87"/>
      <c r="C22" s="88"/>
    </row>
  </sheetData>
  <mergeCells count="3">
    <mergeCell ref="C1:M1"/>
    <mergeCell ref="C4:H4"/>
    <mergeCell ref="I4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E59F-E2CD-47CE-8B72-F3A77F0C1AD5}">
  <sheetPr>
    <pageSetUpPr fitToPage="1"/>
  </sheetPr>
  <dimension ref="A1:AC22"/>
  <sheetViews>
    <sheetView topLeftCell="C1" zoomScale="90" zoomScaleNormal="90" workbookViewId="0"/>
  </sheetViews>
  <sheetFormatPr defaultColWidth="8" defaultRowHeight="18.75"/>
  <cols>
    <col min="1" max="1" width="83.42578125" style="52" customWidth="1"/>
    <col min="2" max="2" width="83.42578125" style="86" customWidth="1"/>
    <col min="3" max="3" width="11.140625" style="89" customWidth="1"/>
    <col min="4" max="10" width="11.140625" style="55" customWidth="1"/>
    <col min="11" max="11" width="9.85546875" style="55" customWidth="1"/>
    <col min="12" max="20" width="10" style="55" customWidth="1"/>
    <col min="21" max="29" width="8" style="55"/>
    <col min="30" max="30" width="8.140625" style="55" bestFit="1" customWidth="1"/>
    <col min="31" max="16384" width="8" style="55"/>
  </cols>
  <sheetData>
    <row r="1" spans="1:29" ht="24.95" customHeight="1">
      <c r="B1" s="53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54"/>
      <c r="O1" s="54"/>
    </row>
    <row r="2" spans="1:29" ht="24.95" customHeight="1">
      <c r="B2" s="56"/>
      <c r="C2" s="57"/>
      <c r="D2" s="57"/>
      <c r="E2" s="57"/>
      <c r="F2" s="57"/>
      <c r="G2" s="57"/>
      <c r="H2" s="57"/>
      <c r="J2" s="57"/>
      <c r="L2" s="57"/>
      <c r="N2" s="54"/>
    </row>
    <row r="3" spans="1:29" ht="24.95" customHeight="1">
      <c r="A3" s="58" t="s">
        <v>0</v>
      </c>
      <c r="B3" s="59" t="s">
        <v>1</v>
      </c>
      <c r="C3" s="55"/>
    </row>
    <row r="4" spans="1:29" ht="24.95" customHeight="1">
      <c r="A4" s="60" t="s">
        <v>50</v>
      </c>
      <c r="B4" s="61" t="s">
        <v>51</v>
      </c>
      <c r="C4" s="256">
        <v>2006</v>
      </c>
      <c r="D4" s="256"/>
      <c r="E4" s="256"/>
      <c r="F4" s="256"/>
      <c r="G4" s="256"/>
      <c r="H4" s="256"/>
      <c r="I4" s="256">
        <v>2007</v>
      </c>
      <c r="J4" s="256"/>
      <c r="K4" s="256"/>
      <c r="L4" s="256"/>
      <c r="M4" s="256"/>
      <c r="N4" s="256"/>
    </row>
    <row r="5" spans="1:29" ht="24.95" customHeight="1">
      <c r="A5" s="62" t="s">
        <v>2</v>
      </c>
      <c r="B5" s="61" t="s">
        <v>3</v>
      </c>
      <c r="C5" s="63" t="s">
        <v>4</v>
      </c>
      <c r="D5" s="63" t="s">
        <v>5</v>
      </c>
      <c r="E5" s="63" t="s">
        <v>6</v>
      </c>
      <c r="F5" s="63" t="s">
        <v>7</v>
      </c>
      <c r="G5" s="63" t="s">
        <v>8</v>
      </c>
      <c r="H5" s="63" t="s">
        <v>9</v>
      </c>
      <c r="I5" s="63" t="s">
        <v>10</v>
      </c>
      <c r="J5" s="63" t="s">
        <v>11</v>
      </c>
      <c r="K5" s="63" t="s">
        <v>12</v>
      </c>
      <c r="L5" s="63" t="s">
        <v>52</v>
      </c>
      <c r="M5" s="63" t="s">
        <v>14</v>
      </c>
      <c r="N5" s="63" t="s">
        <v>53</v>
      </c>
    </row>
    <row r="6" spans="1:29" ht="24.95" customHeight="1">
      <c r="A6" s="64"/>
      <c r="B6" s="65"/>
      <c r="C6" s="66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T6" s="68"/>
      <c r="U6" s="68"/>
      <c r="V6" s="68"/>
      <c r="W6" s="68"/>
      <c r="X6" s="68"/>
      <c r="Y6" s="68"/>
      <c r="Z6" s="68"/>
      <c r="AA6" s="68"/>
      <c r="AB6" s="68"/>
      <c r="AC6" s="68"/>
    </row>
    <row r="7" spans="1:29" ht="24.95" customHeight="1">
      <c r="A7" s="69" t="s">
        <v>54</v>
      </c>
      <c r="B7" s="70" t="s">
        <v>55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T7" s="68"/>
      <c r="U7" s="68"/>
      <c r="V7" s="68"/>
      <c r="W7" s="68"/>
      <c r="X7" s="68"/>
      <c r="Y7" s="68"/>
      <c r="Z7" s="68"/>
      <c r="AA7" s="68"/>
      <c r="AB7" s="68"/>
      <c r="AC7" s="68"/>
    </row>
    <row r="8" spans="1:29" ht="24.95" customHeight="1">
      <c r="A8" s="90" t="s">
        <v>56</v>
      </c>
      <c r="B8" s="70" t="s">
        <v>66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T8" s="68"/>
      <c r="U8" s="68"/>
      <c r="V8" s="68"/>
      <c r="W8" s="68"/>
      <c r="X8" s="68"/>
      <c r="Y8" s="68"/>
      <c r="Z8" s="68"/>
      <c r="AA8" s="68"/>
      <c r="AB8" s="68"/>
      <c r="AC8" s="68"/>
    </row>
    <row r="9" spans="1:29" ht="24.95" customHeight="1">
      <c r="A9" s="73" t="s">
        <v>58</v>
      </c>
      <c r="B9" s="74" t="s">
        <v>22</v>
      </c>
      <c r="C9" s="75">
        <v>904</v>
      </c>
      <c r="D9" s="75">
        <v>957</v>
      </c>
      <c r="E9" s="75">
        <v>738</v>
      </c>
      <c r="F9" s="75">
        <v>537</v>
      </c>
      <c r="G9" s="75">
        <v>937.98500000000001</v>
      </c>
      <c r="H9" s="75">
        <v>858</v>
      </c>
      <c r="I9" s="75">
        <v>922</v>
      </c>
      <c r="J9" s="75">
        <v>880.55499999999995</v>
      </c>
      <c r="K9" s="75">
        <v>935</v>
      </c>
      <c r="L9" s="75">
        <v>921</v>
      </c>
      <c r="M9" s="75">
        <v>1055</v>
      </c>
      <c r="N9" s="75">
        <v>835</v>
      </c>
      <c r="T9" s="68"/>
      <c r="U9" s="68"/>
      <c r="V9" s="68"/>
      <c r="W9" s="68"/>
      <c r="X9" s="68"/>
      <c r="Y9" s="68"/>
      <c r="Z9" s="68"/>
      <c r="AA9" s="68"/>
      <c r="AB9" s="68"/>
      <c r="AC9" s="68"/>
    </row>
    <row r="10" spans="1:29" ht="24.95" customHeight="1">
      <c r="A10" s="73" t="s">
        <v>59</v>
      </c>
      <c r="B10" s="74" t="s">
        <v>60</v>
      </c>
      <c r="C10" s="75">
        <v>30469</v>
      </c>
      <c r="D10" s="75">
        <v>29415</v>
      </c>
      <c r="E10" s="75">
        <v>25352</v>
      </c>
      <c r="F10" s="75">
        <v>16452</v>
      </c>
      <c r="G10" s="75">
        <v>31225</v>
      </c>
      <c r="H10" s="75">
        <v>28868</v>
      </c>
      <c r="I10" s="75">
        <v>30676</v>
      </c>
      <c r="J10" s="75">
        <v>30121</v>
      </c>
      <c r="K10" s="75">
        <v>30675</v>
      </c>
      <c r="L10" s="75">
        <v>32050.3</v>
      </c>
      <c r="M10" s="75">
        <v>38640</v>
      </c>
      <c r="N10" s="75">
        <v>32957</v>
      </c>
      <c r="T10" s="68"/>
      <c r="U10" s="68"/>
      <c r="V10" s="68"/>
      <c r="W10" s="68"/>
      <c r="X10" s="68"/>
      <c r="Y10" s="68"/>
      <c r="Z10" s="68"/>
      <c r="AA10" s="68"/>
      <c r="AB10" s="68"/>
      <c r="AC10" s="68"/>
    </row>
    <row r="11" spans="1:29" ht="24.95" customHeight="1">
      <c r="A11" s="69" t="s">
        <v>61</v>
      </c>
      <c r="B11" s="70" t="s">
        <v>62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T11" s="68"/>
      <c r="U11" s="68"/>
      <c r="V11" s="68"/>
      <c r="W11" s="68"/>
      <c r="X11" s="68"/>
      <c r="Y11" s="68"/>
      <c r="Z11" s="68"/>
      <c r="AA11" s="68"/>
      <c r="AB11" s="68"/>
      <c r="AC11" s="68"/>
    </row>
    <row r="12" spans="1:29" ht="24.95" customHeight="1">
      <c r="A12" s="73" t="s">
        <v>63</v>
      </c>
      <c r="B12" s="74" t="s">
        <v>28</v>
      </c>
      <c r="C12" s="75">
        <v>38531</v>
      </c>
      <c r="D12" s="75">
        <v>40266</v>
      </c>
      <c r="E12" s="75">
        <v>36281</v>
      </c>
      <c r="F12" s="75">
        <v>42552</v>
      </c>
      <c r="G12" s="75">
        <v>42797</v>
      </c>
      <c r="H12" s="75">
        <v>44340</v>
      </c>
      <c r="I12" s="75">
        <v>42580</v>
      </c>
      <c r="J12" s="75">
        <v>43117</v>
      </c>
      <c r="K12" s="75">
        <v>47134</v>
      </c>
      <c r="L12" s="75">
        <v>45994</v>
      </c>
      <c r="M12" s="75">
        <v>53565</v>
      </c>
      <c r="N12" s="75">
        <v>48079</v>
      </c>
      <c r="T12" s="68"/>
      <c r="U12" s="68"/>
      <c r="V12" s="68"/>
      <c r="W12" s="68"/>
      <c r="X12" s="68"/>
      <c r="Y12" s="68"/>
      <c r="Z12" s="68"/>
      <c r="AA12" s="68"/>
      <c r="AB12" s="68"/>
      <c r="AC12" s="68"/>
    </row>
    <row r="13" spans="1:29" ht="24.95" customHeight="1">
      <c r="A13" s="73" t="s">
        <v>59</v>
      </c>
      <c r="B13" s="74" t="s">
        <v>60</v>
      </c>
      <c r="C13" s="75">
        <v>147913</v>
      </c>
      <c r="D13" s="75">
        <v>164384</v>
      </c>
      <c r="E13" s="75">
        <v>134293</v>
      </c>
      <c r="F13" s="75">
        <v>195142</v>
      </c>
      <c r="G13" s="75">
        <v>186866</v>
      </c>
      <c r="H13" s="75">
        <v>179383</v>
      </c>
      <c r="I13" s="75">
        <v>186485</v>
      </c>
      <c r="J13" s="75">
        <v>165785</v>
      </c>
      <c r="K13" s="75">
        <v>212355</v>
      </c>
      <c r="L13" s="75">
        <v>205525</v>
      </c>
      <c r="M13" s="75">
        <v>266058</v>
      </c>
      <c r="N13" s="75">
        <v>236009</v>
      </c>
      <c r="T13" s="68"/>
      <c r="U13" s="68"/>
      <c r="V13" s="68"/>
      <c r="W13" s="68"/>
      <c r="X13" s="68"/>
      <c r="Y13" s="68"/>
      <c r="Z13" s="68"/>
      <c r="AA13" s="68"/>
      <c r="AB13" s="68"/>
      <c r="AC13" s="68"/>
    </row>
    <row r="14" spans="1:29" s="78" customFormat="1" ht="24.95" customHeight="1">
      <c r="A14" s="77" t="s">
        <v>64</v>
      </c>
      <c r="B14" s="70" t="s">
        <v>65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T14" s="68"/>
      <c r="U14" s="68"/>
      <c r="V14" s="68"/>
      <c r="W14" s="68"/>
      <c r="X14" s="68"/>
      <c r="Y14" s="68"/>
      <c r="Z14" s="68"/>
      <c r="AA14" s="68"/>
      <c r="AB14" s="68"/>
      <c r="AC14" s="68"/>
    </row>
    <row r="15" spans="1:29" ht="24.95" customHeight="1">
      <c r="A15" s="73" t="s">
        <v>39</v>
      </c>
      <c r="B15" s="74" t="s">
        <v>28</v>
      </c>
      <c r="C15" s="75">
        <v>1100</v>
      </c>
      <c r="D15" s="75">
        <v>873</v>
      </c>
      <c r="E15" s="75">
        <v>775</v>
      </c>
      <c r="F15" s="75">
        <v>734</v>
      </c>
      <c r="G15" s="75">
        <v>1090</v>
      </c>
      <c r="H15" s="75">
        <v>844</v>
      </c>
      <c r="I15" s="75">
        <v>1126</v>
      </c>
      <c r="J15" s="75">
        <v>766</v>
      </c>
      <c r="K15" s="75">
        <v>1046</v>
      </c>
      <c r="L15" s="75">
        <v>1593</v>
      </c>
      <c r="M15" s="75">
        <v>786</v>
      </c>
      <c r="N15" s="75">
        <v>1337</v>
      </c>
      <c r="T15" s="68"/>
      <c r="U15" s="68"/>
      <c r="V15" s="68"/>
      <c r="W15" s="68"/>
      <c r="X15" s="68"/>
      <c r="Y15" s="68"/>
      <c r="Z15" s="68"/>
      <c r="AA15" s="68"/>
      <c r="AB15" s="68"/>
      <c r="AC15" s="68"/>
    </row>
    <row r="16" spans="1:29" ht="24.95" customHeight="1">
      <c r="A16" s="79" t="s">
        <v>40</v>
      </c>
      <c r="B16" s="80" t="s">
        <v>41</v>
      </c>
      <c r="C16" s="81">
        <v>2451</v>
      </c>
      <c r="D16" s="81">
        <v>3214</v>
      </c>
      <c r="E16" s="81">
        <v>2994</v>
      </c>
      <c r="F16" s="81">
        <v>4653</v>
      </c>
      <c r="G16" s="81">
        <v>7439</v>
      </c>
      <c r="H16" s="81">
        <v>5270</v>
      </c>
      <c r="I16" s="81">
        <v>7931</v>
      </c>
      <c r="J16" s="81">
        <v>5056</v>
      </c>
      <c r="K16" s="81">
        <v>8038.5</v>
      </c>
      <c r="L16" s="81">
        <v>14885</v>
      </c>
      <c r="M16" s="81">
        <v>6170</v>
      </c>
      <c r="N16" s="81">
        <v>10895</v>
      </c>
      <c r="T16" s="68"/>
      <c r="U16" s="68"/>
      <c r="V16" s="68"/>
      <c r="W16" s="68"/>
      <c r="X16" s="68"/>
      <c r="Y16" s="68"/>
      <c r="Z16" s="68"/>
      <c r="AA16" s="68"/>
      <c r="AB16" s="68"/>
      <c r="AC16" s="68"/>
    </row>
    <row r="17" spans="1:29">
      <c r="A17" s="82"/>
      <c r="B17" s="83"/>
      <c r="C17" s="55"/>
      <c r="T17" s="68"/>
      <c r="U17" s="68"/>
      <c r="V17" s="68"/>
      <c r="W17" s="68"/>
      <c r="X17" s="68"/>
      <c r="Y17" s="68"/>
      <c r="Z17" s="68"/>
      <c r="AA17" s="68"/>
      <c r="AB17" s="68"/>
      <c r="AC17" s="68"/>
    </row>
    <row r="18" spans="1:29" ht="21">
      <c r="A18" s="82"/>
      <c r="B18" s="84"/>
      <c r="C18" s="55"/>
      <c r="T18" s="68"/>
      <c r="U18" s="68"/>
      <c r="V18" s="68"/>
      <c r="W18" s="68"/>
      <c r="X18" s="68"/>
      <c r="Y18" s="68"/>
      <c r="Z18" s="68"/>
      <c r="AA18" s="68"/>
      <c r="AB18" s="68"/>
      <c r="AC18" s="68"/>
    </row>
    <row r="19" spans="1:29" ht="21">
      <c r="A19" s="82"/>
      <c r="B19" s="85"/>
      <c r="C19" s="55"/>
      <c r="T19" s="68"/>
      <c r="U19" s="68"/>
      <c r="V19" s="68"/>
      <c r="W19" s="68"/>
      <c r="X19" s="68"/>
      <c r="Y19" s="68"/>
      <c r="Z19" s="68"/>
      <c r="AA19" s="68"/>
      <c r="AB19" s="68"/>
      <c r="AC19" s="68"/>
    </row>
    <row r="20" spans="1:29">
      <c r="C20" s="55"/>
      <c r="T20" s="68"/>
      <c r="U20" s="68"/>
      <c r="V20" s="68"/>
      <c r="W20" s="68"/>
      <c r="X20" s="68"/>
      <c r="Y20" s="68"/>
      <c r="Z20" s="68"/>
      <c r="AA20" s="68"/>
      <c r="AB20" s="68"/>
      <c r="AC20" s="68"/>
    </row>
    <row r="21" spans="1:29" ht="21">
      <c r="A21" s="82"/>
      <c r="B21" s="84"/>
      <c r="C21" s="55"/>
      <c r="T21" s="68"/>
      <c r="U21" s="68"/>
      <c r="V21" s="68"/>
      <c r="W21" s="68"/>
      <c r="X21" s="68"/>
      <c r="Y21" s="68"/>
      <c r="Z21" s="68"/>
      <c r="AA21" s="68"/>
      <c r="AB21" s="68"/>
      <c r="AC21" s="68"/>
    </row>
    <row r="22" spans="1:29" ht="21">
      <c r="A22" s="82"/>
      <c r="B22" s="87"/>
      <c r="C22" s="88"/>
    </row>
  </sheetData>
  <mergeCells count="3">
    <mergeCell ref="C1:M1"/>
    <mergeCell ref="C4:H4"/>
    <mergeCell ref="I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95AF-8E8F-4FD8-B98C-E0BBAFC390C9}">
  <sheetPr>
    <pageSetUpPr fitToPage="1"/>
  </sheetPr>
  <dimension ref="A1:AC22"/>
  <sheetViews>
    <sheetView zoomScale="90" zoomScaleNormal="90" workbookViewId="0"/>
  </sheetViews>
  <sheetFormatPr defaultColWidth="8" defaultRowHeight="18.75"/>
  <cols>
    <col min="1" max="1" width="82.5703125" style="52" customWidth="1"/>
    <col min="2" max="2" width="82.5703125" style="86" customWidth="1"/>
    <col min="3" max="3" width="11.140625" style="89" customWidth="1"/>
    <col min="4" max="10" width="11.140625" style="55" customWidth="1"/>
    <col min="11" max="11" width="9.85546875" style="55" customWidth="1"/>
    <col min="12" max="20" width="10" style="55" customWidth="1"/>
    <col min="21" max="29" width="8" style="55"/>
    <col min="30" max="30" width="8.140625" style="55" bestFit="1" customWidth="1"/>
    <col min="31" max="16384" width="8" style="55"/>
  </cols>
  <sheetData>
    <row r="1" spans="1:29" ht="24.95" customHeight="1">
      <c r="B1" s="53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54"/>
      <c r="O1" s="54"/>
    </row>
    <row r="2" spans="1:29" ht="24.95" customHeight="1">
      <c r="B2" s="56"/>
      <c r="C2" s="57"/>
      <c r="D2" s="57"/>
      <c r="E2" s="57"/>
      <c r="F2" s="57"/>
      <c r="G2" s="57"/>
      <c r="H2" s="57"/>
      <c r="J2" s="57"/>
      <c r="L2" s="57"/>
      <c r="N2" s="54"/>
    </row>
    <row r="3" spans="1:29" ht="24.95" customHeight="1">
      <c r="A3" s="58" t="s">
        <v>0</v>
      </c>
      <c r="B3" s="59" t="s">
        <v>1</v>
      </c>
      <c r="C3" s="55"/>
    </row>
    <row r="4" spans="1:29" ht="24.95" customHeight="1">
      <c r="A4" s="60" t="s">
        <v>50</v>
      </c>
      <c r="B4" s="61" t="s">
        <v>51</v>
      </c>
      <c r="C4" s="256">
        <v>2007</v>
      </c>
      <c r="D4" s="256"/>
      <c r="E4" s="256"/>
      <c r="F4" s="256"/>
      <c r="G4" s="256"/>
      <c r="H4" s="256"/>
      <c r="I4" s="256">
        <v>2008</v>
      </c>
      <c r="J4" s="256"/>
      <c r="K4" s="256"/>
      <c r="L4" s="256"/>
      <c r="M4" s="256"/>
      <c r="N4" s="256"/>
    </row>
    <row r="5" spans="1:29" ht="24.95" customHeight="1">
      <c r="A5" s="62" t="s">
        <v>2</v>
      </c>
      <c r="B5" s="61" t="s">
        <v>3</v>
      </c>
      <c r="C5" s="63" t="s">
        <v>4</v>
      </c>
      <c r="D5" s="63" t="s">
        <v>5</v>
      </c>
      <c r="E5" s="63" t="s">
        <v>6</v>
      </c>
      <c r="F5" s="63" t="s">
        <v>7</v>
      </c>
      <c r="G5" s="63" t="s">
        <v>8</v>
      </c>
      <c r="H5" s="63" t="s">
        <v>9</v>
      </c>
      <c r="I5" s="63" t="s">
        <v>10</v>
      </c>
      <c r="J5" s="63" t="s">
        <v>11</v>
      </c>
      <c r="K5" s="63" t="s">
        <v>12</v>
      </c>
      <c r="L5" s="63" t="s">
        <v>52</v>
      </c>
      <c r="M5" s="63" t="s">
        <v>14</v>
      </c>
      <c r="N5" s="63" t="s">
        <v>53</v>
      </c>
    </row>
    <row r="6" spans="1:29" ht="24.95" customHeight="1">
      <c r="A6" s="64"/>
      <c r="B6" s="65"/>
      <c r="C6" s="66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T6" s="68"/>
      <c r="U6" s="68"/>
      <c r="V6" s="68"/>
      <c r="W6" s="68"/>
      <c r="X6" s="68"/>
      <c r="Y6" s="68"/>
      <c r="Z6" s="68"/>
      <c r="AA6" s="68"/>
      <c r="AB6" s="68"/>
      <c r="AC6" s="68"/>
    </row>
    <row r="7" spans="1:29" ht="24.95" customHeight="1">
      <c r="A7" s="69" t="s">
        <v>54</v>
      </c>
      <c r="B7" s="70" t="s">
        <v>55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T7" s="68"/>
      <c r="U7" s="68"/>
      <c r="V7" s="68"/>
      <c r="W7" s="68"/>
      <c r="X7" s="68"/>
      <c r="Y7" s="68"/>
      <c r="Z7" s="68"/>
      <c r="AA7" s="68"/>
      <c r="AB7" s="68"/>
      <c r="AC7" s="68"/>
    </row>
    <row r="8" spans="1:29" ht="24.95" customHeight="1">
      <c r="A8" s="90" t="s">
        <v>56</v>
      </c>
      <c r="B8" s="70" t="s">
        <v>66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T8" s="68"/>
      <c r="U8" s="68"/>
      <c r="V8" s="68"/>
      <c r="W8" s="68"/>
      <c r="X8" s="68"/>
      <c r="Y8" s="68"/>
      <c r="Z8" s="68"/>
      <c r="AA8" s="68"/>
      <c r="AB8" s="68"/>
      <c r="AC8" s="68"/>
    </row>
    <row r="9" spans="1:29" ht="24.95" customHeight="1">
      <c r="A9" s="73" t="s">
        <v>58</v>
      </c>
      <c r="B9" s="74" t="s">
        <v>22</v>
      </c>
      <c r="C9" s="75">
        <v>1000</v>
      </c>
      <c r="D9" s="75">
        <v>899</v>
      </c>
      <c r="E9" s="75">
        <v>903</v>
      </c>
      <c r="F9" s="75">
        <v>944</v>
      </c>
      <c r="G9" s="75">
        <v>942.84500000000003</v>
      </c>
      <c r="H9" s="75">
        <v>955</v>
      </c>
      <c r="I9" s="75">
        <v>1028</v>
      </c>
      <c r="J9" s="75">
        <v>909</v>
      </c>
      <c r="K9" s="75">
        <v>1046</v>
      </c>
      <c r="L9" s="75">
        <v>973.625</v>
      </c>
      <c r="M9" s="75">
        <v>1009</v>
      </c>
      <c r="N9" s="75">
        <v>1114</v>
      </c>
      <c r="T9" s="68"/>
      <c r="U9" s="68"/>
      <c r="V9" s="68"/>
      <c r="W9" s="68"/>
      <c r="X9" s="68"/>
      <c r="Y9" s="68"/>
      <c r="Z9" s="68"/>
      <c r="AA9" s="68"/>
      <c r="AB9" s="68"/>
      <c r="AC9" s="68"/>
    </row>
    <row r="10" spans="1:29" ht="24.95" customHeight="1">
      <c r="A10" s="73" t="s">
        <v>59</v>
      </c>
      <c r="B10" s="74" t="s">
        <v>60</v>
      </c>
      <c r="C10" s="75">
        <v>39121</v>
      </c>
      <c r="D10" s="75">
        <v>33023</v>
      </c>
      <c r="E10" s="75">
        <v>34255</v>
      </c>
      <c r="F10" s="75">
        <v>36840</v>
      </c>
      <c r="G10" s="75">
        <v>38246</v>
      </c>
      <c r="H10" s="75">
        <v>35861</v>
      </c>
      <c r="I10" s="75">
        <v>41836</v>
      </c>
      <c r="J10" s="75">
        <v>38094</v>
      </c>
      <c r="K10" s="75">
        <v>44965</v>
      </c>
      <c r="L10" s="75">
        <v>42517</v>
      </c>
      <c r="M10" s="75">
        <v>48331</v>
      </c>
      <c r="N10" s="75">
        <v>50024</v>
      </c>
      <c r="T10" s="68"/>
      <c r="U10" s="68"/>
      <c r="V10" s="68"/>
      <c r="W10" s="68"/>
      <c r="X10" s="68"/>
      <c r="Y10" s="68"/>
      <c r="Z10" s="68"/>
      <c r="AA10" s="68"/>
      <c r="AB10" s="68"/>
      <c r="AC10" s="68"/>
    </row>
    <row r="11" spans="1:29" ht="24.95" customHeight="1">
      <c r="A11" s="69" t="s">
        <v>61</v>
      </c>
      <c r="B11" s="70" t="s">
        <v>62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T11" s="68"/>
      <c r="U11" s="68"/>
      <c r="V11" s="68"/>
      <c r="W11" s="68"/>
      <c r="X11" s="68"/>
      <c r="Y11" s="68"/>
      <c r="Z11" s="68"/>
      <c r="AA11" s="68"/>
      <c r="AB11" s="68"/>
      <c r="AC11" s="68"/>
    </row>
    <row r="12" spans="1:29" ht="24.95" customHeight="1">
      <c r="A12" s="73" t="s">
        <v>63</v>
      </c>
      <c r="B12" s="74" t="s">
        <v>28</v>
      </c>
      <c r="C12" s="75">
        <v>54036</v>
      </c>
      <c r="D12" s="75">
        <v>52553</v>
      </c>
      <c r="E12" s="75">
        <v>50518</v>
      </c>
      <c r="F12" s="75">
        <v>56599</v>
      </c>
      <c r="G12" s="75">
        <v>56076</v>
      </c>
      <c r="H12" s="75">
        <v>56715</v>
      </c>
      <c r="I12" s="75">
        <v>56348</v>
      </c>
      <c r="J12" s="75">
        <v>54374</v>
      </c>
      <c r="K12" s="75">
        <v>64696</v>
      </c>
      <c r="L12" s="75">
        <v>63451</v>
      </c>
      <c r="M12" s="75">
        <v>66036</v>
      </c>
      <c r="N12" s="75">
        <v>69266</v>
      </c>
      <c r="T12" s="68"/>
      <c r="U12" s="68"/>
      <c r="V12" s="68"/>
      <c r="W12" s="68"/>
      <c r="X12" s="68"/>
      <c r="Y12" s="68"/>
      <c r="Z12" s="68"/>
      <c r="AA12" s="68"/>
      <c r="AB12" s="68"/>
      <c r="AC12" s="68"/>
    </row>
    <row r="13" spans="1:29" ht="24.95" customHeight="1">
      <c r="A13" s="73" t="s">
        <v>59</v>
      </c>
      <c r="B13" s="74" t="s">
        <v>60</v>
      </c>
      <c r="C13" s="75">
        <v>234429</v>
      </c>
      <c r="D13" s="75">
        <v>271810</v>
      </c>
      <c r="E13" s="75">
        <v>231981</v>
      </c>
      <c r="F13" s="75">
        <v>263076</v>
      </c>
      <c r="G13" s="75">
        <v>300858</v>
      </c>
      <c r="H13" s="75">
        <v>249376</v>
      </c>
      <c r="I13" s="75">
        <v>300061</v>
      </c>
      <c r="J13" s="75">
        <v>227539</v>
      </c>
      <c r="K13" s="75">
        <v>256773</v>
      </c>
      <c r="L13" s="75">
        <v>219539</v>
      </c>
      <c r="M13" s="75">
        <v>276699</v>
      </c>
      <c r="N13" s="75">
        <v>260260</v>
      </c>
      <c r="T13" s="68"/>
      <c r="U13" s="68"/>
      <c r="V13" s="68"/>
      <c r="W13" s="68"/>
      <c r="X13" s="68"/>
      <c r="Y13" s="68"/>
      <c r="Z13" s="68"/>
      <c r="AA13" s="68"/>
      <c r="AB13" s="68"/>
      <c r="AC13" s="68"/>
    </row>
    <row r="14" spans="1:29" s="78" customFormat="1" ht="24.95" customHeight="1">
      <c r="A14" s="77" t="s">
        <v>64</v>
      </c>
      <c r="B14" s="70" t="s">
        <v>65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T14" s="68"/>
      <c r="U14" s="68"/>
      <c r="V14" s="68"/>
      <c r="W14" s="68"/>
      <c r="X14" s="68"/>
      <c r="Y14" s="68"/>
      <c r="Z14" s="68"/>
      <c r="AA14" s="68"/>
      <c r="AB14" s="68"/>
      <c r="AC14" s="68"/>
    </row>
    <row r="15" spans="1:29" ht="24.95" customHeight="1">
      <c r="A15" s="73" t="s">
        <v>39</v>
      </c>
      <c r="B15" s="74" t="s">
        <v>28</v>
      </c>
      <c r="C15" s="75">
        <v>1070</v>
      </c>
      <c r="D15" s="75">
        <v>1264</v>
      </c>
      <c r="E15" s="75">
        <v>904</v>
      </c>
      <c r="F15" s="75">
        <v>1104</v>
      </c>
      <c r="G15" s="75">
        <v>1073</v>
      </c>
      <c r="H15" s="75">
        <v>869</v>
      </c>
      <c r="I15" s="75">
        <v>1129</v>
      </c>
      <c r="J15" s="75">
        <v>1024</v>
      </c>
      <c r="K15" s="75">
        <v>1839</v>
      </c>
      <c r="L15" s="75">
        <v>1152</v>
      </c>
      <c r="M15" s="75">
        <v>1262</v>
      </c>
      <c r="N15" s="75">
        <v>1235</v>
      </c>
      <c r="T15" s="68"/>
      <c r="U15" s="68"/>
      <c r="V15" s="68"/>
      <c r="W15" s="68"/>
      <c r="X15" s="68"/>
      <c r="Y15" s="68"/>
      <c r="Z15" s="68"/>
      <c r="AA15" s="68"/>
      <c r="AB15" s="68"/>
      <c r="AC15" s="68"/>
    </row>
    <row r="16" spans="1:29" ht="24.95" customHeight="1">
      <c r="A16" s="79" t="s">
        <v>40</v>
      </c>
      <c r="B16" s="80" t="s">
        <v>41</v>
      </c>
      <c r="C16" s="81">
        <v>7489</v>
      </c>
      <c r="D16" s="81">
        <v>11160.125</v>
      </c>
      <c r="E16" s="81">
        <v>5773</v>
      </c>
      <c r="F16" s="81">
        <v>8562</v>
      </c>
      <c r="G16" s="81">
        <v>8954.9</v>
      </c>
      <c r="H16" s="81">
        <v>5933</v>
      </c>
      <c r="I16" s="81">
        <v>10238</v>
      </c>
      <c r="J16" s="81">
        <v>6482</v>
      </c>
      <c r="K16" s="81">
        <v>16207</v>
      </c>
      <c r="L16" s="81">
        <v>7042</v>
      </c>
      <c r="M16" s="81">
        <v>9372</v>
      </c>
      <c r="N16" s="81">
        <v>8374</v>
      </c>
      <c r="T16" s="68"/>
      <c r="U16" s="68"/>
      <c r="V16" s="68"/>
      <c r="W16" s="68"/>
      <c r="X16" s="68"/>
      <c r="Y16" s="68"/>
      <c r="Z16" s="68"/>
      <c r="AA16" s="68"/>
      <c r="AB16" s="68"/>
      <c r="AC16" s="68"/>
    </row>
    <row r="17" spans="1:29">
      <c r="A17" s="82"/>
      <c r="B17" s="83"/>
      <c r="C17" s="55"/>
      <c r="T17" s="68"/>
      <c r="U17" s="68"/>
      <c r="V17" s="68"/>
      <c r="W17" s="68"/>
      <c r="X17" s="68"/>
      <c r="Y17" s="68"/>
      <c r="Z17" s="68"/>
      <c r="AA17" s="68"/>
      <c r="AB17" s="68"/>
      <c r="AC17" s="68"/>
    </row>
    <row r="18" spans="1:29" ht="21">
      <c r="A18" s="82"/>
      <c r="B18" s="84"/>
      <c r="C18" s="55"/>
      <c r="T18" s="68"/>
      <c r="U18" s="68"/>
      <c r="V18" s="68"/>
      <c r="W18" s="68"/>
      <c r="X18" s="68"/>
      <c r="Y18" s="68"/>
      <c r="Z18" s="68"/>
      <c r="AA18" s="68"/>
      <c r="AB18" s="68"/>
      <c r="AC18" s="68"/>
    </row>
    <row r="19" spans="1:29" ht="21">
      <c r="A19" s="82"/>
      <c r="B19" s="85"/>
      <c r="C19" s="55"/>
      <c r="T19" s="68"/>
      <c r="U19" s="68"/>
      <c r="V19" s="68"/>
      <c r="W19" s="68"/>
      <c r="X19" s="68"/>
      <c r="Y19" s="68"/>
      <c r="Z19" s="68"/>
      <c r="AA19" s="68"/>
      <c r="AB19" s="68"/>
      <c r="AC19" s="68"/>
    </row>
    <row r="20" spans="1:29">
      <c r="C20" s="55"/>
      <c r="T20" s="68"/>
      <c r="U20" s="68"/>
      <c r="V20" s="68"/>
      <c r="W20" s="68"/>
      <c r="X20" s="68"/>
      <c r="Y20" s="68"/>
      <c r="Z20" s="68"/>
      <c r="AA20" s="68"/>
      <c r="AB20" s="68"/>
      <c r="AC20" s="68"/>
    </row>
    <row r="21" spans="1:29" ht="21">
      <c r="A21" s="82"/>
      <c r="B21" s="84"/>
      <c r="C21" s="55"/>
      <c r="T21" s="68"/>
      <c r="U21" s="68"/>
      <c r="V21" s="68"/>
      <c r="W21" s="68"/>
      <c r="X21" s="68"/>
      <c r="Y21" s="68"/>
      <c r="Z21" s="68"/>
      <c r="AA21" s="68"/>
      <c r="AB21" s="68"/>
      <c r="AC21" s="68"/>
    </row>
    <row r="22" spans="1:29" ht="21">
      <c r="A22" s="82"/>
      <c r="B22" s="87"/>
      <c r="C22" s="88"/>
    </row>
  </sheetData>
  <mergeCells count="3">
    <mergeCell ref="C1:M1"/>
    <mergeCell ref="C4:H4"/>
    <mergeCell ref="I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E8F21-A120-441D-872E-C630559EB0A6}">
  <sheetPr>
    <pageSetUpPr fitToPage="1"/>
  </sheetPr>
  <dimension ref="A1:AC22"/>
  <sheetViews>
    <sheetView topLeftCell="C1" workbookViewId="0"/>
  </sheetViews>
  <sheetFormatPr defaultColWidth="8" defaultRowHeight="18.75"/>
  <cols>
    <col min="1" max="1" width="83.7109375" style="52" customWidth="1"/>
    <col min="2" max="2" width="83.7109375" style="86" customWidth="1"/>
    <col min="3" max="3" width="11.140625" style="89" customWidth="1"/>
    <col min="4" max="10" width="11.140625" style="55" customWidth="1"/>
    <col min="11" max="11" width="9.85546875" style="55" customWidth="1"/>
    <col min="12" max="20" width="10" style="55" customWidth="1"/>
    <col min="21" max="29" width="8" style="55"/>
    <col min="30" max="30" width="8.140625" style="55" bestFit="1" customWidth="1"/>
    <col min="31" max="16384" width="8" style="55"/>
  </cols>
  <sheetData>
    <row r="1" spans="1:29" ht="24.95" customHeight="1">
      <c r="B1" s="53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54"/>
      <c r="O1" s="54"/>
    </row>
    <row r="2" spans="1:29" ht="24.95" customHeight="1">
      <c r="B2" s="56"/>
      <c r="C2" s="57"/>
      <c r="D2" s="57"/>
      <c r="E2" s="57"/>
      <c r="F2" s="57"/>
      <c r="G2" s="57"/>
      <c r="H2" s="57"/>
      <c r="J2" s="57"/>
      <c r="L2" s="57"/>
      <c r="N2" s="54"/>
    </row>
    <row r="3" spans="1:29" ht="24.95" customHeight="1">
      <c r="A3" s="58" t="s">
        <v>0</v>
      </c>
      <c r="B3" s="59" t="s">
        <v>1</v>
      </c>
      <c r="C3" s="55"/>
    </row>
    <row r="4" spans="1:29" ht="24.95" customHeight="1">
      <c r="A4" s="60" t="s">
        <v>50</v>
      </c>
      <c r="B4" s="61" t="s">
        <v>51</v>
      </c>
      <c r="C4" s="256">
        <v>2008</v>
      </c>
      <c r="D4" s="256"/>
      <c r="E4" s="256"/>
      <c r="F4" s="256"/>
      <c r="G4" s="256"/>
      <c r="H4" s="256"/>
      <c r="I4" s="256">
        <v>2009</v>
      </c>
      <c r="J4" s="256"/>
      <c r="K4" s="256"/>
      <c r="L4" s="256"/>
      <c r="M4" s="256"/>
      <c r="N4" s="256"/>
    </row>
    <row r="5" spans="1:29" ht="24.95" customHeight="1">
      <c r="A5" s="62" t="s">
        <v>2</v>
      </c>
      <c r="B5" s="61" t="s">
        <v>3</v>
      </c>
      <c r="C5" s="63" t="s">
        <v>4</v>
      </c>
      <c r="D5" s="63" t="s">
        <v>5</v>
      </c>
      <c r="E5" s="63" t="s">
        <v>6</v>
      </c>
      <c r="F5" s="63" t="s">
        <v>7</v>
      </c>
      <c r="G5" s="63" t="s">
        <v>8</v>
      </c>
      <c r="H5" s="63" t="s">
        <v>9</v>
      </c>
      <c r="I5" s="63" t="s">
        <v>10</v>
      </c>
      <c r="J5" s="63" t="s">
        <v>11</v>
      </c>
      <c r="K5" s="63" t="s">
        <v>12</v>
      </c>
      <c r="L5" s="63" t="s">
        <v>52</v>
      </c>
      <c r="M5" s="63" t="s">
        <v>14</v>
      </c>
      <c r="N5" s="63" t="s">
        <v>53</v>
      </c>
    </row>
    <row r="6" spans="1:29" ht="24.95" customHeight="1">
      <c r="A6" s="64"/>
      <c r="B6" s="65"/>
      <c r="C6" s="66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T6" s="68"/>
      <c r="U6" s="68"/>
      <c r="V6" s="68"/>
      <c r="W6" s="68"/>
      <c r="X6" s="68"/>
      <c r="Y6" s="68"/>
      <c r="Z6" s="68"/>
      <c r="AA6" s="68"/>
      <c r="AB6" s="68"/>
      <c r="AC6" s="68"/>
    </row>
    <row r="7" spans="1:29" ht="24.95" customHeight="1">
      <c r="A7" s="69" t="s">
        <v>54</v>
      </c>
      <c r="B7" s="70" t="s">
        <v>55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T7" s="68"/>
      <c r="U7" s="68"/>
      <c r="V7" s="68"/>
      <c r="W7" s="68"/>
      <c r="X7" s="68"/>
      <c r="Y7" s="68"/>
      <c r="Z7" s="68"/>
      <c r="AA7" s="68"/>
      <c r="AB7" s="68"/>
      <c r="AC7" s="68"/>
    </row>
    <row r="8" spans="1:29" ht="24.95" customHeight="1">
      <c r="A8" s="90" t="s">
        <v>56</v>
      </c>
      <c r="B8" s="70" t="s">
        <v>66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T8" s="68"/>
      <c r="U8" s="68"/>
      <c r="V8" s="68"/>
      <c r="W8" s="68"/>
      <c r="X8" s="68"/>
      <c r="Y8" s="68"/>
      <c r="Z8" s="68"/>
      <c r="AA8" s="68"/>
      <c r="AB8" s="68"/>
      <c r="AC8" s="68"/>
    </row>
    <row r="9" spans="1:29" ht="24.95" customHeight="1">
      <c r="A9" s="73" t="s">
        <v>58</v>
      </c>
      <c r="B9" s="74" t="s">
        <v>22</v>
      </c>
      <c r="C9" s="75">
        <v>994</v>
      </c>
      <c r="D9" s="75">
        <v>958</v>
      </c>
      <c r="E9" s="75">
        <v>908.33500000000004</v>
      </c>
      <c r="F9" s="75">
        <v>969</v>
      </c>
      <c r="G9" s="75">
        <v>1006</v>
      </c>
      <c r="H9" s="75">
        <v>892</v>
      </c>
      <c r="I9" s="75">
        <v>993</v>
      </c>
      <c r="J9" s="75">
        <v>932</v>
      </c>
      <c r="K9" s="75">
        <v>1134</v>
      </c>
      <c r="L9" s="75">
        <v>1042.07</v>
      </c>
      <c r="M9" s="75">
        <v>1092</v>
      </c>
      <c r="N9" s="75">
        <v>1142</v>
      </c>
      <c r="T9" s="68"/>
      <c r="U9" s="68"/>
      <c r="V9" s="68"/>
      <c r="W9" s="68"/>
      <c r="X9" s="68"/>
      <c r="Y9" s="68"/>
      <c r="Z9" s="68"/>
      <c r="AA9" s="68"/>
      <c r="AB9" s="68"/>
      <c r="AC9" s="68"/>
    </row>
    <row r="10" spans="1:29" ht="24.95" customHeight="1">
      <c r="A10" s="73" t="s">
        <v>59</v>
      </c>
      <c r="B10" s="74" t="s">
        <v>60</v>
      </c>
      <c r="C10" s="75">
        <v>48410</v>
      </c>
      <c r="D10" s="75">
        <v>47047</v>
      </c>
      <c r="E10" s="75">
        <v>42921</v>
      </c>
      <c r="F10" s="75">
        <v>45254</v>
      </c>
      <c r="G10" s="75">
        <v>47212</v>
      </c>
      <c r="H10" s="75">
        <v>39014</v>
      </c>
      <c r="I10" s="75">
        <v>43795</v>
      </c>
      <c r="J10" s="75">
        <v>40043</v>
      </c>
      <c r="K10" s="75">
        <v>46209</v>
      </c>
      <c r="L10" s="75">
        <v>46385</v>
      </c>
      <c r="M10" s="75">
        <v>52509</v>
      </c>
      <c r="N10" s="75">
        <v>50184</v>
      </c>
      <c r="T10" s="68"/>
      <c r="U10" s="68"/>
      <c r="V10" s="68"/>
      <c r="W10" s="68"/>
      <c r="X10" s="68"/>
      <c r="Y10" s="68"/>
      <c r="Z10" s="68"/>
      <c r="AA10" s="68"/>
      <c r="AB10" s="68"/>
      <c r="AC10" s="68"/>
    </row>
    <row r="11" spans="1:29" ht="24.95" customHeight="1">
      <c r="A11" s="69" t="s">
        <v>61</v>
      </c>
      <c r="B11" s="70" t="s">
        <v>62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T11" s="68"/>
      <c r="U11" s="68"/>
      <c r="V11" s="68"/>
      <c r="W11" s="68"/>
      <c r="X11" s="68"/>
      <c r="Y11" s="68"/>
      <c r="Z11" s="68"/>
      <c r="AA11" s="68"/>
      <c r="AB11" s="68"/>
      <c r="AC11" s="68"/>
    </row>
    <row r="12" spans="1:29" ht="24.95" customHeight="1">
      <c r="A12" s="73" t="s">
        <v>63</v>
      </c>
      <c r="B12" s="74" t="s">
        <v>28</v>
      </c>
      <c r="C12" s="75">
        <v>68437</v>
      </c>
      <c r="D12" s="75">
        <v>65350</v>
      </c>
      <c r="E12" s="75">
        <v>69282</v>
      </c>
      <c r="F12" s="75">
        <v>68089</v>
      </c>
      <c r="G12" s="75">
        <v>69577</v>
      </c>
      <c r="H12" s="75">
        <v>70590</v>
      </c>
      <c r="I12" s="75">
        <v>66054</v>
      </c>
      <c r="J12" s="75">
        <v>65426</v>
      </c>
      <c r="K12" s="75">
        <v>32505</v>
      </c>
      <c r="L12" s="75">
        <v>86631</v>
      </c>
      <c r="M12" s="75">
        <v>87825</v>
      </c>
      <c r="N12" s="75">
        <v>92083</v>
      </c>
      <c r="T12" s="68"/>
      <c r="U12" s="68"/>
      <c r="V12" s="68"/>
      <c r="W12" s="68"/>
      <c r="X12" s="68"/>
      <c r="Y12" s="68"/>
      <c r="Z12" s="68"/>
      <c r="AA12" s="68"/>
      <c r="AB12" s="68"/>
      <c r="AC12" s="68"/>
    </row>
    <row r="13" spans="1:29" ht="24.95" customHeight="1">
      <c r="A13" s="73" t="s">
        <v>59</v>
      </c>
      <c r="B13" s="74" t="s">
        <v>60</v>
      </c>
      <c r="C13" s="75">
        <v>239634</v>
      </c>
      <c r="D13" s="75">
        <v>221309</v>
      </c>
      <c r="E13" s="75">
        <v>280361</v>
      </c>
      <c r="F13" s="75">
        <v>313975</v>
      </c>
      <c r="G13" s="75">
        <v>238242</v>
      </c>
      <c r="H13" s="75">
        <v>197020</v>
      </c>
      <c r="I13" s="75">
        <v>189122</v>
      </c>
      <c r="J13" s="75">
        <v>193697</v>
      </c>
      <c r="K13" s="75">
        <v>102198</v>
      </c>
      <c r="L13" s="75">
        <v>660753</v>
      </c>
      <c r="M13" s="75">
        <v>884138</v>
      </c>
      <c r="N13" s="75">
        <v>917368</v>
      </c>
      <c r="T13" s="68"/>
      <c r="U13" s="68"/>
      <c r="V13" s="68"/>
      <c r="W13" s="68"/>
      <c r="X13" s="68"/>
      <c r="Y13" s="68"/>
      <c r="Z13" s="68"/>
      <c r="AA13" s="68"/>
      <c r="AB13" s="68"/>
      <c r="AC13" s="68"/>
    </row>
    <row r="14" spans="1:29" s="78" customFormat="1" ht="24.95" customHeight="1">
      <c r="A14" s="77" t="s">
        <v>64</v>
      </c>
      <c r="B14" s="70" t="s">
        <v>65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T14" s="68"/>
      <c r="U14" s="68"/>
      <c r="V14" s="68"/>
      <c r="W14" s="68"/>
      <c r="X14" s="68"/>
      <c r="Y14" s="68"/>
      <c r="Z14" s="68"/>
      <c r="AA14" s="68"/>
      <c r="AB14" s="68"/>
      <c r="AC14" s="68"/>
    </row>
    <row r="15" spans="1:29" ht="24.95" customHeight="1">
      <c r="A15" s="73" t="s">
        <v>39</v>
      </c>
      <c r="B15" s="74" t="s">
        <v>28</v>
      </c>
      <c r="C15" s="75">
        <v>1287</v>
      </c>
      <c r="D15" s="75">
        <v>1080</v>
      </c>
      <c r="E15" s="75">
        <v>1398</v>
      </c>
      <c r="F15" s="75">
        <v>1476</v>
      </c>
      <c r="G15" s="75">
        <v>1115</v>
      </c>
      <c r="H15" s="75">
        <v>853</v>
      </c>
      <c r="I15" s="75">
        <v>912</v>
      </c>
      <c r="J15" s="75">
        <v>898</v>
      </c>
      <c r="K15" s="75">
        <v>980</v>
      </c>
      <c r="L15" s="75">
        <v>826</v>
      </c>
      <c r="M15" s="75">
        <v>744</v>
      </c>
      <c r="N15" s="75">
        <v>796</v>
      </c>
      <c r="T15" s="68"/>
      <c r="U15" s="68"/>
      <c r="V15" s="68"/>
      <c r="W15" s="68"/>
      <c r="X15" s="68"/>
      <c r="Y15" s="68"/>
      <c r="Z15" s="68"/>
      <c r="AA15" s="68"/>
      <c r="AB15" s="68"/>
      <c r="AC15" s="68"/>
    </row>
    <row r="16" spans="1:29" ht="24.95" customHeight="1">
      <c r="A16" s="79" t="s">
        <v>40</v>
      </c>
      <c r="B16" s="80" t="s">
        <v>41</v>
      </c>
      <c r="C16" s="81">
        <v>8971</v>
      </c>
      <c r="D16" s="81">
        <v>7627</v>
      </c>
      <c r="E16" s="81">
        <v>12365</v>
      </c>
      <c r="F16" s="81">
        <v>14616.62</v>
      </c>
      <c r="G16" s="81">
        <v>6943</v>
      </c>
      <c r="H16" s="81">
        <v>5206</v>
      </c>
      <c r="I16" s="81">
        <v>5711</v>
      </c>
      <c r="J16" s="81">
        <v>4075.75</v>
      </c>
      <c r="K16" s="81">
        <v>5261</v>
      </c>
      <c r="L16" s="81">
        <v>4486</v>
      </c>
      <c r="M16" s="81">
        <v>3711</v>
      </c>
      <c r="N16" s="81">
        <v>4045</v>
      </c>
      <c r="T16" s="68"/>
      <c r="U16" s="68"/>
      <c r="V16" s="68"/>
      <c r="W16" s="68"/>
      <c r="X16" s="68"/>
      <c r="Y16" s="68"/>
      <c r="Z16" s="68"/>
      <c r="AA16" s="68"/>
      <c r="AB16" s="68"/>
      <c r="AC16" s="68"/>
    </row>
    <row r="17" spans="1:29">
      <c r="A17" s="82"/>
      <c r="B17" s="83"/>
      <c r="C17" s="55"/>
      <c r="T17" s="68"/>
      <c r="U17" s="68"/>
      <c r="V17" s="68"/>
      <c r="W17" s="68"/>
      <c r="X17" s="68"/>
      <c r="Y17" s="68"/>
      <c r="Z17" s="68"/>
      <c r="AA17" s="68"/>
      <c r="AB17" s="68"/>
      <c r="AC17" s="68"/>
    </row>
    <row r="18" spans="1:29" ht="21">
      <c r="A18" s="82"/>
      <c r="B18" s="84"/>
      <c r="C18" s="55"/>
      <c r="T18" s="68"/>
      <c r="U18" s="68"/>
      <c r="V18" s="68"/>
      <c r="W18" s="68"/>
      <c r="X18" s="68"/>
      <c r="Y18" s="68"/>
      <c r="Z18" s="68"/>
      <c r="AA18" s="68"/>
      <c r="AB18" s="68"/>
      <c r="AC18" s="68"/>
    </row>
    <row r="19" spans="1:29" ht="21">
      <c r="A19" s="82"/>
      <c r="B19" s="85"/>
      <c r="C19" s="55"/>
      <c r="T19" s="68"/>
      <c r="U19" s="68"/>
      <c r="V19" s="68"/>
      <c r="W19" s="68"/>
      <c r="X19" s="68"/>
      <c r="Y19" s="68"/>
      <c r="Z19" s="68"/>
      <c r="AA19" s="68"/>
      <c r="AB19" s="68"/>
      <c r="AC19" s="68"/>
    </row>
    <row r="20" spans="1:29">
      <c r="C20" s="55"/>
      <c r="T20" s="68"/>
      <c r="U20" s="68"/>
      <c r="V20" s="68"/>
      <c r="W20" s="68"/>
      <c r="X20" s="68"/>
      <c r="Y20" s="68"/>
      <c r="Z20" s="68"/>
      <c r="AA20" s="68"/>
      <c r="AB20" s="68"/>
      <c r="AC20" s="68"/>
    </row>
    <row r="21" spans="1:29" ht="21">
      <c r="A21" s="82"/>
      <c r="B21" s="84"/>
      <c r="C21" s="55"/>
      <c r="T21" s="68"/>
      <c r="U21" s="68"/>
      <c r="V21" s="68"/>
      <c r="W21" s="68"/>
      <c r="X21" s="68"/>
      <c r="Y21" s="68"/>
      <c r="Z21" s="68"/>
      <c r="AA21" s="68"/>
      <c r="AB21" s="68"/>
      <c r="AC21" s="68"/>
    </row>
    <row r="22" spans="1:29" ht="21">
      <c r="A22" s="82"/>
      <c r="B22" s="87"/>
      <c r="C22" s="88"/>
    </row>
  </sheetData>
  <mergeCells count="3">
    <mergeCell ref="C1:M1"/>
    <mergeCell ref="C4:H4"/>
    <mergeCell ref="I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19189-FED6-47B2-9CD0-665208266D10}">
  <sheetPr>
    <pageSetUpPr fitToPage="1"/>
  </sheetPr>
  <dimension ref="A1:AC22"/>
  <sheetViews>
    <sheetView topLeftCell="C1" workbookViewId="0"/>
  </sheetViews>
  <sheetFormatPr defaultColWidth="8" defaultRowHeight="18.75"/>
  <cols>
    <col min="1" max="1" width="80.42578125" style="52" customWidth="1"/>
    <col min="2" max="2" width="80.42578125" style="86" customWidth="1"/>
    <col min="3" max="3" width="11.140625" style="89" customWidth="1"/>
    <col min="4" max="10" width="11.140625" style="55" customWidth="1"/>
    <col min="11" max="11" width="9.85546875" style="55" customWidth="1"/>
    <col min="12" max="20" width="10" style="55" customWidth="1"/>
    <col min="21" max="29" width="8" style="55"/>
    <col min="30" max="30" width="8.140625" style="55" bestFit="1" customWidth="1"/>
    <col min="31" max="16384" width="8" style="55"/>
  </cols>
  <sheetData>
    <row r="1" spans="1:29" ht="24.95" customHeight="1">
      <c r="B1" s="53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54"/>
      <c r="O1" s="54"/>
    </row>
    <row r="2" spans="1:29" ht="24.95" customHeight="1">
      <c r="B2" s="56"/>
      <c r="C2" s="57"/>
      <c r="D2" s="57"/>
      <c r="E2" s="57"/>
      <c r="F2" s="57"/>
      <c r="G2" s="57"/>
      <c r="H2" s="57"/>
      <c r="J2" s="57"/>
      <c r="L2" s="57"/>
      <c r="N2" s="54"/>
    </row>
    <row r="3" spans="1:29" ht="24.95" customHeight="1">
      <c r="A3" s="58" t="s">
        <v>0</v>
      </c>
      <c r="B3" s="59" t="s">
        <v>1</v>
      </c>
      <c r="C3" s="55"/>
    </row>
    <row r="4" spans="1:29" ht="24.95" customHeight="1">
      <c r="A4" s="60" t="s">
        <v>50</v>
      </c>
      <c r="B4" s="61" t="s">
        <v>51</v>
      </c>
      <c r="C4" s="256">
        <v>2009</v>
      </c>
      <c r="D4" s="256"/>
      <c r="E4" s="256"/>
      <c r="F4" s="256"/>
      <c r="G4" s="256"/>
      <c r="H4" s="256"/>
      <c r="I4" s="256">
        <v>2010</v>
      </c>
      <c r="J4" s="256"/>
      <c r="K4" s="256"/>
      <c r="L4" s="256"/>
      <c r="M4" s="256"/>
      <c r="N4" s="256"/>
    </row>
    <row r="5" spans="1:29" ht="24.95" customHeight="1">
      <c r="A5" s="62" t="s">
        <v>2</v>
      </c>
      <c r="B5" s="61" t="s">
        <v>3</v>
      </c>
      <c r="C5" s="63" t="s">
        <v>4</v>
      </c>
      <c r="D5" s="63" t="s">
        <v>5</v>
      </c>
      <c r="E5" s="63" t="s">
        <v>6</v>
      </c>
      <c r="F5" s="63" t="s">
        <v>7</v>
      </c>
      <c r="G5" s="63" t="s">
        <v>8</v>
      </c>
      <c r="H5" s="63" t="s">
        <v>9</v>
      </c>
      <c r="I5" s="63" t="s">
        <v>10</v>
      </c>
      <c r="J5" s="63" t="s">
        <v>11</v>
      </c>
      <c r="K5" s="63" t="s">
        <v>12</v>
      </c>
      <c r="L5" s="63" t="s">
        <v>52</v>
      </c>
      <c r="M5" s="63" t="s">
        <v>14</v>
      </c>
      <c r="N5" s="63" t="s">
        <v>53</v>
      </c>
    </row>
    <row r="6" spans="1:29" ht="24.95" customHeight="1">
      <c r="A6" s="64"/>
      <c r="B6" s="65"/>
      <c r="C6" s="66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T6" s="68"/>
      <c r="U6" s="68"/>
      <c r="V6" s="68"/>
      <c r="W6" s="68"/>
      <c r="X6" s="68"/>
      <c r="Y6" s="68"/>
      <c r="Z6" s="68"/>
      <c r="AA6" s="68"/>
      <c r="AB6" s="68"/>
      <c r="AC6" s="68"/>
    </row>
    <row r="7" spans="1:29" ht="24.95" customHeight="1">
      <c r="A7" s="69" t="s">
        <v>54</v>
      </c>
      <c r="B7" s="70" t="s">
        <v>55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T7" s="68"/>
      <c r="U7" s="68"/>
      <c r="V7" s="68"/>
      <c r="W7" s="68"/>
      <c r="X7" s="68"/>
      <c r="Y7" s="68"/>
      <c r="Z7" s="68"/>
      <c r="AA7" s="68"/>
      <c r="AB7" s="68"/>
      <c r="AC7" s="68"/>
    </row>
    <row r="8" spans="1:29" ht="24.95" customHeight="1">
      <c r="A8" s="90" t="s">
        <v>56</v>
      </c>
      <c r="B8" s="70" t="s">
        <v>66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T8" s="68"/>
      <c r="U8" s="68"/>
      <c r="V8" s="68"/>
      <c r="W8" s="68"/>
      <c r="X8" s="68"/>
      <c r="Y8" s="68"/>
      <c r="Z8" s="68"/>
      <c r="AA8" s="68"/>
      <c r="AB8" s="68"/>
      <c r="AC8" s="68"/>
    </row>
    <row r="9" spans="1:29" ht="24.95" customHeight="1">
      <c r="A9" s="73" t="s">
        <v>58</v>
      </c>
      <c r="B9" s="74" t="s">
        <v>22</v>
      </c>
      <c r="C9" s="75">
        <v>1011.98</v>
      </c>
      <c r="D9" s="75">
        <v>1098</v>
      </c>
      <c r="E9" s="75">
        <v>996</v>
      </c>
      <c r="F9" s="75">
        <v>1007</v>
      </c>
      <c r="G9" s="75">
        <v>1078</v>
      </c>
      <c r="H9" s="75">
        <v>1167</v>
      </c>
      <c r="I9" s="75">
        <v>994</v>
      </c>
      <c r="J9" s="75">
        <v>1028</v>
      </c>
      <c r="K9" s="75">
        <v>1232</v>
      </c>
      <c r="L9" s="75">
        <v>978</v>
      </c>
      <c r="M9" s="75">
        <v>1228</v>
      </c>
      <c r="N9" s="75">
        <v>1176</v>
      </c>
      <c r="T9" s="68"/>
      <c r="U9" s="68"/>
      <c r="V9" s="68"/>
      <c r="W9" s="68"/>
      <c r="X9" s="68"/>
      <c r="Y9" s="68"/>
      <c r="Z9" s="68"/>
      <c r="AA9" s="68"/>
      <c r="AB9" s="68"/>
      <c r="AC9" s="68"/>
    </row>
    <row r="10" spans="1:29" ht="24.95" customHeight="1">
      <c r="A10" s="73" t="s">
        <v>59</v>
      </c>
      <c r="B10" s="74" t="s">
        <v>60</v>
      </c>
      <c r="C10" s="75">
        <v>47870</v>
      </c>
      <c r="D10" s="75">
        <v>46812</v>
      </c>
      <c r="E10" s="75">
        <v>41090</v>
      </c>
      <c r="F10" s="75">
        <v>44577</v>
      </c>
      <c r="G10" s="75">
        <v>44553</v>
      </c>
      <c r="H10" s="75">
        <v>50859</v>
      </c>
      <c r="I10" s="75">
        <v>43567</v>
      </c>
      <c r="J10" s="75">
        <v>55105</v>
      </c>
      <c r="K10" s="75">
        <v>53215</v>
      </c>
      <c r="L10" s="75">
        <v>45956</v>
      </c>
      <c r="M10" s="75">
        <v>57678</v>
      </c>
      <c r="N10" s="75">
        <v>53264</v>
      </c>
      <c r="T10" s="68"/>
      <c r="U10" s="68"/>
      <c r="V10" s="68"/>
      <c r="W10" s="68"/>
      <c r="X10" s="68"/>
      <c r="Y10" s="68"/>
      <c r="Z10" s="68"/>
      <c r="AA10" s="68"/>
      <c r="AB10" s="68"/>
      <c r="AC10" s="68"/>
    </row>
    <row r="11" spans="1:29" ht="24.95" customHeight="1">
      <c r="A11" s="69" t="s">
        <v>61</v>
      </c>
      <c r="B11" s="70" t="s">
        <v>62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T11" s="68"/>
      <c r="U11" s="68"/>
      <c r="V11" s="68"/>
      <c r="W11" s="68"/>
      <c r="X11" s="68"/>
      <c r="Y11" s="68"/>
      <c r="Z11" s="68"/>
      <c r="AA11" s="68"/>
      <c r="AB11" s="68"/>
      <c r="AC11" s="68"/>
    </row>
    <row r="12" spans="1:29" ht="24.95" customHeight="1">
      <c r="A12" s="73" t="s">
        <v>63</v>
      </c>
      <c r="B12" s="74" t="s">
        <v>28</v>
      </c>
      <c r="C12" s="75">
        <v>85428</v>
      </c>
      <c r="D12" s="75">
        <v>90300</v>
      </c>
      <c r="E12" s="75">
        <v>87932</v>
      </c>
      <c r="F12" s="75">
        <v>89883</v>
      </c>
      <c r="G12" s="75">
        <v>95243</v>
      </c>
      <c r="H12" s="75">
        <v>109284</v>
      </c>
      <c r="I12" s="75">
        <v>92047</v>
      </c>
      <c r="J12" s="75">
        <v>96454</v>
      </c>
      <c r="K12" s="75">
        <v>118602</v>
      </c>
      <c r="L12" s="75">
        <v>100079</v>
      </c>
      <c r="M12" s="75">
        <v>114201</v>
      </c>
      <c r="N12" s="75">
        <v>111921</v>
      </c>
      <c r="T12" s="68"/>
      <c r="U12" s="68"/>
      <c r="V12" s="68"/>
      <c r="W12" s="68"/>
      <c r="X12" s="68"/>
      <c r="Y12" s="68"/>
      <c r="Z12" s="68"/>
      <c r="AA12" s="68"/>
      <c r="AB12" s="68"/>
      <c r="AC12" s="68"/>
    </row>
    <row r="13" spans="1:29" ht="24.95" customHeight="1">
      <c r="A13" s="73" t="s">
        <v>59</v>
      </c>
      <c r="B13" s="74" t="s">
        <v>60</v>
      </c>
      <c r="C13" s="75">
        <v>858938</v>
      </c>
      <c r="D13" s="75">
        <v>1042345</v>
      </c>
      <c r="E13" s="75">
        <v>892700</v>
      </c>
      <c r="F13" s="75">
        <v>862730</v>
      </c>
      <c r="G13" s="75">
        <v>1077336</v>
      </c>
      <c r="H13" s="75">
        <v>1489947</v>
      </c>
      <c r="I13" s="75">
        <v>1239034</v>
      </c>
      <c r="J13" s="75">
        <v>1164785</v>
      </c>
      <c r="K13" s="75">
        <v>1460264</v>
      </c>
      <c r="L13" s="75">
        <v>1120088</v>
      </c>
      <c r="M13" s="75">
        <v>1018033</v>
      </c>
      <c r="N13" s="75">
        <v>1048476</v>
      </c>
      <c r="T13" s="68"/>
      <c r="U13" s="68"/>
      <c r="V13" s="68"/>
      <c r="W13" s="68"/>
      <c r="X13" s="68"/>
      <c r="Y13" s="68"/>
      <c r="Z13" s="68"/>
      <c r="AA13" s="68"/>
      <c r="AB13" s="68"/>
      <c r="AC13" s="68"/>
    </row>
    <row r="14" spans="1:29" s="78" customFormat="1" ht="24.95" customHeight="1">
      <c r="A14" s="77" t="s">
        <v>64</v>
      </c>
      <c r="B14" s="70" t="s">
        <v>65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T14" s="68"/>
      <c r="U14" s="68"/>
      <c r="V14" s="68"/>
      <c r="W14" s="68"/>
      <c r="X14" s="68"/>
      <c r="Y14" s="68"/>
      <c r="Z14" s="68"/>
      <c r="AA14" s="68"/>
      <c r="AB14" s="68"/>
      <c r="AC14" s="68"/>
    </row>
    <row r="15" spans="1:29" ht="24.95" customHeight="1">
      <c r="A15" s="73" t="s">
        <v>39</v>
      </c>
      <c r="B15" s="74" t="s">
        <v>28</v>
      </c>
      <c r="C15" s="75">
        <v>772</v>
      </c>
      <c r="D15" s="75">
        <v>978</v>
      </c>
      <c r="E15" s="75">
        <v>782</v>
      </c>
      <c r="F15" s="75">
        <v>805</v>
      </c>
      <c r="G15" s="75">
        <v>920</v>
      </c>
      <c r="H15" s="75">
        <v>1248</v>
      </c>
      <c r="I15" s="75">
        <v>1014</v>
      </c>
      <c r="J15" s="75">
        <v>1035</v>
      </c>
      <c r="K15" s="75">
        <v>1321</v>
      </c>
      <c r="L15" s="75">
        <v>952</v>
      </c>
      <c r="M15" s="75">
        <v>1270</v>
      </c>
      <c r="N15" s="75">
        <v>1107</v>
      </c>
      <c r="T15" s="68"/>
      <c r="U15" s="68"/>
      <c r="V15" s="68"/>
      <c r="W15" s="68"/>
      <c r="X15" s="68"/>
      <c r="Y15" s="68"/>
      <c r="Z15" s="68"/>
      <c r="AA15" s="68"/>
      <c r="AB15" s="68"/>
      <c r="AC15" s="68"/>
    </row>
    <row r="16" spans="1:29" ht="24.95" customHeight="1">
      <c r="A16" s="79" t="s">
        <v>40</v>
      </c>
      <c r="B16" s="80" t="s">
        <v>41</v>
      </c>
      <c r="C16" s="81">
        <v>4478</v>
      </c>
      <c r="D16" s="81">
        <v>5883</v>
      </c>
      <c r="E16" s="81">
        <v>3750</v>
      </c>
      <c r="F16" s="81">
        <v>4063</v>
      </c>
      <c r="G16" s="81">
        <v>4337</v>
      </c>
      <c r="H16" s="81">
        <v>7190</v>
      </c>
      <c r="I16" s="81">
        <v>7431</v>
      </c>
      <c r="J16" s="81">
        <v>6538</v>
      </c>
      <c r="K16" s="81">
        <v>7369</v>
      </c>
      <c r="L16" s="81">
        <v>4885</v>
      </c>
      <c r="M16" s="81">
        <v>9301</v>
      </c>
      <c r="N16" s="81">
        <v>4782</v>
      </c>
      <c r="T16" s="68"/>
      <c r="U16" s="68"/>
      <c r="V16" s="68"/>
      <c r="W16" s="68"/>
      <c r="X16" s="68"/>
      <c r="Y16" s="68"/>
      <c r="Z16" s="68"/>
      <c r="AA16" s="68"/>
      <c r="AB16" s="68"/>
      <c r="AC16" s="68"/>
    </row>
    <row r="17" spans="1:29">
      <c r="A17" s="82"/>
      <c r="B17" s="83"/>
      <c r="C17" s="55"/>
      <c r="T17" s="68"/>
      <c r="U17" s="68"/>
      <c r="V17" s="68"/>
      <c r="W17" s="68"/>
      <c r="X17" s="68"/>
      <c r="Y17" s="68"/>
      <c r="Z17" s="68"/>
      <c r="AA17" s="68"/>
      <c r="AB17" s="68"/>
      <c r="AC17" s="68"/>
    </row>
    <row r="18" spans="1:29" ht="21">
      <c r="A18" s="82"/>
      <c r="B18" s="84"/>
      <c r="C18" s="55"/>
      <c r="T18" s="68"/>
      <c r="U18" s="68"/>
      <c r="V18" s="68"/>
      <c r="W18" s="68"/>
      <c r="X18" s="68"/>
      <c r="Y18" s="68"/>
      <c r="Z18" s="68"/>
      <c r="AA18" s="68"/>
      <c r="AB18" s="68"/>
      <c r="AC18" s="68"/>
    </row>
    <row r="19" spans="1:29" ht="21">
      <c r="A19" s="82"/>
      <c r="B19" s="85"/>
      <c r="C19" s="55"/>
      <c r="T19" s="68"/>
      <c r="U19" s="68"/>
      <c r="V19" s="68"/>
      <c r="W19" s="68"/>
      <c r="X19" s="68"/>
      <c r="Y19" s="68"/>
      <c r="Z19" s="68"/>
      <c r="AA19" s="68"/>
      <c r="AB19" s="68"/>
      <c r="AC19" s="68"/>
    </row>
    <row r="20" spans="1:29">
      <c r="C20" s="55"/>
      <c r="T20" s="68"/>
      <c r="U20" s="68"/>
      <c r="V20" s="68"/>
      <c r="W20" s="68"/>
      <c r="X20" s="68"/>
      <c r="Y20" s="68"/>
      <c r="Z20" s="68"/>
      <c r="AA20" s="68"/>
      <c r="AB20" s="68"/>
      <c r="AC20" s="68"/>
    </row>
    <row r="21" spans="1:29" ht="21">
      <c r="A21" s="82"/>
      <c r="B21" s="84"/>
      <c r="C21" s="55"/>
      <c r="T21" s="68"/>
      <c r="U21" s="68"/>
      <c r="V21" s="68"/>
      <c r="W21" s="68"/>
      <c r="X21" s="68"/>
      <c r="Y21" s="68"/>
      <c r="Z21" s="68"/>
      <c r="AA21" s="68"/>
      <c r="AB21" s="68"/>
      <c r="AC21" s="68"/>
    </row>
    <row r="22" spans="1:29" ht="21">
      <c r="A22" s="82"/>
      <c r="B22" s="87"/>
      <c r="C22" s="88"/>
    </row>
  </sheetData>
  <mergeCells count="3">
    <mergeCell ref="C1:M1"/>
    <mergeCell ref="C4:H4"/>
    <mergeCell ref="I4:N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FF9F-9099-4E62-BC45-8F141FBBFE52}">
  <sheetPr>
    <pageSetUpPr fitToPage="1"/>
  </sheetPr>
  <dimension ref="A1:AC22"/>
  <sheetViews>
    <sheetView topLeftCell="C1" zoomScale="90" zoomScaleNormal="90" workbookViewId="0"/>
  </sheetViews>
  <sheetFormatPr defaultColWidth="8" defaultRowHeight="18.75"/>
  <cols>
    <col min="1" max="1" width="90" style="52" customWidth="1"/>
    <col min="2" max="2" width="90" style="86" customWidth="1"/>
    <col min="3" max="3" width="11.140625" style="89" customWidth="1"/>
    <col min="4" max="10" width="11.140625" style="55" customWidth="1"/>
    <col min="11" max="11" width="9.85546875" style="55" customWidth="1"/>
    <col min="12" max="20" width="10" style="55" customWidth="1"/>
    <col min="21" max="29" width="8" style="55"/>
    <col min="30" max="30" width="8.140625" style="55" bestFit="1" customWidth="1"/>
    <col min="31" max="16384" width="8" style="55"/>
  </cols>
  <sheetData>
    <row r="1" spans="1:29" ht="24.95" customHeight="1">
      <c r="B1" s="53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54"/>
      <c r="O1" s="54"/>
    </row>
    <row r="2" spans="1:29" ht="24.95" customHeight="1">
      <c r="B2" s="56"/>
      <c r="C2" s="57"/>
      <c r="D2" s="57"/>
      <c r="E2" s="57"/>
      <c r="F2" s="57"/>
      <c r="G2" s="57"/>
      <c r="H2" s="57"/>
      <c r="J2" s="57"/>
      <c r="L2" s="57"/>
      <c r="N2" s="54"/>
    </row>
    <row r="3" spans="1:29" ht="24.95" customHeight="1">
      <c r="A3" s="58" t="s">
        <v>0</v>
      </c>
      <c r="B3" s="59" t="s">
        <v>1</v>
      </c>
      <c r="C3" s="55"/>
    </row>
    <row r="4" spans="1:29" ht="24.95" customHeight="1">
      <c r="A4" s="60" t="s">
        <v>50</v>
      </c>
      <c r="B4" s="61" t="s">
        <v>51</v>
      </c>
      <c r="C4" s="256">
        <v>2010</v>
      </c>
      <c r="D4" s="256"/>
      <c r="E4" s="256"/>
      <c r="F4" s="256"/>
      <c r="G4" s="256"/>
      <c r="H4" s="256"/>
      <c r="I4" s="256">
        <v>2011</v>
      </c>
      <c r="J4" s="256"/>
      <c r="K4" s="256"/>
      <c r="L4" s="256"/>
      <c r="M4" s="256"/>
      <c r="N4" s="256"/>
    </row>
    <row r="5" spans="1:29" ht="24.95" customHeight="1">
      <c r="A5" s="62" t="s">
        <v>2</v>
      </c>
      <c r="B5" s="61" t="s">
        <v>3</v>
      </c>
      <c r="C5" s="63" t="s">
        <v>4</v>
      </c>
      <c r="D5" s="63" t="s">
        <v>5</v>
      </c>
      <c r="E5" s="63" t="s">
        <v>6</v>
      </c>
      <c r="F5" s="63" t="s">
        <v>7</v>
      </c>
      <c r="G5" s="63" t="s">
        <v>8</v>
      </c>
      <c r="H5" s="63" t="s">
        <v>9</v>
      </c>
      <c r="I5" s="63" t="s">
        <v>10</v>
      </c>
      <c r="J5" s="63" t="s">
        <v>11</v>
      </c>
      <c r="K5" s="63" t="s">
        <v>12</v>
      </c>
      <c r="L5" s="63" t="s">
        <v>52</v>
      </c>
      <c r="M5" s="63" t="s">
        <v>14</v>
      </c>
      <c r="N5" s="63" t="s">
        <v>53</v>
      </c>
    </row>
    <row r="6" spans="1:29" ht="24.95" customHeight="1">
      <c r="A6" s="64"/>
      <c r="B6" s="65"/>
      <c r="C6" s="66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T6" s="68"/>
      <c r="U6" s="68"/>
      <c r="V6" s="68"/>
      <c r="W6" s="68"/>
      <c r="X6" s="68"/>
      <c r="Y6" s="68"/>
      <c r="Z6" s="68"/>
      <c r="AA6" s="68"/>
      <c r="AB6" s="68"/>
      <c r="AC6" s="68"/>
    </row>
    <row r="7" spans="1:29" ht="24.95" customHeight="1">
      <c r="A7" s="69" t="s">
        <v>54</v>
      </c>
      <c r="B7" s="70" t="s">
        <v>55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T7" s="68"/>
      <c r="U7" s="68"/>
      <c r="V7" s="68"/>
      <c r="W7" s="68"/>
      <c r="X7" s="68"/>
      <c r="Y7" s="68"/>
      <c r="Z7" s="68"/>
      <c r="AA7" s="68"/>
      <c r="AB7" s="68"/>
      <c r="AC7" s="68"/>
    </row>
    <row r="8" spans="1:29" ht="24.95" customHeight="1">
      <c r="A8" s="90" t="s">
        <v>56</v>
      </c>
      <c r="B8" s="70" t="s">
        <v>66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T8" s="68"/>
      <c r="U8" s="68"/>
      <c r="V8" s="68"/>
      <c r="W8" s="68"/>
      <c r="X8" s="68"/>
      <c r="Y8" s="68"/>
      <c r="Z8" s="68"/>
      <c r="AA8" s="68"/>
      <c r="AB8" s="68"/>
      <c r="AC8" s="68"/>
    </row>
    <row r="9" spans="1:29" ht="24.95" customHeight="1">
      <c r="A9" s="73" t="s">
        <v>58</v>
      </c>
      <c r="B9" s="74" t="s">
        <v>22</v>
      </c>
      <c r="C9" s="75">
        <v>999</v>
      </c>
      <c r="D9" s="75">
        <v>1147</v>
      </c>
      <c r="E9" s="75">
        <v>1046.68</v>
      </c>
      <c r="F9" s="75">
        <v>1078</v>
      </c>
      <c r="G9" s="75">
        <v>1049</v>
      </c>
      <c r="H9" s="75">
        <v>1122</v>
      </c>
      <c r="I9" s="75">
        <v>973</v>
      </c>
      <c r="J9" s="75">
        <v>944.67499999999995</v>
      </c>
      <c r="K9" s="75">
        <v>1283</v>
      </c>
      <c r="L9" s="75">
        <v>936</v>
      </c>
      <c r="M9" s="75">
        <v>1270</v>
      </c>
      <c r="N9" s="75">
        <v>1165</v>
      </c>
      <c r="T9" s="68"/>
      <c r="U9" s="68"/>
      <c r="V9" s="68"/>
      <c r="W9" s="68"/>
      <c r="X9" s="68"/>
      <c r="Y9" s="68"/>
      <c r="Z9" s="68"/>
      <c r="AA9" s="68"/>
      <c r="AB9" s="68"/>
      <c r="AC9" s="68"/>
    </row>
    <row r="10" spans="1:29" ht="24.95" customHeight="1">
      <c r="A10" s="73" t="s">
        <v>59</v>
      </c>
      <c r="B10" s="74" t="s">
        <v>60</v>
      </c>
      <c r="C10" s="75">
        <v>54050</v>
      </c>
      <c r="D10" s="75">
        <v>52014</v>
      </c>
      <c r="E10" s="75">
        <v>48038</v>
      </c>
      <c r="F10" s="75">
        <v>50863</v>
      </c>
      <c r="G10" s="75">
        <v>50560</v>
      </c>
      <c r="H10" s="75">
        <v>53324</v>
      </c>
      <c r="I10" s="75">
        <v>48762</v>
      </c>
      <c r="J10" s="75">
        <v>43690</v>
      </c>
      <c r="K10" s="75">
        <v>61960</v>
      </c>
      <c r="L10" s="75">
        <v>46319</v>
      </c>
      <c r="M10" s="75">
        <v>62082</v>
      </c>
      <c r="N10" s="75">
        <v>55095</v>
      </c>
      <c r="T10" s="68"/>
      <c r="U10" s="68"/>
      <c r="V10" s="68"/>
      <c r="W10" s="68"/>
      <c r="X10" s="68"/>
      <c r="Y10" s="68"/>
      <c r="Z10" s="68"/>
      <c r="AA10" s="68"/>
      <c r="AB10" s="68"/>
      <c r="AC10" s="68"/>
    </row>
    <row r="11" spans="1:29" ht="24.95" customHeight="1">
      <c r="A11" s="69" t="s">
        <v>61</v>
      </c>
      <c r="B11" s="70" t="s">
        <v>62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T11" s="68"/>
      <c r="U11" s="68"/>
      <c r="V11" s="68"/>
      <c r="W11" s="68"/>
      <c r="X11" s="68"/>
      <c r="Y11" s="68"/>
      <c r="Z11" s="68"/>
      <c r="AA11" s="68"/>
      <c r="AB11" s="68"/>
      <c r="AC11" s="68"/>
    </row>
    <row r="12" spans="1:29" ht="24.95" customHeight="1">
      <c r="A12" s="73" t="s">
        <v>63</v>
      </c>
      <c r="B12" s="74" t="s">
        <v>28</v>
      </c>
      <c r="C12" s="75">
        <v>102793</v>
      </c>
      <c r="D12" s="75">
        <v>110402</v>
      </c>
      <c r="E12" s="75">
        <v>103496</v>
      </c>
      <c r="F12" s="75">
        <v>103160</v>
      </c>
      <c r="G12" s="75">
        <v>103200</v>
      </c>
      <c r="H12" s="75">
        <v>114105</v>
      </c>
      <c r="I12" s="75">
        <v>93068</v>
      </c>
      <c r="J12" s="75">
        <v>84872</v>
      </c>
      <c r="K12" s="75">
        <v>116195</v>
      </c>
      <c r="L12" s="75">
        <v>94244</v>
      </c>
      <c r="M12" s="75">
        <v>114331</v>
      </c>
      <c r="N12" s="75">
        <v>108826</v>
      </c>
      <c r="T12" s="68"/>
      <c r="U12" s="68"/>
      <c r="V12" s="68"/>
      <c r="W12" s="68"/>
      <c r="X12" s="68"/>
      <c r="Y12" s="68"/>
      <c r="Z12" s="68"/>
      <c r="AA12" s="68"/>
      <c r="AB12" s="68"/>
      <c r="AC12" s="68"/>
    </row>
    <row r="13" spans="1:29" ht="24.95" customHeight="1">
      <c r="A13" s="73" t="s">
        <v>59</v>
      </c>
      <c r="B13" s="74" t="s">
        <v>60</v>
      </c>
      <c r="C13" s="75">
        <v>1101393</v>
      </c>
      <c r="D13" s="75">
        <v>1401673</v>
      </c>
      <c r="E13" s="75">
        <v>1299072</v>
      </c>
      <c r="F13" s="75">
        <v>1428233</v>
      </c>
      <c r="G13" s="75">
        <v>1569463</v>
      </c>
      <c r="H13" s="75">
        <v>1347675</v>
      </c>
      <c r="I13" s="75">
        <v>1117867</v>
      </c>
      <c r="J13" s="75">
        <v>1889564</v>
      </c>
      <c r="K13" s="75">
        <v>1977333</v>
      </c>
      <c r="L13" s="75">
        <v>986811</v>
      </c>
      <c r="M13" s="75">
        <v>973766</v>
      </c>
      <c r="N13" s="75">
        <v>786851</v>
      </c>
      <c r="T13" s="68"/>
      <c r="U13" s="68"/>
      <c r="V13" s="68"/>
      <c r="W13" s="68"/>
      <c r="X13" s="68"/>
      <c r="Y13" s="68"/>
      <c r="Z13" s="68"/>
      <c r="AA13" s="68"/>
      <c r="AB13" s="68"/>
      <c r="AC13" s="68"/>
    </row>
    <row r="14" spans="1:29" s="78" customFormat="1" ht="24.95" customHeight="1">
      <c r="A14" s="77" t="s">
        <v>64</v>
      </c>
      <c r="B14" s="70" t="s">
        <v>65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T14" s="68"/>
      <c r="U14" s="68"/>
      <c r="V14" s="68"/>
      <c r="W14" s="68"/>
      <c r="X14" s="68"/>
      <c r="Y14" s="68"/>
      <c r="Z14" s="68"/>
      <c r="AA14" s="68"/>
      <c r="AB14" s="68"/>
      <c r="AC14" s="68"/>
    </row>
    <row r="15" spans="1:29" ht="24.95" customHeight="1">
      <c r="A15" s="73" t="s">
        <v>39</v>
      </c>
      <c r="B15" s="74" t="s">
        <v>28</v>
      </c>
      <c r="C15" s="75">
        <v>972</v>
      </c>
      <c r="D15" s="75">
        <v>1223</v>
      </c>
      <c r="E15" s="75">
        <v>984</v>
      </c>
      <c r="F15" s="75">
        <v>1150</v>
      </c>
      <c r="G15" s="75">
        <v>1177</v>
      </c>
      <c r="H15" s="75">
        <v>1332</v>
      </c>
      <c r="I15" s="75">
        <v>1460</v>
      </c>
      <c r="J15" s="75">
        <v>1347</v>
      </c>
      <c r="K15" s="75">
        <v>1951</v>
      </c>
      <c r="L15" s="75">
        <v>1091</v>
      </c>
      <c r="M15" s="75">
        <v>1149</v>
      </c>
      <c r="N15" s="75">
        <v>1230</v>
      </c>
      <c r="T15" s="68"/>
      <c r="U15" s="68"/>
      <c r="V15" s="68"/>
      <c r="W15" s="68"/>
      <c r="X15" s="68"/>
      <c r="Y15" s="68"/>
      <c r="Z15" s="68"/>
      <c r="AA15" s="68"/>
      <c r="AB15" s="68"/>
      <c r="AC15" s="68"/>
    </row>
    <row r="16" spans="1:29" ht="24.95" customHeight="1">
      <c r="A16" s="79" t="s">
        <v>40</v>
      </c>
      <c r="B16" s="80" t="s">
        <v>41</v>
      </c>
      <c r="C16" s="81">
        <v>3984</v>
      </c>
      <c r="D16" s="81">
        <v>10508</v>
      </c>
      <c r="E16" s="81">
        <v>5132</v>
      </c>
      <c r="F16" s="81">
        <v>8502</v>
      </c>
      <c r="G16" s="81">
        <v>7073</v>
      </c>
      <c r="H16" s="81">
        <v>6280</v>
      </c>
      <c r="I16" s="81">
        <v>10029</v>
      </c>
      <c r="J16" s="81">
        <v>10889</v>
      </c>
      <c r="K16" s="81">
        <v>8771</v>
      </c>
      <c r="L16" s="81">
        <v>6048</v>
      </c>
      <c r="M16" s="81">
        <v>5372</v>
      </c>
      <c r="N16" s="81">
        <v>5463.625</v>
      </c>
      <c r="T16" s="68"/>
      <c r="U16" s="68"/>
      <c r="V16" s="68"/>
      <c r="W16" s="68"/>
      <c r="X16" s="68"/>
      <c r="Y16" s="68"/>
      <c r="Z16" s="68"/>
      <c r="AA16" s="68"/>
      <c r="AB16" s="68"/>
      <c r="AC16" s="68"/>
    </row>
    <row r="17" spans="1:29">
      <c r="A17" s="82"/>
      <c r="B17" s="83"/>
      <c r="C17" s="55"/>
      <c r="T17" s="68"/>
      <c r="U17" s="68"/>
      <c r="V17" s="68"/>
      <c r="W17" s="68"/>
      <c r="X17" s="68"/>
      <c r="Y17" s="68"/>
      <c r="Z17" s="68"/>
      <c r="AA17" s="68"/>
      <c r="AB17" s="68"/>
      <c r="AC17" s="68"/>
    </row>
    <row r="18" spans="1:29" ht="21">
      <c r="A18" s="82"/>
      <c r="B18" s="84"/>
      <c r="C18" s="55"/>
      <c r="T18" s="68"/>
      <c r="U18" s="68"/>
      <c r="V18" s="68"/>
      <c r="W18" s="68"/>
      <c r="X18" s="68"/>
      <c r="Y18" s="68"/>
      <c r="Z18" s="68"/>
      <c r="AA18" s="68"/>
      <c r="AB18" s="68"/>
      <c r="AC18" s="68"/>
    </row>
    <row r="19" spans="1:29" ht="21">
      <c r="A19" s="82"/>
      <c r="B19" s="85"/>
      <c r="C19" s="55"/>
      <c r="T19" s="68"/>
      <c r="U19" s="68"/>
      <c r="V19" s="68"/>
      <c r="W19" s="68"/>
      <c r="X19" s="68"/>
      <c r="Y19" s="68"/>
      <c r="Z19" s="68"/>
      <c r="AA19" s="68"/>
      <c r="AB19" s="68"/>
      <c r="AC19" s="68"/>
    </row>
    <row r="20" spans="1:29">
      <c r="C20" s="55"/>
      <c r="T20" s="68"/>
      <c r="U20" s="68"/>
      <c r="V20" s="68"/>
      <c r="W20" s="68"/>
      <c r="X20" s="68"/>
      <c r="Y20" s="68"/>
      <c r="Z20" s="68"/>
      <c r="AA20" s="68"/>
      <c r="AB20" s="68"/>
      <c r="AC20" s="68"/>
    </row>
    <row r="21" spans="1:29" ht="21">
      <c r="A21" s="82"/>
      <c r="B21" s="84"/>
      <c r="C21" s="55"/>
      <c r="T21" s="68"/>
      <c r="U21" s="68"/>
      <c r="V21" s="68"/>
      <c r="W21" s="68"/>
      <c r="X21" s="68"/>
      <c r="Y21" s="68"/>
      <c r="Z21" s="68"/>
      <c r="AA21" s="68"/>
      <c r="AB21" s="68"/>
      <c r="AC21" s="68"/>
    </row>
    <row r="22" spans="1:29" ht="21">
      <c r="A22" s="82"/>
      <c r="B22" s="87"/>
      <c r="C22" s="88"/>
    </row>
  </sheetData>
  <mergeCells count="3">
    <mergeCell ref="C1:M1"/>
    <mergeCell ref="C4:H4"/>
    <mergeCell ref="I4:N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8FA6-1263-4F45-95C6-6E298F3091E9}">
  <sheetPr>
    <pageSetUpPr fitToPage="1"/>
  </sheetPr>
  <dimension ref="A1:AC22"/>
  <sheetViews>
    <sheetView topLeftCell="E1" zoomScale="90" zoomScaleNormal="90" workbookViewId="0"/>
  </sheetViews>
  <sheetFormatPr defaultColWidth="8" defaultRowHeight="18.75"/>
  <cols>
    <col min="1" max="1" width="90.28515625" style="52" customWidth="1"/>
    <col min="2" max="2" width="90.28515625" style="86" customWidth="1"/>
    <col min="3" max="3" width="10.140625" style="89" customWidth="1"/>
    <col min="4" max="14" width="10.140625" style="55" customWidth="1"/>
    <col min="15" max="20" width="10" style="55" customWidth="1"/>
    <col min="21" max="29" width="8" style="55"/>
    <col min="30" max="30" width="8.140625" style="55" bestFit="1" customWidth="1"/>
    <col min="31" max="16384" width="8" style="55"/>
  </cols>
  <sheetData>
    <row r="1" spans="1:29" ht="24.95" customHeight="1">
      <c r="B1" s="53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54"/>
      <c r="O1" s="54"/>
    </row>
    <row r="2" spans="1:29" ht="24.95" customHeight="1">
      <c r="B2" s="56"/>
      <c r="C2" s="57"/>
      <c r="D2" s="57"/>
      <c r="E2" s="57"/>
      <c r="F2" s="57"/>
      <c r="G2" s="57"/>
      <c r="H2" s="57"/>
      <c r="J2" s="57"/>
      <c r="L2" s="57"/>
      <c r="N2" s="54"/>
    </row>
    <row r="3" spans="1:29" ht="24.95" customHeight="1">
      <c r="A3" s="58" t="s">
        <v>0</v>
      </c>
      <c r="B3" s="59" t="s">
        <v>1</v>
      </c>
      <c r="C3" s="55"/>
    </row>
    <row r="4" spans="1:29" ht="24.95" customHeight="1">
      <c r="A4" s="60" t="s">
        <v>50</v>
      </c>
      <c r="B4" s="61" t="s">
        <v>51</v>
      </c>
      <c r="C4" s="256">
        <v>2011</v>
      </c>
      <c r="D4" s="256"/>
      <c r="E4" s="256"/>
      <c r="F4" s="256"/>
      <c r="G4" s="256"/>
      <c r="H4" s="256"/>
      <c r="I4" s="256">
        <v>2012</v>
      </c>
      <c r="J4" s="256"/>
      <c r="K4" s="256"/>
      <c r="L4" s="256"/>
      <c r="M4" s="256"/>
      <c r="N4" s="256"/>
    </row>
    <row r="5" spans="1:29" ht="24.95" customHeight="1">
      <c r="A5" s="62" t="s">
        <v>2</v>
      </c>
      <c r="B5" s="61" t="s">
        <v>3</v>
      </c>
      <c r="C5" s="63" t="s">
        <v>4</v>
      </c>
      <c r="D5" s="63" t="s">
        <v>5</v>
      </c>
      <c r="E5" s="63" t="s">
        <v>6</v>
      </c>
      <c r="F5" s="63" t="s">
        <v>7</v>
      </c>
      <c r="G5" s="63" t="s">
        <v>8</v>
      </c>
      <c r="H5" s="63" t="s">
        <v>9</v>
      </c>
      <c r="I5" s="63" t="s">
        <v>10</v>
      </c>
      <c r="J5" s="63" t="s">
        <v>11</v>
      </c>
      <c r="K5" s="63" t="s">
        <v>12</v>
      </c>
      <c r="L5" s="63" t="s">
        <v>52</v>
      </c>
      <c r="M5" s="63" t="s">
        <v>14</v>
      </c>
      <c r="N5" s="63" t="s">
        <v>53</v>
      </c>
    </row>
    <row r="6" spans="1:29" ht="24.95" customHeight="1">
      <c r="A6" s="64"/>
      <c r="B6" s="65"/>
      <c r="C6" s="66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T6" s="68"/>
      <c r="U6" s="68"/>
      <c r="V6" s="68"/>
      <c r="W6" s="68"/>
      <c r="X6" s="68"/>
      <c r="Y6" s="68"/>
      <c r="Z6" s="68"/>
      <c r="AA6" s="68"/>
      <c r="AB6" s="68"/>
      <c r="AC6" s="68"/>
    </row>
    <row r="7" spans="1:29" ht="24.95" customHeight="1">
      <c r="A7" s="69" t="s">
        <v>54</v>
      </c>
      <c r="B7" s="70" t="s">
        <v>55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T7" s="68"/>
      <c r="U7" s="68"/>
      <c r="V7" s="68"/>
      <c r="W7" s="68"/>
      <c r="X7" s="68"/>
      <c r="Y7" s="68"/>
      <c r="Z7" s="68"/>
      <c r="AA7" s="68"/>
      <c r="AB7" s="68"/>
      <c r="AC7" s="68"/>
    </row>
    <row r="8" spans="1:29" ht="24.95" customHeight="1">
      <c r="A8" s="90" t="s">
        <v>56</v>
      </c>
      <c r="B8" s="70" t="s">
        <v>66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T8" s="68"/>
      <c r="U8" s="68"/>
      <c r="V8" s="68"/>
      <c r="W8" s="68"/>
      <c r="X8" s="68"/>
      <c r="Y8" s="68"/>
      <c r="Z8" s="68"/>
      <c r="AA8" s="68"/>
      <c r="AB8" s="68"/>
      <c r="AC8" s="68"/>
    </row>
    <row r="9" spans="1:29" ht="24.95" customHeight="1">
      <c r="A9" s="73" t="s">
        <v>58</v>
      </c>
      <c r="B9" s="74" t="s">
        <v>22</v>
      </c>
      <c r="C9" s="75">
        <v>983.45500000000004</v>
      </c>
      <c r="D9" s="75">
        <v>1008.15</v>
      </c>
      <c r="E9" s="75">
        <v>1081</v>
      </c>
      <c r="F9" s="75">
        <v>1157</v>
      </c>
      <c r="G9" s="75">
        <v>934</v>
      </c>
      <c r="H9" s="75">
        <v>1057</v>
      </c>
      <c r="I9" s="75">
        <v>1174.585</v>
      </c>
      <c r="J9" s="75">
        <v>1058</v>
      </c>
      <c r="K9" s="75">
        <v>1057</v>
      </c>
      <c r="L9" s="75">
        <v>1091</v>
      </c>
      <c r="M9" s="75">
        <v>1219.47</v>
      </c>
      <c r="N9" s="75">
        <v>1009</v>
      </c>
      <c r="T9" s="68"/>
      <c r="U9" s="68"/>
      <c r="V9" s="68"/>
      <c r="W9" s="68"/>
      <c r="X9" s="68"/>
      <c r="Y9" s="68"/>
      <c r="Z9" s="68"/>
      <c r="AA9" s="68"/>
      <c r="AB9" s="68"/>
      <c r="AC9" s="68"/>
    </row>
    <row r="10" spans="1:29" ht="24.95" customHeight="1">
      <c r="A10" s="73" t="s">
        <v>59</v>
      </c>
      <c r="B10" s="74" t="s">
        <v>60</v>
      </c>
      <c r="C10" s="75">
        <v>57429</v>
      </c>
      <c r="D10" s="75">
        <v>51511</v>
      </c>
      <c r="E10" s="75">
        <v>53074</v>
      </c>
      <c r="F10" s="75">
        <v>54687</v>
      </c>
      <c r="G10" s="75">
        <v>48640</v>
      </c>
      <c r="H10" s="75">
        <v>54133</v>
      </c>
      <c r="I10" s="75">
        <v>55487</v>
      </c>
      <c r="J10" s="75">
        <v>52857</v>
      </c>
      <c r="K10" s="75">
        <v>57063</v>
      </c>
      <c r="L10" s="75">
        <v>54287</v>
      </c>
      <c r="M10" s="75">
        <v>66969</v>
      </c>
      <c r="N10" s="75">
        <v>55059</v>
      </c>
      <c r="T10" s="68"/>
      <c r="U10" s="68"/>
      <c r="V10" s="68"/>
      <c r="W10" s="68"/>
      <c r="X10" s="68"/>
      <c r="Y10" s="68"/>
      <c r="Z10" s="68"/>
      <c r="AA10" s="68"/>
      <c r="AB10" s="68"/>
      <c r="AC10" s="68"/>
    </row>
    <row r="11" spans="1:29" ht="24.95" customHeight="1">
      <c r="A11" s="69" t="s">
        <v>61</v>
      </c>
      <c r="B11" s="70" t="s">
        <v>62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T11" s="68"/>
      <c r="U11" s="68"/>
      <c r="V11" s="68"/>
      <c r="W11" s="68"/>
      <c r="X11" s="68"/>
      <c r="Y11" s="68"/>
      <c r="Z11" s="68"/>
      <c r="AA11" s="68"/>
      <c r="AB11" s="68"/>
      <c r="AC11" s="68"/>
    </row>
    <row r="12" spans="1:29" ht="24.95" customHeight="1">
      <c r="A12" s="73" t="s">
        <v>63</v>
      </c>
      <c r="B12" s="74" t="s">
        <v>28</v>
      </c>
      <c r="C12" s="75">
        <v>100552</v>
      </c>
      <c r="D12" s="75">
        <v>104248</v>
      </c>
      <c r="E12" s="75">
        <v>104336</v>
      </c>
      <c r="F12" s="75">
        <v>111604</v>
      </c>
      <c r="G12" s="75">
        <v>100209</v>
      </c>
      <c r="H12" s="75">
        <v>112514</v>
      </c>
      <c r="I12" s="75">
        <v>111048</v>
      </c>
      <c r="J12" s="75">
        <v>108404</v>
      </c>
      <c r="K12" s="75">
        <v>112563</v>
      </c>
      <c r="L12" s="75">
        <v>110141</v>
      </c>
      <c r="M12" s="75">
        <v>119515</v>
      </c>
      <c r="N12" s="75">
        <v>103629</v>
      </c>
      <c r="T12" s="68"/>
      <c r="U12" s="68"/>
      <c r="V12" s="68"/>
      <c r="W12" s="68"/>
      <c r="X12" s="68"/>
      <c r="Y12" s="68"/>
      <c r="Z12" s="68"/>
      <c r="AA12" s="68"/>
      <c r="AB12" s="68"/>
      <c r="AC12" s="68"/>
    </row>
    <row r="13" spans="1:29" ht="24.95" customHeight="1">
      <c r="A13" s="73" t="s">
        <v>59</v>
      </c>
      <c r="B13" s="74" t="s">
        <v>60</v>
      </c>
      <c r="C13" s="75">
        <v>722501</v>
      </c>
      <c r="D13" s="75">
        <v>755625</v>
      </c>
      <c r="E13" s="75">
        <v>860806</v>
      </c>
      <c r="F13" s="75">
        <v>886675</v>
      </c>
      <c r="G13" s="75">
        <v>658537</v>
      </c>
      <c r="H13" s="75">
        <v>722336</v>
      </c>
      <c r="I13" s="75">
        <v>774131</v>
      </c>
      <c r="J13" s="75">
        <v>742010</v>
      </c>
      <c r="K13" s="75">
        <v>735723</v>
      </c>
      <c r="L13" s="75">
        <v>738676</v>
      </c>
      <c r="M13" s="75">
        <v>920815</v>
      </c>
      <c r="N13" s="75">
        <v>884465</v>
      </c>
      <c r="T13" s="68"/>
      <c r="U13" s="68"/>
      <c r="V13" s="68"/>
      <c r="W13" s="68"/>
      <c r="X13" s="68"/>
      <c r="Y13" s="68"/>
      <c r="Z13" s="68"/>
      <c r="AA13" s="68"/>
      <c r="AB13" s="68"/>
      <c r="AC13" s="68"/>
    </row>
    <row r="14" spans="1:29" s="78" customFormat="1" ht="42" customHeight="1">
      <c r="A14" s="77" t="s">
        <v>64</v>
      </c>
      <c r="B14" s="70" t="s">
        <v>65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T14" s="68"/>
      <c r="U14" s="68"/>
      <c r="V14" s="68"/>
      <c r="W14" s="68"/>
      <c r="X14" s="68"/>
      <c r="Y14" s="68"/>
      <c r="Z14" s="68"/>
      <c r="AA14" s="68"/>
      <c r="AB14" s="68"/>
      <c r="AC14" s="68"/>
    </row>
    <row r="15" spans="1:29" ht="24.95" customHeight="1">
      <c r="A15" s="73" t="s">
        <v>39</v>
      </c>
      <c r="B15" s="74" t="s">
        <v>28</v>
      </c>
      <c r="C15" s="75">
        <v>1074</v>
      </c>
      <c r="D15" s="75">
        <v>1054</v>
      </c>
      <c r="E15" s="75">
        <v>1277</v>
      </c>
      <c r="F15" s="75">
        <v>1097</v>
      </c>
      <c r="G15" s="75">
        <v>1308</v>
      </c>
      <c r="H15" s="75">
        <v>1547</v>
      </c>
      <c r="I15" s="75">
        <v>1249</v>
      </c>
      <c r="J15" s="75">
        <v>978</v>
      </c>
      <c r="K15" s="75">
        <v>1008</v>
      </c>
      <c r="L15" s="75">
        <v>1069</v>
      </c>
      <c r="M15" s="75">
        <v>1278</v>
      </c>
      <c r="N15" s="75">
        <v>1141</v>
      </c>
      <c r="T15" s="68"/>
      <c r="U15" s="68"/>
      <c r="V15" s="68"/>
      <c r="W15" s="68"/>
      <c r="X15" s="68"/>
      <c r="Y15" s="68"/>
      <c r="Z15" s="68"/>
      <c r="AA15" s="68"/>
      <c r="AB15" s="68"/>
      <c r="AC15" s="68"/>
    </row>
    <row r="16" spans="1:29" ht="24.95" customHeight="1">
      <c r="A16" s="79" t="s">
        <v>40</v>
      </c>
      <c r="B16" s="80" t="s">
        <v>41</v>
      </c>
      <c r="C16" s="81">
        <v>4685</v>
      </c>
      <c r="D16" s="81">
        <v>5217.67</v>
      </c>
      <c r="E16" s="81">
        <v>6697.625</v>
      </c>
      <c r="F16" s="81">
        <v>5225</v>
      </c>
      <c r="G16" s="81">
        <v>6278</v>
      </c>
      <c r="H16" s="81">
        <v>7126</v>
      </c>
      <c r="I16" s="81">
        <v>5258</v>
      </c>
      <c r="J16" s="81">
        <v>3830</v>
      </c>
      <c r="K16" s="81">
        <v>3623</v>
      </c>
      <c r="L16" s="81">
        <v>4399</v>
      </c>
      <c r="M16" s="81">
        <v>5157</v>
      </c>
      <c r="N16" s="81">
        <v>4824</v>
      </c>
      <c r="T16" s="68"/>
      <c r="U16" s="68"/>
      <c r="V16" s="68"/>
      <c r="W16" s="68"/>
      <c r="X16" s="68"/>
      <c r="Y16" s="68"/>
      <c r="Z16" s="68"/>
      <c r="AA16" s="68"/>
      <c r="AB16" s="68"/>
      <c r="AC16" s="68"/>
    </row>
    <row r="17" spans="1:29">
      <c r="A17" s="82"/>
      <c r="B17" s="83"/>
      <c r="C17" s="55"/>
      <c r="T17" s="68"/>
      <c r="U17" s="68"/>
      <c r="V17" s="68"/>
      <c r="W17" s="68"/>
      <c r="X17" s="68"/>
      <c r="Y17" s="68"/>
      <c r="Z17" s="68"/>
      <c r="AA17" s="68"/>
      <c r="AB17" s="68"/>
      <c r="AC17" s="68"/>
    </row>
    <row r="18" spans="1:29" ht="21">
      <c r="A18" s="82"/>
      <c r="B18" s="84"/>
      <c r="C18" s="55"/>
      <c r="T18" s="68"/>
      <c r="U18" s="68"/>
      <c r="V18" s="68"/>
      <c r="W18" s="68"/>
      <c r="X18" s="68"/>
      <c r="Y18" s="68"/>
      <c r="Z18" s="68"/>
      <c r="AA18" s="68"/>
      <c r="AB18" s="68"/>
      <c r="AC18" s="68"/>
    </row>
    <row r="19" spans="1:29" ht="21">
      <c r="A19" s="82"/>
      <c r="B19" s="85"/>
      <c r="C19" s="55"/>
      <c r="T19" s="68"/>
      <c r="U19" s="68"/>
      <c r="V19" s="68"/>
      <c r="W19" s="68"/>
      <c r="X19" s="68"/>
      <c r="Y19" s="68"/>
      <c r="Z19" s="68"/>
      <c r="AA19" s="68"/>
      <c r="AB19" s="68"/>
      <c r="AC19" s="68"/>
    </row>
    <row r="20" spans="1:29">
      <c r="C20" s="55"/>
      <c r="T20" s="68"/>
      <c r="U20" s="68"/>
      <c r="V20" s="68"/>
      <c r="W20" s="68"/>
      <c r="X20" s="68"/>
      <c r="Y20" s="68"/>
      <c r="Z20" s="68"/>
      <c r="AA20" s="68"/>
      <c r="AB20" s="68"/>
      <c r="AC20" s="68"/>
    </row>
    <row r="21" spans="1:29" ht="21">
      <c r="A21" s="82"/>
      <c r="B21" s="84"/>
      <c r="C21" s="55"/>
      <c r="T21" s="68"/>
      <c r="U21" s="68"/>
      <c r="V21" s="68"/>
      <c r="W21" s="68"/>
      <c r="X21" s="68"/>
      <c r="Y21" s="68"/>
      <c r="Z21" s="68"/>
      <c r="AA21" s="68"/>
      <c r="AB21" s="68"/>
      <c r="AC21" s="68"/>
    </row>
    <row r="22" spans="1:29" ht="21">
      <c r="A22" s="82"/>
      <c r="B22" s="87"/>
      <c r="C22" s="88"/>
    </row>
  </sheetData>
  <mergeCells count="3">
    <mergeCell ref="C1:M1"/>
    <mergeCell ref="C4:H4"/>
    <mergeCell ref="I4:N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9F79-4094-4147-A5E6-74F46E923959}">
  <sheetPr>
    <pageSetUpPr fitToPage="1"/>
  </sheetPr>
  <dimension ref="A1:AC22"/>
  <sheetViews>
    <sheetView topLeftCell="B1" workbookViewId="0"/>
  </sheetViews>
  <sheetFormatPr defaultColWidth="8" defaultRowHeight="18.75"/>
  <cols>
    <col min="1" max="1" width="79.7109375" style="52" customWidth="1"/>
    <col min="2" max="2" width="79.7109375" style="86" customWidth="1"/>
    <col min="3" max="3" width="11.140625" style="89" customWidth="1"/>
    <col min="4" max="10" width="11.140625" style="55" customWidth="1"/>
    <col min="11" max="11" width="9.85546875" style="55" customWidth="1"/>
    <col min="12" max="20" width="10" style="55" customWidth="1"/>
    <col min="21" max="29" width="8" style="55"/>
    <col min="30" max="30" width="8.140625" style="55" bestFit="1" customWidth="1"/>
    <col min="31" max="16384" width="8" style="55"/>
  </cols>
  <sheetData>
    <row r="1" spans="1:29" ht="24.95" customHeight="1">
      <c r="B1" s="53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54"/>
      <c r="O1" s="54"/>
    </row>
    <row r="2" spans="1:29" ht="24.95" customHeight="1">
      <c r="B2" s="56"/>
      <c r="C2" s="57"/>
      <c r="D2" s="57"/>
      <c r="E2" s="57"/>
      <c r="F2" s="57"/>
      <c r="G2" s="57"/>
      <c r="H2" s="57"/>
      <c r="J2" s="57"/>
      <c r="L2" s="57"/>
      <c r="N2" s="54"/>
    </row>
    <row r="3" spans="1:29" ht="24.95" customHeight="1">
      <c r="A3" s="58" t="s">
        <v>0</v>
      </c>
      <c r="B3" s="59" t="s">
        <v>1</v>
      </c>
      <c r="C3" s="55"/>
    </row>
    <row r="4" spans="1:29" ht="24.95" customHeight="1">
      <c r="A4" s="60" t="s">
        <v>50</v>
      </c>
      <c r="B4" s="61" t="s">
        <v>51</v>
      </c>
      <c r="C4" s="256">
        <v>2012</v>
      </c>
      <c r="D4" s="256"/>
      <c r="E4" s="256"/>
      <c r="F4" s="256"/>
      <c r="G4" s="256"/>
      <c r="H4" s="256"/>
      <c r="I4" s="256">
        <v>2013</v>
      </c>
      <c r="J4" s="256"/>
      <c r="K4" s="256"/>
      <c r="L4" s="256"/>
      <c r="M4" s="256"/>
      <c r="N4" s="256"/>
    </row>
    <row r="5" spans="1:29" ht="24.95" customHeight="1">
      <c r="A5" s="62" t="s">
        <v>2</v>
      </c>
      <c r="B5" s="61" t="s">
        <v>3</v>
      </c>
      <c r="C5" s="63" t="s">
        <v>4</v>
      </c>
      <c r="D5" s="63" t="s">
        <v>5</v>
      </c>
      <c r="E5" s="63" t="s">
        <v>6</v>
      </c>
      <c r="F5" s="63" t="s">
        <v>7</v>
      </c>
      <c r="G5" s="63" t="s">
        <v>8</v>
      </c>
      <c r="H5" s="63" t="s">
        <v>9</v>
      </c>
      <c r="I5" s="63" t="s">
        <v>10</v>
      </c>
      <c r="J5" s="63" t="s">
        <v>11</v>
      </c>
      <c r="K5" s="63" t="s">
        <v>12</v>
      </c>
      <c r="L5" s="63" t="s">
        <v>52</v>
      </c>
      <c r="M5" s="63" t="s">
        <v>14</v>
      </c>
      <c r="N5" s="63" t="s">
        <v>53</v>
      </c>
    </row>
    <row r="6" spans="1:29" ht="24.95" customHeight="1">
      <c r="A6" s="64"/>
      <c r="B6" s="65"/>
      <c r="C6" s="66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T6" s="68"/>
      <c r="U6" s="68"/>
      <c r="V6" s="68"/>
      <c r="W6" s="68"/>
      <c r="X6" s="68"/>
      <c r="Y6" s="68"/>
      <c r="Z6" s="68"/>
      <c r="AA6" s="68"/>
      <c r="AB6" s="68"/>
      <c r="AC6" s="68"/>
    </row>
    <row r="7" spans="1:29" ht="24.95" customHeight="1">
      <c r="A7" s="69" t="s">
        <v>54</v>
      </c>
      <c r="B7" s="70" t="s">
        <v>55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T7" s="68"/>
      <c r="U7" s="68"/>
      <c r="V7" s="68"/>
      <c r="W7" s="68"/>
      <c r="X7" s="68"/>
      <c r="Y7" s="68"/>
      <c r="Z7" s="68"/>
      <c r="AA7" s="68"/>
      <c r="AB7" s="68"/>
      <c r="AC7" s="68"/>
    </row>
    <row r="8" spans="1:29" ht="24.95" customHeight="1">
      <c r="A8" s="90" t="s">
        <v>56</v>
      </c>
      <c r="B8" s="70" t="s">
        <v>66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T8" s="68"/>
      <c r="U8" s="68"/>
      <c r="V8" s="68"/>
      <c r="W8" s="68"/>
      <c r="X8" s="68"/>
      <c r="Y8" s="68"/>
      <c r="Z8" s="68"/>
      <c r="AA8" s="68"/>
      <c r="AB8" s="68"/>
      <c r="AC8" s="68"/>
    </row>
    <row r="9" spans="1:29" ht="24.95" customHeight="1">
      <c r="A9" s="73" t="s">
        <v>58</v>
      </c>
      <c r="B9" s="74" t="s">
        <v>22</v>
      </c>
      <c r="C9" s="75">
        <v>1134.135</v>
      </c>
      <c r="D9" s="75">
        <v>1019</v>
      </c>
      <c r="E9" s="75">
        <v>1104</v>
      </c>
      <c r="F9" s="75">
        <v>1117</v>
      </c>
      <c r="G9" s="75">
        <v>998</v>
      </c>
      <c r="H9" s="75">
        <v>1148</v>
      </c>
      <c r="I9" s="75">
        <v>1129</v>
      </c>
      <c r="J9" s="75">
        <v>1048</v>
      </c>
      <c r="K9" s="75">
        <v>1141</v>
      </c>
      <c r="L9" s="75">
        <v>1135.32</v>
      </c>
      <c r="M9" s="75">
        <v>1103</v>
      </c>
      <c r="N9" s="75">
        <v>1190</v>
      </c>
      <c r="T9" s="68"/>
      <c r="U9" s="68"/>
      <c r="V9" s="68"/>
      <c r="W9" s="68"/>
      <c r="X9" s="68"/>
      <c r="Y9" s="68"/>
      <c r="Z9" s="68"/>
      <c r="AA9" s="68"/>
      <c r="AB9" s="68"/>
      <c r="AC9" s="68"/>
    </row>
    <row r="10" spans="1:29" ht="24.95" customHeight="1">
      <c r="A10" s="73" t="s">
        <v>59</v>
      </c>
      <c r="B10" s="74" t="s">
        <v>60</v>
      </c>
      <c r="C10" s="75">
        <v>61388</v>
      </c>
      <c r="D10" s="75">
        <v>53927</v>
      </c>
      <c r="E10" s="75">
        <v>55464</v>
      </c>
      <c r="F10" s="75">
        <v>60646</v>
      </c>
      <c r="G10" s="75">
        <v>56135</v>
      </c>
      <c r="H10" s="75">
        <v>58704</v>
      </c>
      <c r="I10" s="75">
        <v>62306</v>
      </c>
      <c r="J10" s="75">
        <v>55272</v>
      </c>
      <c r="K10" s="75">
        <v>61681</v>
      </c>
      <c r="L10" s="75">
        <v>66830</v>
      </c>
      <c r="M10" s="75">
        <v>68805</v>
      </c>
      <c r="N10" s="75">
        <v>66519</v>
      </c>
      <c r="T10" s="68"/>
      <c r="U10" s="68"/>
      <c r="V10" s="68"/>
      <c r="W10" s="68"/>
      <c r="X10" s="68"/>
      <c r="Y10" s="68"/>
      <c r="Z10" s="68"/>
      <c r="AA10" s="68"/>
      <c r="AB10" s="68"/>
      <c r="AC10" s="68"/>
    </row>
    <row r="11" spans="1:29" ht="24.95" customHeight="1">
      <c r="A11" s="69" t="s">
        <v>61</v>
      </c>
      <c r="B11" s="70" t="s">
        <v>62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T11" s="68"/>
      <c r="U11" s="68"/>
      <c r="V11" s="68"/>
      <c r="W11" s="68"/>
      <c r="X11" s="68"/>
      <c r="Y11" s="68"/>
      <c r="Z11" s="68"/>
      <c r="AA11" s="68"/>
      <c r="AB11" s="68"/>
      <c r="AC11" s="68"/>
    </row>
    <row r="12" spans="1:29" ht="24.95" customHeight="1">
      <c r="A12" s="73" t="s">
        <v>63</v>
      </c>
      <c r="B12" s="74" t="s">
        <v>28</v>
      </c>
      <c r="C12" s="75">
        <v>119222</v>
      </c>
      <c r="D12" s="75">
        <v>109660</v>
      </c>
      <c r="E12" s="75">
        <v>110590</v>
      </c>
      <c r="F12" s="75">
        <v>116569</v>
      </c>
      <c r="G12" s="75">
        <v>102743</v>
      </c>
      <c r="H12" s="75">
        <v>116439</v>
      </c>
      <c r="I12" s="75">
        <v>98627</v>
      </c>
      <c r="J12" s="75">
        <v>86354</v>
      </c>
      <c r="K12" s="75">
        <v>93020</v>
      </c>
      <c r="L12" s="75">
        <v>96498</v>
      </c>
      <c r="M12" s="75">
        <v>87814</v>
      </c>
      <c r="N12" s="75">
        <v>92661</v>
      </c>
      <c r="T12" s="68"/>
      <c r="U12" s="68"/>
      <c r="V12" s="68"/>
      <c r="W12" s="68"/>
      <c r="X12" s="68"/>
      <c r="Y12" s="68"/>
      <c r="Z12" s="68"/>
      <c r="AA12" s="68"/>
      <c r="AB12" s="68"/>
      <c r="AC12" s="68"/>
    </row>
    <row r="13" spans="1:29" ht="24.95" customHeight="1">
      <c r="A13" s="73" t="s">
        <v>59</v>
      </c>
      <c r="B13" s="74" t="s">
        <v>60</v>
      </c>
      <c r="C13" s="75">
        <v>976130</v>
      </c>
      <c r="D13" s="75">
        <v>658543</v>
      </c>
      <c r="E13" s="75">
        <v>918241</v>
      </c>
      <c r="F13" s="75">
        <v>1079347</v>
      </c>
      <c r="G13" s="75">
        <v>940929</v>
      </c>
      <c r="H13" s="75">
        <v>965726</v>
      </c>
      <c r="I13" s="75">
        <v>1017695</v>
      </c>
      <c r="J13" s="75">
        <v>1071235</v>
      </c>
      <c r="K13" s="75">
        <v>1244603</v>
      </c>
      <c r="L13" s="75">
        <v>1060545</v>
      </c>
      <c r="M13" s="75">
        <v>966282</v>
      </c>
      <c r="N13" s="75">
        <v>1394503</v>
      </c>
      <c r="T13" s="68"/>
      <c r="U13" s="68"/>
      <c r="V13" s="68"/>
      <c r="W13" s="68"/>
      <c r="X13" s="68"/>
      <c r="Y13" s="68"/>
      <c r="Z13" s="68"/>
      <c r="AA13" s="68"/>
      <c r="AB13" s="68"/>
      <c r="AC13" s="68"/>
    </row>
    <row r="14" spans="1:29" s="78" customFormat="1" ht="24.95" customHeight="1">
      <c r="A14" s="77" t="s">
        <v>64</v>
      </c>
      <c r="B14" s="70" t="s">
        <v>65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T14" s="68"/>
      <c r="U14" s="68"/>
      <c r="V14" s="68"/>
      <c r="W14" s="68"/>
      <c r="X14" s="68"/>
      <c r="Y14" s="68"/>
      <c r="Z14" s="68"/>
      <c r="AA14" s="68"/>
      <c r="AB14" s="68"/>
      <c r="AC14" s="68"/>
    </row>
    <row r="15" spans="1:29" ht="24.95" customHeight="1">
      <c r="A15" s="73" t="s">
        <v>39</v>
      </c>
      <c r="B15" s="74" t="s">
        <v>28</v>
      </c>
      <c r="C15" s="75">
        <v>1098</v>
      </c>
      <c r="D15" s="75">
        <v>944</v>
      </c>
      <c r="E15" s="75">
        <v>1037</v>
      </c>
      <c r="F15" s="75">
        <v>1057</v>
      </c>
      <c r="G15" s="75">
        <v>1251</v>
      </c>
      <c r="H15" s="75">
        <v>1587</v>
      </c>
      <c r="I15" s="75">
        <v>933</v>
      </c>
      <c r="J15" s="75">
        <v>348</v>
      </c>
      <c r="K15" s="75">
        <v>394</v>
      </c>
      <c r="L15" s="75">
        <v>478</v>
      </c>
      <c r="M15" s="75">
        <v>346</v>
      </c>
      <c r="N15" s="75">
        <v>412</v>
      </c>
      <c r="T15" s="68"/>
      <c r="U15" s="68"/>
      <c r="V15" s="68"/>
      <c r="W15" s="68"/>
      <c r="X15" s="68"/>
      <c r="Y15" s="68"/>
      <c r="Z15" s="68"/>
      <c r="AA15" s="68"/>
      <c r="AB15" s="68"/>
      <c r="AC15" s="68"/>
    </row>
    <row r="16" spans="1:29" ht="24.95" customHeight="1">
      <c r="A16" s="79" t="s">
        <v>40</v>
      </c>
      <c r="B16" s="80" t="s">
        <v>41</v>
      </c>
      <c r="C16" s="81">
        <v>4185</v>
      </c>
      <c r="D16" s="81">
        <v>3475</v>
      </c>
      <c r="E16" s="81">
        <v>3650</v>
      </c>
      <c r="F16" s="81">
        <v>3797.49</v>
      </c>
      <c r="G16" s="81">
        <v>5428</v>
      </c>
      <c r="H16" s="81">
        <v>8098</v>
      </c>
      <c r="I16" s="81">
        <v>1915</v>
      </c>
      <c r="J16" s="81">
        <v>508.85</v>
      </c>
      <c r="K16" s="81">
        <v>472</v>
      </c>
      <c r="L16" s="81">
        <v>1088</v>
      </c>
      <c r="M16" s="81">
        <v>936.74</v>
      </c>
      <c r="N16" s="81">
        <v>969.15</v>
      </c>
      <c r="T16" s="68"/>
      <c r="U16" s="68"/>
      <c r="V16" s="68"/>
      <c r="W16" s="68"/>
      <c r="X16" s="68"/>
      <c r="Y16" s="68"/>
      <c r="Z16" s="68"/>
      <c r="AA16" s="68"/>
      <c r="AB16" s="68"/>
      <c r="AC16" s="68"/>
    </row>
    <row r="17" spans="1:29">
      <c r="A17" s="82"/>
      <c r="B17" s="83"/>
      <c r="C17" s="55"/>
      <c r="T17" s="68"/>
      <c r="U17" s="68"/>
      <c r="V17" s="68"/>
      <c r="W17" s="68"/>
      <c r="X17" s="68"/>
      <c r="Y17" s="68"/>
      <c r="Z17" s="68"/>
      <c r="AA17" s="68"/>
      <c r="AB17" s="68"/>
      <c r="AC17" s="68"/>
    </row>
    <row r="18" spans="1:29" ht="21">
      <c r="A18" s="82"/>
      <c r="B18" s="84"/>
      <c r="C18" s="55"/>
      <c r="T18" s="68"/>
      <c r="U18" s="68"/>
      <c r="V18" s="68"/>
      <c r="W18" s="68"/>
      <c r="X18" s="68"/>
      <c r="Y18" s="68"/>
      <c r="Z18" s="68"/>
      <c r="AA18" s="68"/>
      <c r="AB18" s="68"/>
      <c r="AC18" s="68"/>
    </row>
    <row r="19" spans="1:29" ht="21">
      <c r="A19" s="82"/>
      <c r="B19" s="85"/>
      <c r="C19" s="55"/>
      <c r="T19" s="68"/>
      <c r="U19" s="68"/>
      <c r="V19" s="68"/>
      <c r="W19" s="68"/>
      <c r="X19" s="68"/>
      <c r="Y19" s="68"/>
      <c r="Z19" s="68"/>
      <c r="AA19" s="68"/>
      <c r="AB19" s="68"/>
      <c r="AC19" s="68"/>
    </row>
    <row r="20" spans="1:29">
      <c r="C20" s="55"/>
      <c r="T20" s="68"/>
      <c r="U20" s="68"/>
      <c r="V20" s="68"/>
      <c r="W20" s="68"/>
      <c r="X20" s="68"/>
      <c r="Y20" s="68"/>
      <c r="Z20" s="68"/>
      <c r="AA20" s="68"/>
      <c r="AB20" s="68"/>
      <c r="AC20" s="68"/>
    </row>
    <row r="21" spans="1:29" ht="21">
      <c r="A21" s="82"/>
      <c r="B21" s="84"/>
      <c r="C21" s="55"/>
      <c r="T21" s="68"/>
      <c r="U21" s="68"/>
      <c r="V21" s="68"/>
      <c r="W21" s="68"/>
      <c r="X21" s="68"/>
      <c r="Y21" s="68"/>
      <c r="Z21" s="68"/>
      <c r="AA21" s="68"/>
      <c r="AB21" s="68"/>
      <c r="AC21" s="68"/>
    </row>
    <row r="22" spans="1:29" ht="21">
      <c r="A22" s="82"/>
      <c r="B22" s="87"/>
      <c r="C22" s="88"/>
    </row>
  </sheetData>
  <mergeCells count="3">
    <mergeCell ref="C1:M1"/>
    <mergeCell ref="C4:H4"/>
    <mergeCell ref="I4:N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9BA0-082A-475F-8D2F-BAA18E704459}">
  <sheetPr>
    <pageSetUpPr fitToPage="1"/>
  </sheetPr>
  <dimension ref="A1:AB22"/>
  <sheetViews>
    <sheetView topLeftCell="C1" workbookViewId="0"/>
  </sheetViews>
  <sheetFormatPr defaultColWidth="8" defaultRowHeight="18.75"/>
  <cols>
    <col min="1" max="1" width="96.7109375" style="52" customWidth="1"/>
    <col min="2" max="2" width="79.28515625" style="86" customWidth="1"/>
    <col min="3" max="3" width="9.5703125" style="89" customWidth="1"/>
    <col min="4" max="14" width="9.5703125" style="92" customWidth="1"/>
    <col min="15" max="19" width="10" style="92" customWidth="1"/>
    <col min="20" max="28" width="8" style="92"/>
    <col min="29" max="29" width="8.140625" style="92" bestFit="1" customWidth="1"/>
    <col min="30" max="16384" width="8" style="92"/>
  </cols>
  <sheetData>
    <row r="1" spans="1:28" ht="24.95" customHeight="1">
      <c r="B1" s="53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91"/>
    </row>
    <row r="2" spans="1:28" ht="24.95" customHeight="1">
      <c r="B2" s="56"/>
      <c r="C2" s="93"/>
      <c r="D2" s="93"/>
      <c r="E2" s="93"/>
      <c r="F2" s="93"/>
      <c r="G2" s="93"/>
      <c r="H2" s="93"/>
      <c r="J2" s="93"/>
      <c r="L2" s="93"/>
      <c r="N2" s="91"/>
    </row>
    <row r="3" spans="1:28" ht="24.95" customHeight="1">
      <c r="A3" s="58" t="s">
        <v>0</v>
      </c>
      <c r="B3" s="59" t="s">
        <v>1</v>
      </c>
      <c r="C3" s="94"/>
      <c r="D3" s="94"/>
    </row>
    <row r="4" spans="1:28" ht="24.95" customHeight="1">
      <c r="A4" s="60" t="s">
        <v>50</v>
      </c>
      <c r="B4" s="61" t="s">
        <v>51</v>
      </c>
      <c r="C4" s="258">
        <v>2013</v>
      </c>
      <c r="D4" s="258"/>
      <c r="E4" s="258"/>
      <c r="F4" s="258"/>
      <c r="G4" s="258"/>
      <c r="H4" s="258"/>
      <c r="I4" s="258">
        <v>2014</v>
      </c>
      <c r="J4" s="258"/>
      <c r="K4" s="258"/>
      <c r="L4" s="258"/>
      <c r="M4" s="258"/>
      <c r="N4" s="258"/>
    </row>
    <row r="5" spans="1:28" ht="24.95" customHeight="1">
      <c r="A5" s="62" t="s">
        <v>2</v>
      </c>
      <c r="B5" s="61" t="s">
        <v>3</v>
      </c>
      <c r="C5" s="63" t="s">
        <v>4</v>
      </c>
      <c r="D5" s="63" t="s">
        <v>5</v>
      </c>
      <c r="E5" s="63" t="s">
        <v>6</v>
      </c>
      <c r="F5" s="63" t="s">
        <v>7</v>
      </c>
      <c r="G5" s="63" t="s">
        <v>8</v>
      </c>
      <c r="H5" s="63" t="s">
        <v>9</v>
      </c>
      <c r="I5" s="63" t="s">
        <v>10</v>
      </c>
      <c r="J5" s="63" t="s">
        <v>11</v>
      </c>
      <c r="K5" s="63" t="s">
        <v>12</v>
      </c>
      <c r="L5" s="63" t="s">
        <v>52</v>
      </c>
      <c r="M5" s="63" t="s">
        <v>14</v>
      </c>
      <c r="N5" s="63" t="s">
        <v>53</v>
      </c>
    </row>
    <row r="6" spans="1:28" ht="24.95" customHeight="1">
      <c r="A6" s="64"/>
      <c r="B6" s="65"/>
      <c r="C6" s="66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S6" s="96"/>
      <c r="T6" s="96"/>
      <c r="U6" s="96"/>
      <c r="V6" s="96"/>
      <c r="W6" s="96"/>
      <c r="X6" s="96"/>
      <c r="Y6" s="96"/>
      <c r="Z6" s="96"/>
      <c r="AA6" s="96"/>
      <c r="AB6" s="96"/>
    </row>
    <row r="7" spans="1:28" ht="24.95" customHeight="1">
      <c r="A7" s="69" t="s">
        <v>54</v>
      </c>
      <c r="B7" s="70" t="s">
        <v>55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S7" s="96"/>
      <c r="T7" s="96"/>
      <c r="U7" s="96"/>
      <c r="V7" s="96"/>
      <c r="W7" s="96"/>
      <c r="X7" s="96"/>
      <c r="Y7" s="96"/>
      <c r="Z7" s="96"/>
      <c r="AA7" s="96"/>
      <c r="AB7" s="96"/>
    </row>
    <row r="8" spans="1:28" ht="24.95" customHeight="1">
      <c r="A8" s="90" t="s">
        <v>56</v>
      </c>
      <c r="B8" s="70" t="s">
        <v>66</v>
      </c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S8" s="96"/>
      <c r="T8" s="96"/>
      <c r="U8" s="96"/>
      <c r="V8" s="96"/>
      <c r="W8" s="96"/>
      <c r="X8" s="96"/>
      <c r="Y8" s="96"/>
      <c r="Z8" s="96"/>
      <c r="AA8" s="96"/>
      <c r="AB8" s="96"/>
    </row>
    <row r="9" spans="1:28" ht="24.95" customHeight="1">
      <c r="A9" s="73" t="s">
        <v>58</v>
      </c>
      <c r="B9" s="74" t="s">
        <v>22</v>
      </c>
      <c r="C9" s="75">
        <v>978</v>
      </c>
      <c r="D9" s="75">
        <v>878.28499999999997</v>
      </c>
      <c r="E9" s="75">
        <v>1180.19</v>
      </c>
      <c r="F9" s="75">
        <v>1031</v>
      </c>
      <c r="G9" s="75">
        <v>978</v>
      </c>
      <c r="H9" s="75">
        <v>1171.54</v>
      </c>
      <c r="I9" s="75">
        <v>1063</v>
      </c>
      <c r="J9" s="75">
        <v>1013.845</v>
      </c>
      <c r="K9" s="75">
        <v>1168</v>
      </c>
      <c r="L9" s="75">
        <v>1103</v>
      </c>
      <c r="M9" s="75">
        <v>1070</v>
      </c>
      <c r="N9" s="75">
        <v>1251.471</v>
      </c>
      <c r="S9" s="96"/>
      <c r="T9" s="96"/>
      <c r="U9" s="96"/>
      <c r="V9" s="96"/>
      <c r="W9" s="96"/>
      <c r="X9" s="96"/>
      <c r="Y9" s="96"/>
      <c r="Z9" s="96"/>
      <c r="AA9" s="96"/>
      <c r="AB9" s="96"/>
    </row>
    <row r="10" spans="1:28" ht="24.95" customHeight="1">
      <c r="A10" s="73" t="s">
        <v>59</v>
      </c>
      <c r="B10" s="74" t="s">
        <v>60</v>
      </c>
      <c r="C10" s="75">
        <v>61539</v>
      </c>
      <c r="D10" s="75">
        <v>53776</v>
      </c>
      <c r="E10" s="75">
        <v>63012</v>
      </c>
      <c r="F10" s="75">
        <v>60237</v>
      </c>
      <c r="G10" s="75">
        <v>58206</v>
      </c>
      <c r="H10" s="75">
        <v>69712</v>
      </c>
      <c r="I10" s="75">
        <v>63583</v>
      </c>
      <c r="J10" s="75">
        <v>63279</v>
      </c>
      <c r="K10" s="75">
        <v>71349</v>
      </c>
      <c r="L10" s="75">
        <v>68699</v>
      </c>
      <c r="M10" s="75">
        <v>76507</v>
      </c>
      <c r="N10" s="75">
        <v>79342.473096000002</v>
      </c>
      <c r="S10" s="96"/>
      <c r="T10" s="96"/>
      <c r="U10" s="96"/>
      <c r="V10" s="96"/>
      <c r="W10" s="96"/>
      <c r="X10" s="96"/>
      <c r="Y10" s="96"/>
      <c r="Z10" s="96"/>
      <c r="AA10" s="96"/>
      <c r="AB10" s="96"/>
    </row>
    <row r="11" spans="1:28" ht="24.95" customHeight="1">
      <c r="A11" s="69" t="s">
        <v>61</v>
      </c>
      <c r="B11" s="70" t="s">
        <v>62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S11" s="96"/>
      <c r="T11" s="96"/>
      <c r="U11" s="96"/>
      <c r="V11" s="96"/>
      <c r="W11" s="96"/>
      <c r="X11" s="96"/>
      <c r="Y11" s="96"/>
      <c r="Z11" s="96"/>
      <c r="AA11" s="96"/>
      <c r="AB11" s="96"/>
    </row>
    <row r="12" spans="1:28" ht="24.95" customHeight="1">
      <c r="A12" s="73" t="s">
        <v>63</v>
      </c>
      <c r="B12" s="74" t="s">
        <v>28</v>
      </c>
      <c r="C12" s="75">
        <v>88404</v>
      </c>
      <c r="D12" s="75">
        <v>77645</v>
      </c>
      <c r="E12" s="75">
        <v>90763</v>
      </c>
      <c r="F12" s="75">
        <v>86005</v>
      </c>
      <c r="G12" s="75">
        <v>80800</v>
      </c>
      <c r="H12" s="75">
        <v>96944</v>
      </c>
      <c r="I12" s="75">
        <v>85433</v>
      </c>
      <c r="J12" s="75">
        <v>83355</v>
      </c>
      <c r="K12" s="75">
        <v>91015</v>
      </c>
      <c r="L12" s="75">
        <v>85068</v>
      </c>
      <c r="M12" s="75">
        <v>83288</v>
      </c>
      <c r="N12" s="75">
        <v>85829</v>
      </c>
      <c r="S12" s="96"/>
      <c r="T12" s="96"/>
      <c r="U12" s="96"/>
      <c r="V12" s="96"/>
      <c r="W12" s="96"/>
      <c r="X12" s="96"/>
      <c r="Y12" s="96"/>
      <c r="Z12" s="96"/>
      <c r="AA12" s="96"/>
      <c r="AB12" s="96"/>
    </row>
    <row r="13" spans="1:28" ht="24.95" customHeight="1">
      <c r="A13" s="73" t="s">
        <v>59</v>
      </c>
      <c r="B13" s="74" t="s">
        <v>60</v>
      </c>
      <c r="C13" s="75">
        <v>1464043</v>
      </c>
      <c r="D13" s="75">
        <v>957274</v>
      </c>
      <c r="E13" s="75">
        <v>1132974</v>
      </c>
      <c r="F13" s="75">
        <v>1071755</v>
      </c>
      <c r="G13" s="75">
        <v>1272847</v>
      </c>
      <c r="H13" s="75">
        <v>1642666</v>
      </c>
      <c r="I13" s="75">
        <v>1514730</v>
      </c>
      <c r="J13" s="75">
        <v>1574116</v>
      </c>
      <c r="K13" s="75">
        <v>1439697</v>
      </c>
      <c r="L13" s="75">
        <v>1548756</v>
      </c>
      <c r="M13" s="75">
        <v>1395035</v>
      </c>
      <c r="N13" s="75">
        <v>1407323.3600610001</v>
      </c>
      <c r="S13" s="96"/>
      <c r="T13" s="96"/>
      <c r="U13" s="96"/>
      <c r="V13" s="96"/>
      <c r="W13" s="96"/>
      <c r="X13" s="96"/>
      <c r="Y13" s="96"/>
      <c r="Z13" s="96"/>
      <c r="AA13" s="96"/>
      <c r="AB13" s="96"/>
    </row>
    <row r="14" spans="1:28" ht="24.95" customHeight="1">
      <c r="A14" s="77" t="s">
        <v>64</v>
      </c>
      <c r="B14" s="70" t="s">
        <v>65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S14" s="96"/>
      <c r="T14" s="96"/>
      <c r="U14" s="96"/>
      <c r="V14" s="96"/>
      <c r="W14" s="96"/>
      <c r="X14" s="96"/>
      <c r="Y14" s="96"/>
      <c r="Z14" s="96"/>
      <c r="AA14" s="96"/>
      <c r="AB14" s="96"/>
    </row>
    <row r="15" spans="1:28" ht="24.95" customHeight="1">
      <c r="A15" s="73" t="s">
        <v>39</v>
      </c>
      <c r="B15" s="74" t="s">
        <v>28</v>
      </c>
      <c r="C15" s="75">
        <v>471</v>
      </c>
      <c r="D15" s="75">
        <v>331</v>
      </c>
      <c r="E15" s="75">
        <v>441</v>
      </c>
      <c r="F15" s="75">
        <v>338</v>
      </c>
      <c r="G15" s="75">
        <v>401</v>
      </c>
      <c r="H15" s="75">
        <v>469</v>
      </c>
      <c r="I15" s="75">
        <v>372</v>
      </c>
      <c r="J15" s="75">
        <v>407</v>
      </c>
      <c r="K15" s="75">
        <v>445</v>
      </c>
      <c r="L15" s="75">
        <v>355</v>
      </c>
      <c r="M15" s="75">
        <v>356</v>
      </c>
      <c r="N15" s="75">
        <v>456</v>
      </c>
      <c r="S15" s="96"/>
      <c r="T15" s="96"/>
      <c r="U15" s="96"/>
      <c r="V15" s="96"/>
      <c r="W15" s="96"/>
      <c r="X15" s="96"/>
      <c r="Y15" s="96"/>
      <c r="Z15" s="96"/>
      <c r="AA15" s="96"/>
      <c r="AB15" s="96"/>
    </row>
    <row r="16" spans="1:28" ht="24.95" customHeight="1">
      <c r="A16" s="79" t="s">
        <v>40</v>
      </c>
      <c r="B16" s="80" t="s">
        <v>41</v>
      </c>
      <c r="C16" s="81">
        <v>546</v>
      </c>
      <c r="D16" s="81">
        <v>398.75</v>
      </c>
      <c r="E16" s="81">
        <v>1476</v>
      </c>
      <c r="F16" s="81">
        <v>388</v>
      </c>
      <c r="G16" s="81">
        <v>471.5</v>
      </c>
      <c r="H16" s="81">
        <v>537</v>
      </c>
      <c r="I16" s="81">
        <v>1495</v>
      </c>
      <c r="J16" s="81">
        <v>467.5</v>
      </c>
      <c r="K16" s="81">
        <v>537.5</v>
      </c>
      <c r="L16" s="81">
        <v>423.5</v>
      </c>
      <c r="M16" s="81">
        <v>1194</v>
      </c>
      <c r="N16" s="81">
        <v>530.56100000000004</v>
      </c>
      <c r="S16" s="96"/>
      <c r="T16" s="96"/>
      <c r="U16" s="96"/>
      <c r="V16" s="96"/>
      <c r="W16" s="96"/>
      <c r="X16" s="96"/>
      <c r="Y16" s="96"/>
      <c r="Z16" s="96"/>
      <c r="AA16" s="96"/>
      <c r="AB16" s="96"/>
    </row>
    <row r="17" spans="1:28">
      <c r="A17" s="82"/>
      <c r="B17" s="83"/>
      <c r="C17" s="92"/>
      <c r="S17" s="96"/>
      <c r="T17" s="96"/>
      <c r="U17" s="96"/>
      <c r="V17" s="96"/>
      <c r="W17" s="96"/>
      <c r="X17" s="96"/>
      <c r="Y17" s="96"/>
      <c r="Z17" s="96"/>
      <c r="AA17" s="96"/>
      <c r="AB17" s="96"/>
    </row>
    <row r="18" spans="1:28" ht="21">
      <c r="A18" s="82"/>
      <c r="B18" s="84"/>
      <c r="C18" s="92"/>
      <c r="S18" s="96"/>
      <c r="T18" s="96"/>
      <c r="U18" s="96"/>
      <c r="V18" s="96"/>
      <c r="W18" s="96"/>
      <c r="X18" s="96"/>
      <c r="Y18" s="96"/>
      <c r="Z18" s="96"/>
      <c r="AA18" s="96"/>
      <c r="AB18" s="96"/>
    </row>
    <row r="19" spans="1:28" ht="21">
      <c r="A19" s="82"/>
      <c r="B19" s="85"/>
      <c r="C19" s="92"/>
      <c r="S19" s="96"/>
      <c r="T19" s="96"/>
      <c r="U19" s="96"/>
      <c r="V19" s="96"/>
      <c r="W19" s="96"/>
      <c r="X19" s="96"/>
      <c r="Y19" s="96"/>
      <c r="Z19" s="96"/>
      <c r="AA19" s="96"/>
      <c r="AB19" s="96"/>
    </row>
    <row r="20" spans="1:28">
      <c r="C20" s="92"/>
      <c r="S20" s="96"/>
      <c r="T20" s="96"/>
      <c r="U20" s="96"/>
      <c r="V20" s="96"/>
      <c r="W20" s="96"/>
      <c r="X20" s="96"/>
      <c r="Y20" s="96"/>
      <c r="Z20" s="96"/>
      <c r="AA20" s="96"/>
      <c r="AB20" s="96"/>
    </row>
    <row r="21" spans="1:28" ht="21">
      <c r="A21" s="82"/>
      <c r="B21" s="84"/>
      <c r="C21" s="92"/>
      <c r="S21" s="96"/>
      <c r="T21" s="96"/>
      <c r="U21" s="96"/>
      <c r="V21" s="96"/>
      <c r="W21" s="96"/>
      <c r="X21" s="96"/>
      <c r="Y21" s="96"/>
      <c r="Z21" s="96"/>
      <c r="AA21" s="96"/>
      <c r="AB21" s="96"/>
    </row>
    <row r="22" spans="1:28" ht="21">
      <c r="A22" s="82"/>
      <c r="B22" s="87"/>
      <c r="C22" s="98"/>
    </row>
  </sheetData>
  <mergeCells count="3">
    <mergeCell ref="C1:M1"/>
    <mergeCell ref="C4:H4"/>
    <mergeCell ref="I4:N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11AF-7FF3-4F29-BE8C-16F164D71608}">
  <sheetPr>
    <pageSetUpPr fitToPage="1"/>
  </sheetPr>
  <dimension ref="A1:AB22"/>
  <sheetViews>
    <sheetView workbookViewId="0"/>
  </sheetViews>
  <sheetFormatPr defaultColWidth="8" defaultRowHeight="18.75"/>
  <cols>
    <col min="1" max="1" width="81.7109375" style="52" customWidth="1"/>
    <col min="2" max="2" width="81.7109375" style="86" customWidth="1"/>
    <col min="3" max="3" width="9.5703125" style="104" customWidth="1"/>
    <col min="4" max="14" width="9.5703125" style="78" customWidth="1"/>
    <col min="15" max="19" width="10" style="92" customWidth="1"/>
    <col min="20" max="28" width="8" style="92"/>
    <col min="29" max="29" width="8.140625" style="92" bestFit="1" customWidth="1"/>
    <col min="30" max="16384" width="8" style="92"/>
  </cols>
  <sheetData>
    <row r="1" spans="1:28" ht="24.95" customHeight="1">
      <c r="B1" s="53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99"/>
    </row>
    <row r="2" spans="1:28" ht="24.95" customHeight="1">
      <c r="B2" s="56"/>
      <c r="C2" s="57"/>
      <c r="D2" s="57"/>
      <c r="E2" s="57"/>
      <c r="F2" s="57"/>
      <c r="G2" s="57"/>
      <c r="H2" s="57"/>
      <c r="J2" s="57"/>
      <c r="L2" s="57"/>
      <c r="N2" s="99"/>
    </row>
    <row r="3" spans="1:28" ht="24.95" customHeight="1">
      <c r="A3" s="58" t="s">
        <v>0</v>
      </c>
      <c r="B3" s="59" t="s">
        <v>1</v>
      </c>
      <c r="C3" s="100"/>
      <c r="D3" s="100"/>
    </row>
    <row r="4" spans="1:28" ht="24.95" customHeight="1">
      <c r="A4" s="60" t="s">
        <v>50</v>
      </c>
      <c r="B4" s="61" t="s">
        <v>51</v>
      </c>
      <c r="C4" s="256">
        <v>2014</v>
      </c>
      <c r="D4" s="256"/>
      <c r="E4" s="256"/>
      <c r="F4" s="256"/>
      <c r="G4" s="256"/>
      <c r="H4" s="256"/>
      <c r="I4" s="256">
        <v>2015</v>
      </c>
      <c r="J4" s="256"/>
      <c r="K4" s="256"/>
      <c r="L4" s="256"/>
      <c r="M4" s="256"/>
      <c r="N4" s="256"/>
    </row>
    <row r="5" spans="1:28" ht="24.95" customHeight="1">
      <c r="A5" s="62" t="s">
        <v>2</v>
      </c>
      <c r="B5" s="61" t="s">
        <v>3</v>
      </c>
      <c r="C5" s="63" t="s">
        <v>4</v>
      </c>
      <c r="D5" s="63" t="s">
        <v>5</v>
      </c>
      <c r="E5" s="63" t="s">
        <v>6</v>
      </c>
      <c r="F5" s="63" t="s">
        <v>7</v>
      </c>
      <c r="G5" s="63" t="s">
        <v>8</v>
      </c>
      <c r="H5" s="63" t="s">
        <v>9</v>
      </c>
      <c r="I5" s="63" t="s">
        <v>10</v>
      </c>
      <c r="J5" s="63" t="s">
        <v>11</v>
      </c>
      <c r="K5" s="63" t="s">
        <v>12</v>
      </c>
      <c r="L5" s="63" t="s">
        <v>52</v>
      </c>
      <c r="M5" s="63" t="s">
        <v>14</v>
      </c>
      <c r="N5" s="63" t="s">
        <v>53</v>
      </c>
    </row>
    <row r="6" spans="1:28" ht="24.95" customHeight="1">
      <c r="A6" s="64"/>
      <c r="B6" s="65"/>
      <c r="C6" s="101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S6" s="96"/>
      <c r="T6" s="96"/>
      <c r="U6" s="96"/>
      <c r="V6" s="96"/>
      <c r="W6" s="96"/>
      <c r="X6" s="96"/>
      <c r="Y6" s="96"/>
      <c r="Z6" s="96"/>
      <c r="AA6" s="96"/>
      <c r="AB6" s="96"/>
    </row>
    <row r="7" spans="1:28" ht="24.95" customHeight="1">
      <c r="A7" s="69" t="s">
        <v>54</v>
      </c>
      <c r="B7" s="70" t="s">
        <v>55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S7" s="96"/>
      <c r="T7" s="96"/>
      <c r="U7" s="96"/>
      <c r="V7" s="96"/>
      <c r="W7" s="96"/>
      <c r="X7" s="96"/>
      <c r="Y7" s="96"/>
      <c r="Z7" s="96"/>
      <c r="AA7" s="96"/>
      <c r="AB7" s="96"/>
    </row>
    <row r="8" spans="1:28" ht="24.95" customHeight="1">
      <c r="A8" s="90" t="s">
        <v>56</v>
      </c>
      <c r="B8" s="70" t="s">
        <v>66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S8" s="96"/>
      <c r="T8" s="96"/>
      <c r="U8" s="96"/>
      <c r="V8" s="96"/>
      <c r="W8" s="96"/>
      <c r="X8" s="96"/>
      <c r="Y8" s="96"/>
      <c r="Z8" s="96"/>
      <c r="AA8" s="96"/>
      <c r="AB8" s="96"/>
    </row>
    <row r="9" spans="1:28" ht="24.95" customHeight="1">
      <c r="A9" s="73" t="s">
        <v>58</v>
      </c>
      <c r="B9" s="74" t="s">
        <v>22</v>
      </c>
      <c r="C9" s="75">
        <v>944.90800000000002</v>
      </c>
      <c r="D9" s="75">
        <v>1129.3230000000001</v>
      </c>
      <c r="E9" s="75">
        <v>1152.123</v>
      </c>
      <c r="F9" s="75">
        <v>1037.673</v>
      </c>
      <c r="G9" s="75">
        <v>1129.155</v>
      </c>
      <c r="H9" s="75">
        <v>1227.9680000000001</v>
      </c>
      <c r="I9" s="75">
        <v>966.51400000000001</v>
      </c>
      <c r="J9" s="75">
        <v>1070.154</v>
      </c>
      <c r="K9" s="75">
        <v>1314.9349999999999</v>
      </c>
      <c r="L9" s="75">
        <v>1128.568</v>
      </c>
      <c r="M9" s="75">
        <v>1176.3579999999999</v>
      </c>
      <c r="N9" s="75">
        <v>1161.4760000000001</v>
      </c>
      <c r="S9" s="96"/>
      <c r="T9" s="96"/>
      <c r="U9" s="96"/>
      <c r="V9" s="96"/>
      <c r="W9" s="96"/>
      <c r="X9" s="96"/>
      <c r="Y9" s="96"/>
      <c r="Z9" s="96"/>
      <c r="AA9" s="96"/>
      <c r="AB9" s="96"/>
    </row>
    <row r="10" spans="1:28" ht="24.95" customHeight="1">
      <c r="A10" s="73" t="s">
        <v>59</v>
      </c>
      <c r="B10" s="74" t="s">
        <v>60</v>
      </c>
      <c r="C10" s="75">
        <v>69917.056683999996</v>
      </c>
      <c r="D10" s="75">
        <v>76805.787077999994</v>
      </c>
      <c r="E10" s="75">
        <v>78979.335244999995</v>
      </c>
      <c r="F10" s="75">
        <v>74403.616005000003</v>
      </c>
      <c r="G10" s="75">
        <v>80612.262602999996</v>
      </c>
      <c r="H10" s="75">
        <v>86474.787299000003</v>
      </c>
      <c r="I10" s="75">
        <v>77029.380577999997</v>
      </c>
      <c r="J10" s="75">
        <v>77190.812594999996</v>
      </c>
      <c r="K10" s="75">
        <v>87930.750901000007</v>
      </c>
      <c r="L10" s="75">
        <v>79221.178151020009</v>
      </c>
      <c r="M10" s="75">
        <v>92154.655876000004</v>
      </c>
      <c r="N10" s="75">
        <v>84843.094311149995</v>
      </c>
      <c r="S10" s="96"/>
      <c r="T10" s="96"/>
      <c r="U10" s="96"/>
      <c r="V10" s="96"/>
      <c r="W10" s="96"/>
      <c r="X10" s="96"/>
      <c r="Y10" s="96"/>
      <c r="Z10" s="96"/>
      <c r="AA10" s="96"/>
      <c r="AB10" s="96"/>
    </row>
    <row r="11" spans="1:28" ht="24.95" customHeight="1">
      <c r="A11" s="69" t="s">
        <v>61</v>
      </c>
      <c r="B11" s="70" t="s">
        <v>62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S11" s="96"/>
      <c r="T11" s="96"/>
      <c r="U11" s="96"/>
      <c r="V11" s="96"/>
      <c r="W11" s="96"/>
      <c r="X11" s="96"/>
      <c r="Y11" s="96"/>
      <c r="Z11" s="96"/>
      <c r="AA11" s="96"/>
      <c r="AB11" s="96"/>
    </row>
    <row r="12" spans="1:28" ht="24.95" customHeight="1">
      <c r="A12" s="73" t="s">
        <v>63</v>
      </c>
      <c r="B12" s="74" t="s">
        <v>28</v>
      </c>
      <c r="C12" s="75">
        <v>78666</v>
      </c>
      <c r="D12" s="75">
        <v>79334</v>
      </c>
      <c r="E12" s="75">
        <v>87357</v>
      </c>
      <c r="F12" s="75">
        <v>78518</v>
      </c>
      <c r="G12" s="75">
        <v>82445</v>
      </c>
      <c r="H12" s="75">
        <v>91727</v>
      </c>
      <c r="I12" s="75">
        <v>77243</v>
      </c>
      <c r="J12" s="75">
        <v>80771</v>
      </c>
      <c r="K12" s="75">
        <v>97994</v>
      </c>
      <c r="L12" s="75">
        <v>88624</v>
      </c>
      <c r="M12" s="75">
        <v>88888</v>
      </c>
      <c r="N12" s="75">
        <v>89491</v>
      </c>
      <c r="S12" s="96"/>
      <c r="T12" s="96"/>
      <c r="U12" s="96"/>
      <c r="V12" s="96"/>
      <c r="W12" s="96"/>
      <c r="X12" s="96"/>
      <c r="Y12" s="96"/>
      <c r="Z12" s="96"/>
      <c r="AA12" s="96"/>
      <c r="AB12" s="96"/>
    </row>
    <row r="13" spans="1:28" ht="24.95" customHeight="1">
      <c r="A13" s="73" t="s">
        <v>59</v>
      </c>
      <c r="B13" s="74" t="s">
        <v>60</v>
      </c>
      <c r="C13" s="75">
        <v>1512283.9502019999</v>
      </c>
      <c r="D13" s="75">
        <v>1735955.3100160002</v>
      </c>
      <c r="E13" s="75">
        <v>2070701.942454</v>
      </c>
      <c r="F13" s="75">
        <v>1388896.2847530001</v>
      </c>
      <c r="G13" s="75">
        <v>1726172.5588877001</v>
      </c>
      <c r="H13" s="75">
        <v>2125733.520513</v>
      </c>
      <c r="I13" s="75">
        <v>1846976.374727</v>
      </c>
      <c r="J13" s="75">
        <v>1902019.636583</v>
      </c>
      <c r="K13" s="75">
        <v>2367023.1401920002</v>
      </c>
      <c r="L13" s="75">
        <v>2000877.4072330301</v>
      </c>
      <c r="M13" s="75">
        <v>1903469</v>
      </c>
      <c r="N13" s="75">
        <v>2007070</v>
      </c>
      <c r="S13" s="96"/>
      <c r="T13" s="96"/>
      <c r="U13" s="96"/>
      <c r="V13" s="96"/>
      <c r="W13" s="96"/>
      <c r="X13" s="96"/>
      <c r="Y13" s="96"/>
      <c r="Z13" s="96"/>
      <c r="AA13" s="96"/>
      <c r="AB13" s="96"/>
    </row>
    <row r="14" spans="1:28" ht="24.95" customHeight="1">
      <c r="A14" s="77" t="s">
        <v>64</v>
      </c>
      <c r="B14" s="70" t="s">
        <v>65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S14" s="96"/>
      <c r="T14" s="96"/>
      <c r="U14" s="96"/>
      <c r="V14" s="96"/>
      <c r="W14" s="96"/>
      <c r="X14" s="96"/>
      <c r="Y14" s="96"/>
      <c r="Z14" s="96"/>
      <c r="AA14" s="96"/>
      <c r="AB14" s="96"/>
    </row>
    <row r="15" spans="1:28" ht="24.95" customHeight="1">
      <c r="A15" s="73" t="s">
        <v>39</v>
      </c>
      <c r="B15" s="74" t="s">
        <v>28</v>
      </c>
      <c r="C15" s="75">
        <v>354</v>
      </c>
      <c r="D15" s="75">
        <v>350</v>
      </c>
      <c r="E15" s="75">
        <v>442</v>
      </c>
      <c r="F15" s="75">
        <v>382</v>
      </c>
      <c r="G15" s="75">
        <v>384</v>
      </c>
      <c r="H15" s="75">
        <v>571</v>
      </c>
      <c r="I15" s="75">
        <v>454</v>
      </c>
      <c r="J15" s="75">
        <v>519</v>
      </c>
      <c r="K15" s="75">
        <v>605</v>
      </c>
      <c r="L15" s="75">
        <v>483</v>
      </c>
      <c r="M15" s="75">
        <v>469</v>
      </c>
      <c r="N15" s="75">
        <v>469</v>
      </c>
      <c r="S15" s="96"/>
      <c r="T15" s="96"/>
      <c r="U15" s="96"/>
      <c r="V15" s="96"/>
      <c r="W15" s="96"/>
      <c r="X15" s="96"/>
      <c r="Y15" s="96"/>
      <c r="Z15" s="96"/>
      <c r="AA15" s="96"/>
      <c r="AB15" s="96"/>
    </row>
    <row r="16" spans="1:28" ht="24.95" customHeight="1">
      <c r="A16" s="79" t="s">
        <v>40</v>
      </c>
      <c r="B16" s="80" t="s">
        <v>41</v>
      </c>
      <c r="C16" s="81">
        <v>417.28899999999999</v>
      </c>
      <c r="D16" s="81">
        <v>420.8</v>
      </c>
      <c r="E16" s="81">
        <v>532.75</v>
      </c>
      <c r="F16" s="81">
        <v>458.8</v>
      </c>
      <c r="G16" s="81">
        <v>453.7</v>
      </c>
      <c r="H16" s="81">
        <v>683.4</v>
      </c>
      <c r="I16" s="81">
        <v>537.1</v>
      </c>
      <c r="J16" s="81">
        <v>614.53200000000004</v>
      </c>
      <c r="K16" s="81">
        <v>1024.556</v>
      </c>
      <c r="L16" s="81">
        <v>781.00300000000004</v>
      </c>
      <c r="M16" s="81">
        <v>1083</v>
      </c>
      <c r="N16" s="81">
        <v>590.29999999999995</v>
      </c>
      <c r="S16" s="96"/>
      <c r="T16" s="96"/>
      <c r="U16" s="96"/>
      <c r="V16" s="96"/>
      <c r="W16" s="96"/>
      <c r="X16" s="96"/>
      <c r="Y16" s="96"/>
      <c r="Z16" s="96"/>
      <c r="AA16" s="96"/>
      <c r="AB16" s="96"/>
    </row>
    <row r="17" spans="1:28">
      <c r="A17" s="82"/>
      <c r="B17" s="83"/>
      <c r="C17" s="78"/>
      <c r="S17" s="96"/>
      <c r="T17" s="96"/>
      <c r="U17" s="96"/>
      <c r="V17" s="96"/>
      <c r="W17" s="96"/>
      <c r="X17" s="96"/>
      <c r="Y17" s="96"/>
      <c r="Z17" s="96"/>
      <c r="AA17" s="96"/>
      <c r="AB17" s="96"/>
    </row>
    <row r="18" spans="1:28" ht="21">
      <c r="A18" s="82"/>
      <c r="B18" s="84"/>
      <c r="C18" s="78"/>
      <c r="S18" s="96"/>
      <c r="T18" s="96"/>
      <c r="U18" s="96"/>
      <c r="V18" s="96"/>
      <c r="W18" s="96"/>
      <c r="X18" s="96"/>
      <c r="Y18" s="96"/>
      <c r="Z18" s="96"/>
      <c r="AA18" s="96"/>
      <c r="AB18" s="96"/>
    </row>
    <row r="19" spans="1:28" ht="21">
      <c r="A19" s="82"/>
      <c r="B19" s="85"/>
      <c r="C19" s="78"/>
      <c r="S19" s="96"/>
      <c r="T19" s="96"/>
      <c r="U19" s="96"/>
      <c r="V19" s="96"/>
      <c r="W19" s="96"/>
      <c r="X19" s="96"/>
      <c r="Y19" s="96"/>
      <c r="Z19" s="96"/>
      <c r="AA19" s="96"/>
      <c r="AB19" s="96"/>
    </row>
    <row r="20" spans="1:28">
      <c r="C20" s="78"/>
      <c r="S20" s="96"/>
      <c r="T20" s="96"/>
      <c r="U20" s="96"/>
      <c r="V20" s="96"/>
      <c r="W20" s="96"/>
      <c r="X20" s="96"/>
      <c r="Y20" s="96"/>
      <c r="Z20" s="96"/>
      <c r="AA20" s="96"/>
      <c r="AB20" s="96"/>
    </row>
    <row r="21" spans="1:28" ht="21">
      <c r="A21" s="82"/>
      <c r="B21" s="84"/>
      <c r="C21" s="78"/>
      <c r="S21" s="96"/>
      <c r="T21" s="96"/>
      <c r="U21" s="96"/>
      <c r="V21" s="96"/>
      <c r="W21" s="96"/>
      <c r="X21" s="96"/>
      <c r="Y21" s="96"/>
      <c r="Z21" s="96"/>
      <c r="AA21" s="96"/>
      <c r="AB21" s="96"/>
    </row>
    <row r="22" spans="1:28" ht="21">
      <c r="A22" s="82"/>
      <c r="B22" s="87"/>
      <c r="C22" s="103"/>
    </row>
  </sheetData>
  <mergeCells count="3">
    <mergeCell ref="C1:M1"/>
    <mergeCell ref="C4:H4"/>
    <mergeCell ref="I4:N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D594-1EF4-42F0-9A88-F6ADF865760A}">
  <sheetPr>
    <pageSetUpPr fitToPage="1"/>
  </sheetPr>
  <dimension ref="A1:V22"/>
  <sheetViews>
    <sheetView topLeftCell="E1" workbookViewId="0"/>
  </sheetViews>
  <sheetFormatPr defaultColWidth="8" defaultRowHeight="21"/>
  <cols>
    <col min="1" max="1" width="110.42578125" style="105" bestFit="1" customWidth="1"/>
    <col min="2" max="2" width="91" style="142" bestFit="1" customWidth="1"/>
    <col min="3" max="3" width="10.85546875" style="145" customWidth="1"/>
    <col min="4" max="8" width="9" style="112" customWidth="1"/>
    <col min="9" max="17" width="8" style="92"/>
    <col min="18" max="18" width="8.140625" style="92" bestFit="1" customWidth="1"/>
    <col min="19" max="16384" width="8" style="92"/>
  </cols>
  <sheetData>
    <row r="1" spans="1:22" ht="24.95" customHeight="1">
      <c r="B1" s="106"/>
      <c r="C1" s="260"/>
      <c r="D1" s="260"/>
      <c r="E1" s="260"/>
      <c r="F1" s="260"/>
      <c r="G1" s="260"/>
      <c r="H1" s="260"/>
    </row>
    <row r="2" spans="1:22" ht="24.95" customHeight="1">
      <c r="B2" s="107"/>
      <c r="C2" s="108"/>
      <c r="D2" s="108"/>
      <c r="E2" s="108"/>
      <c r="F2" s="108"/>
      <c r="G2" s="108"/>
      <c r="H2" s="108"/>
    </row>
    <row r="3" spans="1:22" ht="24.95" customHeight="1">
      <c r="A3" s="109" t="s">
        <v>0</v>
      </c>
      <c r="B3" s="110" t="s">
        <v>1</v>
      </c>
      <c r="C3" s="111"/>
      <c r="D3" s="111"/>
    </row>
    <row r="4" spans="1:22" ht="24.95" customHeight="1">
      <c r="A4" s="113" t="s">
        <v>50</v>
      </c>
      <c r="B4" s="114" t="s">
        <v>51</v>
      </c>
      <c r="C4" s="261">
        <v>2015</v>
      </c>
      <c r="D4" s="261"/>
      <c r="E4" s="261"/>
      <c r="F4" s="261"/>
      <c r="G4" s="261"/>
      <c r="H4" s="261"/>
      <c r="I4" s="261">
        <v>2016</v>
      </c>
      <c r="J4" s="261"/>
      <c r="K4" s="261"/>
      <c r="L4" s="261"/>
      <c r="M4" s="261"/>
      <c r="N4" s="261"/>
    </row>
    <row r="5" spans="1:22" ht="24.95" customHeight="1">
      <c r="A5" s="115" t="s">
        <v>2</v>
      </c>
      <c r="B5" s="114" t="s">
        <v>3</v>
      </c>
      <c r="C5" s="116" t="s">
        <v>4</v>
      </c>
      <c r="D5" s="116" t="s">
        <v>5</v>
      </c>
      <c r="E5" s="116" t="s">
        <v>6</v>
      </c>
      <c r="F5" s="116" t="s">
        <v>7</v>
      </c>
      <c r="G5" s="116" t="s">
        <v>8</v>
      </c>
      <c r="H5" s="116" t="s">
        <v>9</v>
      </c>
      <c r="I5" s="116" t="s">
        <v>10</v>
      </c>
      <c r="J5" s="116" t="s">
        <v>11</v>
      </c>
      <c r="K5" s="116" t="s">
        <v>12</v>
      </c>
      <c r="L5" s="116" t="s">
        <v>52</v>
      </c>
      <c r="M5" s="116" t="s">
        <v>14</v>
      </c>
      <c r="N5" s="116" t="s">
        <v>53</v>
      </c>
    </row>
    <row r="6" spans="1:22" ht="24.95" customHeight="1">
      <c r="A6" s="117"/>
      <c r="B6" s="118"/>
      <c r="C6" s="119"/>
      <c r="D6" s="119"/>
      <c r="E6" s="119"/>
      <c r="F6" s="119"/>
      <c r="G6" s="119"/>
      <c r="H6" s="119"/>
      <c r="I6" s="120"/>
      <c r="J6" s="120"/>
      <c r="K6" s="120"/>
      <c r="L6" s="120"/>
      <c r="M6" s="120"/>
      <c r="N6" s="120"/>
      <c r="O6" s="96"/>
      <c r="P6" s="96"/>
      <c r="Q6" s="96"/>
    </row>
    <row r="7" spans="1:22" ht="24.95" customHeight="1">
      <c r="A7" s="121" t="s">
        <v>54</v>
      </c>
      <c r="B7" s="122" t="s">
        <v>55</v>
      </c>
      <c r="C7" s="123"/>
      <c r="D7" s="123"/>
      <c r="E7" s="123"/>
      <c r="F7" s="123"/>
      <c r="G7" s="123"/>
      <c r="H7" s="123"/>
      <c r="I7" s="124"/>
      <c r="J7" s="124"/>
      <c r="K7" s="124"/>
      <c r="L7" s="124"/>
      <c r="M7" s="124"/>
      <c r="N7" s="124"/>
      <c r="O7" s="96"/>
      <c r="P7" s="96"/>
      <c r="Q7" s="96"/>
    </row>
    <row r="8" spans="1:22" ht="24.95" customHeight="1">
      <c r="A8" s="125" t="s">
        <v>56</v>
      </c>
      <c r="B8" s="122" t="s">
        <v>67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96"/>
      <c r="P8" s="96"/>
      <c r="Q8" s="96"/>
    </row>
    <row r="9" spans="1:22" ht="24.95" customHeight="1">
      <c r="A9" s="126" t="s">
        <v>58</v>
      </c>
      <c r="B9" s="127" t="s">
        <v>22</v>
      </c>
      <c r="C9" s="128">
        <v>1060.127</v>
      </c>
      <c r="D9" s="128">
        <v>1134.614</v>
      </c>
      <c r="E9" s="128">
        <v>1094.3900000000001</v>
      </c>
      <c r="F9" s="128">
        <v>1049.347</v>
      </c>
      <c r="G9" s="128">
        <v>1212</v>
      </c>
      <c r="H9" s="128">
        <v>1217.739</v>
      </c>
      <c r="I9" s="129">
        <v>1033.4559999999999</v>
      </c>
      <c r="J9" s="129">
        <v>1132.479</v>
      </c>
      <c r="K9" s="129">
        <v>1239</v>
      </c>
      <c r="L9" s="129">
        <v>999</v>
      </c>
      <c r="M9" s="129">
        <v>1251.788</v>
      </c>
      <c r="N9" s="129">
        <v>1076.8710000000001</v>
      </c>
      <c r="O9" s="96"/>
      <c r="P9" s="96"/>
      <c r="Q9" s="96"/>
    </row>
    <row r="10" spans="1:22" ht="24.95" customHeight="1">
      <c r="A10" s="126" t="s">
        <v>59</v>
      </c>
      <c r="B10" s="127" t="s">
        <v>60</v>
      </c>
      <c r="C10" s="128">
        <v>84.37670053171999</v>
      </c>
      <c r="D10" s="128">
        <v>83.321697919000002</v>
      </c>
      <c r="E10" s="128">
        <v>97.126993521659998</v>
      </c>
      <c r="F10" s="128">
        <v>81.145289272410011</v>
      </c>
      <c r="G10" s="128">
        <v>85.945999999999998</v>
      </c>
      <c r="H10" s="128">
        <v>87.614198333320005</v>
      </c>
      <c r="I10" s="128">
        <f>79582.90121178/1000</f>
        <v>79.582901211779998</v>
      </c>
      <c r="J10" s="128">
        <f>84008.05621822/1000</f>
        <v>84.008056218219991</v>
      </c>
      <c r="K10" s="128">
        <f>92412.63476706/1000</f>
        <v>92.412634767059998</v>
      </c>
      <c r="L10" s="128">
        <f>80357/1000</f>
        <v>80.356999999999999</v>
      </c>
      <c r="M10" s="128">
        <f>100825.01720555/1000</f>
        <v>100.82501720555</v>
      </c>
      <c r="N10" s="128">
        <v>90.5</v>
      </c>
      <c r="O10" s="96"/>
      <c r="P10" s="96"/>
      <c r="Q10" s="96"/>
      <c r="R10" s="96"/>
      <c r="S10" s="96"/>
      <c r="T10" s="96"/>
      <c r="U10" s="96"/>
      <c r="V10" s="96"/>
    </row>
    <row r="11" spans="1:22" ht="24.95" customHeight="1">
      <c r="A11" s="121" t="s">
        <v>61</v>
      </c>
      <c r="B11" s="122" t="s">
        <v>62</v>
      </c>
      <c r="C11" s="123"/>
      <c r="D11" s="123"/>
      <c r="E11" s="123"/>
      <c r="F11" s="123"/>
      <c r="G11" s="123"/>
      <c r="H11" s="123"/>
      <c r="I11" s="129"/>
      <c r="J11" s="130"/>
      <c r="K11" s="129"/>
      <c r="L11" s="129"/>
      <c r="M11" s="129"/>
      <c r="N11" s="129"/>
      <c r="O11" s="96"/>
      <c r="P11" s="96"/>
      <c r="Q11" s="96"/>
    </row>
    <row r="12" spans="1:22" ht="24.95" customHeight="1">
      <c r="A12" s="126" t="s">
        <v>63</v>
      </c>
      <c r="B12" s="127" t="s">
        <v>28</v>
      </c>
      <c r="C12" s="128">
        <v>87553</v>
      </c>
      <c r="D12" s="128">
        <v>86331</v>
      </c>
      <c r="E12" s="128">
        <v>83519</v>
      </c>
      <c r="F12" s="128">
        <v>81900</v>
      </c>
      <c r="G12" s="128">
        <v>90086</v>
      </c>
      <c r="H12" s="128">
        <v>93718</v>
      </c>
      <c r="I12" s="129">
        <v>82483</v>
      </c>
      <c r="J12" s="130">
        <v>87104</v>
      </c>
      <c r="K12" s="129">
        <v>96539</v>
      </c>
      <c r="L12" s="129">
        <v>87801</v>
      </c>
      <c r="M12" s="129">
        <v>98872</v>
      </c>
      <c r="N12" s="129">
        <f>97477+1165</f>
        <v>98642</v>
      </c>
      <c r="O12" s="96"/>
      <c r="P12" s="96"/>
      <c r="Q12" s="96"/>
    </row>
    <row r="13" spans="1:22" ht="24.95" customHeight="1">
      <c r="A13" s="126" t="s">
        <v>59</v>
      </c>
      <c r="B13" s="127" t="s">
        <v>60</v>
      </c>
      <c r="C13" s="129">
        <v>2200.1157221601002</v>
      </c>
      <c r="D13" s="129">
        <v>2173.9311869879998</v>
      </c>
      <c r="E13" s="129">
        <v>2927.9729690629197</v>
      </c>
      <c r="F13" s="129">
        <v>2409.7960340489303</v>
      </c>
      <c r="G13" s="129">
        <v>2354.6970000000001</v>
      </c>
      <c r="H13" s="129">
        <v>2727.8729971306702</v>
      </c>
      <c r="I13" s="129">
        <f>2163973.98005878/1000</f>
        <v>2163.9739800587799</v>
      </c>
      <c r="J13" s="130">
        <f>2280715.15591243/1000</f>
        <v>2280.71515591243</v>
      </c>
      <c r="K13" s="129">
        <f>2810982.92600353/1000</f>
        <v>2810.9829260035303</v>
      </c>
      <c r="L13" s="129">
        <f>2132668.251/1000</f>
        <v>2132.6682510000001</v>
      </c>
      <c r="M13" s="129">
        <f>3054663/1000</f>
        <v>3054.663</v>
      </c>
      <c r="N13" s="129">
        <f>669.1+1802.6</f>
        <v>2471.6999999999998</v>
      </c>
      <c r="O13" s="96"/>
      <c r="P13" s="96"/>
      <c r="Q13" s="96"/>
      <c r="R13" s="96"/>
      <c r="S13" s="96"/>
      <c r="T13" s="96"/>
    </row>
    <row r="14" spans="1:22" ht="24.95" customHeight="1">
      <c r="A14" s="131" t="s">
        <v>64</v>
      </c>
      <c r="B14" s="122" t="s">
        <v>68</v>
      </c>
      <c r="C14" s="132"/>
      <c r="D14" s="132"/>
      <c r="E14" s="132"/>
      <c r="F14" s="132"/>
      <c r="G14" s="132"/>
      <c r="H14" s="132"/>
      <c r="I14" s="129"/>
      <c r="J14" s="129"/>
      <c r="K14" s="129"/>
      <c r="L14" s="129"/>
      <c r="M14" s="129"/>
      <c r="N14" s="129"/>
      <c r="O14" s="96"/>
      <c r="P14" s="96"/>
      <c r="Q14" s="96"/>
    </row>
    <row r="15" spans="1:22" ht="24.95" customHeight="1">
      <c r="A15" s="126" t="s">
        <v>39</v>
      </c>
      <c r="B15" s="127" t="s">
        <v>28</v>
      </c>
      <c r="C15" s="128">
        <v>337</v>
      </c>
      <c r="D15" s="128">
        <v>405</v>
      </c>
      <c r="E15" s="128">
        <v>374</v>
      </c>
      <c r="F15" s="128">
        <v>413</v>
      </c>
      <c r="G15" s="128">
        <v>416</v>
      </c>
      <c r="H15" s="128">
        <v>284</v>
      </c>
      <c r="I15" s="129">
        <v>187</v>
      </c>
      <c r="J15" s="130">
        <v>293</v>
      </c>
      <c r="K15" s="129">
        <v>333</v>
      </c>
      <c r="L15" s="129">
        <v>135</v>
      </c>
      <c r="M15" s="129">
        <v>105</v>
      </c>
      <c r="N15" s="129">
        <v>117</v>
      </c>
      <c r="O15" s="96"/>
      <c r="P15" s="96"/>
      <c r="Q15" s="96"/>
    </row>
    <row r="16" spans="1:22" ht="24.95" customHeight="1">
      <c r="A16" s="133" t="s">
        <v>40</v>
      </c>
      <c r="B16" s="134" t="s">
        <v>41</v>
      </c>
      <c r="C16" s="135">
        <v>381.1</v>
      </c>
      <c r="D16" s="135">
        <v>455.5</v>
      </c>
      <c r="E16" s="135">
        <v>415.6</v>
      </c>
      <c r="F16" s="135">
        <v>454.8</v>
      </c>
      <c r="G16" s="135">
        <v>464</v>
      </c>
      <c r="H16" s="135">
        <v>586</v>
      </c>
      <c r="I16" s="136">
        <v>433</v>
      </c>
      <c r="J16" s="137">
        <v>506.8</v>
      </c>
      <c r="K16" s="136">
        <v>1385.27</v>
      </c>
      <c r="L16" s="136">
        <v>573</v>
      </c>
      <c r="M16" s="136">
        <v>3310.4079999999999</v>
      </c>
      <c r="N16" s="136">
        <v>291</v>
      </c>
      <c r="O16" s="96"/>
      <c r="P16" s="96"/>
      <c r="Q16" s="96"/>
    </row>
    <row r="17" spans="1:17">
      <c r="A17" s="138"/>
      <c r="B17" s="139"/>
      <c r="C17" s="112"/>
      <c r="O17" s="96"/>
      <c r="P17" s="96"/>
      <c r="Q17" s="96"/>
    </row>
    <row r="18" spans="1:17" ht="23.25">
      <c r="A18" s="138"/>
      <c r="B18" s="140"/>
      <c r="C18" s="112"/>
      <c r="O18" s="96"/>
      <c r="P18" s="96"/>
      <c r="Q18" s="96"/>
    </row>
    <row r="19" spans="1:17" ht="23.25">
      <c r="A19" s="138"/>
      <c r="B19" s="141"/>
      <c r="C19" s="112"/>
      <c r="I19" s="96"/>
      <c r="J19" s="96"/>
      <c r="K19" s="96"/>
      <c r="L19" s="96"/>
      <c r="M19" s="96"/>
      <c r="N19" s="96"/>
      <c r="O19" s="96"/>
      <c r="P19" s="96"/>
      <c r="Q19" s="96"/>
    </row>
    <row r="20" spans="1:17">
      <c r="C20" s="112"/>
      <c r="I20" s="96"/>
      <c r="J20" s="96"/>
      <c r="K20" s="96"/>
      <c r="L20" s="96"/>
      <c r="M20" s="96"/>
      <c r="N20" s="96"/>
      <c r="O20" s="96"/>
      <c r="P20" s="96"/>
      <c r="Q20" s="96"/>
    </row>
    <row r="21" spans="1:17" ht="23.25">
      <c r="A21" s="138"/>
      <c r="B21" s="140"/>
      <c r="C21" s="112"/>
      <c r="I21" s="96"/>
      <c r="J21" s="96"/>
      <c r="K21" s="96"/>
      <c r="L21" s="96"/>
      <c r="M21" s="96"/>
      <c r="N21" s="96"/>
      <c r="O21" s="96"/>
      <c r="P21" s="96"/>
      <c r="Q21" s="96"/>
    </row>
    <row r="22" spans="1:17" ht="23.25">
      <c r="A22" s="138"/>
      <c r="B22" s="143"/>
      <c r="C22" s="144"/>
    </row>
  </sheetData>
  <mergeCells count="3">
    <mergeCell ref="C1:H1"/>
    <mergeCell ref="C4:H4"/>
    <mergeCell ref="I4:N4"/>
  </mergeCells>
  <pageMargins left="0.70866141732283472" right="0.70866141732283472" top="0.74803149606299213" bottom="0.74803149606299213" header="0.31496062992125984" footer="0.31496062992125984"/>
  <pageSetup paperSize="9" scale="8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B4B9-8757-42D4-9A02-0BFD498D041A}">
  <sheetPr>
    <pageSetUpPr fitToPage="1"/>
  </sheetPr>
  <dimension ref="A1:P22"/>
  <sheetViews>
    <sheetView view="pageBreakPreview" topLeftCell="A3" zoomScaleNormal="100" zoomScaleSheetLayoutView="100" workbookViewId="0"/>
  </sheetViews>
  <sheetFormatPr defaultColWidth="8" defaultRowHeight="21"/>
  <cols>
    <col min="1" max="1" width="54" style="105" bestFit="1" customWidth="1"/>
    <col min="2" max="2" width="91" style="142" bestFit="1" customWidth="1"/>
    <col min="3" max="3" width="10.85546875" style="145" customWidth="1"/>
    <col min="4" max="11" width="9" style="112" customWidth="1"/>
    <col min="12" max="12" width="8.140625" style="92" bestFit="1" customWidth="1"/>
    <col min="13" max="16384" width="8" style="92"/>
  </cols>
  <sheetData>
    <row r="1" spans="1:16" ht="24.95" customHeight="1">
      <c r="B1" s="106"/>
      <c r="C1" s="260"/>
      <c r="D1" s="260"/>
      <c r="E1" s="260"/>
      <c r="F1" s="260"/>
      <c r="G1" s="260"/>
      <c r="H1" s="260"/>
      <c r="I1" s="92"/>
      <c r="J1" s="92"/>
      <c r="K1" s="92"/>
    </row>
    <row r="2" spans="1:16" ht="24.95" customHeight="1">
      <c r="B2" s="107"/>
      <c r="C2" s="108"/>
      <c r="D2" s="108"/>
      <c r="E2" s="108"/>
      <c r="F2" s="108"/>
      <c r="G2" s="108"/>
      <c r="H2" s="108"/>
      <c r="I2" s="108"/>
      <c r="J2" s="108"/>
      <c r="K2" s="108"/>
    </row>
    <row r="3" spans="1:16" ht="24.95" customHeight="1">
      <c r="C3" s="111"/>
      <c r="D3" s="111"/>
    </row>
    <row r="4" spans="1:16" ht="24.95" customHeight="1">
      <c r="A4" s="146" t="s">
        <v>0</v>
      </c>
      <c r="B4" s="147" t="s">
        <v>1</v>
      </c>
      <c r="C4" s="261">
        <v>2016</v>
      </c>
      <c r="D4" s="261"/>
      <c r="E4" s="261"/>
      <c r="F4" s="261"/>
      <c r="G4" s="261"/>
      <c r="H4" s="261"/>
      <c r="I4" s="262">
        <v>2017</v>
      </c>
      <c r="J4" s="263"/>
      <c r="K4" s="263"/>
      <c r="L4" s="263"/>
      <c r="M4" s="263"/>
      <c r="N4" s="264"/>
    </row>
    <row r="5" spans="1:16" ht="24.95" customHeight="1">
      <c r="A5" s="115" t="s">
        <v>2</v>
      </c>
      <c r="B5" s="114" t="s">
        <v>3</v>
      </c>
      <c r="C5" s="116" t="s">
        <v>4</v>
      </c>
      <c r="D5" s="116" t="s">
        <v>5</v>
      </c>
      <c r="E5" s="116" t="s">
        <v>6</v>
      </c>
      <c r="F5" s="116" t="s">
        <v>7</v>
      </c>
      <c r="G5" s="116" t="s">
        <v>8</v>
      </c>
      <c r="H5" s="116" t="s">
        <v>9</v>
      </c>
      <c r="I5" s="148" t="s">
        <v>10</v>
      </c>
      <c r="J5" s="148" t="s">
        <v>11</v>
      </c>
      <c r="K5" s="148" t="s">
        <v>12</v>
      </c>
      <c r="L5" s="148" t="s">
        <v>52</v>
      </c>
      <c r="M5" s="148" t="s">
        <v>14</v>
      </c>
      <c r="N5" s="148" t="s">
        <v>53</v>
      </c>
    </row>
    <row r="6" spans="1:16" ht="24.95" customHeight="1">
      <c r="A6" s="117"/>
      <c r="B6" s="118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</row>
    <row r="7" spans="1:16" ht="24.95" customHeight="1">
      <c r="A7" s="121" t="s">
        <v>54</v>
      </c>
      <c r="B7" s="122" t="s">
        <v>55</v>
      </c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</row>
    <row r="8" spans="1:16" ht="24.95" customHeight="1">
      <c r="A8" s="125" t="s">
        <v>56</v>
      </c>
      <c r="B8" s="122" t="s">
        <v>67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</row>
    <row r="9" spans="1:16" ht="24.95" customHeight="1">
      <c r="A9" s="126" t="s">
        <v>58</v>
      </c>
      <c r="B9" s="127" t="s">
        <v>22</v>
      </c>
      <c r="C9" s="128">
        <v>1040.241</v>
      </c>
      <c r="D9" s="128">
        <v>1187.9000000000001</v>
      </c>
      <c r="E9" s="128">
        <v>901.43700000000001</v>
      </c>
      <c r="F9" s="128">
        <v>1165.1369999999999</v>
      </c>
      <c r="G9" s="128">
        <v>1120</v>
      </c>
      <c r="H9" s="128">
        <v>1015</v>
      </c>
      <c r="I9" s="128">
        <v>1123.6389999999999</v>
      </c>
      <c r="J9" s="128">
        <v>981</v>
      </c>
      <c r="K9" s="128">
        <v>1076.2</v>
      </c>
      <c r="L9" s="128">
        <v>943</v>
      </c>
      <c r="M9" s="129">
        <v>1113.203</v>
      </c>
      <c r="N9" s="129">
        <v>781.86800000000005</v>
      </c>
    </row>
    <row r="10" spans="1:16" ht="24.95" customHeight="1">
      <c r="A10" s="126" t="s">
        <v>59</v>
      </c>
      <c r="B10" s="127" t="s">
        <v>60</v>
      </c>
      <c r="C10" s="128">
        <v>88.070999999999998</v>
      </c>
      <c r="D10" s="128">
        <v>99</v>
      </c>
      <c r="E10" s="128">
        <v>84.484786314000004</v>
      </c>
      <c r="F10" s="128">
        <v>115.3</v>
      </c>
      <c r="G10" s="128">
        <v>101</v>
      </c>
      <c r="H10" s="128">
        <v>102</v>
      </c>
      <c r="I10" s="128">
        <v>116.25</v>
      </c>
      <c r="J10" s="128">
        <v>102</v>
      </c>
      <c r="K10" s="128">
        <v>113</v>
      </c>
      <c r="L10" s="128">
        <v>106</v>
      </c>
      <c r="M10" s="129">
        <v>129</v>
      </c>
      <c r="N10" s="129">
        <v>92.587517287189996</v>
      </c>
      <c r="O10" s="96"/>
      <c r="P10" s="96"/>
    </row>
    <row r="11" spans="1:16" ht="24.95" customHeight="1">
      <c r="A11" s="121" t="s">
        <v>61</v>
      </c>
      <c r="B11" s="122" t="s">
        <v>62</v>
      </c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</row>
    <row r="12" spans="1:16" ht="24.95" customHeight="1">
      <c r="A12" s="126" t="s">
        <v>63</v>
      </c>
      <c r="B12" s="127" t="s">
        <v>28</v>
      </c>
      <c r="C12" s="129">
        <v>86185</v>
      </c>
      <c r="D12" s="129">
        <v>96985</v>
      </c>
      <c r="E12" s="129">
        <v>82740</v>
      </c>
      <c r="F12" s="129">
        <v>92960</v>
      </c>
      <c r="G12" s="129">
        <v>107499</v>
      </c>
      <c r="H12" s="129">
        <v>103978</v>
      </c>
      <c r="I12" s="129">
        <v>103417</v>
      </c>
      <c r="J12" s="129">
        <v>99789</v>
      </c>
      <c r="K12" s="129">
        <v>111747</v>
      </c>
      <c r="L12" s="129">
        <v>98453</v>
      </c>
      <c r="M12" s="129">
        <v>115470</v>
      </c>
      <c r="N12" s="129">
        <v>98412</v>
      </c>
    </row>
    <row r="13" spans="1:16" ht="24.95" customHeight="1">
      <c r="A13" s="126" t="s">
        <v>59</v>
      </c>
      <c r="B13" s="127" t="s">
        <v>60</v>
      </c>
      <c r="C13" s="132">
        <v>2321.328</v>
      </c>
      <c r="D13" s="132">
        <v>3336.2221043824397</v>
      </c>
      <c r="E13" s="132">
        <v>2605.4953134223997</v>
      </c>
      <c r="F13" s="132">
        <v>2946.44560557879</v>
      </c>
      <c r="G13" s="132">
        <v>3424</v>
      </c>
      <c r="H13" s="132">
        <v>2252.0724651117498</v>
      </c>
      <c r="I13" s="132">
        <v>3448</v>
      </c>
      <c r="J13" s="132">
        <v>3385</v>
      </c>
      <c r="K13" s="132">
        <v>2679</v>
      </c>
      <c r="L13" s="132">
        <v>2283</v>
      </c>
      <c r="M13" s="129">
        <v>2600</v>
      </c>
      <c r="N13" s="129">
        <v>2068.451</v>
      </c>
    </row>
    <row r="14" spans="1:16" ht="63">
      <c r="A14" s="131" t="s">
        <v>64</v>
      </c>
      <c r="B14" s="122" t="s">
        <v>68</v>
      </c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</row>
    <row r="15" spans="1:16" ht="24.95" customHeight="1">
      <c r="A15" s="126" t="s">
        <v>39</v>
      </c>
      <c r="B15" s="127" t="s">
        <v>28</v>
      </c>
      <c r="C15" s="132">
        <v>103</v>
      </c>
      <c r="D15" s="132">
        <v>108</v>
      </c>
      <c r="E15" s="132">
        <v>108</v>
      </c>
      <c r="F15" s="132">
        <v>104</v>
      </c>
      <c r="G15" s="132">
        <v>757</v>
      </c>
      <c r="H15" s="132">
        <v>805</v>
      </c>
      <c r="I15" s="132">
        <v>470</v>
      </c>
      <c r="J15" s="132">
        <v>2332</v>
      </c>
      <c r="K15" s="132">
        <v>722</v>
      </c>
      <c r="L15" s="132">
        <v>695</v>
      </c>
      <c r="M15" s="129">
        <v>1246</v>
      </c>
      <c r="N15" s="129">
        <v>917</v>
      </c>
    </row>
    <row r="16" spans="1:16" ht="24.95" customHeight="1">
      <c r="A16" s="133" t="s">
        <v>40</v>
      </c>
      <c r="B16" s="134" t="s">
        <v>41</v>
      </c>
      <c r="C16" s="136">
        <v>128.76400000000001</v>
      </c>
      <c r="D16" s="136">
        <v>122</v>
      </c>
      <c r="E16" s="136">
        <v>90.697000000000003</v>
      </c>
      <c r="F16" s="136">
        <v>71.364999999999995</v>
      </c>
      <c r="G16" s="136">
        <v>1407</v>
      </c>
      <c r="H16" s="136">
        <v>409</v>
      </c>
      <c r="I16" s="136">
        <v>207.19499999999999</v>
      </c>
      <c r="J16" s="136">
        <v>1774</v>
      </c>
      <c r="K16" s="136">
        <v>640</v>
      </c>
      <c r="L16" s="136">
        <v>425</v>
      </c>
      <c r="M16" s="136">
        <v>787.07</v>
      </c>
      <c r="N16" s="136">
        <v>853.86199999999997</v>
      </c>
    </row>
    <row r="17" spans="1:11">
      <c r="A17" s="138"/>
      <c r="B17" s="139"/>
      <c r="C17" s="92"/>
      <c r="D17" s="92"/>
      <c r="E17" s="92"/>
      <c r="F17" s="92"/>
      <c r="G17" s="92"/>
      <c r="H17" s="92"/>
      <c r="I17" s="92"/>
      <c r="J17" s="92"/>
      <c r="K17" s="92"/>
    </row>
    <row r="18" spans="1:11" ht="23.25">
      <c r="A18" s="138"/>
      <c r="B18" s="140"/>
      <c r="C18" s="92"/>
      <c r="D18" s="92"/>
      <c r="E18" s="92"/>
      <c r="F18" s="92"/>
      <c r="G18" s="92"/>
      <c r="H18" s="92"/>
      <c r="I18" s="92"/>
      <c r="J18" s="92"/>
      <c r="K18" s="92"/>
    </row>
    <row r="19" spans="1:11" ht="23.25">
      <c r="A19" s="138"/>
      <c r="B19" s="141"/>
      <c r="C19" s="112"/>
    </row>
    <row r="20" spans="1:11">
      <c r="C20" s="112"/>
    </row>
    <row r="21" spans="1:11" ht="23.25">
      <c r="A21" s="138"/>
      <c r="B21" s="140"/>
      <c r="C21" s="112"/>
    </row>
    <row r="22" spans="1:11" ht="23.25">
      <c r="A22" s="138"/>
      <c r="B22" s="143"/>
      <c r="C22" s="144"/>
    </row>
  </sheetData>
  <mergeCells count="3">
    <mergeCell ref="C1:H1"/>
    <mergeCell ref="C4:H4"/>
    <mergeCell ref="I4:N4"/>
  </mergeCells>
  <printOptions horizontalCentered="1" verticalCentered="1"/>
  <pageMargins left="0" right="0" top="0" bottom="0" header="0" footer="0"/>
  <pageSetup paperSize="9" scale="7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7CFC-305C-4BFF-9CA1-FA5F175B11BC}">
  <sheetPr>
    <pageSetUpPr fitToPage="1"/>
  </sheetPr>
  <dimension ref="A1:N22"/>
  <sheetViews>
    <sheetView view="pageBreakPreview" topLeftCell="C1" zoomScaleNormal="100" zoomScaleSheetLayoutView="100" workbookViewId="0"/>
  </sheetViews>
  <sheetFormatPr defaultColWidth="8" defaultRowHeight="21"/>
  <cols>
    <col min="1" max="1" width="54" style="105" bestFit="1" customWidth="1"/>
    <col min="2" max="2" width="91" style="142" bestFit="1" customWidth="1"/>
    <col min="3" max="3" width="10.85546875" style="145" customWidth="1"/>
    <col min="4" max="11" width="9" style="112" customWidth="1"/>
    <col min="12" max="16384" width="8" style="92"/>
  </cols>
  <sheetData>
    <row r="1" spans="1:14" ht="24.95" customHeight="1">
      <c r="B1" s="106"/>
      <c r="C1" s="260"/>
      <c r="D1" s="260"/>
      <c r="E1" s="260"/>
      <c r="F1" s="260"/>
      <c r="G1" s="260"/>
      <c r="H1" s="260"/>
      <c r="I1" s="92"/>
      <c r="J1" s="92"/>
      <c r="K1" s="92"/>
    </row>
    <row r="2" spans="1:14" ht="24.95" customHeight="1">
      <c r="B2" s="107"/>
      <c r="C2" s="108"/>
      <c r="D2" s="108"/>
      <c r="E2" s="108"/>
      <c r="F2" s="108"/>
      <c r="G2" s="108"/>
      <c r="H2" s="108"/>
      <c r="I2" s="108"/>
      <c r="J2" s="108"/>
      <c r="K2" s="108"/>
    </row>
    <row r="3" spans="1:14" ht="24.95" customHeight="1">
      <c r="C3" s="111"/>
      <c r="D3" s="111"/>
    </row>
    <row r="4" spans="1:14" ht="24.95" customHeight="1">
      <c r="A4" s="146" t="s">
        <v>0</v>
      </c>
      <c r="B4" s="147" t="s">
        <v>1</v>
      </c>
      <c r="C4" s="262">
        <v>2017</v>
      </c>
      <c r="D4" s="263"/>
      <c r="E4" s="263"/>
      <c r="F4" s="263"/>
      <c r="G4" s="263"/>
      <c r="H4" s="264"/>
      <c r="I4" s="265">
        <v>2018</v>
      </c>
      <c r="J4" s="266"/>
      <c r="K4" s="266"/>
      <c r="L4" s="266"/>
      <c r="M4" s="266"/>
      <c r="N4" s="267"/>
    </row>
    <row r="5" spans="1:14" ht="24.95" customHeight="1">
      <c r="A5" s="115" t="s">
        <v>2</v>
      </c>
      <c r="B5" s="114" t="s">
        <v>3</v>
      </c>
      <c r="C5" s="149" t="s">
        <v>4</v>
      </c>
      <c r="D5" s="149" t="s">
        <v>5</v>
      </c>
      <c r="E5" s="149" t="s">
        <v>6</v>
      </c>
      <c r="F5" s="149" t="s">
        <v>7</v>
      </c>
      <c r="G5" s="149" t="s">
        <v>8</v>
      </c>
      <c r="H5" s="149" t="s">
        <v>9</v>
      </c>
      <c r="I5" s="150" t="s">
        <v>10</v>
      </c>
      <c r="J5" s="150" t="s">
        <v>11</v>
      </c>
      <c r="K5" s="150" t="s">
        <v>12</v>
      </c>
      <c r="L5" s="150" t="s">
        <v>52</v>
      </c>
      <c r="M5" s="150" t="s">
        <v>14</v>
      </c>
      <c r="N5" s="150" t="s">
        <v>69</v>
      </c>
    </row>
    <row r="6" spans="1:14" ht="24.95" customHeight="1">
      <c r="A6" s="117"/>
      <c r="B6" s="118"/>
      <c r="C6" s="102"/>
      <c r="D6" s="102"/>
      <c r="E6" s="102"/>
      <c r="F6" s="102"/>
      <c r="G6" s="102"/>
      <c r="H6" s="102"/>
      <c r="I6" s="119"/>
      <c r="J6" s="119"/>
      <c r="K6" s="119"/>
      <c r="L6" s="119"/>
      <c r="M6" s="119"/>
      <c r="N6" s="119"/>
    </row>
    <row r="7" spans="1:14" ht="24.95" customHeight="1">
      <c r="A7" s="121" t="s">
        <v>54</v>
      </c>
      <c r="B7" s="122" t="s">
        <v>55</v>
      </c>
      <c r="C7" s="76"/>
      <c r="D7" s="76"/>
      <c r="E7" s="76"/>
      <c r="F7" s="76"/>
      <c r="G7" s="76"/>
      <c r="H7" s="76"/>
      <c r="I7" s="123"/>
      <c r="J7" s="123"/>
      <c r="K7" s="123"/>
      <c r="L7" s="123"/>
      <c r="M7" s="123"/>
      <c r="N7" s="123"/>
    </row>
    <row r="8" spans="1:14" ht="24.95" customHeight="1">
      <c r="A8" s="125" t="s">
        <v>56</v>
      </c>
      <c r="B8" s="122" t="s">
        <v>67</v>
      </c>
      <c r="C8" s="76"/>
      <c r="D8" s="76"/>
      <c r="E8" s="76"/>
      <c r="F8" s="76"/>
      <c r="G8" s="76"/>
      <c r="H8" s="76"/>
      <c r="I8" s="123"/>
      <c r="J8" s="123"/>
      <c r="K8" s="123"/>
      <c r="L8" s="123"/>
      <c r="M8" s="123"/>
      <c r="N8" s="123"/>
    </row>
    <row r="9" spans="1:14" ht="24.95" customHeight="1">
      <c r="A9" s="126" t="s">
        <v>58</v>
      </c>
      <c r="B9" s="127" t="s">
        <v>22</v>
      </c>
      <c r="C9" s="151">
        <v>1058</v>
      </c>
      <c r="D9" s="151">
        <v>981</v>
      </c>
      <c r="E9" s="151">
        <v>803.86300000000006</v>
      </c>
      <c r="F9" s="151">
        <v>1034.7</v>
      </c>
      <c r="G9" s="151">
        <v>874.73599999999999</v>
      </c>
      <c r="H9" s="151">
        <v>953.4</v>
      </c>
      <c r="I9" s="152">
        <v>745.21500000000003</v>
      </c>
      <c r="J9" s="152">
        <v>813.58500000000004</v>
      </c>
      <c r="K9" s="152">
        <v>843.71400000000006</v>
      </c>
      <c r="L9" s="152">
        <v>874.05499999999995</v>
      </c>
      <c r="M9" s="152">
        <v>948.15200000000004</v>
      </c>
      <c r="N9" s="152">
        <v>758.197</v>
      </c>
    </row>
    <row r="10" spans="1:14" ht="24.95" customHeight="1">
      <c r="A10" s="126" t="s">
        <v>59</v>
      </c>
      <c r="B10" s="127" t="s">
        <v>60</v>
      </c>
      <c r="C10" s="151">
        <v>131</v>
      </c>
      <c r="D10" s="151">
        <v>124</v>
      </c>
      <c r="E10" s="151">
        <v>114.36708762668999</v>
      </c>
      <c r="F10" s="151">
        <v>271.81082602026004</v>
      </c>
      <c r="G10" s="151">
        <v>124.07424725701</v>
      </c>
      <c r="H10" s="151">
        <v>126</v>
      </c>
      <c r="I10" s="152">
        <v>124.11519480074</v>
      </c>
      <c r="J10" s="152">
        <v>114.60322161705</v>
      </c>
      <c r="K10" s="152">
        <v>126.52909499584</v>
      </c>
      <c r="L10" s="152">
        <v>123.30453021731</v>
      </c>
      <c r="M10" s="152">
        <v>154</v>
      </c>
      <c r="N10" s="152">
        <v>118.53741257306</v>
      </c>
    </row>
    <row r="11" spans="1:14" ht="24.95" customHeight="1">
      <c r="A11" s="121" t="s">
        <v>61</v>
      </c>
      <c r="B11" s="122" t="s">
        <v>62</v>
      </c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</row>
    <row r="12" spans="1:14" ht="24.95" customHeight="1">
      <c r="A12" s="126" t="s">
        <v>63</v>
      </c>
      <c r="B12" s="127" t="s">
        <v>28</v>
      </c>
      <c r="C12" s="152">
        <v>111873</v>
      </c>
      <c r="D12" s="152">
        <v>124455</v>
      </c>
      <c r="E12" s="152">
        <v>107049</v>
      </c>
      <c r="F12" s="152">
        <v>143463</v>
      </c>
      <c r="G12" s="152">
        <v>143301</v>
      </c>
      <c r="H12" s="152">
        <v>155424</v>
      </c>
      <c r="I12" s="152">
        <v>168449</v>
      </c>
      <c r="J12" s="152">
        <v>150446</v>
      </c>
      <c r="K12" s="152">
        <v>165526</v>
      </c>
      <c r="L12" s="152">
        <v>164659</v>
      </c>
      <c r="M12" s="152">
        <v>192495</v>
      </c>
      <c r="N12" s="152">
        <v>164782</v>
      </c>
    </row>
    <row r="13" spans="1:14" ht="24.95" customHeight="1">
      <c r="A13" s="126" t="s">
        <v>59</v>
      </c>
      <c r="B13" s="127" t="s">
        <v>60</v>
      </c>
      <c r="C13" s="154">
        <v>2408</v>
      </c>
      <c r="D13" s="154">
        <v>2489</v>
      </c>
      <c r="E13" s="154">
        <v>2171.0160171063299</v>
      </c>
      <c r="F13" s="154">
        <v>2609.6683418856796</v>
      </c>
      <c r="G13" s="154">
        <v>2513.7581145263703</v>
      </c>
      <c r="H13" s="154">
        <v>2883.8</v>
      </c>
      <c r="I13" s="152">
        <v>3082.0514589999998</v>
      </c>
      <c r="J13" s="152">
        <v>3362.81900502504</v>
      </c>
      <c r="K13" s="152">
        <v>3662.5994793958703</v>
      </c>
      <c r="L13" s="152">
        <v>2760.5513490695803</v>
      </c>
      <c r="M13" s="152">
        <v>3766</v>
      </c>
      <c r="N13" s="152">
        <v>2693.0316128771701</v>
      </c>
    </row>
    <row r="14" spans="1:14" ht="63">
      <c r="A14" s="131" t="s">
        <v>64</v>
      </c>
      <c r="B14" s="122" t="s">
        <v>68</v>
      </c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</row>
    <row r="15" spans="1:14" ht="24.95" customHeight="1">
      <c r="A15" s="126" t="s">
        <v>39</v>
      </c>
      <c r="B15" s="127" t="s">
        <v>28</v>
      </c>
      <c r="C15" s="154">
        <v>1713</v>
      </c>
      <c r="D15" s="154">
        <v>2118</v>
      </c>
      <c r="E15" s="154">
        <v>1790</v>
      </c>
      <c r="F15" s="154">
        <v>2151</v>
      </c>
      <c r="G15" s="154">
        <v>2151</v>
      </c>
      <c r="H15" s="154">
        <v>1533</v>
      </c>
      <c r="I15" s="152">
        <v>1533</v>
      </c>
      <c r="J15" s="152">
        <v>1506</v>
      </c>
      <c r="K15" s="152">
        <v>1257</v>
      </c>
      <c r="L15" s="152">
        <v>1010</v>
      </c>
      <c r="M15" s="152">
        <v>1114</v>
      </c>
      <c r="N15" s="152">
        <v>1010</v>
      </c>
    </row>
    <row r="16" spans="1:14" ht="24.95" customHeight="1">
      <c r="A16" s="133" t="s">
        <v>40</v>
      </c>
      <c r="B16" s="134" t="s">
        <v>41</v>
      </c>
      <c r="C16" s="155">
        <v>1634</v>
      </c>
      <c r="D16" s="155">
        <v>1762</v>
      </c>
      <c r="E16" s="155">
        <v>1495.5350000000001</v>
      </c>
      <c r="F16" s="155">
        <v>1616.635</v>
      </c>
      <c r="G16" s="155">
        <v>1681.5650000000001</v>
      </c>
      <c r="H16" s="155">
        <v>1264</v>
      </c>
      <c r="I16" s="155">
        <v>1408.116</v>
      </c>
      <c r="J16" s="155">
        <v>1156.125</v>
      </c>
      <c r="K16" s="155">
        <v>1273.864</v>
      </c>
      <c r="L16" s="155">
        <v>1037.8420000000001</v>
      </c>
      <c r="M16" s="155">
        <v>2066</v>
      </c>
      <c r="N16" s="155">
        <v>2064.0250000000001</v>
      </c>
    </row>
    <row r="17" spans="1:11">
      <c r="A17" s="138"/>
      <c r="B17" s="139"/>
      <c r="C17" s="92"/>
      <c r="D17" s="92"/>
      <c r="E17" s="92"/>
      <c r="F17" s="92"/>
      <c r="G17" s="92"/>
      <c r="H17" s="92"/>
      <c r="I17" s="92"/>
      <c r="J17" s="92"/>
      <c r="K17" s="92"/>
    </row>
    <row r="18" spans="1:11" ht="23.25">
      <c r="A18" s="138"/>
      <c r="B18" s="140"/>
      <c r="C18" s="92"/>
      <c r="D18" s="92"/>
      <c r="E18" s="92"/>
      <c r="F18" s="92"/>
      <c r="G18" s="92"/>
      <c r="H18" s="92"/>
      <c r="I18" s="92"/>
      <c r="J18" s="92"/>
      <c r="K18" s="92"/>
    </row>
    <row r="19" spans="1:11" ht="23.25">
      <c r="A19" s="138"/>
      <c r="B19" s="141"/>
      <c r="C19" s="112"/>
    </row>
    <row r="20" spans="1:11">
      <c r="C20" s="112"/>
    </row>
    <row r="21" spans="1:11" ht="23.25">
      <c r="A21" s="138"/>
      <c r="B21" s="140"/>
      <c r="C21" s="112"/>
    </row>
    <row r="22" spans="1:11" ht="23.25">
      <c r="A22" s="138"/>
      <c r="B22" s="143"/>
      <c r="C22" s="144"/>
    </row>
  </sheetData>
  <mergeCells count="3">
    <mergeCell ref="C1:H1"/>
    <mergeCell ref="C4:H4"/>
    <mergeCell ref="I4:N4"/>
  </mergeCells>
  <printOptions horizontalCentered="1" verticalCentered="1"/>
  <pageMargins left="0" right="0" top="0" bottom="0" header="0" footer="0"/>
  <pageSetup paperSize="9" scale="7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03D3-7C0D-4547-B459-58390631599B}">
  <sheetPr>
    <pageSetUpPr fitToPage="1"/>
  </sheetPr>
  <dimension ref="A1:N22"/>
  <sheetViews>
    <sheetView view="pageBreakPreview" zoomScale="85" zoomScaleNormal="100" zoomScaleSheetLayoutView="85" workbookViewId="0">
      <pane xSplit="2" topLeftCell="D1" activePane="topRight" state="frozen"/>
      <selection pane="topRight"/>
    </sheetView>
  </sheetViews>
  <sheetFormatPr defaultColWidth="8" defaultRowHeight="21"/>
  <cols>
    <col min="1" max="1" width="45.42578125" style="105" bestFit="1" customWidth="1"/>
    <col min="2" max="2" width="69.7109375" style="142" bestFit="1" customWidth="1"/>
    <col min="3" max="3" width="10.85546875" style="145" customWidth="1"/>
    <col min="4" max="8" width="9" style="112" customWidth="1"/>
    <col min="9" max="16384" width="8" style="92"/>
  </cols>
  <sheetData>
    <row r="1" spans="1:14" ht="24.95" customHeight="1">
      <c r="C1" s="111"/>
      <c r="D1" s="111"/>
    </row>
    <row r="2" spans="1:14" s="78" customFormat="1" ht="24.95" customHeight="1">
      <c r="A2" s="156" t="s">
        <v>0</v>
      </c>
      <c r="B2" s="157" t="s">
        <v>1</v>
      </c>
      <c r="C2" s="268">
        <v>2018</v>
      </c>
      <c r="D2" s="269"/>
      <c r="E2" s="269"/>
      <c r="F2" s="269"/>
      <c r="G2" s="269"/>
      <c r="H2" s="270"/>
      <c r="I2" s="268">
        <v>2019</v>
      </c>
      <c r="J2" s="269"/>
      <c r="K2" s="269"/>
      <c r="L2" s="269"/>
      <c r="M2" s="269"/>
      <c r="N2" s="270"/>
    </row>
    <row r="3" spans="1:14" s="162" customFormat="1" ht="24.95" customHeight="1">
      <c r="A3" s="158" t="s">
        <v>2</v>
      </c>
      <c r="B3" s="159" t="s">
        <v>3</v>
      </c>
      <c r="C3" s="160" t="s">
        <v>4</v>
      </c>
      <c r="D3" s="160" t="s">
        <v>5</v>
      </c>
      <c r="E3" s="160" t="s">
        <v>6</v>
      </c>
      <c r="F3" s="160" t="s">
        <v>7</v>
      </c>
      <c r="G3" s="160" t="s">
        <v>8</v>
      </c>
      <c r="H3" s="160" t="s">
        <v>9</v>
      </c>
      <c r="I3" s="161" t="s">
        <v>10</v>
      </c>
      <c r="J3" s="161" t="s">
        <v>11</v>
      </c>
      <c r="K3" s="161" t="s">
        <v>12</v>
      </c>
      <c r="L3" s="150" t="s">
        <v>52</v>
      </c>
      <c r="M3" s="150" t="s">
        <v>14</v>
      </c>
      <c r="N3" s="150" t="s">
        <v>69</v>
      </c>
    </row>
    <row r="4" spans="1:14" ht="24.95" customHeight="1">
      <c r="A4" s="163" t="s">
        <v>54</v>
      </c>
      <c r="B4" s="164" t="s">
        <v>55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</row>
    <row r="5" spans="1:14" ht="13.5" customHeight="1">
      <c r="B5" s="16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</row>
    <row r="6" spans="1:14" ht="24.95" customHeight="1">
      <c r="A6" s="166" t="s">
        <v>56</v>
      </c>
      <c r="B6" s="167" t="s">
        <v>70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</row>
    <row r="7" spans="1:14" ht="24.95" customHeight="1">
      <c r="A7" s="168" t="s">
        <v>58</v>
      </c>
      <c r="B7" s="169" t="s">
        <v>22</v>
      </c>
      <c r="C7" s="170">
        <v>943.43399999999997</v>
      </c>
      <c r="D7" s="170">
        <v>789.75400000000002</v>
      </c>
      <c r="E7" s="170">
        <v>853.702</v>
      </c>
      <c r="F7" s="170">
        <v>934</v>
      </c>
      <c r="G7" s="170">
        <v>813.80499999999995</v>
      </c>
      <c r="H7" s="170">
        <v>962.78399999999999</v>
      </c>
      <c r="I7" s="170">
        <v>871.50800000000004</v>
      </c>
      <c r="J7" s="170">
        <v>819.58</v>
      </c>
      <c r="K7" s="170">
        <v>875.38900000000001</v>
      </c>
      <c r="L7" s="170">
        <v>828</v>
      </c>
      <c r="M7" s="170">
        <v>919</v>
      </c>
      <c r="N7" s="170">
        <v>748</v>
      </c>
    </row>
    <row r="8" spans="1:14" ht="24.95" customHeight="1">
      <c r="A8" s="168" t="s">
        <v>59</v>
      </c>
      <c r="B8" s="169" t="s">
        <v>60</v>
      </c>
      <c r="C8" s="170">
        <v>139.255854446</v>
      </c>
      <c r="D8" s="170">
        <v>118.936329074</v>
      </c>
      <c r="E8" s="170">
        <v>130.83888593685001</v>
      </c>
      <c r="F8" s="170">
        <v>141</v>
      </c>
      <c r="G8" s="170">
        <v>130.25719989656</v>
      </c>
      <c r="H8" s="170">
        <v>144.15605059577999</v>
      </c>
      <c r="I8" s="170">
        <v>135.459</v>
      </c>
      <c r="J8" s="170">
        <v>128.59200000000001</v>
      </c>
      <c r="K8" s="170">
        <v>131.89121908832999</v>
      </c>
      <c r="L8" s="170">
        <v>125</v>
      </c>
      <c r="M8" s="170">
        <v>147</v>
      </c>
      <c r="N8" s="170">
        <v>115</v>
      </c>
    </row>
    <row r="9" spans="1:14" ht="14.25" customHeight="1">
      <c r="A9" s="168"/>
      <c r="B9" s="169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</row>
    <row r="10" spans="1:14" ht="24.95" customHeight="1">
      <c r="A10" s="166" t="s">
        <v>61</v>
      </c>
      <c r="B10" s="167" t="s">
        <v>62</v>
      </c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</row>
    <row r="11" spans="1:14" ht="24.95" customHeight="1">
      <c r="A11" s="168" t="s">
        <v>63</v>
      </c>
      <c r="B11" s="169" t="s">
        <v>28</v>
      </c>
      <c r="C11" s="171">
        <v>175423</v>
      </c>
      <c r="D11" s="171">
        <v>101282</v>
      </c>
      <c r="E11" s="171">
        <v>109692</v>
      </c>
      <c r="F11" s="171">
        <v>122681</v>
      </c>
      <c r="G11" s="171">
        <v>108901</v>
      </c>
      <c r="H11" s="171">
        <v>119564</v>
      </c>
      <c r="I11" s="171">
        <v>110575</v>
      </c>
      <c r="J11" s="171">
        <v>107494</v>
      </c>
      <c r="K11" s="171">
        <v>115446</v>
      </c>
      <c r="L11" s="171">
        <v>109090</v>
      </c>
      <c r="M11" s="171">
        <v>122371</v>
      </c>
      <c r="N11" s="171">
        <v>111936</v>
      </c>
    </row>
    <row r="12" spans="1:14" ht="24.95" customHeight="1">
      <c r="A12" s="168" t="s">
        <v>59</v>
      </c>
      <c r="B12" s="169" t="s">
        <v>60</v>
      </c>
      <c r="C12" s="75">
        <v>3495.581751315</v>
      </c>
      <c r="D12" s="75">
        <v>3234.2183927810001</v>
      </c>
      <c r="E12" s="75">
        <v>3164.36200487927</v>
      </c>
      <c r="F12" s="75">
        <v>3995</v>
      </c>
      <c r="G12" s="75">
        <v>3696.3790610399901</v>
      </c>
      <c r="H12" s="75">
        <v>3997.8070860177099</v>
      </c>
      <c r="I12" s="75">
        <v>3739.4969999999998</v>
      </c>
      <c r="J12" s="75">
        <v>3483.54</v>
      </c>
      <c r="K12" s="75">
        <v>3734.70481172768</v>
      </c>
      <c r="L12" s="75">
        <v>3600</v>
      </c>
      <c r="M12" s="75">
        <v>3160</v>
      </c>
      <c r="N12" s="75">
        <v>3296</v>
      </c>
    </row>
    <row r="13" spans="1:14" ht="13.5" customHeight="1">
      <c r="A13" s="168"/>
      <c r="B13" s="169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</row>
    <row r="14" spans="1:14" ht="47.25">
      <c r="A14" s="172" t="s">
        <v>64</v>
      </c>
      <c r="B14" s="164" t="s">
        <v>71</v>
      </c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</row>
    <row r="15" spans="1:14" ht="24.95" customHeight="1">
      <c r="A15" s="168" t="s">
        <v>39</v>
      </c>
      <c r="B15" s="169" t="s">
        <v>28</v>
      </c>
      <c r="C15" s="75">
        <v>1211</v>
      </c>
      <c r="D15" s="75">
        <v>1086</v>
      </c>
      <c r="E15" s="75">
        <v>957</v>
      </c>
      <c r="F15" s="75">
        <v>1191</v>
      </c>
      <c r="G15" s="75">
        <v>1019</v>
      </c>
      <c r="H15" s="75">
        <v>1327</v>
      </c>
      <c r="I15" s="75">
        <v>1363</v>
      </c>
      <c r="J15" s="75">
        <v>1257</v>
      </c>
      <c r="K15" s="75">
        <v>1198</v>
      </c>
      <c r="L15" s="75">
        <v>1478</v>
      </c>
      <c r="M15" s="75">
        <v>1370</v>
      </c>
      <c r="N15" s="75">
        <v>1251</v>
      </c>
    </row>
    <row r="16" spans="1:14" ht="24.95" customHeight="1">
      <c r="A16" s="173" t="s">
        <v>40</v>
      </c>
      <c r="B16" s="174" t="s">
        <v>41</v>
      </c>
      <c r="C16" s="175">
        <v>3799</v>
      </c>
      <c r="D16" s="175">
        <v>1612.194</v>
      </c>
      <c r="E16" s="175">
        <v>2402.1790000000001</v>
      </c>
      <c r="F16" s="175">
        <v>2898</v>
      </c>
      <c r="G16" s="175">
        <v>2657.1550000000002</v>
      </c>
      <c r="H16" s="175">
        <v>2097.0749999999998</v>
      </c>
      <c r="I16" s="175">
        <v>3876.4</v>
      </c>
      <c r="J16" s="175">
        <v>3025.38</v>
      </c>
      <c r="K16" s="175">
        <v>2713.0659999999998</v>
      </c>
      <c r="L16" s="175">
        <v>3165</v>
      </c>
      <c r="M16" s="175">
        <v>2445</v>
      </c>
      <c r="N16" s="175">
        <v>3377</v>
      </c>
    </row>
    <row r="17" spans="1:8">
      <c r="A17" s="138"/>
      <c r="B17" s="139"/>
      <c r="C17" s="92"/>
      <c r="D17" s="92"/>
      <c r="E17" s="92"/>
      <c r="F17" s="92"/>
      <c r="G17" s="92"/>
      <c r="H17" s="92"/>
    </row>
    <row r="18" spans="1:8" ht="23.25">
      <c r="A18" s="138"/>
      <c r="B18" s="140"/>
      <c r="C18" s="92"/>
      <c r="D18" s="92"/>
      <c r="E18" s="92"/>
      <c r="F18" s="92"/>
      <c r="G18" s="92"/>
      <c r="H18" s="92"/>
    </row>
    <row r="19" spans="1:8" ht="23.25">
      <c r="A19" s="138"/>
      <c r="B19" s="141"/>
      <c r="C19" s="112"/>
    </row>
    <row r="20" spans="1:8">
      <c r="C20" s="112"/>
    </row>
    <row r="21" spans="1:8" ht="23.25">
      <c r="A21" s="138"/>
      <c r="B21" s="140"/>
      <c r="C21" s="112"/>
    </row>
    <row r="22" spans="1:8" ht="23.25">
      <c r="A22" s="138"/>
      <c r="B22" s="143"/>
      <c r="C22" s="144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3770-B441-4A19-980F-A33F4F9E4891}">
  <sheetPr>
    <pageSetUpPr fitToPage="1"/>
  </sheetPr>
  <dimension ref="A1:N22"/>
  <sheetViews>
    <sheetView view="pageBreakPreview" zoomScale="85" zoomScaleNormal="100" zoomScaleSheetLayoutView="85" workbookViewId="0">
      <pane xSplit="2" topLeftCell="C1" activePane="topRight" state="frozen"/>
      <selection pane="topRight"/>
    </sheetView>
  </sheetViews>
  <sheetFormatPr defaultColWidth="8" defaultRowHeight="21"/>
  <cols>
    <col min="1" max="1" width="45.42578125" style="105" bestFit="1" customWidth="1"/>
    <col min="2" max="2" width="67.140625" style="142" customWidth="1"/>
    <col min="3" max="3" width="10.85546875" style="145" customWidth="1"/>
    <col min="4" max="8" width="9" style="112" customWidth="1"/>
    <col min="9" max="16384" width="8" style="92"/>
  </cols>
  <sheetData>
    <row r="1" spans="1:14" ht="24.95" customHeight="1">
      <c r="C1" s="111"/>
      <c r="D1" s="111"/>
    </row>
    <row r="2" spans="1:14" s="78" customFormat="1" ht="24.95" customHeight="1">
      <c r="A2" s="156" t="s">
        <v>0</v>
      </c>
      <c r="B2" s="157" t="s">
        <v>1</v>
      </c>
      <c r="C2" s="268">
        <v>2019</v>
      </c>
      <c r="D2" s="269"/>
      <c r="E2" s="269"/>
      <c r="F2" s="269"/>
      <c r="G2" s="269"/>
      <c r="H2" s="270"/>
      <c r="I2" s="268">
        <v>2020</v>
      </c>
      <c r="J2" s="269"/>
      <c r="K2" s="269"/>
      <c r="L2" s="269"/>
      <c r="M2" s="269"/>
      <c r="N2" s="270"/>
    </row>
    <row r="3" spans="1:14" s="162" customFormat="1" ht="24.95" customHeight="1">
      <c r="A3" s="158" t="s">
        <v>2</v>
      </c>
      <c r="B3" s="159" t="s">
        <v>3</v>
      </c>
      <c r="C3" s="160" t="s">
        <v>4</v>
      </c>
      <c r="D3" s="160" t="s">
        <v>5</v>
      </c>
      <c r="E3" s="160" t="s">
        <v>6</v>
      </c>
      <c r="F3" s="160" t="s">
        <v>7</v>
      </c>
      <c r="G3" s="160" t="s">
        <v>8</v>
      </c>
      <c r="H3" s="160" t="s">
        <v>9</v>
      </c>
      <c r="I3" s="161" t="s">
        <v>10</v>
      </c>
      <c r="J3" s="161" t="s">
        <v>11</v>
      </c>
      <c r="K3" s="161" t="s">
        <v>12</v>
      </c>
      <c r="L3" s="150" t="s">
        <v>52</v>
      </c>
      <c r="M3" s="150" t="s">
        <v>14</v>
      </c>
      <c r="N3" s="150" t="s">
        <v>69</v>
      </c>
    </row>
    <row r="4" spans="1:14" ht="24.95" customHeight="1">
      <c r="A4" s="163" t="s">
        <v>54</v>
      </c>
      <c r="B4" s="164" t="s">
        <v>55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</row>
    <row r="5" spans="1:14" ht="13.5" customHeight="1">
      <c r="B5" s="16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</row>
    <row r="6" spans="1:14" ht="24.95" customHeight="1">
      <c r="A6" s="166" t="s">
        <v>56</v>
      </c>
      <c r="B6" s="167" t="s">
        <v>70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</row>
    <row r="7" spans="1:14" ht="24.95" customHeight="1">
      <c r="A7" s="168" t="s">
        <v>58</v>
      </c>
      <c r="B7" s="169" t="s">
        <v>22</v>
      </c>
      <c r="C7" s="170">
        <v>962</v>
      </c>
      <c r="D7" s="170">
        <v>696</v>
      </c>
      <c r="E7" s="170">
        <v>877</v>
      </c>
      <c r="F7" s="170">
        <v>872</v>
      </c>
      <c r="G7" s="170">
        <v>726</v>
      </c>
      <c r="H7" s="170">
        <v>940.29200000000003</v>
      </c>
      <c r="I7" s="170">
        <v>771.32299999999998</v>
      </c>
      <c r="J7" s="170">
        <v>742.87400000000002</v>
      </c>
      <c r="K7" s="170">
        <v>583.14800000000002</v>
      </c>
      <c r="L7" s="170">
        <v>814.57799999999997</v>
      </c>
      <c r="M7" s="170">
        <v>658.48500000000001</v>
      </c>
      <c r="N7" s="170">
        <v>904.79399999999998</v>
      </c>
    </row>
    <row r="8" spans="1:14" ht="24.95" customHeight="1">
      <c r="A8" s="168" t="s">
        <v>59</v>
      </c>
      <c r="B8" s="169" t="s">
        <v>60</v>
      </c>
      <c r="C8" s="170">
        <v>140</v>
      </c>
      <c r="D8" s="170">
        <v>106</v>
      </c>
      <c r="E8" s="170">
        <v>126</v>
      </c>
      <c r="F8" s="170">
        <v>137</v>
      </c>
      <c r="G8" s="170">
        <v>115</v>
      </c>
      <c r="H8" s="170">
        <v>141.96299999999999</v>
      </c>
      <c r="I8" s="170">
        <v>131.06481534970999</v>
      </c>
      <c r="J8" s="170">
        <v>123.64283890879</v>
      </c>
      <c r="K8" s="170">
        <v>144.98269552644999</v>
      </c>
      <c r="L8" s="170">
        <v>129.28890373845999</v>
      </c>
      <c r="M8" s="170">
        <v>103.94187122171</v>
      </c>
      <c r="N8" s="170">
        <v>146.56365353093</v>
      </c>
    </row>
    <row r="9" spans="1:14" ht="14.25" customHeight="1">
      <c r="A9" s="168"/>
      <c r="B9" s="169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</row>
    <row r="10" spans="1:14" ht="24.95" customHeight="1">
      <c r="A10" s="166" t="s">
        <v>61</v>
      </c>
      <c r="B10" s="167" t="s">
        <v>62</v>
      </c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</row>
    <row r="11" spans="1:14" ht="24.95" customHeight="1">
      <c r="A11" s="168" t="s">
        <v>63</v>
      </c>
      <c r="B11" s="169" t="s">
        <v>28</v>
      </c>
      <c r="C11" s="171">
        <v>120484</v>
      </c>
      <c r="D11" s="171">
        <v>103479</v>
      </c>
      <c r="E11" s="171">
        <v>125783</v>
      </c>
      <c r="F11" s="171">
        <v>130895</v>
      </c>
      <c r="G11" s="171">
        <v>117309</v>
      </c>
      <c r="H11" s="171">
        <v>142584</v>
      </c>
      <c r="I11" s="171">
        <v>123108</v>
      </c>
      <c r="J11" s="171">
        <v>117856</v>
      </c>
      <c r="K11" s="171">
        <v>158772</v>
      </c>
      <c r="L11" s="171">
        <v>213043</v>
      </c>
      <c r="M11" s="171">
        <v>183786</v>
      </c>
      <c r="N11" s="171">
        <v>234369</v>
      </c>
    </row>
    <row r="12" spans="1:14" ht="24.95" customHeight="1">
      <c r="A12" s="168" t="s">
        <v>59</v>
      </c>
      <c r="B12" s="169" t="s">
        <v>60</v>
      </c>
      <c r="C12" s="75">
        <v>4448</v>
      </c>
      <c r="D12" s="75">
        <v>3686</v>
      </c>
      <c r="E12" s="75">
        <v>4937</v>
      </c>
      <c r="F12" s="75">
        <v>4916</v>
      </c>
      <c r="G12" s="75">
        <v>3443</v>
      </c>
      <c r="H12" s="75">
        <v>4343</v>
      </c>
      <c r="I12" s="75">
        <v>4161.6711147064398</v>
      </c>
      <c r="J12" s="75">
        <v>3690.4825963189496</v>
      </c>
      <c r="K12" s="75">
        <v>6648.5704327263402</v>
      </c>
      <c r="L12" s="75">
        <v>13453.51140907578</v>
      </c>
      <c r="M12" s="75">
        <v>6620.4779167012493</v>
      </c>
      <c r="N12" s="75">
        <v>10825.55142553662</v>
      </c>
    </row>
    <row r="13" spans="1:14" ht="13.5" customHeight="1">
      <c r="A13" s="168"/>
      <c r="B13" s="169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</row>
    <row r="14" spans="1:14" ht="47.25">
      <c r="A14" s="172" t="s">
        <v>64</v>
      </c>
      <c r="B14" s="164" t="s">
        <v>71</v>
      </c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</row>
    <row r="15" spans="1:14" ht="24.95" customHeight="1">
      <c r="A15" s="168" t="s">
        <v>39</v>
      </c>
      <c r="B15" s="169" t="s">
        <v>28</v>
      </c>
      <c r="C15" s="75">
        <v>1515</v>
      </c>
      <c r="D15" s="75">
        <v>1157</v>
      </c>
      <c r="E15" s="75">
        <v>1539</v>
      </c>
      <c r="F15" s="75">
        <v>1498</v>
      </c>
      <c r="G15" s="75">
        <v>1088</v>
      </c>
      <c r="H15" s="75">
        <v>1418</v>
      </c>
      <c r="I15" s="75">
        <v>1548</v>
      </c>
      <c r="J15" s="75">
        <v>1213</v>
      </c>
      <c r="K15" s="75">
        <v>2293</v>
      </c>
      <c r="L15" s="75">
        <v>1062</v>
      </c>
      <c r="M15" s="75">
        <v>769</v>
      </c>
      <c r="N15" s="75">
        <v>1621</v>
      </c>
    </row>
    <row r="16" spans="1:14" ht="24.95" customHeight="1">
      <c r="A16" s="173" t="s">
        <v>40</v>
      </c>
      <c r="B16" s="174" t="s">
        <v>41</v>
      </c>
      <c r="C16" s="175">
        <v>4312</v>
      </c>
      <c r="D16" s="175">
        <v>3026</v>
      </c>
      <c r="E16" s="175">
        <v>3953</v>
      </c>
      <c r="F16" s="175">
        <v>3193</v>
      </c>
      <c r="G16" s="175">
        <v>1923</v>
      </c>
      <c r="H16" s="175">
        <v>2921.1</v>
      </c>
      <c r="I16" s="175">
        <v>4157.0069999999996</v>
      </c>
      <c r="J16" s="175">
        <v>2621.4349999999999</v>
      </c>
      <c r="K16" s="175">
        <v>15374.83</v>
      </c>
      <c r="L16" s="175">
        <v>5577.6210000000001</v>
      </c>
      <c r="M16" s="175">
        <v>3192.0259999999998</v>
      </c>
      <c r="N16" s="175">
        <v>4974.7349999999997</v>
      </c>
    </row>
    <row r="17" spans="1:8">
      <c r="A17" s="138"/>
      <c r="B17" s="139"/>
      <c r="C17" s="92"/>
      <c r="D17" s="92"/>
      <c r="E17" s="92"/>
      <c r="F17" s="92"/>
      <c r="G17" s="92"/>
      <c r="H17" s="92"/>
    </row>
    <row r="18" spans="1:8" ht="23.25">
      <c r="A18" s="138"/>
      <c r="B18" s="140"/>
      <c r="C18" s="92"/>
      <c r="D18" s="92"/>
      <c r="E18" s="92"/>
      <c r="F18" s="92"/>
      <c r="G18" s="92"/>
      <c r="H18" s="92"/>
    </row>
    <row r="19" spans="1:8" ht="23.25">
      <c r="A19" s="138"/>
      <c r="B19" s="141"/>
      <c r="C19" s="112"/>
    </row>
    <row r="20" spans="1:8">
      <c r="C20" s="112"/>
    </row>
    <row r="21" spans="1:8" ht="23.25">
      <c r="A21" s="138"/>
      <c r="B21" s="140"/>
      <c r="C21" s="112"/>
    </row>
    <row r="22" spans="1:8" ht="23.25">
      <c r="A22" s="138"/>
      <c r="B22" s="143"/>
      <c r="C22" s="144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3D2E7-8BEE-451B-9113-2433511DBB8E}">
  <sheetPr>
    <pageSetUpPr fitToPage="1"/>
  </sheetPr>
  <dimension ref="A1:N28"/>
  <sheetViews>
    <sheetView view="pageBreakPreview" zoomScale="85" zoomScaleNormal="100" zoomScaleSheetLayoutView="85" workbookViewId="0">
      <pane xSplit="2" topLeftCell="C1" activePane="topRight" state="frozen"/>
      <selection pane="topRight"/>
    </sheetView>
  </sheetViews>
  <sheetFormatPr defaultColWidth="8" defaultRowHeight="21"/>
  <cols>
    <col min="1" max="1" width="70.85546875" style="1" customWidth="1"/>
    <col min="2" max="2" width="70.140625" style="176" customWidth="1"/>
    <col min="3" max="3" width="10.85546875" style="51" customWidth="1"/>
    <col min="4" max="8" width="9" style="3" customWidth="1"/>
    <col min="9" max="16384" width="8" style="4"/>
  </cols>
  <sheetData>
    <row r="1" spans="1:14" ht="24.95" customHeight="1">
      <c r="C1" s="2"/>
      <c r="D1" s="2"/>
    </row>
    <row r="2" spans="1:14" s="179" customFormat="1" ht="24.95" customHeight="1">
      <c r="A2" s="177" t="s">
        <v>0</v>
      </c>
      <c r="B2" s="178" t="s">
        <v>1</v>
      </c>
      <c r="C2" s="271">
        <v>2020</v>
      </c>
      <c r="D2" s="272"/>
      <c r="E2" s="272"/>
      <c r="F2" s="272"/>
      <c r="G2" s="272"/>
      <c r="H2" s="273"/>
      <c r="I2" s="271">
        <v>2021</v>
      </c>
      <c r="J2" s="272"/>
      <c r="K2" s="272"/>
      <c r="L2" s="272"/>
      <c r="M2" s="272"/>
      <c r="N2" s="273"/>
    </row>
    <row r="3" spans="1:14" s="184" customFormat="1" ht="24.95" customHeight="1">
      <c r="A3" s="180" t="s">
        <v>2</v>
      </c>
      <c r="B3" s="181" t="s">
        <v>3</v>
      </c>
      <c r="C3" s="182" t="s">
        <v>4</v>
      </c>
      <c r="D3" s="182" t="s">
        <v>5</v>
      </c>
      <c r="E3" s="182" t="s">
        <v>6</v>
      </c>
      <c r="F3" s="182" t="s">
        <v>7</v>
      </c>
      <c r="G3" s="182" t="s">
        <v>8</v>
      </c>
      <c r="H3" s="182" t="s">
        <v>9</v>
      </c>
      <c r="I3" s="183" t="s">
        <v>10</v>
      </c>
      <c r="J3" s="183" t="s">
        <v>11</v>
      </c>
      <c r="K3" s="183" t="s">
        <v>12</v>
      </c>
      <c r="L3" s="183" t="s">
        <v>13</v>
      </c>
      <c r="M3" s="183" t="s">
        <v>14</v>
      </c>
      <c r="N3" s="183" t="s">
        <v>69</v>
      </c>
    </row>
    <row r="4" spans="1:14" ht="24.95" customHeight="1">
      <c r="A4" s="185" t="s">
        <v>15</v>
      </c>
      <c r="B4" s="186" t="s">
        <v>72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ht="13.5" customHeight="1">
      <c r="A5" s="14"/>
      <c r="B5" s="187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24.95" customHeight="1">
      <c r="A6" s="188" t="s">
        <v>56</v>
      </c>
      <c r="B6" s="189" t="s">
        <v>18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ht="24.95" customHeight="1">
      <c r="A7" s="190" t="s">
        <v>19</v>
      </c>
      <c r="B7" s="191" t="s">
        <v>20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ht="24.95" customHeight="1">
      <c r="A8" s="30" t="s">
        <v>58</v>
      </c>
      <c r="B8" s="192" t="s">
        <v>22</v>
      </c>
      <c r="C8" s="28">
        <v>796</v>
      </c>
      <c r="D8" s="28">
        <v>827</v>
      </c>
      <c r="E8" s="28">
        <v>886.43200000000002</v>
      </c>
      <c r="F8" s="28">
        <v>783.197</v>
      </c>
      <c r="G8" s="28">
        <v>937.755</v>
      </c>
      <c r="H8" s="28">
        <v>919.91300000000001</v>
      </c>
      <c r="I8" s="28">
        <v>793.846</v>
      </c>
      <c r="J8" s="28">
        <v>838.50900000000001</v>
      </c>
      <c r="K8" s="28">
        <v>982.13800000000003</v>
      </c>
      <c r="L8" s="28">
        <v>790.851</v>
      </c>
      <c r="M8" s="28">
        <v>885.697</v>
      </c>
      <c r="N8" s="28">
        <v>939.76800000000003</v>
      </c>
    </row>
    <row r="9" spans="1:14" ht="14.25" customHeight="1">
      <c r="A9" s="30" t="s">
        <v>73</v>
      </c>
      <c r="B9" s="192" t="s">
        <v>24</v>
      </c>
      <c r="C9" s="28">
        <v>132</v>
      </c>
      <c r="D9" s="28">
        <v>131</v>
      </c>
      <c r="E9" s="28">
        <v>143.97381555831001</v>
      </c>
      <c r="F9" s="28">
        <v>143.87747848366999</v>
      </c>
      <c r="G9" s="28">
        <v>156.85674978630999</v>
      </c>
      <c r="H9" s="28">
        <v>166.94996264017001</v>
      </c>
      <c r="I9" s="28">
        <v>137.05906724178999</v>
      </c>
      <c r="J9" s="28">
        <v>149.14200312386001</v>
      </c>
      <c r="K9" s="28">
        <v>172.58020618713999</v>
      </c>
      <c r="L9" s="28">
        <v>145.66383917427001</v>
      </c>
      <c r="M9" s="28">
        <v>154.74689463340999</v>
      </c>
      <c r="N9" s="28">
        <v>164.51300565650001</v>
      </c>
    </row>
    <row r="10" spans="1:14" ht="24.95" customHeight="1">
      <c r="A10" s="190" t="s">
        <v>25</v>
      </c>
      <c r="B10" s="191" t="s">
        <v>74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</row>
    <row r="11" spans="1:14" ht="24.95" customHeight="1">
      <c r="A11" s="30" t="s">
        <v>63</v>
      </c>
      <c r="B11" s="192" t="s">
        <v>28</v>
      </c>
      <c r="C11" s="28" t="s">
        <v>75</v>
      </c>
      <c r="D11" s="28" t="s">
        <v>75</v>
      </c>
      <c r="E11" s="28" t="s">
        <v>75</v>
      </c>
      <c r="F11" s="28" t="s">
        <v>75</v>
      </c>
      <c r="G11" s="28" t="s">
        <v>75</v>
      </c>
      <c r="H11" s="28" t="s">
        <v>75</v>
      </c>
      <c r="I11" s="28" t="s">
        <v>75</v>
      </c>
      <c r="J11" s="28" t="s">
        <v>75</v>
      </c>
      <c r="K11" s="28" t="s">
        <v>75</v>
      </c>
      <c r="L11" s="28" t="s">
        <v>75</v>
      </c>
      <c r="M11" s="28" t="s">
        <v>75</v>
      </c>
      <c r="N11" s="28">
        <v>5724</v>
      </c>
    </row>
    <row r="12" spans="1:14" ht="24.95" customHeight="1">
      <c r="A12" s="30" t="s">
        <v>76</v>
      </c>
      <c r="B12" s="192" t="s">
        <v>30</v>
      </c>
      <c r="C12" s="28" t="s">
        <v>75</v>
      </c>
      <c r="D12" s="28" t="s">
        <v>75</v>
      </c>
      <c r="E12" s="28" t="s">
        <v>75</v>
      </c>
      <c r="F12" s="28" t="s">
        <v>75</v>
      </c>
      <c r="G12" s="28" t="s">
        <v>75</v>
      </c>
      <c r="H12" s="28" t="s">
        <v>75</v>
      </c>
      <c r="I12" s="28" t="s">
        <v>75</v>
      </c>
      <c r="J12" s="28" t="s">
        <v>75</v>
      </c>
      <c r="K12" s="28" t="s">
        <v>75</v>
      </c>
      <c r="L12" s="28" t="s">
        <v>75</v>
      </c>
      <c r="M12" s="28" t="s">
        <v>75</v>
      </c>
      <c r="N12" s="28">
        <v>338.91797828</v>
      </c>
    </row>
    <row r="13" spans="1:14" ht="13.5" customHeight="1">
      <c r="A13" s="190" t="s">
        <v>31</v>
      </c>
      <c r="B13" s="191" t="s">
        <v>77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spans="1:14" ht="26.25">
      <c r="A14" s="30" t="s">
        <v>63</v>
      </c>
      <c r="B14" s="192" t="s">
        <v>28</v>
      </c>
      <c r="C14" s="28" t="s">
        <v>75</v>
      </c>
      <c r="D14" s="28" t="s">
        <v>75</v>
      </c>
      <c r="E14" s="28" t="s">
        <v>75</v>
      </c>
      <c r="F14" s="28" t="s">
        <v>75</v>
      </c>
      <c r="G14" s="28" t="s">
        <v>75</v>
      </c>
      <c r="H14" s="28" t="s">
        <v>75</v>
      </c>
      <c r="I14" s="28" t="s">
        <v>75</v>
      </c>
      <c r="J14" s="28" t="s">
        <v>75</v>
      </c>
      <c r="K14" s="28" t="s">
        <v>75</v>
      </c>
      <c r="L14" s="28" t="s">
        <v>75</v>
      </c>
      <c r="M14" s="28" t="s">
        <v>75</v>
      </c>
      <c r="N14" s="28">
        <v>861</v>
      </c>
    </row>
    <row r="15" spans="1:14" ht="24.95" customHeight="1">
      <c r="A15" s="30" t="s">
        <v>78</v>
      </c>
      <c r="B15" s="192" t="s">
        <v>34</v>
      </c>
      <c r="C15" s="28" t="s">
        <v>75</v>
      </c>
      <c r="D15" s="28" t="s">
        <v>75</v>
      </c>
      <c r="E15" s="28" t="s">
        <v>75</v>
      </c>
      <c r="F15" s="28" t="s">
        <v>75</v>
      </c>
      <c r="G15" s="28" t="s">
        <v>75</v>
      </c>
      <c r="H15" s="28" t="s">
        <v>75</v>
      </c>
      <c r="I15" s="28" t="s">
        <v>75</v>
      </c>
      <c r="J15" s="28" t="s">
        <v>75</v>
      </c>
      <c r="K15" s="28" t="s">
        <v>75</v>
      </c>
      <c r="L15" s="28" t="s">
        <v>75</v>
      </c>
      <c r="M15" s="28" t="s">
        <v>75</v>
      </c>
      <c r="N15" s="28">
        <v>14.67089142</v>
      </c>
    </row>
    <row r="16" spans="1:14" ht="24.95" customHeight="1">
      <c r="A16" s="30"/>
      <c r="B16" s="192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 spans="1:14" ht="27.75">
      <c r="A17" s="188" t="s">
        <v>79</v>
      </c>
      <c r="B17" s="193" t="s">
        <v>80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26.25">
      <c r="A18" s="30" t="s">
        <v>63</v>
      </c>
      <c r="B18" s="192" t="s">
        <v>28</v>
      </c>
      <c r="C18" s="34">
        <v>207320</v>
      </c>
      <c r="D18" s="34">
        <v>197724</v>
      </c>
      <c r="E18" s="34">
        <v>215341</v>
      </c>
      <c r="F18" s="34">
        <v>209172</v>
      </c>
      <c r="G18" s="34">
        <v>215540</v>
      </c>
      <c r="H18" s="34">
        <v>251451</v>
      </c>
      <c r="I18" s="34">
        <v>227272</v>
      </c>
      <c r="J18" s="34">
        <v>250568</v>
      </c>
      <c r="K18" s="34">
        <v>291668</v>
      </c>
      <c r="L18" s="34">
        <v>202101</v>
      </c>
      <c r="M18" s="34">
        <v>208326</v>
      </c>
      <c r="N18" s="34">
        <v>224919</v>
      </c>
    </row>
    <row r="19" spans="1:14" ht="26.25">
      <c r="A19" s="30" t="s">
        <v>73</v>
      </c>
      <c r="B19" s="192" t="s">
        <v>24</v>
      </c>
      <c r="C19" s="194">
        <v>4956</v>
      </c>
      <c r="D19" s="194">
        <v>4039</v>
      </c>
      <c r="E19" s="194">
        <v>4541.5557127321199</v>
      </c>
      <c r="F19" s="194">
        <v>4036.2703797624399</v>
      </c>
      <c r="G19" s="194">
        <v>3873.9878191257799</v>
      </c>
      <c r="H19" s="194">
        <v>4422.8322403313005</v>
      </c>
      <c r="I19" s="194">
        <v>3417.83822339471</v>
      </c>
      <c r="J19" s="194">
        <v>3430.1526362029504</v>
      </c>
      <c r="K19" s="194">
        <v>4197.9354879330604</v>
      </c>
      <c r="L19" s="194">
        <v>4199.7555448510193</v>
      </c>
      <c r="M19" s="194">
        <v>3782.6661031206795</v>
      </c>
      <c r="N19" s="194">
        <v>5156.3479393787002</v>
      </c>
    </row>
    <row r="20" spans="1:14" ht="26.25">
      <c r="A20" s="195"/>
      <c r="B20" s="196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</row>
    <row r="21" spans="1:14" ht="46.5">
      <c r="A21" s="197" t="s">
        <v>37</v>
      </c>
      <c r="B21" s="198" t="s">
        <v>81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</row>
    <row r="22" spans="1:14" ht="26.25">
      <c r="A22" s="199" t="s">
        <v>39</v>
      </c>
      <c r="B22" s="200" t="s">
        <v>28</v>
      </c>
      <c r="C22" s="194">
        <v>1318</v>
      </c>
      <c r="D22" s="194">
        <v>1316</v>
      </c>
      <c r="E22" s="194">
        <v>1483</v>
      </c>
      <c r="F22" s="194">
        <v>1230</v>
      </c>
      <c r="G22" s="194">
        <v>1489</v>
      </c>
      <c r="H22" s="194">
        <v>1618</v>
      </c>
      <c r="I22" s="194">
        <v>1218</v>
      </c>
      <c r="J22" s="194">
        <v>1514</v>
      </c>
      <c r="K22" s="194">
        <v>1370</v>
      </c>
      <c r="L22" s="194">
        <v>1314</v>
      </c>
      <c r="M22" s="194">
        <v>1103</v>
      </c>
      <c r="N22" s="194">
        <v>1625</v>
      </c>
    </row>
    <row r="23" spans="1:14" ht="26.25">
      <c r="A23" s="201" t="s">
        <v>40</v>
      </c>
      <c r="B23" s="202" t="s">
        <v>41</v>
      </c>
      <c r="C23" s="203">
        <v>3883</v>
      </c>
      <c r="D23" s="203">
        <v>3378</v>
      </c>
      <c r="E23" s="203">
        <v>4063.5729999999999</v>
      </c>
      <c r="F23" s="203">
        <v>2522.9650000000001</v>
      </c>
      <c r="G23" s="203">
        <v>3266.81</v>
      </c>
      <c r="H23" s="203">
        <v>3979.96</v>
      </c>
      <c r="I23" s="203">
        <v>2540.59</v>
      </c>
      <c r="J23" s="203">
        <v>3082.12</v>
      </c>
      <c r="K23" s="203">
        <v>3355.4349999999999</v>
      </c>
      <c r="L23" s="203">
        <v>3173.8620000000001</v>
      </c>
      <c r="M23" s="203">
        <v>2677.3609999999999</v>
      </c>
      <c r="N23" s="203">
        <v>4058.3670000000002</v>
      </c>
    </row>
    <row r="24" spans="1:14" ht="27.75">
      <c r="A24" s="204" t="s">
        <v>42</v>
      </c>
      <c r="B24" s="205" t="s">
        <v>82</v>
      </c>
      <c r="C24" s="206"/>
      <c r="D24" s="206"/>
      <c r="E24" s="206"/>
      <c r="F24" s="206"/>
      <c r="G24" s="206"/>
      <c r="H24" s="206"/>
      <c r="I24" s="206"/>
    </row>
    <row r="25" spans="1:14" ht="45">
      <c r="A25" s="207" t="s">
        <v>44</v>
      </c>
      <c r="B25" s="208" t="s">
        <v>83</v>
      </c>
      <c r="C25" s="209"/>
      <c r="D25" s="209"/>
      <c r="E25" s="209"/>
      <c r="F25" s="209"/>
      <c r="G25" s="209"/>
      <c r="H25" s="209"/>
      <c r="I25" s="209"/>
    </row>
    <row r="26" spans="1:14" ht="60">
      <c r="A26" s="207" t="s">
        <v>46</v>
      </c>
      <c r="B26" s="210" t="s">
        <v>84</v>
      </c>
      <c r="C26" s="211"/>
      <c r="D26" s="211"/>
      <c r="E26" s="211"/>
      <c r="F26" s="211"/>
      <c r="G26" s="211"/>
      <c r="H26" s="211"/>
      <c r="I26" s="211"/>
    </row>
    <row r="27" spans="1:14" ht="27.75">
      <c r="A27" s="212" t="s">
        <v>48</v>
      </c>
      <c r="B27" s="213" t="s">
        <v>85</v>
      </c>
      <c r="C27" s="211"/>
      <c r="D27" s="211"/>
      <c r="E27" s="211"/>
      <c r="F27" s="211"/>
      <c r="G27" s="211"/>
      <c r="H27" s="211"/>
      <c r="I27" s="211"/>
    </row>
    <row r="28" spans="1:14" ht="23.25">
      <c r="A28" s="49"/>
      <c r="B28" s="214"/>
      <c r="C28" s="50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5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2431-1F03-4455-87FD-44C571F7EBDF}">
  <sheetPr>
    <pageSetUpPr fitToPage="1"/>
  </sheetPr>
  <dimension ref="A1:N28"/>
  <sheetViews>
    <sheetView view="pageBreakPreview" zoomScaleNormal="100" zoomScaleSheetLayoutView="100" workbookViewId="0">
      <pane xSplit="2" topLeftCell="H1" activePane="topRight" state="frozen"/>
      <selection pane="topRight"/>
    </sheetView>
  </sheetViews>
  <sheetFormatPr defaultColWidth="8" defaultRowHeight="21"/>
  <cols>
    <col min="1" max="2" width="73.28515625" style="1" customWidth="1"/>
    <col min="3" max="3" width="6.42578125" style="51" customWidth="1"/>
    <col min="4" max="8" width="6.42578125" style="3" customWidth="1"/>
    <col min="9" max="13" width="6.42578125" style="4" customWidth="1"/>
    <col min="14" max="16384" width="8" style="4"/>
  </cols>
  <sheetData>
    <row r="1" spans="1:14" ht="24.95" customHeight="1" thickBot="1">
      <c r="C1" s="2"/>
      <c r="D1" s="2"/>
    </row>
    <row r="2" spans="1:14" s="6" customFormat="1" ht="18.95" customHeight="1">
      <c r="A2" s="5" t="s">
        <v>0</v>
      </c>
      <c r="B2" s="5" t="s">
        <v>1</v>
      </c>
      <c r="C2" s="274">
        <v>2021</v>
      </c>
      <c r="D2" s="275"/>
      <c r="E2" s="275"/>
      <c r="F2" s="275"/>
      <c r="G2" s="275"/>
      <c r="H2" s="276"/>
      <c r="I2" s="277">
        <v>2022</v>
      </c>
      <c r="J2" s="275"/>
      <c r="K2" s="275"/>
      <c r="L2" s="275"/>
      <c r="M2" s="275"/>
      <c r="N2" s="276"/>
    </row>
    <row r="3" spans="1:14" s="6" customFormat="1" ht="18.75">
      <c r="A3" s="7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9" t="s">
        <v>9</v>
      </c>
      <c r="I3" s="215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69</v>
      </c>
    </row>
    <row r="4" spans="1:14" ht="17.25">
      <c r="A4" s="10" t="s">
        <v>15</v>
      </c>
      <c r="B4" s="11" t="s">
        <v>16</v>
      </c>
      <c r="C4" s="12"/>
      <c r="D4" s="12"/>
      <c r="E4" s="12"/>
      <c r="F4" s="12"/>
      <c r="G4" s="12"/>
      <c r="H4" s="13"/>
      <c r="I4" s="216"/>
      <c r="J4" s="217"/>
      <c r="K4" s="217"/>
      <c r="L4" s="217"/>
      <c r="M4" s="217"/>
      <c r="N4" s="218"/>
    </row>
    <row r="5" spans="1:14" ht="13.5" customHeight="1">
      <c r="A5" s="14"/>
      <c r="B5" s="15"/>
      <c r="C5" s="16"/>
      <c r="D5" s="16"/>
      <c r="E5" s="16"/>
      <c r="F5" s="16"/>
      <c r="G5" s="16"/>
      <c r="H5" s="17"/>
      <c r="I5" s="219"/>
      <c r="J5" s="220"/>
      <c r="K5" s="220"/>
      <c r="L5" s="220"/>
      <c r="M5" s="220"/>
      <c r="N5" s="221"/>
    </row>
    <row r="6" spans="1:14" ht="20.100000000000001" customHeight="1">
      <c r="A6" s="18" t="s">
        <v>17</v>
      </c>
      <c r="B6" s="19" t="s">
        <v>18</v>
      </c>
      <c r="C6" s="16"/>
      <c r="D6" s="16"/>
      <c r="E6" s="16"/>
      <c r="F6" s="16"/>
      <c r="G6" s="16"/>
      <c r="H6" s="17"/>
      <c r="I6" s="219"/>
      <c r="J6" s="220"/>
      <c r="K6" s="220"/>
      <c r="L6" s="220"/>
      <c r="M6" s="220"/>
      <c r="N6" s="221"/>
    </row>
    <row r="7" spans="1:14" ht="18" customHeight="1">
      <c r="A7" s="20" t="s">
        <v>19</v>
      </c>
      <c r="B7" s="21" t="s">
        <v>20</v>
      </c>
      <c r="C7" s="16"/>
      <c r="D7" s="16"/>
      <c r="E7" s="16"/>
      <c r="F7" s="16"/>
      <c r="G7" s="16"/>
      <c r="H7" s="17"/>
      <c r="I7" s="219"/>
      <c r="J7" s="220"/>
      <c r="K7" s="220"/>
      <c r="L7" s="220"/>
      <c r="M7" s="220"/>
      <c r="N7" s="221"/>
    </row>
    <row r="8" spans="1:14" s="27" customFormat="1" ht="18" customHeight="1">
      <c r="A8" s="22" t="s">
        <v>21</v>
      </c>
      <c r="B8" s="23" t="s">
        <v>22</v>
      </c>
      <c r="C8" s="24">
        <v>767.31299999999999</v>
      </c>
      <c r="D8" s="25">
        <v>990.11900000000003</v>
      </c>
      <c r="E8" s="25">
        <v>926.846</v>
      </c>
      <c r="F8" s="25">
        <v>883.80799999999999</v>
      </c>
      <c r="G8" s="25">
        <v>950.79</v>
      </c>
      <c r="H8" s="26">
        <v>969.03599999999994</v>
      </c>
      <c r="I8" s="222">
        <v>911</v>
      </c>
      <c r="J8" s="25">
        <v>871.38499999999999</v>
      </c>
      <c r="K8" s="25">
        <v>1046.057</v>
      </c>
      <c r="L8" s="25">
        <v>797.202</v>
      </c>
      <c r="M8" s="25">
        <v>973.10199999999998</v>
      </c>
      <c r="N8" s="26">
        <v>891.11800000000005</v>
      </c>
    </row>
    <row r="9" spans="1:14" s="27" customFormat="1" ht="18" customHeight="1">
      <c r="A9" s="22" t="s">
        <v>23</v>
      </c>
      <c r="B9" s="23" t="s">
        <v>24</v>
      </c>
      <c r="C9" s="24">
        <v>148.76577003209999</v>
      </c>
      <c r="D9" s="25">
        <v>171.10974157805001</v>
      </c>
      <c r="E9" s="25">
        <v>162.62593942702</v>
      </c>
      <c r="F9" s="25">
        <v>158.50154310842001</v>
      </c>
      <c r="G9" s="25">
        <v>171.85502631572001</v>
      </c>
      <c r="H9" s="26">
        <v>181.44285032137</v>
      </c>
      <c r="I9" s="222">
        <v>179</v>
      </c>
      <c r="J9" s="25">
        <v>160.83409070330001</v>
      </c>
      <c r="K9" s="25">
        <v>208.28607913361</v>
      </c>
      <c r="L9" s="25">
        <v>165.74958534096999</v>
      </c>
      <c r="M9" s="25">
        <v>198.03356025644999</v>
      </c>
      <c r="N9" s="26">
        <v>186.59790798063</v>
      </c>
    </row>
    <row r="10" spans="1:14" ht="24.95" customHeight="1">
      <c r="A10" s="20" t="s">
        <v>25</v>
      </c>
      <c r="B10" s="21" t="s">
        <v>26</v>
      </c>
      <c r="C10" s="28"/>
      <c r="D10" s="28"/>
      <c r="E10" s="28"/>
      <c r="F10" s="28"/>
      <c r="G10" s="28"/>
      <c r="H10" s="29"/>
      <c r="I10" s="223"/>
      <c r="J10" s="224"/>
      <c r="K10" s="224"/>
      <c r="L10" s="224"/>
      <c r="M10" s="224"/>
      <c r="N10" s="225"/>
    </row>
    <row r="11" spans="1:14" s="27" customFormat="1" ht="18" customHeight="1">
      <c r="A11" s="22" t="s">
        <v>27</v>
      </c>
      <c r="B11" s="23" t="s">
        <v>28</v>
      </c>
      <c r="C11" s="24">
        <v>7297</v>
      </c>
      <c r="D11" s="25">
        <v>9920</v>
      </c>
      <c r="E11" s="25">
        <v>9214</v>
      </c>
      <c r="F11" s="25">
        <v>8052</v>
      </c>
      <c r="G11" s="25">
        <v>10078</v>
      </c>
      <c r="H11" s="26">
        <v>9695</v>
      </c>
      <c r="I11" s="222">
        <v>9360</v>
      </c>
      <c r="J11" s="25">
        <v>9017</v>
      </c>
      <c r="K11" s="25">
        <v>10534</v>
      </c>
      <c r="L11" s="25">
        <v>8531</v>
      </c>
      <c r="M11" s="25">
        <v>10763</v>
      </c>
      <c r="N11" s="26">
        <v>10770</v>
      </c>
    </row>
    <row r="12" spans="1:14" s="27" customFormat="1" ht="18" customHeight="1">
      <c r="A12" s="22" t="s">
        <v>29</v>
      </c>
      <c r="B12" s="23" t="s">
        <v>30</v>
      </c>
      <c r="C12" s="24">
        <v>328.85433169999999</v>
      </c>
      <c r="D12" s="25">
        <v>267.37879239</v>
      </c>
      <c r="E12" s="25">
        <v>328.38243225999997</v>
      </c>
      <c r="F12" s="25">
        <v>309.17459724999998</v>
      </c>
      <c r="G12" s="25">
        <v>327.64731616</v>
      </c>
      <c r="H12" s="26">
        <v>336.32025483000001</v>
      </c>
      <c r="I12" s="222">
        <v>305</v>
      </c>
      <c r="J12" s="25">
        <v>311.02761170000002</v>
      </c>
      <c r="K12" s="25">
        <v>375.20313671000002</v>
      </c>
      <c r="L12" s="25">
        <v>761.33098479</v>
      </c>
      <c r="M12" s="25">
        <v>592.76425433999998</v>
      </c>
      <c r="N12" s="26">
        <v>461.43907554999998</v>
      </c>
    </row>
    <row r="13" spans="1:14" ht="15">
      <c r="A13" s="20" t="s">
        <v>31</v>
      </c>
      <c r="B13" s="21" t="s">
        <v>32</v>
      </c>
      <c r="C13" s="28"/>
      <c r="D13" s="28"/>
      <c r="E13" s="28"/>
      <c r="F13" s="28"/>
      <c r="G13" s="28"/>
      <c r="H13" s="29"/>
      <c r="I13" s="223"/>
      <c r="J13" s="224"/>
      <c r="K13" s="224"/>
      <c r="L13" s="224"/>
      <c r="M13" s="224"/>
      <c r="N13" s="225"/>
    </row>
    <row r="14" spans="1:14" s="27" customFormat="1" ht="18" customHeight="1">
      <c r="A14" s="22" t="s">
        <v>27</v>
      </c>
      <c r="B14" s="23" t="s">
        <v>28</v>
      </c>
      <c r="C14" s="24">
        <v>960</v>
      </c>
      <c r="D14" s="25">
        <v>1328</v>
      </c>
      <c r="E14" s="25">
        <v>1258</v>
      </c>
      <c r="F14" s="25">
        <v>1200</v>
      </c>
      <c r="G14" s="25">
        <v>1712</v>
      </c>
      <c r="H14" s="26">
        <v>1705</v>
      </c>
      <c r="I14" s="222">
        <v>1655</v>
      </c>
      <c r="J14" s="25">
        <v>1704</v>
      </c>
      <c r="K14" s="25">
        <v>2035</v>
      </c>
      <c r="L14" s="25">
        <v>1472</v>
      </c>
      <c r="M14" s="25">
        <v>1932</v>
      </c>
      <c r="N14" s="26">
        <v>1955</v>
      </c>
    </row>
    <row r="15" spans="1:14" s="27" customFormat="1" ht="18" customHeight="1">
      <c r="A15" s="22" t="s">
        <v>33</v>
      </c>
      <c r="B15" s="23" t="s">
        <v>34</v>
      </c>
      <c r="C15" s="24">
        <v>13.32504181</v>
      </c>
      <c r="D15" s="25">
        <v>18.858179759999999</v>
      </c>
      <c r="E15" s="25">
        <v>24.33238214</v>
      </c>
      <c r="F15" s="25">
        <v>14.86007476</v>
      </c>
      <c r="G15" s="25">
        <v>18.69004588</v>
      </c>
      <c r="H15" s="26">
        <v>24.50112803</v>
      </c>
      <c r="I15" s="222">
        <v>24</v>
      </c>
      <c r="J15" s="25">
        <v>39.607570330000001</v>
      </c>
      <c r="K15" s="25">
        <v>29.855152539999999</v>
      </c>
      <c r="L15" s="25">
        <v>32.177157979999997</v>
      </c>
      <c r="M15" s="25">
        <v>29.725575259999999</v>
      </c>
      <c r="N15" s="26">
        <v>36.727285639999998</v>
      </c>
    </row>
    <row r="16" spans="1:14" ht="15.75" customHeight="1">
      <c r="A16" s="30"/>
      <c r="B16" s="31"/>
      <c r="C16" s="28"/>
      <c r="D16" s="28"/>
      <c r="E16" s="28"/>
      <c r="F16" s="28"/>
      <c r="G16" s="28"/>
      <c r="H16" s="29"/>
      <c r="I16" s="223"/>
      <c r="J16" s="224"/>
      <c r="K16" s="224"/>
      <c r="L16" s="224"/>
      <c r="M16" s="224"/>
      <c r="N16" s="225"/>
    </row>
    <row r="17" spans="1:14" ht="20.100000000000001" customHeight="1">
      <c r="A17" s="18" t="s">
        <v>35</v>
      </c>
      <c r="B17" s="19" t="s">
        <v>36</v>
      </c>
      <c r="C17" s="16"/>
      <c r="D17" s="16"/>
      <c r="E17" s="16"/>
      <c r="F17" s="16"/>
      <c r="G17" s="16"/>
      <c r="H17" s="17"/>
      <c r="I17" s="219"/>
      <c r="J17" s="220"/>
      <c r="K17" s="220"/>
      <c r="L17" s="220"/>
      <c r="M17" s="220"/>
      <c r="N17" s="221"/>
    </row>
    <row r="18" spans="1:14" s="27" customFormat="1" ht="18" customHeight="1">
      <c r="A18" s="22" t="s">
        <v>27</v>
      </c>
      <c r="B18" s="23" t="s">
        <v>28</v>
      </c>
      <c r="C18" s="24">
        <v>173767</v>
      </c>
      <c r="D18" s="25">
        <v>209811</v>
      </c>
      <c r="E18" s="25">
        <v>211419</v>
      </c>
      <c r="F18" s="25">
        <v>203643</v>
      </c>
      <c r="G18" s="25">
        <v>221409</v>
      </c>
      <c r="H18" s="26">
        <v>233057</v>
      </c>
      <c r="I18" s="222">
        <v>226170</v>
      </c>
      <c r="J18" s="25">
        <v>213323</v>
      </c>
      <c r="K18" s="25">
        <v>268459</v>
      </c>
      <c r="L18" s="25">
        <v>213824</v>
      </c>
      <c r="M18" s="25">
        <v>202796</v>
      </c>
      <c r="N18" s="26">
        <v>223727</v>
      </c>
    </row>
    <row r="19" spans="1:14" s="27" customFormat="1" ht="18" customHeight="1">
      <c r="A19" s="22" t="s">
        <v>33</v>
      </c>
      <c r="B19" s="23" t="s">
        <v>24</v>
      </c>
      <c r="C19" s="24">
        <v>4481.6007814564</v>
      </c>
      <c r="D19" s="25">
        <v>5960.7053608836095</v>
      </c>
      <c r="E19" s="25">
        <v>4967.2712155343297</v>
      </c>
      <c r="F19" s="25">
        <v>4946.1795361290397</v>
      </c>
      <c r="G19" s="25">
        <v>4821.7679993621205</v>
      </c>
      <c r="H19" s="26">
        <v>6296.2821429857595</v>
      </c>
      <c r="I19" s="222">
        <v>6465</v>
      </c>
      <c r="J19" s="25">
        <v>5921.7851072787198</v>
      </c>
      <c r="K19" s="25">
        <v>9783.9444885219418</v>
      </c>
      <c r="L19" s="25">
        <v>8914.9459702677705</v>
      </c>
      <c r="M19" s="25">
        <v>6428.8211557777795</v>
      </c>
      <c r="N19" s="26">
        <v>8008.6360347006603</v>
      </c>
    </row>
    <row r="20" spans="1:14" s="27" customFormat="1" ht="18" customHeight="1">
      <c r="A20" s="22"/>
      <c r="B20" s="23"/>
      <c r="C20" s="24"/>
      <c r="D20" s="25"/>
      <c r="E20" s="25"/>
      <c r="F20" s="25"/>
      <c r="G20" s="25"/>
      <c r="H20" s="26"/>
      <c r="I20" s="222"/>
      <c r="J20" s="25"/>
      <c r="K20" s="25"/>
      <c r="L20" s="25"/>
      <c r="M20" s="25"/>
      <c r="N20" s="26"/>
    </row>
    <row r="21" spans="1:14" ht="34.5">
      <c r="A21" s="32" t="s">
        <v>37</v>
      </c>
      <c r="B21" s="33" t="s">
        <v>38</v>
      </c>
      <c r="C21" s="34"/>
      <c r="D21" s="34"/>
      <c r="E21" s="34"/>
      <c r="F21" s="34"/>
      <c r="G21" s="34"/>
      <c r="H21" s="35"/>
      <c r="I21" s="226"/>
      <c r="J21" s="34"/>
      <c r="K21" s="34"/>
      <c r="L21" s="34"/>
      <c r="M21" s="34"/>
      <c r="N21" s="35"/>
    </row>
    <row r="22" spans="1:14" s="27" customFormat="1" ht="18" customHeight="1">
      <c r="A22" s="22" t="s">
        <v>39</v>
      </c>
      <c r="B22" s="23" t="s">
        <v>28</v>
      </c>
      <c r="C22" s="24">
        <v>1161</v>
      </c>
      <c r="D22" s="25">
        <v>1475</v>
      </c>
      <c r="E22" s="25">
        <v>1434</v>
      </c>
      <c r="F22" s="25">
        <v>1278</v>
      </c>
      <c r="G22" s="25">
        <v>1551</v>
      </c>
      <c r="H22" s="26">
        <v>1524</v>
      </c>
      <c r="I22" s="222">
        <v>1351</v>
      </c>
      <c r="J22" s="25">
        <v>1350</v>
      </c>
      <c r="K22" s="25">
        <v>1899</v>
      </c>
      <c r="L22" s="25">
        <v>1118</v>
      </c>
      <c r="M22" s="25">
        <v>1047</v>
      </c>
      <c r="N22" s="26">
        <v>1009</v>
      </c>
    </row>
    <row r="23" spans="1:14" s="27" customFormat="1" ht="18" customHeight="1">
      <c r="A23" s="22" t="s">
        <v>40</v>
      </c>
      <c r="B23" s="23" t="s">
        <v>41</v>
      </c>
      <c r="C23" s="36">
        <v>3475.53</v>
      </c>
      <c r="D23" s="37">
        <v>3409.9470000000001</v>
      </c>
      <c r="E23" s="37">
        <v>3450.03</v>
      </c>
      <c r="F23" s="37">
        <v>6033.415</v>
      </c>
      <c r="G23" s="37">
        <v>6924.5110000000004</v>
      </c>
      <c r="H23" s="38">
        <v>5609.0069999999996</v>
      </c>
      <c r="I23" s="227">
        <v>4388</v>
      </c>
      <c r="J23" s="36">
        <v>2830.27</v>
      </c>
      <c r="K23" s="37">
        <v>16345.52</v>
      </c>
      <c r="L23" s="37">
        <v>4365.4840000000004</v>
      </c>
      <c r="M23" s="37">
        <v>3739.509</v>
      </c>
      <c r="N23" s="38">
        <v>2033.5550000000001</v>
      </c>
    </row>
    <row r="24" spans="1:14" s="42" customFormat="1" ht="14.25">
      <c r="A24" s="39" t="s">
        <v>42</v>
      </c>
      <c r="B24" s="40" t="s">
        <v>43</v>
      </c>
      <c r="C24" s="41"/>
      <c r="D24" s="41"/>
      <c r="E24" s="41"/>
      <c r="F24" s="41"/>
      <c r="G24" s="41"/>
      <c r="H24" s="41"/>
      <c r="I24" s="41"/>
    </row>
    <row r="25" spans="1:14" s="42" customFormat="1" ht="25.5">
      <c r="A25" s="43" t="s">
        <v>44</v>
      </c>
      <c r="B25" s="44" t="s">
        <v>45</v>
      </c>
      <c r="C25" s="45"/>
      <c r="D25" s="45"/>
      <c r="E25" s="45"/>
      <c r="F25" s="45"/>
      <c r="G25" s="45"/>
      <c r="H25" s="45"/>
      <c r="I25" s="45"/>
    </row>
    <row r="26" spans="1:14" s="42" customFormat="1" ht="38.25">
      <c r="A26" s="43" t="s">
        <v>46</v>
      </c>
      <c r="B26" s="44" t="s">
        <v>47</v>
      </c>
      <c r="C26" s="46"/>
      <c r="D26" s="46"/>
      <c r="E26" s="46"/>
      <c r="F26" s="46"/>
      <c r="G26" s="46"/>
      <c r="H26" s="46"/>
      <c r="I26" s="46"/>
    </row>
    <row r="27" spans="1:14" s="42" customFormat="1" ht="14.25">
      <c r="A27" s="47" t="s">
        <v>48</v>
      </c>
      <c r="B27" s="48" t="s">
        <v>49</v>
      </c>
      <c r="C27" s="46"/>
      <c r="D27" s="46"/>
      <c r="E27" s="46"/>
      <c r="F27" s="46"/>
      <c r="G27" s="46"/>
      <c r="H27" s="46"/>
      <c r="I27" s="46"/>
    </row>
    <row r="28" spans="1:14">
      <c r="A28" s="49"/>
      <c r="B28" s="49"/>
      <c r="C28" s="50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19CE-88F0-4EA9-BE85-DD071554E478}">
  <sheetPr>
    <pageSetUpPr fitToPage="1"/>
  </sheetPr>
  <dimension ref="A1:N28"/>
  <sheetViews>
    <sheetView tabSelected="1" view="pageBreakPreview" zoomScaleNormal="100" zoomScaleSheetLayoutView="100" workbookViewId="0">
      <pane xSplit="2" topLeftCell="I1" activePane="topRight" state="frozen"/>
      <selection pane="topRight"/>
    </sheetView>
  </sheetViews>
  <sheetFormatPr defaultColWidth="8" defaultRowHeight="21"/>
  <cols>
    <col min="1" max="1" width="65.5703125" style="1" customWidth="1"/>
    <col min="2" max="2" width="102.7109375" style="1" customWidth="1"/>
    <col min="3" max="3" width="7.85546875" style="51" bestFit="1" customWidth="1"/>
    <col min="4" max="8" width="7.85546875" style="3" bestFit="1" customWidth="1"/>
    <col min="9" max="14" width="7.85546875" style="4" bestFit="1" customWidth="1"/>
    <col min="15" max="16384" width="8" style="4"/>
  </cols>
  <sheetData>
    <row r="1" spans="1:14" ht="24.95" customHeight="1" thickBot="1">
      <c r="C1" s="2"/>
      <c r="D1" s="2"/>
    </row>
    <row r="2" spans="1:14" s="6" customFormat="1" ht="18.95" customHeight="1">
      <c r="A2" s="234" t="s">
        <v>0</v>
      </c>
      <c r="B2" s="235" t="s">
        <v>1</v>
      </c>
      <c r="C2" s="277">
        <v>2022</v>
      </c>
      <c r="D2" s="275"/>
      <c r="E2" s="275"/>
      <c r="F2" s="275"/>
      <c r="G2" s="275"/>
      <c r="H2" s="276"/>
      <c r="I2" s="277">
        <v>2023</v>
      </c>
      <c r="J2" s="275"/>
      <c r="K2" s="275"/>
      <c r="L2" s="275"/>
      <c r="M2" s="275"/>
      <c r="N2" s="276"/>
    </row>
    <row r="3" spans="1:14" s="6" customFormat="1" ht="18.75">
      <c r="A3" s="236" t="s">
        <v>2</v>
      </c>
      <c r="B3" s="237" t="s">
        <v>3</v>
      </c>
      <c r="C3" s="215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9" t="s">
        <v>9</v>
      </c>
      <c r="I3" s="215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69</v>
      </c>
    </row>
    <row r="4" spans="1:14" ht="17.25">
      <c r="A4" s="238" t="s">
        <v>15</v>
      </c>
      <c r="B4" s="239" t="s">
        <v>16</v>
      </c>
      <c r="C4" s="228"/>
      <c r="D4" s="12"/>
      <c r="E4" s="12"/>
      <c r="F4" s="12"/>
      <c r="G4" s="12"/>
      <c r="H4" s="13"/>
      <c r="I4" s="216"/>
      <c r="J4" s="217"/>
      <c r="K4" s="217"/>
      <c r="L4" s="217"/>
      <c r="M4" s="217"/>
      <c r="N4" s="218"/>
    </row>
    <row r="5" spans="1:14" ht="13.5" customHeight="1">
      <c r="A5" s="240"/>
      <c r="B5" s="241"/>
      <c r="C5" s="229"/>
      <c r="D5" s="16"/>
      <c r="E5" s="16"/>
      <c r="F5" s="16"/>
      <c r="G5" s="16"/>
      <c r="H5" s="17"/>
      <c r="I5" s="219"/>
      <c r="J5" s="220"/>
      <c r="K5" s="220"/>
      <c r="L5" s="220"/>
      <c r="M5" s="220"/>
      <c r="N5" s="221"/>
    </row>
    <row r="6" spans="1:14" ht="20.100000000000001" customHeight="1">
      <c r="A6" s="242" t="s">
        <v>17</v>
      </c>
      <c r="B6" s="243" t="s">
        <v>18</v>
      </c>
      <c r="C6" s="229"/>
      <c r="D6" s="16"/>
      <c r="E6" s="16"/>
      <c r="F6" s="16"/>
      <c r="G6" s="16"/>
      <c r="H6" s="17"/>
      <c r="I6" s="219"/>
      <c r="J6" s="220"/>
      <c r="K6" s="220"/>
      <c r="L6" s="220"/>
      <c r="M6" s="220"/>
      <c r="N6" s="221"/>
    </row>
    <row r="7" spans="1:14" ht="18" customHeight="1">
      <c r="A7" s="244" t="s">
        <v>19</v>
      </c>
      <c r="B7" s="245" t="s">
        <v>20</v>
      </c>
      <c r="C7" s="229"/>
      <c r="D7" s="16"/>
      <c r="E7" s="16"/>
      <c r="F7" s="16"/>
      <c r="G7" s="16"/>
      <c r="H7" s="17"/>
      <c r="I7" s="219"/>
      <c r="J7" s="220"/>
      <c r="K7" s="220"/>
      <c r="L7" s="220"/>
      <c r="M7" s="220"/>
      <c r="N7" s="221"/>
    </row>
    <row r="8" spans="1:14" s="27" customFormat="1" ht="18" customHeight="1">
      <c r="A8" s="246" t="s">
        <v>21</v>
      </c>
      <c r="B8" s="247" t="s">
        <v>22</v>
      </c>
      <c r="C8" s="222">
        <v>859.48299999999995</v>
      </c>
      <c r="D8" s="25">
        <v>976.654</v>
      </c>
      <c r="E8" s="25">
        <v>846.80700000000002</v>
      </c>
      <c r="F8" s="25">
        <v>927.56299999999999</v>
      </c>
      <c r="G8" s="25">
        <v>893.69799999999998</v>
      </c>
      <c r="H8" s="26">
        <v>865.19500000000005</v>
      </c>
      <c r="I8" s="222">
        <v>898.13300000000004</v>
      </c>
      <c r="J8" s="25">
        <v>791.10199999999998</v>
      </c>
      <c r="K8" s="25">
        <v>880.26400000000001</v>
      </c>
      <c r="L8" s="25">
        <v>712.60400000000004</v>
      </c>
      <c r="M8" s="25">
        <v>943.89200000000005</v>
      </c>
      <c r="N8" s="26">
        <v>735.76099999999997</v>
      </c>
    </row>
    <row r="9" spans="1:14" s="27" customFormat="1" ht="18" customHeight="1">
      <c r="A9" s="246" t="s">
        <v>23</v>
      </c>
      <c r="B9" s="247" t="s">
        <v>24</v>
      </c>
      <c r="C9" s="222">
        <v>175.65592121014001</v>
      </c>
      <c r="D9" s="25">
        <v>204.83539956561</v>
      </c>
      <c r="E9" s="25">
        <v>198.94113354360999</v>
      </c>
      <c r="F9" s="25">
        <v>207.78009115968999</v>
      </c>
      <c r="G9" s="25">
        <v>198.02801449745999</v>
      </c>
      <c r="H9" s="26">
        <v>211.97289489682001</v>
      </c>
      <c r="I9" s="222">
        <v>215.36051653416999</v>
      </c>
      <c r="J9" s="25">
        <v>190.8632242818</v>
      </c>
      <c r="K9" s="25">
        <v>233.57426221767</v>
      </c>
      <c r="L9" s="25">
        <v>195.51705917423999</v>
      </c>
      <c r="M9" s="25">
        <v>261.83788655979998</v>
      </c>
      <c r="N9" s="26">
        <v>199.55727169741002</v>
      </c>
    </row>
    <row r="10" spans="1:14" ht="24.95" customHeight="1">
      <c r="A10" s="244" t="s">
        <v>25</v>
      </c>
      <c r="B10" s="245" t="s">
        <v>26</v>
      </c>
      <c r="C10" s="230"/>
      <c r="D10" s="28"/>
      <c r="E10" s="28"/>
      <c r="F10" s="28"/>
      <c r="G10" s="28"/>
      <c r="H10" s="29"/>
      <c r="I10" s="223"/>
      <c r="J10" s="224"/>
      <c r="K10" s="224"/>
      <c r="L10" s="224"/>
      <c r="M10" s="224"/>
      <c r="N10" s="225"/>
    </row>
    <row r="11" spans="1:14" s="27" customFormat="1" ht="18" customHeight="1">
      <c r="A11" s="246" t="s">
        <v>27</v>
      </c>
      <c r="B11" s="247" t="s">
        <v>28</v>
      </c>
      <c r="C11" s="222">
        <v>8659</v>
      </c>
      <c r="D11" s="25">
        <v>11038</v>
      </c>
      <c r="E11" s="25">
        <v>9326</v>
      </c>
      <c r="F11" s="25">
        <v>10021</v>
      </c>
      <c r="G11" s="25">
        <v>10247</v>
      </c>
      <c r="H11" s="26">
        <v>10357</v>
      </c>
      <c r="I11" s="222">
        <v>10572</v>
      </c>
      <c r="J11" s="25">
        <v>10060</v>
      </c>
      <c r="K11" s="25">
        <v>11327</v>
      </c>
      <c r="L11" s="25">
        <v>7555</v>
      </c>
      <c r="M11" s="25">
        <v>13443</v>
      </c>
      <c r="N11" s="26">
        <v>9471</v>
      </c>
    </row>
    <row r="12" spans="1:14" s="27" customFormat="1" ht="18" customHeight="1">
      <c r="A12" s="246" t="s">
        <v>29</v>
      </c>
      <c r="B12" s="247" t="s">
        <v>30</v>
      </c>
      <c r="C12" s="222">
        <v>296.47613389000003</v>
      </c>
      <c r="D12" s="25">
        <v>532.83957765000002</v>
      </c>
      <c r="E12" s="25">
        <v>387.50811155000002</v>
      </c>
      <c r="F12" s="25">
        <v>384.95073382999999</v>
      </c>
      <c r="G12" s="25">
        <v>455.85699552</v>
      </c>
      <c r="H12" s="26">
        <v>365.07704919000003</v>
      </c>
      <c r="I12" s="222">
        <v>419.44400523000002</v>
      </c>
      <c r="J12" s="25">
        <v>361.59111653000002</v>
      </c>
      <c r="K12" s="25">
        <v>431.78336615000001</v>
      </c>
      <c r="L12" s="25">
        <v>325.45194543000002</v>
      </c>
      <c r="M12" s="25">
        <v>459.59014347999999</v>
      </c>
      <c r="N12" s="26">
        <v>383.79135362</v>
      </c>
    </row>
    <row r="13" spans="1:14" ht="15">
      <c r="A13" s="244" t="s">
        <v>31</v>
      </c>
      <c r="B13" s="245" t="s">
        <v>32</v>
      </c>
      <c r="C13" s="230"/>
      <c r="D13" s="28"/>
      <c r="E13" s="28"/>
      <c r="F13" s="28"/>
      <c r="G13" s="28"/>
      <c r="H13" s="29"/>
      <c r="I13" s="223"/>
      <c r="J13" s="224"/>
      <c r="K13" s="224"/>
      <c r="L13" s="224"/>
      <c r="M13" s="224"/>
      <c r="N13" s="225"/>
    </row>
    <row r="14" spans="1:14" s="27" customFormat="1" ht="18" customHeight="1">
      <c r="A14" s="246" t="s">
        <v>27</v>
      </c>
      <c r="B14" s="247" t="s">
        <v>28</v>
      </c>
      <c r="C14" s="222">
        <v>1431</v>
      </c>
      <c r="D14" s="25">
        <v>2057</v>
      </c>
      <c r="E14" s="25">
        <v>1872</v>
      </c>
      <c r="F14" s="25">
        <v>2022</v>
      </c>
      <c r="G14" s="25">
        <v>2232</v>
      </c>
      <c r="H14" s="26">
        <v>2148</v>
      </c>
      <c r="I14" s="222">
        <v>2204</v>
      </c>
      <c r="J14" s="25">
        <v>2049</v>
      </c>
      <c r="K14" s="25">
        <v>2468</v>
      </c>
      <c r="L14" s="25">
        <v>1652</v>
      </c>
      <c r="M14" s="25">
        <v>2954</v>
      </c>
      <c r="N14" s="26">
        <v>2206</v>
      </c>
    </row>
    <row r="15" spans="1:14" s="27" customFormat="1" ht="18" customHeight="1">
      <c r="A15" s="246" t="s">
        <v>33</v>
      </c>
      <c r="B15" s="247" t="s">
        <v>34</v>
      </c>
      <c r="C15" s="222">
        <v>34.645254999999999</v>
      </c>
      <c r="D15" s="25">
        <v>43.82009807</v>
      </c>
      <c r="E15" s="25">
        <v>37.117512779999998</v>
      </c>
      <c r="F15" s="25">
        <v>39.72779577</v>
      </c>
      <c r="G15" s="25">
        <v>60.041859530000004</v>
      </c>
      <c r="H15" s="26">
        <v>50.570551709999997</v>
      </c>
      <c r="I15" s="222">
        <v>43.787840330000002</v>
      </c>
      <c r="J15" s="25">
        <v>35.218002550000001</v>
      </c>
      <c r="K15" s="25">
        <v>62.194968430000003</v>
      </c>
      <c r="L15" s="25">
        <v>36.068371849999998</v>
      </c>
      <c r="M15" s="25">
        <v>58.581349840000001</v>
      </c>
      <c r="N15" s="26">
        <v>45.962242369999998</v>
      </c>
    </row>
    <row r="16" spans="1:14" ht="15.75" customHeight="1">
      <c r="A16" s="248"/>
      <c r="B16" s="249"/>
      <c r="C16" s="230"/>
      <c r="D16" s="28"/>
      <c r="E16" s="28"/>
      <c r="F16" s="28"/>
      <c r="G16" s="28"/>
      <c r="H16" s="29"/>
      <c r="I16" s="223"/>
      <c r="J16" s="224"/>
      <c r="K16" s="224"/>
      <c r="L16" s="224"/>
      <c r="M16" s="224"/>
      <c r="N16" s="225"/>
    </row>
    <row r="17" spans="1:14" ht="20.100000000000001" customHeight="1">
      <c r="A17" s="242" t="s">
        <v>35</v>
      </c>
      <c r="B17" s="243" t="s">
        <v>36</v>
      </c>
      <c r="C17" s="229"/>
      <c r="D17" s="16"/>
      <c r="E17" s="16"/>
      <c r="F17" s="16"/>
      <c r="G17" s="16"/>
      <c r="H17" s="17"/>
      <c r="I17" s="219"/>
      <c r="J17" s="220"/>
      <c r="K17" s="220"/>
      <c r="L17" s="220"/>
      <c r="M17" s="220"/>
      <c r="N17" s="221"/>
    </row>
    <row r="18" spans="1:14" s="27" customFormat="1" ht="18" customHeight="1">
      <c r="A18" s="246" t="s">
        <v>27</v>
      </c>
      <c r="B18" s="247" t="s">
        <v>28</v>
      </c>
      <c r="C18" s="222">
        <v>190294</v>
      </c>
      <c r="D18" s="25">
        <v>211017</v>
      </c>
      <c r="E18" s="25">
        <v>212399</v>
      </c>
      <c r="F18" s="25">
        <v>227394</v>
      </c>
      <c r="G18" s="25">
        <v>227949</v>
      </c>
      <c r="H18" s="26">
        <v>215905</v>
      </c>
      <c r="I18" s="222">
        <v>219120</v>
      </c>
      <c r="J18" s="25">
        <v>198862</v>
      </c>
      <c r="K18" s="25">
        <v>222277</v>
      </c>
      <c r="L18" s="25">
        <v>177808</v>
      </c>
      <c r="M18" s="25">
        <v>205390</v>
      </c>
      <c r="N18" s="26">
        <v>170094</v>
      </c>
    </row>
    <row r="19" spans="1:14" s="27" customFormat="1" ht="18" customHeight="1">
      <c r="A19" s="246" t="s">
        <v>33</v>
      </c>
      <c r="B19" s="247" t="s">
        <v>24</v>
      </c>
      <c r="C19" s="222">
        <v>6926.3569035046894</v>
      </c>
      <c r="D19" s="25">
        <v>11524.340141499471</v>
      </c>
      <c r="E19" s="25">
        <v>11371.868718314799</v>
      </c>
      <c r="F19" s="25">
        <v>11006.855529533661</v>
      </c>
      <c r="G19" s="25">
        <v>9986.9955822331704</v>
      </c>
      <c r="H19" s="26">
        <v>9520.0098594968513</v>
      </c>
      <c r="I19" s="222">
        <v>9471.0064442377407</v>
      </c>
      <c r="J19" s="25">
        <v>10097.761539538129</v>
      </c>
      <c r="K19" s="25">
        <v>10748.92203726628</v>
      </c>
      <c r="L19" s="25">
        <v>10449.851082569161</v>
      </c>
      <c r="M19" s="25">
        <v>13302.854833004802</v>
      </c>
      <c r="N19" s="26">
        <v>12830.370874376458</v>
      </c>
    </row>
    <row r="20" spans="1:14" s="27" customFormat="1" ht="18" customHeight="1">
      <c r="A20" s="246"/>
      <c r="B20" s="247"/>
      <c r="C20" s="222"/>
      <c r="D20" s="25"/>
      <c r="E20" s="25"/>
      <c r="F20" s="25"/>
      <c r="G20" s="25"/>
      <c r="H20" s="26"/>
      <c r="I20" s="222"/>
      <c r="J20" s="25"/>
      <c r="K20" s="25"/>
      <c r="L20" s="25"/>
      <c r="M20" s="25"/>
      <c r="N20" s="26"/>
    </row>
    <row r="21" spans="1:14" ht="34.5">
      <c r="A21" s="250" t="s">
        <v>37</v>
      </c>
      <c r="B21" s="251" t="s">
        <v>38</v>
      </c>
      <c r="C21" s="226"/>
      <c r="D21" s="34"/>
      <c r="E21" s="34"/>
      <c r="F21" s="34"/>
      <c r="G21" s="34"/>
      <c r="H21" s="35"/>
      <c r="I21" s="226"/>
      <c r="J21" s="34"/>
      <c r="K21" s="34"/>
      <c r="L21" s="34"/>
      <c r="M21" s="34"/>
      <c r="N21" s="35"/>
    </row>
    <row r="22" spans="1:14" s="27" customFormat="1" ht="18" customHeight="1">
      <c r="A22" s="246" t="s">
        <v>39</v>
      </c>
      <c r="B22" s="247" t="s">
        <v>28</v>
      </c>
      <c r="C22" s="222">
        <v>481</v>
      </c>
      <c r="D22" s="25">
        <v>242</v>
      </c>
      <c r="E22" s="25">
        <v>175</v>
      </c>
      <c r="F22" s="25">
        <v>104</v>
      </c>
      <c r="G22" s="25">
        <v>3070</v>
      </c>
      <c r="H22" s="26">
        <v>2496</v>
      </c>
      <c r="I22" s="222">
        <v>4194</v>
      </c>
      <c r="J22" s="25">
        <v>2599</v>
      </c>
      <c r="K22" s="25">
        <v>2279</v>
      </c>
      <c r="L22" s="25">
        <v>1332</v>
      </c>
      <c r="M22" s="25">
        <v>1734</v>
      </c>
      <c r="N22" s="26">
        <v>1421</v>
      </c>
    </row>
    <row r="23" spans="1:14" s="27" customFormat="1" ht="18" customHeight="1" thickBot="1">
      <c r="A23" s="252" t="s">
        <v>40</v>
      </c>
      <c r="B23" s="253" t="s">
        <v>41</v>
      </c>
      <c r="C23" s="231">
        <v>1463.973</v>
      </c>
      <c r="D23" s="232">
        <v>1283.867</v>
      </c>
      <c r="E23" s="232">
        <v>891.95799999999997</v>
      </c>
      <c r="F23" s="232">
        <v>691.63800000000003</v>
      </c>
      <c r="G23" s="232">
        <v>785.947</v>
      </c>
      <c r="H23" s="233">
        <v>808.52499999999998</v>
      </c>
      <c r="I23" s="231">
        <v>4398.643</v>
      </c>
      <c r="J23" s="254">
        <v>1286.79</v>
      </c>
      <c r="K23" s="232">
        <v>1570.85</v>
      </c>
      <c r="L23" s="232">
        <v>584.83600000000001</v>
      </c>
      <c r="M23" s="232">
        <v>732.351</v>
      </c>
      <c r="N23" s="233">
        <v>598.423</v>
      </c>
    </row>
    <row r="24" spans="1:14" s="42" customFormat="1" ht="14.25">
      <c r="A24" s="47" t="s">
        <v>42</v>
      </c>
      <c r="B24" s="48" t="s">
        <v>43</v>
      </c>
      <c r="C24" s="46"/>
      <c r="D24" s="46"/>
      <c r="E24" s="46"/>
      <c r="F24" s="46"/>
      <c r="G24" s="46"/>
      <c r="H24" s="46"/>
      <c r="I24" s="46"/>
    </row>
    <row r="25" spans="1:14" s="42" customFormat="1" ht="25.5">
      <c r="A25" s="43" t="s">
        <v>44</v>
      </c>
      <c r="B25" s="44" t="s">
        <v>45</v>
      </c>
      <c r="C25" s="45"/>
      <c r="D25" s="45"/>
      <c r="E25" s="45"/>
      <c r="F25" s="45"/>
      <c r="G25" s="45"/>
      <c r="H25" s="45"/>
      <c r="I25" s="45"/>
    </row>
    <row r="26" spans="1:14" s="42" customFormat="1" ht="38.25">
      <c r="A26" s="43" t="s">
        <v>46</v>
      </c>
      <c r="B26" s="44" t="s">
        <v>47</v>
      </c>
      <c r="C26" s="46"/>
      <c r="D26" s="46"/>
      <c r="E26" s="46"/>
      <c r="F26" s="46"/>
      <c r="G26" s="46"/>
      <c r="H26" s="46"/>
      <c r="I26" s="46"/>
    </row>
    <row r="27" spans="1:14" s="42" customFormat="1" ht="14.25">
      <c r="A27" s="47" t="s">
        <v>48</v>
      </c>
      <c r="B27" s="48" t="s">
        <v>49</v>
      </c>
      <c r="C27" s="46"/>
      <c r="D27" s="46"/>
      <c r="E27" s="46"/>
      <c r="F27" s="46"/>
      <c r="G27" s="46"/>
      <c r="H27" s="46"/>
      <c r="I27" s="46"/>
    </row>
    <row r="28" spans="1:14">
      <c r="A28" s="49"/>
      <c r="B28" s="49"/>
      <c r="C28" s="50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8</vt:i4>
      </vt:variant>
    </vt:vector>
  </HeadingPairs>
  <TitlesOfParts>
    <vt:vector size="27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'2015-2016'!Print_Area</vt:lpstr>
      <vt:lpstr>'2016-2017'!Print_Area</vt:lpstr>
      <vt:lpstr>'2017-2018'!Print_Area</vt:lpstr>
      <vt:lpstr>'2018-2019'!Print_Area</vt:lpstr>
      <vt:lpstr>'2019-2020'!Print_Area</vt:lpstr>
      <vt:lpstr>'2020-2021'!Print_Area</vt:lpstr>
      <vt:lpstr>'2021-2022'!Print_Area</vt:lpstr>
      <vt:lpstr>'2022-2023'!Print_Area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Merhan Helal</dc:creator>
  <cp:lastModifiedBy>Rana Makram</cp:lastModifiedBy>
  <dcterms:created xsi:type="dcterms:W3CDTF">2022-08-14T14:01:25Z</dcterms:created>
  <dcterms:modified xsi:type="dcterms:W3CDTF">2023-11-22T11:33:12Z</dcterms:modified>
</cp:coreProperties>
</file>