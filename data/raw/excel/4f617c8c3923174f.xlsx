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5955"/>
  </bookViews>
  <sheets>
    <sheet name="2015-2016" sheetId="1" r:id="rId1"/>
  </sheets>
  <definedNames>
    <definedName name="_xlnm.Print_Area" localSheetId="0">'2015-2016'!$B$2:$D$15</definedName>
  </definedNames>
  <calcPr calcId="145621"/>
</workbook>
</file>

<file path=xl/calcChain.xml><?xml version="1.0" encoding="utf-8"?>
<calcChain xmlns="http://schemas.openxmlformats.org/spreadsheetml/2006/main">
  <c r="F12" i="1" l="1"/>
  <c r="F11" i="1"/>
  <c r="E12" i="1"/>
  <c r="E9" i="1"/>
</calcChain>
</file>

<file path=xl/sharedStrings.xml><?xml version="1.0" encoding="utf-8"?>
<sst xmlns="http://schemas.openxmlformats.org/spreadsheetml/2006/main" count="30" uniqueCount="26">
  <si>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</si>
  <si>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</si>
  <si>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</si>
  <si>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</si>
  <si>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</si>
  <si>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</si>
  <si>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Sept.</t>
  </si>
  <si>
    <t>Dec.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</si>
  <si>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</si>
  <si>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</si>
  <si>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</si>
  <si>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t>1- غرفة المقاصة الإلكترونية</t>
  </si>
  <si>
    <t>(Number of transactions (thousand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</si>
  <si>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</si>
  <si>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</si>
  <si>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</si>
  <si>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</si>
  <si>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</si>
  <si>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عدد العمليات (بالوحدة)</t>
  </si>
  <si>
    <t>Foreign Currency Transfers (Dollar Interbank Transactions) via the Fin-Copy System</t>
  </si>
  <si>
    <t>التحويلات بالعملة الأجنبية (عمليات الانتربنك الدولارى) بنظام Fin-Copy</t>
  </si>
  <si>
    <t xml:space="preserve">   Number of transactions (in unit)</t>
  </si>
  <si>
    <t xml:space="preserve">   Value of  transactions (US$ mn)</t>
  </si>
  <si>
    <t>قيمة العمليات ( بالمليون دولار )</t>
  </si>
  <si>
    <t>Mar.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</si>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</sst>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abic Transparent"/>
      <charset val="178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color rgb="FF993366"/>
      <name val="Arial"/>
      <family val="2"/>
    </font>
    <font>
      <vertAlign val="subscript"/>
      <sz val="14"/>
      <name val="Arial"/>
      <family val="2"/>
    </font>
    <font>
      <b/>
      <vertAlign val="subscript"/>
      <sz val="14"/>
      <name val="Arial"/>
      <family val="2"/>
    </font>
    <font>
      <sz val="14"/>
      <name val="Arial"/>
      <family val="1"/>
      <scheme val="minor"/>
    </font>
    <font>
      <b/>
      <sz val="14"/>
      <color indexed="8"/>
      <name val="Arial"/>
      <family val="1"/>
      <scheme val="minor"/>
    </font>
    <font>
      <b/>
      <sz val="14"/>
      <name val="Arial"/>
      <family val="1"/>
      <scheme val="minor"/>
    </font>
    <font>
      <b/>
      <u/>
      <sz val="14"/>
      <name val="Arial"/>
      <family val="1"/>
      <scheme val="minor"/>
    </font>
    <font>
      <b/>
      <u/>
      <sz val="14"/>
      <color rgb="FF993366"/>
      <name val="Arial"/>
      <family val="1"/>
      <scheme val="minor"/>
    </font>
    <font>
      <b/>
      <u/>
      <sz val="12"/>
      <name val="Arial"/>
      <family val="2"/>
      <scheme val="minor"/>
    </font>
    <font>
      <sz val="10"/>
      <name val="Arial"/>
      <family val="2"/>
      <charset val="178"/>
    </font>
    <font>
      <sz val="1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8">
    <xf numFmtId="0" fontId="0" fillId="0" borderId="0"/>
    <xf numFmtId="0" fontId="1" fillId="0" borderId="0"/>
    <xf numFmtId="0" fontId="4" fillId="0" borderId="0" applyNumberFormat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64" fontId="0" fillId="0" borderId="0" xfId="0" applyNumberFormat="1" applyFill="1"/>
    <xf numFmtId="0" fontId="2" fillId="0" borderId="8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1" fontId="2" fillId="0" borderId="9" xfId="1" applyNumberFormat="1" applyFont="1" applyFill="1" applyBorder="1" applyAlignment="1">
      <alignment horizontal="center" vertical="center"/>
    </xf>
    <xf numFmtId="0" fontId="3" fillId="0" borderId="9" xfId="1" applyFont="1" applyFill="1" applyBorder="1" applyAlignment="1">
      <alignment horizontal="center" vertical="center"/>
    </xf>
    <xf numFmtId="0" fontId="2" fillId="0" borderId="0" xfId="0" applyFont="1" applyFill="1"/>
    <xf numFmtId="164" fontId="2" fillId="0" borderId="9" xfId="1" applyNumberFormat="1" applyFont="1" applyFill="1" applyBorder="1" applyAlignment="1">
      <alignment horizontal="center" vertical="center"/>
    </xf>
    <xf numFmtId="1" fontId="2" fillId="0" borderId="12" xfId="1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right" vertical="center" readingOrder="1"/>
    </xf>
    <xf numFmtId="0" fontId="6" fillId="0" borderId="3" xfId="0" applyFont="1" applyFill="1" applyBorder="1" applyAlignment="1">
      <alignment horizontal="right" vertical="center" readingOrder="2"/>
    </xf>
    <xf numFmtId="0" fontId="7" fillId="0" borderId="7" xfId="0" applyFont="1" applyFill="1" applyBorder="1" applyAlignment="1">
      <alignment horizontal="right" vertical="center" readingOrder="2"/>
    </xf>
    <xf numFmtId="0" fontId="8" fillId="0" borderId="10" xfId="0" applyFont="1" applyFill="1" applyBorder="1" applyAlignment="1">
      <alignment horizontal="right" vertical="center" readingOrder="2"/>
    </xf>
    <xf numFmtId="0" fontId="7" fillId="0" borderId="10" xfId="0" quotePrefix="1" applyFont="1" applyFill="1" applyBorder="1" applyAlignment="1">
      <alignment horizontal="right" vertical="center" readingOrder="2"/>
    </xf>
    <xf numFmtId="0" fontId="7" fillId="0" borderId="13" xfId="0" quotePrefix="1" applyFont="1" applyFill="1" applyBorder="1" applyAlignment="1">
      <alignment horizontal="right" vertical="center" readingOrder="2"/>
    </xf>
    <xf numFmtId="0" fontId="7" fillId="0" borderId="0" xfId="1" quotePrefix="1" applyFont="1" applyFill="1" applyBorder="1" applyAlignment="1">
      <alignment horizontal="right" vertical="center" indent="1" readingOrder="2"/>
    </xf>
    <xf numFmtId="0" fontId="9" fillId="0" borderId="0" xfId="1" applyFont="1" applyFill="1" applyBorder="1" applyAlignment="1">
      <alignment horizontal="right" vertical="center" readingOrder="2"/>
    </xf>
    <xf numFmtId="0" fontId="9" fillId="0" borderId="0" xfId="1" applyFont="1" applyFill="1" applyBorder="1" applyAlignment="1">
      <alignment horizontal="right" vertical="center" indent="1" readingOrder="2"/>
    </xf>
    <xf numFmtId="0" fontId="7" fillId="0" borderId="0" xfId="0" applyFont="1" applyFill="1" applyAlignment="1">
      <alignment horizontal="right" vertical="center"/>
    </xf>
    <xf numFmtId="0" fontId="10" fillId="0" borderId="0" xfId="1" quotePrefix="1" applyFont="1" applyFill="1" applyBorder="1" applyAlignment="1">
      <alignment horizontal="right" vertical="center" indent="1" readingOrder="2"/>
    </xf>
    <xf numFmtId="0" fontId="3" fillId="0" borderId="5" xfId="0" applyFont="1" applyFill="1" applyBorder="1" applyAlignment="1">
      <alignment horizontal="center" vertical="center" wrapText="1" readingOrder="1"/>
    </xf>
    <xf numFmtId="0" fontId="3" fillId="0" borderId="14" xfId="0" applyFont="1" applyFill="1" applyBorder="1" applyAlignment="1">
      <alignment horizontal="center" vertical="center" wrapText="1" readingOrder="1"/>
    </xf>
    <xf numFmtId="0" fontId="11" fillId="0" borderId="0" xfId="0" applyFont="1" applyFill="1" applyAlignment="1">
      <alignment horizontal="left" vertical="center"/>
    </xf>
    <xf numFmtId="0" fontId="12" fillId="0" borderId="1" xfId="0" applyFont="1" applyFill="1" applyBorder="1" applyAlignment="1">
      <alignment horizontal="left" vertical="center" readingOrder="1"/>
    </xf>
    <xf numFmtId="0" fontId="13" fillId="0" borderId="2" xfId="0" applyFont="1" applyFill="1" applyBorder="1" applyAlignment="1">
      <alignment horizontal="left" vertical="center" readingOrder="1"/>
    </xf>
    <xf numFmtId="164" fontId="13" fillId="0" borderId="2" xfId="0" applyNumberFormat="1" applyFont="1" applyFill="1" applyBorder="1" applyAlignment="1">
      <alignment horizontal="left" vertical="center" readingOrder="2"/>
    </xf>
    <xf numFmtId="0" fontId="14" fillId="0" borderId="6" xfId="0" applyFont="1" applyFill="1" applyBorder="1" applyAlignment="1">
      <alignment horizontal="left" vertical="center"/>
    </xf>
    <xf numFmtId="0" fontId="15" fillId="0" borderId="9" xfId="0" applyFont="1" applyFill="1" applyBorder="1" applyAlignment="1">
      <alignment horizontal="left" vertical="center" readingOrder="1"/>
    </xf>
    <xf numFmtId="0" fontId="11" fillId="0" borderId="9" xfId="0" applyFont="1" applyFill="1" applyBorder="1" applyAlignment="1">
      <alignment horizontal="left" vertical="center" readingOrder="2"/>
    </xf>
    <xf numFmtId="0" fontId="15" fillId="0" borderId="9" xfId="0" applyFont="1" applyFill="1" applyBorder="1" applyAlignment="1">
      <alignment horizontal="left" vertical="center" wrapText="1" readingOrder="1"/>
    </xf>
    <xf numFmtId="0" fontId="11" fillId="0" borderId="12" xfId="0" applyFont="1" applyFill="1" applyBorder="1" applyAlignment="1">
      <alignment horizontal="left" vertical="center" readingOrder="2"/>
    </xf>
    <xf numFmtId="0" fontId="11" fillId="0" borderId="0" xfId="1" applyFont="1" applyFill="1" applyBorder="1" applyAlignment="1">
      <alignment horizontal="left" vertical="center"/>
    </xf>
    <xf numFmtId="164" fontId="1" fillId="0" borderId="6" xfId="0" applyNumberFormat="1" applyFont="1" applyFill="1" applyBorder="1"/>
    <xf numFmtId="164" fontId="1" fillId="0" borderId="9" xfId="0" applyNumberFormat="1" applyFont="1" applyFill="1" applyBorder="1"/>
    <xf numFmtId="1" fontId="16" fillId="0" borderId="9" xfId="0" applyNumberFormat="1" applyFont="1" applyFill="1" applyBorder="1" applyAlignment="1">
      <alignment horizontal="center" readingOrder="1"/>
    </xf>
    <xf numFmtId="1" fontId="17" fillId="0" borderId="9" xfId="7" applyNumberFormat="1" applyFont="1" applyFill="1" applyBorder="1" applyAlignment="1">
      <alignment horizontal="center" vertical="center"/>
    </xf>
    <xf numFmtId="1" fontId="18" fillId="0" borderId="9" xfId="0" applyNumberFormat="1" applyFont="1" applyFill="1" applyBorder="1" applyAlignment="1">
      <alignment horizontal="center" vertical="center" readingOrder="1"/>
    </xf>
    <xf numFmtId="1" fontId="17" fillId="0" borderId="12" xfId="7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 readingOrder="1"/>
    </xf>
    <xf numFmtId="164" fontId="6" fillId="0" borderId="1" xfId="0" applyNumberFormat="1" applyFont="1" applyFill="1" applyBorder="1" applyAlignment="1">
      <alignment horizontal="right" vertical="center" wrapText="1" readingOrder="2"/>
    </xf>
  </cellXfs>
  <cellStyles count="8">
    <cellStyle name="MS_Arabic" xfId="2"/>
    <cellStyle name="Normal" xfId="0" builtinId="0"/>
    <cellStyle name="Normal 2" xfId="3"/>
    <cellStyle name="Normal 3" xfId="4"/>
    <cellStyle name="Normal 3 2" xfId="5"/>
    <cellStyle name="Normal 4" xfId="6"/>
    <cellStyle name="Normal_Table Rafik To Mohmoud_1-10_13" xfId="1"/>
    <cellStyle name="Normal_Table Rafik To Mohmoud_1-10_13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topLeftCell="B1" zoomScale="90" zoomScaleNormal="90" workbookViewId="0">
      <selection activeCell="M9" sqref="M9"/>
    </sheetView>
  </sheetViews>
  <sheetFormatPr defaultColWidth="9.140625" defaultRowHeight="18" x14ac:dyDescent="0.2"/>
  <cols>
    <col min="1" max="1" width="86.5703125" style="24" customWidth="1"/>
    <col min="2" max="2" width="75.85546875" style="20" customWidth="1"/>
    <col min="3" max="6" width="10.7109375" style="1" customWidth="1"/>
    <col min="7" max="10" width="11.42578125" style="2" customWidth="1"/>
    <col min="11" max="19" width="9.140625" style="2"/>
    <col min="20" max="20" width="9.28515625" style="2" bestFit="1" customWidth="1"/>
    <col min="21" max="16384" width="9.140625" style="2"/>
  </cols>
  <sheetData>
    <row r="1" spans="1:19" x14ac:dyDescent="0.2">
      <c r="B1" s="11"/>
    </row>
    <row r="2" spans="1:19" ht="50.1" customHeight="1" x14ac:dyDescent="0.2">
      <c r="A2" s="25" t="s">
        <v>0</v>
      </c>
      <c r="B2" s="41" t="s">
        <v>1</v>
      </c>
    </row>
    <row r="3" spans="1:19" ht="36" customHeight="1" x14ac:dyDescent="0.2">
      <c r="A3" s="26" t="s">
        <v>2</v>
      </c>
      <c r="B3" s="12" t="s">
        <v>3</v>
      </c>
      <c r="C3" s="40">
        <v>2015</v>
      </c>
      <c r="D3" s="40"/>
      <c r="E3" s="40">
        <v>2016</v>
      </c>
      <c r="F3" s="40"/>
    </row>
    <row r="4" spans="1:19" ht="34.5" customHeight="1" x14ac:dyDescent="0.2">
      <c r="A4" s="27" t="s">
        <v>4</v>
      </c>
      <c r="B4" s="12" t="s">
        <v>5</v>
      </c>
      <c r="C4" s="23" t="s">
        <v>6</v>
      </c>
      <c r="D4" s="22" t="s">
        <v>7</v>
      </c>
      <c r="E4" s="23" t="s">
        <v>24</v>
      </c>
      <c r="F4" s="22" t="s">
        <v>25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30" customHeight="1" x14ac:dyDescent="0.2">
      <c r="A5" s="28"/>
      <c r="B5" s="13"/>
      <c r="C5" s="4"/>
      <c r="D5" s="4"/>
      <c r="E5" s="34"/>
      <c r="F5" s="34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30" customHeight="1" x14ac:dyDescent="0.2">
      <c r="A6" s="29" t="s">
        <v>8</v>
      </c>
      <c r="B6" s="14" t="s">
        <v>9</v>
      </c>
      <c r="C6" s="5"/>
      <c r="D6" s="5"/>
      <c r="E6" s="35"/>
      <c r="F6" s="35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30" customHeight="1" x14ac:dyDescent="0.25">
      <c r="A7" s="29" t="s">
        <v>10</v>
      </c>
      <c r="B7" s="14" t="s">
        <v>11</v>
      </c>
      <c r="C7" s="5"/>
      <c r="D7" s="5"/>
      <c r="E7" s="36"/>
      <c r="F7" s="36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30" customHeight="1" x14ac:dyDescent="0.2">
      <c r="A8" s="30" t="s">
        <v>12</v>
      </c>
      <c r="B8" s="15" t="s">
        <v>11</v>
      </c>
      <c r="C8" s="6">
        <v>1094.3900000000001</v>
      </c>
      <c r="D8" s="6">
        <v>1217.739</v>
      </c>
      <c r="E8" s="37">
        <v>1239</v>
      </c>
      <c r="F8" s="37">
        <v>1076.8710000000001</v>
      </c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30" customHeight="1" x14ac:dyDescent="0.2">
      <c r="A9" s="30" t="s">
        <v>13</v>
      </c>
      <c r="B9" s="15" t="s">
        <v>14</v>
      </c>
      <c r="C9" s="6">
        <v>97126.993521659999</v>
      </c>
      <c r="D9" s="6">
        <v>87614.198333320004</v>
      </c>
      <c r="E9" s="38">
        <f>92412.63476706/1000</f>
        <v>92.412634767059998</v>
      </c>
      <c r="F9" s="38">
        <v>90.5</v>
      </c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30" customHeight="1" x14ac:dyDescent="0.2">
      <c r="A10" s="29" t="s">
        <v>15</v>
      </c>
      <c r="B10" s="14" t="s">
        <v>16</v>
      </c>
      <c r="C10" s="7"/>
      <c r="D10" s="7"/>
      <c r="E10" s="37"/>
      <c r="F10" s="37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30" customHeight="1" x14ac:dyDescent="0.2">
      <c r="A11" s="30" t="s">
        <v>17</v>
      </c>
      <c r="B11" s="15" t="s">
        <v>18</v>
      </c>
      <c r="C11" s="6">
        <v>83519</v>
      </c>
      <c r="D11" s="6">
        <v>93718</v>
      </c>
      <c r="E11" s="37">
        <v>96539</v>
      </c>
      <c r="F11" s="37">
        <f>97477+1165</f>
        <v>98642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s="8" customFormat="1" ht="30" customHeight="1" x14ac:dyDescent="0.2">
      <c r="A12" s="30" t="s">
        <v>13</v>
      </c>
      <c r="B12" s="15" t="s">
        <v>14</v>
      </c>
      <c r="C12" s="6">
        <v>2927972.9690629197</v>
      </c>
      <c r="D12" s="6">
        <v>2727872.9971306701</v>
      </c>
      <c r="E12" s="37">
        <f>2810982.92600353/1000</f>
        <v>2810.9829260035303</v>
      </c>
      <c r="F12" s="37">
        <f>669.1+1802.6</f>
        <v>2471.6999999999998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40.5" customHeight="1" x14ac:dyDescent="0.2">
      <c r="A13" s="31" t="s">
        <v>19</v>
      </c>
      <c r="B13" s="14" t="s">
        <v>20</v>
      </c>
      <c r="C13" s="9"/>
      <c r="D13" s="9"/>
      <c r="E13" s="37"/>
      <c r="F13" s="37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30" customHeight="1" x14ac:dyDescent="0.2">
      <c r="A14" s="30" t="s">
        <v>21</v>
      </c>
      <c r="B14" s="15" t="s">
        <v>18</v>
      </c>
      <c r="C14" s="6">
        <v>374</v>
      </c>
      <c r="D14" s="6">
        <v>284</v>
      </c>
      <c r="E14" s="37">
        <v>333</v>
      </c>
      <c r="F14" s="37">
        <v>117</v>
      </c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30" customHeight="1" x14ac:dyDescent="0.2">
      <c r="A15" s="32" t="s">
        <v>22</v>
      </c>
      <c r="B15" s="16" t="s">
        <v>23</v>
      </c>
      <c r="C15" s="10">
        <v>415.6</v>
      </c>
      <c r="D15" s="10">
        <v>586</v>
      </c>
      <c r="E15" s="39">
        <v>1385.27</v>
      </c>
      <c r="F15" s="39">
        <v>291</v>
      </c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45" customHeight="1" x14ac:dyDescent="0.2">
      <c r="A16" s="33"/>
      <c r="B16" s="17"/>
      <c r="C16" s="2"/>
      <c r="D16" s="2"/>
      <c r="E16" s="2"/>
      <c r="F16" s="2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21" x14ac:dyDescent="0.2">
      <c r="A17" s="33"/>
      <c r="B17" s="18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21" x14ac:dyDescent="0.2">
      <c r="A18" s="33"/>
      <c r="B18" s="19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"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21" x14ac:dyDescent="0.2">
      <c r="A20" s="33"/>
      <c r="B20" s="18"/>
    </row>
    <row r="21" spans="1:19" ht="21" x14ac:dyDescent="0.2">
      <c r="A21" s="33"/>
      <c r="B21" s="21"/>
    </row>
  </sheetData>
  <mergeCells count="2">
    <mergeCell ref="C3:D3"/>
    <mergeCell ref="E3:F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7NQWTN4WQ7WA-971242747-1331</_dlc_DocId>
    <_dlc_DocIdUrl xmlns="806035d9-ad3b-44db-92a1-1ed4b9daec3e">
      <Url>http://cbe-test-spsql:4050/_layouts/15/DocIdRedir.aspx?ID=7NQWTN4WQ7WA-971242747-1331</Url>
      <Description>7NQWTN4WQ7WA-971242747-1331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C6D842-1F56-49E5-A750-A380A3B1613E}"/>
</file>

<file path=customXml/itemProps2.xml><?xml version="1.0" encoding="utf-8"?>
<ds:datastoreItem xmlns:ds="http://schemas.openxmlformats.org/officeDocument/2006/customXml" ds:itemID="{ACEC2B76-31CC-4023-840B-221165F79BB2}"/>
</file>

<file path=customXml/itemProps3.xml><?xml version="1.0" encoding="utf-8"?>
<ds:datastoreItem xmlns:ds="http://schemas.openxmlformats.org/officeDocument/2006/customXml" ds:itemID="{13382BD6-C7C3-47B1-9CDE-DED0BD11A5A2}"/>
</file>

<file path=customXml/itemProps4.xml><?xml version="1.0" encoding="utf-8"?>
<ds:datastoreItem xmlns:ds="http://schemas.openxmlformats.org/officeDocument/2006/customXml" ds:itemID="{ACEC2B76-31CC-4023-840B-221165F79BB2}"/>
</file>

<file path=customXml/itemProps5.xml><?xml version="1.0" encoding="utf-8"?>
<ds:datastoreItem xmlns:ds="http://schemas.openxmlformats.org/officeDocument/2006/customXml" ds:itemID="{6E0076C9-DD55-4284-A0AD-1B40344100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Clearing House Activities Quarters 2015-2016</dc:title>
  <dc:creator>Shaimaa Mostafa</dc:creator>
  <cp:lastModifiedBy>Rafik Reda</cp:lastModifiedBy>
  <cp:lastPrinted>2016-05-31T12:31:58Z</cp:lastPrinted>
  <dcterms:created xsi:type="dcterms:W3CDTF">2016-05-31T12:10:50Z</dcterms:created>
  <dcterms:modified xsi:type="dcterms:W3CDTF">2016-12-21T11:53:13Z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b998d9c0-5348-4bf7-ae45-d8823c98ed2f</vt:lpwstr>
  </property>
</Properties>
</file>