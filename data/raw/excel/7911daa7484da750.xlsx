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LY ALL YEARS\CBE QA\"/>
    </mc:Choice>
  </mc:AlternateContent>
  <xr:revisionPtr revIDLastSave="0" documentId="13_ncr:1_{7C61CD39-9CAE-456F-81E9-55EFB9780A2E}" xr6:coauthVersionLast="36" xr6:coauthVersionMax="36" xr10:uidLastSave="{00000000-0000-0000-0000-000000000000}"/>
  <bookViews>
    <workbookView xWindow="0" yWindow="0" windowWidth="24000" windowHeight="8925" firstSheet="10" activeTab="18" xr2:uid="{B3B86A40-E73E-4CD5-B3C0-5A03F52EF8FC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1">'2015-2016'!$B$2:$D$15</definedName>
    <definedName name="_xlnm.Print_Area" localSheetId="12">'2016-2017'!$B$1:$F$15</definedName>
    <definedName name="_xlnm.Print_Area" localSheetId="13">'2017-2018'!$B$1:$F$15</definedName>
    <definedName name="_xlnm.Print_Area" localSheetId="14">'2018-2019'!$A$1:$G$17</definedName>
    <definedName name="_xlnm.Print_Area" localSheetId="15">'2019-2020'!$A$1:$G$17</definedName>
    <definedName name="_xlnm.Print_Area" localSheetId="16">'2020-2021'!$A$1:$G$27</definedName>
    <definedName name="_xlnm.Print_Area" localSheetId="17">'2021-2022'!$A$1:$G$27</definedName>
    <definedName name="_xlnm.Print_Area" localSheetId="18">'2022-2023'!$A$1:$G$27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2" l="1"/>
  <c r="E12" i="12"/>
  <c r="F11" i="12"/>
  <c r="E9" i="12"/>
</calcChain>
</file>

<file path=xl/sharedStrings.xml><?xml version="1.0" encoding="utf-8"?>
<sst xmlns="http://schemas.openxmlformats.org/spreadsheetml/2006/main" count="634" uniqueCount="73">
  <si>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</si>
  <si>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</si>
  <si>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</si>
  <si>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</si>
  <si>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</si>
  <si>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</si>
  <si>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Sept.</t>
  </si>
  <si>
    <t>Dec.</t>
  </si>
  <si>
    <t>Mar.</t>
  </si>
  <si>
    <t>Jun.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</si>
  <si>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</si>
  <si>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</si>
  <si>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</si>
  <si>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1- غرفة المقاصة الإلكترونية</t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</si>
  <si>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</si>
  <si>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</si>
  <si>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</si>
  <si>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</si>
  <si>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</si>
  <si>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</si>
  <si>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</si>
  <si>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</si>
  <si>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</si>
  <si>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t>التحويلات بالعملة الأجنبية (عمليات الانتربنك الدولارى) بنظام Fin-Copy</t>
  </si>
  <si>
    <t xml:space="preserve">   Number of transactions (in unit)</t>
  </si>
  <si>
    <t xml:space="preserve">   Value of  transactions (US$ mn)</t>
  </si>
  <si>
    <t>قيمة العمليات ( بالمليون دولار )</t>
  </si>
  <si>
    <t>قيمة العمليات (بالمليار جنيه)</t>
  </si>
  <si>
    <t>June</t>
  </si>
  <si>
    <t xml:space="preserve">1- غرفة المقاصة الإلكترونية                                      </t>
  </si>
  <si>
    <r>
      <t>التحويلات بالعملة الأجنبية (عمليات الانتربنك الدولارى) بنظام Fin-Copy</t>
    </r>
    <r>
      <rPr>
        <b/>
        <u/>
        <vertAlign val="superscript"/>
        <sz val="12"/>
        <color rgb="FF993366"/>
        <rFont val="Arial"/>
        <family val="2"/>
      </rPr>
      <t xml:space="preserve"> </t>
    </r>
  </si>
  <si>
    <t>Transactions via RTGS*</t>
  </si>
  <si>
    <r>
      <t xml:space="preserve">أولاً: العمليات التى تم تسويتها من خلال نظام التسوية اللحظية </t>
    </r>
    <r>
      <rPr>
        <u/>
        <sz val="16"/>
        <color indexed="25"/>
        <rFont val="Arial"/>
        <family val="2"/>
      </rPr>
      <t>(</t>
    </r>
    <r>
      <rPr>
        <b/>
        <u/>
        <sz val="16"/>
        <color indexed="25"/>
        <rFont val="Arial"/>
        <family val="2"/>
      </rPr>
      <t>RTGS</t>
    </r>
    <r>
      <rPr>
        <u/>
        <sz val="16"/>
        <color indexed="25"/>
        <rFont val="Arial"/>
        <family val="2"/>
      </rPr>
      <t>)*</t>
    </r>
  </si>
  <si>
    <t>In EGP</t>
  </si>
  <si>
    <t>بالجنيه المصري</t>
  </si>
  <si>
    <t>(Value of transactions (LE bn</t>
  </si>
  <si>
    <t>In US Dollar**</t>
  </si>
  <si>
    <r>
      <t>بالدولار الأمريكى</t>
    </r>
    <r>
      <rPr>
        <u/>
        <sz val="16"/>
        <color indexed="25"/>
        <rFont val="Arial"/>
        <family val="2"/>
      </rPr>
      <t>**</t>
    </r>
  </si>
  <si>
    <t>-</t>
  </si>
  <si>
    <t>(Value of transactions (US$ mn</t>
  </si>
  <si>
    <t>قيمة العمليات (بالمليون دولار)</t>
  </si>
  <si>
    <t>In Euro**</t>
  </si>
  <si>
    <r>
      <t xml:space="preserve">باليورو </t>
    </r>
    <r>
      <rPr>
        <u/>
        <sz val="16"/>
        <color indexed="25"/>
        <rFont val="Arial"/>
        <family val="2"/>
      </rPr>
      <t>**</t>
    </r>
  </si>
  <si>
    <t>(Value of transactions (EUR mn</t>
  </si>
  <si>
    <t>قيمة العمليات (بالمليون يورو)</t>
  </si>
  <si>
    <t>2- Other Transactions via RTGS***</t>
  </si>
  <si>
    <r>
      <t>2- العمليات الأخرى التى تمت من خلال نظام</t>
    </r>
    <r>
      <rPr>
        <b/>
        <sz val="16"/>
        <color indexed="25"/>
        <rFont val="Akhbar MT"/>
        <charset val="178"/>
      </rPr>
      <t xml:space="preserve"> </t>
    </r>
    <r>
      <rPr>
        <b/>
        <sz val="16"/>
        <color indexed="25"/>
        <rFont val="Arial"/>
        <family val="2"/>
      </rPr>
      <t>(RTGS)***</t>
    </r>
  </si>
  <si>
    <t>Foreign Currency Transfers (Dollar Interbank Transactions) via the Fin-Copy System****</t>
  </si>
  <si>
    <r>
      <t>ثانياً: التحويلات بالعملة الأجنبية (عمليات الانتربنك الدولارى) بنظام</t>
    </r>
    <r>
      <rPr>
        <u/>
        <sz val="16"/>
        <color indexed="25"/>
        <rFont val="Akhbar MT"/>
        <charset val="178"/>
      </rPr>
      <t xml:space="preserve"> </t>
    </r>
    <r>
      <rPr>
        <b/>
        <u/>
        <sz val="16"/>
        <color indexed="25"/>
        <rFont val="Arial"/>
        <family val="2"/>
      </rPr>
      <t>Fin-Copy</t>
    </r>
    <r>
      <rPr>
        <u/>
        <sz val="16"/>
        <color indexed="25"/>
        <rFont val="Arial"/>
        <family val="2"/>
      </rPr>
      <t>****</t>
    </r>
  </si>
  <si>
    <t xml:space="preserve">*  The RTGS was launched on 15/3/2009. </t>
  </si>
  <si>
    <r>
      <rPr>
        <sz val="12"/>
        <rFont val="Arial"/>
        <family val="2"/>
      </rPr>
      <t>*</t>
    </r>
    <r>
      <rPr>
        <vertAlign val="subscript"/>
        <sz val="12"/>
        <rFont val="Akhbar MT"/>
        <charset val="178"/>
      </rPr>
      <t xml:space="preserve"> </t>
    </r>
    <r>
      <rPr>
        <sz val="12"/>
        <rFont val="Akhbar MT"/>
        <charset val="178"/>
      </rPr>
      <t xml:space="preserve">  تم العمل بنظام التسوية اللحظية </t>
    </r>
    <r>
      <rPr>
        <sz val="12"/>
        <rFont val="Arial"/>
        <family val="2"/>
      </rPr>
      <t>(RTGS)</t>
    </r>
    <r>
      <rPr>
        <sz val="12"/>
        <rFont val="Akhbar MT"/>
        <charset val="178"/>
      </rPr>
      <t xml:space="preserve"> فى 3/15/ 2009.</t>
    </r>
  </si>
  <si>
    <t>** The system of settling the packages of payment orders of the Cheque Clearing House (CCH) in dollar and euro was launched as of 15/6/2021.</t>
  </si>
  <si>
    <r>
      <rPr>
        <sz val="12"/>
        <rFont val="Arial"/>
        <family val="2"/>
      </rPr>
      <t>**</t>
    </r>
    <r>
      <rPr>
        <sz val="12"/>
        <rFont val="Akhbar MT"/>
        <charset val="178"/>
      </rPr>
      <t xml:space="preserve"> تم إطلاق تسوية حزم أوامر الدفع الخاصة بغرفة مقاصة الشيكات بعملتي الدولار واليورو بداية من 2021/6/15.</t>
    </r>
  </si>
  <si>
    <t>*** Including transfers of banks and customers, operations of Treasury bills and bonds, operations of Misr for Central Clearing and National Switch, corridor operations and deposits for monetary policy purposes.</t>
  </si>
  <si>
    <r>
      <rPr>
        <sz val="12"/>
        <rFont val="Arial"/>
        <family val="2"/>
      </rPr>
      <t>***</t>
    </r>
    <r>
      <rPr>
        <vertAlign val="subscript"/>
        <sz val="12"/>
        <rFont val="Akhbar MT"/>
        <charset val="178"/>
      </rPr>
      <t xml:space="preserve">   </t>
    </r>
    <r>
      <rPr>
        <sz val="12"/>
        <rFont val="Akhbar MT"/>
        <charset val="178"/>
      </rPr>
      <t>تشمل تحويلات البنوك والعملاء وعمليات أذون وسندات الخزانة وعمليات مصر المقاصة والمحول القومي وعمليات الكوريدور والإيداعات لأغراض السياسة النقدية .</t>
    </r>
  </si>
  <si>
    <t>****  This service was introduced on 19/9/2004.</t>
  </si>
  <si>
    <r>
      <rPr>
        <sz val="12"/>
        <rFont val="Arial"/>
        <family val="2"/>
      </rPr>
      <t>****</t>
    </r>
    <r>
      <rPr>
        <vertAlign val="subscript"/>
        <sz val="12"/>
        <rFont val="Akhbar MT"/>
        <charset val="178"/>
      </rPr>
      <t xml:space="preserve"> </t>
    </r>
    <r>
      <rPr>
        <sz val="12"/>
        <rFont val="Akhbar MT"/>
        <charset val="178"/>
      </rPr>
      <t xml:space="preserve"> بدأ العمل بهذه الخدمة اعتباراً من 2004/9/19.</t>
    </r>
  </si>
  <si>
    <t>أولاً: العمليات التى تم تسويتها من خلال نظام التسوية اللحظية (RTGS)*</t>
  </si>
  <si>
    <t xml:space="preserve">   1- Automated Clearing House (ACH)</t>
  </si>
  <si>
    <t>Number of transactions (thousand)</t>
  </si>
  <si>
    <t>Value of transactions (LE bn)</t>
  </si>
  <si>
    <t>بالدولار الأمريكى**</t>
  </si>
  <si>
    <t>Number of transactions (in unit)</t>
  </si>
  <si>
    <t>Value of transactions (US$ mn)</t>
  </si>
  <si>
    <t>باليورو **</t>
  </si>
  <si>
    <t>Value of transactions (EUR mn)</t>
  </si>
  <si>
    <t xml:space="preserve">   2- Other Transactions via RTGS***</t>
  </si>
  <si>
    <t>2- العمليات الأخرى التى تمت من خلال نظام (RTGS)***</t>
  </si>
  <si>
    <t>ثانياً: التحويلات بالعملة الأجنبية (عمليات الانتربنك الدولارى) بنظام Fin-Copy****</t>
  </si>
  <si>
    <t>*   تم العمل بنظام التسوية اللحظية (RTGS) فى 3/15/ 2009.</t>
  </si>
  <si>
    <t>** تم إطلاق تسوية حزم أوامر الدفع الخاصة بغرفة مقاصة الشيكات بعملتي الدولار واليورو بداية من 2021/6/15.</t>
  </si>
  <si>
    <t>***   تشمل تحويلات البنوك والعملاء وعمليات أذون وسندات الخزانة وعمليات مصر المقاصة والمحول القومي وعمليات الكوريدور والإيداعات لأغراض السياسة النقدية .</t>
  </si>
  <si>
    <t>****  بدأ العمل بهذه الخدمة اعتباراً من 2004/9/19.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</si>
</sst>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8" x14ac:knownFonts="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4"/>
      <name val="Calibri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name val="Arial"/>
      <family val="2"/>
    </font>
    <font>
      <sz val="14"/>
      <name val="Arial"/>
      <family val="2"/>
    </font>
    <font>
      <b/>
      <sz val="14"/>
      <color indexed="8"/>
      <name val="Calibri"/>
      <family val="1"/>
      <scheme val="minor"/>
    </font>
    <font>
      <b/>
      <sz val="14"/>
      <name val="Arial"/>
      <family val="2"/>
    </font>
    <font>
      <sz val="16"/>
      <name val="Arial"/>
      <family val="2"/>
    </font>
    <font>
      <b/>
      <sz val="14"/>
      <name val="Calibri"/>
      <family val="1"/>
      <scheme val="minor"/>
    </font>
    <font>
      <b/>
      <sz val="12"/>
      <name val="Arial"/>
      <family val="2"/>
    </font>
    <font>
      <b/>
      <u/>
      <sz val="14"/>
      <name val="Calibri"/>
      <family val="1"/>
      <scheme val="minor"/>
    </font>
    <font>
      <b/>
      <u/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sz val="14"/>
      <color rgb="FF993366"/>
      <name val="Arial"/>
      <family val="2"/>
    </font>
    <font>
      <sz val="12"/>
      <name val="Arial"/>
      <family val="2"/>
    </font>
    <font>
      <sz val="10"/>
      <name val="Arial"/>
      <family val="2"/>
    </font>
    <font>
      <vertAlign val="subscript"/>
      <sz val="14"/>
      <name val="Arial"/>
      <family val="2"/>
    </font>
    <font>
      <b/>
      <vertAlign val="subscript"/>
      <sz val="14"/>
      <name val="Arial"/>
      <family val="2"/>
    </font>
    <font>
      <b/>
      <u/>
      <sz val="12"/>
      <name val="Calibri"/>
      <family val="2"/>
      <scheme val="minor"/>
    </font>
    <font>
      <sz val="10"/>
      <name val="Arial"/>
      <family val="2"/>
      <charset val="178"/>
    </font>
    <font>
      <sz val="12"/>
      <name val="Calibri"/>
      <family val="2"/>
      <scheme val="minor"/>
    </font>
    <font>
      <b/>
      <sz val="12"/>
      <color indexed="8"/>
      <name val="Arial"/>
      <family val="2"/>
    </font>
    <font>
      <b/>
      <u/>
      <sz val="12"/>
      <color rgb="FF993366"/>
      <name val="Arial"/>
      <family val="2"/>
    </font>
    <font>
      <sz val="16"/>
      <name val="Calibri"/>
      <family val="1"/>
      <scheme val="minor"/>
    </font>
    <font>
      <b/>
      <u/>
      <sz val="16"/>
      <color indexed="8"/>
      <name val="Arial"/>
      <family val="2"/>
    </font>
    <font>
      <b/>
      <u/>
      <sz val="12"/>
      <color indexed="8"/>
      <name val="Calibri"/>
      <family val="2"/>
      <scheme val="minor"/>
    </font>
    <font>
      <b/>
      <sz val="11"/>
      <name val="Arial"/>
      <family val="2"/>
    </font>
    <font>
      <b/>
      <sz val="12"/>
      <color rgb="FF993366"/>
      <name val="Arial"/>
      <family val="2"/>
    </font>
    <font>
      <b/>
      <u/>
      <vertAlign val="superscript"/>
      <sz val="12"/>
      <color rgb="FF993366"/>
      <name val="Arial"/>
      <family val="2"/>
    </font>
    <font>
      <vertAlign val="subscript"/>
      <sz val="16"/>
      <name val="Arial"/>
      <family val="2"/>
    </font>
    <font>
      <b/>
      <vertAlign val="subscript"/>
      <sz val="16"/>
      <name val="Arial"/>
      <family val="2"/>
    </font>
    <font>
      <sz val="1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6"/>
      <color indexed="25"/>
      <name val="Arial"/>
      <family val="2"/>
    </font>
    <font>
      <b/>
      <u/>
      <sz val="16"/>
      <color indexed="25"/>
      <name val="Arial"/>
      <family val="2"/>
    </font>
    <font>
      <b/>
      <sz val="12"/>
      <color indexed="61"/>
      <name val="Arial"/>
      <family val="2"/>
    </font>
    <font>
      <b/>
      <sz val="16"/>
      <color indexed="61"/>
      <name val="Akhbar MT"/>
      <charset val="178"/>
    </font>
    <font>
      <sz val="16"/>
      <name val="Akhbar MT"/>
      <charset val="178"/>
    </font>
    <font>
      <b/>
      <sz val="16"/>
      <color indexed="25"/>
      <name val="Akhbar MT"/>
      <charset val="178"/>
    </font>
    <font>
      <b/>
      <sz val="16"/>
      <color indexed="25"/>
      <name val="Arial"/>
      <family val="2"/>
    </font>
    <font>
      <u/>
      <sz val="16"/>
      <color indexed="25"/>
      <name val="Akhbar MT"/>
      <charset val="178"/>
    </font>
    <font>
      <vertAlign val="subscript"/>
      <sz val="12"/>
      <name val="Akhbar MT"/>
      <family val="2"/>
      <charset val="178"/>
    </font>
    <font>
      <vertAlign val="subscript"/>
      <sz val="12"/>
      <name val="Akhbar MT"/>
      <charset val="178"/>
    </font>
    <font>
      <sz val="12"/>
      <name val="Akhbar MT"/>
      <charset val="178"/>
    </font>
    <font>
      <vertAlign val="subscript"/>
      <sz val="16"/>
      <name val="Akhbar MT"/>
      <family val="2"/>
      <charset val="178"/>
    </font>
    <font>
      <sz val="12"/>
      <name val="Akhbar MT"/>
      <family val="2"/>
      <charset val="178"/>
    </font>
    <font>
      <sz val="16"/>
      <name val="Akhbar MT"/>
      <family val="2"/>
      <charset val="178"/>
    </font>
    <font>
      <b/>
      <sz val="14"/>
      <color theme="0"/>
      <name val="Calibri Light"/>
      <family val="1"/>
      <scheme val="major"/>
    </font>
    <font>
      <b/>
      <u/>
      <sz val="13"/>
      <color theme="4" tint="-0.499984740745262"/>
      <name val="Calibri Light"/>
      <family val="1"/>
      <scheme val="major"/>
    </font>
    <font>
      <b/>
      <sz val="13"/>
      <color rgb="FF345C8C"/>
      <name val="Calibri Light"/>
      <family val="1"/>
      <scheme val="major"/>
    </font>
    <font>
      <u/>
      <sz val="12"/>
      <color theme="4" tint="-0.249977111117893"/>
      <name val="Arial"/>
      <family val="2"/>
      <charset val="178"/>
    </font>
    <font>
      <sz val="12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0"/>
      <name val="Calibri Light"/>
      <family val="1"/>
      <scheme val="major"/>
    </font>
    <font>
      <sz val="10"/>
      <name val="Arial"/>
      <charset val="178"/>
    </font>
    <font>
      <vertAlign val="subscript"/>
      <sz val="1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8B6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6" fillId="0" borderId="0"/>
    <xf numFmtId="0" fontId="1" fillId="0" borderId="0"/>
  </cellStyleXfs>
  <cellXfs count="258">
    <xf numFmtId="0" fontId="0" fillId="0" borderId="0" xfId="0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164" fontId="4" fillId="0" borderId="0" xfId="0" applyNumberFormat="1" applyFont="1" applyFill="1" applyBorder="1" applyAlignment="1">
      <alignment horizontal="right" vertical="center" readingOrder="1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left" vertical="center" readingOrder="1"/>
    </xf>
    <xf numFmtId="164" fontId="7" fillId="0" borderId="1" xfId="0" applyNumberFormat="1" applyFont="1" applyFill="1" applyBorder="1" applyAlignment="1">
      <alignment horizontal="right" vertical="center" readingOrder="2"/>
    </xf>
    <xf numFmtId="0" fontId="8" fillId="0" borderId="0" xfId="0" applyFont="1" applyFill="1" applyAlignment="1">
      <alignment horizontal="center" vertical="center"/>
    </xf>
    <xf numFmtId="0" fontId="9" fillId="0" borderId="2" xfId="0" applyFont="1" applyFill="1" applyBorder="1" applyAlignment="1">
      <alignment horizontal="left" vertical="center" readingOrder="1"/>
    </xf>
    <xf numFmtId="0" fontId="7" fillId="0" borderId="3" xfId="0" applyFont="1" applyFill="1" applyBorder="1" applyAlignment="1">
      <alignment horizontal="right" vertical="center" readingOrder="2"/>
    </xf>
    <xf numFmtId="164" fontId="9" fillId="0" borderId="2" xfId="0" applyNumberFormat="1" applyFont="1" applyFill="1" applyBorder="1" applyAlignment="1">
      <alignment horizontal="left" vertical="center" readingOrder="2"/>
    </xf>
    <xf numFmtId="0" fontId="7" fillId="0" borderId="2" xfId="0" applyFont="1" applyFill="1" applyBorder="1" applyAlignment="1">
      <alignment horizontal="right" vertical="center" readingOrder="2"/>
    </xf>
    <xf numFmtId="0" fontId="10" fillId="0" borderId="4" xfId="0" applyFont="1" applyFill="1" applyBorder="1" applyAlignment="1">
      <alignment horizontal="center" vertical="center" wrapText="1" readingOrder="1"/>
    </xf>
    <xf numFmtId="164" fontId="0" fillId="0" borderId="0" xfId="0" applyNumberFormat="1" applyFill="1"/>
    <xf numFmtId="0" fontId="11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right" vertical="center" readingOrder="2"/>
    </xf>
    <xf numFmtId="1" fontId="12" fillId="0" borderId="0" xfId="0" applyNumberFormat="1" applyFont="1" applyFill="1" applyBorder="1" applyAlignment="1">
      <alignment horizontal="center" vertical="center" readingOrder="1"/>
    </xf>
    <xf numFmtId="1" fontId="12" fillId="0" borderId="6" xfId="0" applyNumberFormat="1" applyFont="1" applyFill="1" applyBorder="1" applyAlignment="1">
      <alignment horizontal="center" vertical="center" readingOrder="1"/>
    </xf>
    <xf numFmtId="0" fontId="13" fillId="0" borderId="7" xfId="0" applyFont="1" applyFill="1" applyBorder="1" applyAlignment="1">
      <alignment horizontal="left" vertical="center" readingOrder="1"/>
    </xf>
    <xf numFmtId="0" fontId="14" fillId="0" borderId="7" xfId="0" applyFont="1" applyFill="1" applyBorder="1" applyAlignment="1">
      <alignment horizontal="right" vertical="center" readingOrder="2"/>
    </xf>
    <xf numFmtId="0" fontId="15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left" vertical="center" readingOrder="2"/>
    </xf>
    <xf numFmtId="0" fontId="5" fillId="0" borderId="7" xfId="0" quotePrefix="1" applyFont="1" applyFill="1" applyBorder="1" applyAlignment="1">
      <alignment horizontal="right" vertical="center" readingOrder="2"/>
    </xf>
    <xf numFmtId="1" fontId="15" fillId="0" borderId="0" xfId="0" applyNumberFormat="1" applyFont="1" applyFill="1" applyBorder="1" applyAlignment="1">
      <alignment horizontal="center" vertical="center" readingOrder="1"/>
    </xf>
    <xf numFmtId="1" fontId="15" fillId="0" borderId="6" xfId="0" applyNumberFormat="1" applyFont="1" applyFill="1" applyBorder="1" applyAlignment="1">
      <alignment horizontal="center" vertical="center" readingOrder="1"/>
    </xf>
    <xf numFmtId="0" fontId="15" fillId="0" borderId="0" xfId="0" applyFont="1" applyFill="1"/>
    <xf numFmtId="0" fontId="13" fillId="0" borderId="7" xfId="0" applyFont="1" applyFill="1" applyBorder="1" applyAlignment="1">
      <alignment horizontal="left" vertical="center" wrapText="1" readingOrder="1"/>
    </xf>
    <xf numFmtId="0" fontId="2" fillId="0" borderId="8" xfId="0" applyFont="1" applyFill="1" applyBorder="1" applyAlignment="1">
      <alignment horizontal="left" vertical="center" readingOrder="2"/>
    </xf>
    <xf numFmtId="0" fontId="5" fillId="0" borderId="8" xfId="0" quotePrefix="1" applyFont="1" applyFill="1" applyBorder="1" applyAlignment="1">
      <alignment horizontal="right" vertical="center" readingOrder="2"/>
    </xf>
    <xf numFmtId="1" fontId="15" fillId="0" borderId="1" xfId="0" applyNumberFormat="1" applyFont="1" applyFill="1" applyBorder="1" applyAlignment="1">
      <alignment horizontal="center" vertical="center" readingOrder="1"/>
    </xf>
    <xf numFmtId="1" fontId="15" fillId="0" borderId="9" xfId="0" applyNumberFormat="1" applyFont="1" applyFill="1" applyBorder="1" applyAlignment="1">
      <alignment horizontal="center" vertical="center" readingOrder="1"/>
    </xf>
    <xf numFmtId="0" fontId="2" fillId="0" borderId="0" xfId="1" applyFont="1" applyFill="1" applyBorder="1" applyAlignment="1">
      <alignment horizontal="left" vertical="center"/>
    </xf>
    <xf numFmtId="0" fontId="5" fillId="0" borderId="0" xfId="1" quotePrefix="1" applyFont="1" applyFill="1" applyBorder="1" applyAlignment="1">
      <alignment horizontal="right" vertical="center" indent="1" readingOrder="2"/>
    </xf>
    <xf numFmtId="0" fontId="17" fillId="0" borderId="0" xfId="1" applyFont="1" applyFill="1" applyBorder="1" applyAlignment="1">
      <alignment horizontal="right" vertical="center" readingOrder="2"/>
    </xf>
    <xf numFmtId="0" fontId="17" fillId="0" borderId="0" xfId="1" applyFont="1" applyFill="1" applyBorder="1" applyAlignment="1">
      <alignment horizontal="right" vertical="center" indent="1" readingOrder="2"/>
    </xf>
    <xf numFmtId="0" fontId="5" fillId="0" borderId="0" xfId="0" applyFont="1" applyFill="1" applyAlignment="1">
      <alignment horizontal="right" vertical="center"/>
    </xf>
    <xf numFmtId="0" fontId="18" fillId="0" borderId="0" xfId="1" quotePrefix="1" applyFont="1" applyFill="1" applyBorder="1" applyAlignment="1">
      <alignment horizontal="right" vertical="center" indent="1" readingOrder="2"/>
    </xf>
    <xf numFmtId="1" fontId="12" fillId="0" borderId="10" xfId="0" applyNumberFormat="1" applyFont="1" applyFill="1" applyBorder="1" applyAlignment="1">
      <alignment horizontal="center" vertical="center" readingOrder="1"/>
    </xf>
    <xf numFmtId="1" fontId="12" fillId="0" borderId="7" xfId="0" applyNumberFormat="1" applyFont="1" applyFill="1" applyBorder="1" applyAlignment="1">
      <alignment horizontal="center" vertical="center" readingOrder="1"/>
    </xf>
    <xf numFmtId="0" fontId="15" fillId="0" borderId="7" xfId="0" applyFont="1" applyFill="1" applyBorder="1" applyAlignment="1">
      <alignment horizontal="center" vertical="center"/>
    </xf>
    <xf numFmtId="1" fontId="15" fillId="0" borderId="7" xfId="0" applyNumberFormat="1" applyFont="1" applyFill="1" applyBorder="1" applyAlignment="1">
      <alignment horizontal="center" vertical="center" readingOrder="1"/>
    </xf>
    <xf numFmtId="1" fontId="15" fillId="0" borderId="8" xfId="0" applyNumberFormat="1" applyFont="1" applyFill="1" applyBorder="1" applyAlignment="1">
      <alignment horizontal="center" vertical="center" readingOrder="1"/>
    </xf>
    <xf numFmtId="0" fontId="10" fillId="0" borderId="11" xfId="0" applyFont="1" applyFill="1" applyBorder="1" applyAlignment="1">
      <alignment horizontal="center" vertical="center" wrapText="1" readingOrder="1"/>
    </xf>
    <xf numFmtId="0" fontId="10" fillId="0" borderId="12" xfId="0" applyFont="1" applyFill="1" applyBorder="1" applyAlignment="1">
      <alignment horizontal="center" vertical="center" wrapText="1" readingOrder="1"/>
    </xf>
    <xf numFmtId="0" fontId="5" fillId="0" borderId="13" xfId="0" applyFont="1" applyFill="1" applyBorder="1" applyAlignment="1">
      <alignment horizontal="right" vertical="center" readingOrder="2"/>
    </xf>
    <xf numFmtId="0" fontId="15" fillId="0" borderId="14" xfId="0" applyFont="1" applyFill="1" applyBorder="1" applyAlignment="1">
      <alignment horizontal="center" vertical="center"/>
    </xf>
    <xf numFmtId="164" fontId="16" fillId="0" borderId="5" xfId="0" applyNumberFormat="1" applyFont="1" applyFill="1" applyBorder="1"/>
    <xf numFmtId="0" fontId="14" fillId="0" borderId="15" xfId="0" applyFont="1" applyFill="1" applyBorder="1" applyAlignment="1">
      <alignment horizontal="right" vertical="center" readingOrder="2"/>
    </xf>
    <xf numFmtId="0" fontId="15" fillId="0" borderId="16" xfId="0" applyFont="1" applyFill="1" applyBorder="1" applyAlignment="1">
      <alignment horizontal="center" vertical="center"/>
    </xf>
    <xf numFmtId="164" fontId="16" fillId="0" borderId="7" xfId="0" applyNumberFormat="1" applyFont="1" applyFill="1" applyBorder="1"/>
    <xf numFmtId="1" fontId="19" fillId="0" borderId="7" xfId="0" applyNumberFormat="1" applyFont="1" applyFill="1" applyBorder="1" applyAlignment="1">
      <alignment horizontal="center" readingOrder="1"/>
    </xf>
    <xf numFmtId="0" fontId="5" fillId="0" borderId="15" xfId="0" quotePrefix="1" applyFont="1" applyFill="1" applyBorder="1" applyAlignment="1">
      <alignment horizontal="right" vertical="center" readingOrder="2"/>
    </xf>
    <xf numFmtId="1" fontId="15" fillId="0" borderId="7" xfId="1" applyNumberFormat="1" applyFont="1" applyFill="1" applyBorder="1" applyAlignment="1">
      <alignment horizontal="center" vertical="center"/>
    </xf>
    <xf numFmtId="1" fontId="20" fillId="0" borderId="7" xfId="2" applyNumberFormat="1" applyFont="1" applyFill="1" applyBorder="1" applyAlignment="1">
      <alignment horizontal="center" vertical="center"/>
    </xf>
    <xf numFmtId="1" fontId="21" fillId="0" borderId="7" xfId="0" applyNumberFormat="1" applyFont="1" applyFill="1" applyBorder="1" applyAlignment="1">
      <alignment horizontal="center" vertical="center" readingOrder="1"/>
    </xf>
    <xf numFmtId="0" fontId="10" fillId="0" borderId="7" xfId="1" applyFont="1" applyFill="1" applyBorder="1" applyAlignment="1">
      <alignment horizontal="center" vertical="center"/>
    </xf>
    <xf numFmtId="164" fontId="15" fillId="0" borderId="7" xfId="1" applyNumberFormat="1" applyFont="1" applyFill="1" applyBorder="1" applyAlignment="1">
      <alignment horizontal="center" vertical="center"/>
    </xf>
    <xf numFmtId="0" fontId="5" fillId="0" borderId="17" xfId="0" quotePrefix="1" applyFont="1" applyFill="1" applyBorder="1" applyAlignment="1">
      <alignment horizontal="right" vertical="center" readingOrder="2"/>
    </xf>
    <xf numFmtId="1" fontId="15" fillId="0" borderId="8" xfId="1" applyNumberFormat="1" applyFont="1" applyFill="1" applyBorder="1" applyAlignment="1">
      <alignment horizontal="center" vertical="center"/>
    </xf>
    <xf numFmtId="1" fontId="20" fillId="0" borderId="8" xfId="2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readingOrder="1"/>
    </xf>
    <xf numFmtId="164" fontId="7" fillId="0" borderId="2" xfId="0" applyNumberFormat="1" applyFont="1" applyFill="1" applyBorder="1" applyAlignment="1">
      <alignment horizontal="right" vertical="center" readingOrder="2"/>
    </xf>
    <xf numFmtId="0" fontId="10" fillId="0" borderId="21" xfId="0" applyFont="1" applyFill="1" applyBorder="1" applyAlignment="1">
      <alignment horizontal="center" vertical="center" wrapText="1" readingOrder="1"/>
    </xf>
    <xf numFmtId="0" fontId="22" fillId="0" borderId="2" xfId="0" applyFont="1" applyFill="1" applyBorder="1" applyAlignment="1">
      <alignment horizontal="left" vertical="center" readingOrder="1"/>
    </xf>
    <xf numFmtId="164" fontId="10" fillId="0" borderId="2" xfId="0" applyNumberFormat="1" applyFont="1" applyFill="1" applyBorder="1" applyAlignment="1">
      <alignment horizontal="right" vertical="center" readingOrder="2"/>
    </xf>
    <xf numFmtId="164" fontId="10" fillId="0" borderId="2" xfId="0" applyNumberFormat="1" applyFont="1" applyFill="1" applyBorder="1" applyAlignment="1">
      <alignment horizontal="left" vertical="center" readingOrder="2"/>
    </xf>
    <xf numFmtId="0" fontId="10" fillId="0" borderId="2" xfId="0" applyFont="1" applyFill="1" applyBorder="1" applyAlignment="1">
      <alignment horizontal="right" vertical="center" readingOrder="2"/>
    </xf>
    <xf numFmtId="0" fontId="10" fillId="0" borderId="24" xfId="3" applyFont="1" applyFill="1" applyBorder="1" applyAlignment="1">
      <alignment horizontal="center" vertical="center" wrapText="1" readingOrder="1"/>
    </xf>
    <xf numFmtId="0" fontId="12" fillId="0" borderId="5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right" vertical="center" readingOrder="2"/>
    </xf>
    <xf numFmtId="0" fontId="15" fillId="0" borderId="14" xfId="3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left" vertical="center" readingOrder="1"/>
    </xf>
    <xf numFmtId="0" fontId="23" fillId="0" borderId="15" xfId="0" applyFont="1" applyFill="1" applyBorder="1" applyAlignment="1">
      <alignment horizontal="right" vertical="center" readingOrder="2"/>
    </xf>
    <xf numFmtId="0" fontId="15" fillId="0" borderId="16" xfId="3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 readingOrder="2"/>
    </xf>
    <xf numFmtId="0" fontId="15" fillId="0" borderId="15" xfId="0" quotePrefix="1" applyFont="1" applyFill="1" applyBorder="1" applyAlignment="1">
      <alignment horizontal="right" vertical="center" readingOrder="2"/>
    </xf>
    <xf numFmtId="0" fontId="23" fillId="0" borderId="7" xfId="0" applyFont="1" applyFill="1" applyBorder="1" applyAlignment="1">
      <alignment horizontal="left" vertical="center" wrapText="1" readingOrder="1"/>
    </xf>
    <xf numFmtId="0" fontId="15" fillId="0" borderId="8" xfId="0" applyFont="1" applyFill="1" applyBorder="1" applyAlignment="1">
      <alignment horizontal="left" vertical="center" readingOrder="2"/>
    </xf>
    <xf numFmtId="0" fontId="15" fillId="0" borderId="17" xfId="0" quotePrefix="1" applyFont="1" applyFill="1" applyBorder="1" applyAlignment="1">
      <alignment horizontal="right" vertical="center" readingOrder="2"/>
    </xf>
    <xf numFmtId="0" fontId="24" fillId="0" borderId="0" xfId="0" applyFont="1" applyFill="1" applyAlignment="1">
      <alignment horizontal="left" vertical="center"/>
    </xf>
    <xf numFmtId="0" fontId="25" fillId="0" borderId="0" xfId="0" applyFont="1" applyFill="1" applyBorder="1" applyAlignment="1">
      <alignment horizontal="right" vertical="center" readingOrder="1"/>
    </xf>
    <xf numFmtId="0" fontId="16" fillId="0" borderId="0" xfId="0" applyFont="1" applyFill="1"/>
    <xf numFmtId="0" fontId="22" fillId="0" borderId="3" xfId="0" applyFont="1" applyFill="1" applyBorder="1" applyAlignment="1">
      <alignment horizontal="left" vertical="center" readingOrder="1"/>
    </xf>
    <xf numFmtId="164" fontId="10" fillId="0" borderId="2" xfId="0" applyNumberFormat="1" applyFont="1" applyFill="1" applyBorder="1" applyAlignment="1">
      <alignment vertical="center" readingOrder="2"/>
    </xf>
    <xf numFmtId="164" fontId="27" fillId="0" borderId="3" xfId="0" applyNumberFormat="1" applyFont="1" applyFill="1" applyBorder="1" applyAlignment="1">
      <alignment horizontal="left" vertical="center" readingOrder="2"/>
    </xf>
    <xf numFmtId="0" fontId="27" fillId="0" borderId="2" xfId="0" applyFont="1" applyFill="1" applyBorder="1" applyAlignment="1">
      <alignment horizontal="right" vertical="center" readingOrder="2"/>
    </xf>
    <xf numFmtId="0" fontId="27" fillId="0" borderId="2" xfId="0" applyFont="1" applyFill="1" applyBorder="1" applyAlignment="1">
      <alignment horizontal="center" vertical="center" wrapText="1" readingOrder="1"/>
    </xf>
    <xf numFmtId="17" fontId="27" fillId="0" borderId="2" xfId="2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 readingOrder="1"/>
    </xf>
    <xf numFmtId="0" fontId="23" fillId="0" borderId="15" xfId="0" applyFont="1" applyFill="1" applyBorder="1" applyAlignment="1">
      <alignment horizontal="left" vertical="center" readingOrder="1"/>
    </xf>
    <xf numFmtId="0" fontId="23" fillId="0" borderId="7" xfId="0" applyFont="1" applyFill="1" applyBorder="1" applyAlignment="1">
      <alignment horizontal="right" vertical="center" readingOrder="2"/>
    </xf>
    <xf numFmtId="0" fontId="15" fillId="0" borderId="7" xfId="0" applyFont="1" applyFill="1" applyBorder="1"/>
    <xf numFmtId="0" fontId="15" fillId="0" borderId="7" xfId="0" applyFont="1" applyBorder="1"/>
    <xf numFmtId="0" fontId="8" fillId="0" borderId="7" xfId="0" applyFont="1" applyFill="1" applyBorder="1" applyAlignment="1">
      <alignment horizontal="right" vertical="center"/>
    </xf>
    <xf numFmtId="1" fontId="12" fillId="0" borderId="7" xfId="0" applyNumberFormat="1" applyFont="1" applyFill="1" applyBorder="1" applyAlignment="1">
      <alignment horizontal="center" readingOrder="1"/>
    </xf>
    <xf numFmtId="1" fontId="12" fillId="0" borderId="7" xfId="0" applyNumberFormat="1" applyFont="1" applyBorder="1" applyAlignment="1">
      <alignment horizontal="center" readingOrder="1"/>
    </xf>
    <xf numFmtId="0" fontId="28" fillId="0" borderId="15" xfId="0" applyFont="1" applyFill="1" applyBorder="1" applyAlignment="1">
      <alignment horizontal="left" vertical="center" readingOrder="1"/>
    </xf>
    <xf numFmtId="0" fontId="28" fillId="0" borderId="7" xfId="0" applyFont="1" applyFill="1" applyBorder="1" applyAlignment="1">
      <alignment horizontal="right" vertical="center" readingOrder="2"/>
    </xf>
    <xf numFmtId="0" fontId="15" fillId="0" borderId="15" xfId="0" applyFont="1" applyFill="1" applyBorder="1" applyAlignment="1">
      <alignment horizontal="left" vertical="center" readingOrder="2"/>
    </xf>
    <xf numFmtId="0" fontId="15" fillId="0" borderId="7" xfId="0" quotePrefix="1" applyFont="1" applyFill="1" applyBorder="1" applyAlignment="1">
      <alignment horizontal="right" vertical="center" readingOrder="2"/>
    </xf>
    <xf numFmtId="1" fontId="15" fillId="0" borderId="7" xfId="0" applyNumberFormat="1" applyFont="1" applyBorder="1" applyAlignment="1">
      <alignment horizontal="center" vertical="center" readingOrder="1"/>
    </xf>
    <xf numFmtId="1" fontId="15" fillId="0" borderId="7" xfId="2" applyNumberFormat="1" applyFont="1" applyFill="1" applyBorder="1" applyAlignment="1">
      <alignment horizontal="center" vertical="center"/>
    </xf>
    <xf numFmtId="1" fontId="15" fillId="0" borderId="7" xfId="2" applyNumberFormat="1" applyFont="1" applyBorder="1" applyAlignment="1">
      <alignment horizontal="center" vertical="center"/>
    </xf>
    <xf numFmtId="1" fontId="15" fillId="0" borderId="7" xfId="0" applyNumberFormat="1" applyFont="1" applyFill="1" applyBorder="1" applyAlignment="1">
      <alignment horizontal="center" readingOrder="1"/>
    </xf>
    <xf numFmtId="1" fontId="15" fillId="0" borderId="7" xfId="0" applyNumberFormat="1" applyFont="1" applyBorder="1" applyAlignment="1">
      <alignment horizontal="center" readingOrder="1"/>
    </xf>
    <xf numFmtId="0" fontId="23" fillId="0" borderId="15" xfId="0" applyFont="1" applyFill="1" applyBorder="1" applyAlignment="1">
      <alignment horizontal="left" vertical="center" wrapText="1" readingOrder="1"/>
    </xf>
    <xf numFmtId="0" fontId="15" fillId="0" borderId="17" xfId="0" applyFont="1" applyFill="1" applyBorder="1" applyAlignment="1">
      <alignment horizontal="left" vertical="center" readingOrder="2"/>
    </xf>
    <xf numFmtId="0" fontId="15" fillId="0" borderId="8" xfId="0" quotePrefix="1" applyFont="1" applyFill="1" applyBorder="1" applyAlignment="1">
      <alignment horizontal="right" vertical="center" readingOrder="2"/>
    </xf>
    <xf numFmtId="1" fontId="15" fillId="0" borderId="8" xfId="2" applyNumberFormat="1" applyFont="1" applyFill="1" applyBorder="1" applyAlignment="1">
      <alignment horizontal="center" vertical="center"/>
    </xf>
    <xf numFmtId="1" fontId="15" fillId="0" borderId="8" xfId="2" applyNumberFormat="1" applyFont="1" applyBorder="1" applyAlignment="1">
      <alignment horizontal="center" vertical="center"/>
    </xf>
    <xf numFmtId="0" fontId="24" fillId="0" borderId="0" xfId="1" applyFont="1" applyFill="1" applyBorder="1" applyAlignment="1">
      <alignment horizontal="left" vertical="center"/>
    </xf>
    <xf numFmtId="0" fontId="8" fillId="0" borderId="0" xfId="1" quotePrefix="1" applyFont="1" applyFill="1" applyBorder="1" applyAlignment="1">
      <alignment horizontal="right" vertical="center" indent="1" readingOrder="2"/>
    </xf>
    <xf numFmtId="0" fontId="30" fillId="0" borderId="0" xfId="1" applyFont="1" applyFill="1" applyBorder="1" applyAlignment="1">
      <alignment horizontal="right" vertical="center" readingOrder="2"/>
    </xf>
    <xf numFmtId="0" fontId="30" fillId="0" borderId="0" xfId="1" applyFont="1" applyFill="1" applyBorder="1" applyAlignment="1">
      <alignment horizontal="right" vertical="center" indent="1" readingOrder="2"/>
    </xf>
    <xf numFmtId="0" fontId="21" fillId="0" borderId="0" xfId="0" applyFont="1" applyFill="1"/>
    <xf numFmtId="0" fontId="31" fillId="0" borderId="0" xfId="1" quotePrefix="1" applyFont="1" applyFill="1" applyBorder="1" applyAlignment="1">
      <alignment horizontal="right" vertical="center" indent="1" readingOrder="2"/>
    </xf>
    <xf numFmtId="0" fontId="8" fillId="0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21" fillId="0" borderId="0" xfId="0" applyFont="1"/>
    <xf numFmtId="0" fontId="16" fillId="0" borderId="0" xfId="0" applyFont="1"/>
    <xf numFmtId="0" fontId="22" fillId="0" borderId="3" xfId="0" applyFont="1" applyBorder="1" applyAlignment="1">
      <alignment horizontal="left" vertical="center" readingOrder="1"/>
    </xf>
    <xf numFmtId="164" fontId="10" fillId="0" borderId="2" xfId="0" applyNumberFormat="1" applyFont="1" applyBorder="1" applyAlignment="1">
      <alignment vertical="center" readingOrder="2"/>
    </xf>
    <xf numFmtId="0" fontId="15" fillId="0" borderId="0" xfId="0" applyFont="1"/>
    <xf numFmtId="164" fontId="27" fillId="0" borderId="3" xfId="0" applyNumberFormat="1" applyFont="1" applyBorder="1" applyAlignment="1">
      <alignment horizontal="left" vertical="center" readingOrder="2"/>
    </xf>
    <xf numFmtId="0" fontId="27" fillId="0" borderId="2" xfId="0" applyFont="1" applyBorder="1" applyAlignment="1">
      <alignment horizontal="right" vertical="center" readingOrder="2"/>
    </xf>
    <xf numFmtId="0" fontId="27" fillId="0" borderId="2" xfId="0" applyFont="1" applyBorder="1" applyAlignment="1">
      <alignment horizontal="center" vertical="center" wrapText="1" readingOrder="1"/>
    </xf>
    <xf numFmtId="17" fontId="27" fillId="0" borderId="2" xfId="2" applyNumberFormat="1" applyFont="1" applyBorder="1" applyAlignment="1">
      <alignment horizontal="center" vertical="center"/>
    </xf>
    <xf numFmtId="0" fontId="32" fillId="0" borderId="0" xfId="0" applyFont="1"/>
    <xf numFmtId="0" fontId="33" fillId="2" borderId="7" xfId="2" applyFont="1" applyFill="1" applyBorder="1" applyAlignment="1">
      <alignment horizontal="left" vertical="center"/>
    </xf>
    <xf numFmtId="0" fontId="34" fillId="2" borderId="7" xfId="2" applyFont="1" applyFill="1" applyBorder="1" applyAlignment="1">
      <alignment horizontal="right" vertical="center" wrapText="1"/>
    </xf>
    <xf numFmtId="0" fontId="33" fillId="0" borderId="7" xfId="2" applyFont="1" applyBorder="1" applyAlignment="1">
      <alignment horizontal="left" vertical="center"/>
    </xf>
    <xf numFmtId="0" fontId="34" fillId="0" borderId="7" xfId="2" applyFont="1" applyBorder="1" applyAlignment="1">
      <alignment horizontal="right" vertical="center"/>
    </xf>
    <xf numFmtId="0" fontId="37" fillId="0" borderId="7" xfId="2" applyFont="1" applyBorder="1" applyAlignment="1">
      <alignment horizontal="left" vertical="center" indent="1"/>
    </xf>
    <xf numFmtId="0" fontId="38" fillId="0" borderId="7" xfId="2" applyFont="1" applyBorder="1" applyAlignment="1">
      <alignment horizontal="right" vertical="center" indent="1" readingOrder="2"/>
    </xf>
    <xf numFmtId="0" fontId="33" fillId="0" borderId="7" xfId="2" applyFont="1" applyBorder="1" applyAlignment="1">
      <alignment horizontal="left" vertical="center" indent="1"/>
    </xf>
    <xf numFmtId="0" fontId="34" fillId="0" borderId="7" xfId="2" applyFont="1" applyBorder="1" applyAlignment="1">
      <alignment horizontal="right" vertical="center" indent="1"/>
    </xf>
    <xf numFmtId="0" fontId="15" fillId="0" borderId="7" xfId="2" applyFont="1" applyBorder="1" applyAlignment="1">
      <alignment horizontal="left" vertical="center" indent="2" readingOrder="2"/>
    </xf>
    <xf numFmtId="0" fontId="39" fillId="0" borderId="7" xfId="2" applyFont="1" applyBorder="1" applyAlignment="1">
      <alignment horizontal="right" vertical="center" indent="2" readingOrder="2"/>
    </xf>
    <xf numFmtId="0" fontId="38" fillId="0" borderId="7" xfId="2" applyFont="1" applyBorder="1" applyAlignment="1">
      <alignment horizontal="right" vertical="center" wrapText="1" indent="1" readingOrder="2"/>
    </xf>
    <xf numFmtId="0" fontId="15" fillId="0" borderId="7" xfId="2" quotePrefix="1" applyFont="1" applyBorder="1" applyAlignment="1">
      <alignment horizontal="left" vertical="center"/>
    </xf>
    <xf numFmtId="0" fontId="39" fillId="0" borderId="7" xfId="2" quotePrefix="1" applyFont="1" applyBorder="1" applyAlignment="1">
      <alignment horizontal="right" vertical="center"/>
    </xf>
    <xf numFmtId="0" fontId="33" fillId="0" borderId="7" xfId="2" applyFont="1" applyBorder="1" applyAlignment="1">
      <alignment horizontal="left" vertical="center" wrapText="1"/>
    </xf>
    <xf numFmtId="0" fontId="34" fillId="0" borderId="7" xfId="2" applyFont="1" applyBorder="1" applyAlignment="1">
      <alignment horizontal="right" vertical="center" wrapText="1"/>
    </xf>
    <xf numFmtId="0" fontId="15" fillId="0" borderId="7" xfId="2" applyFont="1" applyBorder="1" applyAlignment="1">
      <alignment vertical="center"/>
    </xf>
    <xf numFmtId="0" fontId="39" fillId="0" borderId="7" xfId="2" applyFont="1" applyBorder="1" applyAlignment="1">
      <alignment horizontal="right" vertical="center"/>
    </xf>
    <xf numFmtId="0" fontId="15" fillId="0" borderId="8" xfId="2" applyFont="1" applyBorder="1" applyAlignment="1">
      <alignment horizontal="left" vertical="center"/>
    </xf>
    <xf numFmtId="0" fontId="39" fillId="0" borderId="8" xfId="2" applyFont="1" applyBorder="1" applyAlignment="1">
      <alignment horizontal="right" vertical="center"/>
    </xf>
    <xf numFmtId="0" fontId="15" fillId="0" borderId="27" xfId="2" applyFont="1" applyFill="1" applyBorder="1" applyAlignment="1">
      <alignment vertical="center"/>
    </xf>
    <xf numFmtId="0" fontId="43" fillId="0" borderId="27" xfId="2" applyFont="1" applyFill="1" applyBorder="1" applyAlignment="1">
      <alignment horizontal="right" vertical="center" readingOrder="2"/>
    </xf>
    <xf numFmtId="0" fontId="46" fillId="0" borderId="27" xfId="2" applyFont="1" applyFill="1" applyBorder="1" applyAlignment="1">
      <alignment vertical="center" readingOrder="2"/>
    </xf>
    <xf numFmtId="0" fontId="15" fillId="0" borderId="0" xfId="2" applyFont="1" applyFill="1" applyBorder="1" applyAlignment="1">
      <alignment vertical="center" wrapText="1"/>
    </xf>
    <xf numFmtId="0" fontId="47" fillId="0" borderId="0" xfId="2" applyFont="1" applyFill="1" applyBorder="1" applyAlignment="1">
      <alignment horizontal="right" vertical="center" readingOrder="2"/>
    </xf>
    <xf numFmtId="0" fontId="48" fillId="0" borderId="0" xfId="2" applyFont="1" applyFill="1" applyBorder="1" applyAlignment="1">
      <alignment vertical="center" readingOrder="2"/>
    </xf>
    <xf numFmtId="0" fontId="43" fillId="0" borderId="0" xfId="2" applyFont="1" applyFill="1" applyBorder="1" applyAlignment="1">
      <alignment horizontal="right" vertical="center" wrapText="1" readingOrder="2"/>
    </xf>
    <xf numFmtId="0" fontId="46" fillId="0" borderId="0" xfId="2" applyFont="1" applyFill="1" applyBorder="1" applyAlignment="1">
      <alignment vertical="center" readingOrder="2"/>
    </xf>
    <xf numFmtId="0" fontId="15" fillId="0" borderId="0" xfId="2" applyFont="1" applyFill="1" applyBorder="1" applyAlignment="1">
      <alignment vertical="center"/>
    </xf>
    <xf numFmtId="0" fontId="43" fillId="0" borderId="0" xfId="2" applyFont="1" applyFill="1" applyBorder="1" applyAlignment="1">
      <alignment horizontal="right" vertical="center" readingOrder="2"/>
    </xf>
    <xf numFmtId="0" fontId="24" fillId="0" borderId="0" xfId="2" applyFont="1" applyAlignment="1">
      <alignment horizontal="left" vertical="center"/>
    </xf>
    <xf numFmtId="0" fontId="31" fillId="0" borderId="0" xfId="2" quotePrefix="1" applyFont="1" applyAlignment="1">
      <alignment horizontal="right" vertical="center" indent="1" readingOrder="2"/>
    </xf>
    <xf numFmtId="0" fontId="49" fillId="3" borderId="28" xfId="4" applyFont="1" applyFill="1" applyBorder="1" applyAlignment="1">
      <alignment horizontal="left" vertical="center"/>
    </xf>
    <xf numFmtId="0" fontId="49" fillId="3" borderId="2" xfId="4" applyFont="1" applyFill="1" applyBorder="1" applyAlignment="1">
      <alignment horizontal="center" vertical="center"/>
    </xf>
    <xf numFmtId="17" fontId="49" fillId="3" borderId="7" xfId="2" applyNumberFormat="1" applyFont="1" applyFill="1" applyBorder="1" applyAlignment="1">
      <alignment horizontal="center" vertical="center"/>
    </xf>
    <xf numFmtId="17" fontId="49" fillId="3" borderId="29" xfId="2" applyNumberFormat="1" applyFont="1" applyFill="1" applyBorder="1" applyAlignment="1">
      <alignment horizontal="center" vertical="center"/>
    </xf>
    <xf numFmtId="0" fontId="50" fillId="0" borderId="7" xfId="2" applyFont="1" applyFill="1" applyBorder="1" applyAlignment="1">
      <alignment horizontal="left" vertical="center" readingOrder="1"/>
    </xf>
    <xf numFmtId="0" fontId="50" fillId="0" borderId="7" xfId="2" applyFont="1" applyFill="1" applyBorder="1" applyAlignment="1">
      <alignment horizontal="right" vertical="center" readingOrder="2"/>
    </xf>
    <xf numFmtId="0" fontId="15" fillId="0" borderId="29" xfId="0" applyFont="1" applyBorder="1"/>
    <xf numFmtId="0" fontId="33" fillId="0" borderId="7" xfId="2" applyFont="1" applyBorder="1" applyAlignment="1">
      <alignment horizontal="right" vertical="center" readingOrder="2"/>
    </xf>
    <xf numFmtId="1" fontId="12" fillId="0" borderId="29" xfId="0" applyNumberFormat="1" applyFont="1" applyBorder="1" applyAlignment="1">
      <alignment horizontal="center" readingOrder="1"/>
    </xf>
    <xf numFmtId="0" fontId="51" fillId="0" borderId="7" xfId="2" quotePrefix="1" applyFont="1" applyFill="1" applyBorder="1" applyAlignment="1">
      <alignment horizontal="left" vertical="center" readingOrder="1"/>
    </xf>
    <xf numFmtId="0" fontId="51" fillId="0" borderId="7" xfId="2" quotePrefix="1" applyFont="1" applyFill="1" applyBorder="1" applyAlignment="1">
      <alignment horizontal="right" vertical="center" readingOrder="2"/>
    </xf>
    <xf numFmtId="0" fontId="52" fillId="0" borderId="7" xfId="2" applyFont="1" applyBorder="1" applyAlignment="1">
      <alignment horizontal="left" vertical="center" indent="1"/>
    </xf>
    <xf numFmtId="0" fontId="52" fillId="0" borderId="7" xfId="2" applyFont="1" applyBorder="1" applyAlignment="1">
      <alignment horizontal="right" vertical="center" readingOrder="2"/>
    </xf>
    <xf numFmtId="0" fontId="53" fillId="0" borderId="7" xfId="2" quotePrefix="1" applyFont="1" applyFill="1" applyBorder="1" applyAlignment="1">
      <alignment horizontal="left" vertical="center" indent="1" readingOrder="1"/>
    </xf>
    <xf numFmtId="0" fontId="53" fillId="0" borderId="7" xfId="2" quotePrefix="1" applyFont="1" applyFill="1" applyBorder="1" applyAlignment="1">
      <alignment horizontal="right" vertical="center" readingOrder="2"/>
    </xf>
    <xf numFmtId="1" fontId="54" fillId="0" borderId="6" xfId="2" applyNumberFormat="1" applyFont="1" applyFill="1" applyBorder="1" applyAlignment="1">
      <alignment horizontal="center" vertical="center"/>
    </xf>
    <xf numFmtId="1" fontId="54" fillId="0" borderId="30" xfId="2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 readingOrder="1"/>
    </xf>
    <xf numFmtId="0" fontId="15" fillId="0" borderId="7" xfId="2" applyFont="1" applyBorder="1" applyAlignment="1">
      <alignment horizontal="right" vertical="center" readingOrder="2"/>
    </xf>
    <xf numFmtId="0" fontId="50" fillId="0" borderId="7" xfId="2" applyFont="1" applyFill="1" applyBorder="1" applyAlignment="1">
      <alignment horizontal="left" vertical="center" wrapText="1" readingOrder="1"/>
    </xf>
    <xf numFmtId="0" fontId="50" fillId="0" borderId="7" xfId="2" applyFont="1" applyFill="1" applyBorder="1" applyAlignment="1">
      <alignment horizontal="right" vertical="center" wrapText="1" readingOrder="2"/>
    </xf>
    <xf numFmtId="1" fontId="15" fillId="0" borderId="29" xfId="2" applyNumberFormat="1" applyFont="1" applyBorder="1" applyAlignment="1">
      <alignment horizontal="center" vertical="center"/>
    </xf>
    <xf numFmtId="1" fontId="54" fillId="0" borderId="9" xfId="2" applyNumberFormat="1" applyFont="1" applyFill="1" applyBorder="1" applyAlignment="1">
      <alignment horizontal="center" vertical="center"/>
    </xf>
    <xf numFmtId="1" fontId="54" fillId="0" borderId="31" xfId="2" applyNumberFormat="1" applyFont="1" applyFill="1" applyBorder="1" applyAlignment="1">
      <alignment horizontal="center" vertical="center"/>
    </xf>
    <xf numFmtId="0" fontId="55" fillId="0" borderId="27" xfId="2" applyFont="1" applyFill="1" applyBorder="1" applyAlignment="1">
      <alignment vertical="center"/>
    </xf>
    <xf numFmtId="0" fontId="55" fillId="0" borderId="27" xfId="2" applyFont="1" applyFill="1" applyBorder="1" applyAlignment="1">
      <alignment horizontal="right" vertical="center" readingOrder="2"/>
    </xf>
    <xf numFmtId="0" fontId="46" fillId="0" borderId="27" xfId="2" applyFont="1" applyBorder="1" applyAlignment="1">
      <alignment vertical="center" readingOrder="2"/>
    </xf>
    <xf numFmtId="0" fontId="55" fillId="0" borderId="0" xfId="2" applyFont="1" applyFill="1" applyBorder="1" applyAlignment="1">
      <alignment vertical="center" wrapText="1"/>
    </xf>
    <xf numFmtId="0" fontId="55" fillId="0" borderId="0" xfId="2" applyFont="1" applyFill="1" applyBorder="1" applyAlignment="1">
      <alignment horizontal="right" vertical="center" wrapText="1" readingOrder="2"/>
    </xf>
    <xf numFmtId="0" fontId="48" fillId="0" borderId="0" xfId="2" applyFont="1" applyAlignment="1">
      <alignment vertical="center" readingOrder="2"/>
    </xf>
    <xf numFmtId="0" fontId="46" fillId="0" borderId="0" xfId="2" applyFont="1" applyAlignment="1">
      <alignment vertical="center" readingOrder="2"/>
    </xf>
    <xf numFmtId="0" fontId="55" fillId="0" borderId="0" xfId="2" applyFont="1" applyFill="1" applyBorder="1" applyAlignment="1">
      <alignment vertical="center"/>
    </xf>
    <xf numFmtId="0" fontId="55" fillId="0" borderId="0" xfId="2" applyFont="1" applyFill="1" applyBorder="1" applyAlignment="1">
      <alignment horizontal="right" vertical="center" readingOrder="2"/>
    </xf>
    <xf numFmtId="0" fontId="24" fillId="0" borderId="0" xfId="5" applyFont="1" applyAlignment="1">
      <alignment horizontal="left" vertical="center"/>
    </xf>
    <xf numFmtId="0" fontId="21" fillId="0" borderId="0" xfId="5" applyFont="1"/>
    <xf numFmtId="0" fontId="16" fillId="0" borderId="0" xfId="5" applyFont="1"/>
    <xf numFmtId="0" fontId="49" fillId="3" borderId="34" xfId="4" applyFont="1" applyFill="1" applyBorder="1" applyAlignment="1">
      <alignment horizontal="left" vertical="center"/>
    </xf>
    <xf numFmtId="0" fontId="49" fillId="3" borderId="35" xfId="4" applyFont="1" applyFill="1" applyBorder="1" applyAlignment="1">
      <alignment horizontal="left" vertical="center"/>
    </xf>
    <xf numFmtId="0" fontId="56" fillId="0" borderId="0" xfId="5"/>
    <xf numFmtId="0" fontId="49" fillId="3" borderId="37" xfId="4" applyFont="1" applyFill="1" applyBorder="1" applyAlignment="1">
      <alignment horizontal="center" vertical="center"/>
    </xf>
    <xf numFmtId="0" fontId="49" fillId="3" borderId="38" xfId="4" applyFont="1" applyFill="1" applyBorder="1" applyAlignment="1">
      <alignment horizontal="center" vertical="center"/>
    </xf>
    <xf numFmtId="17" fontId="49" fillId="3" borderId="39" xfId="2" applyNumberFormat="1" applyFont="1" applyFill="1" applyBorder="1" applyAlignment="1">
      <alignment horizontal="center" vertical="center"/>
    </xf>
    <xf numFmtId="0" fontId="50" fillId="0" borderId="39" xfId="2" applyFont="1" applyFill="1" applyBorder="1" applyAlignment="1">
      <alignment horizontal="left" vertical="center" readingOrder="1"/>
    </xf>
    <xf numFmtId="0" fontId="50" fillId="0" borderId="29" xfId="2" applyFont="1" applyFill="1" applyBorder="1" applyAlignment="1">
      <alignment horizontal="right" vertical="center" readingOrder="2"/>
    </xf>
    <xf numFmtId="0" fontId="15" fillId="0" borderId="7" xfId="5" applyFont="1" applyBorder="1"/>
    <xf numFmtId="0" fontId="15" fillId="0" borderId="29" xfId="5" applyFont="1" applyBorder="1"/>
    <xf numFmtId="0" fontId="15" fillId="0" borderId="39" xfId="6" applyFont="1" applyBorder="1"/>
    <xf numFmtId="0" fontId="15" fillId="0" borderId="29" xfId="6" applyFont="1" applyBorder="1"/>
    <xf numFmtId="0" fontId="33" fillId="0" borderId="39" xfId="2" applyFont="1" applyBorder="1" applyAlignment="1">
      <alignment horizontal="left" vertical="center"/>
    </xf>
    <xf numFmtId="0" fontId="33" fillId="0" borderId="29" xfId="2" applyFont="1" applyBorder="1" applyAlignment="1">
      <alignment horizontal="right" vertical="center" readingOrder="2"/>
    </xf>
    <xf numFmtId="1" fontId="12" fillId="0" borderId="7" xfId="5" applyNumberFormat="1" applyFont="1" applyBorder="1" applyAlignment="1">
      <alignment horizontal="center" readingOrder="1"/>
    </xf>
    <xf numFmtId="1" fontId="12" fillId="0" borderId="29" xfId="5" applyNumberFormat="1" applyFont="1" applyBorder="1" applyAlignment="1">
      <alignment horizontal="center" readingOrder="1"/>
    </xf>
    <xf numFmtId="1" fontId="12" fillId="0" borderId="39" xfId="6" applyNumberFormat="1" applyFont="1" applyBorder="1" applyAlignment="1">
      <alignment horizontal="center" readingOrder="1"/>
    </xf>
    <xf numFmtId="1" fontId="12" fillId="0" borderId="29" xfId="6" applyNumberFormat="1" applyFont="1" applyBorder="1" applyAlignment="1">
      <alignment horizontal="center" readingOrder="1"/>
    </xf>
    <xf numFmtId="0" fontId="51" fillId="0" borderId="39" xfId="2" quotePrefix="1" applyFont="1" applyFill="1" applyBorder="1" applyAlignment="1">
      <alignment horizontal="left" vertical="center" readingOrder="1"/>
    </xf>
    <xf numFmtId="0" fontId="51" fillId="0" borderId="29" xfId="2" quotePrefix="1" applyFont="1" applyFill="1" applyBorder="1" applyAlignment="1">
      <alignment horizontal="right" vertical="center" readingOrder="2"/>
    </xf>
    <xf numFmtId="0" fontId="52" fillId="0" borderId="39" xfId="2" applyFont="1" applyBorder="1" applyAlignment="1">
      <alignment horizontal="left" vertical="center" indent="1"/>
    </xf>
    <xf numFmtId="0" fontId="52" fillId="0" borderId="29" xfId="2" applyFont="1" applyBorder="1" applyAlignment="1">
      <alignment horizontal="right" vertical="center" readingOrder="2"/>
    </xf>
    <xf numFmtId="0" fontId="53" fillId="0" borderId="39" xfId="2" quotePrefix="1" applyFont="1" applyFill="1" applyBorder="1" applyAlignment="1">
      <alignment horizontal="left" vertical="center" indent="1" readingOrder="1"/>
    </xf>
    <xf numFmtId="0" fontId="53" fillId="0" borderId="29" xfId="2" quotePrefix="1" applyFont="1" applyFill="1" applyBorder="1" applyAlignment="1">
      <alignment horizontal="right" vertical="center" readingOrder="2"/>
    </xf>
    <xf numFmtId="1" fontId="54" fillId="0" borderId="39" xfId="2" applyNumberFormat="1" applyFont="1" applyFill="1" applyBorder="1" applyAlignment="1">
      <alignment horizontal="center" vertical="center"/>
    </xf>
    <xf numFmtId="0" fontId="16" fillId="0" borderId="0" xfId="4"/>
    <xf numFmtId="1" fontId="15" fillId="0" borderId="7" xfId="5" applyNumberFormat="1" applyFont="1" applyBorder="1" applyAlignment="1">
      <alignment horizontal="center" vertical="center" readingOrder="1"/>
    </xf>
    <xf numFmtId="1" fontId="15" fillId="0" borderId="29" xfId="5" applyNumberFormat="1" applyFont="1" applyBorder="1" applyAlignment="1">
      <alignment horizontal="center" vertical="center" readingOrder="1"/>
    </xf>
    <xf numFmtId="1" fontId="15" fillId="0" borderId="39" xfId="6" applyNumberFormat="1" applyFont="1" applyBorder="1" applyAlignment="1">
      <alignment horizontal="center" vertical="center" readingOrder="1"/>
    </xf>
    <xf numFmtId="1" fontId="15" fillId="0" borderId="29" xfId="6" applyNumberFormat="1" applyFont="1" applyBorder="1" applyAlignment="1">
      <alignment horizontal="center" vertical="center" readingOrder="1"/>
    </xf>
    <xf numFmtId="0" fontId="15" fillId="0" borderId="39" xfId="2" applyFont="1" applyBorder="1" applyAlignment="1">
      <alignment horizontal="left" vertical="center" indent="2" readingOrder="2"/>
    </xf>
    <xf numFmtId="0" fontId="15" fillId="0" borderId="29" xfId="2" applyFont="1" applyBorder="1" applyAlignment="1">
      <alignment horizontal="right" vertical="center" readingOrder="2"/>
    </xf>
    <xf numFmtId="0" fontId="50" fillId="0" borderId="39" xfId="2" applyFont="1" applyFill="1" applyBorder="1" applyAlignment="1">
      <alignment horizontal="left" vertical="center" wrapText="1" readingOrder="1"/>
    </xf>
    <xf numFmtId="0" fontId="50" fillId="0" borderId="29" xfId="2" applyFont="1" applyFill="1" applyBorder="1" applyAlignment="1">
      <alignment horizontal="right" vertical="center" wrapText="1" readingOrder="2"/>
    </xf>
    <xf numFmtId="1" fontId="15" fillId="0" borderId="39" xfId="2" applyNumberFormat="1" applyFont="1" applyBorder="1" applyAlignment="1">
      <alignment horizontal="center" vertical="center"/>
    </xf>
    <xf numFmtId="0" fontId="53" fillId="0" borderId="40" xfId="2" quotePrefix="1" applyFont="1" applyFill="1" applyBorder="1" applyAlignment="1">
      <alignment horizontal="left" vertical="center" indent="1" readingOrder="1"/>
    </xf>
    <xf numFmtId="0" fontId="53" fillId="0" borderId="41" xfId="2" quotePrefix="1" applyFont="1" applyFill="1" applyBorder="1" applyAlignment="1">
      <alignment horizontal="right" vertical="center" readingOrder="2"/>
    </xf>
    <xf numFmtId="1" fontId="54" fillId="0" borderId="42" xfId="2" applyNumberFormat="1" applyFont="1" applyFill="1" applyBorder="1" applyAlignment="1">
      <alignment horizontal="center" vertical="center"/>
    </xf>
    <xf numFmtId="1" fontId="54" fillId="0" borderId="43" xfId="2" applyNumberFormat="1" applyFont="1" applyFill="1" applyBorder="1" applyAlignment="1">
      <alignment horizontal="center" vertical="center"/>
    </xf>
    <xf numFmtId="0" fontId="57" fillId="0" borderId="0" xfId="2" applyFont="1" applyFill="1" applyBorder="1" applyAlignment="1">
      <alignment vertical="center" readingOrder="2"/>
    </xf>
    <xf numFmtId="0" fontId="55" fillId="0" borderId="0" xfId="5" applyFont="1"/>
    <xf numFmtId="0" fontId="55" fillId="0" borderId="0" xfId="2" applyFont="1" applyFill="1" applyBorder="1" applyAlignment="1">
      <alignment vertical="center" readingOrder="2"/>
    </xf>
    <xf numFmtId="1" fontId="54" fillId="0" borderId="4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readingOrder="1"/>
    </xf>
    <xf numFmtId="0" fontId="10" fillId="0" borderId="4" xfId="0" applyFont="1" applyFill="1" applyBorder="1" applyAlignment="1">
      <alignment horizontal="center" vertical="center" wrapText="1" readingOrder="1"/>
    </xf>
    <xf numFmtId="0" fontId="10" fillId="0" borderId="12" xfId="0" applyFont="1" applyFill="1" applyBorder="1" applyAlignment="1">
      <alignment horizontal="center" vertical="center" wrapText="1" readingOrder="1"/>
    </xf>
    <xf numFmtId="0" fontId="10" fillId="0" borderId="18" xfId="0" applyFont="1" applyFill="1" applyBorder="1" applyAlignment="1">
      <alignment horizontal="center" vertical="center" wrapText="1" readingOrder="1"/>
    </xf>
    <xf numFmtId="0" fontId="10" fillId="0" borderId="19" xfId="0" applyFont="1" applyFill="1" applyBorder="1" applyAlignment="1">
      <alignment horizontal="center" vertical="center" wrapText="1" readingOrder="1"/>
    </xf>
    <xf numFmtId="0" fontId="10" fillId="0" borderId="20" xfId="0" applyFont="1" applyFill="1" applyBorder="1" applyAlignment="1">
      <alignment horizontal="center" vertical="center" wrapText="1" readingOrder="1"/>
    </xf>
    <xf numFmtId="0" fontId="10" fillId="0" borderId="22" xfId="3" applyFont="1" applyFill="1" applyBorder="1" applyAlignment="1">
      <alignment horizontal="center" vertical="center" wrapText="1" readingOrder="1"/>
    </xf>
    <xf numFmtId="0" fontId="10" fillId="0" borderId="23" xfId="3" applyFont="1" applyFill="1" applyBorder="1" applyAlignment="1">
      <alignment horizontal="center" vertical="center" wrapText="1" readingOrder="1"/>
    </xf>
    <xf numFmtId="0" fontId="26" fillId="0" borderId="0" xfId="0" applyFont="1" applyFill="1" applyBorder="1" applyAlignment="1">
      <alignment horizontal="center" vertical="center" readingOrder="1"/>
    </xf>
    <xf numFmtId="0" fontId="10" fillId="0" borderId="25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49" fillId="3" borderId="32" xfId="0" applyFont="1" applyFill="1" applyBorder="1" applyAlignment="1">
      <alignment horizontal="center" vertical="center"/>
    </xf>
    <xf numFmtId="0" fontId="49" fillId="3" borderId="33" xfId="0" applyFont="1" applyFill="1" applyBorder="1" applyAlignment="1">
      <alignment horizontal="center" vertical="center"/>
    </xf>
    <xf numFmtId="0" fontId="49" fillId="3" borderId="36" xfId="4" applyFont="1" applyFill="1" applyBorder="1" applyAlignment="1">
      <alignment horizontal="center" vertical="center"/>
    </xf>
    <xf numFmtId="0" fontId="49" fillId="3" borderId="33" xfId="4" applyFont="1" applyFill="1" applyBorder="1" applyAlignment="1">
      <alignment horizontal="center" vertical="center"/>
    </xf>
    <xf numFmtId="0" fontId="49" fillId="3" borderId="32" xfId="4" applyFont="1" applyFill="1" applyBorder="1" applyAlignment="1">
      <alignment horizontal="center" vertical="center"/>
    </xf>
  </cellXfs>
  <cellStyles count="7">
    <cellStyle name="Normal" xfId="0" builtinId="0"/>
    <cellStyle name="Normal 2" xfId="3" xr:uid="{BCDC2F08-AF9E-4ED0-8747-9AA53D1082A5}"/>
    <cellStyle name="Normal 2 2" xfId="5" xr:uid="{3CA0C40D-CC23-4F72-99F2-9A8AF66985B1}"/>
    <cellStyle name="Normal 27 2" xfId="4" xr:uid="{57903BD6-464F-4EBE-84ED-83369B04C54F}"/>
    <cellStyle name="Normal 3" xfId="6" xr:uid="{A4650573-3A6E-4EC4-B70C-66E9D350D52E}"/>
    <cellStyle name="Normal_Table Rafik To Mohmoud_1-10_13" xfId="1" xr:uid="{C9E011AA-DCB4-4A46-9DE1-2223CAB2B5AE}"/>
    <cellStyle name="Normal_Table Rafik To Mohmoud_1-10_13 2" xfId="2" xr:uid="{A163341B-40F9-4FEE-A657-79CA0A1B0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98E0-8002-4E7B-8651-43DA0181FB9C}">
  <sheetPr>
    <pageSetUpPr fitToPage="1"/>
  </sheetPr>
  <dimension ref="A1:V22"/>
  <sheetViews>
    <sheetView topLeftCell="B3" zoomScale="77" zoomScaleNormal="77" zoomScaleSheetLayoutView="88" workbookViewId="0">
      <selection activeCell="B7" sqref="B7"/>
    </sheetView>
  </sheetViews>
  <sheetFormatPr defaultColWidth="9.140625" defaultRowHeight="18.75" x14ac:dyDescent="0.2"/>
  <cols>
    <col min="1" max="1" width="96" style="1" customWidth="1"/>
    <col min="2" max="2" width="113.140625" style="36" customWidth="1"/>
    <col min="3" max="6" width="16.7109375" style="5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40"/>
      <c r="H1" s="240"/>
      <c r="I1" s="240"/>
      <c r="J1" s="2"/>
      <c r="K1" s="2"/>
      <c r="L1" s="2"/>
      <c r="M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2004</v>
      </c>
      <c r="D4" s="241"/>
      <c r="E4" s="241">
        <v>2005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C8" s="21"/>
      <c r="D8" s="21"/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596</v>
      </c>
      <c r="D9" s="24">
        <v>871</v>
      </c>
      <c r="E9" s="24">
        <v>795</v>
      </c>
      <c r="F9" s="25">
        <v>886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16827</v>
      </c>
      <c r="D10" s="24">
        <v>22686</v>
      </c>
      <c r="E10" s="24">
        <v>22031</v>
      </c>
      <c r="F10" s="25">
        <v>25815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25377</v>
      </c>
      <c r="D12" s="24">
        <v>28820</v>
      </c>
      <c r="E12" s="24">
        <v>31931</v>
      </c>
      <c r="F12" s="25">
        <v>30193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100961</v>
      </c>
      <c r="D13" s="24">
        <v>116338</v>
      </c>
      <c r="E13" s="24">
        <v>113237</v>
      </c>
      <c r="F13" s="25">
        <v>114776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153</v>
      </c>
      <c r="D15" s="24">
        <v>1232</v>
      </c>
      <c r="E15" s="24">
        <v>890</v>
      </c>
      <c r="F15" s="25">
        <v>1044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25.63</v>
      </c>
      <c r="D16" s="30">
        <v>237</v>
      </c>
      <c r="E16" s="30">
        <v>1679</v>
      </c>
      <c r="F16" s="31">
        <v>2882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I1"/>
    <mergeCell ref="C4:D4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302C-37E9-4CA9-B88E-F67088688A77}">
  <sheetPr>
    <pageSetUpPr fitToPage="1"/>
  </sheetPr>
  <dimension ref="A1:V22"/>
  <sheetViews>
    <sheetView topLeftCell="B1" zoomScale="93" zoomScaleNormal="93" workbookViewId="0">
      <selection activeCell="B7" sqref="B7"/>
    </sheetView>
  </sheetViews>
  <sheetFormatPr defaultColWidth="9.140625" defaultRowHeight="18.75" x14ac:dyDescent="0.2"/>
  <cols>
    <col min="1" max="1" width="97.5703125" style="1" customWidth="1"/>
    <col min="2" max="2" width="97.5703125" style="36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40"/>
      <c r="H1" s="240"/>
      <c r="I1" s="240"/>
      <c r="J1" s="2"/>
      <c r="K1" s="2"/>
      <c r="L1" s="2"/>
      <c r="M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2005</v>
      </c>
      <c r="D4" s="241"/>
      <c r="E4" s="241">
        <v>2006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592</v>
      </c>
      <c r="D9" s="24">
        <v>652</v>
      </c>
      <c r="E9" s="24">
        <v>814</v>
      </c>
      <c r="F9" s="25">
        <v>877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18982</v>
      </c>
      <c r="D10" s="24">
        <v>20524</v>
      </c>
      <c r="E10" s="24">
        <v>23053</v>
      </c>
      <c r="F10" s="25">
        <v>27129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29945</v>
      </c>
      <c r="D12" s="24">
        <v>37207</v>
      </c>
      <c r="E12" s="24">
        <v>38348</v>
      </c>
      <c r="F12" s="25">
        <v>37092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133147</v>
      </c>
      <c r="D13" s="24">
        <v>177075</v>
      </c>
      <c r="E13" s="24">
        <v>166201</v>
      </c>
      <c r="F13" s="25">
        <v>158356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946</v>
      </c>
      <c r="D15" s="24">
        <v>964</v>
      </c>
      <c r="E15" s="24">
        <v>896</v>
      </c>
      <c r="F15" s="25">
        <v>990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3088</v>
      </c>
      <c r="D16" s="30">
        <v>4194</v>
      </c>
      <c r="E16" s="30">
        <v>3286</v>
      </c>
      <c r="F16" s="31">
        <v>4323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I1"/>
    <mergeCell ref="C4:D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D7FE-7D62-403C-B0C3-9B7D68FCEBE9}">
  <sheetPr>
    <pageSetUpPr fitToPage="1"/>
  </sheetPr>
  <dimension ref="A1:V22"/>
  <sheetViews>
    <sheetView topLeftCell="C7" zoomScale="82" zoomScaleNormal="82" workbookViewId="0">
      <selection activeCell="B7" sqref="B7"/>
    </sheetView>
  </sheetViews>
  <sheetFormatPr defaultColWidth="9.140625" defaultRowHeight="18.75" x14ac:dyDescent="0.2"/>
  <cols>
    <col min="1" max="1" width="99.7109375" style="1" customWidth="1"/>
    <col min="2" max="2" width="103" style="36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2006</v>
      </c>
      <c r="D4" s="241"/>
      <c r="E4" s="241">
        <v>2007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738</v>
      </c>
      <c r="D9" s="24">
        <v>858</v>
      </c>
      <c r="E9" s="24">
        <v>935</v>
      </c>
      <c r="F9" s="25">
        <v>835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25352</v>
      </c>
      <c r="D10" s="24">
        <v>28868</v>
      </c>
      <c r="E10" s="24">
        <v>30675</v>
      </c>
      <c r="F10" s="25">
        <v>32957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36281</v>
      </c>
      <c r="D12" s="24">
        <v>44340</v>
      </c>
      <c r="E12" s="24">
        <v>47134</v>
      </c>
      <c r="F12" s="25">
        <v>48079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134293</v>
      </c>
      <c r="D13" s="24">
        <v>179383</v>
      </c>
      <c r="E13" s="24">
        <v>212355</v>
      </c>
      <c r="F13" s="25">
        <v>236009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775</v>
      </c>
      <c r="D15" s="24">
        <v>844</v>
      </c>
      <c r="E15" s="24">
        <v>1046</v>
      </c>
      <c r="F15" s="25">
        <v>1337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2994</v>
      </c>
      <c r="D16" s="30">
        <v>5270</v>
      </c>
      <c r="E16" s="30">
        <v>8038.5</v>
      </c>
      <c r="F16" s="31">
        <v>10895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3637-67F5-496E-8DD4-ECE2AE7FD72E}">
  <sheetPr>
    <pageSetUpPr fitToPage="1"/>
  </sheetPr>
  <dimension ref="A1:V22"/>
  <sheetViews>
    <sheetView topLeftCell="B2" zoomScale="70" zoomScaleNormal="70" workbookViewId="0">
      <selection activeCell="B7" sqref="B7"/>
    </sheetView>
  </sheetViews>
  <sheetFormatPr defaultColWidth="9.140625" defaultRowHeight="18.75" x14ac:dyDescent="0.2"/>
  <cols>
    <col min="1" max="1" width="96" style="1" customWidth="1"/>
    <col min="2" max="2" width="103" style="36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2007</v>
      </c>
      <c r="D4" s="241"/>
      <c r="E4" s="241">
        <v>2008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903</v>
      </c>
      <c r="D9" s="24">
        <v>955</v>
      </c>
      <c r="E9" s="24">
        <v>1046</v>
      </c>
      <c r="F9" s="25">
        <v>1114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34255</v>
      </c>
      <c r="D10" s="24">
        <v>35861</v>
      </c>
      <c r="E10" s="24">
        <v>44965</v>
      </c>
      <c r="F10" s="25">
        <v>50024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50518</v>
      </c>
      <c r="D12" s="24">
        <v>56715</v>
      </c>
      <c r="E12" s="24">
        <v>64696</v>
      </c>
      <c r="F12" s="25">
        <v>69266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231981</v>
      </c>
      <c r="D13" s="24">
        <v>249376</v>
      </c>
      <c r="E13" s="24">
        <v>256773</v>
      </c>
      <c r="F13" s="25">
        <v>260260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904</v>
      </c>
      <c r="D15" s="24">
        <v>869</v>
      </c>
      <c r="E15" s="24">
        <v>1839</v>
      </c>
      <c r="F15" s="25">
        <v>1235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5773</v>
      </c>
      <c r="D16" s="30">
        <v>5933</v>
      </c>
      <c r="E16" s="30">
        <v>16207</v>
      </c>
      <c r="F16" s="31">
        <v>8374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8A92-E4D3-42CC-9C60-4B1BC2CDD91A}">
  <sheetPr>
    <pageSetUpPr fitToPage="1"/>
  </sheetPr>
  <dimension ref="A1:V22"/>
  <sheetViews>
    <sheetView topLeftCell="B1" zoomScale="68" zoomScaleNormal="68" workbookViewId="0">
      <selection activeCell="B7" sqref="B7"/>
    </sheetView>
  </sheetViews>
  <sheetFormatPr defaultColWidth="9.140625" defaultRowHeight="18.75" x14ac:dyDescent="0.2"/>
  <cols>
    <col min="1" max="1" width="93.85546875" style="1" customWidth="1"/>
    <col min="2" max="2" width="103" style="36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2008</v>
      </c>
      <c r="D4" s="241"/>
      <c r="E4" s="241">
        <v>2009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908.33500000000004</v>
      </c>
      <c r="D9" s="24">
        <v>892</v>
      </c>
      <c r="E9" s="24">
        <v>1134</v>
      </c>
      <c r="F9" s="25">
        <v>1142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42921</v>
      </c>
      <c r="D10" s="24">
        <v>39014</v>
      </c>
      <c r="E10" s="24">
        <v>46209</v>
      </c>
      <c r="F10" s="25">
        <v>50184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69282</v>
      </c>
      <c r="D12" s="24">
        <v>70590</v>
      </c>
      <c r="E12" s="24">
        <v>32505</v>
      </c>
      <c r="F12" s="25">
        <v>92083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280361</v>
      </c>
      <c r="D13" s="24">
        <v>197020</v>
      </c>
      <c r="E13" s="24">
        <v>102198</v>
      </c>
      <c r="F13" s="25">
        <v>917368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1398</v>
      </c>
      <c r="D15" s="24">
        <v>853</v>
      </c>
      <c r="E15" s="24">
        <v>980</v>
      </c>
      <c r="F15" s="25">
        <v>796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12365</v>
      </c>
      <c r="D16" s="30">
        <v>5206</v>
      </c>
      <c r="E16" s="30">
        <v>5261</v>
      </c>
      <c r="F16" s="31">
        <v>4045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E318-5102-4CC6-8286-F72725477FE4}">
  <sheetPr>
    <pageSetUpPr fitToPage="1"/>
  </sheetPr>
  <dimension ref="A1:V22"/>
  <sheetViews>
    <sheetView topLeftCell="A4" zoomScale="70" zoomScaleNormal="70" workbookViewId="0">
      <selection activeCell="B7" sqref="B7"/>
    </sheetView>
  </sheetViews>
  <sheetFormatPr defaultColWidth="9.140625" defaultRowHeight="18.75" x14ac:dyDescent="0.2"/>
  <cols>
    <col min="1" max="1" width="96" style="1" customWidth="1"/>
    <col min="2" max="2" width="103" style="36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2009</v>
      </c>
      <c r="D4" s="241"/>
      <c r="E4" s="241">
        <v>2010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996</v>
      </c>
      <c r="D9" s="24">
        <v>1167</v>
      </c>
      <c r="E9" s="24">
        <v>1232</v>
      </c>
      <c r="F9" s="25">
        <v>1176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41090</v>
      </c>
      <c r="D10" s="24">
        <v>50859</v>
      </c>
      <c r="E10" s="24">
        <v>53215</v>
      </c>
      <c r="F10" s="25">
        <v>53264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87932</v>
      </c>
      <c r="D12" s="24">
        <v>109284</v>
      </c>
      <c r="E12" s="24">
        <v>118602</v>
      </c>
      <c r="F12" s="25">
        <v>111921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892700</v>
      </c>
      <c r="D13" s="24">
        <v>1489947</v>
      </c>
      <c r="E13" s="24">
        <v>1460264</v>
      </c>
      <c r="F13" s="25">
        <v>1048476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782</v>
      </c>
      <c r="D15" s="24">
        <v>1248</v>
      </c>
      <c r="E15" s="24">
        <v>1321</v>
      </c>
      <c r="F15" s="25">
        <v>1107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3750</v>
      </c>
      <c r="D16" s="30">
        <v>7190</v>
      </c>
      <c r="E16" s="30">
        <v>7369</v>
      </c>
      <c r="F16" s="31">
        <v>4782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4118-46D3-49C0-B812-4E715CE06BBE}">
  <sheetPr>
    <pageSetUpPr fitToPage="1"/>
  </sheetPr>
  <dimension ref="A1:V22"/>
  <sheetViews>
    <sheetView zoomScale="64" zoomScaleNormal="64" workbookViewId="0">
      <selection activeCell="B7" sqref="B7"/>
    </sheetView>
  </sheetViews>
  <sheetFormatPr defaultColWidth="9.140625" defaultRowHeight="18.75" x14ac:dyDescent="0.2"/>
  <cols>
    <col min="1" max="1" width="96" style="1" customWidth="1"/>
    <col min="2" max="2" width="103" style="36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2010</v>
      </c>
      <c r="D4" s="241"/>
      <c r="E4" s="241">
        <v>2011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1046.68</v>
      </c>
      <c r="D9" s="24">
        <v>1122</v>
      </c>
      <c r="E9" s="24">
        <v>1283</v>
      </c>
      <c r="F9" s="25">
        <v>1165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48038</v>
      </c>
      <c r="D10" s="24">
        <v>53324</v>
      </c>
      <c r="E10" s="24">
        <v>61960</v>
      </c>
      <c r="F10" s="25">
        <v>55095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103496</v>
      </c>
      <c r="D12" s="24">
        <v>114105</v>
      </c>
      <c r="E12" s="24">
        <v>116195</v>
      </c>
      <c r="F12" s="25">
        <v>108826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1299072</v>
      </c>
      <c r="D13" s="24">
        <v>1347675</v>
      </c>
      <c r="E13" s="24">
        <v>1977333</v>
      </c>
      <c r="F13" s="25">
        <v>786851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984</v>
      </c>
      <c r="D15" s="24">
        <v>1332</v>
      </c>
      <c r="E15" s="24">
        <v>1951</v>
      </c>
      <c r="F15" s="25">
        <v>1230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5132</v>
      </c>
      <c r="D16" s="30">
        <v>6280</v>
      </c>
      <c r="E16" s="30">
        <v>8771</v>
      </c>
      <c r="F16" s="31">
        <v>5463.625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721A-7155-4A55-9982-CF672B7F29A8}">
  <sheetPr>
    <pageSetUpPr fitToPage="1"/>
  </sheetPr>
  <dimension ref="A1:V22"/>
  <sheetViews>
    <sheetView topLeftCell="B5" zoomScale="80" zoomScaleNormal="80" workbookViewId="0">
      <selection activeCell="B7" sqref="B7"/>
    </sheetView>
  </sheetViews>
  <sheetFormatPr defaultColWidth="9.140625" defaultRowHeight="18.75" x14ac:dyDescent="0.2"/>
  <cols>
    <col min="1" max="1" width="96" style="1" customWidth="1"/>
    <col min="2" max="2" width="112.140625" style="36" bestFit="1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2011</v>
      </c>
      <c r="D4" s="241"/>
      <c r="E4" s="241">
        <v>2012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1081</v>
      </c>
      <c r="D9" s="24">
        <v>1057</v>
      </c>
      <c r="E9" s="24">
        <v>1057</v>
      </c>
      <c r="F9" s="25">
        <v>1009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53074</v>
      </c>
      <c r="D10" s="24">
        <v>54133</v>
      </c>
      <c r="E10" s="24">
        <v>57063</v>
      </c>
      <c r="F10" s="25">
        <v>55059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104336</v>
      </c>
      <c r="D12" s="24">
        <v>112514</v>
      </c>
      <c r="E12" s="24">
        <v>112563</v>
      </c>
      <c r="F12" s="25">
        <v>103629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860806</v>
      </c>
      <c r="D13" s="24">
        <v>722336</v>
      </c>
      <c r="E13" s="24">
        <v>735723</v>
      </c>
      <c r="F13" s="25">
        <v>884465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1277</v>
      </c>
      <c r="D15" s="24">
        <v>1547</v>
      </c>
      <c r="E15" s="24">
        <v>1008</v>
      </c>
      <c r="F15" s="25">
        <v>1141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6697.625</v>
      </c>
      <c r="D16" s="30">
        <v>7126</v>
      </c>
      <c r="E16" s="30">
        <v>3623</v>
      </c>
      <c r="F16" s="31">
        <v>4824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6ED0-FCF4-447C-AB78-13D88B1E4A57}">
  <sheetPr>
    <pageSetUpPr fitToPage="1"/>
  </sheetPr>
  <dimension ref="A1:V22"/>
  <sheetViews>
    <sheetView topLeftCell="B1" zoomScale="90" zoomScaleNormal="90" workbookViewId="0">
      <selection activeCell="B7" sqref="B7"/>
    </sheetView>
  </sheetViews>
  <sheetFormatPr defaultColWidth="9.140625" defaultRowHeight="18.75" x14ac:dyDescent="0.2"/>
  <cols>
    <col min="1" max="1" width="96" style="1" customWidth="1"/>
    <col min="2" max="2" width="103" style="36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2012</v>
      </c>
      <c r="D4" s="241"/>
      <c r="E4" s="241">
        <v>2013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1104</v>
      </c>
      <c r="D9" s="24">
        <v>1148</v>
      </c>
      <c r="E9" s="24">
        <v>1141</v>
      </c>
      <c r="F9" s="25">
        <v>1190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55464</v>
      </c>
      <c r="D10" s="24">
        <v>58704</v>
      </c>
      <c r="E10" s="24">
        <v>61681</v>
      </c>
      <c r="F10" s="25">
        <v>66519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110590</v>
      </c>
      <c r="D12" s="24">
        <v>116439</v>
      </c>
      <c r="E12" s="24">
        <v>93020</v>
      </c>
      <c r="F12" s="25">
        <v>92661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918241</v>
      </c>
      <c r="D13" s="24">
        <v>965726</v>
      </c>
      <c r="E13" s="24">
        <v>1244603</v>
      </c>
      <c r="F13" s="25">
        <v>1394503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1037</v>
      </c>
      <c r="D15" s="24">
        <v>1587</v>
      </c>
      <c r="E15" s="24">
        <v>394</v>
      </c>
      <c r="F15" s="25">
        <v>412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3650</v>
      </c>
      <c r="D16" s="30">
        <v>8098</v>
      </c>
      <c r="E16" s="30">
        <v>472</v>
      </c>
      <c r="F16" s="31">
        <v>969.15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3D26-972C-4EC4-B7D2-F85F30AC3C87}">
  <sheetPr>
    <pageSetUpPr fitToPage="1"/>
  </sheetPr>
  <dimension ref="A1:V22"/>
  <sheetViews>
    <sheetView topLeftCell="B1" zoomScale="80" zoomScaleNormal="80" workbookViewId="0">
      <selection activeCell="B7" sqref="B7"/>
    </sheetView>
  </sheetViews>
  <sheetFormatPr defaultColWidth="9.140625" defaultRowHeight="18.75" x14ac:dyDescent="0.2"/>
  <cols>
    <col min="1" max="1" width="96" style="1" customWidth="1"/>
    <col min="2" max="2" width="103" style="36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2013</v>
      </c>
      <c r="D4" s="241"/>
      <c r="E4" s="241">
        <v>2014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17"/>
      <c r="D6" s="17"/>
      <c r="E6" s="17"/>
      <c r="F6" s="1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17"/>
      <c r="D7" s="17"/>
      <c r="E7" s="17"/>
      <c r="F7" s="18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E8" s="17"/>
      <c r="F8" s="18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24">
        <v>1180.19</v>
      </c>
      <c r="D9" s="24">
        <v>1171.54</v>
      </c>
      <c r="E9" s="24">
        <v>1168</v>
      </c>
      <c r="F9" s="25">
        <v>1251.471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24">
        <v>63012</v>
      </c>
      <c r="D10" s="24">
        <v>69712</v>
      </c>
      <c r="E10" s="24">
        <v>71349</v>
      </c>
      <c r="F10" s="25">
        <v>79342.473096000002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17"/>
      <c r="D11" s="17"/>
      <c r="E11" s="17"/>
      <c r="F11" s="18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24">
        <v>90763</v>
      </c>
      <c r="D12" s="24">
        <v>96944</v>
      </c>
      <c r="E12" s="24">
        <v>91015</v>
      </c>
      <c r="F12" s="25">
        <v>85829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24">
        <v>1132974</v>
      </c>
      <c r="D13" s="24">
        <v>1642666</v>
      </c>
      <c r="E13" s="24">
        <v>1439697</v>
      </c>
      <c r="F13" s="25">
        <v>1407323.3600610001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24"/>
      <c r="D14" s="24"/>
      <c r="E14" s="24"/>
      <c r="F14" s="25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24">
        <v>441</v>
      </c>
      <c r="D15" s="24">
        <v>469</v>
      </c>
      <c r="E15" s="24">
        <v>445</v>
      </c>
      <c r="F15" s="25">
        <v>456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30">
        <v>1476</v>
      </c>
      <c r="D16" s="30">
        <v>537</v>
      </c>
      <c r="E16" s="30">
        <v>537.5</v>
      </c>
      <c r="F16" s="31">
        <v>530.56100000000004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55E0-3942-476A-8E3D-40FA840B3011}">
  <sheetPr>
    <pageSetUpPr fitToPage="1"/>
  </sheetPr>
  <dimension ref="A1:V22"/>
  <sheetViews>
    <sheetView topLeftCell="B1" zoomScale="90" zoomScaleNormal="90" workbookViewId="0">
      <selection activeCell="B7" sqref="B7"/>
    </sheetView>
  </sheetViews>
  <sheetFormatPr defaultColWidth="9.140625" defaultRowHeight="18.75" x14ac:dyDescent="0.2"/>
  <cols>
    <col min="1" max="1" width="92.5703125" style="1" customWidth="1"/>
    <col min="2" max="2" width="106.5703125" style="36" bestFit="1" customWidth="1"/>
    <col min="3" max="6" width="16.7109375" style="21" customWidth="1"/>
    <col min="7" max="13" width="11.42578125" style="3" customWidth="1"/>
    <col min="14" max="22" width="9.140625" style="3"/>
    <col min="23" max="23" width="9.28515625" style="3" bestFit="1" customWidth="1"/>
    <col min="24" max="16384" width="9.140625" style="3"/>
  </cols>
  <sheetData>
    <row r="1" spans="1:22" ht="22.5" x14ac:dyDescent="0.2">
      <c r="B1" s="240"/>
      <c r="C1" s="240"/>
      <c r="D1" s="240"/>
      <c r="E1" s="240"/>
      <c r="F1" s="240"/>
      <c r="G1" s="2"/>
      <c r="H1" s="2"/>
    </row>
    <row r="2" spans="1:22" ht="24.75" customHeight="1" x14ac:dyDescent="0.2">
      <c r="B2" s="4"/>
    </row>
    <row r="3" spans="1:22" s="8" customFormat="1" ht="45" customHeight="1" x14ac:dyDescent="0.2">
      <c r="A3" s="6" t="s">
        <v>0</v>
      </c>
      <c r="B3" s="7" t="s">
        <v>1</v>
      </c>
    </row>
    <row r="4" spans="1:22" ht="45" customHeight="1" x14ac:dyDescent="0.2">
      <c r="A4" s="9" t="s">
        <v>2</v>
      </c>
      <c r="B4" s="10" t="s">
        <v>3</v>
      </c>
      <c r="C4" s="241">
        <v>2014</v>
      </c>
      <c r="D4" s="241"/>
      <c r="E4" s="241">
        <v>2015</v>
      </c>
      <c r="F4" s="241"/>
    </row>
    <row r="5" spans="1:22" ht="45" customHeight="1" x14ac:dyDescent="0.2">
      <c r="A5" s="11" t="s">
        <v>4</v>
      </c>
      <c r="B5" s="12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33" customHeight="1" x14ac:dyDescent="0.2">
      <c r="A6" s="15"/>
      <c r="B6" s="16"/>
      <c r="C6" s="38"/>
      <c r="D6" s="38"/>
      <c r="E6" s="38"/>
      <c r="F6" s="38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33" customHeight="1" x14ac:dyDescent="0.2">
      <c r="A7" s="19" t="s">
        <v>10</v>
      </c>
      <c r="B7" s="20" t="s">
        <v>11</v>
      </c>
      <c r="C7" s="39"/>
      <c r="D7" s="39"/>
      <c r="E7" s="39"/>
      <c r="F7" s="39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33" customHeight="1" x14ac:dyDescent="0.2">
      <c r="A8" s="19" t="s">
        <v>12</v>
      </c>
      <c r="B8" s="20" t="s">
        <v>13</v>
      </c>
      <c r="C8" s="40"/>
      <c r="D8" s="40"/>
      <c r="E8" s="40"/>
      <c r="F8" s="40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33" customHeight="1" x14ac:dyDescent="0.2">
      <c r="A9" s="22" t="s">
        <v>14</v>
      </c>
      <c r="B9" s="23" t="s">
        <v>15</v>
      </c>
      <c r="C9" s="41">
        <v>1152.123</v>
      </c>
      <c r="D9" s="41">
        <v>1227.9680000000001</v>
      </c>
      <c r="E9" s="41">
        <v>1314.9349999999999</v>
      </c>
      <c r="F9" s="41">
        <v>1161.4760000000001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33" customHeight="1" x14ac:dyDescent="0.2">
      <c r="A10" s="22" t="s">
        <v>16</v>
      </c>
      <c r="B10" s="23" t="s">
        <v>17</v>
      </c>
      <c r="C10" s="41">
        <v>78979.335244999995</v>
      </c>
      <c r="D10" s="41">
        <v>86474.787299000003</v>
      </c>
      <c r="E10" s="41">
        <v>87930.750901000007</v>
      </c>
      <c r="F10" s="41">
        <v>84843.094311149995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33" customHeight="1" x14ac:dyDescent="0.2">
      <c r="A11" s="19" t="s">
        <v>18</v>
      </c>
      <c r="B11" s="20" t="s">
        <v>19</v>
      </c>
      <c r="C11" s="39"/>
      <c r="D11" s="39"/>
      <c r="E11" s="39"/>
      <c r="F11" s="41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33" customHeight="1" x14ac:dyDescent="0.2">
      <c r="A12" s="22" t="s">
        <v>20</v>
      </c>
      <c r="B12" s="23" t="s">
        <v>21</v>
      </c>
      <c r="C12" s="41">
        <v>87357</v>
      </c>
      <c r="D12" s="41">
        <v>91727</v>
      </c>
      <c r="E12" s="41">
        <v>97994</v>
      </c>
      <c r="F12" s="41">
        <v>89491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33" customHeight="1" x14ac:dyDescent="0.2">
      <c r="A13" s="22" t="s">
        <v>16</v>
      </c>
      <c r="B13" s="23" t="s">
        <v>17</v>
      </c>
      <c r="C13" s="41">
        <v>2070701.942454</v>
      </c>
      <c r="D13" s="41">
        <v>2125733.520513</v>
      </c>
      <c r="E13" s="41">
        <v>2367023.1401920002</v>
      </c>
      <c r="F13" s="41">
        <v>2007070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33" customHeight="1" x14ac:dyDescent="0.2">
      <c r="A14" s="27" t="s">
        <v>22</v>
      </c>
      <c r="B14" s="20" t="s">
        <v>23</v>
      </c>
      <c r="C14" s="41"/>
      <c r="D14" s="41"/>
      <c r="E14" s="41"/>
      <c r="F14" s="41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33" customHeight="1" x14ac:dyDescent="0.2">
      <c r="A15" s="22" t="s">
        <v>24</v>
      </c>
      <c r="B15" s="23" t="s">
        <v>21</v>
      </c>
      <c r="C15" s="41">
        <v>442</v>
      </c>
      <c r="D15" s="41">
        <v>571</v>
      </c>
      <c r="E15" s="41">
        <v>605</v>
      </c>
      <c r="F15" s="41">
        <v>469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3" customHeight="1" x14ac:dyDescent="0.2">
      <c r="A16" s="28" t="s">
        <v>25</v>
      </c>
      <c r="B16" s="29" t="s">
        <v>26</v>
      </c>
      <c r="C16" s="42">
        <v>532.75</v>
      </c>
      <c r="D16" s="42">
        <v>683.4</v>
      </c>
      <c r="E16" s="42">
        <v>1024.556</v>
      </c>
      <c r="F16" s="42">
        <v>590.29999999999995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x14ac:dyDescent="0.2">
      <c r="A17" s="32"/>
      <c r="B17" s="33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21" x14ac:dyDescent="0.2">
      <c r="A18" s="32"/>
      <c r="B18" s="3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1" x14ac:dyDescent="0.2">
      <c r="A19" s="32"/>
      <c r="B19" s="35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"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1" x14ac:dyDescent="0.2">
      <c r="A21" s="32"/>
      <c r="B21" s="34"/>
    </row>
    <row r="22" spans="1:22" ht="21" x14ac:dyDescent="0.2">
      <c r="A22" s="32"/>
      <c r="B22" s="37"/>
    </row>
  </sheetData>
  <mergeCells count="3">
    <mergeCell ref="B1:F1"/>
    <mergeCell ref="C4:D4"/>
    <mergeCell ref="E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C54B-17F9-4ABC-A4FA-4F271DB9CD31}">
  <sheetPr>
    <pageSetUpPr fitToPage="1"/>
  </sheetPr>
  <dimension ref="A1:S21"/>
  <sheetViews>
    <sheetView topLeftCell="B1" zoomScale="80" zoomScaleNormal="80" workbookViewId="0">
      <selection activeCell="B7" sqref="B7"/>
    </sheetView>
  </sheetViews>
  <sheetFormatPr defaultColWidth="9.140625" defaultRowHeight="18.75" x14ac:dyDescent="0.2"/>
  <cols>
    <col min="1" max="1" width="120.140625" style="1" customWidth="1"/>
    <col min="2" max="2" width="91.7109375" style="36" customWidth="1"/>
    <col min="3" max="6" width="20.7109375" style="21" customWidth="1"/>
    <col min="7" max="10" width="11.42578125" style="3" customWidth="1"/>
    <col min="11" max="19" width="9.140625" style="3"/>
    <col min="20" max="20" width="9.28515625" style="3" bestFit="1" customWidth="1"/>
    <col min="21" max="16384" width="9.140625" style="3"/>
  </cols>
  <sheetData>
    <row r="1" spans="1:19" x14ac:dyDescent="0.2">
      <c r="B1" s="4"/>
    </row>
    <row r="2" spans="1:19" x14ac:dyDescent="0.2">
      <c r="A2" s="6" t="s">
        <v>0</v>
      </c>
      <c r="B2" s="7" t="s">
        <v>1</v>
      </c>
    </row>
    <row r="3" spans="1:19" ht="45" customHeight="1" x14ac:dyDescent="0.2">
      <c r="A3" s="9" t="s">
        <v>2</v>
      </c>
      <c r="B3" s="10" t="s">
        <v>3</v>
      </c>
      <c r="C3" s="241">
        <v>2015</v>
      </c>
      <c r="D3" s="241"/>
      <c r="E3" s="241">
        <v>2016</v>
      </c>
      <c r="F3" s="241"/>
    </row>
    <row r="4" spans="1:19" ht="45" customHeight="1" x14ac:dyDescent="0.2">
      <c r="A4" s="11" t="s">
        <v>4</v>
      </c>
      <c r="B4" s="10" t="s">
        <v>5</v>
      </c>
      <c r="C4" s="43" t="s">
        <v>6</v>
      </c>
      <c r="D4" s="44" t="s">
        <v>7</v>
      </c>
      <c r="E4" s="43" t="s">
        <v>8</v>
      </c>
      <c r="F4" s="44" t="s">
        <v>9</v>
      </c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45" customHeight="1" x14ac:dyDescent="0.2">
      <c r="A5" s="15"/>
      <c r="B5" s="45"/>
      <c r="C5" s="46"/>
      <c r="D5" s="46"/>
      <c r="E5" s="47"/>
      <c r="F5" s="47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ht="33" customHeight="1" x14ac:dyDescent="0.2">
      <c r="A6" s="19" t="s">
        <v>10</v>
      </c>
      <c r="B6" s="48" t="s">
        <v>11</v>
      </c>
      <c r="C6" s="49"/>
      <c r="D6" s="49"/>
      <c r="E6" s="50"/>
      <c r="F6" s="50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33" customHeight="1" x14ac:dyDescent="0.25">
      <c r="A7" s="19" t="s">
        <v>12</v>
      </c>
      <c r="B7" s="48" t="s">
        <v>13</v>
      </c>
      <c r="C7" s="49"/>
      <c r="D7" s="49"/>
      <c r="E7" s="51"/>
      <c r="F7" s="51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ht="33" customHeight="1" x14ac:dyDescent="0.2">
      <c r="A8" s="22" t="s">
        <v>14</v>
      </c>
      <c r="B8" s="52" t="s">
        <v>13</v>
      </c>
      <c r="C8" s="53">
        <v>1094.3900000000001</v>
      </c>
      <c r="D8" s="53">
        <v>1217.739</v>
      </c>
      <c r="E8" s="54">
        <v>1239</v>
      </c>
      <c r="F8" s="54">
        <v>1076.8710000000001</v>
      </c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33" customHeight="1" x14ac:dyDescent="0.2">
      <c r="A9" s="22" t="s">
        <v>16</v>
      </c>
      <c r="B9" s="52" t="s">
        <v>17</v>
      </c>
      <c r="C9" s="53">
        <v>97126.993521659999</v>
      </c>
      <c r="D9" s="53">
        <v>87614.198333320004</v>
      </c>
      <c r="E9" s="55">
        <f>92412.63476706/1000</f>
        <v>92.412634767059998</v>
      </c>
      <c r="F9" s="55">
        <v>90.5</v>
      </c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ht="33" customHeight="1" x14ac:dyDescent="0.2">
      <c r="A10" s="19" t="s">
        <v>18</v>
      </c>
      <c r="B10" s="48" t="s">
        <v>19</v>
      </c>
      <c r="C10" s="56"/>
      <c r="D10" s="56"/>
      <c r="E10" s="54"/>
      <c r="F10" s="5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33" customHeight="1" x14ac:dyDescent="0.2">
      <c r="A11" s="22" t="s">
        <v>20</v>
      </c>
      <c r="B11" s="52" t="s">
        <v>21</v>
      </c>
      <c r="C11" s="53">
        <v>83519</v>
      </c>
      <c r="D11" s="53">
        <v>93718</v>
      </c>
      <c r="E11" s="54">
        <v>96539</v>
      </c>
      <c r="F11" s="54">
        <f>97477+1165</f>
        <v>98642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s="26" customFormat="1" ht="33" customHeight="1" x14ac:dyDescent="0.2">
      <c r="A12" s="22" t="s">
        <v>16</v>
      </c>
      <c r="B12" s="52" t="s">
        <v>17</v>
      </c>
      <c r="C12" s="53">
        <v>2927972.9690629197</v>
      </c>
      <c r="D12" s="53">
        <v>2727872.9971306701</v>
      </c>
      <c r="E12" s="54">
        <f>2810982.92600353/1000</f>
        <v>2810.9829260035303</v>
      </c>
      <c r="F12" s="54">
        <f>669.1+1802.6</f>
        <v>2471.6999999999998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33" customHeight="1" x14ac:dyDescent="0.2">
      <c r="A13" s="27" t="s">
        <v>22</v>
      </c>
      <c r="B13" s="48" t="s">
        <v>23</v>
      </c>
      <c r="C13" s="57"/>
      <c r="D13" s="57"/>
      <c r="E13" s="54"/>
      <c r="F13" s="5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ht="33" customHeight="1" x14ac:dyDescent="0.2">
      <c r="A14" s="22" t="s">
        <v>24</v>
      </c>
      <c r="B14" s="52" t="s">
        <v>21</v>
      </c>
      <c r="C14" s="53">
        <v>374</v>
      </c>
      <c r="D14" s="53">
        <v>284</v>
      </c>
      <c r="E14" s="54">
        <v>333</v>
      </c>
      <c r="F14" s="54">
        <v>117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33" customHeight="1" x14ac:dyDescent="0.2">
      <c r="A15" s="28" t="s">
        <v>25</v>
      </c>
      <c r="B15" s="58" t="s">
        <v>26</v>
      </c>
      <c r="C15" s="59">
        <v>415.6</v>
      </c>
      <c r="D15" s="59">
        <v>586</v>
      </c>
      <c r="E15" s="60">
        <v>1385.27</v>
      </c>
      <c r="F15" s="60">
        <v>291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33" customHeight="1" x14ac:dyDescent="0.2">
      <c r="A16" s="32"/>
      <c r="B16" s="33"/>
      <c r="C16" s="3"/>
      <c r="D16" s="3"/>
      <c r="E16" s="3"/>
      <c r="F16" s="3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ht="21" x14ac:dyDescent="0.2">
      <c r="A17" s="32"/>
      <c r="B17" s="3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21" x14ac:dyDescent="0.2">
      <c r="A18" s="32"/>
      <c r="B18" s="35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2"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21" x14ac:dyDescent="0.2">
      <c r="A20" s="32"/>
      <c r="B20" s="34"/>
    </row>
    <row r="21" spans="1:19" ht="21" x14ac:dyDescent="0.2">
      <c r="A21" s="32"/>
      <c r="B21" s="37"/>
    </row>
  </sheetData>
  <mergeCells count="2"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EB4C-4DA1-4CEC-B3A5-97FC2D5E7A55}">
  <sheetPr>
    <pageSetUpPr fitToPage="1"/>
  </sheetPr>
  <dimension ref="A1:Q21"/>
  <sheetViews>
    <sheetView view="pageBreakPreview" zoomScale="70" zoomScaleNormal="100" zoomScaleSheetLayoutView="70" workbookViewId="0">
      <selection activeCell="B7" sqref="B7"/>
    </sheetView>
  </sheetViews>
  <sheetFormatPr defaultColWidth="9.140625" defaultRowHeight="18.75" x14ac:dyDescent="0.2"/>
  <cols>
    <col min="1" max="1" width="120.140625" style="1" customWidth="1"/>
    <col min="2" max="2" width="93.42578125" style="36" bestFit="1" customWidth="1"/>
    <col min="3" max="3" width="7.7109375" style="21" bestFit="1" customWidth="1"/>
    <col min="4" max="4" width="9" style="21" bestFit="1" customWidth="1"/>
    <col min="5" max="5" width="8.7109375" style="3" bestFit="1" customWidth="1"/>
    <col min="6" max="6" width="7.7109375" style="3" bestFit="1" customWidth="1"/>
    <col min="7" max="8" width="11.42578125" style="3" customWidth="1"/>
    <col min="9" max="17" width="9.140625" style="3"/>
    <col min="18" max="18" width="9.28515625" style="3" bestFit="1" customWidth="1"/>
    <col min="19" max="16384" width="9.140625" style="3"/>
  </cols>
  <sheetData>
    <row r="1" spans="1:17" x14ac:dyDescent="0.2">
      <c r="B1" s="4"/>
      <c r="F1"/>
    </row>
    <row r="2" spans="1:17" x14ac:dyDescent="0.2">
      <c r="F2"/>
    </row>
    <row r="3" spans="1:17" ht="45" customHeight="1" x14ac:dyDescent="0.2">
      <c r="A3" s="61" t="s">
        <v>0</v>
      </c>
      <c r="B3" s="62" t="s">
        <v>1</v>
      </c>
      <c r="C3" s="242">
        <v>2016</v>
      </c>
      <c r="D3" s="243"/>
      <c r="E3" s="244">
        <v>2017</v>
      </c>
      <c r="F3" s="245"/>
    </row>
    <row r="4" spans="1:17" ht="45" customHeight="1" x14ac:dyDescent="0.2">
      <c r="A4" s="11" t="s">
        <v>4</v>
      </c>
      <c r="B4" s="12" t="s">
        <v>5</v>
      </c>
      <c r="C4" s="63" t="s">
        <v>6</v>
      </c>
      <c r="D4" s="44" t="s">
        <v>7</v>
      </c>
      <c r="E4" s="44" t="s">
        <v>8</v>
      </c>
      <c r="F4" s="44" t="s">
        <v>9</v>
      </c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45" customHeight="1" x14ac:dyDescent="0.2">
      <c r="A5" s="15"/>
      <c r="B5" s="45"/>
      <c r="C5" s="46"/>
      <c r="D5" s="46"/>
      <c r="E5" s="46"/>
      <c r="F5" s="46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33" customHeight="1" x14ac:dyDescent="0.2">
      <c r="A6" s="19" t="s">
        <v>10</v>
      </c>
      <c r="B6" s="48" t="s">
        <v>11</v>
      </c>
      <c r="C6" s="49"/>
      <c r="D6" s="49"/>
      <c r="E6" s="49"/>
      <c r="F6" s="49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33" customHeight="1" x14ac:dyDescent="0.2">
      <c r="A7" s="19" t="s">
        <v>12</v>
      </c>
      <c r="B7" s="48" t="s">
        <v>13</v>
      </c>
      <c r="C7" s="49"/>
      <c r="D7" s="49"/>
      <c r="E7" s="49"/>
      <c r="F7" s="49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33" customHeight="1" x14ac:dyDescent="0.2">
      <c r="A8" s="22" t="s">
        <v>14</v>
      </c>
      <c r="B8" s="52" t="s">
        <v>13</v>
      </c>
      <c r="C8" s="53">
        <v>901.43700000000001</v>
      </c>
      <c r="D8" s="53">
        <v>1014</v>
      </c>
      <c r="E8" s="53">
        <v>1076.2</v>
      </c>
      <c r="F8" s="53">
        <v>781.86800000000005</v>
      </c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33" customHeight="1" x14ac:dyDescent="0.2">
      <c r="A9" s="22" t="s">
        <v>16</v>
      </c>
      <c r="B9" s="52" t="s">
        <v>17</v>
      </c>
      <c r="C9" s="53">
        <v>84.484786314000004</v>
      </c>
      <c r="D9" s="53">
        <v>102</v>
      </c>
      <c r="E9" s="53">
        <v>113</v>
      </c>
      <c r="F9" s="53">
        <v>92.587517287189996</v>
      </c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33" customHeight="1" x14ac:dyDescent="0.2">
      <c r="A10" s="19" t="s">
        <v>18</v>
      </c>
      <c r="B10" s="48" t="s">
        <v>19</v>
      </c>
      <c r="C10" s="53"/>
      <c r="D10" s="53"/>
      <c r="E10" s="53"/>
      <c r="F10" s="53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ht="33" customHeight="1" x14ac:dyDescent="0.2">
      <c r="A11" s="22" t="s">
        <v>20</v>
      </c>
      <c r="B11" s="52" t="s">
        <v>21</v>
      </c>
      <c r="C11" s="53">
        <v>82740</v>
      </c>
      <c r="D11" s="53">
        <v>103978</v>
      </c>
      <c r="E11" s="53">
        <v>111747</v>
      </c>
      <c r="F11" s="53">
        <v>98412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s="26" customFormat="1" ht="33" customHeight="1" x14ac:dyDescent="0.2">
      <c r="A12" s="22" t="s">
        <v>16</v>
      </c>
      <c r="B12" s="52" t="s">
        <v>27</v>
      </c>
      <c r="C12" s="53">
        <v>2605.4953134223997</v>
      </c>
      <c r="D12" s="53">
        <v>2252.0724651117498</v>
      </c>
      <c r="E12" s="53">
        <v>2679</v>
      </c>
      <c r="F12" s="53">
        <v>2068.451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ht="33" customHeight="1" x14ac:dyDescent="0.2">
      <c r="A13" s="27" t="s">
        <v>22</v>
      </c>
      <c r="B13" s="48" t="s">
        <v>23</v>
      </c>
      <c r="C13" s="53"/>
      <c r="D13" s="53"/>
      <c r="E13" s="53"/>
      <c r="F13" s="53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ht="33" customHeight="1" x14ac:dyDescent="0.2">
      <c r="A14" s="22" t="s">
        <v>24</v>
      </c>
      <c r="B14" s="52" t="s">
        <v>21</v>
      </c>
      <c r="C14" s="53">
        <v>108</v>
      </c>
      <c r="D14" s="53">
        <v>805</v>
      </c>
      <c r="E14" s="53">
        <v>722</v>
      </c>
      <c r="F14" s="53">
        <v>917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ht="33" customHeight="1" x14ac:dyDescent="0.2">
      <c r="A15" s="28" t="s">
        <v>25</v>
      </c>
      <c r="B15" s="58" t="s">
        <v>26</v>
      </c>
      <c r="C15" s="59">
        <v>90.697000000000003</v>
      </c>
      <c r="D15" s="59">
        <v>409</v>
      </c>
      <c r="E15" s="59">
        <v>640</v>
      </c>
      <c r="F15" s="59">
        <v>853.86199999999997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ht="33" customHeight="1" x14ac:dyDescent="0.2">
      <c r="A16" s="32"/>
      <c r="B16" s="33"/>
      <c r="D16" s="3"/>
      <c r="F16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ht="21" x14ac:dyDescent="0.2">
      <c r="A17" s="32"/>
      <c r="B17" s="34"/>
      <c r="D17" s="3"/>
      <c r="F17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ht="21" x14ac:dyDescent="0.2">
      <c r="A18" s="32"/>
      <c r="B18" s="35"/>
      <c r="F18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2">
      <c r="F19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21" x14ac:dyDescent="0.2">
      <c r="A20" s="32"/>
      <c r="B20" s="34"/>
      <c r="F20"/>
    </row>
    <row r="21" spans="1:17" ht="21" x14ac:dyDescent="0.2">
      <c r="A21" s="32"/>
      <c r="B21" s="37"/>
      <c r="F21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E924-1FF2-4E1E-88E1-D1721A9AF8D2}">
  <sheetPr>
    <pageSetUpPr fitToPage="1"/>
  </sheetPr>
  <dimension ref="A1:P21"/>
  <sheetViews>
    <sheetView view="pageBreakPreview" zoomScaleNormal="100" zoomScaleSheetLayoutView="100" workbookViewId="0">
      <selection activeCell="B7" sqref="B7"/>
    </sheetView>
  </sheetViews>
  <sheetFormatPr defaultColWidth="9.140625" defaultRowHeight="18.75" x14ac:dyDescent="0.2"/>
  <cols>
    <col min="1" max="1" width="95.42578125" style="1" bestFit="1" customWidth="1"/>
    <col min="2" max="2" width="79.7109375" style="36" bestFit="1" customWidth="1"/>
    <col min="3" max="4" width="9" style="21" bestFit="1" customWidth="1"/>
    <col min="5" max="5" width="9" style="3" bestFit="1" customWidth="1"/>
    <col min="6" max="7" width="11.42578125" style="3" customWidth="1"/>
    <col min="8" max="16" width="9.140625" style="3"/>
    <col min="17" max="17" width="9.28515625" style="3" bestFit="1" customWidth="1"/>
    <col min="18" max="16384" width="9.140625" style="3"/>
  </cols>
  <sheetData>
    <row r="1" spans="1:16" x14ac:dyDescent="0.2">
      <c r="B1" s="4"/>
    </row>
    <row r="3" spans="1:16" ht="15.75" x14ac:dyDescent="0.2">
      <c r="A3" s="64" t="s">
        <v>0</v>
      </c>
      <c r="B3" s="65" t="s">
        <v>1</v>
      </c>
      <c r="C3" s="242">
        <v>2017</v>
      </c>
      <c r="D3" s="243"/>
      <c r="E3" s="246">
        <v>2018</v>
      </c>
      <c r="F3" s="247"/>
    </row>
    <row r="4" spans="1:16" ht="15.75" x14ac:dyDescent="0.2">
      <c r="A4" s="66" t="s">
        <v>4</v>
      </c>
      <c r="B4" s="67" t="s">
        <v>5</v>
      </c>
      <c r="C4" s="63" t="s">
        <v>6</v>
      </c>
      <c r="D4" s="44" t="s">
        <v>7</v>
      </c>
      <c r="E4" s="68" t="s">
        <v>8</v>
      </c>
      <c r="F4" s="68" t="s">
        <v>28</v>
      </c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ht="15.75" x14ac:dyDescent="0.2">
      <c r="A5" s="69"/>
      <c r="B5" s="70"/>
      <c r="C5" s="46"/>
      <c r="D5" s="46"/>
      <c r="E5" s="71"/>
      <c r="F5" s="71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ht="15.75" x14ac:dyDescent="0.2">
      <c r="A6" s="72" t="s">
        <v>10</v>
      </c>
      <c r="B6" s="73" t="s">
        <v>11</v>
      </c>
      <c r="C6" s="49"/>
      <c r="D6" s="49"/>
      <c r="E6" s="74"/>
      <c r="F6" s="7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75" x14ac:dyDescent="0.2">
      <c r="A7" s="72" t="s">
        <v>12</v>
      </c>
      <c r="B7" s="73" t="s">
        <v>13</v>
      </c>
      <c r="C7" s="49"/>
      <c r="D7" s="49"/>
      <c r="E7" s="74"/>
      <c r="F7" s="7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ht="15" x14ac:dyDescent="0.2">
      <c r="A8" s="75" t="s">
        <v>14</v>
      </c>
      <c r="B8" s="76" t="s">
        <v>13</v>
      </c>
      <c r="C8" s="53">
        <v>803.86300000000006</v>
      </c>
      <c r="D8" s="53">
        <v>953.4</v>
      </c>
      <c r="E8" s="53">
        <v>843.71400000000006</v>
      </c>
      <c r="F8" s="53">
        <v>758.197</v>
      </c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ht="15" x14ac:dyDescent="0.2">
      <c r="A9" s="75" t="s">
        <v>16</v>
      </c>
      <c r="B9" s="76" t="s">
        <v>17</v>
      </c>
      <c r="C9" s="53">
        <v>114.36708762668999</v>
      </c>
      <c r="D9" s="53">
        <v>126</v>
      </c>
      <c r="E9" s="53">
        <v>126.52909499584</v>
      </c>
      <c r="F9" s="53">
        <v>118.53741257306</v>
      </c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ht="15.75" x14ac:dyDescent="0.2">
      <c r="A10" s="72" t="s">
        <v>18</v>
      </c>
      <c r="B10" s="73" t="s">
        <v>19</v>
      </c>
      <c r="C10" s="53"/>
      <c r="D10" s="53"/>
      <c r="E10" s="53"/>
      <c r="F10" s="53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" x14ac:dyDescent="0.2">
      <c r="A11" s="75" t="s">
        <v>20</v>
      </c>
      <c r="B11" s="76" t="s">
        <v>21</v>
      </c>
      <c r="C11" s="53">
        <v>107049</v>
      </c>
      <c r="D11" s="53">
        <v>155424</v>
      </c>
      <c r="E11" s="53">
        <v>165526</v>
      </c>
      <c r="F11" s="53">
        <v>164782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s="26" customFormat="1" ht="15" x14ac:dyDescent="0.2">
      <c r="A12" s="75" t="s">
        <v>16</v>
      </c>
      <c r="B12" s="76" t="s">
        <v>27</v>
      </c>
      <c r="C12" s="53">
        <v>2171.0160171063299</v>
      </c>
      <c r="D12" s="53">
        <v>2883.8</v>
      </c>
      <c r="E12" s="53">
        <v>3662.5994793958703</v>
      </c>
      <c r="F12" s="53">
        <v>2693.0316128771701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15.75" x14ac:dyDescent="0.2">
      <c r="A13" s="77" t="s">
        <v>22</v>
      </c>
      <c r="B13" s="73" t="s">
        <v>23</v>
      </c>
      <c r="C13" s="53"/>
      <c r="D13" s="53"/>
      <c r="E13" s="53"/>
      <c r="F13" s="53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ht="15" x14ac:dyDescent="0.2">
      <c r="A14" s="75" t="s">
        <v>24</v>
      </c>
      <c r="B14" s="76" t="s">
        <v>21</v>
      </c>
      <c r="C14" s="53">
        <v>1790</v>
      </c>
      <c r="D14" s="53">
        <v>1533</v>
      </c>
      <c r="E14" s="53">
        <v>1257</v>
      </c>
      <c r="F14" s="53">
        <v>1010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5" x14ac:dyDescent="0.2">
      <c r="A15" s="78" t="s">
        <v>25</v>
      </c>
      <c r="B15" s="79" t="s">
        <v>26</v>
      </c>
      <c r="C15" s="59">
        <v>1495.5350000000001</v>
      </c>
      <c r="D15" s="59">
        <v>1264</v>
      </c>
      <c r="E15" s="59">
        <v>1273.864</v>
      </c>
      <c r="F15" s="59">
        <v>2064.0250000000001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ht="33" customHeight="1" x14ac:dyDescent="0.2">
      <c r="A16" s="32"/>
      <c r="B16" s="33"/>
      <c r="D16" s="3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ht="21" x14ac:dyDescent="0.2">
      <c r="A17" s="32"/>
      <c r="B17" s="34"/>
      <c r="D17" s="3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ht="21" x14ac:dyDescent="0.2">
      <c r="A18" s="32"/>
      <c r="B18" s="35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2"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ht="21" x14ac:dyDescent="0.2">
      <c r="A20" s="32"/>
      <c r="B20" s="34"/>
    </row>
    <row r="21" spans="1:16" ht="21" x14ac:dyDescent="0.2">
      <c r="A21" s="32"/>
      <c r="B21" s="37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260A-9690-4EBA-8316-C1A79E6F8756}">
  <sheetPr>
    <pageSetUpPr fitToPage="1"/>
  </sheetPr>
  <dimension ref="A1:F22"/>
  <sheetViews>
    <sheetView view="pageBreakPreview" zoomScaleNormal="100" zoomScaleSheetLayoutView="100" workbookViewId="0">
      <selection activeCell="B7" sqref="B7"/>
    </sheetView>
  </sheetViews>
  <sheetFormatPr defaultColWidth="9.140625" defaultRowHeight="21" x14ac:dyDescent="0.25"/>
  <cols>
    <col min="1" max="1" width="61.7109375" style="80" bestFit="1" customWidth="1"/>
    <col min="2" max="2" width="82.7109375" style="117" bestFit="1" customWidth="1"/>
    <col min="3" max="4" width="10.28515625" style="115" customWidth="1"/>
    <col min="5" max="16384" width="9.140625" style="82"/>
  </cols>
  <sheetData>
    <row r="1" spans="1:6" x14ac:dyDescent="0.2">
      <c r="B1" s="81"/>
      <c r="C1" s="248"/>
      <c r="D1" s="248"/>
    </row>
    <row r="2" spans="1:6" ht="15.75" x14ac:dyDescent="0.2">
      <c r="A2" s="83" t="s">
        <v>0</v>
      </c>
      <c r="B2" s="84" t="s">
        <v>1</v>
      </c>
      <c r="C2" s="249">
        <v>2018</v>
      </c>
      <c r="D2" s="250"/>
      <c r="E2" s="249">
        <v>2019</v>
      </c>
      <c r="F2" s="250"/>
    </row>
    <row r="3" spans="1:6" ht="15.75" x14ac:dyDescent="0.2">
      <c r="A3" s="85" t="s">
        <v>4</v>
      </c>
      <c r="B3" s="86" t="s">
        <v>5</v>
      </c>
      <c r="C3" s="87" t="s">
        <v>6</v>
      </c>
      <c r="D3" s="87" t="s">
        <v>7</v>
      </c>
      <c r="E3" s="88" t="s">
        <v>8</v>
      </c>
      <c r="F3" s="89" t="s">
        <v>28</v>
      </c>
    </row>
    <row r="4" spans="1:6" ht="15.75" x14ac:dyDescent="0.2">
      <c r="A4" s="90" t="s">
        <v>10</v>
      </c>
      <c r="B4" s="91" t="s">
        <v>11</v>
      </c>
      <c r="C4" s="92"/>
      <c r="D4" s="92"/>
      <c r="E4" s="92"/>
      <c r="F4" s="93"/>
    </row>
    <row r="5" spans="1:6" x14ac:dyDescent="0.25">
      <c r="B5" s="94"/>
      <c r="C5" s="95"/>
      <c r="D5" s="95"/>
      <c r="E5" s="95"/>
      <c r="F5" s="96"/>
    </row>
    <row r="6" spans="1:6" ht="15.75" x14ac:dyDescent="0.25">
      <c r="A6" s="97" t="s">
        <v>12</v>
      </c>
      <c r="B6" s="98" t="s">
        <v>29</v>
      </c>
      <c r="C6" s="95"/>
      <c r="D6" s="95"/>
      <c r="E6" s="95"/>
      <c r="F6" s="96"/>
    </row>
    <row r="7" spans="1:6" ht="15" x14ac:dyDescent="0.2">
      <c r="A7" s="99" t="s">
        <v>14</v>
      </c>
      <c r="B7" s="100" t="s">
        <v>15</v>
      </c>
      <c r="C7" s="41">
        <v>853.702</v>
      </c>
      <c r="D7" s="41">
        <v>962.78399999999999</v>
      </c>
      <c r="E7" s="41">
        <v>875.38900000000001</v>
      </c>
      <c r="F7" s="101">
        <v>748</v>
      </c>
    </row>
    <row r="8" spans="1:6" ht="15" x14ac:dyDescent="0.2">
      <c r="A8" s="99" t="s">
        <v>16</v>
      </c>
      <c r="B8" s="100" t="s">
        <v>17</v>
      </c>
      <c r="C8" s="41">
        <v>130.83888593685001</v>
      </c>
      <c r="D8" s="41">
        <v>144.15605059577999</v>
      </c>
      <c r="E8" s="41">
        <v>131.89121908832999</v>
      </c>
      <c r="F8" s="101">
        <v>115</v>
      </c>
    </row>
    <row r="9" spans="1:6" ht="15" x14ac:dyDescent="0.2">
      <c r="A9" s="99"/>
      <c r="B9" s="100"/>
      <c r="C9" s="41"/>
      <c r="D9" s="41"/>
      <c r="E9" s="41"/>
      <c r="F9" s="101"/>
    </row>
    <row r="10" spans="1:6" ht="15.75" x14ac:dyDescent="0.25">
      <c r="A10" s="97" t="s">
        <v>18</v>
      </c>
      <c r="B10" s="98" t="s">
        <v>19</v>
      </c>
      <c r="C10" s="95"/>
      <c r="D10" s="95"/>
      <c r="E10" s="95"/>
      <c r="F10" s="96"/>
    </row>
    <row r="11" spans="1:6" ht="15" x14ac:dyDescent="0.2">
      <c r="A11" s="99" t="s">
        <v>20</v>
      </c>
      <c r="B11" s="100" t="s">
        <v>21</v>
      </c>
      <c r="C11" s="102">
        <v>109692</v>
      </c>
      <c r="D11" s="102">
        <v>119564</v>
      </c>
      <c r="E11" s="102">
        <v>115446</v>
      </c>
      <c r="F11" s="103">
        <v>111936</v>
      </c>
    </row>
    <row r="12" spans="1:6" ht="15" x14ac:dyDescent="0.2">
      <c r="A12" s="99" t="s">
        <v>16</v>
      </c>
      <c r="B12" s="100" t="s">
        <v>17</v>
      </c>
      <c r="C12" s="104">
        <v>3164.36200487927</v>
      </c>
      <c r="D12" s="104">
        <v>3997.8070860177099</v>
      </c>
      <c r="E12" s="104">
        <v>3734.70481172768</v>
      </c>
      <c r="F12" s="105">
        <v>3296</v>
      </c>
    </row>
    <row r="13" spans="1:6" ht="15" x14ac:dyDescent="0.2">
      <c r="A13" s="99"/>
      <c r="B13" s="100"/>
      <c r="C13" s="104"/>
      <c r="D13" s="104"/>
      <c r="E13" s="104"/>
      <c r="F13" s="105"/>
    </row>
    <row r="14" spans="1:6" ht="33" customHeight="1" x14ac:dyDescent="0.2">
      <c r="A14" s="106" t="s">
        <v>22</v>
      </c>
      <c r="B14" s="91" t="s">
        <v>30</v>
      </c>
      <c r="C14" s="102"/>
      <c r="D14" s="102"/>
      <c r="E14" s="102"/>
      <c r="F14" s="103"/>
    </row>
    <row r="15" spans="1:6" ht="15" x14ac:dyDescent="0.2">
      <c r="A15" s="99" t="s">
        <v>24</v>
      </c>
      <c r="B15" s="100" t="s">
        <v>21</v>
      </c>
      <c r="C15" s="104">
        <v>957</v>
      </c>
      <c r="D15" s="104">
        <v>1327</v>
      </c>
      <c r="E15" s="104">
        <v>1198</v>
      </c>
      <c r="F15" s="105">
        <v>1251</v>
      </c>
    </row>
    <row r="16" spans="1:6" ht="15" x14ac:dyDescent="0.2">
      <c r="A16" s="107" t="s">
        <v>25</v>
      </c>
      <c r="B16" s="108" t="s">
        <v>26</v>
      </c>
      <c r="C16" s="109">
        <v>2402.1790000000001</v>
      </c>
      <c r="D16" s="109">
        <v>2097.0749999999998</v>
      </c>
      <c r="E16" s="109">
        <v>2713.0659999999998</v>
      </c>
      <c r="F16" s="110">
        <v>3377</v>
      </c>
    </row>
    <row r="17" spans="1:4" x14ac:dyDescent="0.2">
      <c r="A17" s="111"/>
      <c r="B17" s="112"/>
      <c r="C17" s="82"/>
      <c r="D17" s="82"/>
    </row>
    <row r="18" spans="1:4" ht="23.25" x14ac:dyDescent="0.2">
      <c r="A18" s="111"/>
      <c r="B18" s="113"/>
      <c r="C18" s="82"/>
      <c r="D18" s="82"/>
    </row>
    <row r="19" spans="1:4" ht="23.25" x14ac:dyDescent="0.25">
      <c r="A19" s="111"/>
      <c r="B19" s="114"/>
    </row>
    <row r="21" spans="1:4" ht="23.25" x14ac:dyDescent="0.25">
      <c r="A21" s="111"/>
      <c r="B21" s="113"/>
    </row>
    <row r="22" spans="1:4" ht="23.25" x14ac:dyDescent="0.25">
      <c r="A22" s="111"/>
      <c r="B22" s="116"/>
    </row>
  </sheetData>
  <mergeCells count="3">
    <mergeCell ref="C1:D1"/>
    <mergeCell ref="C2:D2"/>
    <mergeCell ref="E2:F2"/>
  </mergeCells>
  <printOptions horizontalCentered="1" verticalCentered="1"/>
  <pageMargins left="0" right="0" top="0" bottom="0" header="0" footer="0"/>
  <pageSetup paperSize="9" scale="7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9820-A1B4-4109-A25F-AD298B7A3981}">
  <sheetPr>
    <pageSetUpPr fitToPage="1"/>
  </sheetPr>
  <dimension ref="A1:F22"/>
  <sheetViews>
    <sheetView view="pageBreakPreview" zoomScaleNormal="100" zoomScaleSheetLayoutView="100" workbookViewId="0">
      <selection activeCell="B7" sqref="B7"/>
    </sheetView>
  </sheetViews>
  <sheetFormatPr defaultColWidth="9.140625" defaultRowHeight="21" x14ac:dyDescent="0.25"/>
  <cols>
    <col min="1" max="1" width="61.7109375" style="80" bestFit="1" customWidth="1"/>
    <col min="2" max="2" width="82.7109375" style="117" bestFit="1" customWidth="1"/>
    <col min="3" max="4" width="10.28515625" style="115" customWidth="1"/>
    <col min="5" max="16384" width="9.140625" style="82"/>
  </cols>
  <sheetData>
    <row r="1" spans="1:6" x14ac:dyDescent="0.2">
      <c r="B1" s="81"/>
      <c r="C1" s="248"/>
      <c r="D1" s="248"/>
    </row>
    <row r="2" spans="1:6" ht="15.75" x14ac:dyDescent="0.2">
      <c r="A2" s="83" t="s">
        <v>0</v>
      </c>
      <c r="B2" s="84" t="s">
        <v>1</v>
      </c>
      <c r="C2" s="249">
        <v>2019</v>
      </c>
      <c r="D2" s="250"/>
      <c r="E2" s="249">
        <v>2020</v>
      </c>
      <c r="F2" s="250"/>
    </row>
    <row r="3" spans="1:6" ht="15.75" x14ac:dyDescent="0.2">
      <c r="A3" s="85" t="s">
        <v>4</v>
      </c>
      <c r="B3" s="86" t="s">
        <v>5</v>
      </c>
      <c r="C3" s="87" t="s">
        <v>6</v>
      </c>
      <c r="D3" s="87" t="s">
        <v>7</v>
      </c>
      <c r="E3" s="88" t="s">
        <v>8</v>
      </c>
      <c r="F3" s="89" t="s">
        <v>28</v>
      </c>
    </row>
    <row r="4" spans="1:6" ht="15.75" x14ac:dyDescent="0.2">
      <c r="A4" s="90" t="s">
        <v>10</v>
      </c>
      <c r="B4" s="91" t="s">
        <v>11</v>
      </c>
      <c r="C4" s="92"/>
      <c r="D4" s="92"/>
      <c r="E4" s="92"/>
      <c r="F4" s="93"/>
    </row>
    <row r="5" spans="1:6" x14ac:dyDescent="0.25">
      <c r="B5" s="94"/>
      <c r="C5" s="95"/>
      <c r="D5" s="95"/>
      <c r="E5" s="95"/>
      <c r="F5" s="96"/>
    </row>
    <row r="6" spans="1:6" ht="15.75" x14ac:dyDescent="0.25">
      <c r="A6" s="97" t="s">
        <v>12</v>
      </c>
      <c r="B6" s="98" t="s">
        <v>29</v>
      </c>
      <c r="C6" s="95"/>
      <c r="D6" s="95"/>
      <c r="E6" s="95"/>
      <c r="F6" s="96"/>
    </row>
    <row r="7" spans="1:6" ht="15" x14ac:dyDescent="0.2">
      <c r="A7" s="99" t="s">
        <v>14</v>
      </c>
      <c r="B7" s="100" t="s">
        <v>15</v>
      </c>
      <c r="C7" s="101">
        <v>877</v>
      </c>
      <c r="D7" s="101">
        <v>940.29200000000003</v>
      </c>
      <c r="E7" s="101">
        <v>583.14800000000002</v>
      </c>
      <c r="F7" s="101">
        <v>904.79399999999998</v>
      </c>
    </row>
    <row r="8" spans="1:6" ht="15" x14ac:dyDescent="0.2">
      <c r="A8" s="99" t="s">
        <v>16</v>
      </c>
      <c r="B8" s="100" t="s">
        <v>17</v>
      </c>
      <c r="C8" s="101">
        <v>126</v>
      </c>
      <c r="D8" s="101">
        <v>141.96299999999999</v>
      </c>
      <c r="E8" s="101">
        <v>144.98269552644999</v>
      </c>
      <c r="F8" s="101">
        <v>146.56365353093</v>
      </c>
    </row>
    <row r="9" spans="1:6" ht="15" x14ac:dyDescent="0.2">
      <c r="A9" s="99"/>
      <c r="B9" s="100"/>
      <c r="C9" s="101"/>
      <c r="D9" s="101"/>
      <c r="E9" s="101"/>
      <c r="F9" s="101"/>
    </row>
    <row r="10" spans="1:6" ht="15.75" x14ac:dyDescent="0.25">
      <c r="A10" s="97" t="s">
        <v>18</v>
      </c>
      <c r="B10" s="98" t="s">
        <v>19</v>
      </c>
      <c r="C10" s="96"/>
      <c r="D10" s="96"/>
      <c r="E10" s="96"/>
      <c r="F10" s="96"/>
    </row>
    <row r="11" spans="1:6" ht="15" x14ac:dyDescent="0.2">
      <c r="A11" s="99" t="s">
        <v>20</v>
      </c>
      <c r="B11" s="100" t="s">
        <v>21</v>
      </c>
      <c r="C11" s="103">
        <v>125783</v>
      </c>
      <c r="D11" s="103">
        <v>142584</v>
      </c>
      <c r="E11" s="103">
        <v>158772</v>
      </c>
      <c r="F11" s="103">
        <v>234369</v>
      </c>
    </row>
    <row r="12" spans="1:6" ht="15" x14ac:dyDescent="0.2">
      <c r="A12" s="99" t="s">
        <v>16</v>
      </c>
      <c r="B12" s="100" t="s">
        <v>17</v>
      </c>
      <c r="C12" s="105">
        <v>4937</v>
      </c>
      <c r="D12" s="105">
        <v>4343</v>
      </c>
      <c r="E12" s="105">
        <v>6648.5704327263402</v>
      </c>
      <c r="F12" s="105">
        <v>10825.55142553662</v>
      </c>
    </row>
    <row r="13" spans="1:6" ht="15" x14ac:dyDescent="0.2">
      <c r="A13" s="99"/>
      <c r="B13" s="100"/>
      <c r="C13" s="105"/>
      <c r="D13" s="105"/>
      <c r="E13" s="105"/>
      <c r="F13" s="105"/>
    </row>
    <row r="14" spans="1:6" ht="33" customHeight="1" x14ac:dyDescent="0.2">
      <c r="A14" s="106" t="s">
        <v>22</v>
      </c>
      <c r="B14" s="91" t="s">
        <v>30</v>
      </c>
      <c r="C14" s="103"/>
      <c r="D14" s="103"/>
      <c r="E14" s="103"/>
      <c r="F14" s="103"/>
    </row>
    <row r="15" spans="1:6" ht="15" x14ac:dyDescent="0.2">
      <c r="A15" s="99" t="s">
        <v>24</v>
      </c>
      <c r="B15" s="100" t="s">
        <v>21</v>
      </c>
      <c r="C15" s="105">
        <v>1539</v>
      </c>
      <c r="D15" s="105">
        <v>1418</v>
      </c>
      <c r="E15" s="105">
        <v>2293</v>
      </c>
      <c r="F15" s="105">
        <v>1621</v>
      </c>
    </row>
    <row r="16" spans="1:6" ht="15" x14ac:dyDescent="0.2">
      <c r="A16" s="107" t="s">
        <v>25</v>
      </c>
      <c r="B16" s="108" t="s">
        <v>26</v>
      </c>
      <c r="C16" s="110">
        <v>3953</v>
      </c>
      <c r="D16" s="110">
        <v>2921.1</v>
      </c>
      <c r="E16" s="110">
        <v>15374.83</v>
      </c>
      <c r="F16" s="110">
        <v>4974.7349999999997</v>
      </c>
    </row>
    <row r="17" spans="1:4" x14ac:dyDescent="0.2">
      <c r="A17" s="111"/>
      <c r="B17" s="112"/>
      <c r="C17" s="82"/>
      <c r="D17" s="82"/>
    </row>
    <row r="18" spans="1:4" ht="23.25" x14ac:dyDescent="0.2">
      <c r="A18" s="111"/>
      <c r="B18" s="113"/>
      <c r="C18" s="82"/>
      <c r="D18" s="82"/>
    </row>
    <row r="19" spans="1:4" ht="23.25" x14ac:dyDescent="0.25">
      <c r="A19" s="111"/>
      <c r="B19" s="114"/>
    </row>
    <row r="21" spans="1:4" ht="23.25" x14ac:dyDescent="0.25">
      <c r="A21" s="111"/>
      <c r="B21" s="113"/>
    </row>
    <row r="22" spans="1:4" ht="23.25" x14ac:dyDescent="0.25">
      <c r="A22" s="111"/>
      <c r="B22" s="116"/>
    </row>
  </sheetData>
  <mergeCells count="3">
    <mergeCell ref="C1:D1"/>
    <mergeCell ref="C2:D2"/>
    <mergeCell ref="E2:F2"/>
  </mergeCells>
  <printOptions horizontalCentered="1" verticalCentered="1"/>
  <pageMargins left="0" right="0" top="0" bottom="0" header="0" footer="0"/>
  <pageSetup paperSize="9" scale="7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4C76-3FE1-4389-8AD6-4D2892BC3ABF}">
  <sheetPr>
    <pageSetUpPr fitToPage="1"/>
  </sheetPr>
  <dimension ref="A1:F28"/>
  <sheetViews>
    <sheetView view="pageBreakPreview" zoomScaleNormal="100" zoomScaleSheetLayoutView="100" workbookViewId="0">
      <pane xSplit="2" topLeftCell="C1" activePane="topRight" state="frozen"/>
      <selection activeCell="B7" sqref="B7"/>
      <selection pane="topRight" activeCell="B7" sqref="B7"/>
    </sheetView>
  </sheetViews>
  <sheetFormatPr defaultColWidth="9.140625" defaultRowHeight="21" x14ac:dyDescent="0.25"/>
  <cols>
    <col min="1" max="1" width="81" style="118" customWidth="1"/>
    <col min="2" max="2" width="76.7109375" style="119" customWidth="1"/>
    <col min="3" max="4" width="10.28515625" style="120" customWidth="1"/>
    <col min="5" max="16384" width="9.140625" style="121"/>
  </cols>
  <sheetData>
    <row r="1" spans="1:6" ht="24.95" customHeight="1" x14ac:dyDescent="0.25"/>
    <row r="2" spans="1:6" s="124" customFormat="1" ht="24.95" customHeight="1" x14ac:dyDescent="0.2">
      <c r="A2" s="122" t="s">
        <v>0</v>
      </c>
      <c r="B2" s="123" t="s">
        <v>1</v>
      </c>
      <c r="C2" s="251">
        <v>2020</v>
      </c>
      <c r="D2" s="252"/>
      <c r="E2" s="251">
        <v>2021</v>
      </c>
      <c r="F2" s="252"/>
    </row>
    <row r="3" spans="1:6" s="129" customFormat="1" ht="24.95" customHeight="1" x14ac:dyDescent="0.2">
      <c r="A3" s="125" t="s">
        <v>4</v>
      </c>
      <c r="B3" s="126" t="s">
        <v>5</v>
      </c>
      <c r="C3" s="127" t="s">
        <v>6</v>
      </c>
      <c r="D3" s="127" t="s">
        <v>7</v>
      </c>
      <c r="E3" s="128" t="s">
        <v>8</v>
      </c>
      <c r="F3" s="128" t="s">
        <v>28</v>
      </c>
    </row>
    <row r="4" spans="1:6" ht="24.95" customHeight="1" x14ac:dyDescent="0.2">
      <c r="A4" s="130" t="s">
        <v>31</v>
      </c>
      <c r="B4" s="131" t="s">
        <v>32</v>
      </c>
      <c r="C4" s="93"/>
      <c r="D4" s="93"/>
      <c r="E4" s="93"/>
      <c r="F4" s="93"/>
    </row>
    <row r="5" spans="1:6" ht="13.5" customHeight="1" x14ac:dyDescent="0.25">
      <c r="A5" s="132"/>
      <c r="B5" s="133"/>
      <c r="C5" s="96"/>
      <c r="D5" s="96"/>
      <c r="E5" s="96"/>
      <c r="F5" s="96"/>
    </row>
    <row r="6" spans="1:6" ht="24.95" customHeight="1" x14ac:dyDescent="0.25">
      <c r="A6" s="134" t="s">
        <v>12</v>
      </c>
      <c r="B6" s="135" t="s">
        <v>13</v>
      </c>
      <c r="C6" s="96"/>
      <c r="D6" s="96"/>
      <c r="E6" s="96"/>
      <c r="F6" s="96"/>
    </row>
    <row r="7" spans="1:6" ht="24.95" customHeight="1" x14ac:dyDescent="0.25">
      <c r="A7" s="136" t="s">
        <v>33</v>
      </c>
      <c r="B7" s="137" t="s">
        <v>34</v>
      </c>
      <c r="C7" s="96"/>
      <c r="D7" s="96"/>
      <c r="E7" s="96"/>
      <c r="F7" s="96"/>
    </row>
    <row r="8" spans="1:6" ht="24.95" customHeight="1" x14ac:dyDescent="0.2">
      <c r="A8" s="138" t="s">
        <v>14</v>
      </c>
      <c r="B8" s="139" t="s">
        <v>15</v>
      </c>
      <c r="C8" s="101">
        <v>886.43200000000002</v>
      </c>
      <c r="D8" s="101">
        <v>919.91300000000001</v>
      </c>
      <c r="E8" s="101">
        <v>982.13800000000003</v>
      </c>
      <c r="F8" s="101">
        <v>939.76800000000003</v>
      </c>
    </row>
    <row r="9" spans="1:6" ht="26.25" x14ac:dyDescent="0.2">
      <c r="A9" s="138" t="s">
        <v>35</v>
      </c>
      <c r="B9" s="139" t="s">
        <v>27</v>
      </c>
      <c r="C9" s="101">
        <v>143.97381555831001</v>
      </c>
      <c r="D9" s="101">
        <v>166.94996264017001</v>
      </c>
      <c r="E9" s="101">
        <v>172.58020618713999</v>
      </c>
      <c r="F9" s="101">
        <v>164.51300565650001</v>
      </c>
    </row>
    <row r="10" spans="1:6" ht="24.95" customHeight="1" x14ac:dyDescent="0.2">
      <c r="A10" s="136" t="s">
        <v>36</v>
      </c>
      <c r="B10" s="137" t="s">
        <v>37</v>
      </c>
      <c r="C10" s="101"/>
      <c r="D10" s="101"/>
      <c r="E10" s="101"/>
      <c r="F10" s="101"/>
    </row>
    <row r="11" spans="1:6" ht="24.95" customHeight="1" x14ac:dyDescent="0.2">
      <c r="A11" s="138" t="s">
        <v>20</v>
      </c>
      <c r="B11" s="139" t="s">
        <v>21</v>
      </c>
      <c r="C11" s="101" t="s">
        <v>38</v>
      </c>
      <c r="D11" s="101" t="s">
        <v>38</v>
      </c>
      <c r="E11" s="101" t="s">
        <v>38</v>
      </c>
      <c r="F11" s="101">
        <v>5724</v>
      </c>
    </row>
    <row r="12" spans="1:6" ht="24.95" customHeight="1" x14ac:dyDescent="0.2">
      <c r="A12" s="138" t="s">
        <v>39</v>
      </c>
      <c r="B12" s="139" t="s">
        <v>40</v>
      </c>
      <c r="C12" s="101" t="s">
        <v>38</v>
      </c>
      <c r="D12" s="101" t="s">
        <v>38</v>
      </c>
      <c r="E12" s="101" t="s">
        <v>38</v>
      </c>
      <c r="F12" s="101">
        <v>338.91797828</v>
      </c>
    </row>
    <row r="13" spans="1:6" ht="13.5" customHeight="1" x14ac:dyDescent="0.2">
      <c r="A13" s="136" t="s">
        <v>41</v>
      </c>
      <c r="B13" s="137" t="s">
        <v>42</v>
      </c>
      <c r="C13" s="101"/>
      <c r="D13" s="101"/>
      <c r="E13" s="101"/>
      <c r="F13" s="101"/>
    </row>
    <row r="14" spans="1:6" ht="26.25" x14ac:dyDescent="0.2">
      <c r="A14" s="138" t="s">
        <v>20</v>
      </c>
      <c r="B14" s="139" t="s">
        <v>21</v>
      </c>
      <c r="C14" s="101" t="s">
        <v>38</v>
      </c>
      <c r="D14" s="101" t="s">
        <v>38</v>
      </c>
      <c r="E14" s="101" t="s">
        <v>38</v>
      </c>
      <c r="F14" s="101">
        <v>861</v>
      </c>
    </row>
    <row r="15" spans="1:6" ht="24.95" customHeight="1" x14ac:dyDescent="0.2">
      <c r="A15" s="138" t="s">
        <v>43</v>
      </c>
      <c r="B15" s="139" t="s">
        <v>44</v>
      </c>
      <c r="C15" s="101" t="s">
        <v>38</v>
      </c>
      <c r="D15" s="101" t="s">
        <v>38</v>
      </c>
      <c r="E15" s="101" t="s">
        <v>38</v>
      </c>
      <c r="F15" s="101">
        <v>14.67089142</v>
      </c>
    </row>
    <row r="16" spans="1:6" ht="26.25" x14ac:dyDescent="0.2">
      <c r="A16" s="138"/>
      <c r="B16" s="139"/>
      <c r="C16" s="101"/>
      <c r="D16" s="101"/>
      <c r="E16" s="101"/>
      <c r="F16" s="101"/>
    </row>
    <row r="17" spans="1:6" ht="27.75" x14ac:dyDescent="0.25">
      <c r="A17" s="134" t="s">
        <v>45</v>
      </c>
      <c r="B17" s="140" t="s">
        <v>46</v>
      </c>
      <c r="C17" s="96"/>
      <c r="D17" s="96"/>
      <c r="E17" s="96"/>
      <c r="F17" s="96"/>
    </row>
    <row r="18" spans="1:6" ht="26.25" x14ac:dyDescent="0.2">
      <c r="A18" s="138" t="s">
        <v>20</v>
      </c>
      <c r="B18" s="139" t="s">
        <v>21</v>
      </c>
      <c r="C18" s="103">
        <v>215341</v>
      </c>
      <c r="D18" s="103">
        <v>251451</v>
      </c>
      <c r="E18" s="103">
        <v>291668</v>
      </c>
      <c r="F18" s="103">
        <v>224919</v>
      </c>
    </row>
    <row r="19" spans="1:6" ht="26.25" x14ac:dyDescent="0.2">
      <c r="A19" s="138" t="s">
        <v>35</v>
      </c>
      <c r="B19" s="139" t="s">
        <v>27</v>
      </c>
      <c r="C19" s="105">
        <v>4541.5557127321199</v>
      </c>
      <c r="D19" s="105">
        <v>4422.8322403313005</v>
      </c>
      <c r="E19" s="105">
        <v>4197.9354879330604</v>
      </c>
      <c r="F19" s="105">
        <v>5156.3479393787002</v>
      </c>
    </row>
    <row r="20" spans="1:6" ht="26.25" x14ac:dyDescent="0.2">
      <c r="A20" s="141"/>
      <c r="B20" s="142"/>
      <c r="C20" s="105"/>
      <c r="D20" s="105"/>
      <c r="E20" s="105"/>
      <c r="F20" s="105"/>
    </row>
    <row r="21" spans="1:6" ht="30" x14ac:dyDescent="0.2">
      <c r="A21" s="143" t="s">
        <v>47</v>
      </c>
      <c r="B21" s="144" t="s">
        <v>48</v>
      </c>
      <c r="C21" s="103"/>
      <c r="D21" s="103"/>
      <c r="E21" s="103"/>
      <c r="F21" s="103"/>
    </row>
    <row r="22" spans="1:6" ht="26.25" x14ac:dyDescent="0.2">
      <c r="A22" s="145" t="s">
        <v>24</v>
      </c>
      <c r="B22" s="146" t="s">
        <v>21</v>
      </c>
      <c r="C22" s="105">
        <v>1483</v>
      </c>
      <c r="D22" s="105">
        <v>1618</v>
      </c>
      <c r="E22" s="105">
        <v>1370</v>
      </c>
      <c r="F22" s="105">
        <v>1625</v>
      </c>
    </row>
    <row r="23" spans="1:6" ht="26.25" x14ac:dyDescent="0.2">
      <c r="A23" s="147" t="s">
        <v>25</v>
      </c>
      <c r="B23" s="148" t="s">
        <v>26</v>
      </c>
      <c r="C23" s="110">
        <v>4063.5729999999999</v>
      </c>
      <c r="D23" s="110">
        <v>3979.96</v>
      </c>
      <c r="E23" s="110">
        <v>3355.4349999999999</v>
      </c>
      <c r="F23" s="110">
        <v>4058.3670000000002</v>
      </c>
    </row>
    <row r="24" spans="1:6" ht="27.75" x14ac:dyDescent="0.2">
      <c r="A24" s="149" t="s">
        <v>49</v>
      </c>
      <c r="B24" s="150" t="s">
        <v>50</v>
      </c>
      <c r="C24" s="151"/>
      <c r="D24" s="151"/>
    </row>
    <row r="25" spans="1:6" ht="30" x14ac:dyDescent="0.2">
      <c r="A25" s="152" t="s">
        <v>51</v>
      </c>
      <c r="B25" s="153" t="s">
        <v>52</v>
      </c>
      <c r="C25" s="154"/>
      <c r="D25" s="154"/>
    </row>
    <row r="26" spans="1:6" ht="45" x14ac:dyDescent="0.2">
      <c r="A26" s="152" t="s">
        <v>53</v>
      </c>
      <c r="B26" s="155" t="s">
        <v>54</v>
      </c>
      <c r="C26" s="156"/>
      <c r="D26" s="156"/>
    </row>
    <row r="27" spans="1:6" ht="27.75" x14ac:dyDescent="0.2">
      <c r="A27" s="157" t="s">
        <v>55</v>
      </c>
      <c r="B27" s="158" t="s">
        <v>56</v>
      </c>
      <c r="C27" s="156"/>
      <c r="D27" s="156"/>
    </row>
    <row r="28" spans="1:6" ht="23.25" x14ac:dyDescent="0.25">
      <c r="A28" s="159"/>
      <c r="B28" s="160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0D28-FA9A-4D0E-AF96-F76E903B80CA}">
  <sheetPr>
    <pageSetUpPr fitToPage="1"/>
  </sheetPr>
  <dimension ref="A1:F28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21" x14ac:dyDescent="0.25"/>
  <cols>
    <col min="1" max="1" width="81" style="118" customWidth="1"/>
    <col min="2" max="2" width="93" style="119" bestFit="1" customWidth="1"/>
    <col min="3" max="3" width="7.140625" style="120" bestFit="1" customWidth="1"/>
    <col min="4" max="4" width="7" style="120" bestFit="1" customWidth="1"/>
    <col min="5" max="5" width="7.140625" style="121" bestFit="1" customWidth="1"/>
    <col min="6" max="6" width="7" style="121" bestFit="1" customWidth="1"/>
    <col min="7" max="16384" width="9.140625" style="121"/>
  </cols>
  <sheetData>
    <row r="1" spans="1:6" ht="24.95" customHeight="1" thickBot="1" x14ac:dyDescent="0.3"/>
    <row r="2" spans="1:6" s="124" customFormat="1" ht="24.95" customHeight="1" x14ac:dyDescent="0.2">
      <c r="A2" s="161" t="s">
        <v>0</v>
      </c>
      <c r="B2" s="161" t="s">
        <v>1</v>
      </c>
      <c r="C2" s="253">
        <v>2021</v>
      </c>
      <c r="D2" s="254"/>
      <c r="E2" s="253">
        <v>2022</v>
      </c>
      <c r="F2" s="254"/>
    </row>
    <row r="3" spans="1:6" s="129" customFormat="1" ht="24.95" customHeight="1" x14ac:dyDescent="0.2">
      <c r="A3" s="162" t="s">
        <v>4</v>
      </c>
      <c r="B3" s="162" t="s">
        <v>5</v>
      </c>
      <c r="C3" s="163" t="s">
        <v>6</v>
      </c>
      <c r="D3" s="164" t="s">
        <v>7</v>
      </c>
      <c r="E3" s="163" t="s">
        <v>8</v>
      </c>
      <c r="F3" s="164" t="s">
        <v>28</v>
      </c>
    </row>
    <row r="4" spans="1:6" ht="24.95" customHeight="1" x14ac:dyDescent="0.2">
      <c r="A4" s="165" t="s">
        <v>31</v>
      </c>
      <c r="B4" s="166" t="s">
        <v>57</v>
      </c>
      <c r="C4" s="93"/>
      <c r="D4" s="167"/>
      <c r="E4" s="93"/>
      <c r="F4" s="167"/>
    </row>
    <row r="5" spans="1:6" ht="13.5" customHeight="1" x14ac:dyDescent="0.25">
      <c r="A5" s="132"/>
      <c r="B5" s="168"/>
      <c r="C5" s="96"/>
      <c r="D5" s="169"/>
      <c r="E5" s="96"/>
      <c r="F5" s="169"/>
    </row>
    <row r="6" spans="1:6" ht="24.95" customHeight="1" x14ac:dyDescent="0.25">
      <c r="A6" s="170" t="s">
        <v>58</v>
      </c>
      <c r="B6" s="171" t="s">
        <v>13</v>
      </c>
      <c r="C6" s="96"/>
      <c r="D6" s="169"/>
      <c r="E6" s="96"/>
      <c r="F6" s="169"/>
    </row>
    <row r="7" spans="1:6" ht="24.95" customHeight="1" x14ac:dyDescent="0.25">
      <c r="A7" s="172" t="s">
        <v>33</v>
      </c>
      <c r="B7" s="173" t="s">
        <v>34</v>
      </c>
      <c r="C7" s="96"/>
      <c r="D7" s="169"/>
      <c r="E7" s="96"/>
      <c r="F7" s="169"/>
    </row>
    <row r="8" spans="1:6" ht="24.95" customHeight="1" x14ac:dyDescent="0.2">
      <c r="A8" s="174" t="s">
        <v>59</v>
      </c>
      <c r="B8" s="175" t="s">
        <v>15</v>
      </c>
      <c r="C8" s="176">
        <v>926.846</v>
      </c>
      <c r="D8" s="177">
        <v>969.03599999999994</v>
      </c>
      <c r="E8" s="176">
        <v>1046.057</v>
      </c>
      <c r="F8" s="177">
        <v>891.11800000000005</v>
      </c>
    </row>
    <row r="9" spans="1:6" ht="24.95" customHeight="1" x14ac:dyDescent="0.2">
      <c r="A9" s="174" t="s">
        <v>60</v>
      </c>
      <c r="B9" s="175" t="s">
        <v>27</v>
      </c>
      <c r="C9" s="176">
        <v>162.62593942702</v>
      </c>
      <c r="D9" s="177">
        <v>181.44285032137</v>
      </c>
      <c r="E9" s="176">
        <v>208.28607913361</v>
      </c>
      <c r="F9" s="177">
        <v>186.59790798063</v>
      </c>
    </row>
    <row r="10" spans="1:6" ht="24.95" customHeight="1" x14ac:dyDescent="0.2">
      <c r="A10" s="172" t="s">
        <v>36</v>
      </c>
      <c r="B10" s="173" t="s">
        <v>61</v>
      </c>
      <c r="C10" s="101"/>
      <c r="D10" s="178"/>
      <c r="E10" s="101"/>
      <c r="F10" s="178"/>
    </row>
    <row r="11" spans="1:6" ht="24.95" customHeight="1" x14ac:dyDescent="0.2">
      <c r="A11" s="174" t="s">
        <v>62</v>
      </c>
      <c r="B11" s="175" t="s">
        <v>21</v>
      </c>
      <c r="C11" s="176">
        <v>9214</v>
      </c>
      <c r="D11" s="177">
        <v>9695</v>
      </c>
      <c r="E11" s="176">
        <v>10534</v>
      </c>
      <c r="F11" s="177">
        <v>10770</v>
      </c>
    </row>
    <row r="12" spans="1:6" ht="24.95" customHeight="1" x14ac:dyDescent="0.2">
      <c r="A12" s="174" t="s">
        <v>63</v>
      </c>
      <c r="B12" s="175" t="s">
        <v>40</v>
      </c>
      <c r="C12" s="176">
        <v>328.38243225999997</v>
      </c>
      <c r="D12" s="177">
        <v>336.32025483000001</v>
      </c>
      <c r="E12" s="176">
        <v>375.20313671000002</v>
      </c>
      <c r="F12" s="177">
        <v>461.43907554999998</v>
      </c>
    </row>
    <row r="13" spans="1:6" ht="15" x14ac:dyDescent="0.2">
      <c r="A13" s="172" t="s">
        <v>41</v>
      </c>
      <c r="B13" s="173" t="s">
        <v>64</v>
      </c>
      <c r="C13" s="101"/>
      <c r="D13" s="178"/>
      <c r="E13" s="101"/>
      <c r="F13" s="178"/>
    </row>
    <row r="14" spans="1:6" ht="24.95" customHeight="1" x14ac:dyDescent="0.2">
      <c r="A14" s="174" t="s">
        <v>62</v>
      </c>
      <c r="B14" s="175" t="s">
        <v>21</v>
      </c>
      <c r="C14" s="176">
        <v>1258</v>
      </c>
      <c r="D14" s="177">
        <v>1705</v>
      </c>
      <c r="E14" s="176">
        <v>2035</v>
      </c>
      <c r="F14" s="177">
        <v>1955</v>
      </c>
    </row>
    <row r="15" spans="1:6" ht="24.95" customHeight="1" x14ac:dyDescent="0.2">
      <c r="A15" s="174" t="s">
        <v>65</v>
      </c>
      <c r="B15" s="175" t="s">
        <v>44</v>
      </c>
      <c r="C15" s="176">
        <v>24.33238214</v>
      </c>
      <c r="D15" s="177">
        <v>24.50112803</v>
      </c>
      <c r="E15" s="176">
        <v>29.855152539999999</v>
      </c>
      <c r="F15" s="177">
        <v>36.727285639999998</v>
      </c>
    </row>
    <row r="16" spans="1:6" ht="24.95" customHeight="1" x14ac:dyDescent="0.2">
      <c r="A16" s="138"/>
      <c r="B16" s="179"/>
      <c r="C16" s="101"/>
      <c r="D16" s="178"/>
      <c r="E16" s="101"/>
      <c r="F16" s="178"/>
    </row>
    <row r="17" spans="1:6" ht="17.25" x14ac:dyDescent="0.25">
      <c r="A17" s="170" t="s">
        <v>66</v>
      </c>
      <c r="B17" s="171" t="s">
        <v>67</v>
      </c>
      <c r="C17" s="96"/>
      <c r="D17" s="169"/>
      <c r="E17" s="96"/>
      <c r="F17" s="169"/>
    </row>
    <row r="18" spans="1:6" ht="24.95" customHeight="1" x14ac:dyDescent="0.2">
      <c r="A18" s="174" t="s">
        <v>62</v>
      </c>
      <c r="B18" s="175" t="s">
        <v>21</v>
      </c>
      <c r="C18" s="176">
        <v>211419</v>
      </c>
      <c r="D18" s="177">
        <v>233057</v>
      </c>
      <c r="E18" s="176">
        <v>268459</v>
      </c>
      <c r="F18" s="177">
        <v>223727</v>
      </c>
    </row>
    <row r="19" spans="1:6" ht="24.95" customHeight="1" x14ac:dyDescent="0.2">
      <c r="A19" s="174" t="s">
        <v>65</v>
      </c>
      <c r="B19" s="175" t="s">
        <v>27</v>
      </c>
      <c r="C19" s="176">
        <v>4967.2712155343297</v>
      </c>
      <c r="D19" s="177">
        <v>6296.2821429857595</v>
      </c>
      <c r="E19" s="176">
        <v>9783.9444885219418</v>
      </c>
      <c r="F19" s="177">
        <v>8008.6360347006603</v>
      </c>
    </row>
    <row r="20" spans="1:6" ht="15.75" x14ac:dyDescent="0.2">
      <c r="A20" s="174"/>
      <c r="B20" s="175"/>
      <c r="C20" s="176"/>
      <c r="D20" s="177"/>
      <c r="E20" s="176"/>
      <c r="F20" s="177"/>
    </row>
    <row r="21" spans="1:6" ht="34.5" x14ac:dyDescent="0.2">
      <c r="A21" s="180" t="s">
        <v>47</v>
      </c>
      <c r="B21" s="181" t="s">
        <v>68</v>
      </c>
      <c r="C21" s="103"/>
      <c r="D21" s="182"/>
      <c r="E21" s="103"/>
      <c r="F21" s="182"/>
    </row>
    <row r="22" spans="1:6" ht="24.95" customHeight="1" x14ac:dyDescent="0.2">
      <c r="A22" s="174" t="s">
        <v>24</v>
      </c>
      <c r="B22" s="175" t="s">
        <v>21</v>
      </c>
      <c r="C22" s="176">
        <v>1434</v>
      </c>
      <c r="D22" s="177">
        <v>1524</v>
      </c>
      <c r="E22" s="176">
        <v>1899</v>
      </c>
      <c r="F22" s="177">
        <v>1009</v>
      </c>
    </row>
    <row r="23" spans="1:6" ht="24.95" customHeight="1" x14ac:dyDescent="0.2">
      <c r="A23" s="174" t="s">
        <v>25</v>
      </c>
      <c r="B23" s="175" t="s">
        <v>26</v>
      </c>
      <c r="C23" s="183">
        <v>3450.03</v>
      </c>
      <c r="D23" s="184">
        <v>5609.0069999999996</v>
      </c>
      <c r="E23" s="183">
        <v>16345.52</v>
      </c>
      <c r="F23" s="184">
        <v>2033.5550000000001</v>
      </c>
    </row>
    <row r="24" spans="1:6" ht="27.75" x14ac:dyDescent="0.2">
      <c r="A24" s="185" t="s">
        <v>49</v>
      </c>
      <c r="B24" s="186" t="s">
        <v>69</v>
      </c>
      <c r="C24" s="187"/>
      <c r="D24" s="187"/>
    </row>
    <row r="25" spans="1:6" ht="26.25" x14ac:dyDescent="0.2">
      <c r="A25" s="188" t="s">
        <v>51</v>
      </c>
      <c r="B25" s="189" t="s">
        <v>70</v>
      </c>
      <c r="C25" s="190"/>
      <c r="D25" s="190"/>
    </row>
    <row r="26" spans="1:6" ht="38.25" x14ac:dyDescent="0.2">
      <c r="A26" s="188" t="s">
        <v>53</v>
      </c>
      <c r="B26" s="189" t="s">
        <v>71</v>
      </c>
      <c r="C26" s="191"/>
      <c r="D26" s="191"/>
    </row>
    <row r="27" spans="1:6" ht="27.75" x14ac:dyDescent="0.2">
      <c r="A27" s="192" t="s">
        <v>55</v>
      </c>
      <c r="B27" s="193" t="s">
        <v>72</v>
      </c>
      <c r="C27" s="191"/>
      <c r="D27" s="191"/>
    </row>
    <row r="28" spans="1:6" ht="23.25" x14ac:dyDescent="0.25">
      <c r="A28" s="159"/>
      <c r="B28" s="160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A889-CF76-4B1C-A2B0-5AE07196F75C}">
  <sheetPr>
    <pageSetUpPr fitToPage="1"/>
  </sheetPr>
  <dimension ref="A1:F28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21" x14ac:dyDescent="0.25"/>
  <cols>
    <col min="1" max="1" width="75" style="194" customWidth="1"/>
    <col min="2" max="2" width="100.28515625" style="194" customWidth="1"/>
    <col min="3" max="4" width="7.85546875" style="195" bestFit="1" customWidth="1"/>
    <col min="5" max="6" width="7.85546875" style="196" bestFit="1" customWidth="1"/>
    <col min="7" max="16384" width="9.140625" style="196"/>
  </cols>
  <sheetData>
    <row r="1" spans="1:6" ht="24.95" customHeight="1" thickBot="1" x14ac:dyDescent="0.3"/>
    <row r="2" spans="1:6" s="199" customFormat="1" ht="18.95" customHeight="1" x14ac:dyDescent="0.2">
      <c r="A2" s="197" t="s">
        <v>0</v>
      </c>
      <c r="B2" s="198" t="s">
        <v>1</v>
      </c>
      <c r="C2" s="255">
        <v>2022</v>
      </c>
      <c r="D2" s="256"/>
      <c r="E2" s="257">
        <v>2023</v>
      </c>
      <c r="F2" s="256"/>
    </row>
    <row r="3" spans="1:6" s="199" customFormat="1" ht="18.75" x14ac:dyDescent="0.2">
      <c r="A3" s="200" t="s">
        <v>4</v>
      </c>
      <c r="B3" s="201" t="s">
        <v>5</v>
      </c>
      <c r="C3" s="163" t="s">
        <v>6</v>
      </c>
      <c r="D3" s="164" t="s">
        <v>7</v>
      </c>
      <c r="E3" s="202" t="s">
        <v>8</v>
      </c>
      <c r="F3" s="164" t="s">
        <v>28</v>
      </c>
    </row>
    <row r="4" spans="1:6" ht="17.25" x14ac:dyDescent="0.2">
      <c r="A4" s="203" t="s">
        <v>31</v>
      </c>
      <c r="B4" s="204" t="s">
        <v>57</v>
      </c>
      <c r="C4" s="205"/>
      <c r="D4" s="206"/>
      <c r="E4" s="207"/>
      <c r="F4" s="208"/>
    </row>
    <row r="5" spans="1:6" ht="13.5" customHeight="1" x14ac:dyDescent="0.25">
      <c r="A5" s="209"/>
      <c r="B5" s="210"/>
      <c r="C5" s="211"/>
      <c r="D5" s="212"/>
      <c r="E5" s="213"/>
      <c r="F5" s="214"/>
    </row>
    <row r="6" spans="1:6" ht="20.100000000000001" customHeight="1" x14ac:dyDescent="0.25">
      <c r="A6" s="215" t="s">
        <v>58</v>
      </c>
      <c r="B6" s="216" t="s">
        <v>13</v>
      </c>
      <c r="C6" s="211"/>
      <c r="D6" s="212"/>
      <c r="E6" s="213"/>
      <c r="F6" s="214"/>
    </row>
    <row r="7" spans="1:6" ht="18" customHeight="1" x14ac:dyDescent="0.25">
      <c r="A7" s="217" t="s">
        <v>33</v>
      </c>
      <c r="B7" s="218" t="s">
        <v>34</v>
      </c>
      <c r="C7" s="211"/>
      <c r="D7" s="212"/>
      <c r="E7" s="213"/>
      <c r="F7" s="214"/>
    </row>
    <row r="8" spans="1:6" s="222" customFormat="1" ht="18" customHeight="1" x14ac:dyDescent="0.2">
      <c r="A8" s="219" t="s">
        <v>59</v>
      </c>
      <c r="B8" s="220" t="s">
        <v>15</v>
      </c>
      <c r="C8" s="176">
        <v>846.80700000000002</v>
      </c>
      <c r="D8" s="177">
        <v>865.19500000000005</v>
      </c>
      <c r="E8" s="221">
        <v>880.26400000000001</v>
      </c>
      <c r="F8" s="177">
        <v>735.76099999999997</v>
      </c>
    </row>
    <row r="9" spans="1:6" s="222" customFormat="1" ht="18" customHeight="1" x14ac:dyDescent="0.2">
      <c r="A9" s="219" t="s">
        <v>60</v>
      </c>
      <c r="B9" s="220" t="s">
        <v>27</v>
      </c>
      <c r="C9" s="176">
        <v>198.94113354360999</v>
      </c>
      <c r="D9" s="177">
        <v>211.97289489682001</v>
      </c>
      <c r="E9" s="221">
        <v>233.57426221767</v>
      </c>
      <c r="F9" s="177">
        <v>199.55727169741002</v>
      </c>
    </row>
    <row r="10" spans="1:6" ht="24.95" customHeight="1" x14ac:dyDescent="0.2">
      <c r="A10" s="217" t="s">
        <v>36</v>
      </c>
      <c r="B10" s="218" t="s">
        <v>61</v>
      </c>
      <c r="C10" s="223"/>
      <c r="D10" s="224"/>
      <c r="E10" s="225"/>
      <c r="F10" s="226"/>
    </row>
    <row r="11" spans="1:6" s="222" customFormat="1" ht="18" customHeight="1" x14ac:dyDescent="0.2">
      <c r="A11" s="219" t="s">
        <v>62</v>
      </c>
      <c r="B11" s="220" t="s">
        <v>21</v>
      </c>
      <c r="C11" s="176">
        <v>9326</v>
      </c>
      <c r="D11" s="177">
        <v>10357</v>
      </c>
      <c r="E11" s="221">
        <v>11327</v>
      </c>
      <c r="F11" s="177">
        <v>9471</v>
      </c>
    </row>
    <row r="12" spans="1:6" s="222" customFormat="1" ht="18" customHeight="1" x14ac:dyDescent="0.2">
      <c r="A12" s="219" t="s">
        <v>63</v>
      </c>
      <c r="B12" s="220" t="s">
        <v>40</v>
      </c>
      <c r="C12" s="176">
        <v>387.50811155000002</v>
      </c>
      <c r="D12" s="177">
        <v>365.07704919000003</v>
      </c>
      <c r="E12" s="221">
        <v>431.78336615000001</v>
      </c>
      <c r="F12" s="177">
        <v>383.79135362</v>
      </c>
    </row>
    <row r="13" spans="1:6" ht="15" x14ac:dyDescent="0.2">
      <c r="A13" s="217" t="s">
        <v>41</v>
      </c>
      <c r="B13" s="218" t="s">
        <v>64</v>
      </c>
      <c r="C13" s="223"/>
      <c r="D13" s="224"/>
      <c r="E13" s="225"/>
      <c r="F13" s="226"/>
    </row>
    <row r="14" spans="1:6" s="222" customFormat="1" ht="18" customHeight="1" x14ac:dyDescent="0.2">
      <c r="A14" s="219" t="s">
        <v>62</v>
      </c>
      <c r="B14" s="220" t="s">
        <v>21</v>
      </c>
      <c r="C14" s="176">
        <v>1872</v>
      </c>
      <c r="D14" s="177">
        <v>2148</v>
      </c>
      <c r="E14" s="221">
        <v>2468</v>
      </c>
      <c r="F14" s="177">
        <v>2206</v>
      </c>
    </row>
    <row r="15" spans="1:6" s="222" customFormat="1" ht="18" customHeight="1" x14ac:dyDescent="0.2">
      <c r="A15" s="219" t="s">
        <v>65</v>
      </c>
      <c r="B15" s="220" t="s">
        <v>44</v>
      </c>
      <c r="C15" s="176">
        <v>37.117512779999998</v>
      </c>
      <c r="D15" s="177">
        <v>50.570551709999997</v>
      </c>
      <c r="E15" s="221">
        <v>62.194968430000003</v>
      </c>
      <c r="F15" s="177">
        <v>45.962242369999998</v>
      </c>
    </row>
    <row r="16" spans="1:6" ht="15.75" customHeight="1" x14ac:dyDescent="0.2">
      <c r="A16" s="227"/>
      <c r="B16" s="228"/>
      <c r="C16" s="223"/>
      <c r="D16" s="224"/>
      <c r="E16" s="225"/>
      <c r="F16" s="226"/>
    </row>
    <row r="17" spans="1:6" ht="20.100000000000001" customHeight="1" x14ac:dyDescent="0.25">
      <c r="A17" s="215" t="s">
        <v>66</v>
      </c>
      <c r="B17" s="216" t="s">
        <v>67</v>
      </c>
      <c r="C17" s="211"/>
      <c r="D17" s="212"/>
      <c r="E17" s="213"/>
      <c r="F17" s="214"/>
    </row>
    <row r="18" spans="1:6" s="222" customFormat="1" ht="18" customHeight="1" x14ac:dyDescent="0.2">
      <c r="A18" s="219" t="s">
        <v>62</v>
      </c>
      <c r="B18" s="220" t="s">
        <v>21</v>
      </c>
      <c r="C18" s="176">
        <v>212399</v>
      </c>
      <c r="D18" s="177">
        <v>215905</v>
      </c>
      <c r="E18" s="221">
        <v>222277</v>
      </c>
      <c r="F18" s="177">
        <v>170094</v>
      </c>
    </row>
    <row r="19" spans="1:6" s="222" customFormat="1" ht="18" customHeight="1" x14ac:dyDescent="0.2">
      <c r="A19" s="219" t="s">
        <v>65</v>
      </c>
      <c r="B19" s="220" t="s">
        <v>27</v>
      </c>
      <c r="C19" s="176">
        <v>11371.868718314799</v>
      </c>
      <c r="D19" s="177">
        <v>9520.0098594968513</v>
      </c>
      <c r="E19" s="221">
        <v>10748.92203726628</v>
      </c>
      <c r="F19" s="177">
        <v>12830.370874376458</v>
      </c>
    </row>
    <row r="20" spans="1:6" s="222" customFormat="1" ht="18" customHeight="1" x14ac:dyDescent="0.2">
      <c r="A20" s="219"/>
      <c r="B20" s="220"/>
      <c r="C20" s="176"/>
      <c r="D20" s="177"/>
      <c r="E20" s="221"/>
      <c r="F20" s="177"/>
    </row>
    <row r="21" spans="1:6" ht="34.5" x14ac:dyDescent="0.2">
      <c r="A21" s="229" t="s">
        <v>47</v>
      </c>
      <c r="B21" s="230" t="s">
        <v>68</v>
      </c>
      <c r="C21" s="103"/>
      <c r="D21" s="182"/>
      <c r="E21" s="231"/>
      <c r="F21" s="182"/>
    </row>
    <row r="22" spans="1:6" s="222" customFormat="1" ht="18" customHeight="1" x14ac:dyDescent="0.2">
      <c r="A22" s="219" t="s">
        <v>24</v>
      </c>
      <c r="B22" s="220" t="s">
        <v>21</v>
      </c>
      <c r="C22" s="176">
        <v>175</v>
      </c>
      <c r="D22" s="177">
        <v>2496</v>
      </c>
      <c r="E22" s="221">
        <v>2279</v>
      </c>
      <c r="F22" s="177">
        <v>1421</v>
      </c>
    </row>
    <row r="23" spans="1:6" s="222" customFormat="1" ht="18" customHeight="1" thickBot="1" x14ac:dyDescent="0.25">
      <c r="A23" s="232" t="s">
        <v>25</v>
      </c>
      <c r="B23" s="233" t="s">
        <v>26</v>
      </c>
      <c r="C23" s="234">
        <v>891.95799999999997</v>
      </c>
      <c r="D23" s="235">
        <v>808.52499999999998</v>
      </c>
      <c r="E23" s="239">
        <v>1570.85</v>
      </c>
      <c r="F23" s="235">
        <v>598.423</v>
      </c>
    </row>
    <row r="24" spans="1:6" s="237" customFormat="1" ht="14.25" x14ac:dyDescent="0.2">
      <c r="A24" s="192" t="s">
        <v>49</v>
      </c>
      <c r="B24" s="193" t="s">
        <v>69</v>
      </c>
      <c r="C24" s="236"/>
      <c r="D24" s="236"/>
    </row>
    <row r="25" spans="1:6" s="237" customFormat="1" ht="25.5" x14ac:dyDescent="0.2">
      <c r="A25" s="188" t="s">
        <v>51</v>
      </c>
      <c r="B25" s="189" t="s">
        <v>70</v>
      </c>
      <c r="C25" s="238"/>
      <c r="D25" s="238"/>
    </row>
    <row r="26" spans="1:6" s="237" customFormat="1" ht="38.25" x14ac:dyDescent="0.2">
      <c r="A26" s="188" t="s">
        <v>53</v>
      </c>
      <c r="B26" s="189" t="s">
        <v>71</v>
      </c>
      <c r="C26" s="236"/>
      <c r="D26" s="236"/>
    </row>
    <row r="27" spans="1:6" s="237" customFormat="1" ht="14.25" x14ac:dyDescent="0.2">
      <c r="A27" s="192" t="s">
        <v>55</v>
      </c>
      <c r="B27" s="193" t="s">
        <v>72</v>
      </c>
      <c r="C27" s="236"/>
      <c r="D27" s="236"/>
    </row>
    <row r="28" spans="1:6" x14ac:dyDescent="0.25">
      <c r="A28" s="159"/>
      <c r="B28" s="159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8</vt:i4>
      </vt:variant>
    </vt:vector>
  </HeadingPairs>
  <TitlesOfParts>
    <vt:vector size="27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Rana Makram</cp:lastModifiedBy>
  <dcterms:created xsi:type="dcterms:W3CDTF">2022-08-28T12:30:47Z</dcterms:created>
  <dcterms:modified xsi:type="dcterms:W3CDTF">2023-11-22T11:29:23Z</dcterms:modified>
</cp:coreProperties>
</file>