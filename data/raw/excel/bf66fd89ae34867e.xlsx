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Time Series\2025\Budget without GDP\Rev\"/>
    </mc:Choice>
  </mc:AlternateContent>
  <xr:revisionPtr revIDLastSave="0" documentId="13_ncr:1_{7519E258-CF12-456D-A7DE-294F2A35A44C}" xr6:coauthVersionLast="47" xr6:coauthVersionMax="47" xr10:uidLastSave="{00000000-0000-0000-0000-000000000000}"/>
  <bookViews>
    <workbookView xWindow="-108" yWindow="-108" windowWidth="17496" windowHeight="10560" tabRatio="839" firstSheet="14" activeTab="18" xr2:uid="{00000000-000D-0000-FFFF-FFFF00000000}"/>
  </bookViews>
  <sheets>
    <sheet name="Revenues 2006-2007" sheetId="37" r:id="rId1"/>
    <sheet name="Revenues 2007-2008" sheetId="38" r:id="rId2"/>
    <sheet name="Revenues 2008-2009" sheetId="39" r:id="rId3"/>
    <sheet name="Revenues 2009-2010" sheetId="40" r:id="rId4"/>
    <sheet name="Revenues 2010-2011" sheetId="43" r:id="rId5"/>
    <sheet name="Revenues 2011-2012" sheetId="41" r:id="rId6"/>
    <sheet name="Revenues 2012-2013" sheetId="42" r:id="rId7"/>
    <sheet name="Revenues 2013-2014" sheetId="44" r:id="rId8"/>
    <sheet name="Revenues 2014-2015" sheetId="45" r:id="rId9"/>
    <sheet name="Revenues 2015-2016" sheetId="46" r:id="rId10"/>
    <sheet name="Revenues 2016-2017 " sheetId="47" r:id="rId11"/>
    <sheet name="Revenues 2017-2018  " sheetId="48" r:id="rId12"/>
    <sheet name="Revenues 2018-2019  " sheetId="51" r:id="rId13"/>
    <sheet name="Revenues 2019-2020" sheetId="52" r:id="rId14"/>
    <sheet name="Revenues 2020-2021" sheetId="53" r:id="rId15"/>
    <sheet name="Revenues 2021-2022" sheetId="54" r:id="rId16"/>
    <sheet name="Revenues 2022-2023" sheetId="55" r:id="rId17"/>
    <sheet name="Revenues 2023-2024" sheetId="57" r:id="rId18"/>
    <sheet name="Revenues 2024-2025" sheetId="59" r:id="rId19"/>
  </sheets>
  <definedNames>
    <definedName name="_xlnm.Print_Area" localSheetId="0">'Revenues 2006-2007'!$A$1:$J$38</definedName>
    <definedName name="_xlnm.Print_Area" localSheetId="1">'Revenues 2007-2008'!$A$1:$J$38</definedName>
    <definedName name="_xlnm.Print_Area" localSheetId="2">'Revenues 2008-2009'!$A$1:$J$38</definedName>
    <definedName name="_xlnm.Print_Area" localSheetId="3">'Revenues 2009-2010'!$A$1:$J$39</definedName>
    <definedName name="_xlnm.Print_Area" localSheetId="4">'Revenues 2010-2011'!$A$1:$J$38</definedName>
    <definedName name="_xlnm.Print_Area" localSheetId="5">'Revenues 2011-2012'!$A$1:$J$38</definedName>
    <definedName name="_xlnm.Print_Area" localSheetId="6">'Revenues 2012-2013'!$A$1:$J$38</definedName>
    <definedName name="_xlnm.Print_Area" localSheetId="7">'Revenues 2013-2014'!$A$1:$J$38</definedName>
    <definedName name="_xlnm.Print_Area" localSheetId="8">'Revenues 2014-2015'!$A$1:$J$38</definedName>
    <definedName name="_xlnm.Print_Area" localSheetId="9">'Revenues 2015-2016'!$A$1:$J$39</definedName>
    <definedName name="_xlnm.Print_Area" localSheetId="10">'Revenues 2016-2017 '!$A$1:$J$39</definedName>
    <definedName name="_xlnm.Print_Area" localSheetId="11">'Revenues 2017-2018  '!$A$1:$J$38</definedName>
    <definedName name="_xlnm.Print_Area" localSheetId="12">'Revenues 2018-2019  '!$A$1:$J$39</definedName>
    <definedName name="_xlnm.Print_Area" localSheetId="13">'Revenues 2019-2020'!$A$1:$J$38</definedName>
    <definedName name="_xlnm.Print_Area" localSheetId="14">'Revenues 2020-2021'!$A$1:$J$38</definedName>
    <definedName name="_xlnm.Print_Area" localSheetId="15">'Revenues 2021-2022'!$A$1:$J$38</definedName>
    <definedName name="_xlnm.Print_Area" localSheetId="16">'Revenues 2022-2023'!$A$1:$J$38</definedName>
    <definedName name="_xlnm.Print_Area" localSheetId="17">'Revenues 2023-2024'!$A$1:$J$38</definedName>
    <definedName name="_xlnm.Print_Area" localSheetId="18">'Revenues 2024-2025'!$A$1:$J$38</definedName>
    <definedName name="_xlnm.Print_Titles" localSheetId="0">'Revenues 2006-2007'!$B:$B</definedName>
    <definedName name="_xlnm.Print_Titles" localSheetId="1">'Revenues 2007-2008'!$B:$B</definedName>
    <definedName name="_xlnm.Print_Titles" localSheetId="2">'Revenues 2008-2009'!$B:$B</definedName>
    <definedName name="_xlnm.Print_Titles" localSheetId="3">'Revenues 2009-2010'!$B:$B</definedName>
    <definedName name="_xlnm.Print_Titles" localSheetId="4">'Revenues 2010-2011'!$B:$B</definedName>
    <definedName name="_xlnm.Print_Titles" localSheetId="5">'Revenues 2011-2012'!$B:$B</definedName>
    <definedName name="_xlnm.Print_Titles" localSheetId="6">'Revenues 2012-2013'!$B:$B</definedName>
    <definedName name="_xlnm.Print_Titles" localSheetId="7">'Revenues 2013-2014'!$B:$B</definedName>
    <definedName name="_xlnm.Print_Titles" localSheetId="8">'Revenues 2014-2015'!$B:$B</definedName>
    <definedName name="_xlnm.Print_Titles" localSheetId="9">'Revenues 2015-2016'!$B:$B</definedName>
    <definedName name="_xlnm.Print_Titles" localSheetId="10">'Revenues 2016-2017 '!$B:$B</definedName>
    <definedName name="_xlnm.Print_Titles" localSheetId="11">'Revenues 2017-2018  '!$B:$B</definedName>
    <definedName name="_xlnm.Print_Titles" localSheetId="12">'Revenues 2018-2019  '!$B:$B</definedName>
    <definedName name="_xlnm.Print_Titles" localSheetId="13">'Revenues 2019-2020'!$B:$B</definedName>
    <definedName name="_xlnm.Print_Titles" localSheetId="14">'Revenues 2020-2021'!$B:$B</definedName>
    <definedName name="_xlnm.Print_Titles" localSheetId="15">'Revenues 2021-2022'!$B:$B</definedName>
    <definedName name="_xlnm.Print_Titles" localSheetId="16">'Revenues 2022-2023'!$B:$B</definedName>
    <definedName name="_xlnm.Print_Titles" localSheetId="17">'Revenues 2023-2024'!$B:$B</definedName>
    <definedName name="_xlnm.Print_Titles" localSheetId="18">'Revenues 2024-2025'!$B:$B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4" i="59" l="1"/>
  <c r="I24" i="59"/>
  <c r="H24" i="59"/>
  <c r="G24" i="59"/>
  <c r="F24" i="59"/>
  <c r="E24" i="59"/>
  <c r="D24" i="59"/>
  <c r="C24" i="59"/>
  <c r="J23" i="59"/>
  <c r="I23" i="59"/>
  <c r="H23" i="59"/>
  <c r="G23" i="59"/>
  <c r="F23" i="59"/>
  <c r="E23" i="59"/>
  <c r="D23" i="59"/>
  <c r="C23" i="59"/>
  <c r="J20" i="59"/>
  <c r="I20" i="59"/>
  <c r="H20" i="59"/>
  <c r="G20" i="59"/>
  <c r="F20" i="59"/>
  <c r="E20" i="59"/>
  <c r="D20" i="59"/>
  <c r="C20" i="59"/>
  <c r="J10" i="59"/>
  <c r="I10" i="59"/>
  <c r="H10" i="59"/>
  <c r="G10" i="59"/>
  <c r="F10" i="59"/>
  <c r="E10" i="59"/>
  <c r="D10" i="59"/>
  <c r="C10" i="59"/>
  <c r="J9" i="59"/>
  <c r="I9" i="59"/>
  <c r="H9" i="59"/>
  <c r="G9" i="59"/>
  <c r="F9" i="59"/>
  <c r="E9" i="59"/>
  <c r="D9" i="59"/>
  <c r="C9" i="59"/>
  <c r="J8" i="59"/>
  <c r="I8" i="59"/>
  <c r="H8" i="59"/>
  <c r="G8" i="59"/>
  <c r="F8" i="59"/>
  <c r="E8" i="59"/>
  <c r="D8" i="59"/>
  <c r="C8" i="59"/>
  <c r="J24" i="57" l="1"/>
  <c r="I24" i="57"/>
  <c r="H24" i="57"/>
  <c r="G24" i="57"/>
  <c r="F24" i="57"/>
  <c r="E24" i="57"/>
  <c r="D24" i="57"/>
  <c r="C24" i="57"/>
  <c r="J23" i="57"/>
  <c r="I23" i="57"/>
  <c r="H23" i="57"/>
  <c r="G23" i="57"/>
  <c r="F23" i="57"/>
  <c r="E23" i="57"/>
  <c r="D23" i="57"/>
  <c r="C23" i="57"/>
  <c r="J20" i="57"/>
  <c r="I20" i="57"/>
  <c r="H20" i="57"/>
  <c r="G20" i="57"/>
  <c r="F20" i="57"/>
  <c r="E20" i="57"/>
  <c r="D20" i="57"/>
  <c r="C20" i="57"/>
  <c r="J10" i="57"/>
  <c r="I10" i="57"/>
  <c r="H10" i="57"/>
  <c r="G10" i="57"/>
  <c r="F10" i="57"/>
  <c r="E10" i="57"/>
  <c r="D10" i="57"/>
  <c r="C10" i="57"/>
  <c r="J9" i="57"/>
  <c r="I9" i="57"/>
  <c r="H9" i="57"/>
  <c r="G9" i="57"/>
  <c r="F9" i="57"/>
  <c r="E9" i="57"/>
  <c r="D9" i="57"/>
  <c r="C9" i="57"/>
  <c r="J8" i="57"/>
  <c r="I8" i="57"/>
  <c r="H8" i="57"/>
  <c r="G8" i="57"/>
  <c r="F8" i="57"/>
  <c r="E8" i="57"/>
  <c r="D8" i="57"/>
  <c r="C8" i="57"/>
  <c r="J24" i="55" l="1"/>
  <c r="J23" i="55" s="1"/>
  <c r="I24" i="55"/>
  <c r="I23" i="55" s="1"/>
  <c r="H24" i="55"/>
  <c r="G24" i="55"/>
  <c r="G23" i="55" s="1"/>
  <c r="F24" i="55"/>
  <c r="F23" i="55" s="1"/>
  <c r="E24" i="55"/>
  <c r="E23" i="55" s="1"/>
  <c r="D24" i="55"/>
  <c r="C24" i="55"/>
  <c r="C23" i="55" s="1"/>
  <c r="H23" i="55"/>
  <c r="D23" i="55"/>
  <c r="J20" i="55"/>
  <c r="I20" i="55"/>
  <c r="H20" i="55"/>
  <c r="G20" i="55"/>
  <c r="F20" i="55"/>
  <c r="E20" i="55"/>
  <c r="D20" i="55"/>
  <c r="C20" i="55"/>
  <c r="J10" i="55"/>
  <c r="I10" i="55"/>
  <c r="H10" i="55"/>
  <c r="G10" i="55"/>
  <c r="F10" i="55"/>
  <c r="E10" i="55"/>
  <c r="D10" i="55"/>
  <c r="C10" i="55"/>
  <c r="J9" i="55"/>
  <c r="I9" i="55"/>
  <c r="H9" i="55"/>
  <c r="G9" i="55"/>
  <c r="F9" i="55"/>
  <c r="E9" i="55"/>
  <c r="D9" i="55"/>
  <c r="C9" i="55"/>
  <c r="D8" i="55" l="1"/>
  <c r="H8" i="55"/>
  <c r="E8" i="55"/>
  <c r="I8" i="55"/>
  <c r="F8" i="55"/>
  <c r="C8" i="55"/>
  <c r="G8" i="55"/>
  <c r="J8" i="55"/>
  <c r="C10" i="46"/>
  <c r="C9" i="46" s="1"/>
  <c r="C8" i="46" l="1"/>
  <c r="C24" i="46"/>
  <c r="C23" i="46" s="1"/>
  <c r="J24" i="54" l="1"/>
  <c r="I24" i="54"/>
  <c r="H24" i="54"/>
  <c r="G24" i="54"/>
  <c r="F24" i="54"/>
  <c r="E24" i="54"/>
  <c r="D24" i="54"/>
  <c r="C24" i="54"/>
  <c r="J23" i="54"/>
  <c r="I23" i="54"/>
  <c r="H23" i="54"/>
  <c r="G23" i="54"/>
  <c r="F23" i="54"/>
  <c r="E23" i="54"/>
  <c r="D23" i="54"/>
  <c r="C23" i="54"/>
  <c r="J20" i="54"/>
  <c r="I20" i="54"/>
  <c r="H20" i="54"/>
  <c r="G20" i="54"/>
  <c r="F20" i="54"/>
  <c r="E20" i="54"/>
  <c r="D20" i="54"/>
  <c r="C20" i="54"/>
  <c r="J10" i="54"/>
  <c r="I10" i="54"/>
  <c r="H10" i="54"/>
  <c r="G10" i="54"/>
  <c r="G9" i="54" s="1"/>
  <c r="G8" i="54" s="1"/>
  <c r="F10" i="54"/>
  <c r="E10" i="54"/>
  <c r="D10" i="54"/>
  <c r="C10" i="54"/>
  <c r="J9" i="54"/>
  <c r="J8" i="54" s="1"/>
  <c r="I9" i="54"/>
  <c r="I8" i="54" s="1"/>
  <c r="H9" i="54"/>
  <c r="H8" i="54" s="1"/>
  <c r="F9" i="54"/>
  <c r="E9" i="54"/>
  <c r="D9" i="54"/>
  <c r="D8" i="54" s="1"/>
  <c r="C9" i="54"/>
  <c r="C8" i="54" s="1"/>
  <c r="F8" i="54"/>
  <c r="E8" i="54"/>
  <c r="H23" i="52" l="1"/>
  <c r="G23" i="52"/>
  <c r="F23" i="52"/>
  <c r="E23" i="52"/>
  <c r="D23" i="52"/>
  <c r="C23" i="52"/>
  <c r="J23" i="51"/>
  <c r="I23" i="51"/>
</calcChain>
</file>

<file path=xl/sharedStrings.xml><?xml version="1.0" encoding="utf-8"?>
<sst xmlns="http://schemas.openxmlformats.org/spreadsheetml/2006/main" count="1618" uniqueCount="102">
  <si>
    <t>Other</t>
  </si>
  <si>
    <t xml:space="preserve"> </t>
  </si>
  <si>
    <t>The
 Budget
 Sector</t>
  </si>
  <si>
    <t>July/Sept.</t>
  </si>
  <si>
    <t>2011/2012</t>
  </si>
  <si>
    <t>July/Dec.</t>
  </si>
  <si>
    <t>July/March</t>
  </si>
  <si>
    <t>July/June</t>
  </si>
  <si>
    <t>2012/2013</t>
  </si>
  <si>
    <t>2009/2010</t>
  </si>
  <si>
    <t>2008/2009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</si>
  <si>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</si>
  <si>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</si>
  <si>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</si>
  <si>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</si>
  <si>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</si>
  <si>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</si>
  <si>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</si>
  <si>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</si>
  <si>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</si>
  <si>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</si>
  <si>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</si>
  <si>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</si>
  <si>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</si>
  <si>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</si>
  <si>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</si>
  <si>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</si>
  <si>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</si>
  <si>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</si>
  <si>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</si>
  <si>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</si>
  <si>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</si>
  <si>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>2007/2008</t>
  </si>
  <si>
    <t>2006/2007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</si>
  <si>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</si>
  <si>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</si>
  <si>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</si>
  <si>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</si>
  <si>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</si>
  <si>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</si>
  <si>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</si>
  <si>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</si>
  <si>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</si>
  <si>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</si>
  <si>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</si>
  <si>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</si>
  <si>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</si>
  <si>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</si>
  <si>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</si>
  <si>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</si>
  <si>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</si>
  <si>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</si>
  <si>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</si>
  <si>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</si>
  <si>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</si>
  <si>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</si>
  <si>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</si>
  <si>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</si>
  <si>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</si>
  <si>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t>** TML : Third Mobile License.</t>
  </si>
  <si>
    <t>**  TML : Third Mobile License.</t>
  </si>
  <si>
    <t>2010/2011</t>
  </si>
  <si>
    <t>2013/2014</t>
  </si>
  <si>
    <t xml:space="preserve"> دخول الأفراد</t>
  </si>
  <si>
    <t>2014/2015</t>
  </si>
  <si>
    <t>2015/2016</t>
  </si>
  <si>
    <t>..</t>
  </si>
  <si>
    <t>2016/2017</t>
  </si>
  <si>
    <t xml:space="preserve"> +  تتضمن كل من قطاع الموازنة العامة، وبنك الاستثمار القومى، وصناديق التأمين الاجتماعى.</t>
  </si>
  <si>
    <t>المصدر : وزارة المالية.</t>
  </si>
  <si>
    <t>Source: Ministry of Finance.</t>
  </si>
  <si>
    <t>.. Not Available.</t>
  </si>
  <si>
    <t>2017/2018</t>
  </si>
  <si>
    <t xml:space="preserve">The General Government 
 </t>
  </si>
  <si>
    <t xml:space="preserve"> ..   غير متوافر.  </t>
  </si>
  <si>
    <t xml:space="preserve">
The General Government 
 </t>
  </si>
  <si>
    <r>
      <t xml:space="preserve"> </t>
    </r>
    <r>
      <rPr>
        <vertAlign val="superscript"/>
        <sz val="20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</si>
  <si>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vertAlign val="superscript"/>
        <sz val="16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</si>
  <si>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</si>
  <si>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rPr>
        <vertAlign val="superscript"/>
        <sz val="14"/>
        <rFont val="Arial"/>
        <family val="2"/>
      </rP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</si>
  <si>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rPr>
        <vertAlign val="superscript"/>
        <sz val="18"/>
        <rFont val="Arial"/>
        <family val="2"/>
      </rPr>
      <t xml:space="preserve"> +</t>
    </r>
    <r>
      <rPr>
        <sz val="14"/>
        <rFont val="Arial"/>
        <family val="2"/>
      </rPr>
      <t xml:space="preserve"> Includes the Budget Sector, NIB, and SIFs.</t>
    </r>
  </si>
  <si>
    <r>
      <rPr>
        <sz val="16"/>
        <rFont val="Arial"/>
        <family val="2"/>
      </rPr>
      <t xml:space="preserve"> </t>
    </r>
    <r>
      <rPr>
        <vertAlign val="superscript"/>
        <sz val="16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</si>
  <si>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t>Taxes on Income,Profits</t>
  </si>
  <si>
    <t>2018/2019</t>
  </si>
  <si>
    <t>Taxes on Income and Profits from :</t>
  </si>
  <si>
    <t xml:space="preserve">Taxes on International Trade </t>
  </si>
  <si>
    <t>2019/2020</t>
  </si>
  <si>
    <t>الضرائب على الممتلكات</t>
  </si>
  <si>
    <t>الضرائب على السلع والخدمات</t>
  </si>
  <si>
    <t>2020/2021</t>
  </si>
  <si>
    <t>2021/2022</t>
  </si>
  <si>
    <t>Taxes on Income and Profits from:</t>
  </si>
  <si>
    <t>Taxes on International Trade (Customs)</t>
  </si>
  <si>
    <r>
      <t xml:space="preserve">العمليات المالية الموحدة *
 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</si>
  <si>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r>
      <t xml:space="preserve"> Consolidated Fiscal Operations *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</si>
  <si>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r>
      <t xml:space="preserve"> Consolidated Fiscal Operations * of the General Government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</si>
  <si>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r>
      <t xml:space="preserve">العمليات المالية الموحدة *
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</si>
  <si>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t>2022/2023</t>
  </si>
  <si>
    <t>2023/2024</t>
  </si>
  <si>
    <t xml:space="preserve"> حصيلة بيع السلع  والخدمات</t>
  </si>
  <si>
    <t xml:space="preserve">عوائد الملكية من : 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</si>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</sst>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ج.م.‏&quot;\ #,##0_-;[Red]&quot;ج.م.‏&quot;\ #,##0\-"/>
    <numFmt numFmtId="165" formatCode="&quot;ج.م.‏&quot;\ #,##0.00_-;[Red]&quot;ج.م.‏&quot;\ #,##0.00\-"/>
    <numFmt numFmtId="166" formatCode="_-* #,##0_-;_-* #,##0\-;_-* &quot;-&quot;_-;_-@_-"/>
  </numFmts>
  <fonts count="33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vertAlign val="superscript"/>
      <sz val="14"/>
      <name val="Arial"/>
      <family val="2"/>
    </font>
    <font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u/>
      <sz val="14"/>
      <name val="Arial"/>
      <family val="2"/>
    </font>
    <font>
      <u/>
      <sz val="14"/>
      <name val="Calibri"/>
      <family val="2"/>
      <scheme val="minor"/>
    </font>
    <font>
      <vertAlign val="superscript"/>
      <sz val="16"/>
      <name val="Arial"/>
      <family val="2"/>
    </font>
    <font>
      <vertAlign val="superscript"/>
      <sz val="18"/>
      <name val="Arial"/>
      <family val="2"/>
    </font>
    <font>
      <vertAlign val="superscript"/>
      <sz val="20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sz val="16"/>
      <name val="Arial"/>
      <family val="2"/>
    </font>
    <font>
      <u/>
      <sz val="16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Arial"/>
      <family val="2"/>
    </font>
    <font>
      <b/>
      <u/>
      <sz val="18"/>
      <name val="Arial"/>
      <family val="2"/>
    </font>
    <font>
      <b/>
      <u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6"/>
      <color indexed="8"/>
      <name val="Arial"/>
      <family val="2"/>
    </font>
    <font>
      <b/>
      <vertAlign val="superscript"/>
      <sz val="16"/>
      <name val="Arial"/>
      <family val="2"/>
    </font>
    <font>
      <b/>
      <u/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4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412">
    <xf numFmtId="0" fontId="0" fillId="0" borderId="0" xfId="0"/>
    <xf numFmtId="0" fontId="9" fillId="0" borderId="0" xfId="3" applyFont="1" applyBorder="1" applyAlignment="1">
      <alignment horizontal="center" vertic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9" fillId="0" borderId="0" xfId="3" applyFont="1" applyFill="1" applyBorder="1"/>
    <xf numFmtId="0" fontId="9" fillId="0" borderId="0" xfId="3" applyFont="1" applyAlignment="1">
      <alignment horizontal="right" vertical="center" wrapText="1" readingOrder="2"/>
    </xf>
    <xf numFmtId="0" fontId="9" fillId="2" borderId="0" xfId="0" applyFont="1" applyFill="1" applyAlignment="1">
      <alignment horizontal="left" vertical="center" wrapText="1" readingOrder="1"/>
    </xf>
    <xf numFmtId="0" fontId="9" fillId="0" borderId="0" xfId="3" applyFont="1" applyAlignment="1">
      <alignment horizontal="left" vertical="center"/>
    </xf>
    <xf numFmtId="49" fontId="2" fillId="0" borderId="0" xfId="3" applyNumberFormat="1" applyFont="1" applyBorder="1" applyAlignment="1">
      <alignment horizontal="left" vertical="center"/>
    </xf>
    <xf numFmtId="1" fontId="10" fillId="0" borderId="0" xfId="3" applyNumberFormat="1" applyFont="1" applyBorder="1" applyAlignment="1">
      <alignment horizontal="center" vertical="center" readingOrder="1"/>
    </xf>
    <xf numFmtId="1" fontId="9" fillId="0" borderId="0" xfId="4" applyNumberFormat="1" applyFont="1" applyBorder="1" applyAlignment="1">
      <alignment horizontal="left" vertical="center" indent="1" readingOrder="1"/>
    </xf>
    <xf numFmtId="1" fontId="10" fillId="0" borderId="0" xfId="3" applyNumberFormat="1" applyFont="1" applyBorder="1" applyAlignment="1">
      <alignment horizontal="center" vertical="center"/>
    </xf>
    <xf numFmtId="0" fontId="12" fillId="0" borderId="0" xfId="4" applyFont="1"/>
    <xf numFmtId="0" fontId="2" fillId="0" borderId="0" xfId="3" applyFont="1" applyBorder="1" applyAlignment="1">
      <alignment vertical="center" wrapText="1" readingOrder="2"/>
    </xf>
    <xf numFmtId="0" fontId="14" fillId="0" borderId="0" xfId="4" applyFont="1" applyBorder="1" applyAlignment="1">
      <alignment vertical="center" wrapText="1" readingOrder="2"/>
    </xf>
    <xf numFmtId="0" fontId="12" fillId="0" borderId="0" xfId="4" applyFont="1" applyAlignment="1">
      <alignment horizontal="center"/>
    </xf>
    <xf numFmtId="0" fontId="12" fillId="0" borderId="0" xfId="4" applyFont="1" applyFill="1" applyBorder="1"/>
    <xf numFmtId="0" fontId="12" fillId="3" borderId="0" xfId="4" applyFont="1" applyFill="1" applyAlignment="1">
      <alignment horizontal="center"/>
    </xf>
    <xf numFmtId="0" fontId="12" fillId="3" borderId="0" xfId="4" applyFont="1" applyFill="1" applyAlignment="1"/>
    <xf numFmtId="0" fontId="13" fillId="0" borderId="0" xfId="4" applyFont="1" applyAlignment="1"/>
    <xf numFmtId="0" fontId="13" fillId="0" borderId="0" xfId="4" applyFont="1"/>
    <xf numFmtId="0" fontId="12" fillId="0" borderId="0" xfId="4" applyFont="1" applyAlignment="1"/>
    <xf numFmtId="0" fontId="12" fillId="0" borderId="0" xfId="4" applyFont="1" applyAlignment="1">
      <alignment horizontal="center" vertical="center"/>
    </xf>
    <xf numFmtId="0" fontId="16" fillId="0" borderId="0" xfId="4" applyFont="1" applyAlignment="1"/>
    <xf numFmtId="0" fontId="16" fillId="0" borderId="0" xfId="4" applyFont="1"/>
    <xf numFmtId="1" fontId="13" fillId="0" borderId="0" xfId="4" applyNumberFormat="1" applyFont="1" applyAlignment="1"/>
    <xf numFmtId="1" fontId="13" fillId="0" borderId="0" xfId="4" applyNumberFormat="1" applyFont="1"/>
    <xf numFmtId="0" fontId="12" fillId="0" borderId="0" xfId="4" applyFont="1" applyFill="1" applyBorder="1" applyAlignment="1">
      <alignment horizontal="center"/>
    </xf>
    <xf numFmtId="0" fontId="12" fillId="0" borderId="0" xfId="4" applyFont="1" applyAlignment="1">
      <alignment horizontal="left" vertical="center"/>
    </xf>
    <xf numFmtId="49" fontId="14" fillId="0" borderId="0" xfId="4" applyNumberFormat="1" applyFont="1" applyBorder="1" applyAlignment="1">
      <alignment horizontal="left" vertical="center"/>
    </xf>
    <xf numFmtId="49" fontId="14" fillId="0" borderId="0" xfId="4" applyNumberFormat="1" applyFont="1" applyBorder="1" applyAlignment="1">
      <alignment horizontal="center" vertical="center"/>
    </xf>
    <xf numFmtId="0" fontId="12" fillId="0" borderId="0" xfId="4" applyFont="1" applyBorder="1" applyAlignment="1">
      <alignment horizontal="center"/>
    </xf>
    <xf numFmtId="0" fontId="12" fillId="2" borderId="0" xfId="2" applyFont="1" applyFill="1" applyAlignment="1">
      <alignment horizontal="left" vertical="center"/>
    </xf>
    <xf numFmtId="0" fontId="9" fillId="3" borderId="0" xfId="3" applyFont="1" applyFill="1" applyAlignment="1">
      <alignment horizontal="center"/>
    </xf>
    <xf numFmtId="0" fontId="9" fillId="3" borderId="0" xfId="3" applyFont="1" applyFill="1" applyAlignment="1"/>
    <xf numFmtId="0" fontId="10" fillId="0" borderId="0" xfId="3" applyFont="1" applyAlignment="1"/>
    <xf numFmtId="0" fontId="10" fillId="0" borderId="0" xfId="3" applyFont="1"/>
    <xf numFmtId="0" fontId="9" fillId="0" borderId="0" xfId="3" applyFont="1" applyAlignment="1"/>
    <xf numFmtId="0" fontId="9" fillId="0" borderId="0" xfId="3" applyFont="1" applyAlignment="1">
      <alignment horizontal="center" vertical="center"/>
    </xf>
    <xf numFmtId="0" fontId="15" fillId="0" borderId="0" xfId="3" applyFont="1" applyAlignment="1"/>
    <xf numFmtId="0" fontId="15" fillId="0" borderId="0" xfId="3" applyFont="1"/>
    <xf numFmtId="1" fontId="10" fillId="0" borderId="0" xfId="3" applyNumberFormat="1" applyFont="1" applyAlignment="1"/>
    <xf numFmtId="1" fontId="10" fillId="0" borderId="0" xfId="3" applyNumberFormat="1" applyFont="1"/>
    <xf numFmtId="0" fontId="9" fillId="0" borderId="0" xfId="3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2" fillId="3" borderId="0" xfId="3" applyFont="1" applyFill="1" applyAlignment="1">
      <alignment horizontal="center"/>
    </xf>
    <xf numFmtId="0" fontId="2" fillId="3" borderId="0" xfId="3" applyFont="1" applyFill="1" applyAlignment="1"/>
    <xf numFmtId="0" fontId="9" fillId="0" borderId="1" xfId="3" applyFont="1" applyBorder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9" fillId="0" borderId="0" xfId="3" applyFont="1" applyBorder="1" applyAlignment="1">
      <alignment horizontal="left" vertical="center"/>
    </xf>
    <xf numFmtId="49" fontId="2" fillId="0" borderId="0" xfId="3" applyNumberFormat="1" applyFont="1" applyBorder="1" applyAlignment="1">
      <alignment horizontal="center" vertical="center"/>
    </xf>
    <xf numFmtId="0" fontId="9" fillId="0" borderId="0" xfId="4" applyFont="1" applyAlignment="1">
      <alignment horizontal="right" vertical="center" wrapText="1" readingOrder="2"/>
    </xf>
    <xf numFmtId="0" fontId="9" fillId="3" borderId="0" xfId="4" applyFont="1" applyFill="1" applyAlignment="1">
      <alignment horizontal="center"/>
    </xf>
    <xf numFmtId="0" fontId="9" fillId="3" borderId="0" xfId="4" applyFont="1" applyFill="1" applyAlignment="1"/>
    <xf numFmtId="0" fontId="10" fillId="0" borderId="0" xfId="4" applyFont="1" applyAlignment="1"/>
    <xf numFmtId="0" fontId="10" fillId="0" borderId="0" xfId="4" applyFont="1"/>
    <xf numFmtId="0" fontId="9" fillId="0" borderId="0" xfId="4" applyFont="1" applyAlignment="1"/>
    <xf numFmtId="0" fontId="9" fillId="0" borderId="0" xfId="4" applyFont="1"/>
    <xf numFmtId="0" fontId="9" fillId="0" borderId="0" xfId="4" applyFont="1" applyAlignment="1">
      <alignment horizontal="center" vertical="center"/>
    </xf>
    <xf numFmtId="0" fontId="15" fillId="0" borderId="0" xfId="4" applyFont="1" applyAlignment="1"/>
    <xf numFmtId="0" fontId="15" fillId="0" borderId="0" xfId="4" applyFont="1"/>
    <xf numFmtId="1" fontId="10" fillId="0" borderId="0" xfId="4" applyNumberFormat="1" applyFont="1" applyAlignment="1"/>
    <xf numFmtId="1" fontId="10" fillId="0" borderId="0" xfId="4" applyNumberFormat="1" applyFont="1"/>
    <xf numFmtId="1" fontId="10" fillId="0" borderId="0" xfId="4" applyNumberFormat="1" applyFont="1" applyBorder="1" applyAlignment="1">
      <alignment horizontal="center" vertical="center"/>
    </xf>
    <xf numFmtId="1" fontId="10" fillId="0" borderId="0" xfId="4" applyNumberFormat="1" applyFont="1" applyBorder="1" applyAlignment="1">
      <alignment horizontal="center" vertical="center" readingOrder="1"/>
    </xf>
    <xf numFmtId="0" fontId="9" fillId="2" borderId="0" xfId="2" applyFont="1" applyFill="1" applyAlignment="1">
      <alignment horizontal="center" vertical="center"/>
    </xf>
    <xf numFmtId="0" fontId="9" fillId="0" borderId="0" xfId="4" applyFont="1" applyAlignment="1">
      <alignment horizontal="center"/>
    </xf>
    <xf numFmtId="49" fontId="2" fillId="0" borderId="0" xfId="4" applyNumberFormat="1" applyFont="1" applyBorder="1" applyAlignment="1">
      <alignment horizontal="left" vertical="center"/>
    </xf>
    <xf numFmtId="49" fontId="2" fillId="0" borderId="0" xfId="4" applyNumberFormat="1" applyFont="1" applyBorder="1" applyAlignment="1">
      <alignment horizontal="center" vertical="center"/>
    </xf>
    <xf numFmtId="0" fontId="9" fillId="5" borderId="2" xfId="4" applyFont="1" applyFill="1" applyBorder="1" applyAlignment="1">
      <alignment horizontal="left" vertical="center"/>
    </xf>
    <xf numFmtId="0" fontId="9" fillId="5" borderId="3" xfId="4" applyFont="1" applyFill="1" applyBorder="1" applyAlignment="1">
      <alignment horizontal="left" vertical="center"/>
    </xf>
    <xf numFmtId="1" fontId="10" fillId="0" borderId="0" xfId="3" applyNumberFormat="1" applyFont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9" fillId="0" borderId="0" xfId="3" applyFont="1" applyBorder="1" applyAlignment="1">
      <alignment horizontal="center"/>
    </xf>
    <xf numFmtId="0" fontId="2" fillId="4" borderId="0" xfId="4" applyFont="1" applyFill="1" applyBorder="1" applyAlignment="1">
      <alignment vertical="center" wrapText="1" readingOrder="2"/>
    </xf>
    <xf numFmtId="0" fontId="9" fillId="4" borderId="0" xfId="4" applyFont="1" applyFill="1"/>
    <xf numFmtId="0" fontId="9" fillId="4" borderId="0" xfId="4" applyFont="1" applyFill="1" applyBorder="1" applyAlignment="1">
      <alignment horizontal="left" vertical="center"/>
    </xf>
    <xf numFmtId="0" fontId="9" fillId="4" borderId="0" xfId="4" applyFont="1" applyFill="1" applyAlignment="1">
      <alignment horizontal="center"/>
    </xf>
    <xf numFmtId="0" fontId="9" fillId="4" borderId="0" xfId="4" applyFont="1" applyFill="1" applyBorder="1" applyAlignment="1">
      <alignment horizontal="center" vertical="center"/>
    </xf>
    <xf numFmtId="0" fontId="9" fillId="4" borderId="0" xfId="4" applyFont="1" applyFill="1" applyBorder="1" applyAlignment="1"/>
    <xf numFmtId="0" fontId="9" fillId="4" borderId="0" xfId="4" applyFont="1" applyFill="1" applyBorder="1"/>
    <xf numFmtId="0" fontId="2" fillId="4" borderId="0" xfId="4" applyFont="1" applyFill="1" applyBorder="1" applyAlignment="1">
      <alignment horizontal="center" vertical="center"/>
    </xf>
    <xf numFmtId="0" fontId="9" fillId="4" borderId="0" xfId="4" applyFont="1" applyFill="1" applyAlignment="1"/>
    <xf numFmtId="0" fontId="10" fillId="4" borderId="0" xfId="4" applyFont="1" applyFill="1" applyAlignment="1"/>
    <xf numFmtId="0" fontId="10" fillId="4" borderId="0" xfId="4" applyFont="1" applyFill="1"/>
    <xf numFmtId="0" fontId="9" fillId="4" borderId="0" xfId="4" applyFont="1" applyFill="1" applyAlignment="1">
      <alignment horizontal="center" vertical="center"/>
    </xf>
    <xf numFmtId="0" fontId="15" fillId="4" borderId="0" xfId="4" applyFont="1" applyFill="1" applyAlignment="1"/>
    <xf numFmtId="0" fontId="15" fillId="4" borderId="0" xfId="4" applyFont="1" applyFill="1"/>
    <xf numFmtId="1" fontId="10" fillId="4" borderId="0" xfId="4" applyNumberFormat="1" applyFont="1" applyFill="1" applyAlignment="1"/>
    <xf numFmtId="1" fontId="10" fillId="4" borderId="0" xfId="4" applyNumberFormat="1" applyFont="1" applyFill="1"/>
    <xf numFmtId="1" fontId="10" fillId="4" borderId="0" xfId="4" applyNumberFormat="1" applyFont="1" applyFill="1" applyBorder="1" applyAlignment="1">
      <alignment horizontal="center" vertical="center"/>
    </xf>
    <xf numFmtId="1" fontId="10" fillId="4" borderId="0" xfId="4" applyNumberFormat="1" applyFont="1" applyFill="1" applyBorder="1" applyAlignment="1">
      <alignment horizontal="center"/>
    </xf>
    <xf numFmtId="0" fontId="9" fillId="4" borderId="0" xfId="4" applyFont="1" applyFill="1" applyAlignment="1">
      <alignment horizontal="right" vertical="center" wrapText="1" readingOrder="2"/>
    </xf>
    <xf numFmtId="0" fontId="9" fillId="4" borderId="0" xfId="2" applyFont="1" applyFill="1" applyAlignment="1">
      <alignment horizontal="left" vertical="center" wrapText="1" readingOrder="1"/>
    </xf>
    <xf numFmtId="0" fontId="9" fillId="4" borderId="0" xfId="4" applyFont="1" applyFill="1" applyBorder="1" applyAlignment="1">
      <alignment horizontal="center"/>
    </xf>
    <xf numFmtId="0" fontId="9" fillId="4" borderId="0" xfId="4" applyFont="1" applyFill="1" applyAlignment="1">
      <alignment horizontal="left" vertical="center"/>
    </xf>
    <xf numFmtId="0" fontId="9" fillId="0" borderId="0" xfId="4" applyFont="1" applyAlignment="1">
      <alignment horizontal="right" vertical="center" readingOrder="2"/>
    </xf>
    <xf numFmtId="49" fontId="2" fillId="4" borderId="0" xfId="4" applyNumberFormat="1" applyFont="1" applyFill="1" applyBorder="1" applyAlignment="1">
      <alignment horizontal="left" vertical="center"/>
    </xf>
    <xf numFmtId="49" fontId="2" fillId="4" borderId="0" xfId="4" applyNumberFormat="1" applyFont="1" applyFill="1" applyBorder="1" applyAlignment="1">
      <alignment horizontal="center" vertical="center"/>
    </xf>
    <xf numFmtId="0" fontId="9" fillId="5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center"/>
    </xf>
    <xf numFmtId="0" fontId="9" fillId="5" borderId="6" xfId="4" applyFont="1" applyFill="1" applyBorder="1" applyAlignment="1"/>
    <xf numFmtId="0" fontId="2" fillId="0" borderId="0" xfId="4" applyFont="1" applyBorder="1" applyAlignment="1">
      <alignment vertical="center" wrapText="1" readingOrder="2"/>
    </xf>
    <xf numFmtId="0" fontId="9" fillId="0" borderId="0" xfId="4" applyFont="1" applyFill="1" applyBorder="1"/>
    <xf numFmtId="1" fontId="10" fillId="0" borderId="0" xfId="4" applyNumberFormat="1" applyFont="1" applyBorder="1" applyAlignment="1">
      <alignment horizontal="center"/>
    </xf>
    <xf numFmtId="0" fontId="9" fillId="0" borderId="0" xfId="4" applyFont="1" applyAlignment="1">
      <alignment horizontal="center" vertical="center" readingOrder="1"/>
    </xf>
    <xf numFmtId="0" fontId="9" fillId="2" borderId="0" xfId="2" applyFont="1" applyFill="1" applyAlignment="1">
      <alignment horizontal="left" vertical="center" wrapText="1" readingOrder="1"/>
    </xf>
    <xf numFmtId="0" fontId="9" fillId="0" borderId="0" xfId="4" applyFont="1" applyFill="1" applyBorder="1" applyAlignment="1">
      <alignment horizontal="center"/>
    </xf>
    <xf numFmtId="0" fontId="9" fillId="0" borderId="0" xfId="4" applyFont="1" applyBorder="1" applyAlignment="1">
      <alignment horizontal="center"/>
    </xf>
    <xf numFmtId="1" fontId="9" fillId="0" borderId="0" xfId="4" applyNumberFormat="1" applyFont="1" applyBorder="1" applyAlignment="1">
      <alignment horizontal="left" vertical="center" readingOrder="1"/>
    </xf>
    <xf numFmtId="0" fontId="9" fillId="0" borderId="0" xfId="0" applyFont="1" applyBorder="1" applyAlignment="1">
      <alignment horizontal="right" vertical="center"/>
    </xf>
    <xf numFmtId="0" fontId="2" fillId="0" borderId="0" xfId="4" applyFont="1" applyFill="1" applyBorder="1" applyAlignment="1">
      <alignment vertical="center" wrapText="1" readingOrder="2"/>
    </xf>
    <xf numFmtId="0" fontId="9" fillId="0" borderId="0" xfId="3" applyFont="1" applyBorder="1" applyAlignment="1">
      <alignment horizontal="left" vertical="center"/>
    </xf>
    <xf numFmtId="49" fontId="2" fillId="0" borderId="0" xfId="3" applyNumberFormat="1" applyFont="1" applyBorder="1" applyAlignment="1">
      <alignment horizontal="center" vertical="center"/>
    </xf>
    <xf numFmtId="0" fontId="9" fillId="6" borderId="0" xfId="4" applyFont="1" applyFill="1"/>
    <xf numFmtId="0" fontId="9" fillId="0" borderId="0" xfId="4" applyFont="1" applyFill="1"/>
    <xf numFmtId="0" fontId="9" fillId="0" borderId="0" xfId="4" applyFont="1" applyFill="1" applyAlignment="1">
      <alignment horizontal="center"/>
    </xf>
    <xf numFmtId="0" fontId="9" fillId="0" borderId="0" xfId="4" applyFont="1" applyFill="1" applyBorder="1" applyAlignment="1">
      <alignment horizontal="center" vertical="center"/>
    </xf>
    <xf numFmtId="0" fontId="9" fillId="0" borderId="0" xfId="4" applyFont="1" applyFill="1" applyBorder="1" applyAlignment="1"/>
    <xf numFmtId="0" fontId="9" fillId="6" borderId="0" xfId="4" applyFont="1" applyFill="1" applyBorder="1"/>
    <xf numFmtId="0" fontId="9" fillId="6" borderId="0" xfId="4" applyFont="1" applyFill="1" applyAlignment="1">
      <alignment horizontal="center"/>
    </xf>
    <xf numFmtId="0" fontId="9" fillId="6" borderId="0" xfId="4" applyFont="1" applyFill="1" applyAlignment="1"/>
    <xf numFmtId="1" fontId="10" fillId="6" borderId="0" xfId="4" applyNumberFormat="1" applyFont="1" applyFill="1"/>
    <xf numFmtId="0" fontId="9" fillId="0" borderId="0" xfId="0" applyFont="1" applyFill="1" applyBorder="1" applyAlignment="1">
      <alignment horizontal="right" vertical="center"/>
    </xf>
    <xf numFmtId="1" fontId="9" fillId="0" borderId="0" xfId="4" applyNumberFormat="1" applyFont="1" applyFill="1" applyBorder="1" applyAlignment="1">
      <alignment horizontal="left" vertical="center" readingOrder="1"/>
    </xf>
    <xf numFmtId="1" fontId="10" fillId="0" borderId="0" xfId="4" applyNumberFormat="1" applyFont="1" applyFill="1" applyBorder="1" applyAlignment="1">
      <alignment horizontal="center" vertical="center"/>
    </xf>
    <xf numFmtId="1" fontId="10" fillId="0" borderId="0" xfId="4" applyNumberFormat="1" applyFont="1" applyFill="1" applyBorder="1" applyAlignment="1">
      <alignment horizontal="center"/>
    </xf>
    <xf numFmtId="1" fontId="10" fillId="0" borderId="0" xfId="4" applyNumberFormat="1" applyFont="1" applyFill="1" applyAlignment="1"/>
    <xf numFmtId="0" fontId="9" fillId="0" borderId="0" xfId="4" applyFont="1" applyFill="1" applyAlignment="1">
      <alignment horizontal="right" vertical="center" wrapText="1" readingOrder="2"/>
    </xf>
    <xf numFmtId="0" fontId="9" fillId="0" borderId="0" xfId="2" applyFont="1" applyFill="1" applyAlignment="1">
      <alignment horizontal="left" vertical="center" wrapText="1" readingOrder="1"/>
    </xf>
    <xf numFmtId="0" fontId="9" fillId="6" borderId="0" xfId="4" applyFont="1" applyFill="1" applyAlignment="1">
      <alignment horizontal="right" vertical="center" readingOrder="2"/>
    </xf>
    <xf numFmtId="0" fontId="9" fillId="6" borderId="0" xfId="4" applyFont="1" applyFill="1" applyAlignment="1">
      <alignment horizontal="left" vertical="center"/>
    </xf>
    <xf numFmtId="0" fontId="9" fillId="6" borderId="0" xfId="4" applyFont="1" applyFill="1" applyBorder="1" applyAlignment="1">
      <alignment horizontal="center"/>
    </xf>
    <xf numFmtId="49" fontId="2" fillId="6" borderId="0" xfId="4" applyNumberFormat="1" applyFont="1" applyFill="1" applyBorder="1" applyAlignment="1">
      <alignment horizontal="left" vertical="center"/>
    </xf>
    <xf numFmtId="49" fontId="2" fillId="6" borderId="0" xfId="4" applyNumberFormat="1" applyFont="1" applyFill="1" applyBorder="1" applyAlignment="1">
      <alignment horizontal="center" vertical="center"/>
    </xf>
    <xf numFmtId="0" fontId="9" fillId="0" borderId="0" xfId="4" applyFont="1" applyFill="1" applyAlignment="1">
      <alignment horizontal="left" vertical="center"/>
    </xf>
    <xf numFmtId="0" fontId="9" fillId="0" borderId="0" xfId="4" applyFont="1" applyFill="1" applyBorder="1" applyAlignment="1">
      <alignment horizontal="left" vertical="center"/>
    </xf>
    <xf numFmtId="0" fontId="21" fillId="0" borderId="4" xfId="4" applyFont="1" applyFill="1" applyBorder="1" applyAlignment="1">
      <alignment horizontal="right" vertical="center" readingOrder="2"/>
    </xf>
    <xf numFmtId="1" fontId="21" fillId="0" borderId="4" xfId="4" quotePrefix="1" applyNumberFormat="1" applyFont="1" applyFill="1" applyBorder="1" applyAlignment="1">
      <alignment horizontal="left" vertical="center" readingOrder="1"/>
    </xf>
    <xf numFmtId="1" fontId="21" fillId="0" borderId="2" xfId="4" applyNumberFormat="1" applyFont="1" applyFill="1" applyBorder="1" applyAlignment="1">
      <alignment horizontal="center" vertical="center" readingOrder="1"/>
    </xf>
    <xf numFmtId="0" fontId="21" fillId="6" borderId="0" xfId="4" applyFont="1" applyFill="1"/>
    <xf numFmtId="0" fontId="21" fillId="0" borderId="2" xfId="4" applyFont="1" applyFill="1" applyBorder="1" applyAlignment="1">
      <alignment horizontal="right" vertical="center" indent="1" readingOrder="2"/>
    </xf>
    <xf numFmtId="1" fontId="21" fillId="0" borderId="2" xfId="4" quotePrefix="1" applyNumberFormat="1" applyFont="1" applyFill="1" applyBorder="1" applyAlignment="1">
      <alignment horizontal="left" vertical="center" indent="1" readingOrder="1"/>
    </xf>
    <xf numFmtId="0" fontId="21" fillId="0" borderId="2" xfId="4" applyFont="1" applyFill="1" applyBorder="1" applyAlignment="1">
      <alignment horizontal="right" vertical="center" indent="2" readingOrder="2"/>
    </xf>
    <xf numFmtId="1" fontId="21" fillId="0" borderId="2" xfId="4" quotePrefix="1" applyNumberFormat="1" applyFont="1" applyFill="1" applyBorder="1" applyAlignment="1">
      <alignment horizontal="left" vertical="center" indent="2" readingOrder="1"/>
    </xf>
    <xf numFmtId="0" fontId="20" fillId="0" borderId="2" xfId="0" applyFont="1" applyFill="1" applyBorder="1" applyAlignment="1">
      <alignment horizontal="right" vertical="center" indent="3" readingOrder="2"/>
    </xf>
    <xf numFmtId="1" fontId="20" fillId="0" borderId="2" xfId="4" applyNumberFormat="1" applyFont="1" applyFill="1" applyBorder="1" applyAlignment="1">
      <alignment horizontal="left" vertical="center" indent="3" readingOrder="1"/>
    </xf>
    <xf numFmtId="1" fontId="20" fillId="0" borderId="2" xfId="4" applyNumberFormat="1" applyFont="1" applyFill="1" applyBorder="1" applyAlignment="1">
      <alignment horizontal="center" vertical="center" readingOrder="1"/>
    </xf>
    <xf numFmtId="1" fontId="20" fillId="4" borderId="2" xfId="4" applyNumberFormat="1" applyFont="1" applyFill="1" applyBorder="1" applyAlignment="1">
      <alignment horizontal="center" vertical="center" readingOrder="1"/>
    </xf>
    <xf numFmtId="0" fontId="20" fillId="6" borderId="0" xfId="4" applyFont="1" applyFill="1"/>
    <xf numFmtId="0" fontId="21" fillId="0" borderId="2" xfId="0" applyFont="1" applyFill="1" applyBorder="1" applyAlignment="1">
      <alignment horizontal="right" vertical="center" indent="1" readingOrder="2"/>
    </xf>
    <xf numFmtId="0" fontId="20" fillId="0" borderId="2" xfId="0" applyFont="1" applyFill="1" applyBorder="1" applyAlignment="1">
      <alignment horizontal="right" vertical="center" indent="2" readingOrder="2"/>
    </xf>
    <xf numFmtId="0" fontId="20" fillId="0" borderId="2" xfId="4" applyFont="1" applyFill="1" applyBorder="1" applyAlignment="1">
      <alignment horizontal="left" vertical="center" indent="2"/>
    </xf>
    <xf numFmtId="0" fontId="20" fillId="6" borderId="0" xfId="4" applyFont="1" applyFill="1" applyAlignment="1">
      <alignment horizontal="center" vertical="center"/>
    </xf>
    <xf numFmtId="0" fontId="23" fillId="6" borderId="0" xfId="4" applyFont="1" applyFill="1"/>
    <xf numFmtId="0" fontId="20" fillId="0" borderId="2" xfId="0" applyFont="1" applyFill="1" applyBorder="1" applyAlignment="1">
      <alignment horizontal="right" vertical="center" wrapText="1" indent="3" readingOrder="2"/>
    </xf>
    <xf numFmtId="1" fontId="21" fillId="0" borderId="2" xfId="4" applyNumberFormat="1" applyFont="1" applyFill="1" applyBorder="1" applyAlignment="1">
      <alignment horizontal="left" vertical="center" indent="2" readingOrder="1"/>
    </xf>
    <xf numFmtId="1" fontId="21" fillId="6" borderId="0" xfId="4" applyNumberFormat="1" applyFont="1" applyFill="1"/>
    <xf numFmtId="0" fontId="21" fillId="0" borderId="2" xfId="0" applyFont="1" applyFill="1" applyBorder="1" applyAlignment="1">
      <alignment horizontal="right" vertical="center" indent="2" readingOrder="2"/>
    </xf>
    <xf numFmtId="0" fontId="21" fillId="0" borderId="3" xfId="0" applyFont="1" applyFill="1" applyBorder="1" applyAlignment="1">
      <alignment horizontal="right" vertical="center" indent="2" readingOrder="2"/>
    </xf>
    <xf numFmtId="1" fontId="21" fillId="0" borderId="3" xfId="4" applyNumberFormat="1" applyFont="1" applyFill="1" applyBorder="1" applyAlignment="1">
      <alignment horizontal="left" vertical="center" indent="2" readingOrder="1"/>
    </xf>
    <xf numFmtId="1" fontId="21" fillId="0" borderId="3" xfId="4" applyNumberFormat="1" applyFont="1" applyFill="1" applyBorder="1" applyAlignment="1">
      <alignment horizontal="center" vertical="center" readingOrder="1"/>
    </xf>
    <xf numFmtId="0" fontId="21" fillId="0" borderId="4" xfId="4" applyFont="1" applyBorder="1" applyAlignment="1">
      <alignment horizontal="right" vertical="center" readingOrder="2"/>
    </xf>
    <xf numFmtId="1" fontId="21" fillId="0" borderId="4" xfId="4" quotePrefix="1" applyNumberFormat="1" applyFont="1" applyBorder="1" applyAlignment="1">
      <alignment horizontal="left" vertical="center" readingOrder="1"/>
    </xf>
    <xf numFmtId="0" fontId="21" fillId="0" borderId="2" xfId="4" applyFont="1" applyBorder="1" applyAlignment="1">
      <alignment horizontal="right" vertical="center" indent="1" readingOrder="2"/>
    </xf>
    <xf numFmtId="1" fontId="21" fillId="0" borderId="2" xfId="4" quotePrefix="1" applyNumberFormat="1" applyFont="1" applyBorder="1" applyAlignment="1">
      <alignment horizontal="left" vertical="center" indent="1" readingOrder="1"/>
    </xf>
    <xf numFmtId="0" fontId="21" fillId="0" borderId="2" xfId="4" applyFont="1" applyBorder="1" applyAlignment="1">
      <alignment horizontal="right" vertical="center" indent="2" readingOrder="2"/>
    </xf>
    <xf numFmtId="1" fontId="21" fillId="0" borderId="2" xfId="4" quotePrefix="1" applyNumberFormat="1" applyFont="1" applyBorder="1" applyAlignment="1">
      <alignment horizontal="left" vertical="center" indent="2" readingOrder="1"/>
    </xf>
    <xf numFmtId="0" fontId="20" fillId="0" borderId="2" xfId="0" applyFont="1" applyBorder="1" applyAlignment="1">
      <alignment horizontal="right" vertical="center" indent="3" readingOrder="2"/>
    </xf>
    <xf numFmtId="1" fontId="20" fillId="0" borderId="2" xfId="4" applyNumberFormat="1" applyFont="1" applyBorder="1" applyAlignment="1">
      <alignment horizontal="left" vertical="center" indent="3" readingOrder="1"/>
    </xf>
    <xf numFmtId="0" fontId="21" fillId="0" borderId="2" xfId="0" applyFont="1" applyBorder="1" applyAlignment="1">
      <alignment horizontal="right" vertical="center" indent="1" readingOrder="2"/>
    </xf>
    <xf numFmtId="0" fontId="20" fillId="0" borderId="2" xfId="0" applyFont="1" applyBorder="1" applyAlignment="1">
      <alignment horizontal="right" vertical="center" indent="2" readingOrder="2"/>
    </xf>
    <xf numFmtId="0" fontId="20" fillId="0" borderId="2" xfId="4" applyFont="1" applyBorder="1" applyAlignment="1">
      <alignment horizontal="left" vertical="center" indent="2"/>
    </xf>
    <xf numFmtId="0" fontId="20" fillId="0" borderId="2" xfId="0" applyFont="1" applyBorder="1" applyAlignment="1">
      <alignment horizontal="right" vertical="center" wrapText="1" indent="3" readingOrder="2"/>
    </xf>
    <xf numFmtId="1" fontId="21" fillId="0" borderId="2" xfId="4" applyNumberFormat="1" applyFont="1" applyBorder="1" applyAlignment="1">
      <alignment horizontal="left" vertical="center" indent="2" readingOrder="1"/>
    </xf>
    <xf numFmtId="0" fontId="21" fillId="0" borderId="2" xfId="0" applyFont="1" applyBorder="1" applyAlignment="1">
      <alignment horizontal="right" vertical="center" indent="2" readingOrder="2"/>
    </xf>
    <xf numFmtId="0" fontId="21" fillId="0" borderId="3" xfId="0" applyFont="1" applyBorder="1" applyAlignment="1">
      <alignment horizontal="right" vertical="center" indent="2" readingOrder="2"/>
    </xf>
    <xf numFmtId="1" fontId="21" fillId="0" borderId="3" xfId="4" applyNumberFormat="1" applyFont="1" applyBorder="1" applyAlignment="1">
      <alignment horizontal="left" vertical="center" indent="2" readingOrder="1"/>
    </xf>
    <xf numFmtId="0" fontId="26" fillId="0" borderId="4" xfId="4" applyFont="1" applyFill="1" applyBorder="1" applyAlignment="1">
      <alignment horizontal="right" vertical="center" readingOrder="2"/>
    </xf>
    <xf numFmtId="1" fontId="26" fillId="0" borderId="4" xfId="4" quotePrefix="1" applyNumberFormat="1" applyFont="1" applyFill="1" applyBorder="1" applyAlignment="1">
      <alignment horizontal="left" vertical="center" readingOrder="1"/>
    </xf>
    <xf numFmtId="1" fontId="26" fillId="0" borderId="2" xfId="4" applyNumberFormat="1" applyFont="1" applyFill="1" applyBorder="1" applyAlignment="1">
      <alignment horizontal="center" vertical="center" readingOrder="1"/>
    </xf>
    <xf numFmtId="0" fontId="26" fillId="0" borderId="2" xfId="4" applyFont="1" applyFill="1" applyBorder="1" applyAlignment="1">
      <alignment horizontal="right" vertical="center" indent="1" readingOrder="2"/>
    </xf>
    <xf numFmtId="1" fontId="26" fillId="0" borderId="2" xfId="4" quotePrefix="1" applyNumberFormat="1" applyFont="1" applyFill="1" applyBorder="1" applyAlignment="1">
      <alignment horizontal="left" vertical="center" indent="1" readingOrder="1"/>
    </xf>
    <xf numFmtId="0" fontId="26" fillId="0" borderId="2" xfId="4" applyFont="1" applyFill="1" applyBorder="1" applyAlignment="1">
      <alignment horizontal="right" vertical="center" indent="2" readingOrder="2"/>
    </xf>
    <xf numFmtId="1" fontId="26" fillId="0" borderId="2" xfId="4" quotePrefix="1" applyNumberFormat="1" applyFont="1" applyFill="1" applyBorder="1" applyAlignment="1">
      <alignment horizontal="left" vertical="center" indent="2" readingOrder="1"/>
    </xf>
    <xf numFmtId="0" fontId="28" fillId="0" borderId="2" xfId="0" applyFont="1" applyFill="1" applyBorder="1" applyAlignment="1">
      <alignment horizontal="right" vertical="center" indent="3" readingOrder="2"/>
    </xf>
    <xf numFmtId="1" fontId="28" fillId="0" borderId="2" xfId="4" applyNumberFormat="1" applyFont="1" applyFill="1" applyBorder="1" applyAlignment="1">
      <alignment horizontal="left" vertical="center" indent="3" readingOrder="1"/>
    </xf>
    <xf numFmtId="1" fontId="28" fillId="0" borderId="2" xfId="4" applyNumberFormat="1" applyFont="1" applyFill="1" applyBorder="1" applyAlignment="1">
      <alignment horizontal="center" vertical="center" readingOrder="1"/>
    </xf>
    <xf numFmtId="0" fontId="26" fillId="0" borderId="2" xfId="0" applyFont="1" applyFill="1" applyBorder="1" applyAlignment="1">
      <alignment horizontal="right" vertical="center" indent="1" readingOrder="2"/>
    </xf>
    <xf numFmtId="0" fontId="28" fillId="0" borderId="2" xfId="0" applyFont="1" applyFill="1" applyBorder="1" applyAlignment="1">
      <alignment horizontal="right" vertical="center" indent="2" readingOrder="2"/>
    </xf>
    <xf numFmtId="0" fontId="28" fillId="0" borderId="2" xfId="4" applyFont="1" applyFill="1" applyBorder="1" applyAlignment="1">
      <alignment horizontal="left" vertical="center" indent="2"/>
    </xf>
    <xf numFmtId="0" fontId="28" fillId="0" borderId="2" xfId="0" applyFont="1" applyFill="1" applyBorder="1" applyAlignment="1">
      <alignment horizontal="right" vertical="center" wrapText="1" indent="3" readingOrder="2"/>
    </xf>
    <xf numFmtId="1" fontId="26" fillId="0" borderId="2" xfId="4" applyNumberFormat="1" applyFont="1" applyFill="1" applyBorder="1" applyAlignment="1">
      <alignment horizontal="left" vertical="center" indent="2" readingOrder="1"/>
    </xf>
    <xf numFmtId="0" fontId="26" fillId="0" borderId="2" xfId="0" applyFont="1" applyFill="1" applyBorder="1" applyAlignment="1">
      <alignment horizontal="right" vertical="center" indent="2" readingOrder="2"/>
    </xf>
    <xf numFmtId="0" fontId="26" fillId="0" borderId="3" xfId="0" applyFont="1" applyFill="1" applyBorder="1" applyAlignment="1">
      <alignment horizontal="right" vertical="center" indent="2" readingOrder="2"/>
    </xf>
    <xf numFmtId="1" fontId="26" fillId="0" borderId="3" xfId="4" applyNumberFormat="1" applyFont="1" applyFill="1" applyBorder="1" applyAlignment="1">
      <alignment horizontal="left" vertical="center" indent="2" readingOrder="1"/>
    </xf>
    <xf numFmtId="1" fontId="26" fillId="0" borderId="3" xfId="4" applyNumberFormat="1" applyFont="1" applyFill="1" applyBorder="1" applyAlignment="1">
      <alignment horizontal="center" vertical="center" readingOrder="1"/>
    </xf>
    <xf numFmtId="0" fontId="9" fillId="0" borderId="0" xfId="4" applyFont="1" applyFill="1" applyAlignment="1">
      <alignment horizontal="center" vertical="center" readingOrder="1"/>
    </xf>
    <xf numFmtId="0" fontId="9" fillId="0" borderId="0" xfId="4" applyFont="1" applyFill="1" applyAlignment="1">
      <alignment horizontal="right" vertical="center" readingOrder="2"/>
    </xf>
    <xf numFmtId="0" fontId="9" fillId="0" borderId="0" xfId="4" applyFont="1" applyFill="1" applyAlignment="1">
      <alignment horizontal="left" vertical="center"/>
    </xf>
    <xf numFmtId="0" fontId="9" fillId="0" borderId="0" xfId="4" applyFont="1" applyFill="1" applyAlignment="1">
      <alignment vertical="center"/>
    </xf>
    <xf numFmtId="1" fontId="21" fillId="0" borderId="6" xfId="4" applyNumberFormat="1" applyFont="1" applyFill="1" applyBorder="1" applyAlignment="1">
      <alignment horizontal="center" vertical="center" readingOrder="1"/>
    </xf>
    <xf numFmtId="1" fontId="20" fillId="0" borderId="6" xfId="4" applyNumberFormat="1" applyFont="1" applyFill="1" applyBorder="1" applyAlignment="1">
      <alignment horizontal="center" vertical="center" readingOrder="1"/>
    </xf>
    <xf numFmtId="1" fontId="21" fillId="0" borderId="10" xfId="4" applyNumberFormat="1" applyFont="1" applyFill="1" applyBorder="1" applyAlignment="1">
      <alignment horizontal="center" vertical="center" readingOrder="1"/>
    </xf>
    <xf numFmtId="1" fontId="10" fillId="0" borderId="0" xfId="4" applyNumberFormat="1" applyFont="1" applyFill="1"/>
    <xf numFmtId="0" fontId="20" fillId="0" borderId="2" xfId="2" applyFont="1" applyFill="1" applyBorder="1" applyAlignment="1">
      <alignment horizontal="right" vertical="center" indent="3" readingOrder="2"/>
    </xf>
    <xf numFmtId="0" fontId="21" fillId="0" borderId="2" xfId="2" applyFont="1" applyFill="1" applyBorder="1" applyAlignment="1">
      <alignment horizontal="right" vertical="center" indent="1" readingOrder="2"/>
    </xf>
    <xf numFmtId="0" fontId="20" fillId="0" borderId="2" xfId="2" applyFont="1" applyFill="1" applyBorder="1" applyAlignment="1">
      <alignment horizontal="right" vertical="center" indent="2" readingOrder="2"/>
    </xf>
    <xf numFmtId="0" fontId="20" fillId="0" borderId="2" xfId="2" applyFont="1" applyFill="1" applyBorder="1" applyAlignment="1">
      <alignment horizontal="right" vertical="center" wrapText="1" indent="3" readingOrder="2"/>
    </xf>
    <xf numFmtId="0" fontId="21" fillId="0" borderId="2" xfId="2" applyFont="1" applyFill="1" applyBorder="1" applyAlignment="1">
      <alignment horizontal="right" vertical="center" indent="2" readingOrder="2"/>
    </xf>
    <xf numFmtId="0" fontId="21" fillId="0" borderId="3" xfId="2" applyFont="1" applyFill="1" applyBorder="1" applyAlignment="1">
      <alignment horizontal="right" vertical="center" indent="2" readingOrder="2"/>
    </xf>
    <xf numFmtId="0" fontId="9" fillId="0" borderId="0" xfId="2" applyFont="1" applyFill="1" applyBorder="1" applyAlignment="1">
      <alignment horizontal="right" vertical="center"/>
    </xf>
    <xf numFmtId="0" fontId="22" fillId="5" borderId="3" xfId="4" quotePrefix="1" applyFont="1" applyFill="1" applyBorder="1" applyAlignment="1">
      <alignment horizontal="center" vertical="center" wrapText="1"/>
    </xf>
    <xf numFmtId="0" fontId="22" fillId="5" borderId="3" xfId="3" quotePrefix="1" applyFont="1" applyFill="1" applyBorder="1" applyAlignment="1">
      <alignment horizontal="center" vertical="center" wrapText="1"/>
    </xf>
    <xf numFmtId="0" fontId="9" fillId="4" borderId="0" xfId="4" applyFont="1" applyFill="1" applyAlignment="1">
      <alignment horizontal="left"/>
    </xf>
    <xf numFmtId="0" fontId="22" fillId="5" borderId="5" xfId="3" applyFont="1" applyFill="1" applyBorder="1" applyAlignment="1">
      <alignment horizontal="center"/>
    </xf>
    <xf numFmtId="0" fontId="22" fillId="5" borderId="6" xfId="3" applyFont="1" applyFill="1" applyBorder="1" applyAlignment="1">
      <alignment horizontal="center"/>
    </xf>
    <xf numFmtId="0" fontId="22" fillId="5" borderId="2" xfId="3" applyFont="1" applyFill="1" applyBorder="1" applyAlignment="1">
      <alignment horizontal="left" vertical="center"/>
    </xf>
    <xf numFmtId="0" fontId="22" fillId="5" borderId="6" xfId="3" applyFont="1" applyFill="1" applyBorder="1" applyAlignment="1"/>
    <xf numFmtId="0" fontId="22" fillId="5" borderId="3" xfId="3" applyFont="1" applyFill="1" applyBorder="1" applyAlignment="1">
      <alignment horizontal="left" vertical="center"/>
    </xf>
    <xf numFmtId="0" fontId="22" fillId="5" borderId="3" xfId="4" quotePrefix="1" applyFont="1" applyFill="1" applyBorder="1" applyAlignment="1">
      <alignment horizontal="center" vertical="top" wrapText="1"/>
    </xf>
    <xf numFmtId="1" fontId="21" fillId="0" borderId="4" xfId="3" quotePrefix="1" applyNumberFormat="1" applyFont="1" applyBorder="1" applyAlignment="1">
      <alignment horizontal="center" vertical="center" readingOrder="1"/>
    </xf>
    <xf numFmtId="1" fontId="21" fillId="0" borderId="2" xfId="3" quotePrefix="1" applyNumberFormat="1" applyFont="1" applyBorder="1" applyAlignment="1">
      <alignment horizontal="center" vertical="center" readingOrder="1"/>
    </xf>
    <xf numFmtId="1" fontId="20" fillId="0" borderId="2" xfId="3" applyNumberFormat="1" applyFont="1" applyBorder="1" applyAlignment="1">
      <alignment horizontal="center" vertical="center" readingOrder="1"/>
    </xf>
    <xf numFmtId="1" fontId="21" fillId="0" borderId="2" xfId="3" applyNumberFormat="1" applyFont="1" applyBorder="1" applyAlignment="1">
      <alignment horizontal="center" vertical="center" readingOrder="1"/>
    </xf>
    <xf numFmtId="1" fontId="21" fillId="0" borderId="3" xfId="3" applyNumberFormat="1" applyFont="1" applyBorder="1" applyAlignment="1">
      <alignment horizontal="center" vertical="center" readingOrder="1"/>
    </xf>
    <xf numFmtId="0" fontId="20" fillId="5" borderId="4" xfId="3" applyFont="1" applyFill="1" applyBorder="1" applyAlignment="1">
      <alignment horizontal="center"/>
    </xf>
    <xf numFmtId="0" fontId="20" fillId="5" borderId="2" xfId="3" applyFont="1" applyFill="1" applyBorder="1" applyAlignment="1">
      <alignment horizontal="center"/>
    </xf>
    <xf numFmtId="0" fontId="22" fillId="5" borderId="2" xfId="3" applyFont="1" applyFill="1" applyBorder="1" applyAlignment="1">
      <alignment horizontal="center"/>
    </xf>
    <xf numFmtId="0" fontId="22" fillId="5" borderId="2" xfId="3" applyFont="1" applyFill="1" applyBorder="1" applyAlignment="1"/>
    <xf numFmtId="0" fontId="22" fillId="5" borderId="4" xfId="3" applyFont="1" applyFill="1" applyBorder="1" applyAlignment="1">
      <alignment horizontal="center"/>
    </xf>
    <xf numFmtId="1" fontId="21" fillId="0" borderId="4" xfId="3" applyNumberFormat="1" applyFont="1" applyBorder="1" applyAlignment="1">
      <alignment horizontal="center" vertical="center" readingOrder="1"/>
    </xf>
    <xf numFmtId="1" fontId="21" fillId="0" borderId="2" xfId="3" applyNumberFormat="1" applyFont="1" applyBorder="1" applyAlignment="1">
      <alignment horizontal="center" vertical="center"/>
    </xf>
    <xf numFmtId="1" fontId="21" fillId="0" borderId="3" xfId="3" applyNumberFormat="1" applyFont="1" applyBorder="1" applyAlignment="1">
      <alignment horizontal="center" vertical="center"/>
    </xf>
    <xf numFmtId="0" fontId="20" fillId="5" borderId="5" xfId="3" applyFont="1" applyFill="1" applyBorder="1" applyAlignment="1">
      <alignment horizontal="center"/>
    </xf>
    <xf numFmtId="0" fontId="20" fillId="5" borderId="6" xfId="3" applyFont="1" applyFill="1" applyBorder="1" applyAlignment="1">
      <alignment horizontal="center"/>
    </xf>
    <xf numFmtId="0" fontId="20" fillId="5" borderId="2" xfId="3" applyFont="1" applyFill="1" applyBorder="1" applyAlignment="1">
      <alignment horizontal="left" vertical="center"/>
    </xf>
    <xf numFmtId="0" fontId="20" fillId="5" borderId="6" xfId="3" applyFont="1" applyFill="1" applyBorder="1" applyAlignment="1"/>
    <xf numFmtId="0" fontId="20" fillId="5" borderId="3" xfId="3" applyFont="1" applyFill="1" applyBorder="1" applyAlignment="1">
      <alignment horizontal="left" vertical="center"/>
    </xf>
    <xf numFmtId="0" fontId="20" fillId="5" borderId="4" xfId="4" applyFont="1" applyFill="1" applyBorder="1" applyAlignment="1">
      <alignment horizontal="center"/>
    </xf>
    <xf numFmtId="0" fontId="20" fillId="5" borderId="2" xfId="3" applyFont="1" applyFill="1" applyBorder="1"/>
    <xf numFmtId="0" fontId="20" fillId="5" borderId="2" xfId="4" applyFont="1" applyFill="1" applyBorder="1" applyAlignment="1">
      <alignment horizontal="left" vertical="center"/>
    </xf>
    <xf numFmtId="0" fontId="20" fillId="5" borderId="3" xfId="4" applyFont="1" applyFill="1" applyBorder="1" applyAlignment="1">
      <alignment horizontal="left" vertical="center"/>
    </xf>
    <xf numFmtId="1" fontId="21" fillId="0" borderId="4" xfId="4" applyNumberFormat="1" applyFont="1" applyBorder="1" applyAlignment="1">
      <alignment horizontal="center" vertical="center" readingOrder="1"/>
    </xf>
    <xf numFmtId="0" fontId="21" fillId="0" borderId="2" xfId="4" applyFont="1" applyBorder="1" applyAlignment="1">
      <alignment horizontal="center" vertical="center"/>
    </xf>
    <xf numFmtId="1" fontId="21" fillId="0" borderId="2" xfId="4" applyNumberFormat="1" applyFont="1" applyBorder="1" applyAlignment="1">
      <alignment horizontal="center" vertical="center" readingOrder="1"/>
    </xf>
    <xf numFmtId="0" fontId="20" fillId="0" borderId="2" xfId="4" applyFont="1" applyBorder="1" applyAlignment="1">
      <alignment horizontal="center" vertical="center"/>
    </xf>
    <xf numFmtId="1" fontId="20" fillId="0" borderId="2" xfId="4" applyNumberFormat="1" applyFont="1" applyBorder="1" applyAlignment="1">
      <alignment horizontal="center" vertical="center" readingOrder="1"/>
    </xf>
    <xf numFmtId="1" fontId="21" fillId="0" borderId="2" xfId="4" applyNumberFormat="1" applyFont="1" applyBorder="1" applyAlignment="1">
      <alignment horizontal="center" vertical="center"/>
    </xf>
    <xf numFmtId="1" fontId="21" fillId="0" borderId="3" xfId="4" applyNumberFormat="1" applyFont="1" applyBorder="1" applyAlignment="1">
      <alignment horizontal="center" vertical="center"/>
    </xf>
    <xf numFmtId="1" fontId="21" fillId="0" borderId="3" xfId="4" applyNumberFormat="1" applyFont="1" applyBorder="1" applyAlignment="1">
      <alignment horizontal="center" vertical="center" readingOrder="1"/>
    </xf>
    <xf numFmtId="0" fontId="20" fillId="5" borderId="2" xfId="3" applyFont="1" applyFill="1" applyBorder="1" applyAlignment="1"/>
    <xf numFmtId="1" fontId="21" fillId="0" borderId="4" xfId="3" applyNumberFormat="1" applyFont="1" applyBorder="1" applyAlignment="1">
      <alignment horizontal="center" vertical="center"/>
    </xf>
    <xf numFmtId="1" fontId="20" fillId="0" borderId="2" xfId="3" applyNumberFormat="1" applyFont="1" applyBorder="1" applyAlignment="1">
      <alignment horizontal="center" vertical="center"/>
    </xf>
    <xf numFmtId="0" fontId="21" fillId="0" borderId="2" xfId="4" applyFont="1" applyFill="1" applyBorder="1" applyAlignment="1">
      <alignment horizontal="center" vertical="center"/>
    </xf>
    <xf numFmtId="0" fontId="20" fillId="0" borderId="2" xfId="4" applyFont="1" applyFill="1" applyBorder="1" applyAlignment="1">
      <alignment horizontal="center" vertical="center"/>
    </xf>
    <xf numFmtId="0" fontId="22" fillId="0" borderId="0" xfId="3" applyFont="1" applyBorder="1" applyAlignment="1">
      <alignment horizontal="center" vertical="center"/>
    </xf>
    <xf numFmtId="0" fontId="22" fillId="0" borderId="0" xfId="4" applyFont="1" applyAlignment="1">
      <alignment horizontal="center" vertical="center" wrapText="1" readingOrder="2"/>
    </xf>
    <xf numFmtId="0" fontId="22" fillId="0" borderId="0" xfId="4" applyFont="1" applyAlignment="1">
      <alignment horizontal="center" vertical="center" wrapText="1" readingOrder="1"/>
    </xf>
    <xf numFmtId="0" fontId="22" fillId="0" borderId="1" xfId="3" applyFont="1" applyBorder="1" applyAlignment="1">
      <alignment horizontal="center" vertical="center"/>
    </xf>
    <xf numFmtId="0" fontId="22" fillId="0" borderId="0" xfId="3" applyFont="1" applyBorder="1" applyAlignment="1">
      <alignment vertical="center" wrapText="1" readingOrder="2"/>
    </xf>
    <xf numFmtId="0" fontId="20" fillId="0" borderId="0" xfId="3" applyFont="1"/>
    <xf numFmtId="0" fontId="20" fillId="0" borderId="0" xfId="3" applyFont="1" applyBorder="1" applyAlignment="1">
      <alignment horizontal="left" vertical="center"/>
    </xf>
    <xf numFmtId="0" fontId="20" fillId="0" borderId="0" xfId="3" applyFont="1" applyAlignment="1">
      <alignment horizontal="center"/>
    </xf>
    <xf numFmtId="0" fontId="20" fillId="0" borderId="0" xfId="3" applyFont="1" applyBorder="1" applyAlignment="1">
      <alignment horizontal="center" vertical="center"/>
    </xf>
    <xf numFmtId="0" fontId="20" fillId="0" borderId="0" xfId="4" applyFont="1"/>
    <xf numFmtId="0" fontId="20" fillId="0" borderId="0" xfId="4" applyFont="1" applyBorder="1" applyAlignment="1">
      <alignment horizontal="left" vertical="center"/>
    </xf>
    <xf numFmtId="0" fontId="20" fillId="0" borderId="0" xfId="4" applyFont="1" applyAlignment="1">
      <alignment horizontal="center"/>
    </xf>
    <xf numFmtId="0" fontId="20" fillId="0" borderId="0" xfId="4" applyFont="1" applyBorder="1" applyAlignment="1">
      <alignment horizontal="center" vertical="center"/>
    </xf>
    <xf numFmtId="0" fontId="20" fillId="0" borderId="0" xfId="4" applyFont="1" applyBorder="1" applyAlignment="1"/>
    <xf numFmtId="0" fontId="20" fillId="0" borderId="0" xfId="4" applyFont="1" applyFill="1" applyBorder="1"/>
    <xf numFmtId="0" fontId="22" fillId="0" borderId="0" xfId="4" applyFont="1" applyBorder="1" applyAlignment="1">
      <alignment horizontal="center" vertical="center"/>
    </xf>
    <xf numFmtId="0" fontId="20" fillId="5" borderId="5" xfId="4" applyFont="1" applyFill="1" applyBorder="1" applyAlignment="1">
      <alignment horizontal="center"/>
    </xf>
    <xf numFmtId="0" fontId="20" fillId="5" borderId="6" xfId="4" applyFont="1" applyFill="1" applyBorder="1" applyAlignment="1">
      <alignment horizontal="center"/>
    </xf>
    <xf numFmtId="0" fontId="20" fillId="5" borderId="6" xfId="4" applyFont="1" applyFill="1" applyBorder="1" applyAlignment="1"/>
    <xf numFmtId="0" fontId="22" fillId="0" borderId="0" xfId="4" applyFont="1" applyFill="1" applyBorder="1" applyAlignment="1">
      <alignment horizontal="right" vertical="center"/>
    </xf>
    <xf numFmtId="0" fontId="22" fillId="0" borderId="0" xfId="4" applyFont="1" applyBorder="1" applyAlignment="1">
      <alignment vertical="center" wrapText="1" readingOrder="2"/>
    </xf>
    <xf numFmtId="0" fontId="22" fillId="0" borderId="0" xfId="4" applyFont="1" applyBorder="1" applyAlignment="1">
      <alignment horizontal="right" vertical="center"/>
    </xf>
    <xf numFmtId="0" fontId="24" fillId="2" borderId="8" xfId="4" applyFont="1" applyFill="1" applyBorder="1" applyAlignment="1">
      <alignment horizontal="center" vertical="center"/>
    </xf>
    <xf numFmtId="0" fontId="25" fillId="0" borderId="8" xfId="4" applyFont="1" applyBorder="1" applyAlignment="1">
      <alignment horizontal="center" vertical="center"/>
    </xf>
    <xf numFmtId="0" fontId="20" fillId="0" borderId="8" xfId="4" applyFont="1" applyBorder="1" applyAlignment="1">
      <alignment horizontal="center" vertical="center"/>
    </xf>
    <xf numFmtId="0" fontId="21" fillId="0" borderId="8" xfId="4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readingOrder="1"/>
    </xf>
    <xf numFmtId="0" fontId="24" fillId="0" borderId="8" xfId="4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readingOrder="1"/>
    </xf>
    <xf numFmtId="0" fontId="21" fillId="0" borderId="3" xfId="4" applyFont="1" applyBorder="1" applyAlignment="1">
      <alignment horizontal="center" vertical="center"/>
    </xf>
    <xf numFmtId="0" fontId="24" fillId="0" borderId="3" xfId="4" applyFont="1" applyBorder="1" applyAlignment="1">
      <alignment horizontal="center" vertical="center"/>
    </xf>
    <xf numFmtId="0" fontId="24" fillId="0" borderId="9" xfId="4" applyFont="1" applyBorder="1" applyAlignment="1">
      <alignment horizontal="center" vertical="center"/>
    </xf>
    <xf numFmtId="0" fontId="22" fillId="0" borderId="0" xfId="4" applyFont="1" applyFill="1" applyAlignment="1">
      <alignment horizontal="center" vertical="center" wrapText="1" readingOrder="2"/>
    </xf>
    <xf numFmtId="0" fontId="22" fillId="0" borderId="0" xfId="4" applyFont="1" applyFill="1" applyAlignment="1">
      <alignment horizontal="center" vertical="center" wrapText="1" readingOrder="1"/>
    </xf>
    <xf numFmtId="0" fontId="22" fillId="0" borderId="0" xfId="4" applyFont="1" applyFill="1" applyBorder="1" applyAlignment="1">
      <alignment vertical="center" wrapText="1" readingOrder="2"/>
    </xf>
    <xf numFmtId="0" fontId="20" fillId="0" borderId="0" xfId="4" applyFont="1" applyFill="1"/>
    <xf numFmtId="0" fontId="20" fillId="0" borderId="0" xfId="4" applyFont="1" applyFill="1" applyBorder="1" applyAlignment="1">
      <alignment horizontal="left" vertic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 applyBorder="1" applyAlignment="1">
      <alignment horizontal="center" vertical="center"/>
    </xf>
    <xf numFmtId="0" fontId="20" fillId="0" borderId="0" xfId="4" applyFont="1" applyFill="1" applyBorder="1" applyAlignment="1"/>
    <xf numFmtId="0" fontId="22" fillId="0" borderId="0" xfId="4" applyFont="1" applyFill="1" applyBorder="1" applyAlignment="1">
      <alignment horizontal="center" vertical="center"/>
    </xf>
    <xf numFmtId="0" fontId="21" fillId="0" borderId="7" xfId="4" applyFont="1" applyFill="1" applyBorder="1" applyAlignment="1">
      <alignment horizontal="center" vertical="center"/>
    </xf>
    <xf numFmtId="0" fontId="21" fillId="0" borderId="4" xfId="4" applyFont="1" applyFill="1" applyBorder="1" applyAlignment="1">
      <alignment horizontal="center" vertical="center"/>
    </xf>
    <xf numFmtId="0" fontId="24" fillId="0" borderId="4" xfId="4" applyFont="1" applyFill="1" applyBorder="1" applyAlignment="1">
      <alignment horizontal="center" vertical="center"/>
    </xf>
    <xf numFmtId="0" fontId="24" fillId="0" borderId="7" xfId="4" applyFont="1" applyFill="1" applyBorder="1" applyAlignment="1">
      <alignment horizontal="center" vertical="center"/>
    </xf>
    <xf numFmtId="0" fontId="24" fillId="0" borderId="2" xfId="4" applyFont="1" applyFill="1" applyBorder="1" applyAlignment="1">
      <alignment horizontal="center" vertical="center"/>
    </xf>
    <xf numFmtId="0" fontId="24" fillId="0" borderId="8" xfId="4" applyFont="1" applyFill="1" applyBorder="1" applyAlignment="1">
      <alignment horizontal="center" vertical="center"/>
    </xf>
    <xf numFmtId="0" fontId="25" fillId="0" borderId="8" xfId="4" applyFont="1" applyFill="1" applyBorder="1" applyAlignment="1">
      <alignment horizontal="center" vertical="center"/>
    </xf>
    <xf numFmtId="0" fontId="22" fillId="5" borderId="10" xfId="4" quotePrefix="1" applyFont="1" applyFill="1" applyBorder="1" applyAlignment="1">
      <alignment horizontal="center" vertical="top" wrapText="1"/>
    </xf>
    <xf numFmtId="0" fontId="20" fillId="5" borderId="2" xfId="4" applyFont="1" applyFill="1" applyBorder="1" applyAlignment="1">
      <alignment horizontal="left" vertical="center"/>
    </xf>
    <xf numFmtId="0" fontId="9" fillId="0" borderId="0" xfId="4" applyFont="1" applyFill="1" applyAlignment="1">
      <alignment horizontal="left" vertical="center"/>
    </xf>
    <xf numFmtId="0" fontId="20" fillId="0" borderId="0" xfId="4" applyFont="1" applyFill="1" applyBorder="1" applyAlignment="1">
      <alignment horizontal="left" vertical="center"/>
    </xf>
    <xf numFmtId="0" fontId="20" fillId="0" borderId="0" xfId="4" applyFont="1" applyFill="1" applyBorder="1" applyAlignment="1">
      <alignment vertical="center"/>
    </xf>
    <xf numFmtId="0" fontId="22" fillId="5" borderId="3" xfId="4" quotePrefix="1" applyFont="1" applyFill="1" applyBorder="1" applyAlignment="1">
      <alignment horizontal="center" wrapText="1"/>
    </xf>
    <xf numFmtId="0" fontId="9" fillId="0" borderId="0" xfId="4" applyFont="1" applyFill="1" applyAlignment="1">
      <alignment horizontal="left" vertical="center"/>
    </xf>
    <xf numFmtId="0" fontId="20" fillId="0" borderId="0" xfId="4" applyFont="1" applyFill="1" applyBorder="1" applyAlignment="1">
      <alignment horizontal="left" vertical="center"/>
    </xf>
    <xf numFmtId="0" fontId="9" fillId="0" borderId="0" xfId="4" applyFont="1" applyAlignment="1">
      <alignment horizontal="left" vertical="center"/>
    </xf>
    <xf numFmtId="0" fontId="22" fillId="0" borderId="0" xfId="4" applyFont="1" applyAlignment="1">
      <alignment vertical="center" wrapText="1" readingOrder="2"/>
    </xf>
    <xf numFmtId="0" fontId="20" fillId="0" borderId="0" xfId="4" applyFont="1" applyAlignment="1">
      <alignment vertical="center"/>
    </xf>
    <xf numFmtId="0" fontId="20" fillId="0" borderId="0" xfId="4" applyFont="1" applyAlignment="1">
      <alignment horizontal="left" vertical="center"/>
    </xf>
    <xf numFmtId="0" fontId="22" fillId="0" borderId="0" xfId="4" applyFont="1" applyAlignment="1">
      <alignment horizontal="center" vertical="center"/>
    </xf>
    <xf numFmtId="0" fontId="20" fillId="0" borderId="2" xfId="2" applyFont="1" applyBorder="1" applyAlignment="1">
      <alignment horizontal="right" vertical="center" indent="3" readingOrder="2"/>
    </xf>
    <xf numFmtId="0" fontId="21" fillId="0" borderId="2" xfId="2" applyFont="1" applyBorder="1" applyAlignment="1">
      <alignment horizontal="right" vertical="center" indent="1" readingOrder="2"/>
    </xf>
    <xf numFmtId="0" fontId="20" fillId="0" borderId="2" xfId="2" applyFont="1" applyBorder="1" applyAlignment="1">
      <alignment horizontal="right" vertical="center" indent="2" readingOrder="2"/>
    </xf>
    <xf numFmtId="0" fontId="20" fillId="0" borderId="2" xfId="2" applyFont="1" applyBorder="1" applyAlignment="1">
      <alignment horizontal="right" vertical="center" wrapText="1" indent="3" readingOrder="2"/>
    </xf>
    <xf numFmtId="0" fontId="21" fillId="0" borderId="2" xfId="2" applyFont="1" applyBorder="1" applyAlignment="1">
      <alignment horizontal="right" vertical="center" indent="2" readingOrder="2"/>
    </xf>
    <xf numFmtId="0" fontId="21" fillId="0" borderId="3" xfId="2" applyFont="1" applyBorder="1" applyAlignment="1">
      <alignment horizontal="right" vertical="center" indent="2" readingOrder="2"/>
    </xf>
    <xf numFmtId="0" fontId="9" fillId="0" borderId="0" xfId="2" applyFont="1" applyAlignment="1">
      <alignment horizontal="right" vertical="center"/>
    </xf>
    <xf numFmtId="1" fontId="9" fillId="0" borderId="0" xfId="4" applyNumberFormat="1" applyFont="1" applyAlignment="1">
      <alignment horizontal="left" vertical="center" readingOrder="1"/>
    </xf>
    <xf numFmtId="1" fontId="10" fillId="0" borderId="0" xfId="4" applyNumberFormat="1" applyFont="1" applyAlignment="1">
      <alignment horizontal="center" vertical="center"/>
    </xf>
    <xf numFmtId="0" fontId="9" fillId="0" borderId="0" xfId="2" applyFont="1" applyAlignment="1">
      <alignment horizontal="left" vertical="center" wrapText="1" readingOrder="1"/>
    </xf>
    <xf numFmtId="49" fontId="2" fillId="6" borderId="0" xfId="4" applyNumberFormat="1" applyFont="1" applyFill="1" applyAlignment="1">
      <alignment horizontal="left" vertical="center"/>
    </xf>
    <xf numFmtId="49" fontId="2" fillId="6" borderId="0" xfId="4" applyNumberFormat="1" applyFont="1" applyFill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22" fillId="5" borderId="5" xfId="3" applyFont="1" applyFill="1" applyBorder="1" applyAlignment="1">
      <alignment horizontal="center" vertical="center"/>
    </xf>
    <xf numFmtId="0" fontId="22" fillId="5" borderId="11" xfId="3" applyFont="1" applyFill="1" applyBorder="1" applyAlignment="1">
      <alignment horizontal="center" vertical="center"/>
    </xf>
    <xf numFmtId="0" fontId="22" fillId="5" borderId="7" xfId="3" applyFont="1" applyFill="1" applyBorder="1" applyAlignment="1">
      <alignment horizontal="center" vertical="center"/>
    </xf>
    <xf numFmtId="0" fontId="22" fillId="5" borderId="10" xfId="3" applyFont="1" applyFill="1" applyBorder="1" applyAlignment="1">
      <alignment horizontal="center" vertical="center"/>
    </xf>
    <xf numFmtId="0" fontId="22" fillId="5" borderId="1" xfId="3" applyFont="1" applyFill="1" applyBorder="1" applyAlignment="1">
      <alignment horizontal="center" vertical="center"/>
    </xf>
    <xf numFmtId="0" fontId="22" fillId="5" borderId="9" xfId="3" applyFont="1" applyFill="1" applyBorder="1" applyAlignment="1">
      <alignment horizontal="center" vertical="center"/>
    </xf>
    <xf numFmtId="0" fontId="22" fillId="5" borderId="2" xfId="3" applyFont="1" applyFill="1" applyBorder="1" applyAlignment="1">
      <alignment horizontal="center" vertical="center"/>
    </xf>
    <xf numFmtId="0" fontId="22" fillId="5" borderId="3" xfId="3" applyFont="1" applyFill="1" applyBorder="1" applyAlignment="1">
      <alignment horizontal="center" vertical="center"/>
    </xf>
    <xf numFmtId="0" fontId="22" fillId="5" borderId="4" xfId="3" applyFont="1" applyFill="1" applyBorder="1" applyAlignment="1">
      <alignment horizontal="left" vertical="center"/>
    </xf>
    <xf numFmtId="0" fontId="22" fillId="5" borderId="2" xfId="3" applyFont="1" applyFill="1" applyBorder="1" applyAlignment="1">
      <alignment horizontal="left" vertical="center"/>
    </xf>
    <xf numFmtId="0" fontId="9" fillId="0" borderId="1" xfId="3" applyFont="1" applyBorder="1" applyAlignment="1">
      <alignment vertical="center"/>
    </xf>
    <xf numFmtId="0" fontId="22" fillId="5" borderId="4" xfId="3" applyFont="1" applyFill="1" applyBorder="1" applyAlignment="1">
      <alignment horizontal="center" vertical="center"/>
    </xf>
    <xf numFmtId="0" fontId="20" fillId="5" borderId="4" xfId="3" applyFont="1" applyFill="1" applyBorder="1" applyAlignment="1">
      <alignment horizontal="left" vertical="center"/>
    </xf>
    <xf numFmtId="0" fontId="20" fillId="5" borderId="2" xfId="3" applyFont="1" applyFill="1" applyBorder="1" applyAlignment="1">
      <alignment horizontal="left" vertical="center"/>
    </xf>
    <xf numFmtId="0" fontId="9" fillId="0" borderId="0" xfId="3" applyFont="1" applyBorder="1" applyAlignment="1">
      <alignment horizontal="left" vertical="center"/>
    </xf>
    <xf numFmtId="0" fontId="9" fillId="0" borderId="0" xfId="3" applyFont="1" applyBorder="1" applyAlignment="1"/>
    <xf numFmtId="0" fontId="20" fillId="5" borderId="4" xfId="4" applyFont="1" applyFill="1" applyBorder="1" applyAlignment="1">
      <alignment horizontal="left" vertical="center"/>
    </xf>
    <xf numFmtId="0" fontId="20" fillId="5" borderId="2" xfId="4" applyFont="1" applyFill="1" applyBorder="1" applyAlignment="1">
      <alignment horizontal="left" vertical="center"/>
    </xf>
    <xf numFmtId="0" fontId="22" fillId="5" borderId="5" xfId="4" applyFont="1" applyFill="1" applyBorder="1" applyAlignment="1">
      <alignment horizontal="center" vertical="center"/>
    </xf>
    <xf numFmtId="0" fontId="22" fillId="5" borderId="11" xfId="4" applyFont="1" applyFill="1" applyBorder="1" applyAlignment="1">
      <alignment horizontal="center" vertical="center"/>
    </xf>
    <xf numFmtId="0" fontId="22" fillId="5" borderId="7" xfId="4" applyFont="1" applyFill="1" applyBorder="1" applyAlignment="1">
      <alignment horizontal="center" vertical="center"/>
    </xf>
    <xf numFmtId="0" fontId="22" fillId="5" borderId="10" xfId="4" applyFont="1" applyFill="1" applyBorder="1" applyAlignment="1">
      <alignment horizontal="center" vertical="center"/>
    </xf>
    <xf numFmtId="0" fontId="22" fillId="5" borderId="1" xfId="4" applyFont="1" applyFill="1" applyBorder="1" applyAlignment="1">
      <alignment horizontal="center" vertical="center"/>
    </xf>
    <xf numFmtId="0" fontId="22" fillId="5" borderId="9" xfId="4" applyFont="1" applyFill="1" applyBorder="1" applyAlignment="1">
      <alignment horizontal="center" vertical="center"/>
    </xf>
    <xf numFmtId="0" fontId="22" fillId="5" borderId="4" xfId="4" applyFont="1" applyFill="1" applyBorder="1" applyAlignment="1">
      <alignment horizontal="center" vertical="center"/>
    </xf>
    <xf numFmtId="0" fontId="22" fillId="5" borderId="3" xfId="4" applyFont="1" applyFill="1" applyBorder="1" applyAlignment="1">
      <alignment horizontal="center" vertical="center"/>
    </xf>
    <xf numFmtId="49" fontId="2" fillId="0" borderId="0" xfId="3" applyNumberFormat="1" applyFont="1" applyBorder="1" applyAlignment="1">
      <alignment horizontal="center" vertical="center"/>
    </xf>
    <xf numFmtId="0" fontId="20" fillId="0" borderId="0" xfId="3" applyFont="1" applyBorder="1" applyAlignment="1">
      <alignment horizontal="left" vertical="center"/>
    </xf>
    <xf numFmtId="0" fontId="20" fillId="0" borderId="0" xfId="3" applyFont="1" applyBorder="1" applyAlignment="1"/>
    <xf numFmtId="0" fontId="20" fillId="0" borderId="0" xfId="4" applyFont="1" applyBorder="1" applyAlignment="1">
      <alignment horizontal="left" vertical="center"/>
    </xf>
    <xf numFmtId="0" fontId="9" fillId="4" borderId="0" xfId="4" applyFont="1" applyFill="1" applyBorder="1" applyAlignment="1">
      <alignment horizontal="left" vertical="center"/>
    </xf>
    <xf numFmtId="0" fontId="9" fillId="5" borderId="4" xfId="4" applyFont="1" applyFill="1" applyBorder="1" applyAlignment="1">
      <alignment horizontal="left" vertical="center"/>
    </xf>
    <xf numFmtId="0" fontId="9" fillId="5" borderId="2" xfId="4" applyFont="1" applyFill="1" applyBorder="1" applyAlignment="1">
      <alignment horizontal="left" vertical="center"/>
    </xf>
    <xf numFmtId="0" fontId="9" fillId="0" borderId="0" xfId="4" applyFont="1" applyFill="1" applyBorder="1" applyAlignment="1">
      <alignment horizontal="left" vertical="center"/>
    </xf>
    <xf numFmtId="0" fontId="9" fillId="0" borderId="0" xfId="4" applyFont="1" applyFill="1" applyAlignment="1">
      <alignment horizontal="left" vertical="center"/>
    </xf>
    <xf numFmtId="0" fontId="20" fillId="0" borderId="0" xfId="4" applyFont="1" applyFill="1" applyBorder="1" applyAlignment="1">
      <alignment horizontal="left" vertical="center"/>
    </xf>
    <xf numFmtId="0" fontId="20" fillId="5" borderId="4" xfId="4" applyFont="1" applyFill="1" applyBorder="1" applyAlignment="1">
      <alignment horizontal="center"/>
    </xf>
    <xf numFmtId="0" fontId="20" fillId="5" borderId="2" xfId="4" applyFont="1" applyFill="1" applyBorder="1" applyAlignment="1">
      <alignment horizontal="center"/>
    </xf>
    <xf numFmtId="0" fontId="20" fillId="5" borderId="3" xfId="4" applyFont="1" applyFill="1" applyBorder="1" applyAlignment="1">
      <alignment horizontal="center"/>
    </xf>
    <xf numFmtId="0" fontId="20" fillId="5" borderId="4" xfId="4" applyFont="1" applyFill="1" applyBorder="1" applyAlignment="1">
      <alignment horizontal="center" vertical="center"/>
    </xf>
    <xf numFmtId="0" fontId="20" fillId="5" borderId="2" xfId="4" applyFont="1" applyFill="1" applyBorder="1" applyAlignment="1">
      <alignment horizontal="center" vertical="center"/>
    </xf>
    <xf numFmtId="0" fontId="20" fillId="5" borderId="3" xfId="4" applyFont="1" applyFill="1" applyBorder="1" applyAlignment="1">
      <alignment horizontal="center" vertical="center"/>
    </xf>
    <xf numFmtId="1" fontId="21" fillId="0" borderId="4" xfId="4" applyNumberFormat="1" applyFont="1" applyBorder="1" applyAlignment="1">
      <alignment horizontal="center" vertical="center"/>
    </xf>
    <xf numFmtId="1" fontId="20" fillId="0" borderId="2" xfId="4" applyNumberFormat="1" applyFont="1" applyBorder="1" applyAlignment="1">
      <alignment horizontal="center" vertical="center"/>
    </xf>
    <xf numFmtId="1" fontId="21" fillId="0" borderId="2" xfId="4" applyNumberFormat="1" applyFont="1" applyFill="1" applyBorder="1" applyAlignment="1">
      <alignment horizontal="center" vertical="center"/>
    </xf>
    <xf numFmtId="1" fontId="20" fillId="0" borderId="2" xfId="4" applyNumberFormat="1" applyFont="1" applyFill="1" applyBorder="1" applyAlignment="1">
      <alignment horizontal="center" vertical="center"/>
    </xf>
    <xf numFmtId="1" fontId="21" fillId="0" borderId="3" xfId="4" applyNumberFormat="1" applyFont="1" applyFill="1" applyBorder="1" applyAlignment="1">
      <alignment horizontal="center" vertical="center"/>
    </xf>
    <xf numFmtId="1" fontId="20" fillId="0" borderId="2" xfId="3" applyNumberFormat="1" applyFont="1" applyBorder="1" applyAlignment="1">
      <alignment horizontal="center"/>
    </xf>
    <xf numFmtId="1" fontId="21" fillId="2" borderId="4" xfId="7" applyNumberFormat="1" applyFont="1" applyFill="1" applyBorder="1" applyAlignment="1">
      <alignment horizontal="center" vertical="center" readingOrder="1"/>
    </xf>
    <xf numFmtId="1" fontId="21" fillId="2" borderId="4" xfId="6" applyNumberFormat="1" applyFont="1" applyFill="1" applyBorder="1" applyAlignment="1">
      <alignment horizontal="center" vertical="center" readingOrder="1"/>
    </xf>
    <xf numFmtId="1" fontId="21" fillId="2" borderId="2" xfId="7" applyNumberFormat="1" applyFont="1" applyFill="1" applyBorder="1" applyAlignment="1">
      <alignment horizontal="center" vertical="center" readingOrder="1"/>
    </xf>
    <xf numFmtId="1" fontId="21" fillId="2" borderId="2" xfId="6" applyNumberFormat="1" applyFont="1" applyFill="1" applyBorder="1" applyAlignment="1">
      <alignment horizontal="center" vertical="center" readingOrder="1"/>
    </xf>
    <xf numFmtId="1" fontId="30" fillId="2" borderId="2" xfId="7" applyNumberFormat="1" applyFont="1" applyFill="1" applyBorder="1" applyAlignment="1">
      <alignment horizontal="center" vertical="center" readingOrder="1"/>
    </xf>
    <xf numFmtId="1" fontId="20" fillId="2" borderId="2" xfId="7" applyNumberFormat="1" applyFont="1" applyFill="1" applyBorder="1" applyAlignment="1">
      <alignment horizontal="center" vertical="center" readingOrder="1"/>
    </xf>
    <xf numFmtId="1" fontId="20" fillId="2" borderId="2" xfId="6" applyNumberFormat="1" applyFont="1" applyFill="1" applyBorder="1" applyAlignment="1">
      <alignment horizontal="center" vertical="center" readingOrder="1"/>
    </xf>
    <xf numFmtId="1" fontId="32" fillId="2" borderId="2" xfId="7" applyNumberFormat="1" applyFont="1" applyFill="1" applyBorder="1" applyAlignment="1">
      <alignment horizontal="center" vertical="center" readingOrder="1"/>
    </xf>
    <xf numFmtId="1" fontId="32" fillId="0" borderId="2" xfId="7" applyNumberFormat="1" applyFont="1" applyBorder="1" applyAlignment="1">
      <alignment horizontal="center" vertical="center" readingOrder="1"/>
    </xf>
    <xf numFmtId="1" fontId="21" fillId="0" borderId="2" xfId="7" applyNumberFormat="1" applyFont="1" applyBorder="1" applyAlignment="1">
      <alignment horizontal="center" vertical="center" readingOrder="1"/>
    </xf>
    <xf numFmtId="1" fontId="30" fillId="0" borderId="2" xfId="7" applyNumberFormat="1" applyFont="1" applyBorder="1" applyAlignment="1">
      <alignment horizontal="center" vertical="center" readingOrder="1"/>
    </xf>
    <xf numFmtId="1" fontId="20" fillId="0" borderId="2" xfId="7" applyNumberFormat="1" applyFont="1" applyBorder="1" applyAlignment="1">
      <alignment horizontal="center" vertical="center" readingOrder="1"/>
    </xf>
    <xf numFmtId="1" fontId="32" fillId="0" borderId="3" xfId="7" applyNumberFormat="1" applyFont="1" applyBorder="1" applyAlignment="1">
      <alignment horizontal="center" vertical="center" readingOrder="1"/>
    </xf>
    <xf numFmtId="1" fontId="21" fillId="0" borderId="3" xfId="7" applyNumberFormat="1" applyFont="1" applyBorder="1" applyAlignment="1">
      <alignment horizontal="center" vertical="center" readingOrder="1"/>
    </xf>
    <xf numFmtId="1" fontId="21" fillId="0" borderId="2" xfId="4" applyNumberFormat="1" applyFont="1" applyBorder="1" applyAlignment="1">
      <alignment horizontal="center" vertical="center" wrapText="1"/>
    </xf>
    <xf numFmtId="1" fontId="24" fillId="0" borderId="7" xfId="4" applyNumberFormat="1" applyFont="1" applyFill="1" applyBorder="1" applyAlignment="1">
      <alignment horizontal="center" vertical="center"/>
    </xf>
    <xf numFmtId="1" fontId="21" fillId="0" borderId="5" xfId="5" applyNumberFormat="1" applyFont="1" applyFill="1" applyBorder="1" applyAlignment="1">
      <alignment horizontal="center" vertical="center" readingOrder="1"/>
    </xf>
    <xf numFmtId="1" fontId="24" fillId="0" borderId="8" xfId="4" applyNumberFormat="1" applyFont="1" applyFill="1" applyBorder="1" applyAlignment="1">
      <alignment horizontal="center" vertical="center"/>
    </xf>
    <xf numFmtId="1" fontId="21" fillId="0" borderId="6" xfId="5" applyNumberFormat="1" applyFont="1" applyFill="1" applyBorder="1" applyAlignment="1">
      <alignment horizontal="center" vertical="center" readingOrder="1"/>
    </xf>
    <xf numFmtId="1" fontId="21" fillId="0" borderId="0" xfId="0" applyNumberFormat="1" applyFont="1" applyFill="1" applyAlignment="1">
      <alignment horizontal="center" vertical="center" wrapText="1" readingOrder="1"/>
    </xf>
    <xf numFmtId="1" fontId="25" fillId="0" borderId="8" xfId="4" applyNumberFormat="1" applyFont="1" applyFill="1" applyBorder="1" applyAlignment="1">
      <alignment horizontal="center" vertical="center"/>
    </xf>
    <xf numFmtId="1" fontId="30" fillId="0" borderId="6" xfId="4" applyNumberFormat="1" applyFont="1" applyFill="1" applyBorder="1" applyAlignment="1">
      <alignment horizontal="center" vertical="center" readingOrder="1"/>
    </xf>
    <xf numFmtId="1" fontId="24" fillId="0" borderId="9" xfId="4" applyNumberFormat="1" applyFont="1" applyFill="1" applyBorder="1" applyAlignment="1">
      <alignment horizontal="center" vertical="center"/>
    </xf>
    <xf numFmtId="1" fontId="26" fillId="0" borderId="4" xfId="4" applyNumberFormat="1" applyFont="1" applyFill="1" applyBorder="1" applyAlignment="1">
      <alignment horizontal="center" vertical="center"/>
    </xf>
    <xf numFmtId="1" fontId="27" fillId="0" borderId="7" xfId="4" applyNumberFormat="1" applyFont="1" applyFill="1" applyBorder="1" applyAlignment="1">
      <alignment horizontal="center" vertical="center"/>
    </xf>
    <xf numFmtId="1" fontId="26" fillId="0" borderId="4" xfId="5" applyNumberFormat="1" applyFont="1" applyFill="1" applyBorder="1" applyAlignment="1">
      <alignment horizontal="center" vertical="center" readingOrder="1"/>
    </xf>
    <xf numFmtId="1" fontId="26" fillId="0" borderId="2" xfId="4" applyNumberFormat="1" applyFont="1" applyFill="1" applyBorder="1" applyAlignment="1">
      <alignment horizontal="center" vertical="center"/>
    </xf>
    <xf numFmtId="1" fontId="27" fillId="0" borderId="8" xfId="4" applyNumberFormat="1" applyFont="1" applyFill="1" applyBorder="1" applyAlignment="1">
      <alignment horizontal="center" vertical="center"/>
    </xf>
    <xf numFmtId="1" fontId="26" fillId="0" borderId="2" xfId="5" applyNumberFormat="1" applyFont="1" applyFill="1" applyBorder="1" applyAlignment="1">
      <alignment horizontal="center" vertical="center" readingOrder="1"/>
    </xf>
    <xf numFmtId="1" fontId="28" fillId="0" borderId="2" xfId="4" applyNumberFormat="1" applyFont="1" applyFill="1" applyBorder="1" applyAlignment="1">
      <alignment horizontal="center" vertical="center"/>
    </xf>
    <xf numFmtId="1" fontId="29" fillId="0" borderId="8" xfId="4" applyNumberFormat="1" applyFont="1" applyFill="1" applyBorder="1" applyAlignment="1">
      <alignment horizontal="center" vertical="center"/>
    </xf>
    <xf numFmtId="1" fontId="26" fillId="0" borderId="2" xfId="0" applyNumberFormat="1" applyFont="1" applyFill="1" applyBorder="1" applyAlignment="1">
      <alignment horizontal="center" vertical="center" readingOrder="2"/>
    </xf>
    <xf numFmtId="1" fontId="26" fillId="0" borderId="3" xfId="4" applyNumberFormat="1" applyFont="1" applyFill="1" applyBorder="1" applyAlignment="1">
      <alignment horizontal="center" vertical="center"/>
    </xf>
    <xf numFmtId="1" fontId="27" fillId="0" borderId="9" xfId="4" applyNumberFormat="1" applyFont="1" applyFill="1" applyBorder="1" applyAlignment="1">
      <alignment horizontal="center" vertical="center"/>
    </xf>
  </cellXfs>
  <cellStyles count="16">
    <cellStyle name="MS_Arabic" xfId="1" xr:uid="{00000000-0005-0000-0000-000000000000}"/>
    <cellStyle name="Normal" xfId="0" builtinId="0"/>
    <cellStyle name="Normal 2" xfId="2" xr:uid="{00000000-0005-0000-0000-000002000000}"/>
    <cellStyle name="Normal_wafaa file_12_22-24_26-34" xfId="3" xr:uid="{00000000-0005-0000-0000-000003000000}"/>
    <cellStyle name="Normal_wafaa file_12_22-24_26-34 2" xfId="4" xr:uid="{00000000-0005-0000-0000-000004000000}"/>
    <cellStyle name="Normal_التقرير السنوى عربى  2005" xfId="5" xr:uid="{00000000-0005-0000-0000-000005000000}"/>
    <cellStyle name="Normal_العدد الرابع محلى2004" xfId="6" xr:uid="{00000000-0005-0000-0000-000006000000}"/>
    <cellStyle name="Normal_ملحق العدد الثالث" xfId="7" xr:uid="{00000000-0005-0000-0000-000007000000}"/>
    <cellStyle name="Spelling 1033,0" xfId="8" xr:uid="{00000000-0005-0000-0000-000008000000}"/>
    <cellStyle name="ارتباط تشعبي متبع_قطاعات" xfId="9" xr:uid="{00000000-0005-0000-0000-000009000000}"/>
    <cellStyle name="ارتباط تشعبي_a" xfId="10" xr:uid="{00000000-0005-0000-0000-00000A000000}"/>
    <cellStyle name="عادي_2002 2003 الرابع" xfId="11" xr:uid="{00000000-0005-0000-0000-00000B000000}"/>
    <cellStyle name="عملة [0]_2002 2003 الرابع" xfId="12" xr:uid="{00000000-0005-0000-0000-00000C000000}"/>
    <cellStyle name="عملة_2002 2003 الرابع" xfId="13" xr:uid="{00000000-0005-0000-0000-00000D000000}"/>
    <cellStyle name="فاصلة [0]_2002 2003 الرابع" xfId="14" xr:uid="{00000000-0005-0000-0000-00000E000000}"/>
    <cellStyle name="فاصلة_2002 2003 الرابع" xfId="15" xr:uid="{00000000-0005-0000-0000-00000F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302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2" customWidth="1"/>
    <col min="2" max="2" width="62.5546875" style="7" customWidth="1"/>
    <col min="3" max="10" width="24.5546875" style="3" customWidth="1"/>
    <col min="11" max="16384" width="9.109375" style="2"/>
  </cols>
  <sheetData>
    <row r="1" spans="1:15" ht="58.35" customHeight="1" x14ac:dyDescent="0.3">
      <c r="A1" s="257" t="s">
        <v>93</v>
      </c>
      <c r="B1" s="258" t="s">
        <v>94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5" s="33" customFormat="1" ht="37.35" customHeight="1" x14ac:dyDescent="0.3">
      <c r="A2" s="2"/>
      <c r="B2" s="112"/>
      <c r="C2" s="340"/>
      <c r="D2" s="340"/>
      <c r="E2" s="38"/>
      <c r="F2" s="47"/>
      <c r="G2" s="340"/>
      <c r="H2" s="340"/>
      <c r="I2" s="3"/>
      <c r="J2" s="259" t="s">
        <v>55</v>
      </c>
      <c r="K2" s="4"/>
      <c r="L2" s="4"/>
      <c r="M2" s="4"/>
      <c r="N2" s="4"/>
    </row>
    <row r="3" spans="1:15" s="45" customFormat="1" ht="15" customHeight="1" x14ac:dyDescent="0.4">
      <c r="A3" s="215"/>
      <c r="B3" s="338" t="s">
        <v>1</v>
      </c>
      <c r="C3" s="330" t="s">
        <v>33</v>
      </c>
      <c r="D3" s="331"/>
      <c r="E3" s="331"/>
      <c r="F3" s="331"/>
      <c r="G3" s="331"/>
      <c r="H3" s="331"/>
      <c r="I3" s="331"/>
      <c r="J3" s="332"/>
    </row>
    <row r="4" spans="1:15" s="45" customFormat="1" ht="15" customHeight="1" x14ac:dyDescent="0.4">
      <c r="A4" s="216"/>
      <c r="B4" s="339"/>
      <c r="C4" s="333"/>
      <c r="D4" s="334"/>
      <c r="E4" s="334"/>
      <c r="F4" s="334"/>
      <c r="G4" s="334"/>
      <c r="H4" s="334"/>
      <c r="I4" s="334"/>
      <c r="J4" s="335"/>
    </row>
    <row r="5" spans="1:15" s="45" customFormat="1" ht="15" customHeight="1" x14ac:dyDescent="0.4">
      <c r="A5" s="216"/>
      <c r="B5" s="217"/>
      <c r="C5" s="341" t="s">
        <v>3</v>
      </c>
      <c r="D5" s="341"/>
      <c r="E5" s="341" t="s">
        <v>5</v>
      </c>
      <c r="F5" s="341"/>
      <c r="G5" s="336" t="s">
        <v>6</v>
      </c>
      <c r="H5" s="336"/>
      <c r="I5" s="336" t="s">
        <v>7</v>
      </c>
      <c r="J5" s="336"/>
    </row>
    <row r="6" spans="1:15" s="46" customFormat="1" ht="29.1" customHeight="1" x14ac:dyDescent="0.4">
      <c r="A6" s="216"/>
      <c r="B6" s="217"/>
      <c r="C6" s="337"/>
      <c r="D6" s="337"/>
      <c r="E6" s="337"/>
      <c r="F6" s="337"/>
      <c r="G6" s="337"/>
      <c r="H6" s="337"/>
      <c r="I6" s="337"/>
      <c r="J6" s="337"/>
      <c r="K6" s="45"/>
      <c r="L6" s="45"/>
      <c r="M6" s="45"/>
      <c r="N6" s="45"/>
    </row>
    <row r="7" spans="1:15" s="36" customFormat="1" ht="78.599999999999994" customHeight="1" x14ac:dyDescent="0.4">
      <c r="A7" s="218"/>
      <c r="B7" s="219"/>
      <c r="C7" s="213" t="s">
        <v>2</v>
      </c>
      <c r="D7" s="220" t="s">
        <v>75</v>
      </c>
      <c r="E7" s="213" t="s">
        <v>2</v>
      </c>
      <c r="F7" s="220" t="s">
        <v>75</v>
      </c>
      <c r="G7" s="213" t="s">
        <v>2</v>
      </c>
      <c r="H7" s="220" t="s">
        <v>75</v>
      </c>
      <c r="I7" s="213" t="s">
        <v>2</v>
      </c>
      <c r="J7" s="220" t="s">
        <v>75</v>
      </c>
      <c r="K7" s="46"/>
      <c r="L7" s="46"/>
      <c r="M7" s="46"/>
      <c r="N7" s="46"/>
      <c r="O7" s="35"/>
    </row>
    <row r="8" spans="1:15" s="36" customFormat="1" ht="50.1" customHeight="1" x14ac:dyDescent="0.3">
      <c r="A8" s="162" t="s">
        <v>34</v>
      </c>
      <c r="B8" s="163" t="s">
        <v>11</v>
      </c>
      <c r="C8" s="221">
        <v>40282</v>
      </c>
      <c r="D8" s="221">
        <v>45046</v>
      </c>
      <c r="E8" s="221">
        <v>76587</v>
      </c>
      <c r="F8" s="221">
        <v>87791</v>
      </c>
      <c r="G8" s="221">
        <v>105307</v>
      </c>
      <c r="H8" s="221">
        <v>122842</v>
      </c>
      <c r="I8" s="221">
        <v>180215</v>
      </c>
      <c r="J8" s="221">
        <v>205654</v>
      </c>
      <c r="K8" s="35"/>
      <c r="L8" s="35"/>
      <c r="M8" s="35"/>
      <c r="N8" s="35"/>
      <c r="O8" s="35"/>
    </row>
    <row r="9" spans="1:15" s="36" customFormat="1" ht="50.1" customHeight="1" x14ac:dyDescent="0.3">
      <c r="A9" s="164" t="s">
        <v>35</v>
      </c>
      <c r="B9" s="165" t="s">
        <v>12</v>
      </c>
      <c r="C9" s="222">
        <v>17124</v>
      </c>
      <c r="D9" s="222">
        <v>17124</v>
      </c>
      <c r="E9" s="222">
        <v>43406</v>
      </c>
      <c r="F9" s="222">
        <v>43406</v>
      </c>
      <c r="G9" s="222">
        <v>64285</v>
      </c>
      <c r="H9" s="222">
        <v>64285</v>
      </c>
      <c r="I9" s="222">
        <v>114326</v>
      </c>
      <c r="J9" s="222">
        <v>114326</v>
      </c>
      <c r="K9" s="35"/>
      <c r="L9" s="35"/>
      <c r="M9" s="35"/>
      <c r="N9" s="35"/>
      <c r="O9" s="35"/>
    </row>
    <row r="10" spans="1:15" ht="50.1" customHeight="1" x14ac:dyDescent="0.3">
      <c r="A10" s="166" t="s">
        <v>36</v>
      </c>
      <c r="B10" s="167" t="s">
        <v>82</v>
      </c>
      <c r="C10" s="222">
        <v>7072</v>
      </c>
      <c r="D10" s="222">
        <v>7072</v>
      </c>
      <c r="E10" s="222">
        <v>21373</v>
      </c>
      <c r="F10" s="222">
        <v>21373</v>
      </c>
      <c r="G10" s="222">
        <v>27509</v>
      </c>
      <c r="H10" s="222">
        <v>27509</v>
      </c>
      <c r="I10" s="222">
        <v>58535</v>
      </c>
      <c r="J10" s="222">
        <v>58535</v>
      </c>
      <c r="K10" s="35"/>
      <c r="L10" s="35"/>
      <c r="M10" s="35"/>
      <c r="N10" s="35"/>
      <c r="O10" s="37"/>
    </row>
    <row r="11" spans="1:15" ht="50.1" customHeight="1" x14ac:dyDescent="0.3">
      <c r="A11" s="168" t="s">
        <v>37</v>
      </c>
      <c r="B11" s="169" t="s">
        <v>13</v>
      </c>
      <c r="C11" s="223">
        <v>0</v>
      </c>
      <c r="D11" s="223">
        <v>0</v>
      </c>
      <c r="E11" s="223">
        <v>7488</v>
      </c>
      <c r="F11" s="223">
        <v>7488</v>
      </c>
      <c r="G11" s="223">
        <v>7490</v>
      </c>
      <c r="H11" s="223">
        <v>7490</v>
      </c>
      <c r="I11" s="223">
        <v>25380</v>
      </c>
      <c r="J11" s="223">
        <v>25380</v>
      </c>
      <c r="K11" s="37"/>
      <c r="L11" s="37"/>
      <c r="M11" s="37"/>
      <c r="N11" s="37"/>
      <c r="O11" s="37"/>
    </row>
    <row r="12" spans="1:15" ht="50.1" customHeight="1" x14ac:dyDescent="0.3">
      <c r="A12" s="168" t="s">
        <v>38</v>
      </c>
      <c r="B12" s="169" t="s">
        <v>14</v>
      </c>
      <c r="C12" s="223">
        <v>1740</v>
      </c>
      <c r="D12" s="223">
        <v>1740</v>
      </c>
      <c r="E12" s="223">
        <v>4280</v>
      </c>
      <c r="F12" s="223">
        <v>4280</v>
      </c>
      <c r="G12" s="223">
        <v>6720</v>
      </c>
      <c r="H12" s="223">
        <v>6720</v>
      </c>
      <c r="I12" s="223">
        <v>9144</v>
      </c>
      <c r="J12" s="223">
        <v>9144</v>
      </c>
      <c r="K12" s="37"/>
      <c r="L12" s="37"/>
      <c r="M12" s="37"/>
      <c r="N12" s="37"/>
      <c r="O12" s="37"/>
    </row>
    <row r="13" spans="1:15" ht="50.1" customHeight="1" x14ac:dyDescent="0.3">
      <c r="A13" s="168" t="s">
        <v>39</v>
      </c>
      <c r="B13" s="169" t="s">
        <v>15</v>
      </c>
      <c r="C13" s="223">
        <v>0</v>
      </c>
      <c r="D13" s="223">
        <v>0</v>
      </c>
      <c r="E13" s="223">
        <v>0</v>
      </c>
      <c r="F13" s="223">
        <v>0</v>
      </c>
      <c r="G13" s="223">
        <v>0</v>
      </c>
      <c r="H13" s="223">
        <v>0</v>
      </c>
      <c r="I13" s="223">
        <v>0</v>
      </c>
      <c r="J13" s="223">
        <v>0</v>
      </c>
      <c r="K13" s="37"/>
      <c r="L13" s="37"/>
      <c r="M13" s="37"/>
      <c r="N13" s="37"/>
      <c r="O13" s="37"/>
    </row>
    <row r="14" spans="1:15" ht="50.1" customHeight="1" x14ac:dyDescent="0.3">
      <c r="A14" s="168" t="s">
        <v>40</v>
      </c>
      <c r="B14" s="169" t="s">
        <v>16</v>
      </c>
      <c r="C14" s="223">
        <v>3885</v>
      </c>
      <c r="D14" s="223">
        <v>3885</v>
      </c>
      <c r="E14" s="223">
        <v>6260</v>
      </c>
      <c r="F14" s="223">
        <v>6260</v>
      </c>
      <c r="G14" s="223">
        <v>7061</v>
      </c>
      <c r="H14" s="223">
        <v>7061</v>
      </c>
      <c r="I14" s="223">
        <v>14291</v>
      </c>
      <c r="J14" s="223">
        <v>14291</v>
      </c>
      <c r="K14" s="37"/>
      <c r="L14" s="37"/>
      <c r="M14" s="37"/>
      <c r="N14" s="37"/>
      <c r="O14" s="37"/>
    </row>
    <row r="15" spans="1:15" s="36" customFormat="1" ht="50.1" customHeight="1" x14ac:dyDescent="0.3">
      <c r="A15" s="168" t="s">
        <v>63</v>
      </c>
      <c r="B15" s="169" t="s">
        <v>17</v>
      </c>
      <c r="C15" s="223">
        <v>1447</v>
      </c>
      <c r="D15" s="223">
        <v>1447</v>
      </c>
      <c r="E15" s="223">
        <v>3345</v>
      </c>
      <c r="F15" s="223">
        <v>3345</v>
      </c>
      <c r="G15" s="223">
        <v>6238</v>
      </c>
      <c r="H15" s="223">
        <v>6238</v>
      </c>
      <c r="I15" s="223">
        <v>9720</v>
      </c>
      <c r="J15" s="223">
        <v>9720</v>
      </c>
      <c r="K15" s="37"/>
      <c r="L15" s="37"/>
      <c r="M15" s="37"/>
      <c r="N15" s="37"/>
      <c r="O15" s="35"/>
    </row>
    <row r="16" spans="1:15" s="36" customFormat="1" ht="50.1" customHeight="1" x14ac:dyDescent="0.3">
      <c r="A16" s="166" t="s">
        <v>41</v>
      </c>
      <c r="B16" s="167" t="s">
        <v>18</v>
      </c>
      <c r="C16" s="222">
        <v>419</v>
      </c>
      <c r="D16" s="222">
        <v>419</v>
      </c>
      <c r="E16" s="222">
        <v>620</v>
      </c>
      <c r="F16" s="222">
        <v>620</v>
      </c>
      <c r="G16" s="222">
        <v>1287</v>
      </c>
      <c r="H16" s="222">
        <v>1287</v>
      </c>
      <c r="I16" s="222">
        <v>1788</v>
      </c>
      <c r="J16" s="222">
        <v>1788</v>
      </c>
      <c r="K16" s="35"/>
      <c r="L16" s="35"/>
      <c r="M16" s="35"/>
      <c r="N16" s="35"/>
      <c r="O16" s="35"/>
    </row>
    <row r="17" spans="1:15" s="36" customFormat="1" ht="50.1" customHeight="1" x14ac:dyDescent="0.3">
      <c r="A17" s="166" t="s">
        <v>42</v>
      </c>
      <c r="B17" s="167" t="s">
        <v>19</v>
      </c>
      <c r="C17" s="222">
        <v>6766</v>
      </c>
      <c r="D17" s="222">
        <v>6766</v>
      </c>
      <c r="E17" s="222">
        <v>16046</v>
      </c>
      <c r="F17" s="222">
        <v>16046</v>
      </c>
      <c r="G17" s="222">
        <v>25746</v>
      </c>
      <c r="H17" s="222">
        <v>25746</v>
      </c>
      <c r="I17" s="222">
        <v>39436</v>
      </c>
      <c r="J17" s="222">
        <v>39436</v>
      </c>
      <c r="K17" s="35"/>
      <c r="L17" s="35"/>
      <c r="M17" s="35"/>
      <c r="N17" s="35"/>
      <c r="O17" s="35"/>
    </row>
    <row r="18" spans="1:15" s="36" customFormat="1" ht="50.1" customHeight="1" x14ac:dyDescent="0.3">
      <c r="A18" s="166" t="s">
        <v>43</v>
      </c>
      <c r="B18" s="167" t="s">
        <v>20</v>
      </c>
      <c r="C18" s="222">
        <v>2492</v>
      </c>
      <c r="D18" s="222">
        <v>2492</v>
      </c>
      <c r="E18" s="222">
        <v>4881</v>
      </c>
      <c r="F18" s="222">
        <v>4881</v>
      </c>
      <c r="G18" s="222">
        <v>7340</v>
      </c>
      <c r="H18" s="222">
        <v>7340</v>
      </c>
      <c r="I18" s="222">
        <v>10369</v>
      </c>
      <c r="J18" s="222">
        <v>10369</v>
      </c>
      <c r="K18" s="35"/>
      <c r="L18" s="35"/>
      <c r="M18" s="35"/>
      <c r="N18" s="35"/>
      <c r="O18" s="35"/>
    </row>
    <row r="19" spans="1:15" s="36" customFormat="1" ht="50.1" customHeight="1" x14ac:dyDescent="0.3">
      <c r="A19" s="166" t="s">
        <v>44</v>
      </c>
      <c r="B19" s="167" t="s">
        <v>21</v>
      </c>
      <c r="C19" s="222">
        <v>375</v>
      </c>
      <c r="D19" s="222">
        <v>375</v>
      </c>
      <c r="E19" s="222">
        <v>486</v>
      </c>
      <c r="F19" s="222">
        <v>486</v>
      </c>
      <c r="G19" s="222">
        <v>2403</v>
      </c>
      <c r="H19" s="222">
        <v>2403</v>
      </c>
      <c r="I19" s="222">
        <v>4198</v>
      </c>
      <c r="J19" s="222">
        <v>4198</v>
      </c>
      <c r="K19" s="35"/>
      <c r="L19" s="35"/>
      <c r="M19" s="35"/>
      <c r="N19" s="35"/>
      <c r="O19" s="35"/>
    </row>
    <row r="20" spans="1:15" s="38" customFormat="1" ht="50.1" customHeight="1" x14ac:dyDescent="0.3">
      <c r="A20" s="170" t="s">
        <v>45</v>
      </c>
      <c r="B20" s="165" t="s">
        <v>22</v>
      </c>
      <c r="C20" s="222">
        <v>13</v>
      </c>
      <c r="D20" s="222">
        <v>13</v>
      </c>
      <c r="E20" s="222">
        <v>321</v>
      </c>
      <c r="F20" s="222">
        <v>321</v>
      </c>
      <c r="G20" s="222">
        <v>2169</v>
      </c>
      <c r="H20" s="222">
        <v>2169</v>
      </c>
      <c r="I20" s="222">
        <v>3886</v>
      </c>
      <c r="J20" s="222">
        <v>3886</v>
      </c>
      <c r="K20" s="35"/>
      <c r="L20" s="35"/>
      <c r="M20" s="35"/>
      <c r="N20" s="35"/>
    </row>
    <row r="21" spans="1:15" s="38" customFormat="1" ht="50.1" customHeight="1" x14ac:dyDescent="0.25">
      <c r="A21" s="171" t="s">
        <v>46</v>
      </c>
      <c r="B21" s="172" t="s">
        <v>23</v>
      </c>
      <c r="C21" s="253">
        <v>9</v>
      </c>
      <c r="D21" s="253">
        <v>9</v>
      </c>
      <c r="E21" s="253">
        <v>190</v>
      </c>
      <c r="F21" s="253">
        <v>190</v>
      </c>
      <c r="G21" s="253">
        <v>1943</v>
      </c>
      <c r="H21" s="253">
        <v>1943</v>
      </c>
      <c r="I21" s="253">
        <v>2085</v>
      </c>
      <c r="J21" s="253">
        <v>2085</v>
      </c>
    </row>
    <row r="22" spans="1:15" s="36" customFormat="1" ht="50.1" customHeight="1" x14ac:dyDescent="0.3">
      <c r="A22" s="171" t="s">
        <v>47</v>
      </c>
      <c r="B22" s="172" t="s">
        <v>24</v>
      </c>
      <c r="C22" s="253">
        <v>4</v>
      </c>
      <c r="D22" s="253">
        <v>4</v>
      </c>
      <c r="E22" s="253">
        <v>131</v>
      </c>
      <c r="F22" s="253">
        <v>131</v>
      </c>
      <c r="G22" s="253">
        <v>226</v>
      </c>
      <c r="H22" s="253">
        <v>226</v>
      </c>
      <c r="I22" s="253">
        <v>1801</v>
      </c>
      <c r="J22" s="253">
        <v>1801</v>
      </c>
      <c r="K22" s="38"/>
      <c r="L22" s="38"/>
      <c r="M22" s="38"/>
      <c r="N22" s="38"/>
      <c r="O22" s="35"/>
    </row>
    <row r="23" spans="1:15" s="36" customFormat="1" ht="50.1" customHeight="1" x14ac:dyDescent="0.3">
      <c r="A23" s="164" t="s">
        <v>48</v>
      </c>
      <c r="B23" s="165" t="s">
        <v>25</v>
      </c>
      <c r="C23" s="222">
        <v>23145</v>
      </c>
      <c r="D23" s="222">
        <v>27909</v>
      </c>
      <c r="E23" s="222">
        <v>32860</v>
      </c>
      <c r="F23" s="222">
        <v>44064</v>
      </c>
      <c r="G23" s="222">
        <v>38853</v>
      </c>
      <c r="H23" s="222">
        <v>56388</v>
      </c>
      <c r="I23" s="222">
        <v>62003</v>
      </c>
      <c r="J23" s="222">
        <v>87442</v>
      </c>
      <c r="K23" s="35"/>
      <c r="L23" s="35"/>
      <c r="M23" s="35"/>
      <c r="N23" s="35"/>
      <c r="O23" s="35"/>
    </row>
    <row r="24" spans="1:15" ht="50.1" customHeight="1" x14ac:dyDescent="0.3">
      <c r="A24" s="166" t="s">
        <v>100</v>
      </c>
      <c r="B24" s="167" t="s">
        <v>26</v>
      </c>
      <c r="C24" s="222">
        <v>19875</v>
      </c>
      <c r="D24" s="222">
        <v>20206</v>
      </c>
      <c r="E24" s="222">
        <v>27684</v>
      </c>
      <c r="F24" s="222">
        <v>29673</v>
      </c>
      <c r="G24" s="222">
        <v>31125</v>
      </c>
      <c r="H24" s="222">
        <v>34836</v>
      </c>
      <c r="I24" s="222">
        <v>45111</v>
      </c>
      <c r="J24" s="222">
        <v>50593</v>
      </c>
      <c r="K24" s="35"/>
      <c r="L24" s="35"/>
      <c r="M24" s="35"/>
      <c r="N24" s="35"/>
      <c r="O24" s="37"/>
    </row>
    <row r="25" spans="1:15" ht="50.1" customHeight="1" x14ac:dyDescent="0.3">
      <c r="A25" s="168" t="s">
        <v>37</v>
      </c>
      <c r="B25" s="169" t="s">
        <v>13</v>
      </c>
      <c r="C25" s="223">
        <v>0</v>
      </c>
      <c r="D25" s="223">
        <v>0</v>
      </c>
      <c r="E25" s="223">
        <v>3000</v>
      </c>
      <c r="F25" s="223">
        <v>3000</v>
      </c>
      <c r="G25" s="223">
        <v>3000</v>
      </c>
      <c r="H25" s="223">
        <v>3000</v>
      </c>
      <c r="I25" s="223">
        <v>11014</v>
      </c>
      <c r="J25" s="223">
        <v>11014</v>
      </c>
      <c r="K25" s="37"/>
      <c r="L25" s="37"/>
      <c r="M25" s="37"/>
      <c r="N25" s="37"/>
      <c r="O25" s="37"/>
    </row>
    <row r="26" spans="1:15" s="40" customFormat="1" ht="50.1" customHeight="1" x14ac:dyDescent="0.3">
      <c r="A26" s="168" t="s">
        <v>49</v>
      </c>
      <c r="B26" s="169" t="s">
        <v>14</v>
      </c>
      <c r="C26" s="223">
        <v>3020</v>
      </c>
      <c r="D26" s="223">
        <v>3020</v>
      </c>
      <c r="E26" s="223">
        <v>5940</v>
      </c>
      <c r="F26" s="223">
        <v>5940</v>
      </c>
      <c r="G26" s="223">
        <v>8760</v>
      </c>
      <c r="H26" s="223">
        <v>8760</v>
      </c>
      <c r="I26" s="223">
        <v>11931</v>
      </c>
      <c r="J26" s="223">
        <v>11931</v>
      </c>
      <c r="K26" s="37"/>
      <c r="L26" s="37"/>
      <c r="M26" s="37"/>
      <c r="N26" s="37"/>
      <c r="O26" s="39"/>
    </row>
    <row r="27" spans="1:15" s="40" customFormat="1" ht="50.1" customHeight="1" x14ac:dyDescent="0.3">
      <c r="A27" s="168" t="s">
        <v>39</v>
      </c>
      <c r="B27" s="169" t="s">
        <v>15</v>
      </c>
      <c r="C27" s="223">
        <v>0</v>
      </c>
      <c r="D27" s="223">
        <v>0</v>
      </c>
      <c r="E27" s="223">
        <v>0</v>
      </c>
      <c r="F27" s="223">
        <v>0</v>
      </c>
      <c r="G27" s="223">
        <v>0</v>
      </c>
      <c r="H27" s="223">
        <v>0</v>
      </c>
      <c r="I27" s="223">
        <v>0</v>
      </c>
      <c r="J27" s="223">
        <v>0</v>
      </c>
      <c r="K27" s="39"/>
      <c r="L27" s="39"/>
      <c r="M27" s="39"/>
      <c r="N27" s="39"/>
      <c r="O27" s="39"/>
    </row>
    <row r="28" spans="1:15" ht="50.1" customHeight="1" x14ac:dyDescent="0.3">
      <c r="A28" s="168" t="s">
        <v>50</v>
      </c>
      <c r="B28" s="169" t="s">
        <v>27</v>
      </c>
      <c r="C28" s="223">
        <v>116</v>
      </c>
      <c r="D28" s="223">
        <v>116</v>
      </c>
      <c r="E28" s="223">
        <v>167</v>
      </c>
      <c r="F28" s="223">
        <v>167</v>
      </c>
      <c r="G28" s="223">
        <v>278</v>
      </c>
      <c r="H28" s="223">
        <v>278</v>
      </c>
      <c r="I28" s="223">
        <v>581</v>
      </c>
      <c r="J28" s="223">
        <v>581</v>
      </c>
      <c r="K28" s="39"/>
      <c r="L28" s="39"/>
      <c r="M28" s="39"/>
      <c r="N28" s="39"/>
      <c r="O28" s="37"/>
    </row>
    <row r="29" spans="1:15" ht="50.1" customHeight="1" x14ac:dyDescent="0.3">
      <c r="A29" s="168" t="s">
        <v>51</v>
      </c>
      <c r="B29" s="169" t="s">
        <v>28</v>
      </c>
      <c r="C29" s="223">
        <v>770</v>
      </c>
      <c r="D29" s="223">
        <v>799</v>
      </c>
      <c r="E29" s="223">
        <v>837</v>
      </c>
      <c r="F29" s="223">
        <v>912</v>
      </c>
      <c r="G29" s="223">
        <v>1134</v>
      </c>
      <c r="H29" s="223">
        <v>1237</v>
      </c>
      <c r="I29" s="223">
        <v>2222</v>
      </c>
      <c r="J29" s="223">
        <v>2378</v>
      </c>
      <c r="K29" s="37"/>
      <c r="L29" s="37"/>
      <c r="M29" s="37"/>
      <c r="N29" s="37"/>
      <c r="O29" s="37"/>
    </row>
    <row r="30" spans="1:15" s="40" customFormat="1" ht="50.1" customHeight="1" x14ac:dyDescent="0.3">
      <c r="A30" s="173" t="s">
        <v>52</v>
      </c>
      <c r="B30" s="169" t="s">
        <v>29</v>
      </c>
      <c r="C30" s="223">
        <v>15780</v>
      </c>
      <c r="D30" s="223">
        <v>15780</v>
      </c>
      <c r="E30" s="223">
        <v>15780</v>
      </c>
      <c r="F30" s="223">
        <v>15780</v>
      </c>
      <c r="G30" s="223">
        <v>15640</v>
      </c>
      <c r="H30" s="223">
        <v>15640</v>
      </c>
      <c r="I30" s="223">
        <v>16000</v>
      </c>
      <c r="J30" s="223">
        <v>16000</v>
      </c>
      <c r="K30" s="37"/>
      <c r="L30" s="37"/>
      <c r="M30" s="37"/>
      <c r="N30" s="37"/>
      <c r="O30" s="39"/>
    </row>
    <row r="31" spans="1:15" s="42" customFormat="1" ht="50.1" customHeight="1" x14ac:dyDescent="0.3">
      <c r="A31" s="168" t="s">
        <v>53</v>
      </c>
      <c r="B31" s="169" t="s">
        <v>0</v>
      </c>
      <c r="C31" s="223">
        <v>189</v>
      </c>
      <c r="D31" s="223">
        <v>491</v>
      </c>
      <c r="E31" s="223">
        <v>1960</v>
      </c>
      <c r="F31" s="223">
        <v>3874</v>
      </c>
      <c r="G31" s="223">
        <v>2313</v>
      </c>
      <c r="H31" s="223">
        <v>5921</v>
      </c>
      <c r="I31" s="223">
        <v>3363</v>
      </c>
      <c r="J31" s="223">
        <v>8689</v>
      </c>
      <c r="K31" s="39"/>
      <c r="L31" s="39"/>
      <c r="M31" s="39"/>
      <c r="N31" s="39"/>
      <c r="O31" s="41"/>
    </row>
    <row r="32" spans="1:15" s="42" customFormat="1" ht="50.1" customHeight="1" x14ac:dyDescent="0.3">
      <c r="A32" s="175" t="s">
        <v>99</v>
      </c>
      <c r="B32" s="174" t="s">
        <v>30</v>
      </c>
      <c r="C32" s="224">
        <v>1025</v>
      </c>
      <c r="D32" s="224">
        <v>1025</v>
      </c>
      <c r="E32" s="224">
        <v>2371</v>
      </c>
      <c r="F32" s="224">
        <v>2371</v>
      </c>
      <c r="G32" s="224">
        <v>3764</v>
      </c>
      <c r="H32" s="224">
        <v>3764</v>
      </c>
      <c r="I32" s="224">
        <v>9776</v>
      </c>
      <c r="J32" s="224">
        <v>9776</v>
      </c>
      <c r="K32" s="41"/>
      <c r="L32" s="41"/>
      <c r="M32" s="41"/>
      <c r="N32" s="41"/>
      <c r="O32" s="41"/>
    </row>
    <row r="33" spans="1:15" s="42" customFormat="1" ht="50.1" customHeight="1" x14ac:dyDescent="0.3">
      <c r="A33" s="175" t="s">
        <v>54</v>
      </c>
      <c r="B33" s="174" t="s">
        <v>31</v>
      </c>
      <c r="C33" s="224">
        <v>94</v>
      </c>
      <c r="D33" s="224">
        <v>94</v>
      </c>
      <c r="E33" s="224">
        <v>215</v>
      </c>
      <c r="F33" s="224">
        <v>215</v>
      </c>
      <c r="G33" s="224">
        <v>719</v>
      </c>
      <c r="H33" s="224">
        <v>719</v>
      </c>
      <c r="I33" s="224">
        <v>4376</v>
      </c>
      <c r="J33" s="224">
        <v>4376</v>
      </c>
      <c r="K33" s="41"/>
      <c r="L33" s="41"/>
      <c r="M33" s="41"/>
      <c r="N33" s="41"/>
      <c r="O33" s="41"/>
    </row>
    <row r="34" spans="1:15" ht="50.1" customHeight="1" x14ac:dyDescent="0.3">
      <c r="A34" s="176" t="s">
        <v>53</v>
      </c>
      <c r="B34" s="177" t="s">
        <v>0</v>
      </c>
      <c r="C34" s="225">
        <v>2151</v>
      </c>
      <c r="D34" s="225">
        <v>6584</v>
      </c>
      <c r="E34" s="225">
        <v>2590</v>
      </c>
      <c r="F34" s="225">
        <v>11805</v>
      </c>
      <c r="G34" s="225">
        <v>3245</v>
      </c>
      <c r="H34" s="225">
        <v>17069</v>
      </c>
      <c r="I34" s="225">
        <v>2740</v>
      </c>
      <c r="J34" s="225">
        <v>22697</v>
      </c>
      <c r="K34" s="41"/>
      <c r="L34" s="41"/>
      <c r="M34" s="41"/>
      <c r="N34" s="41"/>
    </row>
    <row r="35" spans="1:15" ht="21.6" customHeight="1" x14ac:dyDescent="0.3">
      <c r="A35" s="110" t="s">
        <v>69</v>
      </c>
      <c r="B35" s="109" t="s">
        <v>70</v>
      </c>
      <c r="C35" s="9"/>
      <c r="D35" s="9"/>
      <c r="E35" s="9"/>
      <c r="F35" s="9"/>
      <c r="G35" s="9"/>
      <c r="H35" s="9"/>
      <c r="I35" s="9"/>
      <c r="J35" s="9"/>
      <c r="K35" s="41"/>
      <c r="L35" s="41"/>
      <c r="M35" s="41"/>
      <c r="N35" s="41"/>
    </row>
    <row r="36" spans="1:15" ht="98.1" customHeight="1" x14ac:dyDescent="0.3">
      <c r="A36" s="5" t="s">
        <v>57</v>
      </c>
      <c r="B36" s="6" t="s">
        <v>56</v>
      </c>
      <c r="C36" s="38"/>
      <c r="D36" s="38"/>
      <c r="E36" s="38"/>
      <c r="F36" s="38"/>
      <c r="G36" s="38"/>
      <c r="H36" s="38"/>
      <c r="I36" s="38"/>
      <c r="J36" s="38"/>
    </row>
    <row r="37" spans="1:15" ht="21.9" customHeight="1" x14ac:dyDescent="0.3">
      <c r="B37" s="7" t="s">
        <v>59</v>
      </c>
      <c r="C37" s="44"/>
      <c r="D37" s="44"/>
      <c r="E37" s="44"/>
      <c r="F37" s="44"/>
      <c r="G37" s="44"/>
      <c r="H37" s="44"/>
      <c r="I37" s="44"/>
      <c r="J37" s="44"/>
    </row>
    <row r="38" spans="1:15" ht="55.35" customHeight="1" x14ac:dyDescent="0.3">
      <c r="A38" s="51" t="s">
        <v>68</v>
      </c>
      <c r="B38" s="329" t="s">
        <v>78</v>
      </c>
      <c r="C38" s="329"/>
      <c r="D38" s="44"/>
      <c r="E38" s="44"/>
      <c r="F38" s="44"/>
      <c r="G38" s="44"/>
      <c r="H38" s="44"/>
      <c r="I38" s="44"/>
      <c r="J38" s="44"/>
    </row>
    <row r="39" spans="1:15" ht="21.9" customHeight="1" x14ac:dyDescent="0.3"/>
    <row r="40" spans="1:15" ht="21.9" customHeight="1" x14ac:dyDescent="0.3">
      <c r="B40" s="8"/>
      <c r="C40" s="113"/>
      <c r="D40" s="113"/>
      <c r="E40" s="113"/>
      <c r="F40" s="113"/>
      <c r="G40" s="113"/>
      <c r="H40" s="113"/>
      <c r="I40" s="113"/>
      <c r="J40" s="113"/>
    </row>
    <row r="41" spans="1:15" ht="21.9" customHeight="1" x14ac:dyDescent="0.3"/>
    <row r="42" spans="1:15" ht="21.9" customHeight="1" x14ac:dyDescent="0.3"/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9">
    <mergeCell ref="B38:C38"/>
    <mergeCell ref="C3:J4"/>
    <mergeCell ref="I5:J6"/>
    <mergeCell ref="B3:B4"/>
    <mergeCell ref="C2:D2"/>
    <mergeCell ref="G2:H2"/>
    <mergeCell ref="C5:D6"/>
    <mergeCell ref="E5:F6"/>
    <mergeCell ref="G5:H6"/>
  </mergeCells>
  <phoneticPr fontId="8" type="noConversion"/>
  <printOptions horizontalCentered="1" verticalCentered="1"/>
  <pageMargins left="0" right="0" top="0" bottom="0" header="0" footer="0"/>
  <pageSetup paperSize="9" scale="33" orientation="landscape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2" customWidth="1"/>
    <col min="2" max="2" width="62.5546875" style="7" customWidth="1"/>
    <col min="3" max="10" width="24.5546875" style="3" customWidth="1"/>
    <col min="11" max="16384" width="9.109375" style="2"/>
  </cols>
  <sheetData>
    <row r="1" spans="1:55" ht="69.75" customHeight="1" x14ac:dyDescent="0.3">
      <c r="A1" s="257" t="s">
        <v>93</v>
      </c>
      <c r="B1" s="258" t="s">
        <v>94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55" ht="38.4" customHeight="1" x14ac:dyDescent="0.3">
      <c r="B2" s="49"/>
      <c r="C2" s="344"/>
      <c r="D2" s="344"/>
      <c r="F2" s="1"/>
      <c r="G2" s="345"/>
      <c r="H2" s="345"/>
      <c r="J2" s="256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33" customFormat="1" ht="15" customHeight="1" x14ac:dyDescent="0.35">
      <c r="A3" s="226"/>
      <c r="B3" s="342" t="s">
        <v>1</v>
      </c>
      <c r="C3" s="330" t="s">
        <v>32</v>
      </c>
      <c r="D3" s="331"/>
      <c r="E3" s="331"/>
      <c r="F3" s="331"/>
      <c r="G3" s="331"/>
      <c r="H3" s="331"/>
      <c r="I3" s="331"/>
      <c r="J3" s="332"/>
    </row>
    <row r="4" spans="1:55" s="33" customFormat="1" ht="15" customHeight="1" x14ac:dyDescent="0.35">
      <c r="A4" s="227"/>
      <c r="B4" s="343"/>
      <c r="C4" s="333"/>
      <c r="D4" s="334"/>
      <c r="E4" s="334"/>
      <c r="F4" s="334"/>
      <c r="G4" s="334"/>
      <c r="H4" s="334"/>
      <c r="I4" s="334"/>
      <c r="J4" s="335"/>
    </row>
    <row r="5" spans="1:55" s="45" customFormat="1" ht="15" customHeight="1" x14ac:dyDescent="0.4">
      <c r="A5" s="228"/>
      <c r="B5" s="217"/>
      <c r="C5" s="336" t="s">
        <v>3</v>
      </c>
      <c r="D5" s="336"/>
      <c r="E5" s="336" t="s">
        <v>5</v>
      </c>
      <c r="F5" s="336"/>
      <c r="G5" s="336" t="s">
        <v>6</v>
      </c>
      <c r="H5" s="336"/>
      <c r="I5" s="336" t="s">
        <v>7</v>
      </c>
      <c r="J5" s="336"/>
    </row>
    <row r="6" spans="1:55" s="45" customFormat="1" ht="15" customHeight="1" x14ac:dyDescent="0.4">
      <c r="A6" s="228"/>
      <c r="B6" s="217"/>
      <c r="C6" s="337"/>
      <c r="D6" s="337"/>
      <c r="E6" s="337"/>
      <c r="F6" s="337"/>
      <c r="G6" s="337"/>
      <c r="H6" s="337"/>
      <c r="I6" s="337"/>
      <c r="J6" s="337"/>
    </row>
    <row r="7" spans="1:55" s="46" customFormat="1" ht="81.75" customHeight="1" x14ac:dyDescent="0.4">
      <c r="A7" s="229"/>
      <c r="B7" s="219"/>
      <c r="C7" s="213" t="s">
        <v>2</v>
      </c>
      <c r="D7" s="220" t="s">
        <v>75</v>
      </c>
      <c r="E7" s="213" t="s">
        <v>2</v>
      </c>
      <c r="F7" s="220" t="s">
        <v>75</v>
      </c>
      <c r="G7" s="213" t="s">
        <v>2</v>
      </c>
      <c r="H7" s="220" t="s">
        <v>75</v>
      </c>
      <c r="I7" s="213" t="s">
        <v>2</v>
      </c>
      <c r="J7" s="220" t="s">
        <v>75</v>
      </c>
    </row>
    <row r="8" spans="1:55" s="36" customFormat="1" ht="50.1" customHeight="1" x14ac:dyDescent="0.3">
      <c r="A8" s="162" t="s">
        <v>34</v>
      </c>
      <c r="B8" s="163" t="s">
        <v>11</v>
      </c>
      <c r="C8" s="221">
        <v>29660</v>
      </c>
      <c r="D8" s="221">
        <v>35009</v>
      </c>
      <c r="E8" s="221">
        <v>64321</v>
      </c>
      <c r="F8" s="221">
        <v>73713</v>
      </c>
      <c r="G8" s="221">
        <v>135713</v>
      </c>
      <c r="H8" s="221">
        <v>151684</v>
      </c>
      <c r="I8" s="221">
        <v>221404</v>
      </c>
      <c r="J8" s="221">
        <v>248835</v>
      </c>
      <c r="K8" s="35"/>
      <c r="L8" s="35"/>
      <c r="M8" s="35"/>
      <c r="N8" s="35"/>
      <c r="O8" s="35"/>
    </row>
    <row r="9" spans="1:55" s="36" customFormat="1" ht="50.1" customHeight="1" x14ac:dyDescent="0.3">
      <c r="A9" s="164" t="s">
        <v>35</v>
      </c>
      <c r="B9" s="165" t="s">
        <v>12</v>
      </c>
      <c r="C9" s="222">
        <v>18924</v>
      </c>
      <c r="D9" s="222">
        <v>18924</v>
      </c>
      <c r="E9" s="222">
        <v>44350</v>
      </c>
      <c r="F9" s="222">
        <v>44350</v>
      </c>
      <c r="G9" s="222">
        <v>87676</v>
      </c>
      <c r="H9" s="222">
        <v>87676</v>
      </c>
      <c r="I9" s="222">
        <v>137195</v>
      </c>
      <c r="J9" s="222">
        <v>137195</v>
      </c>
      <c r="K9" s="35"/>
      <c r="L9" s="35"/>
      <c r="M9" s="35"/>
      <c r="N9" s="35"/>
      <c r="O9" s="35"/>
    </row>
    <row r="10" spans="1:55" s="36" customFormat="1" ht="50.1" customHeight="1" x14ac:dyDescent="0.3">
      <c r="A10" s="166" t="s">
        <v>36</v>
      </c>
      <c r="B10" s="167" t="s">
        <v>82</v>
      </c>
      <c r="C10" s="222">
        <v>5970</v>
      </c>
      <c r="D10" s="222">
        <v>5970</v>
      </c>
      <c r="E10" s="222">
        <v>17303</v>
      </c>
      <c r="F10" s="222">
        <v>17303</v>
      </c>
      <c r="G10" s="222">
        <v>40894</v>
      </c>
      <c r="H10" s="222">
        <v>40894</v>
      </c>
      <c r="I10" s="222">
        <v>67059</v>
      </c>
      <c r="J10" s="222">
        <v>67059</v>
      </c>
      <c r="K10" s="35"/>
      <c r="L10" s="35"/>
      <c r="M10" s="35"/>
      <c r="N10" s="35"/>
      <c r="O10" s="35"/>
    </row>
    <row r="11" spans="1:55" ht="50.1" customHeight="1" x14ac:dyDescent="0.3">
      <c r="A11" s="168" t="s">
        <v>37</v>
      </c>
      <c r="B11" s="169" t="s">
        <v>13</v>
      </c>
      <c r="C11" s="223">
        <v>0</v>
      </c>
      <c r="D11" s="223">
        <v>0</v>
      </c>
      <c r="E11" s="223">
        <v>2016</v>
      </c>
      <c r="F11" s="223">
        <v>2016</v>
      </c>
      <c r="G11" s="223">
        <v>17416</v>
      </c>
      <c r="H11" s="223">
        <v>17416</v>
      </c>
      <c r="I11" s="223">
        <v>29268</v>
      </c>
      <c r="J11" s="223">
        <v>29268</v>
      </c>
      <c r="K11" s="37"/>
      <c r="L11" s="37"/>
      <c r="M11" s="37"/>
      <c r="N11" s="37"/>
      <c r="O11" s="37"/>
    </row>
    <row r="12" spans="1:55" ht="50.1" customHeight="1" x14ac:dyDescent="0.3">
      <c r="A12" s="168" t="s">
        <v>38</v>
      </c>
      <c r="B12" s="169" t="s">
        <v>14</v>
      </c>
      <c r="C12" s="223">
        <v>2040</v>
      </c>
      <c r="D12" s="223">
        <v>2040</v>
      </c>
      <c r="E12" s="223">
        <v>4678</v>
      </c>
      <c r="F12" s="223">
        <v>4678</v>
      </c>
      <c r="G12" s="223">
        <v>7378</v>
      </c>
      <c r="H12" s="223">
        <v>7378</v>
      </c>
      <c r="I12" s="223">
        <v>10268</v>
      </c>
      <c r="J12" s="223">
        <v>10268</v>
      </c>
      <c r="K12" s="37"/>
      <c r="L12" s="37"/>
      <c r="M12" s="37"/>
      <c r="N12" s="37"/>
      <c r="O12" s="37"/>
    </row>
    <row r="13" spans="1:55" ht="50.1" customHeight="1" x14ac:dyDescent="0.3">
      <c r="A13" s="168" t="s">
        <v>39</v>
      </c>
      <c r="B13" s="169" t="s">
        <v>15</v>
      </c>
      <c r="C13" s="223">
        <v>0</v>
      </c>
      <c r="D13" s="223">
        <v>0</v>
      </c>
      <c r="E13" s="223">
        <v>0</v>
      </c>
      <c r="F13" s="223">
        <v>0</v>
      </c>
      <c r="G13" s="223">
        <v>0</v>
      </c>
      <c r="H13" s="223">
        <v>0</v>
      </c>
      <c r="I13" s="223">
        <v>0</v>
      </c>
      <c r="J13" s="223">
        <v>0</v>
      </c>
      <c r="K13" s="37"/>
      <c r="L13" s="37"/>
      <c r="M13" s="37"/>
      <c r="N13" s="37"/>
      <c r="O13" s="37"/>
    </row>
    <row r="14" spans="1:55" ht="50.1" customHeight="1" x14ac:dyDescent="0.3">
      <c r="A14" s="168" t="s">
        <v>40</v>
      </c>
      <c r="B14" s="169" t="s">
        <v>16</v>
      </c>
      <c r="C14" s="223">
        <v>2104</v>
      </c>
      <c r="D14" s="223">
        <v>2104</v>
      </c>
      <c r="E14" s="223">
        <v>5809</v>
      </c>
      <c r="F14" s="223">
        <v>5809</v>
      </c>
      <c r="G14" s="223">
        <v>8055</v>
      </c>
      <c r="H14" s="223">
        <v>8055</v>
      </c>
      <c r="I14" s="223">
        <v>16028</v>
      </c>
      <c r="J14" s="223">
        <v>16028</v>
      </c>
      <c r="K14" s="37"/>
      <c r="L14" s="37"/>
      <c r="M14" s="37"/>
      <c r="N14" s="37"/>
      <c r="O14" s="37"/>
    </row>
    <row r="15" spans="1:55" ht="50.1" customHeight="1" x14ac:dyDescent="0.3">
      <c r="A15" s="168" t="s">
        <v>63</v>
      </c>
      <c r="B15" s="169" t="s">
        <v>17</v>
      </c>
      <c r="C15" s="223">
        <v>1826</v>
      </c>
      <c r="D15" s="223">
        <v>1826</v>
      </c>
      <c r="E15" s="223">
        <v>4800</v>
      </c>
      <c r="F15" s="223">
        <v>4800</v>
      </c>
      <c r="G15" s="223">
        <v>8045</v>
      </c>
      <c r="H15" s="223">
        <v>8045</v>
      </c>
      <c r="I15" s="223">
        <v>11495</v>
      </c>
      <c r="J15" s="223">
        <v>11495</v>
      </c>
      <c r="K15" s="37"/>
      <c r="L15" s="37"/>
      <c r="M15" s="37"/>
      <c r="N15" s="37"/>
      <c r="O15" s="37"/>
    </row>
    <row r="16" spans="1:55" s="36" customFormat="1" ht="50.1" customHeight="1" x14ac:dyDescent="0.3">
      <c r="A16" s="166" t="s">
        <v>41</v>
      </c>
      <c r="B16" s="167" t="s">
        <v>18</v>
      </c>
      <c r="C16" s="222">
        <v>388</v>
      </c>
      <c r="D16" s="222">
        <v>388</v>
      </c>
      <c r="E16" s="222">
        <v>784</v>
      </c>
      <c r="F16" s="222">
        <v>784</v>
      </c>
      <c r="G16" s="222">
        <v>1350</v>
      </c>
      <c r="H16" s="222">
        <v>1350</v>
      </c>
      <c r="I16" s="222">
        <v>2052</v>
      </c>
      <c r="J16" s="222">
        <v>2052</v>
      </c>
      <c r="K16" s="35"/>
      <c r="L16" s="35"/>
      <c r="M16" s="35"/>
      <c r="N16" s="35"/>
      <c r="O16" s="35"/>
    </row>
    <row r="17" spans="1:15" s="36" customFormat="1" ht="50.1" customHeight="1" x14ac:dyDescent="0.3">
      <c r="A17" s="166" t="s">
        <v>42</v>
      </c>
      <c r="B17" s="167" t="s">
        <v>19</v>
      </c>
      <c r="C17" s="222">
        <v>9325</v>
      </c>
      <c r="D17" s="222">
        <v>9325</v>
      </c>
      <c r="E17" s="222">
        <v>20127</v>
      </c>
      <c r="F17" s="222">
        <v>20127</v>
      </c>
      <c r="G17" s="222">
        <v>33066</v>
      </c>
      <c r="H17" s="222">
        <v>33066</v>
      </c>
      <c r="I17" s="222">
        <v>49747</v>
      </c>
      <c r="J17" s="222">
        <v>49747</v>
      </c>
      <c r="K17" s="35"/>
      <c r="L17" s="35"/>
      <c r="M17" s="35"/>
      <c r="N17" s="35"/>
      <c r="O17" s="35"/>
    </row>
    <row r="18" spans="1:15" s="36" customFormat="1" ht="50.1" customHeight="1" x14ac:dyDescent="0.3">
      <c r="A18" s="166" t="s">
        <v>43</v>
      </c>
      <c r="B18" s="167" t="s">
        <v>20</v>
      </c>
      <c r="C18" s="222">
        <v>2856</v>
      </c>
      <c r="D18" s="222">
        <v>2856</v>
      </c>
      <c r="E18" s="222">
        <v>5653</v>
      </c>
      <c r="F18" s="222">
        <v>5653</v>
      </c>
      <c r="G18" s="222">
        <v>9963</v>
      </c>
      <c r="H18" s="222">
        <v>9963</v>
      </c>
      <c r="I18" s="222">
        <v>14020</v>
      </c>
      <c r="J18" s="222">
        <v>14020</v>
      </c>
      <c r="K18" s="35"/>
      <c r="L18" s="35"/>
      <c r="M18" s="35"/>
      <c r="N18" s="35"/>
      <c r="O18" s="35"/>
    </row>
    <row r="19" spans="1:15" s="36" customFormat="1" ht="50.1" customHeight="1" x14ac:dyDescent="0.3">
      <c r="A19" s="166" t="s">
        <v>44</v>
      </c>
      <c r="B19" s="167" t="s">
        <v>21</v>
      </c>
      <c r="C19" s="222">
        <v>385</v>
      </c>
      <c r="D19" s="222">
        <v>385</v>
      </c>
      <c r="E19" s="222">
        <v>483</v>
      </c>
      <c r="F19" s="222">
        <v>483</v>
      </c>
      <c r="G19" s="222">
        <v>2403</v>
      </c>
      <c r="H19" s="222">
        <v>2403</v>
      </c>
      <c r="I19" s="222">
        <v>4317</v>
      </c>
      <c r="J19" s="222">
        <v>4317</v>
      </c>
      <c r="K19" s="35"/>
      <c r="L19" s="35"/>
      <c r="M19" s="35"/>
      <c r="N19" s="35"/>
      <c r="O19" s="35"/>
    </row>
    <row r="20" spans="1:15" s="36" customFormat="1" ht="50.1" customHeight="1" x14ac:dyDescent="0.3">
      <c r="A20" s="170" t="s">
        <v>45</v>
      </c>
      <c r="B20" s="165" t="s">
        <v>22</v>
      </c>
      <c r="C20" s="222">
        <v>534</v>
      </c>
      <c r="D20" s="222">
        <v>534</v>
      </c>
      <c r="E20" s="222">
        <v>740</v>
      </c>
      <c r="F20" s="222">
        <v>740</v>
      </c>
      <c r="G20" s="222">
        <v>699</v>
      </c>
      <c r="H20" s="222">
        <v>699</v>
      </c>
      <c r="I20" s="222">
        <v>1463</v>
      </c>
      <c r="J20" s="222">
        <v>1463</v>
      </c>
      <c r="K20" s="35"/>
      <c r="L20" s="35"/>
      <c r="M20" s="35"/>
      <c r="N20" s="35"/>
      <c r="O20" s="35"/>
    </row>
    <row r="21" spans="1:15" s="38" customFormat="1" ht="50.1" customHeight="1" x14ac:dyDescent="0.25">
      <c r="A21" s="171" t="s">
        <v>46</v>
      </c>
      <c r="B21" s="172" t="s">
        <v>23</v>
      </c>
      <c r="C21" s="253">
        <v>476</v>
      </c>
      <c r="D21" s="253">
        <v>476</v>
      </c>
      <c r="E21" s="253">
        <v>641</v>
      </c>
      <c r="F21" s="253">
        <v>641</v>
      </c>
      <c r="G21" s="253">
        <v>501</v>
      </c>
      <c r="H21" s="253">
        <v>501</v>
      </c>
      <c r="I21" s="253">
        <v>436</v>
      </c>
      <c r="J21" s="253">
        <v>436</v>
      </c>
    </row>
    <row r="22" spans="1:15" s="38" customFormat="1" ht="50.1" customHeight="1" x14ac:dyDescent="0.25">
      <c r="A22" s="171" t="s">
        <v>47</v>
      </c>
      <c r="B22" s="172" t="s">
        <v>24</v>
      </c>
      <c r="C22" s="253">
        <v>58</v>
      </c>
      <c r="D22" s="253">
        <v>58</v>
      </c>
      <c r="E22" s="253">
        <v>99</v>
      </c>
      <c r="F22" s="253">
        <v>99</v>
      </c>
      <c r="G22" s="253">
        <v>198</v>
      </c>
      <c r="H22" s="253">
        <v>198</v>
      </c>
      <c r="I22" s="253">
        <v>1027</v>
      </c>
      <c r="J22" s="253">
        <v>1027</v>
      </c>
    </row>
    <row r="23" spans="1:15" s="36" customFormat="1" ht="50.1" customHeight="1" x14ac:dyDescent="0.3">
      <c r="A23" s="164" t="s">
        <v>48</v>
      </c>
      <c r="B23" s="165" t="s">
        <v>25</v>
      </c>
      <c r="C23" s="222">
        <v>10202</v>
      </c>
      <c r="D23" s="222">
        <v>15551</v>
      </c>
      <c r="E23" s="222">
        <v>19231</v>
      </c>
      <c r="F23" s="222">
        <v>28623</v>
      </c>
      <c r="G23" s="222">
        <v>47338</v>
      </c>
      <c r="H23" s="222">
        <v>63309</v>
      </c>
      <c r="I23" s="222">
        <v>82746</v>
      </c>
      <c r="J23" s="222">
        <v>110177</v>
      </c>
      <c r="K23" s="35"/>
      <c r="L23" s="35"/>
      <c r="M23" s="35"/>
      <c r="N23" s="35"/>
      <c r="O23" s="35"/>
    </row>
    <row r="24" spans="1:15" s="36" customFormat="1" ht="50.1" customHeight="1" x14ac:dyDescent="0.3">
      <c r="A24" s="166" t="s">
        <v>100</v>
      </c>
      <c r="B24" s="167" t="s">
        <v>26</v>
      </c>
      <c r="C24" s="222">
        <v>6423</v>
      </c>
      <c r="D24" s="222">
        <v>7029</v>
      </c>
      <c r="E24" s="222">
        <v>13326</v>
      </c>
      <c r="F24" s="222">
        <v>14792</v>
      </c>
      <c r="G24" s="222">
        <v>34807</v>
      </c>
      <c r="H24" s="222">
        <v>37661</v>
      </c>
      <c r="I24" s="222">
        <v>52455</v>
      </c>
      <c r="J24" s="222">
        <v>59308</v>
      </c>
      <c r="K24" s="35"/>
      <c r="L24" s="35"/>
      <c r="M24" s="35"/>
      <c r="N24" s="35"/>
      <c r="O24" s="35"/>
    </row>
    <row r="25" spans="1:15" ht="50.1" customHeight="1" x14ac:dyDescent="0.3">
      <c r="A25" s="168" t="s">
        <v>37</v>
      </c>
      <c r="B25" s="169" t="s">
        <v>13</v>
      </c>
      <c r="C25" s="223">
        <v>0</v>
      </c>
      <c r="D25" s="223">
        <v>0</v>
      </c>
      <c r="E25" s="223">
        <v>1971</v>
      </c>
      <c r="F25" s="223">
        <v>1971</v>
      </c>
      <c r="G25" s="223">
        <v>15327</v>
      </c>
      <c r="H25" s="223">
        <v>15327</v>
      </c>
      <c r="I25" s="223">
        <v>25282</v>
      </c>
      <c r="J25" s="223">
        <v>25282</v>
      </c>
      <c r="K25" s="37"/>
      <c r="L25" s="37"/>
      <c r="M25" s="37"/>
      <c r="N25" s="37"/>
      <c r="O25" s="37"/>
    </row>
    <row r="26" spans="1:15" ht="50.1" customHeight="1" x14ac:dyDescent="0.3">
      <c r="A26" s="168" t="s">
        <v>49</v>
      </c>
      <c r="B26" s="169" t="s">
        <v>14</v>
      </c>
      <c r="C26" s="223">
        <v>3810</v>
      </c>
      <c r="D26" s="223">
        <v>3810</v>
      </c>
      <c r="E26" s="223">
        <v>7785</v>
      </c>
      <c r="F26" s="223">
        <v>7785</v>
      </c>
      <c r="G26" s="223">
        <v>11436</v>
      </c>
      <c r="H26" s="223">
        <v>11436</v>
      </c>
      <c r="I26" s="223">
        <v>15098</v>
      </c>
      <c r="J26" s="223">
        <v>15098</v>
      </c>
      <c r="K26" s="37"/>
      <c r="L26" s="37"/>
      <c r="M26" s="37"/>
      <c r="N26" s="37"/>
      <c r="O26" s="37"/>
    </row>
    <row r="27" spans="1:15" s="40" customFormat="1" ht="50.1" customHeight="1" x14ac:dyDescent="0.3">
      <c r="A27" s="168" t="s">
        <v>39</v>
      </c>
      <c r="B27" s="169" t="s">
        <v>15</v>
      </c>
      <c r="C27" s="223">
        <v>0</v>
      </c>
      <c r="D27" s="223">
        <v>0</v>
      </c>
      <c r="E27" s="223">
        <v>0</v>
      </c>
      <c r="F27" s="223">
        <v>0</v>
      </c>
      <c r="G27" s="223">
        <v>32</v>
      </c>
      <c r="H27" s="223">
        <v>32</v>
      </c>
      <c r="I27" s="223">
        <v>32</v>
      </c>
      <c r="J27" s="223">
        <v>32</v>
      </c>
      <c r="K27" s="39"/>
      <c r="L27" s="39"/>
      <c r="M27" s="39"/>
      <c r="N27" s="39"/>
      <c r="O27" s="39"/>
    </row>
    <row r="28" spans="1:15" s="40" customFormat="1" ht="50.1" customHeight="1" x14ac:dyDescent="0.3">
      <c r="A28" s="168" t="s">
        <v>50</v>
      </c>
      <c r="B28" s="169" t="s">
        <v>27</v>
      </c>
      <c r="C28" s="223">
        <v>151</v>
      </c>
      <c r="D28" s="223">
        <v>151</v>
      </c>
      <c r="E28" s="223">
        <v>365</v>
      </c>
      <c r="F28" s="223">
        <v>365</v>
      </c>
      <c r="G28" s="223">
        <v>2627</v>
      </c>
      <c r="H28" s="223">
        <v>2627</v>
      </c>
      <c r="I28" s="223">
        <v>3047</v>
      </c>
      <c r="J28" s="223">
        <v>3047</v>
      </c>
      <c r="K28" s="39"/>
      <c r="L28" s="39"/>
      <c r="M28" s="39"/>
      <c r="N28" s="39"/>
      <c r="O28" s="39"/>
    </row>
    <row r="29" spans="1:15" ht="50.1" customHeight="1" x14ac:dyDescent="0.3">
      <c r="A29" s="168" t="s">
        <v>51</v>
      </c>
      <c r="B29" s="169" t="s">
        <v>28</v>
      </c>
      <c r="C29" s="223">
        <v>-90</v>
      </c>
      <c r="D29" s="223">
        <v>-51</v>
      </c>
      <c r="E29" s="223">
        <v>-19</v>
      </c>
      <c r="F29" s="223">
        <v>54</v>
      </c>
      <c r="G29" s="223">
        <v>874</v>
      </c>
      <c r="H29" s="223">
        <v>874</v>
      </c>
      <c r="I29" s="223">
        <v>2648</v>
      </c>
      <c r="J29" s="223">
        <v>2902</v>
      </c>
      <c r="K29" s="37"/>
      <c r="L29" s="37"/>
      <c r="M29" s="37"/>
      <c r="N29" s="37"/>
      <c r="O29" s="37"/>
    </row>
    <row r="30" spans="1:15" ht="50.1" customHeight="1" x14ac:dyDescent="0.3">
      <c r="A30" s="173" t="s">
        <v>52</v>
      </c>
      <c r="B30" s="169" t="s">
        <v>29</v>
      </c>
      <c r="C30" s="223">
        <v>2280</v>
      </c>
      <c r="D30" s="223">
        <v>2280</v>
      </c>
      <c r="E30" s="223">
        <v>2698</v>
      </c>
      <c r="F30" s="223">
        <v>2698</v>
      </c>
      <c r="G30" s="223">
        <v>2458</v>
      </c>
      <c r="H30" s="223">
        <v>2458</v>
      </c>
      <c r="I30" s="223">
        <v>3108</v>
      </c>
      <c r="J30" s="223">
        <v>3108</v>
      </c>
      <c r="K30" s="37"/>
      <c r="L30" s="37"/>
      <c r="M30" s="37"/>
      <c r="N30" s="37"/>
      <c r="O30" s="37"/>
    </row>
    <row r="31" spans="1:15" s="40" customFormat="1" ht="50.1" customHeight="1" x14ac:dyDescent="0.3">
      <c r="A31" s="168" t="s">
        <v>53</v>
      </c>
      <c r="B31" s="169" t="s">
        <v>0</v>
      </c>
      <c r="C31" s="223">
        <v>272</v>
      </c>
      <c r="D31" s="223">
        <v>839</v>
      </c>
      <c r="E31" s="223">
        <v>526</v>
      </c>
      <c r="F31" s="223">
        <v>1919</v>
      </c>
      <c r="G31" s="223">
        <v>2053</v>
      </c>
      <c r="H31" s="223">
        <v>4907</v>
      </c>
      <c r="I31" s="223">
        <v>3240</v>
      </c>
      <c r="J31" s="223">
        <v>9839</v>
      </c>
      <c r="K31" s="39"/>
      <c r="L31" s="39"/>
      <c r="M31" s="39"/>
      <c r="N31" s="39"/>
      <c r="O31" s="39"/>
    </row>
    <row r="32" spans="1:15" s="42" customFormat="1" ht="50.1" customHeight="1" x14ac:dyDescent="0.3">
      <c r="A32" s="175" t="s">
        <v>99</v>
      </c>
      <c r="B32" s="174" t="s">
        <v>30</v>
      </c>
      <c r="C32" s="224">
        <v>1214</v>
      </c>
      <c r="D32" s="224">
        <v>1214</v>
      </c>
      <c r="E32" s="224">
        <v>2619</v>
      </c>
      <c r="F32" s="224">
        <v>2619</v>
      </c>
      <c r="G32" s="224">
        <v>5103</v>
      </c>
      <c r="H32" s="224">
        <v>5103</v>
      </c>
      <c r="I32" s="224">
        <v>12038</v>
      </c>
      <c r="J32" s="224">
        <v>12044</v>
      </c>
      <c r="K32" s="41"/>
      <c r="L32" s="41"/>
      <c r="M32" s="41"/>
      <c r="N32" s="41"/>
      <c r="O32" s="41"/>
    </row>
    <row r="33" spans="1:15" s="42" customFormat="1" ht="50.1" customHeight="1" x14ac:dyDescent="0.3">
      <c r="A33" s="175" t="s">
        <v>54</v>
      </c>
      <c r="B33" s="174" t="s">
        <v>31</v>
      </c>
      <c r="C33" s="224">
        <v>203</v>
      </c>
      <c r="D33" s="224">
        <v>203</v>
      </c>
      <c r="E33" s="224">
        <v>604</v>
      </c>
      <c r="F33" s="224">
        <v>604</v>
      </c>
      <c r="G33" s="224">
        <v>1432</v>
      </c>
      <c r="H33" s="224">
        <v>1432</v>
      </c>
      <c r="I33" s="224">
        <v>5765</v>
      </c>
      <c r="J33" s="224">
        <v>5765</v>
      </c>
      <c r="K33" s="41"/>
      <c r="L33" s="41"/>
      <c r="M33" s="41"/>
      <c r="N33" s="41"/>
      <c r="O33" s="41"/>
    </row>
    <row r="34" spans="1:15" s="42" customFormat="1" ht="50.1" customHeight="1" x14ac:dyDescent="0.3">
      <c r="A34" s="176" t="s">
        <v>53</v>
      </c>
      <c r="B34" s="177" t="s">
        <v>0</v>
      </c>
      <c r="C34" s="225">
        <v>2362</v>
      </c>
      <c r="D34" s="225">
        <v>7105</v>
      </c>
      <c r="E34" s="225">
        <v>2682</v>
      </c>
      <c r="F34" s="225">
        <v>10608</v>
      </c>
      <c r="G34" s="225">
        <v>5996</v>
      </c>
      <c r="H34" s="225">
        <v>19113</v>
      </c>
      <c r="I34" s="225">
        <v>12488</v>
      </c>
      <c r="J34" s="225">
        <v>33060</v>
      </c>
      <c r="K34" s="41"/>
      <c r="L34" s="41"/>
      <c r="M34" s="41"/>
      <c r="N34" s="41"/>
      <c r="O34" s="41"/>
    </row>
    <row r="35" spans="1:15" s="42" customFormat="1" ht="21.9" customHeight="1" x14ac:dyDescent="0.3">
      <c r="A35" s="110" t="s">
        <v>69</v>
      </c>
      <c r="B35" s="109" t="s">
        <v>70</v>
      </c>
      <c r="C35" s="9"/>
      <c r="D35" s="9"/>
      <c r="E35" s="9"/>
      <c r="F35" s="9"/>
      <c r="G35" s="9"/>
      <c r="H35" s="9"/>
      <c r="I35" s="9"/>
      <c r="J35" s="9"/>
      <c r="K35" s="41"/>
      <c r="L35" s="41"/>
      <c r="M35" s="41"/>
      <c r="N35" s="41"/>
      <c r="O35" s="41"/>
    </row>
    <row r="36" spans="1:15" ht="117.6" customHeight="1" x14ac:dyDescent="0.3">
      <c r="A36" s="5" t="s">
        <v>57</v>
      </c>
      <c r="B36" s="6" t="s">
        <v>56</v>
      </c>
      <c r="C36" s="38"/>
      <c r="D36" s="38"/>
      <c r="E36" s="38"/>
      <c r="F36" s="38"/>
      <c r="G36" s="38"/>
      <c r="H36" s="38"/>
      <c r="I36" s="38"/>
      <c r="J36" s="38"/>
    </row>
    <row r="37" spans="1:15" ht="21.9" customHeight="1" x14ac:dyDescent="0.3">
      <c r="B37" s="7" t="s">
        <v>59</v>
      </c>
      <c r="C37" s="44"/>
      <c r="D37" s="44"/>
      <c r="E37" s="44"/>
      <c r="F37" s="44"/>
      <c r="G37" s="44"/>
      <c r="H37" s="44"/>
      <c r="I37" s="44"/>
      <c r="J37" s="44"/>
    </row>
    <row r="38" spans="1:15" ht="39.6" customHeight="1" x14ac:dyDescent="0.3">
      <c r="A38" s="51" t="s">
        <v>68</v>
      </c>
      <c r="B38" s="329" t="s">
        <v>76</v>
      </c>
      <c r="C38" s="329"/>
      <c r="D38" s="44"/>
      <c r="E38" s="44"/>
      <c r="F38" s="44"/>
      <c r="G38" s="44"/>
      <c r="H38" s="44"/>
      <c r="I38" s="44"/>
      <c r="J38" s="44"/>
    </row>
    <row r="39" spans="1:15" ht="21.9" customHeight="1" x14ac:dyDescent="0.3"/>
    <row r="40" spans="1:15" ht="21.9" customHeight="1" x14ac:dyDescent="0.3">
      <c r="B40" s="8"/>
      <c r="C40" s="50"/>
      <c r="D40" s="50"/>
      <c r="E40" s="50"/>
      <c r="F40" s="50"/>
      <c r="G40" s="50"/>
      <c r="H40" s="50"/>
      <c r="I40" s="50"/>
      <c r="J40" s="50"/>
    </row>
    <row r="41" spans="1:15" ht="21.9" customHeight="1" x14ac:dyDescent="0.3"/>
    <row r="42" spans="1:15" ht="21.9" customHeight="1" x14ac:dyDescent="0.3"/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9">
    <mergeCell ref="B38:C38"/>
    <mergeCell ref="B3:B4"/>
    <mergeCell ref="C2:D2"/>
    <mergeCell ref="G2:H2"/>
    <mergeCell ref="C3:J4"/>
    <mergeCell ref="C5:D6"/>
    <mergeCell ref="E5:F6"/>
    <mergeCell ref="G5:H6"/>
    <mergeCell ref="I5:J6"/>
  </mergeCells>
  <printOptions verticalCentered="1"/>
  <pageMargins left="0" right="0" top="0.15748031496062992" bottom="0.15748031496062992" header="0.15748031496062992" footer="0.15748031496062992"/>
  <pageSetup paperSize="9" scale="33" orientation="landscape" horizontalDpi="4294967295" verticalDpi="4294967295" r:id="rId1"/>
  <headerFooter alignWithMargins="0"/>
  <rowBreaks count="1" manualBreakCount="1">
    <brk id="3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C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2" customWidth="1"/>
    <col min="2" max="2" width="62.5546875" style="7" customWidth="1"/>
    <col min="3" max="10" width="24.5546875" style="3" customWidth="1"/>
    <col min="11" max="16384" width="9.109375" style="2"/>
  </cols>
  <sheetData>
    <row r="1" spans="1:55" ht="73.349999999999994" customHeight="1" x14ac:dyDescent="0.3">
      <c r="A1" s="257" t="s">
        <v>93</v>
      </c>
      <c r="B1" s="258" t="s">
        <v>94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55" ht="32.1" customHeight="1" x14ac:dyDescent="0.3">
      <c r="B2" s="49"/>
      <c r="C2" s="344"/>
      <c r="D2" s="344"/>
      <c r="F2" s="1"/>
      <c r="G2" s="345"/>
      <c r="H2" s="345"/>
      <c r="J2" s="256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45" customFormat="1" ht="15" customHeight="1" x14ac:dyDescent="0.4">
      <c r="A3" s="230"/>
      <c r="B3" s="338" t="s">
        <v>1</v>
      </c>
      <c r="C3" s="330" t="s">
        <v>10</v>
      </c>
      <c r="D3" s="331"/>
      <c r="E3" s="331"/>
      <c r="F3" s="331"/>
      <c r="G3" s="331"/>
      <c r="H3" s="331"/>
      <c r="I3" s="331"/>
      <c r="J3" s="332"/>
    </row>
    <row r="4" spans="1:55" s="45" customFormat="1" ht="15" customHeight="1" x14ac:dyDescent="0.4">
      <c r="A4" s="228"/>
      <c r="B4" s="339"/>
      <c r="C4" s="333"/>
      <c r="D4" s="334"/>
      <c r="E4" s="334"/>
      <c r="F4" s="334"/>
      <c r="G4" s="334"/>
      <c r="H4" s="334"/>
      <c r="I4" s="334"/>
      <c r="J4" s="335"/>
    </row>
    <row r="5" spans="1:55" s="45" customFormat="1" ht="15" customHeight="1" x14ac:dyDescent="0.4">
      <c r="A5" s="228"/>
      <c r="B5" s="217"/>
      <c r="C5" s="336" t="s">
        <v>3</v>
      </c>
      <c r="D5" s="336"/>
      <c r="E5" s="336" t="s">
        <v>5</v>
      </c>
      <c r="F5" s="336"/>
      <c r="G5" s="336" t="s">
        <v>6</v>
      </c>
      <c r="H5" s="336"/>
      <c r="I5" s="336" t="s">
        <v>7</v>
      </c>
      <c r="J5" s="336"/>
    </row>
    <row r="6" spans="1:55" s="45" customFormat="1" ht="15" customHeight="1" x14ac:dyDescent="0.4">
      <c r="A6" s="228"/>
      <c r="B6" s="217"/>
      <c r="C6" s="337"/>
      <c r="D6" s="337"/>
      <c r="E6" s="337"/>
      <c r="F6" s="337"/>
      <c r="G6" s="337"/>
      <c r="H6" s="337"/>
      <c r="I6" s="337"/>
      <c r="J6" s="337"/>
    </row>
    <row r="7" spans="1:55" s="46" customFormat="1" ht="81.75" customHeight="1" x14ac:dyDescent="0.4">
      <c r="A7" s="229"/>
      <c r="B7" s="219"/>
      <c r="C7" s="213" t="s">
        <v>2</v>
      </c>
      <c r="D7" s="220" t="s">
        <v>75</v>
      </c>
      <c r="E7" s="213" t="s">
        <v>2</v>
      </c>
      <c r="F7" s="220" t="s">
        <v>75</v>
      </c>
      <c r="G7" s="213" t="s">
        <v>2</v>
      </c>
      <c r="H7" s="220" t="s">
        <v>75</v>
      </c>
      <c r="I7" s="213" t="s">
        <v>2</v>
      </c>
      <c r="J7" s="220" t="s">
        <v>75</v>
      </c>
    </row>
    <row r="8" spans="1:55" s="36" customFormat="1" ht="50.1" customHeight="1" x14ac:dyDescent="0.3">
      <c r="A8" s="162" t="s">
        <v>34</v>
      </c>
      <c r="B8" s="163" t="s">
        <v>11</v>
      </c>
      <c r="C8" s="252">
        <v>42690</v>
      </c>
      <c r="D8" s="252">
        <v>43955</v>
      </c>
      <c r="E8" s="252">
        <v>127679</v>
      </c>
      <c r="F8" s="252">
        <v>129637</v>
      </c>
      <c r="G8" s="231">
        <v>189589</v>
      </c>
      <c r="H8" s="231">
        <v>192768</v>
      </c>
      <c r="I8" s="231">
        <v>282505</v>
      </c>
      <c r="J8" s="231">
        <v>288545</v>
      </c>
      <c r="K8" s="35"/>
      <c r="L8" s="35"/>
      <c r="M8" s="35"/>
      <c r="N8" s="35"/>
      <c r="O8" s="35"/>
    </row>
    <row r="9" spans="1:55" s="36" customFormat="1" ht="50.1" customHeight="1" x14ac:dyDescent="0.3">
      <c r="A9" s="164" t="s">
        <v>35</v>
      </c>
      <c r="B9" s="165" t="s">
        <v>12</v>
      </c>
      <c r="C9" s="232">
        <v>26589</v>
      </c>
      <c r="D9" s="232">
        <v>26589</v>
      </c>
      <c r="E9" s="232">
        <v>71715</v>
      </c>
      <c r="F9" s="232">
        <v>71715</v>
      </c>
      <c r="G9" s="224">
        <v>109082</v>
      </c>
      <c r="H9" s="224">
        <v>109082</v>
      </c>
      <c r="I9" s="224">
        <v>163222</v>
      </c>
      <c r="J9" s="224">
        <v>163222</v>
      </c>
      <c r="K9" s="35"/>
      <c r="L9" s="35"/>
      <c r="M9" s="35"/>
      <c r="N9" s="35"/>
      <c r="O9" s="35"/>
    </row>
    <row r="10" spans="1:55" s="36" customFormat="1" ht="50.1" customHeight="1" x14ac:dyDescent="0.3">
      <c r="A10" s="166" t="s">
        <v>36</v>
      </c>
      <c r="B10" s="167" t="s">
        <v>82</v>
      </c>
      <c r="C10" s="232">
        <v>8065</v>
      </c>
      <c r="D10" s="232">
        <v>8065</v>
      </c>
      <c r="E10" s="232">
        <v>33873</v>
      </c>
      <c r="F10" s="232">
        <v>33873</v>
      </c>
      <c r="G10" s="224">
        <v>49711</v>
      </c>
      <c r="H10" s="224">
        <v>49711</v>
      </c>
      <c r="I10" s="224">
        <v>79073</v>
      </c>
      <c r="J10" s="224">
        <v>79073</v>
      </c>
      <c r="K10" s="35"/>
      <c r="L10" s="35"/>
      <c r="M10" s="35"/>
      <c r="N10" s="35"/>
      <c r="O10" s="35"/>
    </row>
    <row r="11" spans="1:55" ht="50.1" customHeight="1" x14ac:dyDescent="0.3">
      <c r="A11" s="168" t="s">
        <v>37</v>
      </c>
      <c r="B11" s="169" t="s">
        <v>13</v>
      </c>
      <c r="C11" s="253">
        <v>0</v>
      </c>
      <c r="D11" s="253">
        <v>0</v>
      </c>
      <c r="E11" s="253">
        <v>14992</v>
      </c>
      <c r="F11" s="253">
        <v>14992</v>
      </c>
      <c r="G11" s="223">
        <v>22168</v>
      </c>
      <c r="H11" s="223">
        <v>22168</v>
      </c>
      <c r="I11" s="223">
        <v>34135</v>
      </c>
      <c r="J11" s="223">
        <v>34135</v>
      </c>
      <c r="K11" s="37"/>
      <c r="L11" s="37"/>
      <c r="M11" s="37"/>
      <c r="N11" s="37"/>
      <c r="O11" s="37"/>
    </row>
    <row r="12" spans="1:55" ht="50.1" customHeight="1" x14ac:dyDescent="0.3">
      <c r="A12" s="168" t="s">
        <v>38</v>
      </c>
      <c r="B12" s="169" t="s">
        <v>14</v>
      </c>
      <c r="C12" s="253">
        <v>3240</v>
      </c>
      <c r="D12" s="253">
        <v>3240</v>
      </c>
      <c r="E12" s="253">
        <v>5741</v>
      </c>
      <c r="F12" s="253">
        <v>5741</v>
      </c>
      <c r="G12" s="223">
        <v>7851</v>
      </c>
      <c r="H12" s="223">
        <v>7851</v>
      </c>
      <c r="I12" s="223">
        <v>10391</v>
      </c>
      <c r="J12" s="223">
        <v>10391</v>
      </c>
      <c r="K12" s="37"/>
      <c r="L12" s="37"/>
      <c r="M12" s="37"/>
      <c r="N12" s="37"/>
      <c r="O12" s="37"/>
    </row>
    <row r="13" spans="1:55" ht="50.1" customHeight="1" x14ac:dyDescent="0.3">
      <c r="A13" s="168" t="s">
        <v>39</v>
      </c>
      <c r="B13" s="169" t="s">
        <v>15</v>
      </c>
      <c r="C13" s="253">
        <v>0</v>
      </c>
      <c r="D13" s="253">
        <v>0</v>
      </c>
      <c r="E13" s="253">
        <v>0</v>
      </c>
      <c r="F13" s="253">
        <v>0</v>
      </c>
      <c r="G13" s="223">
        <v>0</v>
      </c>
      <c r="H13" s="223">
        <v>0</v>
      </c>
      <c r="I13" s="223">
        <v>0</v>
      </c>
      <c r="J13" s="223">
        <v>0</v>
      </c>
      <c r="K13" s="37"/>
      <c r="L13" s="37"/>
      <c r="M13" s="37"/>
      <c r="N13" s="37"/>
      <c r="O13" s="37"/>
    </row>
    <row r="14" spans="1:55" ht="50.1" customHeight="1" x14ac:dyDescent="0.3">
      <c r="A14" s="168" t="s">
        <v>40</v>
      </c>
      <c r="B14" s="169" t="s">
        <v>16</v>
      </c>
      <c r="C14" s="253">
        <v>2387</v>
      </c>
      <c r="D14" s="253">
        <v>2387</v>
      </c>
      <c r="E14" s="253">
        <v>6953</v>
      </c>
      <c r="F14" s="253">
        <v>6953</v>
      </c>
      <c r="G14" s="223">
        <v>9325</v>
      </c>
      <c r="H14" s="223">
        <v>9325</v>
      </c>
      <c r="I14" s="223">
        <v>20263</v>
      </c>
      <c r="J14" s="223">
        <v>20263</v>
      </c>
      <c r="K14" s="37"/>
      <c r="L14" s="37"/>
      <c r="M14" s="37"/>
      <c r="N14" s="37"/>
      <c r="O14" s="37"/>
    </row>
    <row r="15" spans="1:55" ht="50.1" customHeight="1" x14ac:dyDescent="0.3">
      <c r="A15" s="168" t="s">
        <v>63</v>
      </c>
      <c r="B15" s="169" t="s">
        <v>17</v>
      </c>
      <c r="C15" s="253">
        <v>2438</v>
      </c>
      <c r="D15" s="253">
        <v>2438</v>
      </c>
      <c r="E15" s="253">
        <v>6187</v>
      </c>
      <c r="F15" s="253">
        <v>6187</v>
      </c>
      <c r="G15" s="223">
        <v>10367</v>
      </c>
      <c r="H15" s="223">
        <v>10367</v>
      </c>
      <c r="I15" s="223">
        <v>14284</v>
      </c>
      <c r="J15" s="223">
        <v>14284</v>
      </c>
      <c r="K15" s="37"/>
      <c r="L15" s="37"/>
      <c r="M15" s="37"/>
      <c r="N15" s="37"/>
      <c r="O15" s="37"/>
    </row>
    <row r="16" spans="1:55" s="36" customFormat="1" ht="50.1" customHeight="1" x14ac:dyDescent="0.3">
      <c r="A16" s="166" t="s">
        <v>41</v>
      </c>
      <c r="B16" s="167" t="s">
        <v>18</v>
      </c>
      <c r="C16" s="232">
        <v>368</v>
      </c>
      <c r="D16" s="232">
        <v>368</v>
      </c>
      <c r="E16" s="232">
        <v>1029</v>
      </c>
      <c r="F16" s="232">
        <v>1029</v>
      </c>
      <c r="G16" s="224">
        <v>2124</v>
      </c>
      <c r="H16" s="224">
        <v>2124</v>
      </c>
      <c r="I16" s="224">
        <v>3944</v>
      </c>
      <c r="J16" s="224">
        <v>3944</v>
      </c>
      <c r="K16" s="35"/>
      <c r="L16" s="35"/>
      <c r="M16" s="35"/>
      <c r="N16" s="35"/>
      <c r="O16" s="35"/>
    </row>
    <row r="17" spans="1:15" s="36" customFormat="1" ht="50.1" customHeight="1" x14ac:dyDescent="0.3">
      <c r="A17" s="166" t="s">
        <v>42</v>
      </c>
      <c r="B17" s="167" t="s">
        <v>19</v>
      </c>
      <c r="C17" s="232">
        <v>14182</v>
      </c>
      <c r="D17" s="232">
        <v>14182</v>
      </c>
      <c r="E17" s="232">
        <v>29470</v>
      </c>
      <c r="F17" s="232">
        <v>29470</v>
      </c>
      <c r="G17" s="224">
        <v>44839</v>
      </c>
      <c r="H17" s="224">
        <v>44839</v>
      </c>
      <c r="I17" s="224">
        <v>62650</v>
      </c>
      <c r="J17" s="224">
        <v>62650</v>
      </c>
      <c r="K17" s="35"/>
      <c r="L17" s="35"/>
      <c r="M17" s="35"/>
      <c r="N17" s="35"/>
      <c r="O17" s="35"/>
    </row>
    <row r="18" spans="1:15" s="36" customFormat="1" ht="50.1" customHeight="1" x14ac:dyDescent="0.3">
      <c r="A18" s="166" t="s">
        <v>43</v>
      </c>
      <c r="B18" s="167" t="s">
        <v>20</v>
      </c>
      <c r="C18" s="232">
        <v>3667</v>
      </c>
      <c r="D18" s="232">
        <v>3667</v>
      </c>
      <c r="E18" s="232">
        <v>6938</v>
      </c>
      <c r="F18" s="232">
        <v>6938</v>
      </c>
      <c r="G18" s="224">
        <v>10212</v>
      </c>
      <c r="H18" s="224">
        <v>10212</v>
      </c>
      <c r="I18" s="224">
        <v>14091</v>
      </c>
      <c r="J18" s="224">
        <v>14091</v>
      </c>
      <c r="K18" s="35"/>
      <c r="L18" s="35"/>
      <c r="M18" s="35"/>
      <c r="N18" s="35"/>
      <c r="O18" s="35"/>
    </row>
    <row r="19" spans="1:15" s="36" customFormat="1" ht="50.1" customHeight="1" x14ac:dyDescent="0.3">
      <c r="A19" s="166" t="s">
        <v>44</v>
      </c>
      <c r="B19" s="167" t="s">
        <v>21</v>
      </c>
      <c r="C19" s="232">
        <v>307</v>
      </c>
      <c r="D19" s="232">
        <v>307</v>
      </c>
      <c r="E19" s="232">
        <v>405</v>
      </c>
      <c r="F19" s="232">
        <v>405</v>
      </c>
      <c r="G19" s="224">
        <v>2196</v>
      </c>
      <c r="H19" s="224">
        <v>2196</v>
      </c>
      <c r="I19" s="224">
        <v>3464</v>
      </c>
      <c r="J19" s="224">
        <v>3464</v>
      </c>
      <c r="K19" s="35"/>
      <c r="L19" s="35"/>
      <c r="M19" s="35"/>
      <c r="N19" s="35"/>
      <c r="O19" s="35"/>
    </row>
    <row r="20" spans="1:15" s="36" customFormat="1" ht="50.1" customHeight="1" x14ac:dyDescent="0.3">
      <c r="A20" s="170" t="s">
        <v>45</v>
      </c>
      <c r="B20" s="165" t="s">
        <v>22</v>
      </c>
      <c r="C20" s="232">
        <v>2670</v>
      </c>
      <c r="D20" s="232">
        <v>2670</v>
      </c>
      <c r="E20" s="232">
        <v>5666</v>
      </c>
      <c r="F20" s="232">
        <v>5666</v>
      </c>
      <c r="G20" s="224">
        <v>6566</v>
      </c>
      <c r="H20" s="224">
        <v>6566</v>
      </c>
      <c r="I20" s="224">
        <v>7984</v>
      </c>
      <c r="J20" s="224">
        <v>7984</v>
      </c>
      <c r="K20" s="35"/>
      <c r="L20" s="35"/>
      <c r="M20" s="35"/>
      <c r="N20" s="35"/>
      <c r="O20" s="35"/>
    </row>
    <row r="21" spans="1:15" s="38" customFormat="1" ht="50.1" customHeight="1" x14ac:dyDescent="0.25">
      <c r="A21" s="171" t="s">
        <v>46</v>
      </c>
      <c r="B21" s="172" t="s">
        <v>23</v>
      </c>
      <c r="C21" s="253">
        <v>2660</v>
      </c>
      <c r="D21" s="253">
        <v>2660</v>
      </c>
      <c r="E21" s="253">
        <v>5558</v>
      </c>
      <c r="F21" s="253">
        <v>5558</v>
      </c>
      <c r="G21" s="223">
        <v>6313</v>
      </c>
      <c r="H21" s="223">
        <v>6313</v>
      </c>
      <c r="I21" s="223">
        <v>6480</v>
      </c>
      <c r="J21" s="223">
        <v>6480</v>
      </c>
    </row>
    <row r="22" spans="1:15" s="38" customFormat="1" ht="50.1" customHeight="1" x14ac:dyDescent="0.25">
      <c r="A22" s="171" t="s">
        <v>47</v>
      </c>
      <c r="B22" s="172" t="s">
        <v>24</v>
      </c>
      <c r="C22" s="253">
        <v>10</v>
      </c>
      <c r="D22" s="253">
        <v>10</v>
      </c>
      <c r="E22" s="253">
        <v>108</v>
      </c>
      <c r="F22" s="253">
        <v>108</v>
      </c>
      <c r="G22" s="223">
        <v>253</v>
      </c>
      <c r="H22" s="223">
        <v>253</v>
      </c>
      <c r="I22" s="223">
        <v>1504</v>
      </c>
      <c r="J22" s="223">
        <v>1504</v>
      </c>
    </row>
    <row r="23" spans="1:15" s="36" customFormat="1" ht="50.1" customHeight="1" x14ac:dyDescent="0.3">
      <c r="A23" s="164" t="s">
        <v>48</v>
      </c>
      <c r="B23" s="165" t="s">
        <v>25</v>
      </c>
      <c r="C23" s="232">
        <v>13431</v>
      </c>
      <c r="D23" s="232">
        <v>14696</v>
      </c>
      <c r="E23" s="232">
        <v>50298</v>
      </c>
      <c r="F23" s="232">
        <v>52256</v>
      </c>
      <c r="G23" s="224">
        <v>73941</v>
      </c>
      <c r="H23" s="224">
        <v>77120</v>
      </c>
      <c r="I23" s="224">
        <v>111299</v>
      </c>
      <c r="J23" s="224">
        <v>117339</v>
      </c>
      <c r="K23" s="35"/>
      <c r="L23" s="35"/>
      <c r="M23" s="35"/>
      <c r="N23" s="35"/>
      <c r="O23" s="35"/>
    </row>
    <row r="24" spans="1:15" s="36" customFormat="1" ht="50.1" customHeight="1" x14ac:dyDescent="0.3">
      <c r="A24" s="166" t="s">
        <v>100</v>
      </c>
      <c r="B24" s="167" t="s">
        <v>26</v>
      </c>
      <c r="C24" s="232">
        <v>6008</v>
      </c>
      <c r="D24" s="232">
        <v>7219</v>
      </c>
      <c r="E24" s="232">
        <v>31046</v>
      </c>
      <c r="F24" s="232">
        <v>33768</v>
      </c>
      <c r="G24" s="224">
        <v>42986</v>
      </c>
      <c r="H24" s="224">
        <v>46899</v>
      </c>
      <c r="I24" s="224">
        <v>53395</v>
      </c>
      <c r="J24" s="224">
        <v>60391</v>
      </c>
      <c r="K24" s="35"/>
      <c r="L24" s="35"/>
      <c r="M24" s="35"/>
      <c r="N24" s="35"/>
      <c r="O24" s="35"/>
    </row>
    <row r="25" spans="1:15" ht="50.1" customHeight="1" x14ac:dyDescent="0.3">
      <c r="A25" s="168" t="s">
        <v>37</v>
      </c>
      <c r="B25" s="169" t="s">
        <v>13</v>
      </c>
      <c r="C25" s="253">
        <v>0</v>
      </c>
      <c r="D25" s="253">
        <v>0</v>
      </c>
      <c r="E25" s="253">
        <v>17063</v>
      </c>
      <c r="F25" s="253">
        <v>17063</v>
      </c>
      <c r="G25" s="223">
        <v>19063</v>
      </c>
      <c r="H25" s="223">
        <v>19063</v>
      </c>
      <c r="I25" s="223">
        <v>21637</v>
      </c>
      <c r="J25" s="223">
        <v>21637</v>
      </c>
      <c r="K25" s="37"/>
      <c r="L25" s="37"/>
      <c r="M25" s="37"/>
      <c r="N25" s="37"/>
      <c r="O25" s="37"/>
    </row>
    <row r="26" spans="1:15" ht="50.1" customHeight="1" x14ac:dyDescent="0.3">
      <c r="A26" s="168" t="s">
        <v>49</v>
      </c>
      <c r="B26" s="169" t="s">
        <v>14</v>
      </c>
      <c r="C26" s="253">
        <v>3860</v>
      </c>
      <c r="D26" s="253">
        <v>3860</v>
      </c>
      <c r="E26" s="253">
        <v>7668</v>
      </c>
      <c r="F26" s="253">
        <v>7668</v>
      </c>
      <c r="G26" s="223">
        <v>10669</v>
      </c>
      <c r="H26" s="223">
        <v>10669</v>
      </c>
      <c r="I26" s="223">
        <v>13573</v>
      </c>
      <c r="J26" s="223">
        <v>13573</v>
      </c>
      <c r="K26" s="37"/>
      <c r="L26" s="37"/>
      <c r="M26" s="37"/>
      <c r="N26" s="37"/>
      <c r="O26" s="37"/>
    </row>
    <row r="27" spans="1:15" s="40" customFormat="1" ht="50.1" customHeight="1" x14ac:dyDescent="0.3">
      <c r="A27" s="168" t="s">
        <v>39</v>
      </c>
      <c r="B27" s="169" t="s">
        <v>15</v>
      </c>
      <c r="C27" s="253">
        <v>0</v>
      </c>
      <c r="D27" s="253">
        <v>0</v>
      </c>
      <c r="E27" s="253">
        <v>0</v>
      </c>
      <c r="F27" s="253">
        <v>0</v>
      </c>
      <c r="G27" s="223">
        <v>0</v>
      </c>
      <c r="H27" s="223">
        <v>0</v>
      </c>
      <c r="I27" s="223">
        <v>0</v>
      </c>
      <c r="J27" s="223">
        <v>0</v>
      </c>
      <c r="K27" s="39"/>
      <c r="L27" s="39"/>
      <c r="M27" s="39"/>
      <c r="N27" s="39"/>
      <c r="O27" s="39"/>
    </row>
    <row r="28" spans="1:15" s="40" customFormat="1" ht="50.1" customHeight="1" x14ac:dyDescent="0.3">
      <c r="A28" s="168" t="s">
        <v>50</v>
      </c>
      <c r="B28" s="169" t="s">
        <v>27</v>
      </c>
      <c r="C28" s="253">
        <v>393</v>
      </c>
      <c r="D28" s="253">
        <v>393</v>
      </c>
      <c r="E28" s="253">
        <v>1132</v>
      </c>
      <c r="F28" s="253">
        <v>1132</v>
      </c>
      <c r="G28" s="223">
        <v>1413</v>
      </c>
      <c r="H28" s="223">
        <v>1413</v>
      </c>
      <c r="I28" s="223">
        <v>1245</v>
      </c>
      <c r="J28" s="223">
        <v>1245</v>
      </c>
      <c r="K28" s="39"/>
      <c r="L28" s="39"/>
      <c r="M28" s="39"/>
      <c r="N28" s="39"/>
      <c r="O28" s="39"/>
    </row>
    <row r="29" spans="1:15" ht="50.1" customHeight="1" x14ac:dyDescent="0.3">
      <c r="A29" s="168" t="s">
        <v>51</v>
      </c>
      <c r="B29" s="169" t="s">
        <v>28</v>
      </c>
      <c r="C29" s="253">
        <v>355</v>
      </c>
      <c r="D29" s="253">
        <v>424</v>
      </c>
      <c r="E29" s="253">
        <v>830</v>
      </c>
      <c r="F29" s="253">
        <v>830</v>
      </c>
      <c r="G29" s="223">
        <v>1745</v>
      </c>
      <c r="H29" s="223">
        <v>1875</v>
      </c>
      <c r="I29" s="223">
        <v>3894</v>
      </c>
      <c r="J29" s="223">
        <v>4194</v>
      </c>
      <c r="K29" s="37"/>
      <c r="L29" s="37"/>
      <c r="M29" s="37"/>
      <c r="N29" s="37"/>
      <c r="O29" s="37"/>
    </row>
    <row r="30" spans="1:15" ht="50.1" customHeight="1" x14ac:dyDescent="0.3">
      <c r="A30" s="173" t="s">
        <v>52</v>
      </c>
      <c r="B30" s="169" t="s">
        <v>29</v>
      </c>
      <c r="C30" s="253">
        <v>0</v>
      </c>
      <c r="D30" s="253">
        <v>0</v>
      </c>
      <c r="E30" s="253">
        <v>612</v>
      </c>
      <c r="F30" s="253">
        <v>612</v>
      </c>
      <c r="G30" s="223">
        <v>612</v>
      </c>
      <c r="H30" s="223">
        <v>612</v>
      </c>
      <c r="I30" s="223">
        <v>4355</v>
      </c>
      <c r="J30" s="223">
        <v>4355</v>
      </c>
      <c r="K30" s="37"/>
      <c r="L30" s="37"/>
      <c r="M30" s="37"/>
      <c r="N30" s="37"/>
      <c r="O30" s="37"/>
    </row>
    <row r="31" spans="1:15" s="40" customFormat="1" ht="50.1" customHeight="1" x14ac:dyDescent="0.3">
      <c r="A31" s="168" t="s">
        <v>53</v>
      </c>
      <c r="B31" s="169" t="s">
        <v>0</v>
      </c>
      <c r="C31" s="253">
        <v>1400</v>
      </c>
      <c r="D31" s="253">
        <v>2542</v>
      </c>
      <c r="E31" s="253">
        <v>3741</v>
      </c>
      <c r="F31" s="253">
        <v>6463</v>
      </c>
      <c r="G31" s="223">
        <v>9484</v>
      </c>
      <c r="H31" s="223">
        <v>13267</v>
      </c>
      <c r="I31" s="223">
        <v>8691</v>
      </c>
      <c r="J31" s="223">
        <v>15387</v>
      </c>
      <c r="K31" s="39"/>
      <c r="L31" s="39"/>
      <c r="M31" s="39"/>
      <c r="N31" s="39"/>
      <c r="O31" s="39"/>
    </row>
    <row r="32" spans="1:15" s="42" customFormat="1" ht="50.1" customHeight="1" x14ac:dyDescent="0.3">
      <c r="A32" s="175" t="s">
        <v>99</v>
      </c>
      <c r="B32" s="174" t="s">
        <v>30</v>
      </c>
      <c r="C32" s="232">
        <v>1598</v>
      </c>
      <c r="D32" s="232">
        <v>1598</v>
      </c>
      <c r="E32" s="232">
        <v>3239</v>
      </c>
      <c r="F32" s="232">
        <v>3239</v>
      </c>
      <c r="G32" s="224">
        <v>7051</v>
      </c>
      <c r="H32" s="224">
        <v>7051</v>
      </c>
      <c r="I32" s="224">
        <v>16216</v>
      </c>
      <c r="J32" s="224">
        <v>16216</v>
      </c>
      <c r="K32" s="41"/>
      <c r="L32" s="41"/>
      <c r="M32" s="41"/>
      <c r="N32" s="41"/>
      <c r="O32" s="41"/>
    </row>
    <row r="33" spans="1:15" s="42" customFormat="1" ht="50.1" customHeight="1" x14ac:dyDescent="0.3">
      <c r="A33" s="175" t="s">
        <v>54</v>
      </c>
      <c r="B33" s="174" t="s">
        <v>31</v>
      </c>
      <c r="C33" s="232">
        <v>301</v>
      </c>
      <c r="D33" s="232">
        <v>301</v>
      </c>
      <c r="E33" s="232">
        <v>1443</v>
      </c>
      <c r="F33" s="232">
        <v>1443</v>
      </c>
      <c r="G33" s="224">
        <v>2675</v>
      </c>
      <c r="H33" s="224">
        <v>2675</v>
      </c>
      <c r="I33" s="224">
        <v>7855</v>
      </c>
      <c r="J33" s="224">
        <v>7855</v>
      </c>
      <c r="K33" s="41"/>
      <c r="L33" s="41"/>
      <c r="M33" s="41"/>
      <c r="N33" s="41"/>
      <c r="O33" s="41"/>
    </row>
    <row r="34" spans="1:15" s="42" customFormat="1" ht="50.1" customHeight="1" x14ac:dyDescent="0.3">
      <c r="A34" s="176" t="s">
        <v>53</v>
      </c>
      <c r="B34" s="177" t="s">
        <v>0</v>
      </c>
      <c r="C34" s="233">
        <v>5524</v>
      </c>
      <c r="D34" s="233">
        <v>5578</v>
      </c>
      <c r="E34" s="233">
        <v>14570</v>
      </c>
      <c r="F34" s="233">
        <v>13806</v>
      </c>
      <c r="G34" s="225">
        <v>21229</v>
      </c>
      <c r="H34" s="225">
        <v>20495</v>
      </c>
      <c r="I34" s="225">
        <v>33833</v>
      </c>
      <c r="J34" s="225">
        <v>32877</v>
      </c>
      <c r="K34" s="41"/>
      <c r="L34" s="41"/>
      <c r="M34" s="41"/>
      <c r="N34" s="41"/>
      <c r="O34" s="41"/>
    </row>
    <row r="35" spans="1:15" s="42" customFormat="1" ht="21.9" customHeight="1" x14ac:dyDescent="0.3">
      <c r="A35" s="110" t="s">
        <v>69</v>
      </c>
      <c r="B35" s="109" t="s">
        <v>70</v>
      </c>
      <c r="C35" s="11"/>
      <c r="D35" s="11"/>
      <c r="E35" s="11"/>
      <c r="F35" s="11"/>
      <c r="G35" s="9"/>
      <c r="H35" s="9"/>
      <c r="I35" s="9"/>
      <c r="J35" s="9"/>
      <c r="K35" s="41"/>
      <c r="L35" s="41"/>
      <c r="M35" s="41"/>
      <c r="N35" s="41"/>
      <c r="O35" s="41"/>
    </row>
    <row r="36" spans="1:15" ht="96.6" customHeight="1" x14ac:dyDescent="0.3">
      <c r="A36" s="5" t="s">
        <v>57</v>
      </c>
      <c r="B36" s="6" t="s">
        <v>56</v>
      </c>
      <c r="C36" s="38"/>
      <c r="D36" s="38"/>
      <c r="E36" s="38"/>
      <c r="F36" s="38"/>
      <c r="G36" s="38"/>
      <c r="H36" s="38"/>
      <c r="I36" s="38"/>
      <c r="J36" s="38"/>
    </row>
    <row r="37" spans="1:15" ht="21.9" customHeight="1" x14ac:dyDescent="0.3">
      <c r="B37" s="7" t="s">
        <v>59</v>
      </c>
      <c r="C37" s="44"/>
      <c r="D37" s="44"/>
      <c r="E37" s="44"/>
      <c r="F37" s="44"/>
      <c r="G37" s="44"/>
      <c r="H37" s="44"/>
      <c r="I37" s="44"/>
      <c r="J37" s="44"/>
    </row>
    <row r="38" spans="1:15" ht="45.6" customHeight="1" x14ac:dyDescent="0.3">
      <c r="A38" s="51" t="s">
        <v>68</v>
      </c>
      <c r="B38" s="329" t="s">
        <v>76</v>
      </c>
      <c r="C38" s="329"/>
      <c r="D38" s="329"/>
      <c r="E38" s="44"/>
      <c r="F38" s="44"/>
      <c r="G38" s="44"/>
      <c r="H38" s="44"/>
      <c r="I38" s="44"/>
      <c r="J38" s="44"/>
    </row>
    <row r="39" spans="1:15" ht="21.9" customHeight="1" x14ac:dyDescent="0.3"/>
    <row r="40" spans="1:15" ht="21.9" customHeight="1" x14ac:dyDescent="0.3">
      <c r="B40" s="8"/>
      <c r="C40" s="50"/>
      <c r="D40" s="50"/>
      <c r="E40" s="50"/>
      <c r="F40" s="50"/>
      <c r="G40" s="50"/>
      <c r="H40" s="50"/>
      <c r="I40" s="50"/>
      <c r="J40" s="50"/>
    </row>
    <row r="41" spans="1:15" ht="21.9" customHeight="1" x14ac:dyDescent="0.3"/>
    <row r="42" spans="1:15" ht="21.9" customHeight="1" x14ac:dyDescent="0.3"/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9">
    <mergeCell ref="B38:D38"/>
    <mergeCell ref="B3:B4"/>
    <mergeCell ref="C2:D2"/>
    <mergeCell ref="G2:H2"/>
    <mergeCell ref="C3:J4"/>
    <mergeCell ref="E5:F6"/>
    <mergeCell ref="G5:H6"/>
    <mergeCell ref="I5:J6"/>
    <mergeCell ref="C5:D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  <rowBreaks count="1" manualBreakCount="1">
    <brk id="3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C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2" customWidth="1"/>
    <col min="2" max="2" width="62.5546875" style="7" customWidth="1"/>
    <col min="3" max="10" width="24.5546875" style="3" customWidth="1"/>
    <col min="11" max="16384" width="9.109375" style="2"/>
  </cols>
  <sheetData>
    <row r="1" spans="1:55" ht="69.75" customHeight="1" x14ac:dyDescent="0.3">
      <c r="A1" s="257" t="s">
        <v>93</v>
      </c>
      <c r="B1" s="258" t="s">
        <v>94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55" ht="30.6" customHeight="1" x14ac:dyDescent="0.3">
      <c r="B2" s="49"/>
      <c r="C2" s="344"/>
      <c r="D2" s="344"/>
      <c r="F2" s="1"/>
      <c r="G2" s="345"/>
      <c r="H2" s="345"/>
      <c r="J2" s="256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33" customFormat="1" ht="15" customHeight="1" x14ac:dyDescent="0.35">
      <c r="A3" s="234"/>
      <c r="B3" s="342" t="s">
        <v>1</v>
      </c>
      <c r="C3" s="330" t="s">
        <v>9</v>
      </c>
      <c r="D3" s="331"/>
      <c r="E3" s="331"/>
      <c r="F3" s="331"/>
      <c r="G3" s="331"/>
      <c r="H3" s="331"/>
      <c r="I3" s="331"/>
      <c r="J3" s="332"/>
    </row>
    <row r="4" spans="1:55" s="33" customFormat="1" ht="15" customHeight="1" x14ac:dyDescent="0.35">
      <c r="A4" s="235"/>
      <c r="B4" s="343"/>
      <c r="C4" s="333"/>
      <c r="D4" s="334"/>
      <c r="E4" s="334"/>
      <c r="F4" s="334"/>
      <c r="G4" s="334"/>
      <c r="H4" s="334"/>
      <c r="I4" s="334"/>
      <c r="J4" s="335"/>
    </row>
    <row r="5" spans="1:55" s="33" customFormat="1" ht="15" customHeight="1" x14ac:dyDescent="0.35">
      <c r="A5" s="235"/>
      <c r="B5" s="236"/>
      <c r="C5" s="341" t="s">
        <v>3</v>
      </c>
      <c r="D5" s="341"/>
      <c r="E5" s="341" t="s">
        <v>5</v>
      </c>
      <c r="F5" s="341"/>
      <c r="G5" s="341" t="s">
        <v>6</v>
      </c>
      <c r="H5" s="341"/>
      <c r="I5" s="341" t="s">
        <v>7</v>
      </c>
      <c r="J5" s="341"/>
    </row>
    <row r="6" spans="1:55" s="33" customFormat="1" ht="15" customHeight="1" x14ac:dyDescent="0.35">
      <c r="A6" s="235"/>
      <c r="B6" s="236"/>
      <c r="C6" s="337"/>
      <c r="D6" s="337"/>
      <c r="E6" s="337"/>
      <c r="F6" s="337"/>
      <c r="G6" s="337"/>
      <c r="H6" s="337"/>
      <c r="I6" s="337"/>
      <c r="J6" s="337"/>
    </row>
    <row r="7" spans="1:55" s="34" customFormat="1" ht="81.75" customHeight="1" x14ac:dyDescent="0.35">
      <c r="A7" s="237"/>
      <c r="B7" s="238"/>
      <c r="C7" s="213" t="s">
        <v>2</v>
      </c>
      <c r="D7" s="220" t="s">
        <v>75</v>
      </c>
      <c r="E7" s="213" t="s">
        <v>2</v>
      </c>
      <c r="F7" s="220" t="s">
        <v>75</v>
      </c>
      <c r="G7" s="213" t="s">
        <v>2</v>
      </c>
      <c r="H7" s="220" t="s">
        <v>75</v>
      </c>
      <c r="I7" s="213" t="s">
        <v>2</v>
      </c>
      <c r="J7" s="220" t="s">
        <v>75</v>
      </c>
    </row>
    <row r="8" spans="1:55" s="36" customFormat="1" ht="50.1" customHeight="1" x14ac:dyDescent="0.3">
      <c r="A8" s="162" t="s">
        <v>34</v>
      </c>
      <c r="B8" s="163" t="s">
        <v>11</v>
      </c>
      <c r="C8" s="252">
        <v>33061</v>
      </c>
      <c r="D8" s="252">
        <v>39934</v>
      </c>
      <c r="E8" s="252">
        <v>94691</v>
      </c>
      <c r="F8" s="252">
        <v>109419</v>
      </c>
      <c r="G8" s="252">
        <v>151846</v>
      </c>
      <c r="H8" s="252">
        <v>175181</v>
      </c>
      <c r="I8" s="231">
        <v>268114</v>
      </c>
      <c r="J8" s="231">
        <v>303361</v>
      </c>
      <c r="K8" s="35"/>
      <c r="L8" s="35"/>
      <c r="M8" s="35"/>
      <c r="N8" s="35"/>
      <c r="O8" s="35"/>
    </row>
    <row r="9" spans="1:55" s="36" customFormat="1" ht="50.1" customHeight="1" x14ac:dyDescent="0.3">
      <c r="A9" s="164" t="s">
        <v>35</v>
      </c>
      <c r="B9" s="165" t="s">
        <v>12</v>
      </c>
      <c r="C9" s="232">
        <v>25221</v>
      </c>
      <c r="D9" s="232">
        <v>25221</v>
      </c>
      <c r="E9" s="232">
        <v>65632</v>
      </c>
      <c r="F9" s="232">
        <v>65632</v>
      </c>
      <c r="G9" s="232">
        <v>105904</v>
      </c>
      <c r="H9" s="232">
        <v>105904</v>
      </c>
      <c r="I9" s="224">
        <v>170494</v>
      </c>
      <c r="J9" s="224">
        <v>170494</v>
      </c>
      <c r="K9" s="35"/>
      <c r="L9" s="35"/>
      <c r="M9" s="35"/>
      <c r="N9" s="35"/>
      <c r="O9" s="35"/>
    </row>
    <row r="10" spans="1:55" s="36" customFormat="1" ht="50.1" customHeight="1" x14ac:dyDescent="0.3">
      <c r="A10" s="166" t="s">
        <v>36</v>
      </c>
      <c r="B10" s="167" t="s">
        <v>82</v>
      </c>
      <c r="C10" s="232">
        <v>7024</v>
      </c>
      <c r="D10" s="232">
        <v>7024</v>
      </c>
      <c r="E10" s="232">
        <v>24500</v>
      </c>
      <c r="F10" s="232">
        <v>24500</v>
      </c>
      <c r="G10" s="232">
        <v>41125</v>
      </c>
      <c r="H10" s="232">
        <v>41125</v>
      </c>
      <c r="I10" s="224">
        <v>76618</v>
      </c>
      <c r="J10" s="224">
        <v>76618</v>
      </c>
      <c r="K10" s="35"/>
      <c r="L10" s="35"/>
      <c r="M10" s="35"/>
      <c r="N10" s="35"/>
      <c r="O10" s="35"/>
    </row>
    <row r="11" spans="1:55" ht="50.1" customHeight="1" x14ac:dyDescent="0.3">
      <c r="A11" s="168" t="s">
        <v>37</v>
      </c>
      <c r="B11" s="169" t="s">
        <v>13</v>
      </c>
      <c r="C11" s="253">
        <v>0</v>
      </c>
      <c r="D11" s="253">
        <v>0</v>
      </c>
      <c r="E11" s="253">
        <v>7071</v>
      </c>
      <c r="F11" s="253">
        <v>7071</v>
      </c>
      <c r="G11" s="253">
        <v>15421</v>
      </c>
      <c r="H11" s="253">
        <v>15421</v>
      </c>
      <c r="I11" s="223">
        <v>32181</v>
      </c>
      <c r="J11" s="223">
        <v>32181</v>
      </c>
      <c r="K11" s="37"/>
      <c r="L11" s="37"/>
      <c r="M11" s="37"/>
      <c r="N11" s="37"/>
      <c r="O11" s="37"/>
    </row>
    <row r="12" spans="1:55" ht="50.1" customHeight="1" x14ac:dyDescent="0.3">
      <c r="A12" s="168" t="s">
        <v>38</v>
      </c>
      <c r="B12" s="169" t="s">
        <v>14</v>
      </c>
      <c r="C12" s="253">
        <v>2100</v>
      </c>
      <c r="D12" s="253">
        <v>2100</v>
      </c>
      <c r="E12" s="253">
        <v>4530</v>
      </c>
      <c r="F12" s="253">
        <v>4530</v>
      </c>
      <c r="G12" s="253">
        <v>6630</v>
      </c>
      <c r="H12" s="253">
        <v>6630</v>
      </c>
      <c r="I12" s="223">
        <v>9443</v>
      </c>
      <c r="J12" s="223">
        <v>9443</v>
      </c>
      <c r="K12" s="37"/>
      <c r="L12" s="37"/>
      <c r="M12" s="37"/>
      <c r="N12" s="37"/>
      <c r="O12" s="37"/>
    </row>
    <row r="13" spans="1:55" ht="50.1" customHeight="1" x14ac:dyDescent="0.3">
      <c r="A13" s="168" t="s">
        <v>39</v>
      </c>
      <c r="B13" s="169" t="s">
        <v>15</v>
      </c>
      <c r="C13" s="253">
        <v>0</v>
      </c>
      <c r="D13" s="253">
        <v>0</v>
      </c>
      <c r="E13" s="253">
        <v>0</v>
      </c>
      <c r="F13" s="253">
        <v>0</v>
      </c>
      <c r="G13" s="253">
        <v>0</v>
      </c>
      <c r="H13" s="253">
        <v>0</v>
      </c>
      <c r="I13" s="223">
        <v>0</v>
      </c>
      <c r="J13" s="223">
        <v>0</v>
      </c>
      <c r="K13" s="37"/>
      <c r="L13" s="37"/>
      <c r="M13" s="37"/>
      <c r="N13" s="37"/>
      <c r="O13" s="37"/>
    </row>
    <row r="14" spans="1:55" ht="50.1" customHeight="1" x14ac:dyDescent="0.3">
      <c r="A14" s="168" t="s">
        <v>40</v>
      </c>
      <c r="B14" s="169" t="s">
        <v>16</v>
      </c>
      <c r="C14" s="253">
        <v>2257</v>
      </c>
      <c r="D14" s="253">
        <v>2257</v>
      </c>
      <c r="E14" s="253">
        <v>6129</v>
      </c>
      <c r="F14" s="253">
        <v>6129</v>
      </c>
      <c r="G14" s="253">
        <v>8041</v>
      </c>
      <c r="H14" s="253">
        <v>8041</v>
      </c>
      <c r="I14" s="223">
        <v>18591</v>
      </c>
      <c r="J14" s="223">
        <v>18591</v>
      </c>
      <c r="K14" s="37"/>
      <c r="L14" s="37"/>
      <c r="M14" s="37"/>
      <c r="N14" s="37"/>
      <c r="O14" s="37"/>
    </row>
    <row r="15" spans="1:55" ht="50.1" customHeight="1" x14ac:dyDescent="0.3">
      <c r="A15" s="168" t="s">
        <v>63</v>
      </c>
      <c r="B15" s="169" t="s">
        <v>17</v>
      </c>
      <c r="C15" s="253">
        <v>2667</v>
      </c>
      <c r="D15" s="253">
        <v>2667</v>
      </c>
      <c r="E15" s="253">
        <v>6770</v>
      </c>
      <c r="F15" s="253">
        <v>6770</v>
      </c>
      <c r="G15" s="253">
        <v>11033</v>
      </c>
      <c r="H15" s="253">
        <v>11033</v>
      </c>
      <c r="I15" s="223">
        <v>16403</v>
      </c>
      <c r="J15" s="223">
        <v>16403</v>
      </c>
      <c r="K15" s="37"/>
      <c r="L15" s="37"/>
      <c r="M15" s="37"/>
      <c r="N15" s="37"/>
      <c r="O15" s="37"/>
    </row>
    <row r="16" spans="1:55" s="36" customFormat="1" ht="50.1" customHeight="1" x14ac:dyDescent="0.3">
      <c r="A16" s="166" t="s">
        <v>41</v>
      </c>
      <c r="B16" s="167" t="s">
        <v>18</v>
      </c>
      <c r="C16" s="232">
        <v>1720</v>
      </c>
      <c r="D16" s="232">
        <v>1720</v>
      </c>
      <c r="E16" s="232">
        <v>4119</v>
      </c>
      <c r="F16" s="232">
        <v>4119</v>
      </c>
      <c r="G16" s="232">
        <v>6044</v>
      </c>
      <c r="H16" s="232">
        <v>6044</v>
      </c>
      <c r="I16" s="224">
        <v>8770</v>
      </c>
      <c r="J16" s="224">
        <v>8770</v>
      </c>
      <c r="K16" s="35"/>
      <c r="L16" s="35"/>
      <c r="M16" s="35"/>
      <c r="N16" s="35"/>
      <c r="O16" s="35"/>
    </row>
    <row r="17" spans="1:15" s="36" customFormat="1" ht="50.1" customHeight="1" x14ac:dyDescent="0.3">
      <c r="A17" s="166" t="s">
        <v>42</v>
      </c>
      <c r="B17" s="167" t="s">
        <v>19</v>
      </c>
      <c r="C17" s="232">
        <v>13172</v>
      </c>
      <c r="D17" s="232">
        <v>13172</v>
      </c>
      <c r="E17" s="232">
        <v>30059</v>
      </c>
      <c r="F17" s="232">
        <v>30059</v>
      </c>
      <c r="G17" s="232">
        <v>46400</v>
      </c>
      <c r="H17" s="232">
        <v>46400</v>
      </c>
      <c r="I17" s="224">
        <v>67095</v>
      </c>
      <c r="J17" s="224">
        <v>67095</v>
      </c>
      <c r="K17" s="35"/>
      <c r="L17" s="35"/>
      <c r="M17" s="35"/>
      <c r="N17" s="35"/>
      <c r="O17" s="35"/>
    </row>
    <row r="18" spans="1:15" s="36" customFormat="1" ht="50.1" customHeight="1" x14ac:dyDescent="0.3">
      <c r="A18" s="166" t="s">
        <v>43</v>
      </c>
      <c r="B18" s="167" t="s">
        <v>20</v>
      </c>
      <c r="C18" s="232">
        <v>3026</v>
      </c>
      <c r="D18" s="232">
        <v>3026</v>
      </c>
      <c r="E18" s="232">
        <v>6640</v>
      </c>
      <c r="F18" s="232">
        <v>6640</v>
      </c>
      <c r="G18" s="232">
        <v>10194</v>
      </c>
      <c r="H18" s="232">
        <v>10194</v>
      </c>
      <c r="I18" s="224">
        <v>14702</v>
      </c>
      <c r="J18" s="224">
        <v>14702</v>
      </c>
      <c r="K18" s="35"/>
      <c r="L18" s="35"/>
      <c r="M18" s="35"/>
      <c r="N18" s="35"/>
      <c r="O18" s="35"/>
    </row>
    <row r="19" spans="1:15" s="36" customFormat="1" ht="50.1" customHeight="1" x14ac:dyDescent="0.3">
      <c r="A19" s="166" t="s">
        <v>44</v>
      </c>
      <c r="B19" s="167" t="s">
        <v>21</v>
      </c>
      <c r="C19" s="232">
        <v>279</v>
      </c>
      <c r="D19" s="232">
        <v>279</v>
      </c>
      <c r="E19" s="232">
        <v>314</v>
      </c>
      <c r="F19" s="232">
        <v>314</v>
      </c>
      <c r="G19" s="232">
        <v>2141</v>
      </c>
      <c r="H19" s="232">
        <v>2141</v>
      </c>
      <c r="I19" s="224">
        <v>3309</v>
      </c>
      <c r="J19" s="224">
        <v>3309</v>
      </c>
      <c r="K19" s="35"/>
      <c r="L19" s="35"/>
      <c r="M19" s="35"/>
      <c r="N19" s="35"/>
      <c r="O19" s="35"/>
    </row>
    <row r="20" spans="1:15" s="36" customFormat="1" ht="50.1" customHeight="1" x14ac:dyDescent="0.3">
      <c r="A20" s="170" t="s">
        <v>45</v>
      </c>
      <c r="B20" s="165" t="s">
        <v>22</v>
      </c>
      <c r="C20" s="232">
        <v>-272</v>
      </c>
      <c r="D20" s="232">
        <v>-272</v>
      </c>
      <c r="E20" s="232">
        <v>1949</v>
      </c>
      <c r="F20" s="232">
        <v>1949</v>
      </c>
      <c r="G20" s="232">
        <v>2305</v>
      </c>
      <c r="H20" s="232">
        <v>2305</v>
      </c>
      <c r="I20" s="224">
        <v>4332</v>
      </c>
      <c r="J20" s="224">
        <v>4332</v>
      </c>
      <c r="K20" s="35"/>
      <c r="L20" s="35"/>
      <c r="M20" s="35"/>
      <c r="N20" s="35"/>
      <c r="O20" s="35"/>
    </row>
    <row r="21" spans="1:15" s="38" customFormat="1" ht="50.1" customHeight="1" x14ac:dyDescent="0.25">
      <c r="A21" s="171" t="s">
        <v>46</v>
      </c>
      <c r="B21" s="172" t="s">
        <v>23</v>
      </c>
      <c r="C21" s="253">
        <v>-405</v>
      </c>
      <c r="D21" s="253">
        <v>-405</v>
      </c>
      <c r="E21" s="253">
        <v>1670</v>
      </c>
      <c r="F21" s="253">
        <v>1670</v>
      </c>
      <c r="G21" s="253">
        <v>1774</v>
      </c>
      <c r="H21" s="253">
        <v>1774</v>
      </c>
      <c r="I21" s="223">
        <v>2352</v>
      </c>
      <c r="J21" s="223">
        <v>2352</v>
      </c>
    </row>
    <row r="22" spans="1:15" s="38" customFormat="1" ht="50.1" customHeight="1" x14ac:dyDescent="0.25">
      <c r="A22" s="171" t="s">
        <v>47</v>
      </c>
      <c r="B22" s="172" t="s">
        <v>24</v>
      </c>
      <c r="C22" s="253">
        <v>133</v>
      </c>
      <c r="D22" s="253">
        <v>133</v>
      </c>
      <c r="E22" s="253">
        <v>279</v>
      </c>
      <c r="F22" s="253">
        <v>279</v>
      </c>
      <c r="G22" s="253">
        <v>531</v>
      </c>
      <c r="H22" s="253">
        <v>531</v>
      </c>
      <c r="I22" s="223">
        <v>1980</v>
      </c>
      <c r="J22" s="223">
        <v>1980</v>
      </c>
    </row>
    <row r="23" spans="1:15" s="36" customFormat="1" ht="50.1" customHeight="1" x14ac:dyDescent="0.3">
      <c r="A23" s="164" t="s">
        <v>48</v>
      </c>
      <c r="B23" s="165" t="s">
        <v>25</v>
      </c>
      <c r="C23" s="232">
        <v>8112</v>
      </c>
      <c r="D23" s="232">
        <v>14985</v>
      </c>
      <c r="E23" s="232">
        <v>27110</v>
      </c>
      <c r="F23" s="232">
        <v>41838</v>
      </c>
      <c r="G23" s="232">
        <v>43637</v>
      </c>
      <c r="H23" s="232">
        <v>66972</v>
      </c>
      <c r="I23" s="224">
        <v>93288</v>
      </c>
      <c r="J23" s="224">
        <v>128535</v>
      </c>
      <c r="K23" s="35"/>
      <c r="L23" s="35"/>
      <c r="M23" s="35"/>
      <c r="N23" s="35"/>
      <c r="O23" s="35"/>
    </row>
    <row r="24" spans="1:15" s="36" customFormat="1" ht="50.1" customHeight="1" x14ac:dyDescent="0.3">
      <c r="A24" s="166" t="s">
        <v>100</v>
      </c>
      <c r="B24" s="167" t="s">
        <v>26</v>
      </c>
      <c r="C24" s="232">
        <v>4999</v>
      </c>
      <c r="D24" s="232">
        <v>6181</v>
      </c>
      <c r="E24" s="232">
        <v>19198</v>
      </c>
      <c r="F24" s="232">
        <v>21857</v>
      </c>
      <c r="G24" s="232">
        <v>30663</v>
      </c>
      <c r="H24" s="232">
        <v>34777</v>
      </c>
      <c r="I24" s="224">
        <v>54570</v>
      </c>
      <c r="J24" s="224">
        <v>61618</v>
      </c>
      <c r="K24" s="35"/>
      <c r="L24" s="35"/>
      <c r="M24" s="35"/>
      <c r="N24" s="35"/>
      <c r="O24" s="35"/>
    </row>
    <row r="25" spans="1:15" ht="50.1" customHeight="1" x14ac:dyDescent="0.3">
      <c r="A25" s="168" t="s">
        <v>37</v>
      </c>
      <c r="B25" s="169" t="s">
        <v>13</v>
      </c>
      <c r="C25" s="253">
        <v>0</v>
      </c>
      <c r="D25" s="253">
        <v>0</v>
      </c>
      <c r="E25" s="253">
        <v>9000</v>
      </c>
      <c r="F25" s="253">
        <v>9000</v>
      </c>
      <c r="G25" s="253">
        <v>14493</v>
      </c>
      <c r="H25" s="253">
        <v>14493</v>
      </c>
      <c r="I25" s="223">
        <v>25546</v>
      </c>
      <c r="J25" s="223">
        <v>25546</v>
      </c>
      <c r="K25" s="37"/>
      <c r="L25" s="37"/>
      <c r="M25" s="37"/>
      <c r="N25" s="37"/>
      <c r="O25" s="37"/>
    </row>
    <row r="26" spans="1:15" ht="50.1" customHeight="1" x14ac:dyDescent="0.3">
      <c r="A26" s="168" t="s">
        <v>49</v>
      </c>
      <c r="B26" s="169" t="s">
        <v>14</v>
      </c>
      <c r="C26" s="253">
        <v>3275</v>
      </c>
      <c r="D26" s="253">
        <v>3275</v>
      </c>
      <c r="E26" s="253">
        <v>6256</v>
      </c>
      <c r="F26" s="253">
        <v>6256</v>
      </c>
      <c r="G26" s="253">
        <v>9034</v>
      </c>
      <c r="H26" s="253">
        <v>9034</v>
      </c>
      <c r="I26" s="223">
        <v>12729</v>
      </c>
      <c r="J26" s="223">
        <v>12729</v>
      </c>
      <c r="K26" s="37"/>
      <c r="L26" s="37"/>
      <c r="M26" s="37"/>
      <c r="N26" s="37"/>
      <c r="O26" s="37"/>
    </row>
    <row r="27" spans="1:15" s="40" customFormat="1" ht="50.1" customHeight="1" x14ac:dyDescent="0.3">
      <c r="A27" s="168" t="s">
        <v>39</v>
      </c>
      <c r="B27" s="169" t="s">
        <v>15</v>
      </c>
      <c r="C27" s="253">
        <v>177</v>
      </c>
      <c r="D27" s="253">
        <v>177</v>
      </c>
      <c r="E27" s="253">
        <v>205</v>
      </c>
      <c r="F27" s="253">
        <v>205</v>
      </c>
      <c r="G27" s="253">
        <v>205</v>
      </c>
      <c r="H27" s="253">
        <v>205</v>
      </c>
      <c r="I27" s="223">
        <v>205</v>
      </c>
      <c r="J27" s="223">
        <v>205</v>
      </c>
      <c r="K27" s="39"/>
      <c r="L27" s="39"/>
      <c r="M27" s="39"/>
      <c r="N27" s="39"/>
      <c r="O27" s="39"/>
    </row>
    <row r="28" spans="1:15" s="40" customFormat="1" ht="50.1" customHeight="1" x14ac:dyDescent="0.3">
      <c r="A28" s="168" t="s">
        <v>50</v>
      </c>
      <c r="B28" s="169" t="s">
        <v>27</v>
      </c>
      <c r="C28" s="253">
        <v>0</v>
      </c>
      <c r="D28" s="253">
        <v>0</v>
      </c>
      <c r="E28" s="253">
        <v>364</v>
      </c>
      <c r="F28" s="253">
        <v>364</v>
      </c>
      <c r="G28" s="253">
        <v>497</v>
      </c>
      <c r="H28" s="253">
        <v>497</v>
      </c>
      <c r="I28" s="223">
        <v>1431</v>
      </c>
      <c r="J28" s="223">
        <v>1431</v>
      </c>
      <c r="K28" s="39"/>
      <c r="L28" s="39"/>
      <c r="M28" s="39"/>
      <c r="N28" s="39"/>
      <c r="O28" s="39"/>
    </row>
    <row r="29" spans="1:15" ht="50.1" customHeight="1" x14ac:dyDescent="0.3">
      <c r="A29" s="168" t="s">
        <v>51</v>
      </c>
      <c r="B29" s="169" t="s">
        <v>28</v>
      </c>
      <c r="C29" s="253">
        <v>157</v>
      </c>
      <c r="D29" s="253">
        <v>157</v>
      </c>
      <c r="E29" s="253">
        <v>606</v>
      </c>
      <c r="F29" s="253">
        <v>606</v>
      </c>
      <c r="G29" s="253">
        <v>1200</v>
      </c>
      <c r="H29" s="253">
        <v>1200</v>
      </c>
      <c r="I29" s="223">
        <v>3272</v>
      </c>
      <c r="J29" s="223">
        <v>3272</v>
      </c>
      <c r="K29" s="37"/>
      <c r="L29" s="37"/>
      <c r="M29" s="37"/>
      <c r="N29" s="37"/>
      <c r="O29" s="37"/>
    </row>
    <row r="30" spans="1:15" ht="50.1" customHeight="1" x14ac:dyDescent="0.3">
      <c r="A30" s="173" t="s">
        <v>52</v>
      </c>
      <c r="B30" s="169" t="s">
        <v>29</v>
      </c>
      <c r="C30" s="253">
        <v>1178</v>
      </c>
      <c r="D30" s="253">
        <v>1178</v>
      </c>
      <c r="E30" s="253">
        <v>1178</v>
      </c>
      <c r="F30" s="253">
        <v>1178</v>
      </c>
      <c r="G30" s="253">
        <v>1728</v>
      </c>
      <c r="H30" s="253">
        <v>1728</v>
      </c>
      <c r="I30" s="223">
        <v>4527</v>
      </c>
      <c r="J30" s="223">
        <v>4527</v>
      </c>
      <c r="K30" s="37"/>
      <c r="L30" s="37"/>
      <c r="M30" s="37"/>
      <c r="N30" s="37"/>
      <c r="O30" s="37"/>
    </row>
    <row r="31" spans="1:15" s="40" customFormat="1" ht="50.1" customHeight="1" x14ac:dyDescent="0.3">
      <c r="A31" s="168" t="s">
        <v>53</v>
      </c>
      <c r="B31" s="169" t="s">
        <v>0</v>
      </c>
      <c r="C31" s="253">
        <v>212</v>
      </c>
      <c r="D31" s="253">
        <v>1394</v>
      </c>
      <c r="E31" s="253">
        <v>1589</v>
      </c>
      <c r="F31" s="253">
        <v>4248</v>
      </c>
      <c r="G31" s="253">
        <v>3506</v>
      </c>
      <c r="H31" s="253">
        <v>7620</v>
      </c>
      <c r="I31" s="223">
        <v>6860</v>
      </c>
      <c r="J31" s="223">
        <v>13908</v>
      </c>
      <c r="K31" s="39"/>
      <c r="L31" s="39"/>
      <c r="M31" s="39"/>
      <c r="N31" s="39"/>
      <c r="O31" s="39"/>
    </row>
    <row r="32" spans="1:15" s="42" customFormat="1" ht="50.1" customHeight="1" x14ac:dyDescent="0.3">
      <c r="A32" s="175" t="s">
        <v>99</v>
      </c>
      <c r="B32" s="174" t="s">
        <v>30</v>
      </c>
      <c r="C32" s="232">
        <v>2189</v>
      </c>
      <c r="D32" s="232">
        <v>2189</v>
      </c>
      <c r="E32" s="232">
        <v>5365</v>
      </c>
      <c r="F32" s="232">
        <v>5365</v>
      </c>
      <c r="G32" s="232">
        <v>8458</v>
      </c>
      <c r="H32" s="232">
        <v>8458</v>
      </c>
      <c r="I32" s="224">
        <v>17212</v>
      </c>
      <c r="J32" s="224">
        <v>17212</v>
      </c>
      <c r="K32" s="41"/>
      <c r="L32" s="41"/>
      <c r="M32" s="41"/>
      <c r="N32" s="41"/>
      <c r="O32" s="41"/>
    </row>
    <row r="33" spans="1:15" s="42" customFormat="1" ht="50.1" customHeight="1" x14ac:dyDescent="0.3">
      <c r="A33" s="175" t="s">
        <v>54</v>
      </c>
      <c r="B33" s="174" t="s">
        <v>31</v>
      </c>
      <c r="C33" s="232">
        <v>555</v>
      </c>
      <c r="D33" s="232">
        <v>555</v>
      </c>
      <c r="E33" s="232">
        <v>1423</v>
      </c>
      <c r="F33" s="232">
        <v>1423</v>
      </c>
      <c r="G33" s="232">
        <v>2390</v>
      </c>
      <c r="H33" s="232">
        <v>2390</v>
      </c>
      <c r="I33" s="224">
        <v>8873</v>
      </c>
      <c r="J33" s="224">
        <v>8873</v>
      </c>
      <c r="K33" s="41"/>
      <c r="L33" s="41"/>
      <c r="M33" s="41"/>
      <c r="N33" s="41"/>
      <c r="O33" s="41"/>
    </row>
    <row r="34" spans="1:15" s="42" customFormat="1" ht="50.1" customHeight="1" x14ac:dyDescent="0.3">
      <c r="A34" s="176" t="s">
        <v>53</v>
      </c>
      <c r="B34" s="177" t="s">
        <v>0</v>
      </c>
      <c r="C34" s="233">
        <v>369</v>
      </c>
      <c r="D34" s="233">
        <v>6060</v>
      </c>
      <c r="E34" s="233">
        <v>1124</v>
      </c>
      <c r="F34" s="233">
        <v>13193</v>
      </c>
      <c r="G34" s="233">
        <v>2126</v>
      </c>
      <c r="H34" s="233">
        <v>21347</v>
      </c>
      <c r="I34" s="225">
        <v>12633</v>
      </c>
      <c r="J34" s="225">
        <v>40832</v>
      </c>
      <c r="K34" s="41"/>
      <c r="L34" s="41"/>
      <c r="M34" s="41"/>
      <c r="N34" s="41"/>
      <c r="O34" s="41"/>
    </row>
    <row r="35" spans="1:15" s="42" customFormat="1" ht="21.9" customHeight="1" x14ac:dyDescent="0.3">
      <c r="A35" s="110" t="s">
        <v>69</v>
      </c>
      <c r="B35" s="109" t="s">
        <v>70</v>
      </c>
      <c r="C35" s="11"/>
      <c r="D35" s="11"/>
      <c r="E35" s="11"/>
      <c r="F35" s="11"/>
      <c r="G35" s="11"/>
      <c r="H35" s="11"/>
      <c r="I35" s="9"/>
      <c r="J35" s="9"/>
      <c r="K35" s="41"/>
      <c r="L35" s="41"/>
      <c r="M35" s="41"/>
      <c r="N35" s="41"/>
      <c r="O35" s="41"/>
    </row>
    <row r="36" spans="1:15" ht="101.1" customHeight="1" x14ac:dyDescent="0.3">
      <c r="A36" s="5" t="s">
        <v>57</v>
      </c>
      <c r="B36" s="6" t="s">
        <v>56</v>
      </c>
      <c r="C36" s="38"/>
      <c r="D36" s="38"/>
      <c r="E36" s="38"/>
      <c r="F36" s="38"/>
      <c r="G36" s="38"/>
      <c r="H36" s="38"/>
      <c r="I36" s="38"/>
      <c r="J36" s="38"/>
    </row>
    <row r="37" spans="1:15" ht="21.9" customHeight="1" x14ac:dyDescent="0.3">
      <c r="B37" s="7" t="s">
        <v>60</v>
      </c>
      <c r="C37" s="44"/>
      <c r="D37" s="44"/>
      <c r="E37" s="44"/>
      <c r="F37" s="44"/>
      <c r="G37" s="44"/>
      <c r="H37" s="44"/>
      <c r="I37" s="44"/>
      <c r="J37" s="44"/>
    </row>
    <row r="38" spans="1:15" ht="36" customHeight="1" x14ac:dyDescent="0.3">
      <c r="A38" s="51" t="s">
        <v>68</v>
      </c>
      <c r="B38" s="329" t="s">
        <v>77</v>
      </c>
      <c r="C38" s="329"/>
      <c r="D38" s="44"/>
      <c r="E38" s="44"/>
      <c r="F38" s="44"/>
      <c r="G38" s="44"/>
      <c r="H38" s="44"/>
      <c r="I38" s="44"/>
      <c r="J38" s="44"/>
    </row>
    <row r="39" spans="1:15" ht="12" customHeight="1" x14ac:dyDescent="0.3"/>
    <row r="40" spans="1:15" ht="21.9" customHeight="1" x14ac:dyDescent="0.3">
      <c r="B40" s="8"/>
      <c r="C40" s="50"/>
      <c r="D40" s="50"/>
      <c r="E40" s="50"/>
      <c r="F40" s="50"/>
      <c r="G40" s="50"/>
      <c r="H40" s="50"/>
      <c r="I40" s="50"/>
      <c r="J40" s="50"/>
    </row>
    <row r="41" spans="1:15" ht="21.9" customHeight="1" x14ac:dyDescent="0.3">
      <c r="A41" s="10"/>
    </row>
    <row r="42" spans="1:15" ht="21.9" customHeight="1" x14ac:dyDescent="0.3"/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9">
    <mergeCell ref="B38:C38"/>
    <mergeCell ref="B3:B4"/>
    <mergeCell ref="C2:D2"/>
    <mergeCell ref="G2:H2"/>
    <mergeCell ref="C3:J4"/>
    <mergeCell ref="I5:J6"/>
    <mergeCell ref="C5:D6"/>
    <mergeCell ref="E5:F6"/>
    <mergeCell ref="G5:H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  <rowBreaks count="1" manualBreakCount="1">
    <brk id="3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C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2" customWidth="1"/>
    <col min="2" max="2" width="62.5546875" style="48" customWidth="1"/>
    <col min="3" max="10" width="24.5546875" style="66" customWidth="1"/>
    <col min="11" max="16384" width="9.109375" style="57"/>
  </cols>
  <sheetData>
    <row r="1" spans="1:55" s="2" customFormat="1" ht="90.75" customHeight="1" x14ac:dyDescent="0.3">
      <c r="A1" s="257" t="s">
        <v>93</v>
      </c>
      <c r="B1" s="258" t="s">
        <v>94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55" s="2" customFormat="1" ht="26.4" customHeight="1" x14ac:dyDescent="0.3">
      <c r="B2" s="49"/>
      <c r="C2" s="344"/>
      <c r="D2" s="344"/>
      <c r="E2" s="3"/>
      <c r="F2" s="1"/>
      <c r="G2" s="345"/>
      <c r="H2" s="345"/>
      <c r="I2" s="3"/>
      <c r="J2" s="256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52" customFormat="1" ht="15" customHeight="1" x14ac:dyDescent="0.35">
      <c r="A3" s="239"/>
      <c r="B3" s="346" t="s">
        <v>1</v>
      </c>
      <c r="C3" s="348" t="s">
        <v>61</v>
      </c>
      <c r="D3" s="349"/>
      <c r="E3" s="349"/>
      <c r="F3" s="349"/>
      <c r="G3" s="349"/>
      <c r="H3" s="349"/>
      <c r="I3" s="349"/>
      <c r="J3" s="350"/>
    </row>
    <row r="4" spans="1:55" s="52" customFormat="1" ht="15" customHeight="1" x14ac:dyDescent="0.35">
      <c r="A4" s="240"/>
      <c r="B4" s="347"/>
      <c r="C4" s="351"/>
      <c r="D4" s="352"/>
      <c r="E4" s="352"/>
      <c r="F4" s="352"/>
      <c r="G4" s="352"/>
      <c r="H4" s="352"/>
      <c r="I4" s="352"/>
      <c r="J4" s="353"/>
    </row>
    <row r="5" spans="1:55" s="52" customFormat="1" ht="15" customHeight="1" x14ac:dyDescent="0.35">
      <c r="A5" s="235"/>
      <c r="B5" s="241"/>
      <c r="C5" s="354" t="s">
        <v>3</v>
      </c>
      <c r="D5" s="354"/>
      <c r="E5" s="354" t="s">
        <v>5</v>
      </c>
      <c r="F5" s="354"/>
      <c r="G5" s="354" t="s">
        <v>6</v>
      </c>
      <c r="H5" s="354"/>
      <c r="I5" s="354" t="s">
        <v>7</v>
      </c>
      <c r="J5" s="354"/>
    </row>
    <row r="6" spans="1:55" s="52" customFormat="1" ht="15" customHeight="1" x14ac:dyDescent="0.35">
      <c r="A6" s="235"/>
      <c r="B6" s="241"/>
      <c r="C6" s="355"/>
      <c r="D6" s="355"/>
      <c r="E6" s="355"/>
      <c r="F6" s="355"/>
      <c r="G6" s="355"/>
      <c r="H6" s="355"/>
      <c r="I6" s="355"/>
      <c r="J6" s="355"/>
    </row>
    <row r="7" spans="1:55" s="53" customFormat="1" ht="81.75" customHeight="1" x14ac:dyDescent="0.35">
      <c r="A7" s="235"/>
      <c r="B7" s="242"/>
      <c r="C7" s="212" t="s">
        <v>2</v>
      </c>
      <c r="D7" s="220" t="s">
        <v>75</v>
      </c>
      <c r="E7" s="212" t="s">
        <v>2</v>
      </c>
      <c r="F7" s="220" t="s">
        <v>75</v>
      </c>
      <c r="G7" s="212" t="s">
        <v>2</v>
      </c>
      <c r="H7" s="220" t="s">
        <v>75</v>
      </c>
      <c r="I7" s="212" t="s">
        <v>2</v>
      </c>
      <c r="J7" s="220" t="s">
        <v>75</v>
      </c>
    </row>
    <row r="8" spans="1:55" s="55" customFormat="1" ht="50.1" customHeight="1" x14ac:dyDescent="0.3">
      <c r="A8" s="162" t="s">
        <v>34</v>
      </c>
      <c r="B8" s="163" t="s">
        <v>11</v>
      </c>
      <c r="C8" s="372">
        <v>36832</v>
      </c>
      <c r="D8" s="372">
        <v>43726</v>
      </c>
      <c r="E8" s="372">
        <v>99745</v>
      </c>
      <c r="F8" s="372">
        <v>114786</v>
      </c>
      <c r="G8" s="372">
        <v>144323</v>
      </c>
      <c r="H8" s="372">
        <v>168125</v>
      </c>
      <c r="I8" s="243">
        <v>265286</v>
      </c>
      <c r="J8" s="243">
        <v>302010</v>
      </c>
      <c r="K8" s="54"/>
      <c r="L8" s="54"/>
      <c r="M8" s="54"/>
      <c r="N8" s="54"/>
      <c r="O8" s="54"/>
    </row>
    <row r="9" spans="1:55" s="55" customFormat="1" ht="50.1" customHeight="1" x14ac:dyDescent="0.3">
      <c r="A9" s="164" t="s">
        <v>35</v>
      </c>
      <c r="B9" s="165" t="s">
        <v>12</v>
      </c>
      <c r="C9" s="248">
        <v>29555</v>
      </c>
      <c r="D9" s="248">
        <v>29555</v>
      </c>
      <c r="E9" s="248">
        <v>75437</v>
      </c>
      <c r="F9" s="248">
        <v>75437</v>
      </c>
      <c r="G9" s="248">
        <v>109369</v>
      </c>
      <c r="H9" s="248">
        <v>109369</v>
      </c>
      <c r="I9" s="245">
        <v>192072</v>
      </c>
      <c r="J9" s="245">
        <v>192072</v>
      </c>
      <c r="K9" s="54"/>
      <c r="L9" s="54"/>
      <c r="M9" s="54"/>
      <c r="N9" s="54"/>
      <c r="O9" s="54"/>
    </row>
    <row r="10" spans="1:55" s="55" customFormat="1" ht="50.1" customHeight="1" x14ac:dyDescent="0.3">
      <c r="A10" s="166" t="s">
        <v>36</v>
      </c>
      <c r="B10" s="167" t="s">
        <v>82</v>
      </c>
      <c r="C10" s="248">
        <v>7550</v>
      </c>
      <c r="D10" s="248">
        <v>7550</v>
      </c>
      <c r="E10" s="248">
        <v>29908</v>
      </c>
      <c r="F10" s="248">
        <v>29908</v>
      </c>
      <c r="G10" s="248">
        <v>39294</v>
      </c>
      <c r="H10" s="248">
        <v>39294</v>
      </c>
      <c r="I10" s="245">
        <v>89593</v>
      </c>
      <c r="J10" s="245">
        <v>89593</v>
      </c>
      <c r="K10" s="54"/>
      <c r="L10" s="54"/>
      <c r="M10" s="54"/>
      <c r="N10" s="54"/>
      <c r="O10" s="54"/>
    </row>
    <row r="11" spans="1:55" ht="50.1" customHeight="1" x14ac:dyDescent="0.3">
      <c r="A11" s="168" t="s">
        <v>37</v>
      </c>
      <c r="B11" s="169" t="s">
        <v>13</v>
      </c>
      <c r="C11" s="373">
        <v>0</v>
      </c>
      <c r="D11" s="373">
        <v>0</v>
      </c>
      <c r="E11" s="373">
        <v>9752</v>
      </c>
      <c r="F11" s="373">
        <v>9752</v>
      </c>
      <c r="G11" s="373">
        <v>9792</v>
      </c>
      <c r="H11" s="373">
        <v>9792</v>
      </c>
      <c r="I11" s="247">
        <v>34308</v>
      </c>
      <c r="J11" s="247">
        <v>34308</v>
      </c>
      <c r="K11" s="56"/>
      <c r="L11" s="56"/>
      <c r="M11" s="56"/>
      <c r="N11" s="56"/>
      <c r="O11" s="56"/>
    </row>
    <row r="12" spans="1:55" ht="50.1" customHeight="1" x14ac:dyDescent="0.3">
      <c r="A12" s="168" t="s">
        <v>38</v>
      </c>
      <c r="B12" s="169" t="s">
        <v>14</v>
      </c>
      <c r="C12" s="373">
        <v>2000</v>
      </c>
      <c r="D12" s="373">
        <v>2000</v>
      </c>
      <c r="E12" s="373">
        <v>5000</v>
      </c>
      <c r="F12" s="373">
        <v>5000</v>
      </c>
      <c r="G12" s="373">
        <v>7500</v>
      </c>
      <c r="H12" s="373">
        <v>7500</v>
      </c>
      <c r="I12" s="247">
        <v>10900</v>
      </c>
      <c r="J12" s="247">
        <v>10900</v>
      </c>
      <c r="K12" s="56"/>
      <c r="L12" s="56"/>
      <c r="M12" s="56"/>
      <c r="N12" s="56"/>
      <c r="O12" s="56"/>
    </row>
    <row r="13" spans="1:55" ht="50.1" customHeight="1" x14ac:dyDescent="0.3">
      <c r="A13" s="168" t="s">
        <v>39</v>
      </c>
      <c r="B13" s="169" t="s">
        <v>15</v>
      </c>
      <c r="C13" s="373">
        <v>0</v>
      </c>
      <c r="D13" s="373">
        <v>0</v>
      </c>
      <c r="E13" s="373">
        <v>0</v>
      </c>
      <c r="F13" s="373">
        <v>0</v>
      </c>
      <c r="G13" s="373">
        <v>0</v>
      </c>
      <c r="H13" s="373">
        <v>0</v>
      </c>
      <c r="I13" s="247">
        <v>0</v>
      </c>
      <c r="J13" s="247">
        <v>0</v>
      </c>
      <c r="K13" s="56"/>
      <c r="L13" s="56"/>
      <c r="M13" s="56"/>
      <c r="N13" s="56"/>
      <c r="O13" s="56"/>
    </row>
    <row r="14" spans="1:55" ht="50.1" customHeight="1" x14ac:dyDescent="0.3">
      <c r="A14" s="168" t="s">
        <v>40</v>
      </c>
      <c r="B14" s="169" t="s">
        <v>16</v>
      </c>
      <c r="C14" s="373">
        <v>2286</v>
      </c>
      <c r="D14" s="373">
        <v>2286</v>
      </c>
      <c r="E14" s="373">
        <v>7003</v>
      </c>
      <c r="F14" s="373">
        <v>7003</v>
      </c>
      <c r="G14" s="373">
        <v>9048</v>
      </c>
      <c r="H14" s="373">
        <v>9048</v>
      </c>
      <c r="I14" s="247">
        <v>25330</v>
      </c>
      <c r="J14" s="247">
        <v>25330</v>
      </c>
      <c r="K14" s="56"/>
      <c r="L14" s="56"/>
      <c r="M14" s="56"/>
      <c r="N14" s="56"/>
      <c r="O14" s="56"/>
    </row>
    <row r="15" spans="1:55" ht="50.1" customHeight="1" x14ac:dyDescent="0.3">
      <c r="A15" s="168" t="s">
        <v>63</v>
      </c>
      <c r="B15" s="169" t="s">
        <v>17</v>
      </c>
      <c r="C15" s="373">
        <v>3264</v>
      </c>
      <c r="D15" s="373">
        <v>3264</v>
      </c>
      <c r="E15" s="373">
        <v>8153</v>
      </c>
      <c r="F15" s="373">
        <v>8153</v>
      </c>
      <c r="G15" s="373">
        <v>12954</v>
      </c>
      <c r="H15" s="373">
        <v>12954</v>
      </c>
      <c r="I15" s="247">
        <v>19055</v>
      </c>
      <c r="J15" s="247">
        <v>19055</v>
      </c>
      <c r="K15" s="56"/>
      <c r="L15" s="56"/>
      <c r="M15" s="56"/>
      <c r="N15" s="56"/>
      <c r="O15" s="56"/>
    </row>
    <row r="16" spans="1:55" s="55" customFormat="1" ht="50.1" customHeight="1" x14ac:dyDescent="0.3">
      <c r="A16" s="166" t="s">
        <v>41</v>
      </c>
      <c r="B16" s="167" t="s">
        <v>18</v>
      </c>
      <c r="C16" s="248">
        <v>2651</v>
      </c>
      <c r="D16" s="248">
        <v>2651</v>
      </c>
      <c r="E16" s="248">
        <v>4588</v>
      </c>
      <c r="F16" s="248">
        <v>4588</v>
      </c>
      <c r="G16" s="248">
        <v>6983</v>
      </c>
      <c r="H16" s="248">
        <v>6983</v>
      </c>
      <c r="I16" s="245">
        <v>9452</v>
      </c>
      <c r="J16" s="245">
        <v>9452</v>
      </c>
      <c r="K16" s="54"/>
      <c r="L16" s="54"/>
      <c r="M16" s="54"/>
      <c r="N16" s="54"/>
      <c r="O16" s="54"/>
    </row>
    <row r="17" spans="1:15" s="55" customFormat="1" ht="50.1" customHeight="1" x14ac:dyDescent="0.3">
      <c r="A17" s="166" t="s">
        <v>42</v>
      </c>
      <c r="B17" s="167" t="s">
        <v>19</v>
      </c>
      <c r="C17" s="248">
        <v>15686</v>
      </c>
      <c r="D17" s="248">
        <v>15686</v>
      </c>
      <c r="E17" s="248">
        <v>33826</v>
      </c>
      <c r="F17" s="248">
        <v>33826</v>
      </c>
      <c r="G17" s="248">
        <v>51114</v>
      </c>
      <c r="H17" s="248">
        <v>51114</v>
      </c>
      <c r="I17" s="245">
        <v>76068</v>
      </c>
      <c r="J17" s="245">
        <v>76068</v>
      </c>
      <c r="K17" s="54"/>
      <c r="L17" s="54"/>
      <c r="M17" s="54"/>
      <c r="N17" s="54"/>
      <c r="O17" s="54"/>
    </row>
    <row r="18" spans="1:15" s="55" customFormat="1" ht="50.1" customHeight="1" x14ac:dyDescent="0.3">
      <c r="A18" s="166" t="s">
        <v>43</v>
      </c>
      <c r="B18" s="167" t="s">
        <v>20</v>
      </c>
      <c r="C18" s="248">
        <v>3411</v>
      </c>
      <c r="D18" s="248">
        <v>3411</v>
      </c>
      <c r="E18" s="248">
        <v>6858</v>
      </c>
      <c r="F18" s="248">
        <v>6858</v>
      </c>
      <c r="G18" s="248">
        <v>9989</v>
      </c>
      <c r="H18" s="248">
        <v>9989</v>
      </c>
      <c r="I18" s="245">
        <v>13858</v>
      </c>
      <c r="J18" s="245">
        <v>13858</v>
      </c>
      <c r="K18" s="54"/>
      <c r="L18" s="54"/>
      <c r="M18" s="54"/>
      <c r="N18" s="54"/>
      <c r="O18" s="54"/>
    </row>
    <row r="19" spans="1:15" s="55" customFormat="1" ht="50.1" customHeight="1" x14ac:dyDescent="0.3">
      <c r="A19" s="166" t="s">
        <v>44</v>
      </c>
      <c r="B19" s="167" t="s">
        <v>21</v>
      </c>
      <c r="C19" s="248">
        <v>257</v>
      </c>
      <c r="D19" s="248">
        <v>257</v>
      </c>
      <c r="E19" s="248">
        <v>257</v>
      </c>
      <c r="F19" s="248">
        <v>257</v>
      </c>
      <c r="G19" s="248">
        <v>1989</v>
      </c>
      <c r="H19" s="248">
        <v>1989</v>
      </c>
      <c r="I19" s="245">
        <v>3101</v>
      </c>
      <c r="J19" s="245">
        <v>3101</v>
      </c>
      <c r="K19" s="54"/>
      <c r="L19" s="54"/>
      <c r="M19" s="54"/>
      <c r="N19" s="54"/>
      <c r="O19" s="54"/>
    </row>
    <row r="20" spans="1:15" s="55" customFormat="1" ht="50.1" customHeight="1" x14ac:dyDescent="0.3">
      <c r="A20" s="170" t="s">
        <v>45</v>
      </c>
      <c r="B20" s="165" t="s">
        <v>22</v>
      </c>
      <c r="C20" s="248">
        <v>39</v>
      </c>
      <c r="D20" s="248">
        <v>39</v>
      </c>
      <c r="E20" s="248">
        <v>2131</v>
      </c>
      <c r="F20" s="248">
        <v>2131</v>
      </c>
      <c r="G20" s="248">
        <v>807</v>
      </c>
      <c r="H20" s="248">
        <v>807</v>
      </c>
      <c r="I20" s="245">
        <v>2287</v>
      </c>
      <c r="J20" s="245">
        <v>2287</v>
      </c>
      <c r="K20" s="54"/>
      <c r="L20" s="54"/>
      <c r="M20" s="54"/>
      <c r="N20" s="54"/>
      <c r="O20" s="54"/>
    </row>
    <row r="21" spans="1:15" s="58" customFormat="1" ht="50.1" customHeight="1" x14ac:dyDescent="0.25">
      <c r="A21" s="171" t="s">
        <v>46</v>
      </c>
      <c r="B21" s="172" t="s">
        <v>23</v>
      </c>
      <c r="C21" s="373">
        <v>2</v>
      </c>
      <c r="D21" s="373">
        <v>2</v>
      </c>
      <c r="E21" s="373">
        <v>46</v>
      </c>
      <c r="F21" s="373">
        <v>46</v>
      </c>
      <c r="G21" s="373">
        <v>226</v>
      </c>
      <c r="H21" s="373">
        <v>226</v>
      </c>
      <c r="I21" s="247">
        <v>252</v>
      </c>
      <c r="J21" s="247">
        <v>252</v>
      </c>
    </row>
    <row r="22" spans="1:15" s="58" customFormat="1" ht="50.1" customHeight="1" x14ac:dyDescent="0.25">
      <c r="A22" s="171" t="s">
        <v>47</v>
      </c>
      <c r="B22" s="172" t="s">
        <v>24</v>
      </c>
      <c r="C22" s="373">
        <v>37</v>
      </c>
      <c r="D22" s="373">
        <v>37</v>
      </c>
      <c r="E22" s="373">
        <v>2085</v>
      </c>
      <c r="F22" s="373">
        <v>2085</v>
      </c>
      <c r="G22" s="373">
        <v>581</v>
      </c>
      <c r="H22" s="373">
        <v>581</v>
      </c>
      <c r="I22" s="247">
        <v>2035</v>
      </c>
      <c r="J22" s="247">
        <v>2035</v>
      </c>
    </row>
    <row r="23" spans="1:15" s="55" customFormat="1" ht="50.1" customHeight="1" x14ac:dyDescent="0.3">
      <c r="A23" s="164" t="s">
        <v>48</v>
      </c>
      <c r="B23" s="165" t="s">
        <v>25</v>
      </c>
      <c r="C23" s="248">
        <v>7238</v>
      </c>
      <c r="D23" s="248">
        <v>14132</v>
      </c>
      <c r="E23" s="248">
        <v>22177</v>
      </c>
      <c r="F23" s="248">
        <v>37218</v>
      </c>
      <c r="G23" s="248">
        <v>34147</v>
      </c>
      <c r="H23" s="248">
        <v>57949</v>
      </c>
      <c r="I23" s="245">
        <v>70927</v>
      </c>
      <c r="J23" s="245">
        <v>107651</v>
      </c>
      <c r="K23" s="54"/>
      <c r="L23" s="54"/>
      <c r="M23" s="54"/>
      <c r="N23" s="54"/>
      <c r="O23" s="54"/>
    </row>
    <row r="24" spans="1:15" s="55" customFormat="1" ht="50.1" customHeight="1" x14ac:dyDescent="0.3">
      <c r="A24" s="166" t="s">
        <v>100</v>
      </c>
      <c r="B24" s="167" t="s">
        <v>26</v>
      </c>
      <c r="C24" s="248">
        <v>3799</v>
      </c>
      <c r="D24" s="248">
        <v>4651</v>
      </c>
      <c r="E24" s="248">
        <v>14320</v>
      </c>
      <c r="F24" s="248">
        <v>16407</v>
      </c>
      <c r="G24" s="248">
        <v>21314</v>
      </c>
      <c r="H24" s="248">
        <v>24430</v>
      </c>
      <c r="I24" s="245">
        <v>42504</v>
      </c>
      <c r="J24" s="245">
        <v>50137</v>
      </c>
      <c r="K24" s="54"/>
      <c r="L24" s="54"/>
      <c r="M24" s="54"/>
      <c r="N24" s="54"/>
      <c r="O24" s="54"/>
    </row>
    <row r="25" spans="1:15" ht="50.1" customHeight="1" x14ac:dyDescent="0.3">
      <c r="A25" s="168" t="s">
        <v>37</v>
      </c>
      <c r="B25" s="169" t="s">
        <v>13</v>
      </c>
      <c r="C25" s="373">
        <v>221</v>
      </c>
      <c r="D25" s="373">
        <v>221</v>
      </c>
      <c r="E25" s="373">
        <v>5020</v>
      </c>
      <c r="F25" s="373">
        <v>5020</v>
      </c>
      <c r="G25" s="373">
        <v>5085</v>
      </c>
      <c r="H25" s="373">
        <v>5085</v>
      </c>
      <c r="I25" s="247">
        <v>21010</v>
      </c>
      <c r="J25" s="247">
        <v>21010</v>
      </c>
      <c r="K25" s="56"/>
      <c r="L25" s="56"/>
      <c r="M25" s="56"/>
      <c r="N25" s="56"/>
      <c r="O25" s="56"/>
    </row>
    <row r="26" spans="1:15" ht="50.1" customHeight="1" x14ac:dyDescent="0.3">
      <c r="A26" s="168" t="s">
        <v>49</v>
      </c>
      <c r="B26" s="169" t="s">
        <v>14</v>
      </c>
      <c r="C26" s="373">
        <v>20</v>
      </c>
      <c r="D26" s="373">
        <v>20</v>
      </c>
      <c r="E26" s="373">
        <v>7303</v>
      </c>
      <c r="F26" s="373">
        <v>7303</v>
      </c>
      <c r="G26" s="373">
        <v>11312</v>
      </c>
      <c r="H26" s="373">
        <v>11312</v>
      </c>
      <c r="I26" s="247">
        <v>15252</v>
      </c>
      <c r="J26" s="247">
        <v>15252</v>
      </c>
      <c r="K26" s="56"/>
      <c r="L26" s="56"/>
      <c r="M26" s="56"/>
      <c r="N26" s="56"/>
      <c r="O26" s="56"/>
    </row>
    <row r="27" spans="1:15" s="60" customFormat="1" ht="50.1" customHeight="1" x14ac:dyDescent="0.3">
      <c r="A27" s="168" t="s">
        <v>39</v>
      </c>
      <c r="B27" s="169" t="s">
        <v>15</v>
      </c>
      <c r="C27" s="373">
        <v>217</v>
      </c>
      <c r="D27" s="373">
        <v>217</v>
      </c>
      <c r="E27" s="373">
        <v>498</v>
      </c>
      <c r="F27" s="373">
        <v>498</v>
      </c>
      <c r="G27" s="373">
        <v>498</v>
      </c>
      <c r="H27" s="373">
        <v>498</v>
      </c>
      <c r="I27" s="247">
        <v>498</v>
      </c>
      <c r="J27" s="247">
        <v>498</v>
      </c>
      <c r="K27" s="59"/>
      <c r="L27" s="59"/>
      <c r="M27" s="59"/>
      <c r="N27" s="59"/>
      <c r="O27" s="59"/>
    </row>
    <row r="28" spans="1:15" s="60" customFormat="1" ht="50.1" customHeight="1" x14ac:dyDescent="0.3">
      <c r="A28" s="168" t="s">
        <v>50</v>
      </c>
      <c r="B28" s="169" t="s">
        <v>27</v>
      </c>
      <c r="C28" s="373">
        <v>2</v>
      </c>
      <c r="D28" s="373">
        <v>2</v>
      </c>
      <c r="E28" s="373">
        <v>485</v>
      </c>
      <c r="F28" s="373">
        <v>485</v>
      </c>
      <c r="G28" s="373">
        <v>987</v>
      </c>
      <c r="H28" s="373">
        <v>987</v>
      </c>
      <c r="I28" s="247">
        <v>1287</v>
      </c>
      <c r="J28" s="247">
        <v>1287</v>
      </c>
      <c r="K28" s="59"/>
      <c r="L28" s="59"/>
      <c r="M28" s="59"/>
      <c r="N28" s="59"/>
      <c r="O28" s="59"/>
    </row>
    <row r="29" spans="1:15" ht="50.1" customHeight="1" x14ac:dyDescent="0.3">
      <c r="A29" s="168" t="s">
        <v>51</v>
      </c>
      <c r="B29" s="169" t="s">
        <v>28</v>
      </c>
      <c r="C29" s="373">
        <v>0</v>
      </c>
      <c r="D29" s="373">
        <v>0</v>
      </c>
      <c r="E29" s="373">
        <v>374</v>
      </c>
      <c r="F29" s="373">
        <v>374</v>
      </c>
      <c r="G29" s="373">
        <v>1153</v>
      </c>
      <c r="H29" s="373">
        <v>1153</v>
      </c>
      <c r="I29" s="247">
        <v>3266</v>
      </c>
      <c r="J29" s="247">
        <v>3266</v>
      </c>
      <c r="K29" s="56"/>
      <c r="L29" s="56"/>
      <c r="M29" s="56"/>
      <c r="N29" s="56"/>
      <c r="O29" s="56"/>
    </row>
    <row r="30" spans="1:15" ht="50.1" customHeight="1" x14ac:dyDescent="0.3">
      <c r="A30" s="173" t="s">
        <v>52</v>
      </c>
      <c r="B30" s="169" t="s">
        <v>29</v>
      </c>
      <c r="C30" s="373">
        <v>472</v>
      </c>
      <c r="D30" s="373">
        <v>6806</v>
      </c>
      <c r="E30" s="373">
        <v>0</v>
      </c>
      <c r="F30" s="373">
        <v>0</v>
      </c>
      <c r="G30" s="373">
        <v>800</v>
      </c>
      <c r="H30" s="373">
        <v>800</v>
      </c>
      <c r="I30" s="247">
        <v>-2912</v>
      </c>
      <c r="J30" s="247">
        <v>-2912</v>
      </c>
      <c r="K30" s="56"/>
      <c r="L30" s="56"/>
      <c r="M30" s="56"/>
      <c r="N30" s="56"/>
      <c r="O30" s="56"/>
    </row>
    <row r="31" spans="1:15" s="60" customFormat="1" ht="50.1" customHeight="1" x14ac:dyDescent="0.3">
      <c r="A31" s="168" t="s">
        <v>53</v>
      </c>
      <c r="B31" s="169" t="s">
        <v>0</v>
      </c>
      <c r="C31" s="373">
        <v>2867</v>
      </c>
      <c r="D31" s="373">
        <v>-2615</v>
      </c>
      <c r="E31" s="373">
        <v>640</v>
      </c>
      <c r="F31" s="373">
        <v>2727</v>
      </c>
      <c r="G31" s="373">
        <v>1479</v>
      </c>
      <c r="H31" s="373">
        <v>4595</v>
      </c>
      <c r="I31" s="247">
        <v>4103</v>
      </c>
      <c r="J31" s="247">
        <v>11736</v>
      </c>
      <c r="K31" s="59"/>
      <c r="L31" s="59"/>
      <c r="M31" s="59"/>
      <c r="N31" s="59"/>
      <c r="O31" s="59"/>
    </row>
    <row r="32" spans="1:15" s="62" customFormat="1" ht="50.1" customHeight="1" x14ac:dyDescent="0.3">
      <c r="A32" s="175" t="s">
        <v>99</v>
      </c>
      <c r="B32" s="174" t="s">
        <v>30</v>
      </c>
      <c r="C32" s="248">
        <v>2364</v>
      </c>
      <c r="D32" s="248">
        <v>2364</v>
      </c>
      <c r="E32" s="248">
        <v>5148</v>
      </c>
      <c r="F32" s="248">
        <v>5148</v>
      </c>
      <c r="G32" s="248">
        <v>8128</v>
      </c>
      <c r="H32" s="248">
        <v>8128</v>
      </c>
      <c r="I32" s="245">
        <v>17405</v>
      </c>
      <c r="J32" s="245">
        <v>17405</v>
      </c>
      <c r="K32" s="61"/>
      <c r="L32" s="61"/>
      <c r="M32" s="61"/>
      <c r="N32" s="61"/>
      <c r="O32" s="61"/>
    </row>
    <row r="33" spans="1:15" s="62" customFormat="1" ht="50.1" customHeight="1" x14ac:dyDescent="0.3">
      <c r="A33" s="175" t="s">
        <v>54</v>
      </c>
      <c r="B33" s="174" t="s">
        <v>31</v>
      </c>
      <c r="C33" s="248">
        <v>541</v>
      </c>
      <c r="D33" s="248">
        <v>541</v>
      </c>
      <c r="E33" s="248">
        <v>1529</v>
      </c>
      <c r="F33" s="248">
        <v>1529</v>
      </c>
      <c r="G33" s="248">
        <v>2917</v>
      </c>
      <c r="H33" s="248">
        <v>2917</v>
      </c>
      <c r="I33" s="245">
        <v>8355</v>
      </c>
      <c r="J33" s="245">
        <v>8355</v>
      </c>
      <c r="K33" s="61"/>
      <c r="L33" s="61"/>
      <c r="M33" s="61"/>
      <c r="N33" s="61"/>
      <c r="O33" s="61"/>
    </row>
    <row r="34" spans="1:15" s="62" customFormat="1" ht="50.1" customHeight="1" x14ac:dyDescent="0.3">
      <c r="A34" s="176" t="s">
        <v>53</v>
      </c>
      <c r="B34" s="177" t="s">
        <v>0</v>
      </c>
      <c r="C34" s="249">
        <v>534</v>
      </c>
      <c r="D34" s="249">
        <v>6576</v>
      </c>
      <c r="E34" s="249">
        <v>1180</v>
      </c>
      <c r="F34" s="249">
        <v>14134</v>
      </c>
      <c r="G34" s="249">
        <v>1788</v>
      </c>
      <c r="H34" s="249">
        <v>22474</v>
      </c>
      <c r="I34" s="250">
        <v>2663</v>
      </c>
      <c r="J34" s="250">
        <v>31754</v>
      </c>
      <c r="K34" s="61"/>
      <c r="L34" s="61"/>
      <c r="M34" s="61"/>
      <c r="N34" s="61"/>
      <c r="O34" s="61"/>
    </row>
    <row r="35" spans="1:15" s="62" customFormat="1" ht="21.9" customHeight="1" x14ac:dyDescent="0.3">
      <c r="A35" s="110" t="s">
        <v>69</v>
      </c>
      <c r="B35" s="109" t="s">
        <v>70</v>
      </c>
      <c r="C35" s="63"/>
      <c r="D35" s="63"/>
      <c r="E35" s="63"/>
      <c r="F35" s="63"/>
      <c r="G35" s="63"/>
      <c r="H35" s="63"/>
      <c r="I35" s="64"/>
      <c r="J35" s="64"/>
      <c r="K35" s="61"/>
      <c r="L35" s="61"/>
      <c r="M35" s="61"/>
      <c r="N35" s="61"/>
      <c r="O35" s="61"/>
    </row>
    <row r="36" spans="1:15" ht="96" customHeight="1" x14ac:dyDescent="0.3">
      <c r="A36" s="5" t="s">
        <v>57</v>
      </c>
      <c r="B36" s="6" t="s">
        <v>56</v>
      </c>
      <c r="C36" s="58"/>
      <c r="D36" s="58"/>
      <c r="E36" s="58"/>
      <c r="F36" s="58"/>
      <c r="G36" s="58"/>
      <c r="H36" s="58"/>
      <c r="I36" s="58"/>
      <c r="J36" s="58"/>
    </row>
    <row r="37" spans="1:15" ht="21.9" customHeight="1" x14ac:dyDescent="0.3">
      <c r="A37" s="57"/>
      <c r="B37" s="7" t="s">
        <v>59</v>
      </c>
      <c r="C37" s="65"/>
      <c r="D37" s="65"/>
      <c r="E37" s="65"/>
      <c r="F37" s="65"/>
      <c r="G37" s="65"/>
      <c r="H37" s="65"/>
      <c r="I37" s="65"/>
      <c r="J37" s="65"/>
    </row>
    <row r="38" spans="1:15" ht="38.4" customHeight="1" x14ac:dyDescent="0.3">
      <c r="A38" s="51" t="s">
        <v>68</v>
      </c>
      <c r="B38" s="329" t="s">
        <v>78</v>
      </c>
      <c r="C38" s="329"/>
      <c r="D38" s="329"/>
      <c r="E38" s="65"/>
      <c r="F38" s="65"/>
      <c r="G38" s="65"/>
      <c r="H38" s="65"/>
      <c r="I38" s="65"/>
      <c r="J38" s="65"/>
    </row>
    <row r="39" spans="1:15" ht="21.9" customHeight="1" x14ac:dyDescent="0.3"/>
    <row r="40" spans="1:15" ht="21.9" customHeight="1" x14ac:dyDescent="0.3">
      <c r="B40" s="67"/>
      <c r="C40" s="68"/>
      <c r="D40" s="68"/>
      <c r="E40" s="68"/>
      <c r="F40" s="68"/>
      <c r="G40" s="68"/>
      <c r="H40" s="68"/>
      <c r="I40" s="68"/>
      <c r="J40" s="68"/>
    </row>
    <row r="41" spans="1:15" ht="21.9" customHeight="1" x14ac:dyDescent="0.3"/>
    <row r="42" spans="1:15" ht="21.9" customHeight="1" x14ac:dyDescent="0.3"/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9">
    <mergeCell ref="B38:D38"/>
    <mergeCell ref="B3:B4"/>
    <mergeCell ref="C3:J4"/>
    <mergeCell ref="C2:D2"/>
    <mergeCell ref="G2:H2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3" orientation="landscape" horizontalDpi="4294967295" verticalDpi="4294967295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C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2" customWidth="1"/>
    <col min="2" max="2" width="62.5546875" style="7" customWidth="1"/>
    <col min="3" max="4" width="24.5546875" style="43" customWidth="1"/>
    <col min="5" max="10" width="24.5546875" style="3" customWidth="1"/>
    <col min="11" max="16384" width="9.109375" style="2"/>
  </cols>
  <sheetData>
    <row r="1" spans="1:55" ht="84" customHeight="1" x14ac:dyDescent="0.3">
      <c r="A1" s="257" t="s">
        <v>93</v>
      </c>
      <c r="B1" s="258" t="s">
        <v>94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55" ht="27.75" customHeight="1" x14ac:dyDescent="0.3">
      <c r="B2" s="49"/>
      <c r="C2" s="344"/>
      <c r="D2" s="344"/>
      <c r="F2" s="1"/>
      <c r="G2" s="345"/>
      <c r="H2" s="345"/>
      <c r="J2" s="256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33" customFormat="1" ht="15" customHeight="1" x14ac:dyDescent="0.35">
      <c r="A3" s="226"/>
      <c r="B3" s="342" t="s">
        <v>1</v>
      </c>
      <c r="C3" s="330" t="s">
        <v>4</v>
      </c>
      <c r="D3" s="331"/>
      <c r="E3" s="331"/>
      <c r="F3" s="331"/>
      <c r="G3" s="331"/>
      <c r="H3" s="331"/>
      <c r="I3" s="331"/>
      <c r="J3" s="332"/>
    </row>
    <row r="4" spans="1:55" s="33" customFormat="1" ht="15" customHeight="1" x14ac:dyDescent="0.35">
      <c r="A4" s="227"/>
      <c r="B4" s="343"/>
      <c r="C4" s="333"/>
      <c r="D4" s="334"/>
      <c r="E4" s="334"/>
      <c r="F4" s="334"/>
      <c r="G4" s="334"/>
      <c r="H4" s="334"/>
      <c r="I4" s="334"/>
      <c r="J4" s="335"/>
    </row>
    <row r="5" spans="1:55" s="33" customFormat="1" ht="15" customHeight="1" x14ac:dyDescent="0.35">
      <c r="A5" s="227"/>
      <c r="B5" s="236"/>
      <c r="C5" s="341" t="s">
        <v>3</v>
      </c>
      <c r="D5" s="341"/>
      <c r="E5" s="341" t="s">
        <v>5</v>
      </c>
      <c r="F5" s="341"/>
      <c r="G5" s="341" t="s">
        <v>6</v>
      </c>
      <c r="H5" s="341"/>
      <c r="I5" s="341" t="s">
        <v>7</v>
      </c>
      <c r="J5" s="341"/>
    </row>
    <row r="6" spans="1:55" s="33" customFormat="1" ht="15" customHeight="1" x14ac:dyDescent="0.35">
      <c r="A6" s="227"/>
      <c r="B6" s="236"/>
      <c r="C6" s="337"/>
      <c r="D6" s="337"/>
      <c r="E6" s="337"/>
      <c r="F6" s="337"/>
      <c r="G6" s="337"/>
      <c r="H6" s="337"/>
      <c r="I6" s="337"/>
      <c r="J6" s="337"/>
    </row>
    <row r="7" spans="1:55" s="34" customFormat="1" ht="81.75" customHeight="1" x14ac:dyDescent="0.35">
      <c r="A7" s="251"/>
      <c r="B7" s="238"/>
      <c r="C7" s="213" t="s">
        <v>2</v>
      </c>
      <c r="D7" s="220" t="s">
        <v>75</v>
      </c>
      <c r="E7" s="213" t="s">
        <v>2</v>
      </c>
      <c r="F7" s="220" t="s">
        <v>75</v>
      </c>
      <c r="G7" s="213" t="s">
        <v>2</v>
      </c>
      <c r="H7" s="220" t="s">
        <v>75</v>
      </c>
      <c r="I7" s="213" t="s">
        <v>2</v>
      </c>
      <c r="J7" s="220" t="s">
        <v>75</v>
      </c>
    </row>
    <row r="8" spans="1:55" s="36" customFormat="1" ht="50.1" customHeight="1" x14ac:dyDescent="0.3">
      <c r="A8" s="162" t="s">
        <v>34</v>
      </c>
      <c r="B8" s="163" t="s">
        <v>11</v>
      </c>
      <c r="C8" s="252">
        <v>43844.6</v>
      </c>
      <c r="D8" s="252">
        <v>52902.23</v>
      </c>
      <c r="E8" s="252">
        <v>116623</v>
      </c>
      <c r="F8" s="252">
        <v>136026</v>
      </c>
      <c r="G8" s="252">
        <v>197521</v>
      </c>
      <c r="H8" s="252">
        <v>230093</v>
      </c>
      <c r="I8" s="252">
        <v>303622</v>
      </c>
      <c r="J8" s="252">
        <v>348865</v>
      </c>
      <c r="K8" s="35"/>
      <c r="L8" s="35"/>
      <c r="M8" s="35"/>
      <c r="N8" s="35"/>
      <c r="O8" s="35"/>
    </row>
    <row r="9" spans="1:55" s="36" customFormat="1" ht="50.1" customHeight="1" x14ac:dyDescent="0.3">
      <c r="A9" s="164" t="s">
        <v>35</v>
      </c>
      <c r="B9" s="165" t="s">
        <v>12</v>
      </c>
      <c r="C9" s="232">
        <v>29838</v>
      </c>
      <c r="D9" s="232">
        <v>29838</v>
      </c>
      <c r="E9" s="232">
        <v>79739</v>
      </c>
      <c r="F9" s="232">
        <v>79739</v>
      </c>
      <c r="G9" s="232">
        <v>132290</v>
      </c>
      <c r="H9" s="232">
        <v>132290</v>
      </c>
      <c r="I9" s="232">
        <v>207410</v>
      </c>
      <c r="J9" s="232">
        <v>207410</v>
      </c>
      <c r="K9" s="35"/>
      <c r="L9" s="35"/>
      <c r="M9" s="35"/>
      <c r="N9" s="35"/>
      <c r="O9" s="35"/>
    </row>
    <row r="10" spans="1:55" s="36" customFormat="1" ht="50.1" customHeight="1" x14ac:dyDescent="0.3">
      <c r="A10" s="166" t="s">
        <v>36</v>
      </c>
      <c r="B10" s="167" t="s">
        <v>82</v>
      </c>
      <c r="C10" s="232">
        <v>8304.5</v>
      </c>
      <c r="D10" s="232">
        <v>8304.5</v>
      </c>
      <c r="E10" s="232">
        <v>32566</v>
      </c>
      <c r="F10" s="232">
        <v>32566</v>
      </c>
      <c r="G10" s="232">
        <v>54274</v>
      </c>
      <c r="H10" s="232">
        <v>54274</v>
      </c>
      <c r="I10" s="232">
        <v>91245</v>
      </c>
      <c r="J10" s="232">
        <v>91245</v>
      </c>
      <c r="K10" s="35"/>
      <c r="L10" s="35"/>
      <c r="M10" s="35"/>
      <c r="N10" s="35"/>
      <c r="O10" s="35"/>
    </row>
    <row r="11" spans="1:55" ht="50.1" customHeight="1" x14ac:dyDescent="0.3">
      <c r="A11" s="168" t="s">
        <v>37</v>
      </c>
      <c r="B11" s="169" t="s">
        <v>13</v>
      </c>
      <c r="C11" s="253">
        <v>0</v>
      </c>
      <c r="D11" s="253">
        <v>0</v>
      </c>
      <c r="E11" s="253">
        <v>11326</v>
      </c>
      <c r="F11" s="253">
        <v>11326</v>
      </c>
      <c r="G11" s="253">
        <v>21826</v>
      </c>
      <c r="H11" s="253">
        <v>21826</v>
      </c>
      <c r="I11" s="253">
        <v>34075</v>
      </c>
      <c r="J11" s="253">
        <v>34075</v>
      </c>
      <c r="K11" s="37"/>
      <c r="L11" s="37"/>
      <c r="M11" s="37"/>
      <c r="N11" s="37"/>
      <c r="O11" s="37"/>
    </row>
    <row r="12" spans="1:55" ht="50.1" customHeight="1" x14ac:dyDescent="0.3">
      <c r="A12" s="168" t="s">
        <v>38</v>
      </c>
      <c r="B12" s="169" t="s">
        <v>14</v>
      </c>
      <c r="C12" s="253">
        <v>2600</v>
      </c>
      <c r="D12" s="253">
        <v>2600</v>
      </c>
      <c r="E12" s="253">
        <v>5900</v>
      </c>
      <c r="F12" s="253">
        <v>5900</v>
      </c>
      <c r="G12" s="253">
        <v>8200</v>
      </c>
      <c r="H12" s="253">
        <v>8200</v>
      </c>
      <c r="I12" s="253">
        <v>11800</v>
      </c>
      <c r="J12" s="253">
        <v>11800</v>
      </c>
      <c r="K12" s="37"/>
      <c r="L12" s="37"/>
      <c r="M12" s="37"/>
      <c r="N12" s="37"/>
      <c r="O12" s="37"/>
    </row>
    <row r="13" spans="1:55" ht="50.1" customHeight="1" x14ac:dyDescent="0.3">
      <c r="A13" s="168" t="s">
        <v>39</v>
      </c>
      <c r="B13" s="169" t="s">
        <v>15</v>
      </c>
      <c r="C13" s="253">
        <v>0</v>
      </c>
      <c r="D13" s="253">
        <v>0</v>
      </c>
      <c r="E13" s="253">
        <v>0</v>
      </c>
      <c r="F13" s="253">
        <v>0</v>
      </c>
      <c r="G13" s="253">
        <v>0</v>
      </c>
      <c r="H13" s="253">
        <v>0</v>
      </c>
      <c r="I13" s="253">
        <v>0</v>
      </c>
      <c r="J13" s="253">
        <v>0</v>
      </c>
      <c r="K13" s="37"/>
      <c r="L13" s="37"/>
      <c r="M13" s="37"/>
      <c r="N13" s="37"/>
      <c r="O13" s="37"/>
    </row>
    <row r="14" spans="1:55" ht="50.1" customHeight="1" x14ac:dyDescent="0.3">
      <c r="A14" s="168" t="s">
        <v>40</v>
      </c>
      <c r="B14" s="169" t="s">
        <v>16</v>
      </c>
      <c r="C14" s="253">
        <v>1998</v>
      </c>
      <c r="D14" s="253">
        <v>1998</v>
      </c>
      <c r="E14" s="253">
        <v>6634</v>
      </c>
      <c r="F14" s="253">
        <v>6634</v>
      </c>
      <c r="G14" s="253">
        <v>10030</v>
      </c>
      <c r="H14" s="253">
        <v>10030</v>
      </c>
      <c r="I14" s="253">
        <v>23674</v>
      </c>
      <c r="J14" s="253">
        <v>23674</v>
      </c>
      <c r="K14" s="37"/>
      <c r="L14" s="37"/>
      <c r="M14" s="37"/>
      <c r="N14" s="37"/>
      <c r="O14" s="37"/>
    </row>
    <row r="15" spans="1:55" ht="50.1" customHeight="1" x14ac:dyDescent="0.3">
      <c r="A15" s="168" t="s">
        <v>63</v>
      </c>
      <c r="B15" s="169" t="s">
        <v>17</v>
      </c>
      <c r="C15" s="253">
        <v>3707</v>
      </c>
      <c r="D15" s="253">
        <v>3707</v>
      </c>
      <c r="E15" s="253">
        <v>8706</v>
      </c>
      <c r="F15" s="253">
        <v>8706</v>
      </c>
      <c r="G15" s="253">
        <v>14218</v>
      </c>
      <c r="H15" s="253">
        <v>14218</v>
      </c>
      <c r="I15" s="253">
        <v>21696</v>
      </c>
      <c r="J15" s="253">
        <v>21696</v>
      </c>
      <c r="K15" s="37"/>
      <c r="L15" s="37"/>
      <c r="M15" s="37"/>
      <c r="N15" s="37"/>
      <c r="O15" s="37"/>
    </row>
    <row r="16" spans="1:55" s="36" customFormat="1" ht="50.1" customHeight="1" x14ac:dyDescent="0.3">
      <c r="A16" s="166" t="s">
        <v>41</v>
      </c>
      <c r="B16" s="167" t="s">
        <v>18</v>
      </c>
      <c r="C16" s="232">
        <v>3088.3</v>
      </c>
      <c r="D16" s="232">
        <v>3088.3</v>
      </c>
      <c r="E16" s="232">
        <v>5917</v>
      </c>
      <c r="F16" s="232">
        <v>5917</v>
      </c>
      <c r="G16" s="232">
        <v>9687</v>
      </c>
      <c r="H16" s="232">
        <v>9687</v>
      </c>
      <c r="I16" s="232">
        <v>13089</v>
      </c>
      <c r="J16" s="232">
        <v>13089</v>
      </c>
      <c r="K16" s="35"/>
      <c r="L16" s="35"/>
      <c r="M16" s="35"/>
      <c r="N16" s="35"/>
      <c r="O16" s="35"/>
    </row>
    <row r="17" spans="1:15" s="36" customFormat="1" ht="50.1" customHeight="1" x14ac:dyDescent="0.3">
      <c r="A17" s="166" t="s">
        <v>42</v>
      </c>
      <c r="B17" s="167" t="s">
        <v>19</v>
      </c>
      <c r="C17" s="232">
        <v>14949.3</v>
      </c>
      <c r="D17" s="232">
        <v>14949.3</v>
      </c>
      <c r="E17" s="232">
        <v>34707</v>
      </c>
      <c r="F17" s="232">
        <v>34707</v>
      </c>
      <c r="G17" s="232">
        <v>55342</v>
      </c>
      <c r="H17" s="232">
        <v>55342</v>
      </c>
      <c r="I17" s="232">
        <v>84594</v>
      </c>
      <c r="J17" s="232">
        <v>84594</v>
      </c>
      <c r="K17" s="35"/>
      <c r="L17" s="35"/>
      <c r="M17" s="35"/>
      <c r="N17" s="35"/>
      <c r="O17" s="35"/>
    </row>
    <row r="18" spans="1:15" s="36" customFormat="1" ht="50.1" customHeight="1" x14ac:dyDescent="0.3">
      <c r="A18" s="166" t="s">
        <v>43</v>
      </c>
      <c r="B18" s="167" t="s">
        <v>20</v>
      </c>
      <c r="C18" s="232">
        <v>3255.8</v>
      </c>
      <c r="D18" s="232">
        <v>3255.8</v>
      </c>
      <c r="E18" s="232">
        <v>6308</v>
      </c>
      <c r="F18" s="232">
        <v>6308</v>
      </c>
      <c r="G18" s="232">
        <v>10764</v>
      </c>
      <c r="H18" s="232">
        <v>10764</v>
      </c>
      <c r="I18" s="232">
        <v>14788</v>
      </c>
      <c r="J18" s="232">
        <v>14788</v>
      </c>
      <c r="K18" s="35"/>
      <c r="L18" s="35"/>
      <c r="M18" s="35"/>
      <c r="N18" s="35"/>
      <c r="O18" s="35"/>
    </row>
    <row r="19" spans="1:15" s="36" customFormat="1" ht="50.1" customHeight="1" x14ac:dyDescent="0.3">
      <c r="A19" s="166" t="s">
        <v>44</v>
      </c>
      <c r="B19" s="167" t="s">
        <v>21</v>
      </c>
      <c r="C19" s="232">
        <v>240.1</v>
      </c>
      <c r="D19" s="232">
        <v>240.1</v>
      </c>
      <c r="E19" s="232">
        <v>241</v>
      </c>
      <c r="F19" s="232">
        <v>241</v>
      </c>
      <c r="G19" s="232">
        <v>2223</v>
      </c>
      <c r="H19" s="232">
        <v>2223</v>
      </c>
      <c r="I19" s="232">
        <v>3694</v>
      </c>
      <c r="J19" s="232">
        <v>3694</v>
      </c>
      <c r="K19" s="35"/>
      <c r="L19" s="35"/>
      <c r="M19" s="35"/>
      <c r="N19" s="35"/>
      <c r="O19" s="35"/>
    </row>
    <row r="20" spans="1:15" s="36" customFormat="1" ht="50.1" customHeight="1" x14ac:dyDescent="0.3">
      <c r="A20" s="170" t="s">
        <v>45</v>
      </c>
      <c r="B20" s="165" t="s">
        <v>22</v>
      </c>
      <c r="C20" s="232">
        <v>2927.9</v>
      </c>
      <c r="D20" s="232">
        <v>2927.9</v>
      </c>
      <c r="E20" s="232">
        <v>5960</v>
      </c>
      <c r="F20" s="232">
        <v>5960</v>
      </c>
      <c r="G20" s="232">
        <v>8834</v>
      </c>
      <c r="H20" s="232">
        <v>8834</v>
      </c>
      <c r="I20" s="232">
        <v>10103</v>
      </c>
      <c r="J20" s="232">
        <v>10103</v>
      </c>
      <c r="K20" s="35"/>
      <c r="L20" s="35"/>
      <c r="M20" s="35"/>
      <c r="N20" s="35"/>
      <c r="O20" s="35"/>
    </row>
    <row r="21" spans="1:15" s="38" customFormat="1" ht="50.1" customHeight="1" x14ac:dyDescent="0.25">
      <c r="A21" s="171" t="s">
        <v>46</v>
      </c>
      <c r="B21" s="172" t="s">
        <v>23</v>
      </c>
      <c r="C21" s="253">
        <v>2909.7</v>
      </c>
      <c r="D21" s="253">
        <v>2909.7</v>
      </c>
      <c r="E21" s="253">
        <v>5885</v>
      </c>
      <c r="F21" s="253">
        <v>5885</v>
      </c>
      <c r="G21" s="253">
        <v>8383</v>
      </c>
      <c r="H21" s="253">
        <v>8383</v>
      </c>
      <c r="I21" s="253">
        <v>8471</v>
      </c>
      <c r="J21" s="253">
        <v>8471</v>
      </c>
    </row>
    <row r="22" spans="1:15" s="38" customFormat="1" ht="50.1" customHeight="1" x14ac:dyDescent="0.25">
      <c r="A22" s="171" t="s">
        <v>47</v>
      </c>
      <c r="B22" s="172" t="s">
        <v>24</v>
      </c>
      <c r="C22" s="253">
        <v>18.2</v>
      </c>
      <c r="D22" s="253">
        <v>18.2</v>
      </c>
      <c r="E22" s="253">
        <v>75</v>
      </c>
      <c r="F22" s="253">
        <v>75</v>
      </c>
      <c r="G22" s="253">
        <v>451</v>
      </c>
      <c r="H22" s="253">
        <v>451</v>
      </c>
      <c r="I22" s="253">
        <v>1632</v>
      </c>
      <c r="J22" s="253">
        <v>1632</v>
      </c>
    </row>
    <row r="23" spans="1:15" s="36" customFormat="1" ht="50.1" customHeight="1" x14ac:dyDescent="0.3">
      <c r="A23" s="164" t="s">
        <v>48</v>
      </c>
      <c r="B23" s="165" t="s">
        <v>25</v>
      </c>
      <c r="C23" s="232">
        <v>11078.7</v>
      </c>
      <c r="D23" s="232">
        <v>20136.330000000002</v>
      </c>
      <c r="E23" s="232">
        <v>30924</v>
      </c>
      <c r="F23" s="232">
        <v>50327</v>
      </c>
      <c r="G23" s="232">
        <v>56397</v>
      </c>
      <c r="H23" s="232">
        <v>88969</v>
      </c>
      <c r="I23" s="232">
        <v>86109</v>
      </c>
      <c r="J23" s="232">
        <v>131352</v>
      </c>
      <c r="K23" s="35"/>
      <c r="L23" s="35"/>
      <c r="M23" s="35"/>
      <c r="N23" s="35"/>
      <c r="O23" s="35"/>
    </row>
    <row r="24" spans="1:15" s="36" customFormat="1" ht="50.1" customHeight="1" x14ac:dyDescent="0.3">
      <c r="A24" s="166" t="s">
        <v>100</v>
      </c>
      <c r="B24" s="167" t="s">
        <v>26</v>
      </c>
      <c r="C24" s="232">
        <v>8221.5</v>
      </c>
      <c r="D24" s="232">
        <v>9406.5300000000007</v>
      </c>
      <c r="E24" s="232">
        <v>23593</v>
      </c>
      <c r="F24" s="232">
        <v>26554</v>
      </c>
      <c r="G24" s="232">
        <v>42647</v>
      </c>
      <c r="H24" s="232">
        <v>49587</v>
      </c>
      <c r="I24" s="374">
        <v>55979</v>
      </c>
      <c r="J24" s="374">
        <v>67212</v>
      </c>
      <c r="K24" s="35"/>
      <c r="L24" s="35"/>
      <c r="M24" s="35"/>
      <c r="N24" s="35"/>
      <c r="O24" s="35"/>
    </row>
    <row r="25" spans="1:15" ht="50.1" customHeight="1" x14ac:dyDescent="0.3">
      <c r="A25" s="168" t="s">
        <v>37</v>
      </c>
      <c r="B25" s="169" t="s">
        <v>13</v>
      </c>
      <c r="C25" s="253">
        <v>0</v>
      </c>
      <c r="D25" s="253">
        <v>0</v>
      </c>
      <c r="E25" s="253">
        <v>7000</v>
      </c>
      <c r="F25" s="253">
        <v>7000</v>
      </c>
      <c r="G25" s="253">
        <v>14000</v>
      </c>
      <c r="H25" s="253">
        <v>14000</v>
      </c>
      <c r="I25" s="253">
        <v>15027</v>
      </c>
      <c r="J25" s="253">
        <v>15027</v>
      </c>
      <c r="K25" s="37"/>
      <c r="L25" s="37"/>
      <c r="M25" s="37"/>
      <c r="N25" s="37"/>
      <c r="O25" s="37"/>
    </row>
    <row r="26" spans="1:15" ht="50.1" customHeight="1" x14ac:dyDescent="0.3">
      <c r="A26" s="168" t="s">
        <v>49</v>
      </c>
      <c r="B26" s="169" t="s">
        <v>14</v>
      </c>
      <c r="C26" s="253">
        <v>4203</v>
      </c>
      <c r="D26" s="253">
        <v>4203</v>
      </c>
      <c r="E26" s="253">
        <v>8302</v>
      </c>
      <c r="F26" s="253">
        <v>8302</v>
      </c>
      <c r="G26" s="253">
        <v>11415</v>
      </c>
      <c r="H26" s="253">
        <v>11415</v>
      </c>
      <c r="I26" s="253">
        <v>16118</v>
      </c>
      <c r="J26" s="253">
        <v>16118</v>
      </c>
      <c r="K26" s="37"/>
      <c r="L26" s="37"/>
      <c r="M26" s="37"/>
      <c r="N26" s="37"/>
      <c r="O26" s="37"/>
    </row>
    <row r="27" spans="1:15" s="40" customFormat="1" ht="50.1" customHeight="1" x14ac:dyDescent="0.3">
      <c r="A27" s="168" t="s">
        <v>39</v>
      </c>
      <c r="B27" s="169" t="s">
        <v>15</v>
      </c>
      <c r="C27" s="253">
        <v>3012.4</v>
      </c>
      <c r="D27" s="253">
        <v>3012.4</v>
      </c>
      <c r="E27" s="253">
        <v>6012</v>
      </c>
      <c r="F27" s="253">
        <v>6012</v>
      </c>
      <c r="G27" s="253">
        <v>9012</v>
      </c>
      <c r="H27" s="253">
        <v>9012</v>
      </c>
      <c r="I27" s="253">
        <v>15012</v>
      </c>
      <c r="J27" s="253">
        <v>15012</v>
      </c>
      <c r="K27" s="39"/>
      <c r="L27" s="39"/>
      <c r="M27" s="39"/>
      <c r="N27" s="39"/>
      <c r="O27" s="39"/>
    </row>
    <row r="28" spans="1:15" s="40" customFormat="1" ht="50.1" customHeight="1" x14ac:dyDescent="0.3">
      <c r="A28" s="168" t="s">
        <v>50</v>
      </c>
      <c r="B28" s="169" t="s">
        <v>27</v>
      </c>
      <c r="C28" s="253">
        <v>458.9</v>
      </c>
      <c r="D28" s="253">
        <v>458.9</v>
      </c>
      <c r="E28" s="253">
        <v>1126</v>
      </c>
      <c r="F28" s="253">
        <v>1126</v>
      </c>
      <c r="G28" s="253">
        <v>1608</v>
      </c>
      <c r="H28" s="253">
        <v>1608</v>
      </c>
      <c r="I28" s="253">
        <v>2207</v>
      </c>
      <c r="J28" s="253">
        <v>2207</v>
      </c>
      <c r="K28" s="39"/>
      <c r="L28" s="39"/>
      <c r="M28" s="39"/>
      <c r="N28" s="39"/>
      <c r="O28" s="39"/>
    </row>
    <row r="29" spans="1:15" ht="50.1" customHeight="1" x14ac:dyDescent="0.3">
      <c r="A29" s="168" t="s">
        <v>51</v>
      </c>
      <c r="B29" s="169" t="s">
        <v>28</v>
      </c>
      <c r="C29" s="253">
        <v>146.1</v>
      </c>
      <c r="D29" s="253">
        <v>146.1</v>
      </c>
      <c r="E29" s="253">
        <v>390</v>
      </c>
      <c r="F29" s="253">
        <v>390</v>
      </c>
      <c r="G29" s="253">
        <v>3492</v>
      </c>
      <c r="H29" s="253">
        <v>3492</v>
      </c>
      <c r="I29" s="253">
        <v>3991</v>
      </c>
      <c r="J29" s="253">
        <v>3991</v>
      </c>
      <c r="K29" s="37"/>
      <c r="L29" s="37"/>
      <c r="M29" s="37"/>
      <c r="N29" s="37"/>
      <c r="O29" s="37"/>
    </row>
    <row r="30" spans="1:15" ht="50.1" customHeight="1" x14ac:dyDescent="0.3">
      <c r="A30" s="173" t="s">
        <v>52</v>
      </c>
      <c r="B30" s="169" t="s">
        <v>29</v>
      </c>
      <c r="C30" s="253">
        <v>0</v>
      </c>
      <c r="D30" s="253">
        <v>0</v>
      </c>
      <c r="E30" s="253">
        <v>0</v>
      </c>
      <c r="F30" s="253">
        <v>0</v>
      </c>
      <c r="G30" s="253">
        <v>0</v>
      </c>
      <c r="H30" s="253">
        <v>0</v>
      </c>
      <c r="I30" s="253">
        <v>-534</v>
      </c>
      <c r="J30" s="253">
        <v>-534</v>
      </c>
      <c r="K30" s="37"/>
      <c r="L30" s="37"/>
      <c r="M30" s="37"/>
      <c r="N30" s="37"/>
      <c r="O30" s="37"/>
    </row>
    <row r="31" spans="1:15" s="40" customFormat="1" ht="50.1" customHeight="1" x14ac:dyDescent="0.3">
      <c r="A31" s="168" t="s">
        <v>53</v>
      </c>
      <c r="B31" s="169" t="s">
        <v>0</v>
      </c>
      <c r="C31" s="253">
        <v>402</v>
      </c>
      <c r="D31" s="253">
        <v>1587</v>
      </c>
      <c r="E31" s="253">
        <v>763</v>
      </c>
      <c r="F31" s="253">
        <v>3724</v>
      </c>
      <c r="G31" s="253">
        <v>3120</v>
      </c>
      <c r="H31" s="253">
        <v>10060</v>
      </c>
      <c r="I31" s="375">
        <v>4158</v>
      </c>
      <c r="J31" s="375">
        <v>15391</v>
      </c>
      <c r="K31" s="39"/>
      <c r="L31" s="39"/>
      <c r="M31" s="39"/>
      <c r="N31" s="39"/>
      <c r="O31" s="39"/>
    </row>
    <row r="32" spans="1:15" s="42" customFormat="1" ht="50.1" customHeight="1" x14ac:dyDescent="0.3">
      <c r="A32" s="175" t="s">
        <v>99</v>
      </c>
      <c r="B32" s="174" t="s">
        <v>30</v>
      </c>
      <c r="C32" s="232">
        <v>2108.3000000000002</v>
      </c>
      <c r="D32" s="232">
        <v>2108.3000000000002</v>
      </c>
      <c r="E32" s="232">
        <v>5354</v>
      </c>
      <c r="F32" s="232">
        <v>5354</v>
      </c>
      <c r="G32" s="232">
        <v>8791</v>
      </c>
      <c r="H32" s="232">
        <v>8791</v>
      </c>
      <c r="I32" s="232">
        <v>17819</v>
      </c>
      <c r="J32" s="232">
        <v>17819</v>
      </c>
      <c r="K32" s="41"/>
      <c r="L32" s="41"/>
      <c r="M32" s="41"/>
      <c r="N32" s="41"/>
      <c r="O32" s="41"/>
    </row>
    <row r="33" spans="1:15" s="42" customFormat="1" ht="50.1" customHeight="1" x14ac:dyDescent="0.3">
      <c r="A33" s="175" t="s">
        <v>54</v>
      </c>
      <c r="B33" s="174" t="s">
        <v>31</v>
      </c>
      <c r="C33" s="232">
        <v>400.1</v>
      </c>
      <c r="D33" s="232">
        <v>400.1</v>
      </c>
      <c r="E33" s="232">
        <v>1037</v>
      </c>
      <c r="F33" s="232">
        <v>1037</v>
      </c>
      <c r="G33" s="232">
        <v>2022</v>
      </c>
      <c r="H33" s="232">
        <v>2022</v>
      </c>
      <c r="I33" s="232">
        <v>6595</v>
      </c>
      <c r="J33" s="232">
        <v>6595</v>
      </c>
      <c r="K33" s="41"/>
      <c r="L33" s="41"/>
      <c r="M33" s="41"/>
      <c r="N33" s="41"/>
      <c r="O33" s="41"/>
    </row>
    <row r="34" spans="1:15" s="42" customFormat="1" ht="50.1" customHeight="1" x14ac:dyDescent="0.3">
      <c r="A34" s="176" t="s">
        <v>53</v>
      </c>
      <c r="B34" s="177" t="s">
        <v>0</v>
      </c>
      <c r="C34" s="233">
        <v>349</v>
      </c>
      <c r="D34" s="233">
        <v>8221</v>
      </c>
      <c r="E34" s="233">
        <v>940</v>
      </c>
      <c r="F34" s="233">
        <v>17382</v>
      </c>
      <c r="G34" s="233">
        <v>2937</v>
      </c>
      <c r="H34" s="233">
        <v>28569</v>
      </c>
      <c r="I34" s="376">
        <v>5716</v>
      </c>
      <c r="J34" s="376">
        <v>39726</v>
      </c>
      <c r="K34" s="41"/>
      <c r="L34" s="41"/>
      <c r="M34" s="41"/>
      <c r="N34" s="41"/>
      <c r="O34" s="41"/>
    </row>
    <row r="35" spans="1:15" s="42" customFormat="1" ht="21.9" customHeight="1" x14ac:dyDescent="0.3">
      <c r="A35" s="110" t="s">
        <v>69</v>
      </c>
      <c r="B35" s="109" t="s">
        <v>70</v>
      </c>
      <c r="C35" s="11"/>
      <c r="D35" s="11"/>
      <c r="E35" s="11"/>
      <c r="F35" s="11"/>
      <c r="G35" s="11"/>
      <c r="H35" s="11"/>
      <c r="I35" s="11"/>
      <c r="J35" s="11"/>
      <c r="K35" s="41"/>
      <c r="L35" s="41"/>
      <c r="M35" s="41"/>
      <c r="N35" s="41"/>
      <c r="O35" s="41"/>
    </row>
    <row r="36" spans="1:15" ht="99.6" customHeight="1" x14ac:dyDescent="0.3">
      <c r="A36" s="5" t="s">
        <v>57</v>
      </c>
      <c r="B36" s="6" t="s">
        <v>56</v>
      </c>
    </row>
    <row r="37" spans="1:15" ht="21.9" customHeight="1" x14ac:dyDescent="0.3">
      <c r="B37" s="7" t="s">
        <v>59</v>
      </c>
      <c r="E37" s="38"/>
      <c r="F37" s="38"/>
      <c r="G37" s="38"/>
      <c r="H37" s="38"/>
      <c r="I37" s="38"/>
      <c r="J37" s="38"/>
    </row>
    <row r="38" spans="1:15" ht="53.1" customHeight="1" x14ac:dyDescent="0.3">
      <c r="A38" s="51" t="s">
        <v>68</v>
      </c>
      <c r="B38" s="329" t="s">
        <v>78</v>
      </c>
      <c r="C38" s="329"/>
      <c r="D38" s="329"/>
    </row>
    <row r="39" spans="1:15" ht="21.9" customHeight="1" x14ac:dyDescent="0.3"/>
    <row r="40" spans="1:15" ht="21.9" customHeight="1" x14ac:dyDescent="0.3">
      <c r="B40" s="8"/>
      <c r="C40" s="356"/>
      <c r="D40" s="356"/>
      <c r="E40" s="356"/>
      <c r="F40" s="356"/>
      <c r="G40" s="356"/>
      <c r="H40" s="356"/>
      <c r="I40" s="356"/>
      <c r="J40" s="356"/>
    </row>
    <row r="41" spans="1:15" ht="21.9" customHeight="1" x14ac:dyDescent="0.3"/>
    <row r="42" spans="1:15" ht="21.9" customHeight="1" x14ac:dyDescent="0.3"/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10">
    <mergeCell ref="B3:B4"/>
    <mergeCell ref="C40:J40"/>
    <mergeCell ref="C2:D2"/>
    <mergeCell ref="G2:H2"/>
    <mergeCell ref="C3:J4"/>
    <mergeCell ref="E5:F6"/>
    <mergeCell ref="G5:H6"/>
    <mergeCell ref="I5:J6"/>
    <mergeCell ref="C5:D6"/>
    <mergeCell ref="B38:D38"/>
  </mergeCells>
  <printOptions horizontalCentered="1" verticalCentered="1"/>
  <pageMargins left="0.19685039370078741" right="0.19685039370078741" top="0" bottom="0" header="0" footer="0"/>
  <pageSetup paperSize="9" scale="33" orientation="landscape" horizontalDpi="4294967295" verticalDpi="4294967295" r:id="rId1"/>
  <headerFooter alignWithMargins="0"/>
  <rowBreaks count="1" manualBreakCount="1">
    <brk id="3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C1304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2" customWidth="1"/>
    <col min="2" max="2" width="62.5546875" style="7" customWidth="1"/>
    <col min="3" max="4" width="24.5546875" style="43" customWidth="1"/>
    <col min="5" max="10" width="24.5546875" style="3" customWidth="1"/>
    <col min="11" max="16384" width="9.109375" style="2"/>
  </cols>
  <sheetData>
    <row r="1" spans="1:55" ht="93" customHeight="1" x14ac:dyDescent="0.3">
      <c r="A1" s="257" t="s">
        <v>93</v>
      </c>
      <c r="B1" s="258" t="s">
        <v>94</v>
      </c>
      <c r="C1" s="260"/>
      <c r="D1" s="260"/>
      <c r="E1" s="260"/>
      <c r="F1" s="260"/>
      <c r="G1" s="260"/>
      <c r="H1" s="260"/>
      <c r="I1" s="260"/>
      <c r="J1" s="260"/>
      <c r="K1" s="13"/>
      <c r="L1" s="13"/>
      <c r="M1" s="13"/>
      <c r="N1" s="13"/>
    </row>
    <row r="2" spans="1:55" ht="20.399999999999999" customHeight="1" x14ac:dyDescent="0.35">
      <c r="A2" s="261"/>
      <c r="B2" s="262"/>
      <c r="C2" s="357"/>
      <c r="D2" s="357"/>
      <c r="E2" s="263"/>
      <c r="F2" s="264"/>
      <c r="G2" s="358"/>
      <c r="H2" s="358"/>
      <c r="I2" s="263"/>
      <c r="J2" s="256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33" customFormat="1" ht="15" customHeight="1" x14ac:dyDescent="0.35">
      <c r="A3" s="234"/>
      <c r="B3" s="342" t="s">
        <v>1</v>
      </c>
      <c r="C3" s="330" t="s">
        <v>8</v>
      </c>
      <c r="D3" s="331"/>
      <c r="E3" s="331"/>
      <c r="F3" s="331"/>
      <c r="G3" s="331"/>
      <c r="H3" s="331"/>
      <c r="I3" s="331"/>
      <c r="J3" s="332"/>
    </row>
    <row r="4" spans="1:55" s="33" customFormat="1" ht="15" customHeight="1" x14ac:dyDescent="0.35">
      <c r="A4" s="235"/>
      <c r="B4" s="343"/>
      <c r="C4" s="333"/>
      <c r="D4" s="334"/>
      <c r="E4" s="334"/>
      <c r="F4" s="334"/>
      <c r="G4" s="334"/>
      <c r="H4" s="334"/>
      <c r="I4" s="334"/>
      <c r="J4" s="335"/>
    </row>
    <row r="5" spans="1:55" s="33" customFormat="1" ht="15" customHeight="1" x14ac:dyDescent="0.35">
      <c r="A5" s="235"/>
      <c r="B5" s="236"/>
      <c r="C5" s="341" t="s">
        <v>3</v>
      </c>
      <c r="D5" s="341"/>
      <c r="E5" s="341" t="s">
        <v>5</v>
      </c>
      <c r="F5" s="341"/>
      <c r="G5" s="341" t="s">
        <v>6</v>
      </c>
      <c r="H5" s="341"/>
      <c r="I5" s="341" t="s">
        <v>7</v>
      </c>
      <c r="J5" s="341"/>
    </row>
    <row r="6" spans="1:55" s="33" customFormat="1" ht="15" customHeight="1" x14ac:dyDescent="0.35">
      <c r="A6" s="235"/>
      <c r="B6" s="236"/>
      <c r="C6" s="337"/>
      <c r="D6" s="337"/>
      <c r="E6" s="337"/>
      <c r="F6" s="337"/>
      <c r="G6" s="337"/>
      <c r="H6" s="337"/>
      <c r="I6" s="337"/>
      <c r="J6" s="337"/>
    </row>
    <row r="7" spans="1:55" s="34" customFormat="1" ht="81.75" customHeight="1" x14ac:dyDescent="0.35">
      <c r="A7" s="237"/>
      <c r="B7" s="238"/>
      <c r="C7" s="213" t="s">
        <v>2</v>
      </c>
      <c r="D7" s="220" t="s">
        <v>75</v>
      </c>
      <c r="E7" s="213" t="s">
        <v>2</v>
      </c>
      <c r="F7" s="220" t="s">
        <v>75</v>
      </c>
      <c r="G7" s="213" t="s">
        <v>2</v>
      </c>
      <c r="H7" s="220" t="s">
        <v>75</v>
      </c>
      <c r="I7" s="213" t="s">
        <v>2</v>
      </c>
      <c r="J7" s="220" t="s">
        <v>75</v>
      </c>
    </row>
    <row r="8" spans="1:55" s="36" customFormat="1" ht="50.1" customHeight="1" x14ac:dyDescent="0.3">
      <c r="A8" s="162" t="s">
        <v>34</v>
      </c>
      <c r="B8" s="163" t="s">
        <v>11</v>
      </c>
      <c r="C8" s="252">
        <v>50674</v>
      </c>
      <c r="D8" s="252">
        <v>62237</v>
      </c>
      <c r="E8" s="252">
        <v>152911</v>
      </c>
      <c r="F8" s="252">
        <v>176059</v>
      </c>
      <c r="G8" s="252">
        <v>208155</v>
      </c>
      <c r="H8" s="252">
        <v>244633</v>
      </c>
      <c r="I8" s="252">
        <v>350322</v>
      </c>
      <c r="J8" s="252">
        <v>403637</v>
      </c>
      <c r="K8" s="35"/>
      <c r="L8" s="35"/>
      <c r="M8" s="35"/>
      <c r="N8" s="35"/>
      <c r="O8" s="35"/>
    </row>
    <row r="9" spans="1:55" s="36" customFormat="1" ht="50.1" customHeight="1" x14ac:dyDescent="0.3">
      <c r="A9" s="164" t="s">
        <v>35</v>
      </c>
      <c r="B9" s="165" t="s">
        <v>12</v>
      </c>
      <c r="C9" s="232">
        <v>40151</v>
      </c>
      <c r="D9" s="232">
        <v>40151</v>
      </c>
      <c r="E9" s="232">
        <v>111093</v>
      </c>
      <c r="F9" s="232">
        <v>111093</v>
      </c>
      <c r="G9" s="232">
        <v>156014</v>
      </c>
      <c r="H9" s="232">
        <v>156014</v>
      </c>
      <c r="I9" s="232">
        <v>251118</v>
      </c>
      <c r="J9" s="232">
        <v>251118</v>
      </c>
      <c r="K9" s="35"/>
      <c r="L9" s="35"/>
      <c r="M9" s="35"/>
      <c r="N9" s="35"/>
      <c r="O9" s="35"/>
    </row>
    <row r="10" spans="1:55" s="36" customFormat="1" ht="50.1" customHeight="1" x14ac:dyDescent="0.3">
      <c r="A10" s="166" t="s">
        <v>36</v>
      </c>
      <c r="B10" s="167" t="s">
        <v>82</v>
      </c>
      <c r="C10" s="232">
        <v>15613</v>
      </c>
      <c r="D10" s="232">
        <v>15613</v>
      </c>
      <c r="E10" s="232">
        <v>49847</v>
      </c>
      <c r="F10" s="232">
        <v>49847</v>
      </c>
      <c r="G10" s="232">
        <v>62891</v>
      </c>
      <c r="H10" s="232">
        <v>62891</v>
      </c>
      <c r="I10" s="232">
        <v>117762</v>
      </c>
      <c r="J10" s="232">
        <v>117762</v>
      </c>
      <c r="K10" s="35"/>
      <c r="L10" s="35"/>
      <c r="M10" s="35"/>
      <c r="N10" s="35"/>
      <c r="O10" s="35"/>
    </row>
    <row r="11" spans="1:55" ht="50.1" customHeight="1" x14ac:dyDescent="0.35">
      <c r="A11" s="168" t="s">
        <v>37</v>
      </c>
      <c r="B11" s="169" t="s">
        <v>13</v>
      </c>
      <c r="C11" s="253">
        <v>0</v>
      </c>
      <c r="D11" s="253">
        <v>0</v>
      </c>
      <c r="E11" s="377">
        <v>15753</v>
      </c>
      <c r="F11" s="377">
        <v>15753</v>
      </c>
      <c r="G11" s="377">
        <v>15753</v>
      </c>
      <c r="H11" s="377">
        <v>15753</v>
      </c>
      <c r="I11" s="377">
        <v>45816</v>
      </c>
      <c r="J11" s="377">
        <v>45816</v>
      </c>
      <c r="K11" s="37"/>
      <c r="L11" s="37"/>
      <c r="M11" s="37"/>
      <c r="N11" s="37"/>
      <c r="O11" s="37"/>
    </row>
    <row r="12" spans="1:55" ht="50.1" customHeight="1" x14ac:dyDescent="0.35">
      <c r="A12" s="168" t="s">
        <v>38</v>
      </c>
      <c r="B12" s="169" t="s">
        <v>14</v>
      </c>
      <c r="C12" s="253">
        <v>2750</v>
      </c>
      <c r="D12" s="253">
        <v>2750</v>
      </c>
      <c r="E12" s="377">
        <v>6200</v>
      </c>
      <c r="F12" s="377">
        <v>6200</v>
      </c>
      <c r="G12" s="377">
        <v>8900</v>
      </c>
      <c r="H12" s="377">
        <v>8900</v>
      </c>
      <c r="I12" s="377">
        <v>12150</v>
      </c>
      <c r="J12" s="377">
        <v>12150</v>
      </c>
      <c r="K12" s="37"/>
      <c r="L12" s="37"/>
      <c r="M12" s="37"/>
      <c r="N12" s="37"/>
      <c r="O12" s="37"/>
    </row>
    <row r="13" spans="1:55" ht="50.1" customHeight="1" x14ac:dyDescent="0.35">
      <c r="A13" s="168" t="s">
        <v>39</v>
      </c>
      <c r="B13" s="169" t="s">
        <v>15</v>
      </c>
      <c r="C13" s="253">
        <v>5200</v>
      </c>
      <c r="D13" s="253">
        <v>5200</v>
      </c>
      <c r="E13" s="377">
        <v>8291</v>
      </c>
      <c r="F13" s="377">
        <v>8291</v>
      </c>
      <c r="G13" s="377">
        <v>8291</v>
      </c>
      <c r="H13" s="377">
        <v>8291</v>
      </c>
      <c r="I13" s="377">
        <v>8290</v>
      </c>
      <c r="J13" s="377">
        <v>8290</v>
      </c>
      <c r="K13" s="37"/>
      <c r="L13" s="37"/>
      <c r="M13" s="37"/>
      <c r="N13" s="37"/>
      <c r="O13" s="37"/>
    </row>
    <row r="14" spans="1:55" ht="50.1" customHeight="1" x14ac:dyDescent="0.35">
      <c r="A14" s="168" t="s">
        <v>40</v>
      </c>
      <c r="B14" s="169" t="s">
        <v>16</v>
      </c>
      <c r="C14" s="253">
        <v>2715</v>
      </c>
      <c r="D14" s="253">
        <v>2715</v>
      </c>
      <c r="E14" s="377">
        <v>8751</v>
      </c>
      <c r="F14" s="377">
        <v>8751</v>
      </c>
      <c r="G14" s="377">
        <v>12020</v>
      </c>
      <c r="H14" s="377">
        <v>12020</v>
      </c>
      <c r="I14" s="377">
        <v>25275</v>
      </c>
      <c r="J14" s="377">
        <v>25275</v>
      </c>
      <c r="K14" s="37"/>
      <c r="L14" s="37"/>
      <c r="M14" s="37"/>
      <c r="N14" s="37"/>
      <c r="O14" s="37"/>
    </row>
    <row r="15" spans="1:55" ht="50.1" customHeight="1" x14ac:dyDescent="0.35">
      <c r="A15" s="168" t="s">
        <v>63</v>
      </c>
      <c r="B15" s="169" t="s">
        <v>17</v>
      </c>
      <c r="C15" s="253">
        <v>4948</v>
      </c>
      <c r="D15" s="253">
        <v>4948</v>
      </c>
      <c r="E15" s="377">
        <v>10852</v>
      </c>
      <c r="F15" s="377">
        <v>10852</v>
      </c>
      <c r="G15" s="377">
        <v>17927</v>
      </c>
      <c r="H15" s="377">
        <v>17927</v>
      </c>
      <c r="I15" s="377">
        <v>26231</v>
      </c>
      <c r="J15" s="377">
        <v>26231</v>
      </c>
      <c r="K15" s="37"/>
      <c r="L15" s="37"/>
      <c r="M15" s="37"/>
      <c r="N15" s="37"/>
      <c r="O15" s="37"/>
    </row>
    <row r="16" spans="1:55" s="36" customFormat="1" ht="50.1" customHeight="1" x14ac:dyDescent="0.3">
      <c r="A16" s="166" t="s">
        <v>41</v>
      </c>
      <c r="B16" s="167" t="s">
        <v>18</v>
      </c>
      <c r="C16" s="232">
        <v>3877</v>
      </c>
      <c r="D16" s="232">
        <v>3877</v>
      </c>
      <c r="E16" s="232">
        <v>7807</v>
      </c>
      <c r="F16" s="232">
        <v>7807</v>
      </c>
      <c r="G16" s="232">
        <v>11908</v>
      </c>
      <c r="H16" s="232">
        <v>11908</v>
      </c>
      <c r="I16" s="232">
        <v>16453</v>
      </c>
      <c r="J16" s="232">
        <v>16453</v>
      </c>
      <c r="K16" s="35"/>
      <c r="L16" s="35"/>
      <c r="M16" s="35"/>
      <c r="N16" s="35"/>
      <c r="O16" s="35"/>
    </row>
    <row r="17" spans="1:15" s="36" customFormat="1" ht="50.1" customHeight="1" x14ac:dyDescent="0.3">
      <c r="A17" s="166" t="s">
        <v>42</v>
      </c>
      <c r="B17" s="167" t="s">
        <v>19</v>
      </c>
      <c r="C17" s="232">
        <v>16982</v>
      </c>
      <c r="D17" s="232">
        <v>16982</v>
      </c>
      <c r="E17" s="232">
        <v>44800</v>
      </c>
      <c r="F17" s="232">
        <v>44800</v>
      </c>
      <c r="G17" s="232">
        <v>65899</v>
      </c>
      <c r="H17" s="232">
        <v>65899</v>
      </c>
      <c r="I17" s="232">
        <v>92924</v>
      </c>
      <c r="J17" s="232">
        <v>92924</v>
      </c>
      <c r="K17" s="35"/>
      <c r="L17" s="35"/>
      <c r="M17" s="35"/>
      <c r="N17" s="35"/>
      <c r="O17" s="35"/>
    </row>
    <row r="18" spans="1:15" s="36" customFormat="1" ht="50.1" customHeight="1" x14ac:dyDescent="0.3">
      <c r="A18" s="166" t="s">
        <v>43</v>
      </c>
      <c r="B18" s="167" t="s">
        <v>20</v>
      </c>
      <c r="C18" s="232">
        <v>3439</v>
      </c>
      <c r="D18" s="232">
        <v>3439</v>
      </c>
      <c r="E18" s="232">
        <v>8399</v>
      </c>
      <c r="F18" s="232">
        <v>8399</v>
      </c>
      <c r="G18" s="232">
        <v>12079</v>
      </c>
      <c r="H18" s="232">
        <v>12079</v>
      </c>
      <c r="I18" s="232">
        <v>16771</v>
      </c>
      <c r="J18" s="232">
        <v>16771</v>
      </c>
      <c r="K18" s="35"/>
      <c r="L18" s="35"/>
      <c r="M18" s="35"/>
      <c r="N18" s="35"/>
      <c r="O18" s="35"/>
    </row>
    <row r="19" spans="1:15" s="36" customFormat="1" ht="50.1" customHeight="1" x14ac:dyDescent="0.3">
      <c r="A19" s="166" t="s">
        <v>44</v>
      </c>
      <c r="B19" s="167" t="s">
        <v>21</v>
      </c>
      <c r="C19" s="232">
        <v>240</v>
      </c>
      <c r="D19" s="232">
        <v>240</v>
      </c>
      <c r="E19" s="232">
        <v>240</v>
      </c>
      <c r="F19" s="232">
        <v>240</v>
      </c>
      <c r="G19" s="232">
        <v>3237</v>
      </c>
      <c r="H19" s="232">
        <v>3237</v>
      </c>
      <c r="I19" s="232">
        <v>7208</v>
      </c>
      <c r="J19" s="232">
        <v>7208</v>
      </c>
      <c r="K19" s="35"/>
      <c r="L19" s="35"/>
      <c r="M19" s="35"/>
      <c r="N19" s="35"/>
      <c r="O19" s="35"/>
    </row>
    <row r="20" spans="1:15" s="36" customFormat="1" ht="50.1" customHeight="1" x14ac:dyDescent="0.3">
      <c r="A20" s="170" t="s">
        <v>45</v>
      </c>
      <c r="B20" s="165" t="s">
        <v>22</v>
      </c>
      <c r="C20" s="232">
        <v>-166</v>
      </c>
      <c r="D20" s="232">
        <v>-166</v>
      </c>
      <c r="E20" s="232">
        <v>2993</v>
      </c>
      <c r="F20" s="232">
        <v>2993</v>
      </c>
      <c r="G20" s="232">
        <v>3181</v>
      </c>
      <c r="H20" s="232">
        <v>3181</v>
      </c>
      <c r="I20" s="232">
        <v>5208</v>
      </c>
      <c r="J20" s="232">
        <v>5208</v>
      </c>
      <c r="K20" s="35"/>
      <c r="L20" s="35"/>
      <c r="M20" s="35"/>
      <c r="N20" s="35"/>
      <c r="O20" s="35"/>
    </row>
    <row r="21" spans="1:15" s="38" customFormat="1" ht="50.1" customHeight="1" x14ac:dyDescent="0.25">
      <c r="A21" s="171" t="s">
        <v>46</v>
      </c>
      <c r="B21" s="172" t="s">
        <v>23</v>
      </c>
      <c r="C21" s="253">
        <v>-199</v>
      </c>
      <c r="D21" s="253">
        <v>-199</v>
      </c>
      <c r="E21" s="253">
        <v>2899</v>
      </c>
      <c r="F21" s="253">
        <v>2899</v>
      </c>
      <c r="G21" s="253">
        <v>2891</v>
      </c>
      <c r="H21" s="253">
        <v>2891</v>
      </c>
      <c r="I21" s="253">
        <v>4205</v>
      </c>
      <c r="J21" s="253">
        <v>4205</v>
      </c>
    </row>
    <row r="22" spans="1:15" s="38" customFormat="1" ht="50.1" customHeight="1" x14ac:dyDescent="0.25">
      <c r="A22" s="171" t="s">
        <v>47</v>
      </c>
      <c r="B22" s="172" t="s">
        <v>24</v>
      </c>
      <c r="C22" s="253">
        <v>33</v>
      </c>
      <c r="D22" s="253">
        <v>33</v>
      </c>
      <c r="E22" s="253">
        <v>94</v>
      </c>
      <c r="F22" s="253">
        <v>94</v>
      </c>
      <c r="G22" s="253">
        <v>290</v>
      </c>
      <c r="H22" s="253">
        <v>290</v>
      </c>
      <c r="I22" s="253">
        <v>1003</v>
      </c>
      <c r="J22" s="253">
        <v>1003</v>
      </c>
    </row>
    <row r="23" spans="1:15" s="36" customFormat="1" ht="50.1" customHeight="1" x14ac:dyDescent="0.3">
      <c r="A23" s="164" t="s">
        <v>48</v>
      </c>
      <c r="B23" s="165" t="s">
        <v>25</v>
      </c>
      <c r="C23" s="232">
        <v>10689</v>
      </c>
      <c r="D23" s="232">
        <v>22252</v>
      </c>
      <c r="E23" s="232">
        <v>38825</v>
      </c>
      <c r="F23" s="232">
        <v>61973</v>
      </c>
      <c r="G23" s="232">
        <v>48960</v>
      </c>
      <c r="H23" s="232">
        <v>85438</v>
      </c>
      <c r="I23" s="232">
        <v>93996</v>
      </c>
      <c r="J23" s="232">
        <v>147311</v>
      </c>
      <c r="K23" s="35"/>
      <c r="L23" s="35"/>
      <c r="M23" s="35"/>
      <c r="N23" s="35"/>
      <c r="O23" s="35"/>
    </row>
    <row r="24" spans="1:15" s="36" customFormat="1" ht="50.1" customHeight="1" x14ac:dyDescent="0.3">
      <c r="A24" s="166" t="s">
        <v>100</v>
      </c>
      <c r="B24" s="167" t="s">
        <v>26</v>
      </c>
      <c r="C24" s="232">
        <v>6117</v>
      </c>
      <c r="D24" s="232">
        <v>8078</v>
      </c>
      <c r="E24" s="232">
        <v>25132</v>
      </c>
      <c r="F24" s="232">
        <v>28656</v>
      </c>
      <c r="G24" s="232">
        <v>29584</v>
      </c>
      <c r="H24" s="232">
        <v>35517</v>
      </c>
      <c r="I24" s="374">
        <v>56494</v>
      </c>
      <c r="J24" s="374">
        <v>67581</v>
      </c>
      <c r="K24" s="35"/>
      <c r="L24" s="35"/>
      <c r="M24" s="35"/>
      <c r="N24" s="35"/>
      <c r="O24" s="35"/>
    </row>
    <row r="25" spans="1:15" ht="50.1" customHeight="1" x14ac:dyDescent="0.35">
      <c r="A25" s="168" t="s">
        <v>37</v>
      </c>
      <c r="B25" s="169" t="s">
        <v>13</v>
      </c>
      <c r="C25" s="253">
        <v>17</v>
      </c>
      <c r="D25" s="253">
        <v>17</v>
      </c>
      <c r="E25" s="377">
        <v>7517</v>
      </c>
      <c r="F25" s="377">
        <v>7517</v>
      </c>
      <c r="G25" s="377">
        <v>7565</v>
      </c>
      <c r="H25" s="377">
        <v>7565</v>
      </c>
      <c r="I25" s="377">
        <v>18785</v>
      </c>
      <c r="J25" s="377">
        <v>18785</v>
      </c>
      <c r="K25" s="37"/>
      <c r="L25" s="37"/>
      <c r="M25" s="37"/>
      <c r="N25" s="37"/>
      <c r="O25" s="37"/>
    </row>
    <row r="26" spans="1:15" ht="50.1" customHeight="1" x14ac:dyDescent="0.35">
      <c r="A26" s="168" t="s">
        <v>49</v>
      </c>
      <c r="B26" s="169" t="s">
        <v>14</v>
      </c>
      <c r="C26" s="253">
        <v>3901</v>
      </c>
      <c r="D26" s="253">
        <v>3901</v>
      </c>
      <c r="E26" s="377">
        <v>8111</v>
      </c>
      <c r="F26" s="377">
        <v>8111</v>
      </c>
      <c r="G26" s="377">
        <v>11514</v>
      </c>
      <c r="H26" s="377">
        <v>11514</v>
      </c>
      <c r="I26" s="377">
        <v>16375</v>
      </c>
      <c r="J26" s="377">
        <v>16375</v>
      </c>
      <c r="K26" s="37"/>
      <c r="L26" s="37"/>
      <c r="M26" s="37"/>
      <c r="N26" s="37"/>
      <c r="O26" s="37"/>
    </row>
    <row r="27" spans="1:15" s="40" customFormat="1" ht="50.1" customHeight="1" x14ac:dyDescent="0.35">
      <c r="A27" s="168" t="s">
        <v>39</v>
      </c>
      <c r="B27" s="169" t="s">
        <v>15</v>
      </c>
      <c r="C27" s="253">
        <v>517</v>
      </c>
      <c r="D27" s="253">
        <v>517</v>
      </c>
      <c r="E27" s="377">
        <v>4517</v>
      </c>
      <c r="F27" s="377">
        <v>4517</v>
      </c>
      <c r="G27" s="377">
        <v>4517</v>
      </c>
      <c r="H27" s="377">
        <v>4517</v>
      </c>
      <c r="I27" s="377">
        <v>11317</v>
      </c>
      <c r="J27" s="377">
        <v>11317</v>
      </c>
      <c r="K27" s="39"/>
      <c r="L27" s="39"/>
      <c r="M27" s="39"/>
      <c r="N27" s="39"/>
      <c r="O27" s="39"/>
    </row>
    <row r="28" spans="1:15" s="40" customFormat="1" ht="50.1" customHeight="1" x14ac:dyDescent="0.35">
      <c r="A28" s="168" t="s">
        <v>50</v>
      </c>
      <c r="B28" s="169" t="s">
        <v>27</v>
      </c>
      <c r="C28" s="253">
        <v>614</v>
      </c>
      <c r="D28" s="253">
        <v>614</v>
      </c>
      <c r="E28" s="377">
        <v>1094</v>
      </c>
      <c r="F28" s="377">
        <v>1094</v>
      </c>
      <c r="G28" s="377">
        <v>1406</v>
      </c>
      <c r="H28" s="377">
        <v>1406</v>
      </c>
      <c r="I28" s="377">
        <v>1915</v>
      </c>
      <c r="J28" s="377">
        <v>1915</v>
      </c>
      <c r="K28" s="39"/>
      <c r="L28" s="39"/>
      <c r="M28" s="39"/>
      <c r="N28" s="39"/>
      <c r="O28" s="39"/>
    </row>
    <row r="29" spans="1:15" ht="50.1" customHeight="1" x14ac:dyDescent="0.35">
      <c r="A29" s="168" t="s">
        <v>51</v>
      </c>
      <c r="B29" s="169" t="s">
        <v>28</v>
      </c>
      <c r="C29" s="253">
        <v>331</v>
      </c>
      <c r="D29" s="253">
        <v>331</v>
      </c>
      <c r="E29" s="377">
        <v>635</v>
      </c>
      <c r="F29" s="377">
        <v>635</v>
      </c>
      <c r="G29" s="377">
        <v>758</v>
      </c>
      <c r="H29" s="377">
        <v>758</v>
      </c>
      <c r="I29" s="377">
        <v>3539</v>
      </c>
      <c r="J29" s="377">
        <v>3539</v>
      </c>
      <c r="K29" s="37"/>
      <c r="L29" s="37"/>
      <c r="M29" s="37"/>
      <c r="N29" s="37"/>
      <c r="O29" s="37"/>
    </row>
    <row r="30" spans="1:15" ht="50.1" customHeight="1" x14ac:dyDescent="0.35">
      <c r="A30" s="173" t="s">
        <v>52</v>
      </c>
      <c r="B30" s="169" t="s">
        <v>29</v>
      </c>
      <c r="C30" s="253">
        <v>403</v>
      </c>
      <c r="D30" s="253">
        <v>403</v>
      </c>
      <c r="E30" s="377">
        <v>361</v>
      </c>
      <c r="F30" s="377">
        <v>361</v>
      </c>
      <c r="G30" s="377">
        <v>361</v>
      </c>
      <c r="H30" s="377">
        <v>361</v>
      </c>
      <c r="I30" s="377">
        <v>361</v>
      </c>
      <c r="J30" s="377">
        <v>361</v>
      </c>
      <c r="K30" s="37"/>
      <c r="L30" s="37"/>
      <c r="M30" s="37"/>
      <c r="N30" s="37"/>
      <c r="O30" s="37"/>
    </row>
    <row r="31" spans="1:15" s="40" customFormat="1" ht="50.1" customHeight="1" x14ac:dyDescent="0.35">
      <c r="A31" s="168" t="s">
        <v>53</v>
      </c>
      <c r="B31" s="169" t="s">
        <v>0</v>
      </c>
      <c r="C31" s="253">
        <v>334</v>
      </c>
      <c r="D31" s="253">
        <v>2295</v>
      </c>
      <c r="E31" s="377">
        <v>2897</v>
      </c>
      <c r="F31" s="377">
        <v>6421</v>
      </c>
      <c r="G31" s="377">
        <v>3463</v>
      </c>
      <c r="H31" s="377">
        <v>9396</v>
      </c>
      <c r="I31" s="377">
        <v>4202</v>
      </c>
      <c r="J31" s="377">
        <v>15289</v>
      </c>
      <c r="K31" s="39"/>
      <c r="L31" s="39"/>
      <c r="M31" s="39"/>
      <c r="N31" s="39"/>
      <c r="O31" s="39"/>
    </row>
    <row r="32" spans="1:15" s="42" customFormat="1" ht="50.1" customHeight="1" x14ac:dyDescent="0.3">
      <c r="A32" s="175" t="s">
        <v>99</v>
      </c>
      <c r="B32" s="174" t="s">
        <v>30</v>
      </c>
      <c r="C32" s="232">
        <v>3449</v>
      </c>
      <c r="D32" s="232">
        <v>3449</v>
      </c>
      <c r="E32" s="232">
        <v>7387</v>
      </c>
      <c r="F32" s="232">
        <v>7387</v>
      </c>
      <c r="G32" s="232">
        <v>11384</v>
      </c>
      <c r="H32" s="232">
        <v>11384</v>
      </c>
      <c r="I32" s="232">
        <v>22733</v>
      </c>
      <c r="J32" s="232">
        <v>22733</v>
      </c>
      <c r="K32" s="41"/>
      <c r="L32" s="41"/>
      <c r="M32" s="41"/>
      <c r="N32" s="41"/>
      <c r="O32" s="41"/>
    </row>
    <row r="33" spans="1:15" s="42" customFormat="1" ht="50.1" customHeight="1" x14ac:dyDescent="0.3">
      <c r="A33" s="175" t="s">
        <v>54</v>
      </c>
      <c r="B33" s="174" t="s">
        <v>31</v>
      </c>
      <c r="C33" s="232">
        <v>320</v>
      </c>
      <c r="D33" s="232">
        <v>320</v>
      </c>
      <c r="E33" s="232">
        <v>1380</v>
      </c>
      <c r="F33" s="232">
        <v>1380</v>
      </c>
      <c r="G33" s="232">
        <v>2327</v>
      </c>
      <c r="H33" s="232">
        <v>2327</v>
      </c>
      <c r="I33" s="232">
        <v>6282</v>
      </c>
      <c r="J33" s="232">
        <v>6282</v>
      </c>
      <c r="K33" s="41"/>
      <c r="L33" s="41"/>
      <c r="M33" s="41"/>
      <c r="N33" s="41"/>
      <c r="O33" s="41"/>
    </row>
    <row r="34" spans="1:15" s="42" customFormat="1" ht="50.1" customHeight="1" x14ac:dyDescent="0.3">
      <c r="A34" s="176" t="s">
        <v>53</v>
      </c>
      <c r="B34" s="177" t="s">
        <v>0</v>
      </c>
      <c r="C34" s="233">
        <v>803</v>
      </c>
      <c r="D34" s="233">
        <v>10405</v>
      </c>
      <c r="E34" s="233">
        <v>4926</v>
      </c>
      <c r="F34" s="233">
        <v>24550</v>
      </c>
      <c r="G34" s="233">
        <v>5665</v>
      </c>
      <c r="H34" s="233">
        <v>36210</v>
      </c>
      <c r="I34" s="376">
        <v>8487</v>
      </c>
      <c r="J34" s="376">
        <v>50715</v>
      </c>
      <c r="K34" s="41"/>
      <c r="L34" s="41"/>
      <c r="M34" s="41"/>
      <c r="N34" s="41"/>
      <c r="O34" s="41"/>
    </row>
    <row r="35" spans="1:15" s="42" customFormat="1" ht="21.9" customHeight="1" x14ac:dyDescent="0.3">
      <c r="A35" s="110" t="s">
        <v>69</v>
      </c>
      <c r="B35" s="109" t="s">
        <v>70</v>
      </c>
      <c r="C35" s="11"/>
      <c r="D35" s="11"/>
      <c r="E35" s="71"/>
      <c r="F35" s="71"/>
      <c r="G35" s="71"/>
      <c r="H35" s="71"/>
      <c r="I35" s="71"/>
      <c r="J35" s="71"/>
      <c r="K35" s="41"/>
      <c r="L35" s="41"/>
      <c r="M35" s="41"/>
      <c r="N35" s="41"/>
      <c r="O35" s="41"/>
    </row>
    <row r="36" spans="1:15" ht="87.6" customHeight="1" x14ac:dyDescent="0.3">
      <c r="A36" s="5" t="s">
        <v>57</v>
      </c>
      <c r="B36" s="6" t="s">
        <v>56</v>
      </c>
    </row>
    <row r="37" spans="1:15" ht="27.6" customHeight="1" x14ac:dyDescent="0.3">
      <c r="A37" s="5"/>
      <c r="B37" s="7" t="s">
        <v>59</v>
      </c>
    </row>
    <row r="38" spans="1:15" ht="42" customHeight="1" x14ac:dyDescent="0.3">
      <c r="A38" s="51" t="s">
        <v>68</v>
      </c>
      <c r="B38" s="329" t="s">
        <v>77</v>
      </c>
      <c r="C38" s="329"/>
    </row>
    <row r="39" spans="1:15" ht="21.9" customHeight="1" x14ac:dyDescent="0.3">
      <c r="B39" s="72"/>
    </row>
    <row r="40" spans="1:15" ht="21.9" customHeight="1" x14ac:dyDescent="0.3"/>
    <row r="41" spans="1:15" ht="21.9" customHeight="1" x14ac:dyDescent="0.3">
      <c r="B41" s="8"/>
      <c r="C41" s="50"/>
      <c r="D41" s="50"/>
      <c r="E41" s="50"/>
      <c r="F41" s="50"/>
      <c r="G41" s="73"/>
    </row>
    <row r="42" spans="1:15" ht="21.9" customHeight="1" x14ac:dyDescent="0.3"/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9">
    <mergeCell ref="B38:C38"/>
    <mergeCell ref="B3:B4"/>
    <mergeCell ref="C3:J4"/>
    <mergeCell ref="I5:J6"/>
    <mergeCell ref="C2:D2"/>
    <mergeCell ref="G2:H2"/>
    <mergeCell ref="C5:D6"/>
    <mergeCell ref="E5:F6"/>
    <mergeCell ref="G5:H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  <rowBreaks count="1" manualBreakCount="1">
    <brk id="3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C1304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2" customWidth="1"/>
    <col min="2" max="2" width="62.5546875" style="7" customWidth="1"/>
    <col min="3" max="4" width="24.5546875" style="43" customWidth="1"/>
    <col min="5" max="10" width="24.5546875" style="3" customWidth="1"/>
    <col min="11" max="16384" width="9.109375" style="2"/>
  </cols>
  <sheetData>
    <row r="1" spans="1:55" ht="112.35" customHeight="1" x14ac:dyDescent="0.3">
      <c r="A1" s="257" t="s">
        <v>93</v>
      </c>
      <c r="B1" s="258" t="s">
        <v>94</v>
      </c>
      <c r="C1" s="260"/>
      <c r="D1" s="260"/>
      <c r="E1" s="260"/>
      <c r="F1" s="260"/>
      <c r="G1" s="260"/>
      <c r="H1" s="260"/>
      <c r="I1" s="260"/>
      <c r="J1" s="260"/>
      <c r="K1" s="13"/>
      <c r="L1" s="13"/>
      <c r="M1" s="13"/>
      <c r="N1" s="13"/>
    </row>
    <row r="2" spans="1:55" ht="20.399999999999999" customHeight="1" x14ac:dyDescent="0.35">
      <c r="A2" s="261"/>
      <c r="B2" s="262"/>
      <c r="C2" s="357"/>
      <c r="D2" s="357"/>
      <c r="E2" s="263"/>
      <c r="F2" s="264"/>
      <c r="G2" s="358"/>
      <c r="H2" s="358"/>
      <c r="I2" s="263"/>
      <c r="J2" s="256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33" customFormat="1" ht="15" customHeight="1" x14ac:dyDescent="0.35">
      <c r="A3" s="234"/>
      <c r="B3" s="342" t="s">
        <v>1</v>
      </c>
      <c r="C3" s="330" t="s">
        <v>62</v>
      </c>
      <c r="D3" s="331"/>
      <c r="E3" s="331"/>
      <c r="F3" s="331"/>
      <c r="G3" s="331"/>
      <c r="H3" s="331"/>
      <c r="I3" s="331"/>
      <c r="J3" s="332"/>
    </row>
    <row r="4" spans="1:55" s="33" customFormat="1" ht="15" customHeight="1" x14ac:dyDescent="0.35">
      <c r="A4" s="235"/>
      <c r="B4" s="343"/>
      <c r="C4" s="333"/>
      <c r="D4" s="334"/>
      <c r="E4" s="334"/>
      <c r="F4" s="334"/>
      <c r="G4" s="334"/>
      <c r="H4" s="334"/>
      <c r="I4" s="334"/>
      <c r="J4" s="335"/>
    </row>
    <row r="5" spans="1:55" s="33" customFormat="1" ht="15" customHeight="1" x14ac:dyDescent="0.35">
      <c r="A5" s="235"/>
      <c r="B5" s="236"/>
      <c r="C5" s="341" t="s">
        <v>3</v>
      </c>
      <c r="D5" s="341"/>
      <c r="E5" s="341" t="s">
        <v>5</v>
      </c>
      <c r="F5" s="341"/>
      <c r="G5" s="341" t="s">
        <v>6</v>
      </c>
      <c r="H5" s="341"/>
      <c r="I5" s="341" t="s">
        <v>7</v>
      </c>
      <c r="J5" s="341"/>
    </row>
    <row r="6" spans="1:55" s="33" customFormat="1" ht="15" customHeight="1" x14ac:dyDescent="0.35">
      <c r="A6" s="235"/>
      <c r="B6" s="236"/>
      <c r="C6" s="337"/>
      <c r="D6" s="337"/>
      <c r="E6" s="337"/>
      <c r="F6" s="337"/>
      <c r="G6" s="337"/>
      <c r="H6" s="337"/>
      <c r="I6" s="337"/>
      <c r="J6" s="337"/>
    </row>
    <row r="7" spans="1:55" s="34" customFormat="1" ht="81.75" customHeight="1" x14ac:dyDescent="0.35">
      <c r="A7" s="237"/>
      <c r="B7" s="238"/>
      <c r="C7" s="213" t="s">
        <v>2</v>
      </c>
      <c r="D7" s="220" t="s">
        <v>75</v>
      </c>
      <c r="E7" s="213" t="s">
        <v>2</v>
      </c>
      <c r="F7" s="220" t="s">
        <v>75</v>
      </c>
      <c r="G7" s="213" t="s">
        <v>2</v>
      </c>
      <c r="H7" s="220" t="s">
        <v>75</v>
      </c>
      <c r="I7" s="213" t="s">
        <v>2</v>
      </c>
      <c r="J7" s="220" t="s">
        <v>75</v>
      </c>
    </row>
    <row r="8" spans="1:55" s="36" customFormat="1" ht="50.1" customHeight="1" x14ac:dyDescent="0.3">
      <c r="A8" s="162" t="s">
        <v>34</v>
      </c>
      <c r="B8" s="163" t="s">
        <v>11</v>
      </c>
      <c r="C8" s="378">
        <v>58634</v>
      </c>
      <c r="D8" s="378">
        <v>70563</v>
      </c>
      <c r="E8" s="378">
        <v>175432</v>
      </c>
      <c r="F8" s="378">
        <v>200869</v>
      </c>
      <c r="G8" s="378">
        <v>282701</v>
      </c>
      <c r="H8" s="378">
        <v>323578</v>
      </c>
      <c r="I8" s="379">
        <v>456788</v>
      </c>
      <c r="J8" s="379">
        <v>519449</v>
      </c>
      <c r="K8" s="35"/>
      <c r="L8" s="35"/>
      <c r="M8" s="35"/>
      <c r="N8" s="35"/>
      <c r="O8" s="35"/>
    </row>
    <row r="9" spans="1:55" s="36" customFormat="1" ht="50.1" customHeight="1" x14ac:dyDescent="0.3">
      <c r="A9" s="164" t="s">
        <v>35</v>
      </c>
      <c r="B9" s="165" t="s">
        <v>12</v>
      </c>
      <c r="C9" s="380">
        <v>39837</v>
      </c>
      <c r="D9" s="380">
        <v>39837</v>
      </c>
      <c r="E9" s="380">
        <v>103807</v>
      </c>
      <c r="F9" s="380">
        <v>103807</v>
      </c>
      <c r="G9" s="380">
        <v>168959</v>
      </c>
      <c r="H9" s="380">
        <v>168959</v>
      </c>
      <c r="I9" s="381">
        <v>260289</v>
      </c>
      <c r="J9" s="381">
        <v>260289</v>
      </c>
      <c r="K9" s="35"/>
      <c r="L9" s="35"/>
      <c r="M9" s="35"/>
      <c r="N9" s="35"/>
      <c r="O9" s="35"/>
    </row>
    <row r="10" spans="1:55" s="36" customFormat="1" ht="50.1" customHeight="1" x14ac:dyDescent="0.3">
      <c r="A10" s="166" t="s">
        <v>36</v>
      </c>
      <c r="B10" s="167" t="s">
        <v>82</v>
      </c>
      <c r="C10" s="380">
        <v>12325</v>
      </c>
      <c r="D10" s="380">
        <v>12325</v>
      </c>
      <c r="E10" s="380">
        <v>45142</v>
      </c>
      <c r="F10" s="380">
        <v>45142</v>
      </c>
      <c r="G10" s="380">
        <v>75341</v>
      </c>
      <c r="H10" s="380">
        <v>75341</v>
      </c>
      <c r="I10" s="381">
        <v>120926</v>
      </c>
      <c r="J10" s="381">
        <v>120926</v>
      </c>
      <c r="K10" s="35"/>
      <c r="L10" s="35"/>
      <c r="M10" s="35"/>
      <c r="N10" s="35"/>
      <c r="O10" s="35"/>
    </row>
    <row r="11" spans="1:55" ht="50.1" customHeight="1" x14ac:dyDescent="0.3">
      <c r="A11" s="168" t="s">
        <v>37</v>
      </c>
      <c r="B11" s="169" t="s">
        <v>13</v>
      </c>
      <c r="C11" s="382">
        <v>0</v>
      </c>
      <c r="D11" s="382">
        <v>0</v>
      </c>
      <c r="E11" s="382">
        <v>15312</v>
      </c>
      <c r="F11" s="382">
        <v>15312</v>
      </c>
      <c r="G11" s="383">
        <v>30624</v>
      </c>
      <c r="H11" s="383">
        <v>30624</v>
      </c>
      <c r="I11" s="384">
        <v>46060</v>
      </c>
      <c r="J11" s="384">
        <v>46060</v>
      </c>
      <c r="K11" s="37"/>
      <c r="L11" s="37"/>
      <c r="M11" s="37"/>
      <c r="N11" s="37"/>
      <c r="O11" s="37"/>
    </row>
    <row r="12" spans="1:55" ht="50.1" customHeight="1" x14ac:dyDescent="0.3">
      <c r="A12" s="168" t="s">
        <v>38</v>
      </c>
      <c r="B12" s="169" t="s">
        <v>14</v>
      </c>
      <c r="C12" s="382">
        <v>2300</v>
      </c>
      <c r="D12" s="382">
        <v>2300</v>
      </c>
      <c r="E12" s="382">
        <v>4700</v>
      </c>
      <c r="F12" s="382">
        <v>4700</v>
      </c>
      <c r="G12" s="383">
        <v>8700</v>
      </c>
      <c r="H12" s="383">
        <v>8700</v>
      </c>
      <c r="I12" s="384">
        <v>14312</v>
      </c>
      <c r="J12" s="384">
        <v>14312</v>
      </c>
      <c r="K12" s="37"/>
      <c r="L12" s="37"/>
      <c r="M12" s="37"/>
      <c r="N12" s="37"/>
      <c r="O12" s="37"/>
    </row>
    <row r="13" spans="1:55" ht="50.1" customHeight="1" x14ac:dyDescent="0.3">
      <c r="A13" s="168" t="s">
        <v>39</v>
      </c>
      <c r="B13" s="169" t="s">
        <v>15</v>
      </c>
      <c r="C13" s="382">
        <v>2542</v>
      </c>
      <c r="D13" s="382">
        <v>2542</v>
      </c>
      <c r="E13" s="382">
        <v>2542</v>
      </c>
      <c r="F13" s="382">
        <v>2542</v>
      </c>
      <c r="G13" s="383">
        <v>3042</v>
      </c>
      <c r="H13" s="383">
        <v>3042</v>
      </c>
      <c r="I13" s="384">
        <v>4042</v>
      </c>
      <c r="J13" s="384">
        <v>4042</v>
      </c>
      <c r="K13" s="37"/>
      <c r="L13" s="37"/>
      <c r="M13" s="37"/>
      <c r="N13" s="37"/>
      <c r="O13" s="37"/>
    </row>
    <row r="14" spans="1:55" ht="50.1" customHeight="1" x14ac:dyDescent="0.3">
      <c r="A14" s="168" t="s">
        <v>40</v>
      </c>
      <c r="B14" s="169" t="s">
        <v>16</v>
      </c>
      <c r="C14" s="382">
        <v>2366</v>
      </c>
      <c r="D14" s="382">
        <v>2366</v>
      </c>
      <c r="E14" s="382">
        <v>9911</v>
      </c>
      <c r="F14" s="382">
        <v>9911</v>
      </c>
      <c r="G14" s="383">
        <v>12039</v>
      </c>
      <c r="H14" s="383">
        <v>12039</v>
      </c>
      <c r="I14" s="384">
        <v>25099</v>
      </c>
      <c r="J14" s="384">
        <v>25099</v>
      </c>
      <c r="K14" s="37"/>
      <c r="L14" s="37"/>
      <c r="M14" s="37"/>
      <c r="N14" s="37"/>
      <c r="O14" s="37"/>
    </row>
    <row r="15" spans="1:55" ht="50.1" customHeight="1" x14ac:dyDescent="0.3">
      <c r="A15" s="168" t="s">
        <v>63</v>
      </c>
      <c r="B15" s="169" t="s">
        <v>17</v>
      </c>
      <c r="C15" s="382">
        <v>5117</v>
      </c>
      <c r="D15" s="382">
        <v>5117</v>
      </c>
      <c r="E15" s="382">
        <v>12677</v>
      </c>
      <c r="F15" s="382">
        <v>12677</v>
      </c>
      <c r="G15" s="383">
        <v>20936</v>
      </c>
      <c r="H15" s="383">
        <v>20936</v>
      </c>
      <c r="I15" s="384">
        <v>31413</v>
      </c>
      <c r="J15" s="384">
        <v>31413</v>
      </c>
      <c r="K15" s="37"/>
      <c r="L15" s="37"/>
      <c r="M15" s="37"/>
      <c r="N15" s="37"/>
      <c r="O15" s="37"/>
    </row>
    <row r="16" spans="1:55" s="36" customFormat="1" ht="50.1" customHeight="1" x14ac:dyDescent="0.3">
      <c r="A16" s="166" t="s">
        <v>41</v>
      </c>
      <c r="B16" s="167" t="s">
        <v>18</v>
      </c>
      <c r="C16" s="385">
        <v>4832</v>
      </c>
      <c r="D16" s="385">
        <v>4832</v>
      </c>
      <c r="E16" s="385">
        <v>9512</v>
      </c>
      <c r="F16" s="385">
        <v>9512</v>
      </c>
      <c r="G16" s="380">
        <v>13952</v>
      </c>
      <c r="H16" s="380">
        <v>13952</v>
      </c>
      <c r="I16" s="381">
        <v>18761</v>
      </c>
      <c r="J16" s="381">
        <v>18761</v>
      </c>
      <c r="K16" s="35"/>
      <c r="L16" s="35"/>
      <c r="M16" s="35"/>
      <c r="N16" s="35"/>
      <c r="O16" s="35"/>
    </row>
    <row r="17" spans="1:15" s="36" customFormat="1" ht="50.1" customHeight="1" x14ac:dyDescent="0.3">
      <c r="A17" s="166" t="s">
        <v>42</v>
      </c>
      <c r="B17" s="167" t="s">
        <v>19</v>
      </c>
      <c r="C17" s="385">
        <v>19302</v>
      </c>
      <c r="D17" s="385">
        <v>19302</v>
      </c>
      <c r="E17" s="385">
        <v>41318</v>
      </c>
      <c r="F17" s="385">
        <v>41318</v>
      </c>
      <c r="G17" s="380">
        <v>64112</v>
      </c>
      <c r="H17" s="380">
        <v>64112</v>
      </c>
      <c r="I17" s="381">
        <v>91867</v>
      </c>
      <c r="J17" s="381">
        <v>91867</v>
      </c>
      <c r="K17" s="35"/>
      <c r="L17" s="35"/>
      <c r="M17" s="35"/>
      <c r="N17" s="35"/>
      <c r="O17" s="35"/>
    </row>
    <row r="18" spans="1:15" s="36" customFormat="1" ht="50.1" customHeight="1" x14ac:dyDescent="0.3">
      <c r="A18" s="166" t="s">
        <v>43</v>
      </c>
      <c r="B18" s="167" t="s">
        <v>20</v>
      </c>
      <c r="C18" s="386">
        <v>3138</v>
      </c>
      <c r="D18" s="386">
        <v>3138</v>
      </c>
      <c r="E18" s="386">
        <v>7595</v>
      </c>
      <c r="F18" s="386">
        <v>7595</v>
      </c>
      <c r="G18" s="387">
        <v>12418</v>
      </c>
      <c r="H18" s="387">
        <v>12418</v>
      </c>
      <c r="I18" s="381">
        <v>17673</v>
      </c>
      <c r="J18" s="381">
        <v>17673</v>
      </c>
      <c r="K18" s="35"/>
      <c r="L18" s="35"/>
      <c r="M18" s="35"/>
      <c r="N18" s="35"/>
      <c r="O18" s="35"/>
    </row>
    <row r="19" spans="1:15" s="36" customFormat="1" ht="50.1" customHeight="1" x14ac:dyDescent="0.3">
      <c r="A19" s="166" t="s">
        <v>44</v>
      </c>
      <c r="B19" s="167" t="s">
        <v>21</v>
      </c>
      <c r="C19" s="386">
        <v>240</v>
      </c>
      <c r="D19" s="386">
        <v>240</v>
      </c>
      <c r="E19" s="386">
        <v>240</v>
      </c>
      <c r="F19" s="386">
        <v>240</v>
      </c>
      <c r="G19" s="387">
        <v>3136</v>
      </c>
      <c r="H19" s="387">
        <v>3136</v>
      </c>
      <c r="I19" s="381">
        <v>11062</v>
      </c>
      <c r="J19" s="381">
        <v>11062</v>
      </c>
      <c r="K19" s="35"/>
      <c r="L19" s="35"/>
      <c r="M19" s="35"/>
      <c r="N19" s="35"/>
      <c r="O19" s="35"/>
    </row>
    <row r="20" spans="1:15" s="36" customFormat="1" ht="50.1" customHeight="1" x14ac:dyDescent="0.3">
      <c r="A20" s="170" t="s">
        <v>45</v>
      </c>
      <c r="B20" s="165" t="s">
        <v>22</v>
      </c>
      <c r="C20" s="387">
        <v>6999</v>
      </c>
      <c r="D20" s="387">
        <v>6999</v>
      </c>
      <c r="E20" s="387">
        <v>36881</v>
      </c>
      <c r="F20" s="387">
        <v>36881</v>
      </c>
      <c r="G20" s="387">
        <v>51395</v>
      </c>
      <c r="H20" s="387">
        <v>51395</v>
      </c>
      <c r="I20" s="381">
        <v>95856</v>
      </c>
      <c r="J20" s="381">
        <v>95856</v>
      </c>
      <c r="K20" s="35"/>
      <c r="L20" s="35"/>
      <c r="M20" s="35"/>
      <c r="N20" s="35"/>
      <c r="O20" s="35"/>
    </row>
    <row r="21" spans="1:15" s="38" customFormat="1" ht="50.1" customHeight="1" x14ac:dyDescent="0.25">
      <c r="A21" s="171" t="s">
        <v>46</v>
      </c>
      <c r="B21" s="172" t="s">
        <v>23</v>
      </c>
      <c r="C21" s="388">
        <v>6985</v>
      </c>
      <c r="D21" s="388">
        <v>6985</v>
      </c>
      <c r="E21" s="388">
        <v>36791</v>
      </c>
      <c r="F21" s="388">
        <v>36791</v>
      </c>
      <c r="G21" s="389">
        <v>51230</v>
      </c>
      <c r="H21" s="389">
        <v>51230</v>
      </c>
      <c r="I21" s="389">
        <v>81744</v>
      </c>
      <c r="J21" s="389">
        <v>81744</v>
      </c>
    </row>
    <row r="22" spans="1:15" s="38" customFormat="1" ht="50.1" customHeight="1" x14ac:dyDescent="0.25">
      <c r="A22" s="171" t="s">
        <v>47</v>
      </c>
      <c r="B22" s="172" t="s">
        <v>24</v>
      </c>
      <c r="C22" s="388">
        <v>14</v>
      </c>
      <c r="D22" s="388">
        <v>14</v>
      </c>
      <c r="E22" s="388">
        <v>90</v>
      </c>
      <c r="F22" s="388">
        <v>90</v>
      </c>
      <c r="G22" s="389">
        <v>165</v>
      </c>
      <c r="H22" s="389">
        <v>165</v>
      </c>
      <c r="I22" s="389">
        <v>14112</v>
      </c>
      <c r="J22" s="389">
        <v>14112</v>
      </c>
    </row>
    <row r="23" spans="1:15" s="36" customFormat="1" ht="50.1" customHeight="1" x14ac:dyDescent="0.3">
      <c r="A23" s="164" t="s">
        <v>48</v>
      </c>
      <c r="B23" s="165" t="s">
        <v>25</v>
      </c>
      <c r="C23" s="387">
        <v>11798</v>
      </c>
      <c r="D23" s="387">
        <v>23727</v>
      </c>
      <c r="E23" s="387">
        <v>34744</v>
      </c>
      <c r="F23" s="387">
        <v>60181</v>
      </c>
      <c r="G23" s="387">
        <v>62347</v>
      </c>
      <c r="H23" s="387">
        <v>103224</v>
      </c>
      <c r="I23" s="381">
        <v>100643</v>
      </c>
      <c r="J23" s="381">
        <v>163304</v>
      </c>
      <c r="K23" s="35"/>
      <c r="L23" s="35"/>
      <c r="M23" s="35"/>
      <c r="N23" s="35"/>
      <c r="O23" s="35"/>
    </row>
    <row r="24" spans="1:15" s="36" customFormat="1" ht="50.1" customHeight="1" x14ac:dyDescent="0.3">
      <c r="A24" s="166" t="s">
        <v>100</v>
      </c>
      <c r="B24" s="167" t="s">
        <v>26</v>
      </c>
      <c r="C24" s="387">
        <v>7950</v>
      </c>
      <c r="D24" s="387">
        <v>9571</v>
      </c>
      <c r="E24" s="387">
        <v>20016</v>
      </c>
      <c r="F24" s="387">
        <v>23113</v>
      </c>
      <c r="G24" s="387">
        <v>40150</v>
      </c>
      <c r="H24" s="387">
        <v>46171</v>
      </c>
      <c r="I24" s="374">
        <v>58115</v>
      </c>
      <c r="J24" s="374">
        <v>69402</v>
      </c>
      <c r="K24" s="35"/>
      <c r="L24" s="35"/>
      <c r="M24" s="35"/>
      <c r="N24" s="35"/>
      <c r="O24" s="35"/>
    </row>
    <row r="25" spans="1:15" ht="50.1" customHeight="1" x14ac:dyDescent="0.3">
      <c r="A25" s="168" t="s">
        <v>37</v>
      </c>
      <c r="B25" s="169" t="s">
        <v>13</v>
      </c>
      <c r="C25" s="388">
        <v>0</v>
      </c>
      <c r="D25" s="388">
        <v>0</v>
      </c>
      <c r="E25" s="388">
        <v>7257</v>
      </c>
      <c r="F25" s="388">
        <v>7257</v>
      </c>
      <c r="G25" s="389">
        <v>14514</v>
      </c>
      <c r="H25" s="389">
        <v>14514</v>
      </c>
      <c r="I25" s="389">
        <v>21809</v>
      </c>
      <c r="J25" s="389">
        <v>21809</v>
      </c>
      <c r="K25" s="37"/>
      <c r="L25" s="37"/>
      <c r="M25" s="37"/>
      <c r="N25" s="37"/>
      <c r="O25" s="37"/>
    </row>
    <row r="26" spans="1:15" ht="50.1" customHeight="1" x14ac:dyDescent="0.3">
      <c r="A26" s="168" t="s">
        <v>49</v>
      </c>
      <c r="B26" s="169" t="s">
        <v>14</v>
      </c>
      <c r="C26" s="388">
        <v>3800</v>
      </c>
      <c r="D26" s="388">
        <v>3800</v>
      </c>
      <c r="E26" s="388">
        <v>7212</v>
      </c>
      <c r="F26" s="388">
        <v>7212</v>
      </c>
      <c r="G26" s="389">
        <v>12314</v>
      </c>
      <c r="H26" s="389">
        <v>12314</v>
      </c>
      <c r="I26" s="389">
        <v>18084</v>
      </c>
      <c r="J26" s="389">
        <v>18084</v>
      </c>
      <c r="K26" s="37"/>
      <c r="L26" s="37"/>
      <c r="M26" s="37"/>
      <c r="N26" s="37"/>
      <c r="O26" s="37"/>
    </row>
    <row r="27" spans="1:15" s="40" customFormat="1" ht="50.1" customHeight="1" x14ac:dyDescent="0.3">
      <c r="A27" s="168" t="s">
        <v>39</v>
      </c>
      <c r="B27" s="169" t="s">
        <v>15</v>
      </c>
      <c r="C27" s="388">
        <v>3283</v>
      </c>
      <c r="D27" s="388">
        <v>3283</v>
      </c>
      <c r="E27" s="388">
        <v>3283</v>
      </c>
      <c r="F27" s="388">
        <v>3283</v>
      </c>
      <c r="G27" s="389">
        <v>9283</v>
      </c>
      <c r="H27" s="389">
        <v>9283</v>
      </c>
      <c r="I27" s="389">
        <v>9283</v>
      </c>
      <c r="J27" s="389">
        <v>9283</v>
      </c>
      <c r="K27" s="39"/>
      <c r="L27" s="39"/>
      <c r="M27" s="39"/>
      <c r="N27" s="39"/>
      <c r="O27" s="39"/>
    </row>
    <row r="28" spans="1:15" s="40" customFormat="1" ht="50.1" customHeight="1" x14ac:dyDescent="0.3">
      <c r="A28" s="168" t="s">
        <v>50</v>
      </c>
      <c r="B28" s="169" t="s">
        <v>27</v>
      </c>
      <c r="C28" s="388">
        <v>245</v>
      </c>
      <c r="D28" s="388">
        <v>245</v>
      </c>
      <c r="E28" s="388">
        <v>447</v>
      </c>
      <c r="F28" s="388">
        <v>447</v>
      </c>
      <c r="G28" s="389">
        <v>999</v>
      </c>
      <c r="H28" s="389">
        <v>999</v>
      </c>
      <c r="I28" s="389">
        <v>1630</v>
      </c>
      <c r="J28" s="389">
        <v>1630</v>
      </c>
      <c r="K28" s="39"/>
      <c r="L28" s="39"/>
      <c r="M28" s="39"/>
      <c r="N28" s="39"/>
      <c r="O28" s="39"/>
    </row>
    <row r="29" spans="1:15" ht="50.1" customHeight="1" x14ac:dyDescent="0.3">
      <c r="A29" s="168" t="s">
        <v>51</v>
      </c>
      <c r="B29" s="169" t="s">
        <v>28</v>
      </c>
      <c r="C29" s="388">
        <v>406</v>
      </c>
      <c r="D29" s="388">
        <v>406</v>
      </c>
      <c r="E29" s="388">
        <v>549</v>
      </c>
      <c r="F29" s="388">
        <v>549</v>
      </c>
      <c r="G29" s="389">
        <v>718</v>
      </c>
      <c r="H29" s="389">
        <v>718</v>
      </c>
      <c r="I29" s="389">
        <v>3157</v>
      </c>
      <c r="J29" s="389">
        <v>3157</v>
      </c>
      <c r="K29" s="37"/>
      <c r="L29" s="37"/>
      <c r="M29" s="37"/>
      <c r="N29" s="37"/>
      <c r="O29" s="37"/>
    </row>
    <row r="30" spans="1:15" ht="50.1" customHeight="1" x14ac:dyDescent="0.3">
      <c r="A30" s="173" t="s">
        <v>52</v>
      </c>
      <c r="B30" s="169" t="s">
        <v>29</v>
      </c>
      <c r="C30" s="388">
        <v>0</v>
      </c>
      <c r="D30" s="388">
        <v>0</v>
      </c>
      <c r="E30" s="388">
        <v>0</v>
      </c>
      <c r="F30" s="388">
        <v>0</v>
      </c>
      <c r="G30" s="389">
        <v>53</v>
      </c>
      <c r="H30" s="389">
        <v>53</v>
      </c>
      <c r="I30" s="389">
        <v>245</v>
      </c>
      <c r="J30" s="389">
        <v>245</v>
      </c>
      <c r="K30" s="37"/>
      <c r="L30" s="37"/>
      <c r="M30" s="37"/>
      <c r="N30" s="37"/>
      <c r="O30" s="37"/>
    </row>
    <row r="31" spans="1:15" s="40" customFormat="1" ht="50.1" customHeight="1" x14ac:dyDescent="0.3">
      <c r="A31" s="168" t="s">
        <v>53</v>
      </c>
      <c r="B31" s="169" t="s">
        <v>0</v>
      </c>
      <c r="C31" s="388">
        <v>216</v>
      </c>
      <c r="D31" s="388">
        <v>1837</v>
      </c>
      <c r="E31" s="388">
        <v>1268</v>
      </c>
      <c r="F31" s="388">
        <v>4365</v>
      </c>
      <c r="G31" s="389">
        <v>2269</v>
      </c>
      <c r="H31" s="389">
        <v>8290</v>
      </c>
      <c r="I31" s="389">
        <v>3907</v>
      </c>
      <c r="J31" s="389">
        <v>15194</v>
      </c>
      <c r="K31" s="39"/>
      <c r="L31" s="39"/>
      <c r="M31" s="39"/>
      <c r="N31" s="39"/>
      <c r="O31" s="39"/>
    </row>
    <row r="32" spans="1:15" s="42" customFormat="1" ht="50.1" customHeight="1" x14ac:dyDescent="0.3">
      <c r="A32" s="175" t="s">
        <v>99</v>
      </c>
      <c r="B32" s="174" t="s">
        <v>30</v>
      </c>
      <c r="C32" s="386">
        <v>2700</v>
      </c>
      <c r="D32" s="386">
        <v>2700</v>
      </c>
      <c r="E32" s="386">
        <v>11087</v>
      </c>
      <c r="F32" s="386">
        <v>11087</v>
      </c>
      <c r="G32" s="387">
        <v>15809</v>
      </c>
      <c r="H32" s="387">
        <v>15809</v>
      </c>
      <c r="I32" s="387">
        <v>28499</v>
      </c>
      <c r="J32" s="387">
        <v>28499</v>
      </c>
      <c r="K32" s="41"/>
      <c r="L32" s="41"/>
      <c r="M32" s="41"/>
      <c r="N32" s="41"/>
      <c r="O32" s="41"/>
    </row>
    <row r="33" spans="1:15" s="42" customFormat="1" ht="50.1" customHeight="1" x14ac:dyDescent="0.3">
      <c r="A33" s="175" t="s">
        <v>54</v>
      </c>
      <c r="B33" s="174" t="s">
        <v>31</v>
      </c>
      <c r="C33" s="386">
        <v>571</v>
      </c>
      <c r="D33" s="386">
        <v>571</v>
      </c>
      <c r="E33" s="386">
        <v>1372</v>
      </c>
      <c r="F33" s="386">
        <v>1372</v>
      </c>
      <c r="G33" s="387">
        <v>2383</v>
      </c>
      <c r="H33" s="387">
        <v>2383</v>
      </c>
      <c r="I33" s="387">
        <v>6180</v>
      </c>
      <c r="J33" s="387">
        <v>6180</v>
      </c>
      <c r="K33" s="41"/>
      <c r="L33" s="41"/>
      <c r="M33" s="41"/>
      <c r="N33" s="41"/>
      <c r="O33" s="41"/>
    </row>
    <row r="34" spans="1:15" s="42" customFormat="1" ht="50.1" customHeight="1" x14ac:dyDescent="0.3">
      <c r="A34" s="176" t="s">
        <v>53</v>
      </c>
      <c r="B34" s="177" t="s">
        <v>0</v>
      </c>
      <c r="C34" s="390">
        <v>577</v>
      </c>
      <c r="D34" s="390">
        <v>10885</v>
      </c>
      <c r="E34" s="390">
        <v>2269</v>
      </c>
      <c r="F34" s="390">
        <v>24609</v>
      </c>
      <c r="G34" s="391">
        <v>4005</v>
      </c>
      <c r="H34" s="391">
        <v>38861</v>
      </c>
      <c r="I34" s="391">
        <v>7849</v>
      </c>
      <c r="J34" s="391">
        <v>59223</v>
      </c>
      <c r="K34" s="41"/>
      <c r="L34" s="41"/>
      <c r="M34" s="41"/>
      <c r="N34" s="41"/>
      <c r="O34" s="41"/>
    </row>
    <row r="35" spans="1:15" s="42" customFormat="1" ht="21.9" customHeight="1" x14ac:dyDescent="0.3">
      <c r="A35" s="110" t="s">
        <v>69</v>
      </c>
      <c r="B35" s="109" t="s">
        <v>70</v>
      </c>
      <c r="C35" s="11"/>
      <c r="D35" s="11"/>
      <c r="E35" s="71"/>
      <c r="F35" s="71"/>
      <c r="G35" s="71"/>
      <c r="H35" s="71"/>
      <c r="I35" s="71"/>
      <c r="J35" s="71"/>
      <c r="K35" s="41"/>
      <c r="L35" s="41"/>
      <c r="M35" s="41"/>
      <c r="N35" s="41"/>
      <c r="O35" s="41"/>
    </row>
    <row r="36" spans="1:15" ht="87.6" customHeight="1" x14ac:dyDescent="0.3">
      <c r="A36" s="5" t="s">
        <v>57</v>
      </c>
      <c r="B36" s="6" t="s">
        <v>56</v>
      </c>
    </row>
    <row r="37" spans="1:15" ht="26.4" customHeight="1" x14ac:dyDescent="0.3">
      <c r="A37" s="5"/>
      <c r="B37" s="7" t="s">
        <v>59</v>
      </c>
    </row>
    <row r="38" spans="1:15" ht="44.1" customHeight="1" x14ac:dyDescent="0.3">
      <c r="A38" s="51" t="s">
        <v>68</v>
      </c>
      <c r="B38" s="329" t="s">
        <v>79</v>
      </c>
      <c r="C38" s="329"/>
    </row>
    <row r="39" spans="1:15" ht="21.9" customHeight="1" x14ac:dyDescent="0.3">
      <c r="B39" s="72"/>
    </row>
    <row r="40" spans="1:15" ht="21.9" customHeight="1" x14ac:dyDescent="0.3"/>
    <row r="41" spans="1:15" ht="21.9" customHeight="1" x14ac:dyDescent="0.3">
      <c r="B41" s="8"/>
      <c r="C41" s="50"/>
      <c r="D41" s="50"/>
      <c r="E41" s="50"/>
      <c r="F41" s="50"/>
      <c r="G41" s="73"/>
    </row>
    <row r="42" spans="1:15" ht="21.9" customHeight="1" x14ac:dyDescent="0.3"/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9">
    <mergeCell ref="B38:C38"/>
    <mergeCell ref="C2:D2"/>
    <mergeCell ref="G2:H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3" orientation="landscape" r:id="rId1"/>
  <headerFooter alignWithMargins="0"/>
  <rowBreaks count="1" manualBreakCount="1">
    <brk id="3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A1304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8" x14ac:dyDescent="0.35"/>
  <cols>
    <col min="1" max="1" width="62.5546875" style="12" customWidth="1"/>
    <col min="2" max="2" width="62.5546875" style="28" customWidth="1"/>
    <col min="3" max="4" width="24.5546875" style="27" customWidth="1"/>
    <col min="5" max="8" width="24.5546875" style="15" customWidth="1"/>
    <col min="9" max="10" width="24.5546875" style="12" customWidth="1"/>
    <col min="11" max="16384" width="9.109375" style="12"/>
  </cols>
  <sheetData>
    <row r="1" spans="1:53" ht="78" customHeight="1" x14ac:dyDescent="0.35">
      <c r="A1" s="257" t="s">
        <v>93</v>
      </c>
      <c r="B1" s="258" t="s">
        <v>94</v>
      </c>
      <c r="C1" s="102"/>
      <c r="D1" s="102"/>
      <c r="E1" s="102"/>
      <c r="F1" s="102"/>
      <c r="G1" s="102"/>
      <c r="H1" s="102"/>
      <c r="I1" s="111"/>
      <c r="J1" s="111"/>
      <c r="K1" s="14"/>
      <c r="L1" s="14"/>
    </row>
    <row r="2" spans="1:53" ht="20.399999999999999" customHeight="1" x14ac:dyDescent="0.35">
      <c r="A2" s="265"/>
      <c r="B2" s="266"/>
      <c r="C2" s="359"/>
      <c r="D2" s="359"/>
      <c r="E2" s="267"/>
      <c r="F2" s="268"/>
      <c r="G2" s="269"/>
      <c r="H2" s="267"/>
      <c r="I2" s="270"/>
      <c r="J2" s="271" t="s">
        <v>55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</row>
    <row r="3" spans="1:53" s="17" customFormat="1" ht="15" customHeight="1" x14ac:dyDescent="0.35">
      <c r="A3" s="272"/>
      <c r="B3" s="346" t="s">
        <v>1</v>
      </c>
      <c r="C3" s="348" t="s">
        <v>64</v>
      </c>
      <c r="D3" s="349"/>
      <c r="E3" s="349"/>
      <c r="F3" s="349"/>
      <c r="G3" s="349"/>
      <c r="H3" s="349"/>
      <c r="I3" s="349"/>
      <c r="J3" s="350"/>
    </row>
    <row r="4" spans="1:53" s="17" customFormat="1" ht="15" customHeight="1" x14ac:dyDescent="0.35">
      <c r="A4" s="273"/>
      <c r="B4" s="347"/>
      <c r="C4" s="351"/>
      <c r="D4" s="352"/>
      <c r="E4" s="352"/>
      <c r="F4" s="352"/>
      <c r="G4" s="352"/>
      <c r="H4" s="352"/>
      <c r="I4" s="352"/>
      <c r="J4" s="353"/>
    </row>
    <row r="5" spans="1:53" s="17" customFormat="1" ht="15" customHeight="1" x14ac:dyDescent="0.35">
      <c r="A5" s="273"/>
      <c r="B5" s="241"/>
      <c r="C5" s="354" t="s">
        <v>3</v>
      </c>
      <c r="D5" s="354"/>
      <c r="E5" s="354" t="s">
        <v>5</v>
      </c>
      <c r="F5" s="354"/>
      <c r="G5" s="354" t="s">
        <v>6</v>
      </c>
      <c r="H5" s="354"/>
      <c r="I5" s="341" t="s">
        <v>7</v>
      </c>
      <c r="J5" s="341"/>
    </row>
    <row r="6" spans="1:53" s="17" customFormat="1" ht="15" customHeight="1" x14ac:dyDescent="0.35">
      <c r="A6" s="273"/>
      <c r="B6" s="241"/>
      <c r="C6" s="355"/>
      <c r="D6" s="355"/>
      <c r="E6" s="355"/>
      <c r="F6" s="355"/>
      <c r="G6" s="355"/>
      <c r="H6" s="355"/>
      <c r="I6" s="337"/>
      <c r="J6" s="337"/>
    </row>
    <row r="7" spans="1:53" s="18" customFormat="1" ht="81.75" customHeight="1" x14ac:dyDescent="0.35">
      <c r="A7" s="274"/>
      <c r="B7" s="242"/>
      <c r="C7" s="212" t="s">
        <v>2</v>
      </c>
      <c r="D7" s="220" t="s">
        <v>75</v>
      </c>
      <c r="E7" s="212" t="s">
        <v>2</v>
      </c>
      <c r="F7" s="220" t="s">
        <v>75</v>
      </c>
      <c r="G7" s="212" t="s">
        <v>2</v>
      </c>
      <c r="H7" s="220" t="s">
        <v>75</v>
      </c>
      <c r="I7" s="213" t="s">
        <v>2</v>
      </c>
      <c r="J7" s="220" t="s">
        <v>75</v>
      </c>
    </row>
    <row r="8" spans="1:53" s="20" customFormat="1" ht="50.1" customHeight="1" x14ac:dyDescent="0.35">
      <c r="A8" s="162" t="s">
        <v>34</v>
      </c>
      <c r="B8" s="163" t="s">
        <v>11</v>
      </c>
      <c r="C8" s="372">
        <v>76461</v>
      </c>
      <c r="D8" s="372">
        <v>89001</v>
      </c>
      <c r="E8" s="372">
        <v>163563</v>
      </c>
      <c r="F8" s="372">
        <v>192604</v>
      </c>
      <c r="G8" s="372">
        <v>282127</v>
      </c>
      <c r="H8" s="372">
        <v>328105</v>
      </c>
      <c r="I8" s="372">
        <v>465241</v>
      </c>
      <c r="J8" s="372">
        <v>538378</v>
      </c>
      <c r="K8" s="19"/>
      <c r="L8" s="19"/>
      <c r="M8" s="19"/>
    </row>
    <row r="9" spans="1:53" s="20" customFormat="1" ht="50.1" customHeight="1" x14ac:dyDescent="0.35">
      <c r="A9" s="164" t="s">
        <v>35</v>
      </c>
      <c r="B9" s="165" t="s">
        <v>12</v>
      </c>
      <c r="C9" s="248">
        <v>51136</v>
      </c>
      <c r="D9" s="248">
        <v>51136</v>
      </c>
      <c r="E9" s="248">
        <v>114084</v>
      </c>
      <c r="F9" s="248">
        <v>114084</v>
      </c>
      <c r="G9" s="248">
        <v>204903</v>
      </c>
      <c r="H9" s="248">
        <v>204903</v>
      </c>
      <c r="I9" s="248">
        <v>305957</v>
      </c>
      <c r="J9" s="248">
        <v>305957</v>
      </c>
      <c r="K9" s="19"/>
      <c r="L9" s="19"/>
      <c r="M9" s="19"/>
    </row>
    <row r="10" spans="1:53" s="20" customFormat="1" ht="50.1" customHeight="1" x14ac:dyDescent="0.35">
      <c r="A10" s="166" t="s">
        <v>36</v>
      </c>
      <c r="B10" s="167" t="s">
        <v>82</v>
      </c>
      <c r="C10" s="248">
        <v>18093</v>
      </c>
      <c r="D10" s="248">
        <v>18093</v>
      </c>
      <c r="E10" s="248">
        <v>39285</v>
      </c>
      <c r="F10" s="248">
        <v>39285</v>
      </c>
      <c r="G10" s="248">
        <v>84084</v>
      </c>
      <c r="H10" s="248">
        <v>84084</v>
      </c>
      <c r="I10" s="248">
        <v>129818</v>
      </c>
      <c r="J10" s="248">
        <v>129818</v>
      </c>
      <c r="K10" s="19"/>
      <c r="L10" s="19"/>
      <c r="M10" s="19"/>
    </row>
    <row r="11" spans="1:53" ht="50.1" customHeight="1" x14ac:dyDescent="0.35">
      <c r="A11" s="168" t="s">
        <v>37</v>
      </c>
      <c r="B11" s="169" t="s">
        <v>13</v>
      </c>
      <c r="C11" s="373">
        <v>0</v>
      </c>
      <c r="D11" s="373">
        <v>0</v>
      </c>
      <c r="E11" s="373">
        <v>0</v>
      </c>
      <c r="F11" s="373">
        <v>0</v>
      </c>
      <c r="G11" s="373">
        <v>28873</v>
      </c>
      <c r="H11" s="373">
        <v>28873</v>
      </c>
      <c r="I11" s="373">
        <v>36000</v>
      </c>
      <c r="J11" s="373">
        <v>36000</v>
      </c>
      <c r="K11" s="21"/>
      <c r="L11" s="21"/>
      <c r="M11" s="21"/>
    </row>
    <row r="12" spans="1:53" ht="50.1" customHeight="1" x14ac:dyDescent="0.35">
      <c r="A12" s="168" t="s">
        <v>38</v>
      </c>
      <c r="B12" s="169" t="s">
        <v>14</v>
      </c>
      <c r="C12" s="373">
        <v>3600</v>
      </c>
      <c r="D12" s="373">
        <v>3600</v>
      </c>
      <c r="E12" s="373">
        <v>6200</v>
      </c>
      <c r="F12" s="373">
        <v>6200</v>
      </c>
      <c r="G12" s="373">
        <v>9700</v>
      </c>
      <c r="H12" s="373">
        <v>9700</v>
      </c>
      <c r="I12" s="373">
        <v>13400</v>
      </c>
      <c r="J12" s="373">
        <v>13400</v>
      </c>
      <c r="K12" s="21"/>
      <c r="L12" s="21"/>
      <c r="M12" s="21"/>
    </row>
    <row r="13" spans="1:53" ht="50.1" customHeight="1" x14ac:dyDescent="0.35">
      <c r="A13" s="168" t="s">
        <v>39</v>
      </c>
      <c r="B13" s="169" t="s">
        <v>15</v>
      </c>
      <c r="C13" s="373">
        <v>4003</v>
      </c>
      <c r="D13" s="373">
        <v>4003</v>
      </c>
      <c r="E13" s="373">
        <v>4003</v>
      </c>
      <c r="F13" s="373">
        <v>4003</v>
      </c>
      <c r="G13" s="373">
        <v>4003</v>
      </c>
      <c r="H13" s="373">
        <v>4003</v>
      </c>
      <c r="I13" s="373">
        <v>3691</v>
      </c>
      <c r="J13" s="373">
        <v>3691</v>
      </c>
      <c r="K13" s="21"/>
      <c r="L13" s="21"/>
      <c r="M13" s="21"/>
    </row>
    <row r="14" spans="1:53" ht="50.1" customHeight="1" x14ac:dyDescent="0.35">
      <c r="A14" s="168" t="s">
        <v>40</v>
      </c>
      <c r="B14" s="169" t="s">
        <v>16</v>
      </c>
      <c r="C14" s="373">
        <v>4009</v>
      </c>
      <c r="D14" s="373">
        <v>4009</v>
      </c>
      <c r="E14" s="373">
        <v>13796</v>
      </c>
      <c r="F14" s="373">
        <v>13796</v>
      </c>
      <c r="G14" s="373">
        <v>16253</v>
      </c>
      <c r="H14" s="373">
        <v>16253</v>
      </c>
      <c r="I14" s="373">
        <v>38512</v>
      </c>
      <c r="J14" s="373">
        <v>38512</v>
      </c>
      <c r="K14" s="21"/>
      <c r="L14" s="21"/>
      <c r="M14" s="21"/>
    </row>
    <row r="15" spans="1:53" ht="50.1" customHeight="1" x14ac:dyDescent="0.35">
      <c r="A15" s="168" t="s">
        <v>63</v>
      </c>
      <c r="B15" s="169" t="s">
        <v>17</v>
      </c>
      <c r="C15" s="373">
        <v>6481</v>
      </c>
      <c r="D15" s="373">
        <v>6481</v>
      </c>
      <c r="E15" s="373">
        <v>15286</v>
      </c>
      <c r="F15" s="373">
        <v>15286</v>
      </c>
      <c r="G15" s="373">
        <v>25255</v>
      </c>
      <c r="H15" s="373">
        <v>25255</v>
      </c>
      <c r="I15" s="373">
        <v>38215</v>
      </c>
      <c r="J15" s="373">
        <v>38215</v>
      </c>
      <c r="K15" s="21"/>
      <c r="L15" s="21"/>
      <c r="M15" s="21"/>
    </row>
    <row r="16" spans="1:53" s="20" customFormat="1" ht="50.1" customHeight="1" x14ac:dyDescent="0.35">
      <c r="A16" s="166" t="s">
        <v>41</v>
      </c>
      <c r="B16" s="167" t="s">
        <v>18</v>
      </c>
      <c r="C16" s="248">
        <v>4590</v>
      </c>
      <c r="D16" s="248">
        <v>4590</v>
      </c>
      <c r="E16" s="248">
        <v>9835</v>
      </c>
      <c r="F16" s="248">
        <v>9835</v>
      </c>
      <c r="G16" s="248">
        <v>15305</v>
      </c>
      <c r="H16" s="248">
        <v>15305</v>
      </c>
      <c r="I16" s="248">
        <v>21107</v>
      </c>
      <c r="J16" s="248">
        <v>21107</v>
      </c>
      <c r="K16" s="19"/>
      <c r="L16" s="19"/>
      <c r="M16" s="19"/>
    </row>
    <row r="17" spans="1:13" s="20" customFormat="1" ht="50.1" customHeight="1" x14ac:dyDescent="0.35">
      <c r="A17" s="166" t="s">
        <v>42</v>
      </c>
      <c r="B17" s="167" t="s">
        <v>19</v>
      </c>
      <c r="C17" s="248">
        <v>23869</v>
      </c>
      <c r="D17" s="248">
        <v>23869</v>
      </c>
      <c r="E17" s="248">
        <v>55290</v>
      </c>
      <c r="F17" s="248">
        <v>55290</v>
      </c>
      <c r="G17" s="248">
        <v>86410</v>
      </c>
      <c r="H17" s="248">
        <v>86410</v>
      </c>
      <c r="I17" s="248">
        <v>122930</v>
      </c>
      <c r="J17" s="248">
        <v>122930</v>
      </c>
      <c r="K17" s="19"/>
      <c r="L17" s="19"/>
      <c r="M17" s="19"/>
    </row>
    <row r="18" spans="1:13" s="20" customFormat="1" ht="50.1" customHeight="1" x14ac:dyDescent="0.35">
      <c r="A18" s="166" t="s">
        <v>43</v>
      </c>
      <c r="B18" s="167" t="s">
        <v>20</v>
      </c>
      <c r="C18" s="248">
        <v>4551</v>
      </c>
      <c r="D18" s="248">
        <v>4551</v>
      </c>
      <c r="E18" s="248">
        <v>9641</v>
      </c>
      <c r="F18" s="248">
        <v>9641</v>
      </c>
      <c r="G18" s="248">
        <v>16417</v>
      </c>
      <c r="H18" s="248">
        <v>16417</v>
      </c>
      <c r="I18" s="248">
        <v>21867</v>
      </c>
      <c r="J18" s="248">
        <v>21867</v>
      </c>
      <c r="K18" s="19"/>
      <c r="L18" s="19"/>
      <c r="M18" s="19"/>
    </row>
    <row r="19" spans="1:13" s="20" customFormat="1" ht="50.1" customHeight="1" x14ac:dyDescent="0.35">
      <c r="A19" s="166" t="s">
        <v>44</v>
      </c>
      <c r="B19" s="167" t="s">
        <v>21</v>
      </c>
      <c r="C19" s="248">
        <v>33</v>
      </c>
      <c r="D19" s="248">
        <v>33</v>
      </c>
      <c r="E19" s="248">
        <v>33</v>
      </c>
      <c r="F19" s="248">
        <v>33</v>
      </c>
      <c r="G19" s="248">
        <v>2687</v>
      </c>
      <c r="H19" s="248">
        <v>2687</v>
      </c>
      <c r="I19" s="248">
        <v>10235</v>
      </c>
      <c r="J19" s="248">
        <v>10235</v>
      </c>
      <c r="K19" s="19"/>
      <c r="L19" s="19"/>
      <c r="M19" s="19"/>
    </row>
    <row r="20" spans="1:13" s="20" customFormat="1" ht="50.1" customHeight="1" x14ac:dyDescent="0.35">
      <c r="A20" s="170" t="s">
        <v>45</v>
      </c>
      <c r="B20" s="165" t="s">
        <v>22</v>
      </c>
      <c r="C20" s="248">
        <v>66</v>
      </c>
      <c r="D20" s="248">
        <v>66</v>
      </c>
      <c r="E20" s="248">
        <v>7825</v>
      </c>
      <c r="F20" s="248">
        <v>7825</v>
      </c>
      <c r="G20" s="248">
        <v>7905</v>
      </c>
      <c r="H20" s="248">
        <v>7905</v>
      </c>
      <c r="I20" s="248">
        <v>25437</v>
      </c>
      <c r="J20" s="248">
        <v>25437</v>
      </c>
      <c r="K20" s="19"/>
      <c r="L20" s="19"/>
      <c r="M20" s="19"/>
    </row>
    <row r="21" spans="1:13" s="22" customFormat="1" ht="50.1" customHeight="1" x14ac:dyDescent="0.25">
      <c r="A21" s="171" t="s">
        <v>46</v>
      </c>
      <c r="B21" s="172" t="s">
        <v>23</v>
      </c>
      <c r="C21" s="373">
        <v>57</v>
      </c>
      <c r="D21" s="373">
        <v>57</v>
      </c>
      <c r="E21" s="373">
        <v>7765</v>
      </c>
      <c r="F21" s="373">
        <v>7765</v>
      </c>
      <c r="G21" s="373">
        <v>7790</v>
      </c>
      <c r="H21" s="373">
        <v>7790</v>
      </c>
      <c r="I21" s="373">
        <v>24226</v>
      </c>
      <c r="J21" s="373">
        <v>24226</v>
      </c>
    </row>
    <row r="22" spans="1:13" s="22" customFormat="1" ht="50.1" customHeight="1" x14ac:dyDescent="0.25">
      <c r="A22" s="171" t="s">
        <v>47</v>
      </c>
      <c r="B22" s="172" t="s">
        <v>24</v>
      </c>
      <c r="C22" s="373">
        <v>9</v>
      </c>
      <c r="D22" s="373">
        <v>9</v>
      </c>
      <c r="E22" s="373">
        <v>60</v>
      </c>
      <c r="F22" s="373">
        <v>60</v>
      </c>
      <c r="G22" s="373">
        <v>115</v>
      </c>
      <c r="H22" s="373">
        <v>115</v>
      </c>
      <c r="I22" s="373">
        <v>1211</v>
      </c>
      <c r="J22" s="373">
        <v>1211</v>
      </c>
    </row>
    <row r="23" spans="1:13" s="20" customFormat="1" ht="50.1" customHeight="1" x14ac:dyDescent="0.35">
      <c r="A23" s="164" t="s">
        <v>48</v>
      </c>
      <c r="B23" s="165" t="s">
        <v>25</v>
      </c>
      <c r="C23" s="248">
        <v>25259</v>
      </c>
      <c r="D23" s="248">
        <v>37799</v>
      </c>
      <c r="E23" s="248">
        <v>41654</v>
      </c>
      <c r="F23" s="248">
        <v>70695</v>
      </c>
      <c r="G23" s="248">
        <v>69319</v>
      </c>
      <c r="H23" s="248">
        <v>115297</v>
      </c>
      <c r="I23" s="248">
        <v>133847</v>
      </c>
      <c r="J23" s="248">
        <v>206984</v>
      </c>
      <c r="K23" s="19"/>
      <c r="L23" s="19"/>
      <c r="M23" s="19"/>
    </row>
    <row r="24" spans="1:13" s="20" customFormat="1" ht="50.1" customHeight="1" x14ac:dyDescent="0.35">
      <c r="A24" s="166" t="s">
        <v>100</v>
      </c>
      <c r="B24" s="167" t="s">
        <v>26</v>
      </c>
      <c r="C24" s="392">
        <v>20263</v>
      </c>
      <c r="D24" s="248">
        <v>21409</v>
      </c>
      <c r="E24" s="392">
        <v>26237</v>
      </c>
      <c r="F24" s="248">
        <v>30625</v>
      </c>
      <c r="G24" s="392">
        <v>45650</v>
      </c>
      <c r="H24" s="248">
        <v>52537</v>
      </c>
      <c r="I24" s="392">
        <v>82683</v>
      </c>
      <c r="J24" s="248">
        <v>94980</v>
      </c>
      <c r="K24" s="19"/>
      <c r="L24" s="19"/>
      <c r="M24" s="19"/>
    </row>
    <row r="25" spans="1:13" ht="50.1" customHeight="1" x14ac:dyDescent="0.35">
      <c r="A25" s="168" t="s">
        <v>37</v>
      </c>
      <c r="B25" s="169" t="s">
        <v>13</v>
      </c>
      <c r="C25" s="373">
        <v>42</v>
      </c>
      <c r="D25" s="373">
        <v>42</v>
      </c>
      <c r="E25" s="373">
        <v>42</v>
      </c>
      <c r="F25" s="373">
        <v>42</v>
      </c>
      <c r="G25" s="373">
        <v>10428</v>
      </c>
      <c r="H25" s="373">
        <v>10428</v>
      </c>
      <c r="I25" s="373">
        <v>25414</v>
      </c>
      <c r="J25" s="373">
        <v>25414</v>
      </c>
      <c r="K25" s="21"/>
      <c r="L25" s="21"/>
      <c r="M25" s="21"/>
    </row>
    <row r="26" spans="1:13" ht="50.1" customHeight="1" x14ac:dyDescent="0.35">
      <c r="A26" s="168" t="s">
        <v>49</v>
      </c>
      <c r="B26" s="169" t="s">
        <v>14</v>
      </c>
      <c r="C26" s="373">
        <v>5402</v>
      </c>
      <c r="D26" s="373">
        <v>5402</v>
      </c>
      <c r="E26" s="373">
        <v>9003</v>
      </c>
      <c r="F26" s="373">
        <v>9003</v>
      </c>
      <c r="G26" s="373">
        <v>13906</v>
      </c>
      <c r="H26" s="373">
        <v>13906</v>
      </c>
      <c r="I26" s="373">
        <v>19214</v>
      </c>
      <c r="J26" s="373">
        <v>19214</v>
      </c>
      <c r="K26" s="21"/>
      <c r="L26" s="21"/>
      <c r="M26" s="21"/>
    </row>
    <row r="27" spans="1:13" s="24" customFormat="1" ht="50.1" customHeight="1" x14ac:dyDescent="0.35">
      <c r="A27" s="168" t="s">
        <v>39</v>
      </c>
      <c r="B27" s="169" t="s">
        <v>15</v>
      </c>
      <c r="C27" s="373">
        <v>13417</v>
      </c>
      <c r="D27" s="373">
        <v>13417</v>
      </c>
      <c r="E27" s="373">
        <v>13417</v>
      </c>
      <c r="F27" s="373">
        <v>13417</v>
      </c>
      <c r="G27" s="373">
        <v>13417</v>
      </c>
      <c r="H27" s="373">
        <v>13417</v>
      </c>
      <c r="I27" s="373">
        <v>13417</v>
      </c>
      <c r="J27" s="373">
        <v>13417</v>
      </c>
      <c r="K27" s="23"/>
      <c r="L27" s="23"/>
      <c r="M27" s="23"/>
    </row>
    <row r="28" spans="1:13" s="24" customFormat="1" ht="50.1" customHeight="1" x14ac:dyDescent="0.35">
      <c r="A28" s="168" t="s">
        <v>50</v>
      </c>
      <c r="B28" s="169" t="s">
        <v>27</v>
      </c>
      <c r="C28" s="373">
        <v>684</v>
      </c>
      <c r="D28" s="373">
        <v>684</v>
      </c>
      <c r="E28" s="373">
        <v>1191</v>
      </c>
      <c r="F28" s="373">
        <v>1191</v>
      </c>
      <c r="G28" s="373">
        <v>1842</v>
      </c>
      <c r="H28" s="373">
        <v>1842</v>
      </c>
      <c r="I28" s="373">
        <v>10093</v>
      </c>
      <c r="J28" s="373">
        <v>10093</v>
      </c>
      <c r="K28" s="23"/>
      <c r="L28" s="23"/>
      <c r="M28" s="23"/>
    </row>
    <row r="29" spans="1:13" ht="50.1" customHeight="1" x14ac:dyDescent="0.35">
      <c r="A29" s="168" t="s">
        <v>51</v>
      </c>
      <c r="B29" s="169" t="s">
        <v>28</v>
      </c>
      <c r="C29" s="373">
        <v>250</v>
      </c>
      <c r="D29" s="373">
        <v>250</v>
      </c>
      <c r="E29" s="373">
        <v>1257</v>
      </c>
      <c r="F29" s="373">
        <v>1257</v>
      </c>
      <c r="G29" s="373">
        <v>1438</v>
      </c>
      <c r="H29" s="373">
        <v>1438</v>
      </c>
      <c r="I29" s="373">
        <v>3295</v>
      </c>
      <c r="J29" s="373">
        <v>3295</v>
      </c>
      <c r="K29" s="21"/>
      <c r="L29" s="21"/>
      <c r="M29" s="21"/>
    </row>
    <row r="30" spans="1:13" ht="50.1" customHeight="1" x14ac:dyDescent="0.35">
      <c r="A30" s="173" t="s">
        <v>52</v>
      </c>
      <c r="B30" s="169" t="s">
        <v>29</v>
      </c>
      <c r="C30" s="373">
        <v>0</v>
      </c>
      <c r="D30" s="373">
        <v>0</v>
      </c>
      <c r="E30" s="373">
        <v>0</v>
      </c>
      <c r="F30" s="373">
        <v>0</v>
      </c>
      <c r="G30" s="373">
        <v>147</v>
      </c>
      <c r="H30" s="373">
        <v>147</v>
      </c>
      <c r="I30" s="373">
        <v>128</v>
      </c>
      <c r="J30" s="373">
        <v>128</v>
      </c>
      <c r="K30" s="21"/>
      <c r="L30" s="21"/>
      <c r="M30" s="21"/>
    </row>
    <row r="31" spans="1:13" s="24" customFormat="1" ht="50.1" customHeight="1" x14ac:dyDescent="0.35">
      <c r="A31" s="168" t="s">
        <v>53</v>
      </c>
      <c r="B31" s="169" t="s">
        <v>0</v>
      </c>
      <c r="C31" s="373">
        <v>468</v>
      </c>
      <c r="D31" s="373">
        <v>1614</v>
      </c>
      <c r="E31" s="373">
        <v>1327</v>
      </c>
      <c r="F31" s="373">
        <v>5715</v>
      </c>
      <c r="G31" s="373">
        <v>4472</v>
      </c>
      <c r="H31" s="373">
        <v>11359</v>
      </c>
      <c r="I31" s="373">
        <v>11122</v>
      </c>
      <c r="J31" s="373">
        <v>23419</v>
      </c>
      <c r="K31" s="23"/>
      <c r="L31" s="23"/>
      <c r="M31" s="23"/>
    </row>
    <row r="32" spans="1:13" s="26" customFormat="1" ht="50.1" customHeight="1" x14ac:dyDescent="0.35">
      <c r="A32" s="175" t="s">
        <v>99</v>
      </c>
      <c r="B32" s="174" t="s">
        <v>30</v>
      </c>
      <c r="C32" s="248">
        <v>3465</v>
      </c>
      <c r="D32" s="248">
        <v>3465</v>
      </c>
      <c r="E32" s="248">
        <v>8687</v>
      </c>
      <c r="F32" s="248">
        <v>8687</v>
      </c>
      <c r="G32" s="248">
        <v>14128</v>
      </c>
      <c r="H32" s="248">
        <v>14128</v>
      </c>
      <c r="I32" s="248">
        <v>26457</v>
      </c>
      <c r="J32" s="248">
        <v>26457</v>
      </c>
      <c r="K32" s="25"/>
      <c r="L32" s="25"/>
      <c r="M32" s="25"/>
    </row>
    <row r="33" spans="1:13" s="26" customFormat="1" ht="50.1" customHeight="1" x14ac:dyDescent="0.35">
      <c r="A33" s="175" t="s">
        <v>54</v>
      </c>
      <c r="B33" s="174" t="s">
        <v>31</v>
      </c>
      <c r="C33" s="248">
        <v>714</v>
      </c>
      <c r="D33" s="248">
        <v>714</v>
      </c>
      <c r="E33" s="248">
        <v>1960</v>
      </c>
      <c r="F33" s="248">
        <v>1960</v>
      </c>
      <c r="G33" s="248">
        <v>3137</v>
      </c>
      <c r="H33" s="248">
        <v>3137</v>
      </c>
      <c r="I33" s="248">
        <v>10614</v>
      </c>
      <c r="J33" s="248">
        <v>10614</v>
      </c>
      <c r="K33" s="25"/>
      <c r="L33" s="25"/>
      <c r="M33" s="25"/>
    </row>
    <row r="34" spans="1:13" s="26" customFormat="1" ht="50.1" customHeight="1" x14ac:dyDescent="0.35">
      <c r="A34" s="176" t="s">
        <v>53</v>
      </c>
      <c r="B34" s="177" t="s">
        <v>0</v>
      </c>
      <c r="C34" s="249">
        <v>817</v>
      </c>
      <c r="D34" s="249">
        <v>12211</v>
      </c>
      <c r="E34" s="249">
        <v>4770</v>
      </c>
      <c r="F34" s="249">
        <v>29423</v>
      </c>
      <c r="G34" s="249">
        <v>6404</v>
      </c>
      <c r="H34" s="249">
        <v>45495</v>
      </c>
      <c r="I34" s="249">
        <v>14093</v>
      </c>
      <c r="J34" s="249">
        <v>74933</v>
      </c>
      <c r="K34" s="25"/>
      <c r="L34" s="25"/>
      <c r="M34" s="25"/>
    </row>
    <row r="35" spans="1:13" s="26" customFormat="1" ht="21.9" customHeight="1" x14ac:dyDescent="0.35">
      <c r="A35" s="110" t="s">
        <v>69</v>
      </c>
      <c r="B35" s="109" t="s">
        <v>70</v>
      </c>
      <c r="C35" s="63"/>
      <c r="D35" s="63"/>
      <c r="E35" s="104"/>
      <c r="F35" s="104"/>
      <c r="G35" s="104"/>
      <c r="H35" s="104"/>
      <c r="I35" s="61"/>
      <c r="J35" s="61"/>
      <c r="K35" s="25"/>
      <c r="L35" s="25"/>
      <c r="M35" s="25"/>
    </row>
    <row r="36" spans="1:13" ht="101.1" customHeight="1" x14ac:dyDescent="0.35">
      <c r="A36" s="51" t="s">
        <v>57</v>
      </c>
      <c r="B36" s="106" t="s">
        <v>56</v>
      </c>
      <c r="C36" s="107"/>
      <c r="D36" s="107"/>
      <c r="E36" s="66"/>
      <c r="F36" s="66"/>
      <c r="G36" s="66"/>
      <c r="H36" s="66"/>
      <c r="I36" s="57"/>
      <c r="J36" s="57"/>
    </row>
    <row r="37" spans="1:13" ht="31.35" customHeight="1" x14ac:dyDescent="0.35">
      <c r="A37" s="51"/>
      <c r="B37" s="7" t="s">
        <v>59</v>
      </c>
      <c r="C37" s="107"/>
      <c r="D37" s="107"/>
      <c r="E37" s="66"/>
      <c r="F37" s="66"/>
      <c r="G37" s="66"/>
      <c r="H37" s="66"/>
      <c r="I37" s="57"/>
      <c r="J37" s="57"/>
    </row>
    <row r="38" spans="1:13" ht="42" customHeight="1" x14ac:dyDescent="0.35">
      <c r="A38" s="51" t="s">
        <v>68</v>
      </c>
      <c r="B38" s="329" t="s">
        <v>81</v>
      </c>
      <c r="C38" s="329"/>
      <c r="D38" s="107"/>
      <c r="E38" s="66"/>
      <c r="F38" s="66"/>
      <c r="G38" s="66"/>
      <c r="H38" s="66"/>
      <c r="I38" s="57"/>
      <c r="J38" s="57"/>
    </row>
    <row r="39" spans="1:13" ht="21.9" customHeight="1" x14ac:dyDescent="0.35">
      <c r="B39" s="32"/>
    </row>
    <row r="40" spans="1:13" ht="21.9" customHeight="1" x14ac:dyDescent="0.35"/>
    <row r="41" spans="1:13" ht="21.9" customHeight="1" x14ac:dyDescent="0.35">
      <c r="B41" s="29"/>
      <c r="C41" s="30"/>
      <c r="D41" s="30"/>
      <c r="E41" s="30"/>
      <c r="F41" s="30"/>
      <c r="G41" s="31"/>
    </row>
    <row r="42" spans="1:13" ht="21.9" customHeight="1" x14ac:dyDescent="0.35"/>
    <row r="43" spans="1:13" ht="21.9" customHeight="1" x14ac:dyDescent="0.35"/>
    <row r="44" spans="1:13" ht="21.9" customHeight="1" x14ac:dyDescent="0.35"/>
    <row r="45" spans="1:13" ht="21.9" customHeight="1" x14ac:dyDescent="0.35"/>
    <row r="46" spans="1:13" ht="21.9" customHeight="1" x14ac:dyDescent="0.35"/>
    <row r="47" spans="1:13" ht="21.9" customHeight="1" x14ac:dyDescent="0.35"/>
    <row r="48" spans="1:13" ht="21.9" customHeight="1" x14ac:dyDescent="0.35"/>
    <row r="49" ht="21.9" customHeight="1" x14ac:dyDescent="0.35"/>
    <row r="50" ht="21.9" customHeight="1" x14ac:dyDescent="0.35"/>
    <row r="51" ht="21.9" customHeight="1" x14ac:dyDescent="0.35"/>
    <row r="52" ht="21.9" customHeight="1" x14ac:dyDescent="0.35"/>
    <row r="53" ht="21.9" customHeight="1" x14ac:dyDescent="0.35"/>
    <row r="54" ht="21.9" customHeight="1" x14ac:dyDescent="0.35"/>
    <row r="55" ht="21.9" customHeight="1" x14ac:dyDescent="0.35"/>
    <row r="56" ht="21.9" customHeight="1" x14ac:dyDescent="0.35"/>
    <row r="57" ht="21.9" customHeight="1" x14ac:dyDescent="0.35"/>
    <row r="58" ht="21.9" customHeight="1" x14ac:dyDescent="0.35"/>
    <row r="59" ht="21.9" customHeight="1" x14ac:dyDescent="0.35"/>
    <row r="60" ht="21.9" customHeight="1" x14ac:dyDescent="0.35"/>
    <row r="61" ht="21.9" customHeight="1" x14ac:dyDescent="0.35"/>
    <row r="62" ht="21.9" customHeight="1" x14ac:dyDescent="0.35"/>
    <row r="63" ht="21.9" customHeight="1" x14ac:dyDescent="0.35"/>
    <row r="64" ht="21.9" customHeight="1" x14ac:dyDescent="0.35"/>
    <row r="65" ht="21.9" customHeight="1" x14ac:dyDescent="0.35"/>
    <row r="66" ht="21.9" customHeight="1" x14ac:dyDescent="0.35"/>
    <row r="67" ht="21.9" customHeight="1" x14ac:dyDescent="0.35"/>
    <row r="68" ht="21.9" customHeight="1" x14ac:dyDescent="0.35"/>
    <row r="69" ht="21.9" customHeight="1" x14ac:dyDescent="0.35"/>
    <row r="70" ht="21.9" customHeight="1" x14ac:dyDescent="0.35"/>
    <row r="71" ht="21.9" customHeight="1" x14ac:dyDescent="0.35"/>
    <row r="72" ht="21.9" customHeight="1" x14ac:dyDescent="0.35"/>
    <row r="73" ht="21.9" customHeight="1" x14ac:dyDescent="0.35"/>
    <row r="74" ht="21.9" customHeight="1" x14ac:dyDescent="0.35"/>
    <row r="75" ht="21.9" customHeight="1" x14ac:dyDescent="0.35"/>
    <row r="76" ht="21.9" customHeight="1" x14ac:dyDescent="0.35"/>
    <row r="77" ht="21.9" customHeight="1" x14ac:dyDescent="0.35"/>
    <row r="78" ht="21.9" customHeight="1" x14ac:dyDescent="0.35"/>
    <row r="79" ht="21.9" customHeight="1" x14ac:dyDescent="0.35"/>
    <row r="80" ht="21.9" customHeight="1" x14ac:dyDescent="0.35"/>
    <row r="81" ht="21.9" customHeight="1" x14ac:dyDescent="0.35"/>
    <row r="82" ht="21.9" customHeight="1" x14ac:dyDescent="0.35"/>
    <row r="83" ht="21.9" customHeight="1" x14ac:dyDescent="0.35"/>
    <row r="84" ht="21.9" customHeight="1" x14ac:dyDescent="0.35"/>
    <row r="85" ht="21.9" customHeight="1" x14ac:dyDescent="0.35"/>
    <row r="86" ht="21.9" customHeight="1" x14ac:dyDescent="0.35"/>
    <row r="87" ht="21.9" customHeight="1" x14ac:dyDescent="0.35"/>
    <row r="88" ht="21.9" customHeight="1" x14ac:dyDescent="0.35"/>
    <row r="89" ht="21.9" customHeight="1" x14ac:dyDescent="0.35"/>
    <row r="90" ht="21.9" customHeight="1" x14ac:dyDescent="0.35"/>
    <row r="91" ht="21.9" customHeight="1" x14ac:dyDescent="0.35"/>
    <row r="92" ht="21.9" customHeight="1" x14ac:dyDescent="0.35"/>
    <row r="93" ht="21.9" customHeight="1" x14ac:dyDescent="0.35"/>
    <row r="94" ht="21.9" customHeight="1" x14ac:dyDescent="0.35"/>
    <row r="95" ht="21.9" customHeight="1" x14ac:dyDescent="0.35"/>
    <row r="96" ht="21.9" customHeight="1" x14ac:dyDescent="0.35"/>
    <row r="97" ht="21.9" customHeight="1" x14ac:dyDescent="0.35"/>
    <row r="98" ht="21.9" customHeight="1" x14ac:dyDescent="0.35"/>
    <row r="99" ht="21.9" customHeight="1" x14ac:dyDescent="0.35"/>
    <row r="100" ht="21.9" customHeight="1" x14ac:dyDescent="0.35"/>
    <row r="101" ht="21.9" customHeight="1" x14ac:dyDescent="0.35"/>
    <row r="102" ht="21.9" customHeight="1" x14ac:dyDescent="0.35"/>
    <row r="103" ht="21.9" customHeight="1" x14ac:dyDescent="0.35"/>
    <row r="104" ht="21.9" customHeight="1" x14ac:dyDescent="0.35"/>
    <row r="105" ht="21.9" customHeight="1" x14ac:dyDescent="0.35"/>
    <row r="106" ht="21.9" customHeight="1" x14ac:dyDescent="0.35"/>
    <row r="107" ht="21.9" customHeight="1" x14ac:dyDescent="0.35"/>
    <row r="108" ht="21.9" customHeight="1" x14ac:dyDescent="0.35"/>
    <row r="109" ht="21.9" customHeight="1" x14ac:dyDescent="0.35"/>
    <row r="110" ht="21.9" customHeight="1" x14ac:dyDescent="0.35"/>
    <row r="111" ht="21.9" customHeight="1" x14ac:dyDescent="0.35"/>
    <row r="112" ht="21.9" customHeight="1" x14ac:dyDescent="0.35"/>
    <row r="113" ht="21.9" customHeight="1" x14ac:dyDescent="0.35"/>
    <row r="114" ht="21.9" customHeight="1" x14ac:dyDescent="0.35"/>
    <row r="115" ht="21.9" customHeight="1" x14ac:dyDescent="0.35"/>
    <row r="116" ht="21.9" customHeight="1" x14ac:dyDescent="0.35"/>
    <row r="117" ht="21.9" customHeight="1" x14ac:dyDescent="0.35"/>
    <row r="118" ht="21.9" customHeight="1" x14ac:dyDescent="0.35"/>
    <row r="119" ht="21.9" customHeight="1" x14ac:dyDescent="0.35"/>
    <row r="120" ht="21.9" customHeight="1" x14ac:dyDescent="0.35"/>
    <row r="121" ht="21.9" customHeight="1" x14ac:dyDescent="0.35"/>
    <row r="122" ht="21.9" customHeight="1" x14ac:dyDescent="0.35"/>
    <row r="123" ht="21.9" customHeight="1" x14ac:dyDescent="0.35"/>
    <row r="124" ht="21.9" customHeight="1" x14ac:dyDescent="0.35"/>
    <row r="125" ht="21.9" customHeight="1" x14ac:dyDescent="0.35"/>
    <row r="126" ht="21.9" customHeight="1" x14ac:dyDescent="0.35"/>
    <row r="127" ht="21.9" customHeight="1" x14ac:dyDescent="0.35"/>
    <row r="128" ht="21.9" customHeight="1" x14ac:dyDescent="0.35"/>
    <row r="129" ht="21.9" customHeight="1" x14ac:dyDescent="0.35"/>
    <row r="130" ht="21.9" customHeight="1" x14ac:dyDescent="0.35"/>
    <row r="131" ht="21.9" customHeight="1" x14ac:dyDescent="0.35"/>
    <row r="132" ht="21.9" customHeight="1" x14ac:dyDescent="0.35"/>
    <row r="133" ht="21.9" customHeight="1" x14ac:dyDescent="0.35"/>
    <row r="134" ht="21.9" customHeight="1" x14ac:dyDescent="0.35"/>
    <row r="135" ht="21.9" customHeight="1" x14ac:dyDescent="0.35"/>
    <row r="136" ht="21.9" customHeight="1" x14ac:dyDescent="0.35"/>
    <row r="137" ht="21.9" customHeight="1" x14ac:dyDescent="0.35"/>
    <row r="138" ht="21.9" customHeight="1" x14ac:dyDescent="0.35"/>
    <row r="139" ht="21.9" customHeight="1" x14ac:dyDescent="0.35"/>
    <row r="140" ht="21.9" customHeight="1" x14ac:dyDescent="0.35"/>
    <row r="141" ht="21.9" customHeight="1" x14ac:dyDescent="0.35"/>
    <row r="142" ht="21.9" customHeight="1" x14ac:dyDescent="0.35"/>
    <row r="143" ht="21.9" customHeight="1" x14ac:dyDescent="0.35"/>
    <row r="144" ht="21.9" customHeight="1" x14ac:dyDescent="0.35"/>
    <row r="145" ht="21.9" customHeight="1" x14ac:dyDescent="0.35"/>
    <row r="146" ht="21.9" customHeight="1" x14ac:dyDescent="0.35"/>
    <row r="147" ht="21.9" customHeight="1" x14ac:dyDescent="0.35"/>
    <row r="148" ht="21.9" customHeight="1" x14ac:dyDescent="0.35"/>
    <row r="149" ht="21.9" customHeight="1" x14ac:dyDescent="0.35"/>
    <row r="150" ht="21.9" customHeight="1" x14ac:dyDescent="0.35"/>
    <row r="151" ht="21.9" customHeight="1" x14ac:dyDescent="0.35"/>
    <row r="152" ht="21.9" customHeight="1" x14ac:dyDescent="0.35"/>
    <row r="153" ht="21.9" customHeight="1" x14ac:dyDescent="0.35"/>
    <row r="154" ht="21.9" customHeight="1" x14ac:dyDescent="0.35"/>
    <row r="155" ht="21.9" customHeight="1" x14ac:dyDescent="0.35"/>
    <row r="156" ht="21.9" customHeight="1" x14ac:dyDescent="0.35"/>
    <row r="157" ht="21.9" customHeight="1" x14ac:dyDescent="0.35"/>
    <row r="158" ht="21.9" customHeight="1" x14ac:dyDescent="0.35"/>
    <row r="159" ht="21.9" customHeight="1" x14ac:dyDescent="0.35"/>
    <row r="160" ht="21.9" customHeight="1" x14ac:dyDescent="0.35"/>
    <row r="161" ht="21.9" customHeight="1" x14ac:dyDescent="0.35"/>
    <row r="162" ht="21.9" customHeight="1" x14ac:dyDescent="0.35"/>
    <row r="163" ht="21.9" customHeight="1" x14ac:dyDescent="0.35"/>
    <row r="164" ht="21.9" customHeight="1" x14ac:dyDescent="0.35"/>
    <row r="165" ht="21.9" customHeight="1" x14ac:dyDescent="0.35"/>
    <row r="166" ht="21.9" customHeight="1" x14ac:dyDescent="0.35"/>
    <row r="167" ht="21.9" customHeight="1" x14ac:dyDescent="0.35"/>
    <row r="168" ht="21.9" customHeight="1" x14ac:dyDescent="0.35"/>
    <row r="169" ht="21.9" customHeight="1" x14ac:dyDescent="0.35"/>
    <row r="170" ht="21.9" customHeight="1" x14ac:dyDescent="0.35"/>
    <row r="171" ht="21.9" customHeight="1" x14ac:dyDescent="0.35"/>
    <row r="172" ht="21.9" customHeight="1" x14ac:dyDescent="0.35"/>
    <row r="173" ht="21.9" customHeight="1" x14ac:dyDescent="0.35"/>
    <row r="174" ht="21.9" customHeight="1" x14ac:dyDescent="0.35"/>
    <row r="175" ht="21.9" customHeight="1" x14ac:dyDescent="0.35"/>
    <row r="176" ht="21.9" customHeight="1" x14ac:dyDescent="0.35"/>
    <row r="177" ht="21.9" customHeight="1" x14ac:dyDescent="0.35"/>
    <row r="178" ht="21.9" customHeight="1" x14ac:dyDescent="0.35"/>
    <row r="179" ht="21.9" customHeight="1" x14ac:dyDescent="0.35"/>
    <row r="180" ht="21.9" customHeight="1" x14ac:dyDescent="0.35"/>
    <row r="181" ht="21.9" customHeight="1" x14ac:dyDescent="0.35"/>
    <row r="182" ht="21.9" customHeight="1" x14ac:dyDescent="0.35"/>
    <row r="183" ht="21.9" customHeight="1" x14ac:dyDescent="0.35"/>
    <row r="184" ht="21.9" customHeight="1" x14ac:dyDescent="0.35"/>
    <row r="185" ht="21.9" customHeight="1" x14ac:dyDescent="0.35"/>
    <row r="186" ht="21.9" customHeight="1" x14ac:dyDescent="0.35"/>
    <row r="187" ht="21.9" customHeight="1" x14ac:dyDescent="0.35"/>
    <row r="188" ht="21.9" customHeight="1" x14ac:dyDescent="0.35"/>
    <row r="189" ht="21.9" customHeight="1" x14ac:dyDescent="0.35"/>
    <row r="190" ht="21.9" customHeight="1" x14ac:dyDescent="0.35"/>
    <row r="191" ht="21.9" customHeight="1" x14ac:dyDescent="0.35"/>
    <row r="192" ht="21.9" customHeight="1" x14ac:dyDescent="0.35"/>
    <row r="193" ht="21.9" customHeight="1" x14ac:dyDescent="0.35"/>
    <row r="194" ht="21.9" customHeight="1" x14ac:dyDescent="0.35"/>
    <row r="195" ht="21.9" customHeight="1" x14ac:dyDescent="0.35"/>
    <row r="196" ht="21.9" customHeight="1" x14ac:dyDescent="0.35"/>
    <row r="197" ht="21.9" customHeight="1" x14ac:dyDescent="0.35"/>
    <row r="198" ht="21.9" customHeight="1" x14ac:dyDescent="0.35"/>
    <row r="199" ht="21.9" customHeight="1" x14ac:dyDescent="0.35"/>
    <row r="200" ht="21.9" customHeight="1" x14ac:dyDescent="0.35"/>
    <row r="201" ht="21.9" customHeight="1" x14ac:dyDescent="0.35"/>
    <row r="202" ht="21.9" customHeight="1" x14ac:dyDescent="0.35"/>
    <row r="203" ht="21.9" customHeight="1" x14ac:dyDescent="0.35"/>
    <row r="204" ht="21.9" customHeight="1" x14ac:dyDescent="0.35"/>
    <row r="205" ht="21.9" customHeight="1" x14ac:dyDescent="0.35"/>
    <row r="206" ht="21.9" customHeight="1" x14ac:dyDescent="0.35"/>
    <row r="207" ht="21.9" customHeight="1" x14ac:dyDescent="0.35"/>
    <row r="208" ht="21.9" customHeight="1" x14ac:dyDescent="0.35"/>
    <row r="209" ht="21.9" customHeight="1" x14ac:dyDescent="0.35"/>
    <row r="210" ht="21.9" customHeight="1" x14ac:dyDescent="0.35"/>
    <row r="211" ht="21.9" customHeight="1" x14ac:dyDescent="0.35"/>
    <row r="212" ht="21.9" customHeight="1" x14ac:dyDescent="0.35"/>
    <row r="213" ht="21.9" customHeight="1" x14ac:dyDescent="0.35"/>
    <row r="214" ht="21.9" customHeight="1" x14ac:dyDescent="0.35"/>
    <row r="215" ht="21.9" customHeight="1" x14ac:dyDescent="0.35"/>
    <row r="216" ht="21.9" customHeight="1" x14ac:dyDescent="0.35"/>
    <row r="217" ht="21.9" customHeight="1" x14ac:dyDescent="0.35"/>
    <row r="218" ht="21.9" customHeight="1" x14ac:dyDescent="0.35"/>
    <row r="219" ht="21.9" customHeight="1" x14ac:dyDescent="0.35"/>
    <row r="220" ht="21.9" customHeight="1" x14ac:dyDescent="0.35"/>
    <row r="221" ht="21.9" customHeight="1" x14ac:dyDescent="0.35"/>
    <row r="222" ht="21.9" customHeight="1" x14ac:dyDescent="0.35"/>
    <row r="223" ht="21.9" customHeight="1" x14ac:dyDescent="0.35"/>
    <row r="224" ht="21.9" customHeight="1" x14ac:dyDescent="0.35"/>
    <row r="225" ht="21.9" customHeight="1" x14ac:dyDescent="0.35"/>
    <row r="226" ht="21.9" customHeight="1" x14ac:dyDescent="0.35"/>
    <row r="227" ht="21.9" customHeight="1" x14ac:dyDescent="0.35"/>
    <row r="228" ht="21.9" customHeight="1" x14ac:dyDescent="0.35"/>
    <row r="229" ht="21.9" customHeight="1" x14ac:dyDescent="0.35"/>
    <row r="230" ht="21.9" customHeight="1" x14ac:dyDescent="0.35"/>
    <row r="231" ht="21.9" customHeight="1" x14ac:dyDescent="0.35"/>
    <row r="232" ht="21.9" customHeight="1" x14ac:dyDescent="0.35"/>
    <row r="233" ht="21.9" customHeight="1" x14ac:dyDescent="0.35"/>
    <row r="234" ht="21.9" customHeight="1" x14ac:dyDescent="0.35"/>
    <row r="235" ht="21.9" customHeight="1" x14ac:dyDescent="0.35"/>
    <row r="236" ht="21.9" customHeight="1" x14ac:dyDescent="0.35"/>
    <row r="237" ht="21.9" customHeight="1" x14ac:dyDescent="0.35"/>
    <row r="238" ht="21.9" customHeight="1" x14ac:dyDescent="0.35"/>
    <row r="239" ht="21.9" customHeight="1" x14ac:dyDescent="0.35"/>
    <row r="240" ht="21.9" customHeight="1" x14ac:dyDescent="0.35"/>
    <row r="241" ht="21.9" customHeight="1" x14ac:dyDescent="0.35"/>
    <row r="242" ht="21.9" customHeight="1" x14ac:dyDescent="0.35"/>
    <row r="243" ht="21.9" customHeight="1" x14ac:dyDescent="0.35"/>
    <row r="244" ht="21.9" customHeight="1" x14ac:dyDescent="0.35"/>
    <row r="245" ht="21.9" customHeight="1" x14ac:dyDescent="0.35"/>
    <row r="246" ht="21.9" customHeight="1" x14ac:dyDescent="0.35"/>
    <row r="247" ht="21.9" customHeight="1" x14ac:dyDescent="0.35"/>
    <row r="248" ht="21.9" customHeight="1" x14ac:dyDescent="0.35"/>
    <row r="249" ht="21.9" customHeight="1" x14ac:dyDescent="0.35"/>
    <row r="250" ht="21.9" customHeight="1" x14ac:dyDescent="0.35"/>
    <row r="251" ht="21.9" customHeight="1" x14ac:dyDescent="0.35"/>
    <row r="252" ht="21.9" customHeight="1" x14ac:dyDescent="0.35"/>
    <row r="253" ht="21.9" customHeight="1" x14ac:dyDescent="0.35"/>
    <row r="254" ht="21.9" customHeight="1" x14ac:dyDescent="0.35"/>
    <row r="255" ht="21.9" customHeight="1" x14ac:dyDescent="0.35"/>
    <row r="256" ht="21.9" customHeight="1" x14ac:dyDescent="0.35"/>
    <row r="257" ht="21.9" customHeight="1" x14ac:dyDescent="0.35"/>
    <row r="258" ht="21.9" customHeight="1" x14ac:dyDescent="0.35"/>
    <row r="259" ht="21.9" customHeight="1" x14ac:dyDescent="0.35"/>
    <row r="260" ht="21.9" customHeight="1" x14ac:dyDescent="0.35"/>
    <row r="261" ht="21.9" customHeight="1" x14ac:dyDescent="0.35"/>
    <row r="262" ht="21.9" customHeight="1" x14ac:dyDescent="0.35"/>
    <row r="263" ht="21.9" customHeight="1" x14ac:dyDescent="0.35"/>
    <row r="264" ht="21.9" customHeight="1" x14ac:dyDescent="0.35"/>
    <row r="265" ht="21.9" customHeight="1" x14ac:dyDescent="0.35"/>
    <row r="266" ht="21.9" customHeight="1" x14ac:dyDescent="0.35"/>
    <row r="267" ht="21.9" customHeight="1" x14ac:dyDescent="0.35"/>
    <row r="268" ht="21.9" customHeight="1" x14ac:dyDescent="0.35"/>
    <row r="269" ht="21.9" customHeight="1" x14ac:dyDescent="0.35"/>
    <row r="270" ht="21.9" customHeight="1" x14ac:dyDescent="0.35"/>
    <row r="271" ht="21.9" customHeight="1" x14ac:dyDescent="0.35"/>
    <row r="272" ht="21.9" customHeight="1" x14ac:dyDescent="0.35"/>
    <row r="273" ht="21.9" customHeight="1" x14ac:dyDescent="0.35"/>
    <row r="274" ht="21.9" customHeight="1" x14ac:dyDescent="0.35"/>
    <row r="275" ht="21.9" customHeight="1" x14ac:dyDescent="0.35"/>
    <row r="276" ht="21.9" customHeight="1" x14ac:dyDescent="0.35"/>
    <row r="277" ht="21.9" customHeight="1" x14ac:dyDescent="0.35"/>
    <row r="278" ht="21.9" customHeight="1" x14ac:dyDescent="0.35"/>
    <row r="279" ht="21.9" customHeight="1" x14ac:dyDescent="0.35"/>
    <row r="280" ht="21.9" customHeight="1" x14ac:dyDescent="0.35"/>
    <row r="281" ht="21.9" customHeight="1" x14ac:dyDescent="0.35"/>
    <row r="282" ht="21.9" customHeight="1" x14ac:dyDescent="0.35"/>
    <row r="283" ht="21.9" customHeight="1" x14ac:dyDescent="0.35"/>
    <row r="284" ht="21.9" customHeight="1" x14ac:dyDescent="0.35"/>
    <row r="285" ht="21.9" customHeight="1" x14ac:dyDescent="0.35"/>
    <row r="286" ht="21.9" customHeight="1" x14ac:dyDescent="0.35"/>
    <row r="287" ht="21.9" customHeight="1" x14ac:dyDescent="0.35"/>
    <row r="288" ht="21.9" customHeight="1" x14ac:dyDescent="0.35"/>
    <row r="289" ht="21.9" customHeight="1" x14ac:dyDescent="0.35"/>
    <row r="290" ht="21.9" customHeight="1" x14ac:dyDescent="0.35"/>
    <row r="291" ht="21.9" customHeight="1" x14ac:dyDescent="0.35"/>
    <row r="292" ht="21.9" customHeight="1" x14ac:dyDescent="0.35"/>
    <row r="293" ht="21.9" customHeight="1" x14ac:dyDescent="0.35"/>
    <row r="294" ht="21.9" customHeight="1" x14ac:dyDescent="0.35"/>
    <row r="295" ht="21.9" customHeight="1" x14ac:dyDescent="0.35"/>
    <row r="296" ht="21.9" customHeight="1" x14ac:dyDescent="0.35"/>
    <row r="297" ht="21.9" customHeight="1" x14ac:dyDescent="0.35"/>
    <row r="298" ht="21.9" customHeight="1" x14ac:dyDescent="0.35"/>
    <row r="299" ht="21.9" customHeight="1" x14ac:dyDescent="0.35"/>
    <row r="300" ht="21.9" customHeight="1" x14ac:dyDescent="0.35"/>
    <row r="301" ht="21.9" customHeight="1" x14ac:dyDescent="0.35"/>
    <row r="302" ht="21.9" customHeight="1" x14ac:dyDescent="0.35"/>
    <row r="303" ht="21.9" customHeight="1" x14ac:dyDescent="0.35"/>
    <row r="304" ht="21.9" customHeight="1" x14ac:dyDescent="0.35"/>
    <row r="305" ht="21.9" customHeight="1" x14ac:dyDescent="0.35"/>
    <row r="306" ht="21.9" customHeight="1" x14ac:dyDescent="0.35"/>
    <row r="307" ht="21.9" customHeight="1" x14ac:dyDescent="0.35"/>
    <row r="308" ht="21.9" customHeight="1" x14ac:dyDescent="0.35"/>
    <row r="309" ht="21.9" customHeight="1" x14ac:dyDescent="0.35"/>
    <row r="310" ht="21.9" customHeight="1" x14ac:dyDescent="0.35"/>
    <row r="311" ht="21.9" customHeight="1" x14ac:dyDescent="0.35"/>
    <row r="312" ht="21.9" customHeight="1" x14ac:dyDescent="0.35"/>
    <row r="313" ht="21.9" customHeight="1" x14ac:dyDescent="0.35"/>
    <row r="314" ht="21.9" customHeight="1" x14ac:dyDescent="0.35"/>
    <row r="315" ht="21.9" customHeight="1" x14ac:dyDescent="0.35"/>
    <row r="316" ht="21.9" customHeight="1" x14ac:dyDescent="0.35"/>
    <row r="317" ht="21.9" customHeight="1" x14ac:dyDescent="0.35"/>
    <row r="318" ht="21.9" customHeight="1" x14ac:dyDescent="0.35"/>
    <row r="319" ht="21.9" customHeight="1" x14ac:dyDescent="0.35"/>
    <row r="320" ht="21.9" customHeight="1" x14ac:dyDescent="0.35"/>
    <row r="321" ht="21.9" customHeight="1" x14ac:dyDescent="0.35"/>
    <row r="322" ht="21.9" customHeight="1" x14ac:dyDescent="0.35"/>
    <row r="323" ht="21.9" customHeight="1" x14ac:dyDescent="0.35"/>
    <row r="324" ht="21.9" customHeight="1" x14ac:dyDescent="0.35"/>
    <row r="325" ht="21.9" customHeight="1" x14ac:dyDescent="0.35"/>
    <row r="326" ht="21.9" customHeight="1" x14ac:dyDescent="0.35"/>
    <row r="327" ht="21.9" customHeight="1" x14ac:dyDescent="0.35"/>
    <row r="328" ht="21.9" customHeight="1" x14ac:dyDescent="0.35"/>
    <row r="329" ht="21.9" customHeight="1" x14ac:dyDescent="0.35"/>
    <row r="330" ht="21.9" customHeight="1" x14ac:dyDescent="0.35"/>
    <row r="331" ht="21.9" customHeight="1" x14ac:dyDescent="0.35"/>
    <row r="332" ht="21.9" customHeight="1" x14ac:dyDescent="0.35"/>
    <row r="333" ht="21.9" customHeight="1" x14ac:dyDescent="0.35"/>
    <row r="334" ht="21.9" customHeight="1" x14ac:dyDescent="0.35"/>
    <row r="335" ht="21.9" customHeight="1" x14ac:dyDescent="0.35"/>
    <row r="336" ht="21.9" customHeight="1" x14ac:dyDescent="0.35"/>
    <row r="337" ht="21.9" customHeight="1" x14ac:dyDescent="0.35"/>
    <row r="338" ht="21.9" customHeight="1" x14ac:dyDescent="0.35"/>
    <row r="339" ht="21.9" customHeight="1" x14ac:dyDescent="0.35"/>
    <row r="340" ht="21.9" customHeight="1" x14ac:dyDescent="0.35"/>
    <row r="341" ht="21.9" customHeight="1" x14ac:dyDescent="0.35"/>
    <row r="342" ht="21.9" customHeight="1" x14ac:dyDescent="0.35"/>
    <row r="343" ht="21.9" customHeight="1" x14ac:dyDescent="0.35"/>
    <row r="344" ht="21.9" customHeight="1" x14ac:dyDescent="0.35"/>
    <row r="345" ht="21.9" customHeight="1" x14ac:dyDescent="0.35"/>
    <row r="346" ht="21.9" customHeight="1" x14ac:dyDescent="0.35"/>
    <row r="347" ht="21.9" customHeight="1" x14ac:dyDescent="0.35"/>
    <row r="348" ht="21.9" customHeight="1" x14ac:dyDescent="0.35"/>
    <row r="349" ht="21.9" customHeight="1" x14ac:dyDescent="0.35"/>
    <row r="350" ht="21.9" customHeight="1" x14ac:dyDescent="0.35"/>
    <row r="351" ht="21.9" customHeight="1" x14ac:dyDescent="0.35"/>
    <row r="352" ht="21.9" customHeight="1" x14ac:dyDescent="0.35"/>
    <row r="353" ht="21.9" customHeight="1" x14ac:dyDescent="0.35"/>
    <row r="354" ht="21.9" customHeight="1" x14ac:dyDescent="0.35"/>
    <row r="355" ht="21.9" customHeight="1" x14ac:dyDescent="0.35"/>
    <row r="356" ht="21.9" customHeight="1" x14ac:dyDescent="0.35"/>
    <row r="357" ht="21.9" customHeight="1" x14ac:dyDescent="0.35"/>
    <row r="358" ht="21.9" customHeight="1" x14ac:dyDescent="0.35"/>
    <row r="359" ht="21.9" customHeight="1" x14ac:dyDescent="0.35"/>
    <row r="360" ht="21.9" customHeight="1" x14ac:dyDescent="0.35"/>
    <row r="361" ht="21.9" customHeight="1" x14ac:dyDescent="0.35"/>
    <row r="362" ht="21.9" customHeight="1" x14ac:dyDescent="0.35"/>
    <row r="363" ht="21.9" customHeight="1" x14ac:dyDescent="0.35"/>
    <row r="364" ht="21.9" customHeight="1" x14ac:dyDescent="0.35"/>
    <row r="365" ht="21.9" customHeight="1" x14ac:dyDescent="0.35"/>
    <row r="366" ht="21.9" customHeight="1" x14ac:dyDescent="0.35"/>
    <row r="367" ht="21.9" customHeight="1" x14ac:dyDescent="0.35"/>
    <row r="368" ht="21.9" customHeight="1" x14ac:dyDescent="0.35"/>
    <row r="369" ht="21.9" customHeight="1" x14ac:dyDescent="0.35"/>
    <row r="370" ht="21.9" customHeight="1" x14ac:dyDescent="0.35"/>
    <row r="371" ht="21.9" customHeight="1" x14ac:dyDescent="0.35"/>
    <row r="372" ht="21.9" customHeight="1" x14ac:dyDescent="0.35"/>
    <row r="373" ht="21.9" customHeight="1" x14ac:dyDescent="0.35"/>
    <row r="374" ht="21.9" customHeight="1" x14ac:dyDescent="0.35"/>
    <row r="375" ht="21.9" customHeight="1" x14ac:dyDescent="0.35"/>
    <row r="376" ht="21.9" customHeight="1" x14ac:dyDescent="0.35"/>
    <row r="377" ht="21.9" customHeight="1" x14ac:dyDescent="0.35"/>
    <row r="378" ht="21.9" customHeight="1" x14ac:dyDescent="0.35"/>
    <row r="379" ht="21.9" customHeight="1" x14ac:dyDescent="0.35"/>
    <row r="380" ht="21.9" customHeight="1" x14ac:dyDescent="0.35"/>
    <row r="381" ht="21.9" customHeight="1" x14ac:dyDescent="0.35"/>
    <row r="382" ht="21.9" customHeight="1" x14ac:dyDescent="0.35"/>
    <row r="383" ht="21.9" customHeight="1" x14ac:dyDescent="0.35"/>
    <row r="384" ht="21.9" customHeight="1" x14ac:dyDescent="0.35"/>
    <row r="385" ht="21.9" customHeight="1" x14ac:dyDescent="0.35"/>
    <row r="386" ht="21.9" customHeight="1" x14ac:dyDescent="0.35"/>
    <row r="387" ht="21.9" customHeight="1" x14ac:dyDescent="0.35"/>
    <row r="388" ht="21.9" customHeight="1" x14ac:dyDescent="0.35"/>
    <row r="389" ht="21.9" customHeight="1" x14ac:dyDescent="0.35"/>
    <row r="390" ht="21.9" customHeight="1" x14ac:dyDescent="0.35"/>
    <row r="391" ht="21.9" customHeight="1" x14ac:dyDescent="0.35"/>
    <row r="392" ht="21.9" customHeight="1" x14ac:dyDescent="0.35"/>
    <row r="393" ht="21.9" customHeight="1" x14ac:dyDescent="0.35"/>
    <row r="394" ht="21.9" customHeight="1" x14ac:dyDescent="0.35"/>
    <row r="395" ht="21.9" customHeight="1" x14ac:dyDescent="0.35"/>
    <row r="396" ht="21.9" customHeight="1" x14ac:dyDescent="0.35"/>
    <row r="397" ht="21.9" customHeight="1" x14ac:dyDescent="0.35"/>
    <row r="398" ht="21.9" customHeight="1" x14ac:dyDescent="0.35"/>
    <row r="399" ht="21.9" customHeight="1" x14ac:dyDescent="0.35"/>
    <row r="400" ht="21.9" customHeight="1" x14ac:dyDescent="0.35"/>
    <row r="401" ht="21.9" customHeight="1" x14ac:dyDescent="0.35"/>
    <row r="402" ht="21.9" customHeight="1" x14ac:dyDescent="0.35"/>
    <row r="403" ht="21.9" customHeight="1" x14ac:dyDescent="0.35"/>
    <row r="404" ht="21.9" customHeight="1" x14ac:dyDescent="0.35"/>
    <row r="405" ht="21.9" customHeight="1" x14ac:dyDescent="0.35"/>
    <row r="406" ht="21.9" customHeight="1" x14ac:dyDescent="0.35"/>
    <row r="407" ht="21.9" customHeight="1" x14ac:dyDescent="0.35"/>
    <row r="408" ht="21.9" customHeight="1" x14ac:dyDescent="0.35"/>
    <row r="409" ht="21.9" customHeight="1" x14ac:dyDescent="0.35"/>
    <row r="410" ht="21.9" customHeight="1" x14ac:dyDescent="0.35"/>
    <row r="411" ht="21.9" customHeight="1" x14ac:dyDescent="0.35"/>
    <row r="412" ht="21.9" customHeight="1" x14ac:dyDescent="0.35"/>
    <row r="413" ht="21.9" customHeight="1" x14ac:dyDescent="0.35"/>
    <row r="414" ht="21.9" customHeight="1" x14ac:dyDescent="0.35"/>
    <row r="415" ht="21.9" customHeight="1" x14ac:dyDescent="0.35"/>
    <row r="416" ht="21.9" customHeight="1" x14ac:dyDescent="0.35"/>
    <row r="417" ht="21.9" customHeight="1" x14ac:dyDescent="0.35"/>
    <row r="418" ht="21.9" customHeight="1" x14ac:dyDescent="0.35"/>
    <row r="419" ht="21.9" customHeight="1" x14ac:dyDescent="0.35"/>
    <row r="420" ht="21.9" customHeight="1" x14ac:dyDescent="0.35"/>
    <row r="421" ht="21.9" customHeight="1" x14ac:dyDescent="0.35"/>
    <row r="422" ht="21.9" customHeight="1" x14ac:dyDescent="0.35"/>
    <row r="423" ht="21.9" customHeight="1" x14ac:dyDescent="0.35"/>
    <row r="424" ht="21.9" customHeight="1" x14ac:dyDescent="0.35"/>
    <row r="425" ht="21.9" customHeight="1" x14ac:dyDescent="0.35"/>
    <row r="426" ht="21.9" customHeight="1" x14ac:dyDescent="0.35"/>
    <row r="427" ht="21.9" customHeight="1" x14ac:dyDescent="0.35"/>
    <row r="428" ht="21.9" customHeight="1" x14ac:dyDescent="0.35"/>
    <row r="429" ht="21.9" customHeight="1" x14ac:dyDescent="0.35"/>
    <row r="430" ht="21.9" customHeight="1" x14ac:dyDescent="0.35"/>
    <row r="431" ht="21.9" customHeight="1" x14ac:dyDescent="0.35"/>
    <row r="432" ht="21.9" customHeight="1" x14ac:dyDescent="0.35"/>
    <row r="433" ht="21.9" customHeight="1" x14ac:dyDescent="0.35"/>
    <row r="434" ht="21.9" customHeight="1" x14ac:dyDescent="0.35"/>
    <row r="435" ht="21.9" customHeight="1" x14ac:dyDescent="0.35"/>
    <row r="436" ht="21.9" customHeight="1" x14ac:dyDescent="0.35"/>
    <row r="437" ht="21.9" customHeight="1" x14ac:dyDescent="0.35"/>
    <row r="438" ht="21.9" customHeight="1" x14ac:dyDescent="0.35"/>
    <row r="439" ht="21.9" customHeight="1" x14ac:dyDescent="0.35"/>
    <row r="440" ht="21.9" customHeight="1" x14ac:dyDescent="0.35"/>
    <row r="441" ht="21.9" customHeight="1" x14ac:dyDescent="0.35"/>
    <row r="442" ht="21.9" customHeight="1" x14ac:dyDescent="0.35"/>
    <row r="443" ht="21.9" customHeight="1" x14ac:dyDescent="0.35"/>
    <row r="444" ht="21.9" customHeight="1" x14ac:dyDescent="0.35"/>
    <row r="445" ht="21.9" customHeight="1" x14ac:dyDescent="0.35"/>
    <row r="446" ht="21.9" customHeight="1" x14ac:dyDescent="0.35"/>
    <row r="447" ht="21.9" customHeight="1" x14ac:dyDescent="0.35"/>
    <row r="448" ht="21.9" customHeight="1" x14ac:dyDescent="0.35"/>
    <row r="449" ht="21.9" customHeight="1" x14ac:dyDescent="0.35"/>
    <row r="450" ht="21.9" customHeight="1" x14ac:dyDescent="0.35"/>
    <row r="451" ht="21.9" customHeight="1" x14ac:dyDescent="0.35"/>
    <row r="452" ht="21.9" customHeight="1" x14ac:dyDescent="0.35"/>
    <row r="453" ht="21.9" customHeight="1" x14ac:dyDescent="0.35"/>
    <row r="454" ht="21.9" customHeight="1" x14ac:dyDescent="0.35"/>
    <row r="455" ht="21.9" customHeight="1" x14ac:dyDescent="0.35"/>
    <row r="456" ht="21.9" customHeight="1" x14ac:dyDescent="0.35"/>
    <row r="457" ht="21.9" customHeight="1" x14ac:dyDescent="0.35"/>
    <row r="458" ht="21.9" customHeight="1" x14ac:dyDescent="0.35"/>
    <row r="459" ht="21.9" customHeight="1" x14ac:dyDescent="0.35"/>
    <row r="460" ht="21.9" customHeight="1" x14ac:dyDescent="0.35"/>
    <row r="461" ht="21.9" customHeight="1" x14ac:dyDescent="0.35"/>
    <row r="462" ht="21.9" customHeight="1" x14ac:dyDescent="0.35"/>
    <row r="463" ht="21.9" customHeight="1" x14ac:dyDescent="0.35"/>
    <row r="464" ht="21.9" customHeight="1" x14ac:dyDescent="0.35"/>
    <row r="465" ht="21.9" customHeight="1" x14ac:dyDescent="0.35"/>
    <row r="466" ht="21.9" customHeight="1" x14ac:dyDescent="0.35"/>
    <row r="467" ht="21.9" customHeight="1" x14ac:dyDescent="0.35"/>
    <row r="468" ht="21.9" customHeight="1" x14ac:dyDescent="0.35"/>
    <row r="469" ht="21.9" customHeight="1" x14ac:dyDescent="0.35"/>
    <row r="470" ht="21.9" customHeight="1" x14ac:dyDescent="0.35"/>
    <row r="471" ht="21.9" customHeight="1" x14ac:dyDescent="0.35"/>
    <row r="472" ht="21.9" customHeight="1" x14ac:dyDescent="0.35"/>
    <row r="473" ht="21.9" customHeight="1" x14ac:dyDescent="0.35"/>
    <row r="474" ht="21.9" customHeight="1" x14ac:dyDescent="0.35"/>
    <row r="475" ht="21.9" customHeight="1" x14ac:dyDescent="0.35"/>
    <row r="476" ht="21.9" customHeight="1" x14ac:dyDescent="0.35"/>
    <row r="477" ht="21.9" customHeight="1" x14ac:dyDescent="0.35"/>
    <row r="478" ht="21.9" customHeight="1" x14ac:dyDescent="0.35"/>
    <row r="479" ht="21.9" customHeight="1" x14ac:dyDescent="0.35"/>
    <row r="480" ht="21.9" customHeight="1" x14ac:dyDescent="0.35"/>
    <row r="481" ht="21.9" customHeight="1" x14ac:dyDescent="0.35"/>
    <row r="482" ht="21.9" customHeight="1" x14ac:dyDescent="0.35"/>
    <row r="483" ht="21.9" customHeight="1" x14ac:dyDescent="0.35"/>
    <row r="484" ht="21.9" customHeight="1" x14ac:dyDescent="0.35"/>
    <row r="485" ht="21.9" customHeight="1" x14ac:dyDescent="0.35"/>
    <row r="486" ht="21.9" customHeight="1" x14ac:dyDescent="0.35"/>
    <row r="487" ht="21.9" customHeight="1" x14ac:dyDescent="0.35"/>
    <row r="488" ht="21.9" customHeight="1" x14ac:dyDescent="0.35"/>
    <row r="489" ht="21.9" customHeight="1" x14ac:dyDescent="0.35"/>
    <row r="490" ht="21.9" customHeight="1" x14ac:dyDescent="0.35"/>
    <row r="491" ht="21.9" customHeight="1" x14ac:dyDescent="0.35"/>
    <row r="492" ht="21.9" customHeight="1" x14ac:dyDescent="0.35"/>
    <row r="493" ht="21.9" customHeight="1" x14ac:dyDescent="0.35"/>
    <row r="494" ht="21.9" customHeight="1" x14ac:dyDescent="0.35"/>
    <row r="495" ht="21.9" customHeight="1" x14ac:dyDescent="0.35"/>
    <row r="496" ht="21.9" customHeight="1" x14ac:dyDescent="0.35"/>
    <row r="497" ht="21.9" customHeight="1" x14ac:dyDescent="0.35"/>
    <row r="498" ht="21.9" customHeight="1" x14ac:dyDescent="0.35"/>
    <row r="499" ht="21.9" customHeight="1" x14ac:dyDescent="0.35"/>
    <row r="500" ht="21.9" customHeight="1" x14ac:dyDescent="0.35"/>
    <row r="501" ht="21.9" customHeight="1" x14ac:dyDescent="0.35"/>
    <row r="502" ht="21.9" customHeight="1" x14ac:dyDescent="0.35"/>
    <row r="503" ht="21.9" customHeight="1" x14ac:dyDescent="0.35"/>
    <row r="504" ht="21.9" customHeight="1" x14ac:dyDescent="0.35"/>
    <row r="505" ht="21.9" customHeight="1" x14ac:dyDescent="0.35"/>
    <row r="506" ht="21.9" customHeight="1" x14ac:dyDescent="0.35"/>
    <row r="507" ht="21.9" customHeight="1" x14ac:dyDescent="0.35"/>
    <row r="508" ht="21.9" customHeight="1" x14ac:dyDescent="0.35"/>
    <row r="509" ht="21.9" customHeight="1" x14ac:dyDescent="0.35"/>
    <row r="510" ht="21.9" customHeight="1" x14ac:dyDescent="0.35"/>
    <row r="511" ht="21.9" customHeight="1" x14ac:dyDescent="0.35"/>
    <row r="512" ht="21.9" customHeight="1" x14ac:dyDescent="0.35"/>
    <row r="513" ht="21.9" customHeight="1" x14ac:dyDescent="0.35"/>
    <row r="514" ht="21.9" customHeight="1" x14ac:dyDescent="0.35"/>
    <row r="515" ht="21.9" customHeight="1" x14ac:dyDescent="0.35"/>
    <row r="516" ht="21.9" customHeight="1" x14ac:dyDescent="0.35"/>
    <row r="517" ht="21.9" customHeight="1" x14ac:dyDescent="0.35"/>
    <row r="518" ht="21.9" customHeight="1" x14ac:dyDescent="0.35"/>
    <row r="519" ht="21.9" customHeight="1" x14ac:dyDescent="0.35"/>
    <row r="520" ht="21.9" customHeight="1" x14ac:dyDescent="0.35"/>
    <row r="521" ht="21.9" customHeight="1" x14ac:dyDescent="0.35"/>
    <row r="522" ht="21.9" customHeight="1" x14ac:dyDescent="0.35"/>
    <row r="523" ht="21.9" customHeight="1" x14ac:dyDescent="0.35"/>
    <row r="524" ht="21.9" customHeight="1" x14ac:dyDescent="0.35"/>
    <row r="525" ht="21.9" customHeight="1" x14ac:dyDescent="0.35"/>
    <row r="526" ht="21.9" customHeight="1" x14ac:dyDescent="0.35"/>
    <row r="527" ht="21.9" customHeight="1" x14ac:dyDescent="0.35"/>
    <row r="528" ht="21.9" customHeight="1" x14ac:dyDescent="0.35"/>
    <row r="529" ht="21.9" customHeight="1" x14ac:dyDescent="0.35"/>
    <row r="530" ht="21.9" customHeight="1" x14ac:dyDescent="0.35"/>
    <row r="531" ht="21.9" customHeight="1" x14ac:dyDescent="0.35"/>
    <row r="532" ht="21.9" customHeight="1" x14ac:dyDescent="0.35"/>
    <row r="533" ht="21.9" customHeight="1" x14ac:dyDescent="0.35"/>
    <row r="534" ht="21.9" customHeight="1" x14ac:dyDescent="0.35"/>
    <row r="535" ht="21.9" customHeight="1" x14ac:dyDescent="0.35"/>
    <row r="536" ht="21.9" customHeight="1" x14ac:dyDescent="0.35"/>
    <row r="537" ht="21.9" customHeight="1" x14ac:dyDescent="0.35"/>
    <row r="538" ht="21.9" customHeight="1" x14ac:dyDescent="0.35"/>
    <row r="539" ht="21.9" customHeight="1" x14ac:dyDescent="0.35"/>
    <row r="540" ht="21.9" customHeight="1" x14ac:dyDescent="0.35"/>
    <row r="541" ht="21.9" customHeight="1" x14ac:dyDescent="0.35"/>
    <row r="542" ht="21.9" customHeight="1" x14ac:dyDescent="0.35"/>
    <row r="543" ht="21.9" customHeight="1" x14ac:dyDescent="0.35"/>
    <row r="544" ht="21.9" customHeight="1" x14ac:dyDescent="0.35"/>
    <row r="545" ht="21.9" customHeight="1" x14ac:dyDescent="0.35"/>
    <row r="546" ht="21.9" customHeight="1" x14ac:dyDescent="0.35"/>
    <row r="547" ht="21.9" customHeight="1" x14ac:dyDescent="0.35"/>
    <row r="548" ht="21.9" customHeight="1" x14ac:dyDescent="0.35"/>
    <row r="549" ht="21.9" customHeight="1" x14ac:dyDescent="0.35"/>
    <row r="550" ht="21.9" customHeight="1" x14ac:dyDescent="0.35"/>
    <row r="551" ht="21.9" customHeight="1" x14ac:dyDescent="0.35"/>
    <row r="552" ht="21.9" customHeight="1" x14ac:dyDescent="0.35"/>
    <row r="553" ht="21.9" customHeight="1" x14ac:dyDescent="0.35"/>
    <row r="554" ht="21.9" customHeight="1" x14ac:dyDescent="0.35"/>
    <row r="555" ht="21.9" customHeight="1" x14ac:dyDescent="0.35"/>
    <row r="556" ht="21.9" customHeight="1" x14ac:dyDescent="0.35"/>
    <row r="557" ht="21.9" customHeight="1" x14ac:dyDescent="0.35"/>
    <row r="558" ht="21.9" customHeight="1" x14ac:dyDescent="0.35"/>
    <row r="559" ht="21.9" customHeight="1" x14ac:dyDescent="0.35"/>
    <row r="560" ht="21.9" customHeight="1" x14ac:dyDescent="0.35"/>
    <row r="561" ht="21.9" customHeight="1" x14ac:dyDescent="0.35"/>
    <row r="562" ht="21.9" customHeight="1" x14ac:dyDescent="0.35"/>
    <row r="563" ht="21.9" customHeight="1" x14ac:dyDescent="0.35"/>
    <row r="564" ht="21.9" customHeight="1" x14ac:dyDescent="0.35"/>
    <row r="565" ht="21.9" customHeight="1" x14ac:dyDescent="0.35"/>
    <row r="566" ht="21.9" customHeight="1" x14ac:dyDescent="0.35"/>
    <row r="567" ht="21.9" customHeight="1" x14ac:dyDescent="0.35"/>
    <row r="568" ht="21.9" customHeight="1" x14ac:dyDescent="0.35"/>
    <row r="569" ht="21.9" customHeight="1" x14ac:dyDescent="0.35"/>
    <row r="570" ht="21.9" customHeight="1" x14ac:dyDescent="0.35"/>
    <row r="571" ht="21.9" customHeight="1" x14ac:dyDescent="0.35"/>
    <row r="572" ht="21.9" customHeight="1" x14ac:dyDescent="0.35"/>
    <row r="573" ht="21.9" customHeight="1" x14ac:dyDescent="0.35"/>
    <row r="574" ht="21.9" customHeight="1" x14ac:dyDescent="0.35"/>
    <row r="575" ht="21.9" customHeight="1" x14ac:dyDescent="0.35"/>
    <row r="576" ht="21.9" customHeight="1" x14ac:dyDescent="0.35"/>
    <row r="577" ht="21.9" customHeight="1" x14ac:dyDescent="0.35"/>
    <row r="578" ht="21.9" customHeight="1" x14ac:dyDescent="0.35"/>
    <row r="579" ht="21.9" customHeight="1" x14ac:dyDescent="0.35"/>
    <row r="580" ht="21.9" customHeight="1" x14ac:dyDescent="0.35"/>
    <row r="581" ht="21.9" customHeight="1" x14ac:dyDescent="0.35"/>
    <row r="582" ht="21.9" customHeight="1" x14ac:dyDescent="0.35"/>
    <row r="583" ht="21.9" customHeight="1" x14ac:dyDescent="0.35"/>
    <row r="584" ht="21.9" customHeight="1" x14ac:dyDescent="0.35"/>
    <row r="585" ht="21.9" customHeight="1" x14ac:dyDescent="0.35"/>
    <row r="586" ht="21.9" customHeight="1" x14ac:dyDescent="0.35"/>
    <row r="587" ht="21.9" customHeight="1" x14ac:dyDescent="0.35"/>
    <row r="588" ht="21.9" customHeight="1" x14ac:dyDescent="0.35"/>
    <row r="589" ht="21.9" customHeight="1" x14ac:dyDescent="0.35"/>
    <row r="590" ht="21.9" customHeight="1" x14ac:dyDescent="0.35"/>
    <row r="591" ht="21.9" customHeight="1" x14ac:dyDescent="0.35"/>
    <row r="592" ht="21.9" customHeight="1" x14ac:dyDescent="0.35"/>
    <row r="593" ht="21.9" customHeight="1" x14ac:dyDescent="0.35"/>
    <row r="594" ht="21.9" customHeight="1" x14ac:dyDescent="0.35"/>
    <row r="595" ht="21.9" customHeight="1" x14ac:dyDescent="0.35"/>
    <row r="596" ht="21.9" customHeight="1" x14ac:dyDescent="0.35"/>
    <row r="597" ht="21.9" customHeight="1" x14ac:dyDescent="0.35"/>
    <row r="598" ht="21.9" customHeight="1" x14ac:dyDescent="0.35"/>
    <row r="599" ht="21.9" customHeight="1" x14ac:dyDescent="0.35"/>
    <row r="600" ht="21.9" customHeight="1" x14ac:dyDescent="0.35"/>
    <row r="601" ht="21.9" customHeight="1" x14ac:dyDescent="0.35"/>
    <row r="602" ht="21.9" customHeight="1" x14ac:dyDescent="0.35"/>
    <row r="603" ht="21.9" customHeight="1" x14ac:dyDescent="0.35"/>
    <row r="604" ht="21.9" customHeight="1" x14ac:dyDescent="0.35"/>
    <row r="605" ht="21.9" customHeight="1" x14ac:dyDescent="0.35"/>
    <row r="606" ht="21.9" customHeight="1" x14ac:dyDescent="0.35"/>
    <row r="607" ht="21.9" customHeight="1" x14ac:dyDescent="0.35"/>
    <row r="608" ht="21.9" customHeight="1" x14ac:dyDescent="0.35"/>
    <row r="609" ht="21.9" customHeight="1" x14ac:dyDescent="0.35"/>
    <row r="610" ht="21.9" customHeight="1" x14ac:dyDescent="0.35"/>
    <row r="611" ht="21.9" customHeight="1" x14ac:dyDescent="0.35"/>
    <row r="612" ht="21.9" customHeight="1" x14ac:dyDescent="0.35"/>
    <row r="613" ht="21.9" customHeight="1" x14ac:dyDescent="0.35"/>
    <row r="614" ht="21.9" customHeight="1" x14ac:dyDescent="0.35"/>
    <row r="615" ht="21.9" customHeight="1" x14ac:dyDescent="0.35"/>
    <row r="616" ht="21.9" customHeight="1" x14ac:dyDescent="0.35"/>
    <row r="617" ht="21.9" customHeight="1" x14ac:dyDescent="0.35"/>
    <row r="618" ht="21.9" customHeight="1" x14ac:dyDescent="0.35"/>
    <row r="619" ht="21.9" customHeight="1" x14ac:dyDescent="0.35"/>
    <row r="620" ht="21.9" customHeight="1" x14ac:dyDescent="0.35"/>
    <row r="621" ht="21.9" customHeight="1" x14ac:dyDescent="0.35"/>
    <row r="622" ht="21.9" customHeight="1" x14ac:dyDescent="0.35"/>
    <row r="623" ht="21.9" customHeight="1" x14ac:dyDescent="0.35"/>
    <row r="624" ht="21.9" customHeight="1" x14ac:dyDescent="0.35"/>
    <row r="625" ht="21.9" customHeight="1" x14ac:dyDescent="0.35"/>
    <row r="626" ht="21.9" customHeight="1" x14ac:dyDescent="0.35"/>
    <row r="627" ht="21.9" customHeight="1" x14ac:dyDescent="0.35"/>
    <row r="628" ht="21.9" customHeight="1" x14ac:dyDescent="0.35"/>
    <row r="629" ht="21.9" customHeight="1" x14ac:dyDescent="0.35"/>
    <row r="630" ht="21.9" customHeight="1" x14ac:dyDescent="0.35"/>
    <row r="631" ht="21.9" customHeight="1" x14ac:dyDescent="0.35"/>
    <row r="632" ht="21.9" customHeight="1" x14ac:dyDescent="0.35"/>
    <row r="633" ht="21.9" customHeight="1" x14ac:dyDescent="0.35"/>
    <row r="634" ht="21.9" customHeight="1" x14ac:dyDescent="0.35"/>
    <row r="635" ht="21.9" customHeight="1" x14ac:dyDescent="0.35"/>
    <row r="636" ht="21.9" customHeight="1" x14ac:dyDescent="0.35"/>
    <row r="637" ht="21.9" customHeight="1" x14ac:dyDescent="0.35"/>
    <row r="638" ht="21.9" customHeight="1" x14ac:dyDescent="0.35"/>
    <row r="639" ht="21.9" customHeight="1" x14ac:dyDescent="0.35"/>
    <row r="640" ht="21.9" customHeight="1" x14ac:dyDescent="0.35"/>
    <row r="641" ht="21.9" customHeight="1" x14ac:dyDescent="0.35"/>
    <row r="642" ht="21.9" customHeight="1" x14ac:dyDescent="0.35"/>
    <row r="643" ht="21.9" customHeight="1" x14ac:dyDescent="0.35"/>
    <row r="644" ht="21.9" customHeight="1" x14ac:dyDescent="0.35"/>
    <row r="645" ht="21.9" customHeight="1" x14ac:dyDescent="0.35"/>
    <row r="646" ht="21.9" customHeight="1" x14ac:dyDescent="0.35"/>
    <row r="647" ht="21.9" customHeight="1" x14ac:dyDescent="0.35"/>
    <row r="648" ht="21.9" customHeight="1" x14ac:dyDescent="0.35"/>
    <row r="649" ht="21.9" customHeight="1" x14ac:dyDescent="0.35"/>
    <row r="650" ht="21.9" customHeight="1" x14ac:dyDescent="0.35"/>
    <row r="651" ht="21.9" customHeight="1" x14ac:dyDescent="0.35"/>
    <row r="652" ht="21.9" customHeight="1" x14ac:dyDescent="0.35"/>
    <row r="653" ht="21.9" customHeight="1" x14ac:dyDescent="0.35"/>
    <row r="654" ht="21.9" customHeight="1" x14ac:dyDescent="0.35"/>
    <row r="655" ht="21.9" customHeight="1" x14ac:dyDescent="0.35"/>
    <row r="656" ht="21.9" customHeight="1" x14ac:dyDescent="0.35"/>
    <row r="657" ht="21.9" customHeight="1" x14ac:dyDescent="0.35"/>
    <row r="658" ht="21.9" customHeight="1" x14ac:dyDescent="0.35"/>
    <row r="659" ht="21.9" customHeight="1" x14ac:dyDescent="0.35"/>
    <row r="660" ht="21.9" customHeight="1" x14ac:dyDescent="0.35"/>
    <row r="661" ht="21.9" customHeight="1" x14ac:dyDescent="0.35"/>
    <row r="662" ht="21.9" customHeight="1" x14ac:dyDescent="0.35"/>
    <row r="663" ht="21.9" customHeight="1" x14ac:dyDescent="0.35"/>
    <row r="664" ht="21.9" customHeight="1" x14ac:dyDescent="0.35"/>
    <row r="665" ht="21.9" customHeight="1" x14ac:dyDescent="0.35"/>
    <row r="666" ht="21.9" customHeight="1" x14ac:dyDescent="0.35"/>
    <row r="667" ht="21.9" customHeight="1" x14ac:dyDescent="0.35"/>
    <row r="668" ht="21.9" customHeight="1" x14ac:dyDescent="0.35"/>
    <row r="669" ht="21.9" customHeight="1" x14ac:dyDescent="0.35"/>
    <row r="670" ht="21.9" customHeight="1" x14ac:dyDescent="0.35"/>
    <row r="671" ht="21.9" customHeight="1" x14ac:dyDescent="0.35"/>
    <row r="672" ht="21.9" customHeight="1" x14ac:dyDescent="0.35"/>
    <row r="673" ht="21.9" customHeight="1" x14ac:dyDescent="0.35"/>
    <row r="674" ht="21.9" customHeight="1" x14ac:dyDescent="0.35"/>
    <row r="675" ht="21.9" customHeight="1" x14ac:dyDescent="0.35"/>
    <row r="676" ht="21.9" customHeight="1" x14ac:dyDescent="0.35"/>
    <row r="677" ht="21.9" customHeight="1" x14ac:dyDescent="0.35"/>
    <row r="678" ht="21.9" customHeight="1" x14ac:dyDescent="0.35"/>
    <row r="679" ht="21.9" customHeight="1" x14ac:dyDescent="0.35"/>
    <row r="680" ht="21.9" customHeight="1" x14ac:dyDescent="0.35"/>
    <row r="681" ht="21.9" customHeight="1" x14ac:dyDescent="0.35"/>
    <row r="682" ht="21.9" customHeight="1" x14ac:dyDescent="0.35"/>
    <row r="683" ht="21.9" customHeight="1" x14ac:dyDescent="0.35"/>
    <row r="684" ht="21.9" customHeight="1" x14ac:dyDescent="0.35"/>
    <row r="685" ht="21.9" customHeight="1" x14ac:dyDescent="0.35"/>
    <row r="686" ht="21.9" customHeight="1" x14ac:dyDescent="0.35"/>
    <row r="687" ht="21.9" customHeight="1" x14ac:dyDescent="0.35"/>
    <row r="688" ht="21.9" customHeight="1" x14ac:dyDescent="0.35"/>
    <row r="689" ht="21.9" customHeight="1" x14ac:dyDescent="0.35"/>
    <row r="690" ht="21.9" customHeight="1" x14ac:dyDescent="0.35"/>
    <row r="691" ht="21.9" customHeight="1" x14ac:dyDescent="0.35"/>
    <row r="692" ht="21.9" customHeight="1" x14ac:dyDescent="0.35"/>
    <row r="693" ht="21.9" customHeight="1" x14ac:dyDescent="0.35"/>
    <row r="694" ht="21.9" customHeight="1" x14ac:dyDescent="0.35"/>
    <row r="695" ht="21.9" customHeight="1" x14ac:dyDescent="0.35"/>
    <row r="696" ht="21.9" customHeight="1" x14ac:dyDescent="0.35"/>
    <row r="697" ht="21.9" customHeight="1" x14ac:dyDescent="0.35"/>
    <row r="698" ht="21.9" customHeight="1" x14ac:dyDescent="0.35"/>
    <row r="699" ht="21.9" customHeight="1" x14ac:dyDescent="0.35"/>
    <row r="700" ht="21.9" customHeight="1" x14ac:dyDescent="0.35"/>
    <row r="701" ht="21.9" customHeight="1" x14ac:dyDescent="0.35"/>
    <row r="702" ht="21.9" customHeight="1" x14ac:dyDescent="0.35"/>
    <row r="703" ht="21.9" customHeight="1" x14ac:dyDescent="0.35"/>
    <row r="704" ht="21.9" customHeight="1" x14ac:dyDescent="0.35"/>
    <row r="705" ht="21.9" customHeight="1" x14ac:dyDescent="0.35"/>
    <row r="706" ht="21.9" customHeight="1" x14ac:dyDescent="0.35"/>
    <row r="707" ht="21.9" customHeight="1" x14ac:dyDescent="0.35"/>
    <row r="708" ht="21.9" customHeight="1" x14ac:dyDescent="0.35"/>
    <row r="709" ht="21.9" customHeight="1" x14ac:dyDescent="0.35"/>
    <row r="710" ht="21.9" customHeight="1" x14ac:dyDescent="0.35"/>
    <row r="711" ht="21.9" customHeight="1" x14ac:dyDescent="0.35"/>
    <row r="712" ht="21.9" customHeight="1" x14ac:dyDescent="0.35"/>
    <row r="713" ht="21.9" customHeight="1" x14ac:dyDescent="0.35"/>
    <row r="714" ht="21.9" customHeight="1" x14ac:dyDescent="0.35"/>
    <row r="715" ht="21.9" customHeight="1" x14ac:dyDescent="0.35"/>
    <row r="716" ht="21.9" customHeight="1" x14ac:dyDescent="0.35"/>
    <row r="717" ht="21.9" customHeight="1" x14ac:dyDescent="0.35"/>
    <row r="718" ht="21.9" customHeight="1" x14ac:dyDescent="0.35"/>
    <row r="719" ht="21.9" customHeight="1" x14ac:dyDescent="0.35"/>
    <row r="720" ht="21.9" customHeight="1" x14ac:dyDescent="0.35"/>
    <row r="721" ht="21.9" customHeight="1" x14ac:dyDescent="0.35"/>
    <row r="722" ht="21.9" customHeight="1" x14ac:dyDescent="0.35"/>
    <row r="723" ht="21.9" customHeight="1" x14ac:dyDescent="0.35"/>
    <row r="724" ht="21.9" customHeight="1" x14ac:dyDescent="0.35"/>
    <row r="725" ht="21.9" customHeight="1" x14ac:dyDescent="0.35"/>
    <row r="726" ht="21.9" customHeight="1" x14ac:dyDescent="0.35"/>
    <row r="727" ht="21.9" customHeight="1" x14ac:dyDescent="0.35"/>
    <row r="728" ht="21.9" customHeight="1" x14ac:dyDescent="0.35"/>
    <row r="729" ht="21.9" customHeight="1" x14ac:dyDescent="0.35"/>
    <row r="730" ht="21.9" customHeight="1" x14ac:dyDescent="0.35"/>
    <row r="731" ht="21.9" customHeight="1" x14ac:dyDescent="0.35"/>
    <row r="732" ht="21.9" customHeight="1" x14ac:dyDescent="0.35"/>
    <row r="733" ht="21.9" customHeight="1" x14ac:dyDescent="0.35"/>
    <row r="734" ht="21.9" customHeight="1" x14ac:dyDescent="0.35"/>
    <row r="735" ht="21.9" customHeight="1" x14ac:dyDescent="0.35"/>
    <row r="736" ht="21.9" customHeight="1" x14ac:dyDescent="0.35"/>
    <row r="737" ht="21.9" customHeight="1" x14ac:dyDescent="0.35"/>
    <row r="738" ht="21.9" customHeight="1" x14ac:dyDescent="0.35"/>
    <row r="739" ht="21.9" customHeight="1" x14ac:dyDescent="0.35"/>
    <row r="740" ht="21.9" customHeight="1" x14ac:dyDescent="0.35"/>
    <row r="741" ht="21.9" customHeight="1" x14ac:dyDescent="0.35"/>
    <row r="742" ht="21.9" customHeight="1" x14ac:dyDescent="0.35"/>
    <row r="743" ht="21.9" customHeight="1" x14ac:dyDescent="0.35"/>
    <row r="744" ht="21.9" customHeight="1" x14ac:dyDescent="0.35"/>
    <row r="745" ht="21.9" customHeight="1" x14ac:dyDescent="0.35"/>
    <row r="746" ht="21.9" customHeight="1" x14ac:dyDescent="0.35"/>
    <row r="747" ht="21.9" customHeight="1" x14ac:dyDescent="0.35"/>
    <row r="748" ht="21.9" customHeight="1" x14ac:dyDescent="0.35"/>
    <row r="749" ht="21.9" customHeight="1" x14ac:dyDescent="0.35"/>
    <row r="750" ht="21.9" customHeight="1" x14ac:dyDescent="0.35"/>
    <row r="751" ht="21.9" customHeight="1" x14ac:dyDescent="0.35"/>
    <row r="752" ht="21.9" customHeight="1" x14ac:dyDescent="0.35"/>
    <row r="753" ht="21.9" customHeight="1" x14ac:dyDescent="0.35"/>
    <row r="754" ht="21.9" customHeight="1" x14ac:dyDescent="0.35"/>
    <row r="755" ht="21.9" customHeight="1" x14ac:dyDescent="0.35"/>
    <row r="756" ht="21.9" customHeight="1" x14ac:dyDescent="0.35"/>
    <row r="757" ht="21.9" customHeight="1" x14ac:dyDescent="0.35"/>
    <row r="758" ht="21.9" customHeight="1" x14ac:dyDescent="0.35"/>
    <row r="759" ht="21.9" customHeight="1" x14ac:dyDescent="0.35"/>
    <row r="760" ht="21.9" customHeight="1" x14ac:dyDescent="0.35"/>
    <row r="761" ht="21.9" customHeight="1" x14ac:dyDescent="0.35"/>
    <row r="762" ht="21.9" customHeight="1" x14ac:dyDescent="0.35"/>
    <row r="763" ht="21.9" customHeight="1" x14ac:dyDescent="0.35"/>
    <row r="764" ht="21.9" customHeight="1" x14ac:dyDescent="0.35"/>
    <row r="765" ht="21.9" customHeight="1" x14ac:dyDescent="0.35"/>
    <row r="766" ht="21.9" customHeight="1" x14ac:dyDescent="0.35"/>
    <row r="767" ht="21.9" customHeight="1" x14ac:dyDescent="0.35"/>
    <row r="768" ht="21.9" customHeight="1" x14ac:dyDescent="0.35"/>
    <row r="769" ht="21.9" customHeight="1" x14ac:dyDescent="0.35"/>
    <row r="770" ht="21.9" customHeight="1" x14ac:dyDescent="0.35"/>
    <row r="771" ht="21.9" customHeight="1" x14ac:dyDescent="0.35"/>
    <row r="772" ht="21.9" customHeight="1" x14ac:dyDescent="0.35"/>
    <row r="773" ht="21.9" customHeight="1" x14ac:dyDescent="0.35"/>
    <row r="774" ht="21.9" customHeight="1" x14ac:dyDescent="0.35"/>
    <row r="775" ht="21.9" customHeight="1" x14ac:dyDescent="0.35"/>
    <row r="776" ht="21.9" customHeight="1" x14ac:dyDescent="0.35"/>
    <row r="777" ht="21.9" customHeight="1" x14ac:dyDescent="0.35"/>
    <row r="778" ht="21.9" customHeight="1" x14ac:dyDescent="0.35"/>
    <row r="779" ht="21.9" customHeight="1" x14ac:dyDescent="0.35"/>
    <row r="780" ht="21.9" customHeight="1" x14ac:dyDescent="0.35"/>
    <row r="781" ht="21.9" customHeight="1" x14ac:dyDescent="0.35"/>
    <row r="782" ht="21.9" customHeight="1" x14ac:dyDescent="0.35"/>
    <row r="783" ht="21.9" customHeight="1" x14ac:dyDescent="0.35"/>
    <row r="784" ht="21.9" customHeight="1" x14ac:dyDescent="0.35"/>
    <row r="785" ht="21.9" customHeight="1" x14ac:dyDescent="0.35"/>
    <row r="786" ht="21.9" customHeight="1" x14ac:dyDescent="0.35"/>
    <row r="787" ht="21.9" customHeight="1" x14ac:dyDescent="0.35"/>
    <row r="788" ht="21.9" customHeight="1" x14ac:dyDescent="0.35"/>
    <row r="789" ht="21.9" customHeight="1" x14ac:dyDescent="0.35"/>
    <row r="790" ht="21.9" customHeight="1" x14ac:dyDescent="0.35"/>
    <row r="791" ht="21.9" customHeight="1" x14ac:dyDescent="0.35"/>
    <row r="792" ht="21.9" customHeight="1" x14ac:dyDescent="0.35"/>
    <row r="793" ht="21.9" customHeight="1" x14ac:dyDescent="0.35"/>
    <row r="794" ht="21.9" customHeight="1" x14ac:dyDescent="0.35"/>
    <row r="795" ht="21.9" customHeight="1" x14ac:dyDescent="0.35"/>
    <row r="796" ht="21.9" customHeight="1" x14ac:dyDescent="0.35"/>
    <row r="797" ht="21.9" customHeight="1" x14ac:dyDescent="0.35"/>
    <row r="798" ht="21.9" customHeight="1" x14ac:dyDescent="0.35"/>
    <row r="799" ht="21.9" customHeight="1" x14ac:dyDescent="0.35"/>
    <row r="800" ht="21.9" customHeight="1" x14ac:dyDescent="0.35"/>
    <row r="801" ht="21.9" customHeight="1" x14ac:dyDescent="0.35"/>
    <row r="802" ht="21.9" customHeight="1" x14ac:dyDescent="0.35"/>
    <row r="803" ht="21.9" customHeight="1" x14ac:dyDescent="0.35"/>
    <row r="804" ht="21.9" customHeight="1" x14ac:dyDescent="0.35"/>
    <row r="805" ht="21.9" customHeight="1" x14ac:dyDescent="0.35"/>
    <row r="806" ht="21.9" customHeight="1" x14ac:dyDescent="0.35"/>
    <row r="807" ht="21.9" customHeight="1" x14ac:dyDescent="0.35"/>
    <row r="808" ht="21.9" customHeight="1" x14ac:dyDescent="0.35"/>
    <row r="809" ht="21.9" customHeight="1" x14ac:dyDescent="0.35"/>
    <row r="810" ht="21.9" customHeight="1" x14ac:dyDescent="0.35"/>
    <row r="811" ht="21.9" customHeight="1" x14ac:dyDescent="0.35"/>
    <row r="812" ht="21.9" customHeight="1" x14ac:dyDescent="0.35"/>
    <row r="813" ht="21.9" customHeight="1" x14ac:dyDescent="0.35"/>
    <row r="814" ht="21.9" customHeight="1" x14ac:dyDescent="0.35"/>
    <row r="815" ht="21.9" customHeight="1" x14ac:dyDescent="0.35"/>
    <row r="816" ht="21.9" customHeight="1" x14ac:dyDescent="0.35"/>
    <row r="817" ht="21.9" customHeight="1" x14ac:dyDescent="0.35"/>
    <row r="818" ht="21.9" customHeight="1" x14ac:dyDescent="0.35"/>
    <row r="819" ht="21.9" customHeight="1" x14ac:dyDescent="0.35"/>
    <row r="820" ht="21.9" customHeight="1" x14ac:dyDescent="0.35"/>
    <row r="821" ht="21.9" customHeight="1" x14ac:dyDescent="0.35"/>
    <row r="822" ht="21.9" customHeight="1" x14ac:dyDescent="0.35"/>
    <row r="823" ht="21.9" customHeight="1" x14ac:dyDescent="0.35"/>
    <row r="824" ht="21.9" customHeight="1" x14ac:dyDescent="0.35"/>
    <row r="825" ht="21.9" customHeight="1" x14ac:dyDescent="0.35"/>
    <row r="826" ht="21.9" customHeight="1" x14ac:dyDescent="0.35"/>
    <row r="827" ht="21.9" customHeight="1" x14ac:dyDescent="0.35"/>
    <row r="828" ht="21.9" customHeight="1" x14ac:dyDescent="0.35"/>
    <row r="829" ht="21.9" customHeight="1" x14ac:dyDescent="0.35"/>
    <row r="830" ht="21.9" customHeight="1" x14ac:dyDescent="0.35"/>
    <row r="831" ht="21.9" customHeight="1" x14ac:dyDescent="0.35"/>
    <row r="832" ht="21.9" customHeight="1" x14ac:dyDescent="0.35"/>
    <row r="833" ht="21.9" customHeight="1" x14ac:dyDescent="0.35"/>
    <row r="834" ht="21.9" customHeight="1" x14ac:dyDescent="0.35"/>
    <row r="835" ht="21.9" customHeight="1" x14ac:dyDescent="0.35"/>
    <row r="836" ht="21.9" customHeight="1" x14ac:dyDescent="0.35"/>
    <row r="837" ht="21.9" customHeight="1" x14ac:dyDescent="0.35"/>
    <row r="838" ht="21.9" customHeight="1" x14ac:dyDescent="0.35"/>
    <row r="839" ht="21.9" customHeight="1" x14ac:dyDescent="0.35"/>
    <row r="840" ht="21.9" customHeight="1" x14ac:dyDescent="0.35"/>
    <row r="841" ht="21.9" customHeight="1" x14ac:dyDescent="0.35"/>
    <row r="842" ht="21.9" customHeight="1" x14ac:dyDescent="0.35"/>
    <row r="843" ht="21.9" customHeight="1" x14ac:dyDescent="0.35"/>
    <row r="844" ht="21.9" customHeight="1" x14ac:dyDescent="0.35"/>
    <row r="845" ht="21.9" customHeight="1" x14ac:dyDescent="0.35"/>
    <row r="846" ht="21.9" customHeight="1" x14ac:dyDescent="0.35"/>
    <row r="847" ht="21.9" customHeight="1" x14ac:dyDescent="0.35"/>
    <row r="848" ht="21.9" customHeight="1" x14ac:dyDescent="0.35"/>
    <row r="849" ht="21.9" customHeight="1" x14ac:dyDescent="0.35"/>
    <row r="850" ht="21.9" customHeight="1" x14ac:dyDescent="0.35"/>
    <row r="851" ht="21.9" customHeight="1" x14ac:dyDescent="0.35"/>
    <row r="852" ht="21.9" customHeight="1" x14ac:dyDescent="0.35"/>
    <row r="853" ht="21.9" customHeight="1" x14ac:dyDescent="0.35"/>
    <row r="854" ht="21.9" customHeight="1" x14ac:dyDescent="0.35"/>
    <row r="855" ht="21.9" customHeight="1" x14ac:dyDescent="0.35"/>
    <row r="856" ht="21.9" customHeight="1" x14ac:dyDescent="0.35"/>
    <row r="857" ht="21.9" customHeight="1" x14ac:dyDescent="0.35"/>
    <row r="858" ht="21.9" customHeight="1" x14ac:dyDescent="0.35"/>
    <row r="859" ht="21.9" customHeight="1" x14ac:dyDescent="0.35"/>
    <row r="860" ht="21.9" customHeight="1" x14ac:dyDescent="0.35"/>
    <row r="861" ht="21.9" customHeight="1" x14ac:dyDescent="0.35"/>
    <row r="862" ht="21.9" customHeight="1" x14ac:dyDescent="0.35"/>
    <row r="863" ht="21.9" customHeight="1" x14ac:dyDescent="0.35"/>
    <row r="864" ht="21.9" customHeight="1" x14ac:dyDescent="0.35"/>
    <row r="865" ht="21.9" customHeight="1" x14ac:dyDescent="0.35"/>
    <row r="866" ht="21.9" customHeight="1" x14ac:dyDescent="0.35"/>
    <row r="867" ht="21.9" customHeight="1" x14ac:dyDescent="0.35"/>
    <row r="868" ht="21.9" customHeight="1" x14ac:dyDescent="0.35"/>
    <row r="869" ht="21.9" customHeight="1" x14ac:dyDescent="0.35"/>
    <row r="870" ht="21.9" customHeight="1" x14ac:dyDescent="0.35"/>
    <row r="871" ht="21.9" customHeight="1" x14ac:dyDescent="0.35"/>
    <row r="872" ht="21.9" customHeight="1" x14ac:dyDescent="0.35"/>
    <row r="873" ht="21.9" customHeight="1" x14ac:dyDescent="0.35"/>
    <row r="874" ht="21.9" customHeight="1" x14ac:dyDescent="0.35"/>
    <row r="875" ht="21.9" customHeight="1" x14ac:dyDescent="0.35"/>
    <row r="876" ht="21.9" customHeight="1" x14ac:dyDescent="0.35"/>
    <row r="877" ht="21.9" customHeight="1" x14ac:dyDescent="0.35"/>
    <row r="878" ht="21.9" customHeight="1" x14ac:dyDescent="0.35"/>
    <row r="879" ht="21.9" customHeight="1" x14ac:dyDescent="0.35"/>
    <row r="880" ht="21.9" customHeight="1" x14ac:dyDescent="0.35"/>
    <row r="881" ht="21.9" customHeight="1" x14ac:dyDescent="0.35"/>
    <row r="882" ht="21.9" customHeight="1" x14ac:dyDescent="0.35"/>
    <row r="883" ht="21.9" customHeight="1" x14ac:dyDescent="0.35"/>
    <row r="884" ht="21.9" customHeight="1" x14ac:dyDescent="0.35"/>
    <row r="885" ht="21.9" customHeight="1" x14ac:dyDescent="0.35"/>
    <row r="886" ht="21.9" customHeight="1" x14ac:dyDescent="0.35"/>
    <row r="887" ht="21.9" customHeight="1" x14ac:dyDescent="0.35"/>
    <row r="888" ht="21.9" customHeight="1" x14ac:dyDescent="0.35"/>
    <row r="889" ht="21.9" customHeight="1" x14ac:dyDescent="0.35"/>
    <row r="890" ht="21.9" customHeight="1" x14ac:dyDescent="0.35"/>
    <row r="891" ht="21.9" customHeight="1" x14ac:dyDescent="0.35"/>
    <row r="892" ht="21.9" customHeight="1" x14ac:dyDescent="0.35"/>
    <row r="893" ht="21.9" customHeight="1" x14ac:dyDescent="0.35"/>
    <row r="894" ht="21.9" customHeight="1" x14ac:dyDescent="0.35"/>
    <row r="895" ht="21.9" customHeight="1" x14ac:dyDescent="0.35"/>
    <row r="896" ht="21.9" customHeight="1" x14ac:dyDescent="0.35"/>
    <row r="897" ht="21.9" customHeight="1" x14ac:dyDescent="0.35"/>
    <row r="898" ht="21.9" customHeight="1" x14ac:dyDescent="0.35"/>
    <row r="899" ht="21.9" customHeight="1" x14ac:dyDescent="0.35"/>
    <row r="900" ht="21.9" customHeight="1" x14ac:dyDescent="0.35"/>
    <row r="901" ht="21.9" customHeight="1" x14ac:dyDescent="0.35"/>
    <row r="902" ht="21.9" customHeight="1" x14ac:dyDescent="0.35"/>
    <row r="903" ht="21.9" customHeight="1" x14ac:dyDescent="0.35"/>
    <row r="904" ht="21.9" customHeight="1" x14ac:dyDescent="0.35"/>
    <row r="905" ht="21.9" customHeight="1" x14ac:dyDescent="0.35"/>
    <row r="906" ht="21.9" customHeight="1" x14ac:dyDescent="0.35"/>
    <row r="907" ht="21.9" customHeight="1" x14ac:dyDescent="0.35"/>
    <row r="908" ht="21.9" customHeight="1" x14ac:dyDescent="0.35"/>
    <row r="909" ht="21.9" customHeight="1" x14ac:dyDescent="0.35"/>
    <row r="910" ht="21.9" customHeight="1" x14ac:dyDescent="0.35"/>
    <row r="911" ht="21.9" customHeight="1" x14ac:dyDescent="0.35"/>
    <row r="912" ht="21.9" customHeight="1" x14ac:dyDescent="0.35"/>
    <row r="913" ht="21.9" customHeight="1" x14ac:dyDescent="0.35"/>
    <row r="914" ht="21.9" customHeight="1" x14ac:dyDescent="0.35"/>
    <row r="915" ht="21.9" customHeight="1" x14ac:dyDescent="0.35"/>
    <row r="916" ht="21.9" customHeight="1" x14ac:dyDescent="0.35"/>
    <row r="917" ht="21.9" customHeight="1" x14ac:dyDescent="0.35"/>
    <row r="918" ht="21.9" customHeight="1" x14ac:dyDescent="0.35"/>
    <row r="919" ht="21.9" customHeight="1" x14ac:dyDescent="0.35"/>
    <row r="920" ht="21.9" customHeight="1" x14ac:dyDescent="0.35"/>
    <row r="921" ht="21.9" customHeight="1" x14ac:dyDescent="0.35"/>
    <row r="922" ht="21.9" customHeight="1" x14ac:dyDescent="0.35"/>
    <row r="923" ht="21.9" customHeight="1" x14ac:dyDescent="0.35"/>
    <row r="924" ht="21.9" customHeight="1" x14ac:dyDescent="0.35"/>
    <row r="925" ht="21.9" customHeight="1" x14ac:dyDescent="0.35"/>
    <row r="926" ht="21.9" customHeight="1" x14ac:dyDescent="0.35"/>
    <row r="927" ht="21.9" customHeight="1" x14ac:dyDescent="0.35"/>
    <row r="928" ht="21.9" customHeight="1" x14ac:dyDescent="0.35"/>
    <row r="929" ht="21.9" customHeight="1" x14ac:dyDescent="0.35"/>
    <row r="930" ht="21.9" customHeight="1" x14ac:dyDescent="0.35"/>
    <row r="931" ht="21.9" customHeight="1" x14ac:dyDescent="0.35"/>
    <row r="932" ht="21.9" customHeight="1" x14ac:dyDescent="0.35"/>
    <row r="933" ht="21.9" customHeight="1" x14ac:dyDescent="0.35"/>
    <row r="934" ht="21.9" customHeight="1" x14ac:dyDescent="0.35"/>
    <row r="935" ht="21.9" customHeight="1" x14ac:dyDescent="0.35"/>
    <row r="936" ht="21.9" customHeight="1" x14ac:dyDescent="0.35"/>
    <row r="937" ht="21.9" customHeight="1" x14ac:dyDescent="0.35"/>
    <row r="938" ht="21.9" customHeight="1" x14ac:dyDescent="0.35"/>
    <row r="939" ht="21.9" customHeight="1" x14ac:dyDescent="0.35"/>
    <row r="940" ht="21.9" customHeight="1" x14ac:dyDescent="0.35"/>
    <row r="941" ht="21.9" customHeight="1" x14ac:dyDescent="0.35"/>
    <row r="942" ht="21.9" customHeight="1" x14ac:dyDescent="0.35"/>
    <row r="943" ht="21.9" customHeight="1" x14ac:dyDescent="0.35"/>
    <row r="944" ht="21.9" customHeight="1" x14ac:dyDescent="0.35"/>
    <row r="945" ht="21.9" customHeight="1" x14ac:dyDescent="0.35"/>
    <row r="946" ht="21.9" customHeight="1" x14ac:dyDescent="0.35"/>
    <row r="947" ht="21.9" customHeight="1" x14ac:dyDescent="0.35"/>
    <row r="948" ht="21.9" customHeight="1" x14ac:dyDescent="0.35"/>
    <row r="949" ht="21.9" customHeight="1" x14ac:dyDescent="0.35"/>
    <row r="950" ht="21.9" customHeight="1" x14ac:dyDescent="0.35"/>
    <row r="951" ht="21.9" customHeight="1" x14ac:dyDescent="0.35"/>
    <row r="952" ht="21.9" customHeight="1" x14ac:dyDescent="0.35"/>
    <row r="953" ht="21.9" customHeight="1" x14ac:dyDescent="0.35"/>
    <row r="954" ht="21.9" customHeight="1" x14ac:dyDescent="0.35"/>
    <row r="955" ht="21.9" customHeight="1" x14ac:dyDescent="0.35"/>
    <row r="956" ht="21.9" customHeight="1" x14ac:dyDescent="0.35"/>
    <row r="957" ht="21.9" customHeight="1" x14ac:dyDescent="0.35"/>
    <row r="958" ht="21.9" customHeight="1" x14ac:dyDescent="0.35"/>
    <row r="959" ht="21.9" customHeight="1" x14ac:dyDescent="0.35"/>
    <row r="960" ht="21.9" customHeight="1" x14ac:dyDescent="0.35"/>
    <row r="961" ht="21.9" customHeight="1" x14ac:dyDescent="0.35"/>
    <row r="962" ht="21.9" customHeight="1" x14ac:dyDescent="0.35"/>
    <row r="963" ht="21.9" customHeight="1" x14ac:dyDescent="0.35"/>
    <row r="964" ht="21.9" customHeight="1" x14ac:dyDescent="0.35"/>
    <row r="965" ht="21.9" customHeight="1" x14ac:dyDescent="0.35"/>
    <row r="966" ht="21.9" customHeight="1" x14ac:dyDescent="0.35"/>
    <row r="967" ht="21.9" customHeight="1" x14ac:dyDescent="0.35"/>
    <row r="968" ht="21.9" customHeight="1" x14ac:dyDescent="0.35"/>
    <row r="969" ht="21.9" customHeight="1" x14ac:dyDescent="0.35"/>
    <row r="970" ht="21.9" customHeight="1" x14ac:dyDescent="0.35"/>
    <row r="971" ht="21.9" customHeight="1" x14ac:dyDescent="0.35"/>
    <row r="972" ht="21.9" customHeight="1" x14ac:dyDescent="0.35"/>
    <row r="973" ht="21.9" customHeight="1" x14ac:dyDescent="0.35"/>
    <row r="974" ht="21.9" customHeight="1" x14ac:dyDescent="0.35"/>
    <row r="975" ht="21.9" customHeight="1" x14ac:dyDescent="0.35"/>
    <row r="976" ht="21.9" customHeight="1" x14ac:dyDescent="0.35"/>
    <row r="977" ht="21.9" customHeight="1" x14ac:dyDescent="0.35"/>
    <row r="978" ht="21.9" customHeight="1" x14ac:dyDescent="0.35"/>
    <row r="979" ht="21.9" customHeight="1" x14ac:dyDescent="0.35"/>
    <row r="980" ht="21.9" customHeight="1" x14ac:dyDescent="0.35"/>
    <row r="981" ht="21.9" customHeight="1" x14ac:dyDescent="0.35"/>
    <row r="982" ht="21.9" customHeight="1" x14ac:dyDescent="0.35"/>
    <row r="983" ht="21.9" customHeight="1" x14ac:dyDescent="0.35"/>
    <row r="984" ht="21.9" customHeight="1" x14ac:dyDescent="0.35"/>
    <row r="985" ht="21.9" customHeight="1" x14ac:dyDescent="0.35"/>
    <row r="986" ht="21.9" customHeight="1" x14ac:dyDescent="0.35"/>
    <row r="987" ht="21.9" customHeight="1" x14ac:dyDescent="0.35"/>
    <row r="988" ht="21.9" customHeight="1" x14ac:dyDescent="0.35"/>
    <row r="989" ht="21.9" customHeight="1" x14ac:dyDescent="0.35"/>
    <row r="990" ht="21.9" customHeight="1" x14ac:dyDescent="0.35"/>
    <row r="991" ht="21.9" customHeight="1" x14ac:dyDescent="0.35"/>
    <row r="992" ht="21.9" customHeight="1" x14ac:dyDescent="0.35"/>
    <row r="993" ht="21.9" customHeight="1" x14ac:dyDescent="0.35"/>
    <row r="994" ht="21.9" customHeight="1" x14ac:dyDescent="0.35"/>
    <row r="995" ht="21.9" customHeight="1" x14ac:dyDescent="0.35"/>
    <row r="996" ht="21.9" customHeight="1" x14ac:dyDescent="0.35"/>
    <row r="997" ht="21.9" customHeight="1" x14ac:dyDescent="0.35"/>
    <row r="998" ht="21.9" customHeight="1" x14ac:dyDescent="0.35"/>
    <row r="999" ht="21.9" customHeight="1" x14ac:dyDescent="0.35"/>
    <row r="1000" ht="21.9" customHeight="1" x14ac:dyDescent="0.35"/>
    <row r="1001" ht="21.9" customHeight="1" x14ac:dyDescent="0.35"/>
    <row r="1002" ht="21.9" customHeight="1" x14ac:dyDescent="0.35"/>
    <row r="1003" ht="21.9" customHeight="1" x14ac:dyDescent="0.35"/>
    <row r="1004" ht="21.9" customHeight="1" x14ac:dyDescent="0.35"/>
    <row r="1005" ht="21.9" customHeight="1" x14ac:dyDescent="0.35"/>
    <row r="1006" ht="21.9" customHeight="1" x14ac:dyDescent="0.35"/>
    <row r="1007" ht="21.9" customHeight="1" x14ac:dyDescent="0.35"/>
    <row r="1008" ht="21.9" customHeight="1" x14ac:dyDescent="0.35"/>
    <row r="1009" ht="21.9" customHeight="1" x14ac:dyDescent="0.35"/>
    <row r="1010" ht="21.9" customHeight="1" x14ac:dyDescent="0.35"/>
    <row r="1011" ht="21.9" customHeight="1" x14ac:dyDescent="0.35"/>
    <row r="1012" ht="21.9" customHeight="1" x14ac:dyDescent="0.35"/>
    <row r="1013" ht="21.9" customHeight="1" x14ac:dyDescent="0.35"/>
    <row r="1014" ht="21.9" customHeight="1" x14ac:dyDescent="0.35"/>
    <row r="1015" ht="21.9" customHeight="1" x14ac:dyDescent="0.35"/>
    <row r="1016" ht="21.9" customHeight="1" x14ac:dyDescent="0.35"/>
    <row r="1017" ht="21.9" customHeight="1" x14ac:dyDescent="0.35"/>
    <row r="1018" ht="21.9" customHeight="1" x14ac:dyDescent="0.35"/>
    <row r="1019" ht="21.9" customHeight="1" x14ac:dyDescent="0.35"/>
    <row r="1020" ht="21.9" customHeight="1" x14ac:dyDescent="0.35"/>
    <row r="1021" ht="21.9" customHeight="1" x14ac:dyDescent="0.35"/>
    <row r="1022" ht="21.9" customHeight="1" x14ac:dyDescent="0.35"/>
    <row r="1023" ht="21.9" customHeight="1" x14ac:dyDescent="0.35"/>
    <row r="1024" ht="21.9" customHeight="1" x14ac:dyDescent="0.35"/>
    <row r="1025" ht="21.9" customHeight="1" x14ac:dyDescent="0.35"/>
    <row r="1026" ht="21.9" customHeight="1" x14ac:dyDescent="0.35"/>
    <row r="1027" ht="21.9" customHeight="1" x14ac:dyDescent="0.35"/>
    <row r="1028" ht="21.9" customHeight="1" x14ac:dyDescent="0.35"/>
    <row r="1029" ht="21.9" customHeight="1" x14ac:dyDescent="0.35"/>
    <row r="1030" ht="21.9" customHeight="1" x14ac:dyDescent="0.35"/>
    <row r="1031" ht="21.9" customHeight="1" x14ac:dyDescent="0.35"/>
    <row r="1032" ht="21.9" customHeight="1" x14ac:dyDescent="0.35"/>
    <row r="1033" ht="21.9" customHeight="1" x14ac:dyDescent="0.35"/>
    <row r="1034" ht="21.9" customHeight="1" x14ac:dyDescent="0.35"/>
    <row r="1035" ht="21.9" customHeight="1" x14ac:dyDescent="0.35"/>
    <row r="1036" ht="21.9" customHeight="1" x14ac:dyDescent="0.35"/>
    <row r="1037" ht="21.9" customHeight="1" x14ac:dyDescent="0.35"/>
    <row r="1038" ht="21.9" customHeight="1" x14ac:dyDescent="0.35"/>
    <row r="1039" ht="21.9" customHeight="1" x14ac:dyDescent="0.35"/>
    <row r="1040" ht="21.9" customHeight="1" x14ac:dyDescent="0.35"/>
    <row r="1041" ht="21.9" customHeight="1" x14ac:dyDescent="0.35"/>
    <row r="1042" ht="21.9" customHeight="1" x14ac:dyDescent="0.35"/>
    <row r="1043" ht="21.9" customHeight="1" x14ac:dyDescent="0.35"/>
    <row r="1044" ht="21.9" customHeight="1" x14ac:dyDescent="0.35"/>
    <row r="1045" ht="21.9" customHeight="1" x14ac:dyDescent="0.35"/>
    <row r="1046" ht="21.9" customHeight="1" x14ac:dyDescent="0.35"/>
    <row r="1047" ht="21.9" customHeight="1" x14ac:dyDescent="0.35"/>
    <row r="1048" ht="21.9" customHeight="1" x14ac:dyDescent="0.35"/>
    <row r="1049" ht="21.9" customHeight="1" x14ac:dyDescent="0.35"/>
    <row r="1050" ht="21.9" customHeight="1" x14ac:dyDescent="0.35"/>
    <row r="1051" ht="21.9" customHeight="1" x14ac:dyDescent="0.35"/>
    <row r="1052" ht="21.9" customHeight="1" x14ac:dyDescent="0.35"/>
    <row r="1053" ht="21.9" customHeight="1" x14ac:dyDescent="0.35"/>
    <row r="1054" ht="21.9" customHeight="1" x14ac:dyDescent="0.35"/>
    <row r="1055" ht="21.9" customHeight="1" x14ac:dyDescent="0.35"/>
    <row r="1056" ht="21.9" customHeight="1" x14ac:dyDescent="0.35"/>
    <row r="1057" ht="21.9" customHeight="1" x14ac:dyDescent="0.35"/>
    <row r="1058" ht="21.9" customHeight="1" x14ac:dyDescent="0.35"/>
    <row r="1059" ht="21.9" customHeight="1" x14ac:dyDescent="0.35"/>
    <row r="1060" ht="21.9" customHeight="1" x14ac:dyDescent="0.35"/>
    <row r="1061" ht="21.9" customHeight="1" x14ac:dyDescent="0.35"/>
    <row r="1062" ht="21.9" customHeight="1" x14ac:dyDescent="0.35"/>
    <row r="1063" ht="21.9" customHeight="1" x14ac:dyDescent="0.35"/>
    <row r="1064" ht="21.9" customHeight="1" x14ac:dyDescent="0.35"/>
    <row r="1065" ht="21.9" customHeight="1" x14ac:dyDescent="0.35"/>
    <row r="1066" ht="21.9" customHeight="1" x14ac:dyDescent="0.35"/>
    <row r="1067" ht="21.9" customHeight="1" x14ac:dyDescent="0.35"/>
    <row r="1068" ht="21.9" customHeight="1" x14ac:dyDescent="0.35"/>
    <row r="1069" ht="21.9" customHeight="1" x14ac:dyDescent="0.35"/>
    <row r="1070" ht="21.9" customHeight="1" x14ac:dyDescent="0.35"/>
    <row r="1071" ht="21.9" customHeight="1" x14ac:dyDescent="0.35"/>
    <row r="1072" ht="21.9" customHeight="1" x14ac:dyDescent="0.35"/>
    <row r="1073" ht="21.9" customHeight="1" x14ac:dyDescent="0.35"/>
    <row r="1074" ht="21.9" customHeight="1" x14ac:dyDescent="0.35"/>
    <row r="1075" ht="21.9" customHeight="1" x14ac:dyDescent="0.35"/>
    <row r="1076" ht="21.9" customHeight="1" x14ac:dyDescent="0.35"/>
    <row r="1077" ht="21.9" customHeight="1" x14ac:dyDescent="0.35"/>
    <row r="1078" ht="21.9" customHeight="1" x14ac:dyDescent="0.35"/>
    <row r="1079" ht="21.9" customHeight="1" x14ac:dyDescent="0.35"/>
    <row r="1080" ht="21.9" customHeight="1" x14ac:dyDescent="0.35"/>
    <row r="1081" ht="21.9" customHeight="1" x14ac:dyDescent="0.35"/>
    <row r="1082" ht="21.9" customHeight="1" x14ac:dyDescent="0.35"/>
    <row r="1083" ht="21.9" customHeight="1" x14ac:dyDescent="0.35"/>
    <row r="1084" ht="21.9" customHeight="1" x14ac:dyDescent="0.35"/>
    <row r="1085" ht="21.9" customHeight="1" x14ac:dyDescent="0.35"/>
    <row r="1086" ht="21.9" customHeight="1" x14ac:dyDescent="0.35"/>
    <row r="1087" ht="21.9" customHeight="1" x14ac:dyDescent="0.35"/>
    <row r="1088" ht="21.9" customHeight="1" x14ac:dyDescent="0.35"/>
    <row r="1089" ht="21.9" customHeight="1" x14ac:dyDescent="0.35"/>
    <row r="1090" ht="21.9" customHeight="1" x14ac:dyDescent="0.35"/>
    <row r="1091" ht="21.9" customHeight="1" x14ac:dyDescent="0.35"/>
    <row r="1092" ht="21.9" customHeight="1" x14ac:dyDescent="0.35"/>
    <row r="1093" ht="21.9" customHeight="1" x14ac:dyDescent="0.35"/>
    <row r="1094" ht="21.9" customHeight="1" x14ac:dyDescent="0.35"/>
    <row r="1095" ht="21.9" customHeight="1" x14ac:dyDescent="0.35"/>
    <row r="1096" ht="21.9" customHeight="1" x14ac:dyDescent="0.35"/>
    <row r="1097" ht="21.9" customHeight="1" x14ac:dyDescent="0.35"/>
    <row r="1098" ht="21.9" customHeight="1" x14ac:dyDescent="0.35"/>
    <row r="1099" ht="21.9" customHeight="1" x14ac:dyDescent="0.35"/>
    <row r="1100" ht="21.9" customHeight="1" x14ac:dyDescent="0.35"/>
    <row r="1101" ht="21.9" customHeight="1" x14ac:dyDescent="0.35"/>
    <row r="1102" ht="21.9" customHeight="1" x14ac:dyDescent="0.35"/>
    <row r="1103" ht="21.9" customHeight="1" x14ac:dyDescent="0.35"/>
    <row r="1104" ht="21.9" customHeight="1" x14ac:dyDescent="0.35"/>
    <row r="1105" ht="21.9" customHeight="1" x14ac:dyDescent="0.35"/>
    <row r="1106" ht="21.9" customHeight="1" x14ac:dyDescent="0.35"/>
    <row r="1107" ht="21.9" customHeight="1" x14ac:dyDescent="0.35"/>
    <row r="1108" ht="21.9" customHeight="1" x14ac:dyDescent="0.35"/>
    <row r="1109" ht="21.9" customHeight="1" x14ac:dyDescent="0.35"/>
    <row r="1110" ht="21.9" customHeight="1" x14ac:dyDescent="0.35"/>
    <row r="1111" ht="21.9" customHeight="1" x14ac:dyDescent="0.35"/>
    <row r="1112" ht="21.9" customHeight="1" x14ac:dyDescent="0.35"/>
    <row r="1113" ht="21.9" customHeight="1" x14ac:dyDescent="0.35"/>
    <row r="1114" ht="21.9" customHeight="1" x14ac:dyDescent="0.35"/>
    <row r="1115" ht="21.9" customHeight="1" x14ac:dyDescent="0.35"/>
    <row r="1116" ht="21.9" customHeight="1" x14ac:dyDescent="0.35"/>
    <row r="1117" ht="21.9" customHeight="1" x14ac:dyDescent="0.35"/>
    <row r="1118" ht="21.9" customHeight="1" x14ac:dyDescent="0.35"/>
    <row r="1119" ht="21.9" customHeight="1" x14ac:dyDescent="0.35"/>
    <row r="1120" ht="21.9" customHeight="1" x14ac:dyDescent="0.35"/>
    <row r="1121" ht="21.9" customHeight="1" x14ac:dyDescent="0.35"/>
    <row r="1122" ht="21.9" customHeight="1" x14ac:dyDescent="0.35"/>
    <row r="1123" ht="21.9" customHeight="1" x14ac:dyDescent="0.35"/>
    <row r="1124" ht="21.9" customHeight="1" x14ac:dyDescent="0.35"/>
    <row r="1125" ht="21.9" customHeight="1" x14ac:dyDescent="0.35"/>
    <row r="1126" ht="21.9" customHeight="1" x14ac:dyDescent="0.35"/>
    <row r="1127" ht="21.9" customHeight="1" x14ac:dyDescent="0.35"/>
    <row r="1128" ht="21.9" customHeight="1" x14ac:dyDescent="0.35"/>
    <row r="1129" ht="21.9" customHeight="1" x14ac:dyDescent="0.35"/>
    <row r="1130" ht="21.9" customHeight="1" x14ac:dyDescent="0.35"/>
    <row r="1131" ht="21.9" customHeight="1" x14ac:dyDescent="0.35"/>
    <row r="1132" ht="21.9" customHeight="1" x14ac:dyDescent="0.35"/>
    <row r="1133" ht="21.9" customHeight="1" x14ac:dyDescent="0.35"/>
    <row r="1134" ht="21.9" customHeight="1" x14ac:dyDescent="0.35"/>
    <row r="1135" ht="21.9" customHeight="1" x14ac:dyDescent="0.35"/>
    <row r="1136" ht="21.9" customHeight="1" x14ac:dyDescent="0.35"/>
    <row r="1137" ht="21.9" customHeight="1" x14ac:dyDescent="0.35"/>
    <row r="1138" ht="21.9" customHeight="1" x14ac:dyDescent="0.35"/>
    <row r="1139" ht="21.9" customHeight="1" x14ac:dyDescent="0.35"/>
    <row r="1140" ht="21.9" customHeight="1" x14ac:dyDescent="0.35"/>
    <row r="1141" ht="21.9" customHeight="1" x14ac:dyDescent="0.35"/>
    <row r="1142" ht="21.9" customHeight="1" x14ac:dyDescent="0.35"/>
    <row r="1143" ht="21.9" customHeight="1" x14ac:dyDescent="0.35"/>
    <row r="1144" ht="21.9" customHeight="1" x14ac:dyDescent="0.35"/>
    <row r="1145" ht="21.9" customHeight="1" x14ac:dyDescent="0.35"/>
    <row r="1146" ht="21.9" customHeight="1" x14ac:dyDescent="0.35"/>
    <row r="1147" ht="21.9" customHeight="1" x14ac:dyDescent="0.35"/>
    <row r="1148" ht="21.9" customHeight="1" x14ac:dyDescent="0.35"/>
    <row r="1149" ht="21.9" customHeight="1" x14ac:dyDescent="0.35"/>
    <row r="1150" ht="21.9" customHeight="1" x14ac:dyDescent="0.35"/>
    <row r="1151" ht="21.9" customHeight="1" x14ac:dyDescent="0.35"/>
    <row r="1152" ht="21.9" customHeight="1" x14ac:dyDescent="0.35"/>
    <row r="1153" ht="21.9" customHeight="1" x14ac:dyDescent="0.35"/>
    <row r="1154" ht="21.9" customHeight="1" x14ac:dyDescent="0.35"/>
    <row r="1155" ht="21.9" customHeight="1" x14ac:dyDescent="0.35"/>
    <row r="1156" ht="21.9" customHeight="1" x14ac:dyDescent="0.35"/>
    <row r="1157" ht="21.9" customHeight="1" x14ac:dyDescent="0.35"/>
    <row r="1158" ht="21.9" customHeight="1" x14ac:dyDescent="0.35"/>
    <row r="1159" ht="21.9" customHeight="1" x14ac:dyDescent="0.35"/>
    <row r="1160" ht="21.9" customHeight="1" x14ac:dyDescent="0.35"/>
    <row r="1161" ht="21.9" customHeight="1" x14ac:dyDescent="0.35"/>
    <row r="1162" ht="21.9" customHeight="1" x14ac:dyDescent="0.35"/>
    <row r="1163" ht="21.9" customHeight="1" x14ac:dyDescent="0.35"/>
    <row r="1164" ht="21.9" customHeight="1" x14ac:dyDescent="0.35"/>
    <row r="1165" ht="21.9" customHeight="1" x14ac:dyDescent="0.35"/>
    <row r="1166" ht="21.9" customHeight="1" x14ac:dyDescent="0.35"/>
    <row r="1167" ht="21.9" customHeight="1" x14ac:dyDescent="0.35"/>
    <row r="1168" ht="21.9" customHeight="1" x14ac:dyDescent="0.35"/>
    <row r="1169" ht="21.9" customHeight="1" x14ac:dyDescent="0.35"/>
    <row r="1170" ht="21.9" customHeight="1" x14ac:dyDescent="0.35"/>
    <row r="1171" ht="21.9" customHeight="1" x14ac:dyDescent="0.35"/>
    <row r="1172" ht="21.9" customHeight="1" x14ac:dyDescent="0.35"/>
    <row r="1173" ht="21.9" customHeight="1" x14ac:dyDescent="0.35"/>
    <row r="1174" ht="21.9" customHeight="1" x14ac:dyDescent="0.35"/>
    <row r="1175" ht="21.9" customHeight="1" x14ac:dyDescent="0.35"/>
    <row r="1176" ht="21.9" customHeight="1" x14ac:dyDescent="0.35"/>
    <row r="1177" ht="21.9" customHeight="1" x14ac:dyDescent="0.35"/>
    <row r="1178" ht="21.9" customHeight="1" x14ac:dyDescent="0.35"/>
    <row r="1179" ht="21.9" customHeight="1" x14ac:dyDescent="0.35"/>
    <row r="1180" ht="21.9" customHeight="1" x14ac:dyDescent="0.35"/>
    <row r="1181" ht="21.9" customHeight="1" x14ac:dyDescent="0.35"/>
    <row r="1182" ht="21.9" customHeight="1" x14ac:dyDescent="0.35"/>
    <row r="1183" ht="21.9" customHeight="1" x14ac:dyDescent="0.35"/>
    <row r="1184" ht="21.9" customHeight="1" x14ac:dyDescent="0.35"/>
    <row r="1185" ht="21.9" customHeight="1" x14ac:dyDescent="0.35"/>
    <row r="1186" ht="21.9" customHeight="1" x14ac:dyDescent="0.35"/>
    <row r="1187" ht="21.9" customHeight="1" x14ac:dyDescent="0.35"/>
    <row r="1188" ht="21.9" customHeight="1" x14ac:dyDescent="0.35"/>
    <row r="1189" ht="21.9" customHeight="1" x14ac:dyDescent="0.35"/>
    <row r="1190" ht="21.9" customHeight="1" x14ac:dyDescent="0.35"/>
    <row r="1191" ht="21.9" customHeight="1" x14ac:dyDescent="0.35"/>
    <row r="1192" ht="21.9" customHeight="1" x14ac:dyDescent="0.35"/>
    <row r="1193" ht="21.9" customHeight="1" x14ac:dyDescent="0.35"/>
    <row r="1194" ht="21.9" customHeight="1" x14ac:dyDescent="0.35"/>
    <row r="1195" ht="21.9" customHeight="1" x14ac:dyDescent="0.35"/>
    <row r="1196" ht="21.9" customHeight="1" x14ac:dyDescent="0.35"/>
    <row r="1197" ht="21.9" customHeight="1" x14ac:dyDescent="0.35"/>
    <row r="1198" ht="21.9" customHeight="1" x14ac:dyDescent="0.35"/>
    <row r="1199" ht="21.9" customHeight="1" x14ac:dyDescent="0.35"/>
    <row r="1200" ht="21.9" customHeight="1" x14ac:dyDescent="0.35"/>
    <row r="1201" ht="21.9" customHeight="1" x14ac:dyDescent="0.35"/>
    <row r="1202" ht="21.9" customHeight="1" x14ac:dyDescent="0.35"/>
    <row r="1203" ht="21.9" customHeight="1" x14ac:dyDescent="0.35"/>
    <row r="1204" ht="21.9" customHeight="1" x14ac:dyDescent="0.35"/>
    <row r="1205" ht="21.9" customHeight="1" x14ac:dyDescent="0.35"/>
    <row r="1206" ht="21.9" customHeight="1" x14ac:dyDescent="0.35"/>
    <row r="1207" ht="21.9" customHeight="1" x14ac:dyDescent="0.35"/>
    <row r="1208" ht="21.9" customHeight="1" x14ac:dyDescent="0.35"/>
    <row r="1209" ht="21.9" customHeight="1" x14ac:dyDescent="0.35"/>
    <row r="1210" ht="21.9" customHeight="1" x14ac:dyDescent="0.35"/>
    <row r="1211" ht="21.9" customHeight="1" x14ac:dyDescent="0.35"/>
    <row r="1212" ht="21.9" customHeight="1" x14ac:dyDescent="0.35"/>
    <row r="1213" ht="21.9" customHeight="1" x14ac:dyDescent="0.35"/>
    <row r="1214" ht="21.9" customHeight="1" x14ac:dyDescent="0.35"/>
    <row r="1215" ht="21.9" customHeight="1" x14ac:dyDescent="0.35"/>
    <row r="1216" ht="21.9" customHeight="1" x14ac:dyDescent="0.35"/>
    <row r="1217" ht="21.9" customHeight="1" x14ac:dyDescent="0.35"/>
    <row r="1218" ht="21.9" customHeight="1" x14ac:dyDescent="0.35"/>
    <row r="1219" ht="21.9" customHeight="1" x14ac:dyDescent="0.35"/>
    <row r="1220" ht="21.9" customHeight="1" x14ac:dyDescent="0.35"/>
    <row r="1221" ht="21.9" customHeight="1" x14ac:dyDescent="0.35"/>
    <row r="1222" ht="21.9" customHeight="1" x14ac:dyDescent="0.35"/>
    <row r="1223" ht="21.9" customHeight="1" x14ac:dyDescent="0.35"/>
    <row r="1224" ht="21.9" customHeight="1" x14ac:dyDescent="0.35"/>
    <row r="1225" ht="21.9" customHeight="1" x14ac:dyDescent="0.35"/>
    <row r="1226" ht="21.9" customHeight="1" x14ac:dyDescent="0.35"/>
    <row r="1227" ht="21.9" customHeight="1" x14ac:dyDescent="0.35"/>
    <row r="1228" ht="21.9" customHeight="1" x14ac:dyDescent="0.35"/>
    <row r="1229" ht="21.9" customHeight="1" x14ac:dyDescent="0.35"/>
    <row r="1230" ht="21.9" customHeight="1" x14ac:dyDescent="0.35"/>
    <row r="1231" ht="21.9" customHeight="1" x14ac:dyDescent="0.35"/>
    <row r="1232" ht="21.9" customHeight="1" x14ac:dyDescent="0.35"/>
    <row r="1233" ht="21.9" customHeight="1" x14ac:dyDescent="0.35"/>
    <row r="1234" ht="21.9" customHeight="1" x14ac:dyDescent="0.35"/>
    <row r="1235" ht="21.9" customHeight="1" x14ac:dyDescent="0.35"/>
    <row r="1236" ht="21.9" customHeight="1" x14ac:dyDescent="0.35"/>
    <row r="1237" ht="21.9" customHeight="1" x14ac:dyDescent="0.35"/>
    <row r="1238" ht="21.9" customHeight="1" x14ac:dyDescent="0.35"/>
    <row r="1239" ht="21.9" customHeight="1" x14ac:dyDescent="0.35"/>
    <row r="1240" ht="21.9" customHeight="1" x14ac:dyDescent="0.35"/>
    <row r="1241" ht="21.9" customHeight="1" x14ac:dyDescent="0.35"/>
    <row r="1242" ht="21.9" customHeight="1" x14ac:dyDescent="0.35"/>
    <row r="1243" ht="21.9" customHeight="1" x14ac:dyDescent="0.35"/>
    <row r="1244" ht="21.9" customHeight="1" x14ac:dyDescent="0.35"/>
    <row r="1245" ht="21.9" customHeight="1" x14ac:dyDescent="0.35"/>
    <row r="1246" ht="21.9" customHeight="1" x14ac:dyDescent="0.35"/>
    <row r="1247" ht="21.9" customHeight="1" x14ac:dyDescent="0.35"/>
    <row r="1248" ht="21.9" customHeight="1" x14ac:dyDescent="0.35"/>
    <row r="1249" ht="21.9" customHeight="1" x14ac:dyDescent="0.35"/>
    <row r="1250" ht="21.9" customHeight="1" x14ac:dyDescent="0.35"/>
    <row r="1251" ht="21.9" customHeight="1" x14ac:dyDescent="0.35"/>
    <row r="1252" ht="21.9" customHeight="1" x14ac:dyDescent="0.35"/>
    <row r="1253" ht="21.9" customHeight="1" x14ac:dyDescent="0.35"/>
    <row r="1254" ht="21.9" customHeight="1" x14ac:dyDescent="0.35"/>
    <row r="1255" ht="21.9" customHeight="1" x14ac:dyDescent="0.35"/>
    <row r="1256" ht="21.9" customHeight="1" x14ac:dyDescent="0.35"/>
    <row r="1257" ht="21.9" customHeight="1" x14ac:dyDescent="0.35"/>
    <row r="1258" ht="21.9" customHeight="1" x14ac:dyDescent="0.35"/>
    <row r="1259" ht="21.9" customHeight="1" x14ac:dyDescent="0.35"/>
    <row r="1260" ht="21.9" customHeight="1" x14ac:dyDescent="0.35"/>
    <row r="1261" ht="21.9" customHeight="1" x14ac:dyDescent="0.35"/>
    <row r="1262" ht="21.9" customHeight="1" x14ac:dyDescent="0.35"/>
    <row r="1263" ht="21.9" customHeight="1" x14ac:dyDescent="0.35"/>
    <row r="1264" ht="21.9" customHeight="1" x14ac:dyDescent="0.35"/>
    <row r="1265" ht="21.9" customHeight="1" x14ac:dyDescent="0.35"/>
    <row r="1266" ht="21.9" customHeight="1" x14ac:dyDescent="0.35"/>
    <row r="1267" ht="21.9" customHeight="1" x14ac:dyDescent="0.35"/>
    <row r="1268" ht="21.9" customHeight="1" x14ac:dyDescent="0.35"/>
    <row r="1269" ht="21.9" customHeight="1" x14ac:dyDescent="0.35"/>
    <row r="1270" ht="21.9" customHeight="1" x14ac:dyDescent="0.35"/>
    <row r="1271" ht="21.9" customHeight="1" x14ac:dyDescent="0.35"/>
    <row r="1272" ht="21.9" customHeight="1" x14ac:dyDescent="0.35"/>
    <row r="1273" ht="21.9" customHeight="1" x14ac:dyDescent="0.35"/>
    <row r="1274" ht="21.9" customHeight="1" x14ac:dyDescent="0.35"/>
    <row r="1275" ht="21.9" customHeight="1" x14ac:dyDescent="0.35"/>
    <row r="1276" ht="21.9" customHeight="1" x14ac:dyDescent="0.35"/>
    <row r="1277" ht="21.9" customHeight="1" x14ac:dyDescent="0.35"/>
    <row r="1278" ht="21.9" customHeight="1" x14ac:dyDescent="0.35"/>
    <row r="1279" ht="21.9" customHeight="1" x14ac:dyDescent="0.35"/>
    <row r="1280" ht="21.9" customHeight="1" x14ac:dyDescent="0.35"/>
    <row r="1281" ht="21.9" customHeight="1" x14ac:dyDescent="0.35"/>
    <row r="1282" ht="21.9" customHeight="1" x14ac:dyDescent="0.35"/>
    <row r="1283" ht="21.9" customHeight="1" x14ac:dyDescent="0.35"/>
    <row r="1284" ht="21.9" customHeight="1" x14ac:dyDescent="0.35"/>
    <row r="1285" ht="21.9" customHeight="1" x14ac:dyDescent="0.35"/>
    <row r="1286" ht="21.9" customHeight="1" x14ac:dyDescent="0.35"/>
    <row r="1287" ht="21.9" customHeight="1" x14ac:dyDescent="0.35"/>
    <row r="1288" ht="21.9" customHeight="1" x14ac:dyDescent="0.35"/>
    <row r="1289" ht="21.9" customHeight="1" x14ac:dyDescent="0.35"/>
    <row r="1290" ht="21.9" customHeight="1" x14ac:dyDescent="0.35"/>
    <row r="1291" ht="21.9" customHeight="1" x14ac:dyDescent="0.35"/>
    <row r="1292" ht="21.9" customHeight="1" x14ac:dyDescent="0.35"/>
    <row r="1293" ht="21.9" customHeight="1" x14ac:dyDescent="0.35"/>
    <row r="1294" ht="21.9" customHeight="1" x14ac:dyDescent="0.35"/>
    <row r="1295" ht="21.9" customHeight="1" x14ac:dyDescent="0.35"/>
    <row r="1296" ht="21.9" customHeight="1" x14ac:dyDescent="0.35"/>
    <row r="1297" ht="21.9" customHeight="1" x14ac:dyDescent="0.35"/>
    <row r="1298" ht="21.9" customHeight="1" x14ac:dyDescent="0.35"/>
    <row r="1299" ht="21.9" customHeight="1" x14ac:dyDescent="0.35"/>
    <row r="1300" ht="21.9" customHeight="1" x14ac:dyDescent="0.35"/>
    <row r="1301" ht="21.9" customHeight="1" x14ac:dyDescent="0.35"/>
    <row r="1302" ht="21.9" customHeight="1" x14ac:dyDescent="0.35"/>
    <row r="1303" ht="21.9" customHeight="1" x14ac:dyDescent="0.35"/>
    <row r="1304" ht="21.9" customHeight="1" x14ac:dyDescent="0.35"/>
  </sheetData>
  <mergeCells count="8">
    <mergeCell ref="B38:C38"/>
    <mergeCell ref="C2:D2"/>
    <mergeCell ref="B3:B4"/>
    <mergeCell ref="I5:J6"/>
    <mergeCell ref="C3:J4"/>
    <mergeCell ref="C5:D6"/>
    <mergeCell ref="E5:F6"/>
    <mergeCell ref="G5:H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  <rowBreaks count="1" manualBreakCount="1">
    <brk id="3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A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75" customWidth="1"/>
    <col min="2" max="2" width="62.5546875" style="95" customWidth="1"/>
    <col min="3" max="4" width="24.5546875" style="94" customWidth="1"/>
    <col min="5" max="8" width="24.5546875" style="77" customWidth="1"/>
    <col min="9" max="10" width="24.5546875" style="75" customWidth="1"/>
    <col min="11" max="16384" width="9.109375" style="75"/>
  </cols>
  <sheetData>
    <row r="1" spans="1:53" ht="78" customHeight="1" x14ac:dyDescent="0.3">
      <c r="A1" s="257" t="s">
        <v>93</v>
      </c>
      <c r="B1" s="258" t="s">
        <v>94</v>
      </c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53" ht="20.399999999999999" customHeight="1" x14ac:dyDescent="0.3">
      <c r="B2" s="76"/>
      <c r="C2" s="360"/>
      <c r="D2" s="360"/>
      <c r="F2" s="78"/>
      <c r="G2" s="79"/>
      <c r="I2" s="80"/>
      <c r="J2" s="81" t="s">
        <v>55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</row>
    <row r="3" spans="1:53" s="77" customFormat="1" ht="15" customHeight="1" x14ac:dyDescent="0.3">
      <c r="A3" s="99"/>
      <c r="B3" s="361" t="s">
        <v>1</v>
      </c>
      <c r="C3" s="348" t="s">
        <v>65</v>
      </c>
      <c r="D3" s="349"/>
      <c r="E3" s="349"/>
      <c r="F3" s="349"/>
      <c r="G3" s="349"/>
      <c r="H3" s="349"/>
      <c r="I3" s="349"/>
      <c r="J3" s="350"/>
    </row>
    <row r="4" spans="1:53" s="77" customFormat="1" ht="15" customHeight="1" x14ac:dyDescent="0.3">
      <c r="A4" s="100"/>
      <c r="B4" s="362"/>
      <c r="C4" s="351"/>
      <c r="D4" s="352"/>
      <c r="E4" s="352"/>
      <c r="F4" s="352"/>
      <c r="G4" s="352"/>
      <c r="H4" s="352"/>
      <c r="I4" s="352"/>
      <c r="J4" s="353"/>
    </row>
    <row r="5" spans="1:53" s="77" customFormat="1" ht="3.6" customHeight="1" x14ac:dyDescent="0.3">
      <c r="A5" s="100"/>
      <c r="B5" s="69"/>
      <c r="C5" s="354" t="s">
        <v>3</v>
      </c>
      <c r="D5" s="354"/>
      <c r="E5" s="354" t="s">
        <v>5</v>
      </c>
      <c r="F5" s="354"/>
      <c r="G5" s="354" t="s">
        <v>6</v>
      </c>
      <c r="H5" s="354"/>
      <c r="I5" s="341" t="s">
        <v>7</v>
      </c>
      <c r="J5" s="341"/>
    </row>
    <row r="6" spans="1:53" s="77" customFormat="1" ht="32.4" customHeight="1" x14ac:dyDescent="0.3">
      <c r="A6" s="100"/>
      <c r="B6" s="69"/>
      <c r="C6" s="355"/>
      <c r="D6" s="355"/>
      <c r="E6" s="355"/>
      <c r="F6" s="355"/>
      <c r="G6" s="355"/>
      <c r="H6" s="355"/>
      <c r="I6" s="337"/>
      <c r="J6" s="337"/>
    </row>
    <row r="7" spans="1:53" s="82" customFormat="1" ht="89.1" customHeight="1" x14ac:dyDescent="0.3">
      <c r="A7" s="101"/>
      <c r="B7" s="70"/>
      <c r="C7" s="212" t="s">
        <v>2</v>
      </c>
      <c r="D7" s="220" t="s">
        <v>75</v>
      </c>
      <c r="E7" s="212" t="s">
        <v>2</v>
      </c>
      <c r="F7" s="220" t="s">
        <v>75</v>
      </c>
      <c r="G7" s="212" t="s">
        <v>2</v>
      </c>
      <c r="H7" s="220" t="s">
        <v>75</v>
      </c>
      <c r="I7" s="213" t="s">
        <v>2</v>
      </c>
      <c r="J7" s="220" t="s">
        <v>75</v>
      </c>
    </row>
    <row r="8" spans="1:53" s="84" customFormat="1" ht="50.1" customHeight="1" x14ac:dyDescent="0.3">
      <c r="A8" s="162" t="s">
        <v>34</v>
      </c>
      <c r="B8" s="163" t="s">
        <v>11</v>
      </c>
      <c r="C8" s="393">
        <f>C9+C20+C23</f>
        <v>100130</v>
      </c>
      <c r="D8" s="393">
        <v>114157</v>
      </c>
      <c r="E8" s="393">
        <v>192168</v>
      </c>
      <c r="F8" s="393">
        <v>218169</v>
      </c>
      <c r="G8" s="393">
        <v>291124</v>
      </c>
      <c r="H8" s="393">
        <v>331741</v>
      </c>
      <c r="I8" s="394">
        <v>491488</v>
      </c>
      <c r="J8" s="139" t="s">
        <v>66</v>
      </c>
      <c r="K8" s="83"/>
      <c r="L8" s="83"/>
      <c r="M8" s="83"/>
    </row>
    <row r="9" spans="1:53" s="84" customFormat="1" ht="50.1" customHeight="1" x14ac:dyDescent="0.3">
      <c r="A9" s="164" t="s">
        <v>35</v>
      </c>
      <c r="B9" s="165" t="s">
        <v>12</v>
      </c>
      <c r="C9" s="395">
        <f>C10+C16+C17+C18+C19</f>
        <v>64477</v>
      </c>
      <c r="D9" s="395">
        <v>64477</v>
      </c>
      <c r="E9" s="395">
        <v>137948</v>
      </c>
      <c r="F9" s="395">
        <v>137948</v>
      </c>
      <c r="G9" s="395">
        <v>212439</v>
      </c>
      <c r="H9" s="395">
        <v>212439</v>
      </c>
      <c r="I9" s="396">
        <v>352315</v>
      </c>
      <c r="J9" s="139" t="s">
        <v>66</v>
      </c>
      <c r="K9" s="83"/>
      <c r="L9" s="83"/>
      <c r="M9" s="83"/>
    </row>
    <row r="10" spans="1:53" s="84" customFormat="1" ht="50.1" customHeight="1" x14ac:dyDescent="0.3">
      <c r="A10" s="166" t="s">
        <v>36</v>
      </c>
      <c r="B10" s="167" t="s">
        <v>82</v>
      </c>
      <c r="C10" s="395">
        <f>C11+C12+C13+C14+C15</f>
        <v>23611</v>
      </c>
      <c r="D10" s="395">
        <v>23611</v>
      </c>
      <c r="E10" s="395">
        <v>45745</v>
      </c>
      <c r="F10" s="395">
        <v>45745</v>
      </c>
      <c r="G10" s="395">
        <v>70061</v>
      </c>
      <c r="H10" s="395">
        <v>70061</v>
      </c>
      <c r="I10" s="397">
        <v>144743</v>
      </c>
      <c r="J10" s="139" t="s">
        <v>66</v>
      </c>
      <c r="K10" s="83"/>
      <c r="L10" s="83"/>
      <c r="M10" s="83"/>
    </row>
    <row r="11" spans="1:53" ht="50.1" customHeight="1" x14ac:dyDescent="0.3">
      <c r="A11" s="168" t="s">
        <v>37</v>
      </c>
      <c r="B11" s="169" t="s">
        <v>13</v>
      </c>
      <c r="C11" s="398">
        <v>0</v>
      </c>
      <c r="D11" s="398">
        <v>0</v>
      </c>
      <c r="E11" s="398">
        <v>0</v>
      </c>
      <c r="F11" s="398">
        <v>0</v>
      </c>
      <c r="G11" s="398">
        <v>0</v>
      </c>
      <c r="H11" s="398">
        <v>0</v>
      </c>
      <c r="I11" s="399">
        <v>37313</v>
      </c>
      <c r="J11" s="147" t="s">
        <v>66</v>
      </c>
      <c r="K11" s="82"/>
      <c r="L11" s="82"/>
      <c r="M11" s="82"/>
    </row>
    <row r="12" spans="1:53" ht="50.1" customHeight="1" x14ac:dyDescent="0.3">
      <c r="A12" s="168" t="s">
        <v>38</v>
      </c>
      <c r="B12" s="169" t="s">
        <v>14</v>
      </c>
      <c r="C12" s="398">
        <v>4000</v>
      </c>
      <c r="D12" s="398">
        <v>4000</v>
      </c>
      <c r="E12" s="398">
        <v>6400</v>
      </c>
      <c r="F12" s="398">
        <v>6400</v>
      </c>
      <c r="G12" s="398">
        <v>9600</v>
      </c>
      <c r="H12" s="398">
        <v>9600</v>
      </c>
      <c r="I12" s="399">
        <v>14903</v>
      </c>
      <c r="J12" s="147" t="s">
        <v>66</v>
      </c>
      <c r="K12" s="82"/>
      <c r="L12" s="82"/>
      <c r="M12" s="82"/>
    </row>
    <row r="13" spans="1:53" ht="50.1" customHeight="1" x14ac:dyDescent="0.3">
      <c r="A13" s="168" t="s">
        <v>39</v>
      </c>
      <c r="B13" s="169" t="s">
        <v>15</v>
      </c>
      <c r="C13" s="398">
        <v>7245</v>
      </c>
      <c r="D13" s="398">
        <v>7245</v>
      </c>
      <c r="E13" s="398">
        <v>7245</v>
      </c>
      <c r="F13" s="398">
        <v>7245</v>
      </c>
      <c r="G13" s="398">
        <v>11245</v>
      </c>
      <c r="H13" s="398">
        <v>11245</v>
      </c>
      <c r="I13" s="399">
        <v>13245</v>
      </c>
      <c r="J13" s="147" t="s">
        <v>66</v>
      </c>
      <c r="K13" s="82"/>
      <c r="L13" s="82"/>
      <c r="M13" s="82"/>
    </row>
    <row r="14" spans="1:53" ht="50.1" customHeight="1" x14ac:dyDescent="0.3">
      <c r="A14" s="168" t="s">
        <v>40</v>
      </c>
      <c r="B14" s="169" t="s">
        <v>16</v>
      </c>
      <c r="C14" s="398">
        <v>4722</v>
      </c>
      <c r="D14" s="398">
        <v>4722</v>
      </c>
      <c r="E14" s="398">
        <v>14458</v>
      </c>
      <c r="F14" s="398">
        <v>14458</v>
      </c>
      <c r="G14" s="398">
        <v>20197</v>
      </c>
      <c r="H14" s="398">
        <v>20197</v>
      </c>
      <c r="I14" s="399">
        <v>36926</v>
      </c>
      <c r="J14" s="147" t="s">
        <v>66</v>
      </c>
      <c r="K14" s="82"/>
      <c r="L14" s="82"/>
      <c r="M14" s="82"/>
    </row>
    <row r="15" spans="1:53" ht="50.1" customHeight="1" x14ac:dyDescent="0.3">
      <c r="A15" s="168" t="s">
        <v>63</v>
      </c>
      <c r="B15" s="169" t="s">
        <v>17</v>
      </c>
      <c r="C15" s="398">
        <v>7644</v>
      </c>
      <c r="D15" s="398">
        <v>7644</v>
      </c>
      <c r="E15" s="398">
        <v>17642</v>
      </c>
      <c r="F15" s="398">
        <v>17642</v>
      </c>
      <c r="G15" s="398">
        <v>29019</v>
      </c>
      <c r="H15" s="398">
        <v>29019</v>
      </c>
      <c r="I15" s="399">
        <v>42356</v>
      </c>
      <c r="J15" s="147" t="s">
        <v>66</v>
      </c>
      <c r="K15" s="82"/>
      <c r="L15" s="82"/>
      <c r="M15" s="82"/>
    </row>
    <row r="16" spans="1:53" s="84" customFormat="1" ht="50.1" customHeight="1" x14ac:dyDescent="0.3">
      <c r="A16" s="166" t="s">
        <v>41</v>
      </c>
      <c r="B16" s="167" t="s">
        <v>18</v>
      </c>
      <c r="C16" s="395">
        <v>5869</v>
      </c>
      <c r="D16" s="395">
        <v>5869</v>
      </c>
      <c r="E16" s="395">
        <v>12119</v>
      </c>
      <c r="F16" s="395">
        <v>12119</v>
      </c>
      <c r="G16" s="395">
        <v>19934</v>
      </c>
      <c r="H16" s="395">
        <v>19934</v>
      </c>
      <c r="I16" s="397">
        <v>27990</v>
      </c>
      <c r="J16" s="139" t="s">
        <v>66</v>
      </c>
      <c r="K16" s="83"/>
      <c r="L16" s="83"/>
      <c r="M16" s="83"/>
    </row>
    <row r="17" spans="1:13" s="84" customFormat="1" ht="50.1" customHeight="1" x14ac:dyDescent="0.3">
      <c r="A17" s="166" t="s">
        <v>42</v>
      </c>
      <c r="B17" s="167" t="s">
        <v>19</v>
      </c>
      <c r="C17" s="395">
        <v>29856</v>
      </c>
      <c r="D17" s="395">
        <v>29856</v>
      </c>
      <c r="E17" s="395">
        <v>64637</v>
      </c>
      <c r="F17" s="395">
        <v>64637</v>
      </c>
      <c r="G17" s="395">
        <v>99954</v>
      </c>
      <c r="H17" s="395">
        <v>99954</v>
      </c>
      <c r="I17" s="397">
        <v>140525</v>
      </c>
      <c r="J17" s="139" t="s">
        <v>66</v>
      </c>
      <c r="K17" s="83"/>
      <c r="L17" s="83"/>
      <c r="M17" s="83"/>
    </row>
    <row r="18" spans="1:13" s="84" customFormat="1" ht="50.1" customHeight="1" x14ac:dyDescent="0.3">
      <c r="A18" s="166" t="s">
        <v>43</v>
      </c>
      <c r="B18" s="167" t="s">
        <v>20</v>
      </c>
      <c r="C18" s="395">
        <v>5141</v>
      </c>
      <c r="D18" s="395">
        <v>5141</v>
      </c>
      <c r="E18" s="395">
        <v>11254</v>
      </c>
      <c r="F18" s="395">
        <v>11254</v>
      </c>
      <c r="G18" s="395">
        <v>16162</v>
      </c>
      <c r="H18" s="395">
        <v>16162</v>
      </c>
      <c r="I18" s="397">
        <v>28091</v>
      </c>
      <c r="J18" s="139" t="s">
        <v>66</v>
      </c>
      <c r="K18" s="83"/>
      <c r="L18" s="83"/>
      <c r="M18" s="83"/>
    </row>
    <row r="19" spans="1:13" s="84" customFormat="1" ht="50.1" customHeight="1" x14ac:dyDescent="0.3">
      <c r="A19" s="166" t="s">
        <v>44</v>
      </c>
      <c r="B19" s="167" t="s">
        <v>21</v>
      </c>
      <c r="C19" s="395">
        <v>0</v>
      </c>
      <c r="D19" s="395">
        <v>0</v>
      </c>
      <c r="E19" s="395">
        <v>4193</v>
      </c>
      <c r="F19" s="395">
        <v>4193</v>
      </c>
      <c r="G19" s="395">
        <v>6328</v>
      </c>
      <c r="H19" s="395">
        <v>6328</v>
      </c>
      <c r="I19" s="397">
        <v>10966</v>
      </c>
      <c r="J19" s="139" t="s">
        <v>66</v>
      </c>
      <c r="K19" s="83"/>
      <c r="L19" s="83"/>
      <c r="M19" s="83"/>
    </row>
    <row r="20" spans="1:13" s="84" customFormat="1" ht="50.1" customHeight="1" x14ac:dyDescent="0.3">
      <c r="A20" s="170" t="s">
        <v>45</v>
      </c>
      <c r="B20" s="165" t="s">
        <v>22</v>
      </c>
      <c r="C20" s="395">
        <v>2572</v>
      </c>
      <c r="D20" s="395">
        <v>2572</v>
      </c>
      <c r="E20" s="395">
        <v>2684</v>
      </c>
      <c r="F20" s="395">
        <v>2684</v>
      </c>
      <c r="G20" s="395">
        <v>3287</v>
      </c>
      <c r="H20" s="395">
        <v>3287</v>
      </c>
      <c r="I20" s="396">
        <v>3543</v>
      </c>
      <c r="J20" s="139" t="s">
        <v>66</v>
      </c>
      <c r="K20" s="83"/>
      <c r="L20" s="83"/>
      <c r="M20" s="83"/>
    </row>
    <row r="21" spans="1:13" s="85" customFormat="1" ht="50.1" customHeight="1" x14ac:dyDescent="0.25">
      <c r="A21" s="171" t="s">
        <v>46</v>
      </c>
      <c r="B21" s="172" t="s">
        <v>23</v>
      </c>
      <c r="C21" s="398">
        <v>2562</v>
      </c>
      <c r="D21" s="398">
        <v>2562</v>
      </c>
      <c r="E21" s="398">
        <v>2694</v>
      </c>
      <c r="F21" s="398">
        <v>2694</v>
      </c>
      <c r="G21" s="398">
        <v>2662</v>
      </c>
      <c r="H21" s="398">
        <v>2662</v>
      </c>
      <c r="I21" s="202" t="s">
        <v>66</v>
      </c>
      <c r="J21" s="147" t="s">
        <v>66</v>
      </c>
    </row>
    <row r="22" spans="1:13" s="85" customFormat="1" ht="50.1" customHeight="1" x14ac:dyDescent="0.25">
      <c r="A22" s="171" t="s">
        <v>47</v>
      </c>
      <c r="B22" s="172" t="s">
        <v>24</v>
      </c>
      <c r="C22" s="398">
        <v>10</v>
      </c>
      <c r="D22" s="398">
        <v>10</v>
      </c>
      <c r="E22" s="398">
        <v>-10</v>
      </c>
      <c r="F22" s="398">
        <v>-10</v>
      </c>
      <c r="G22" s="398">
        <v>625</v>
      </c>
      <c r="H22" s="398">
        <v>625</v>
      </c>
      <c r="I22" s="202" t="s">
        <v>66</v>
      </c>
      <c r="J22" s="147" t="s">
        <v>66</v>
      </c>
    </row>
    <row r="23" spans="1:13" s="84" customFormat="1" ht="50.1" customHeight="1" x14ac:dyDescent="0.3">
      <c r="A23" s="164" t="s">
        <v>48</v>
      </c>
      <c r="B23" s="165" t="s">
        <v>25</v>
      </c>
      <c r="C23" s="395">
        <f>C24+C32+C33+C34</f>
        <v>33081</v>
      </c>
      <c r="D23" s="395">
        <v>47108</v>
      </c>
      <c r="E23" s="395">
        <v>51536</v>
      </c>
      <c r="F23" s="395">
        <v>77537</v>
      </c>
      <c r="G23" s="395">
        <v>75398</v>
      </c>
      <c r="H23" s="395">
        <v>116015</v>
      </c>
      <c r="I23" s="396">
        <v>135630</v>
      </c>
      <c r="J23" s="139" t="s">
        <v>66</v>
      </c>
      <c r="K23" s="83"/>
      <c r="L23" s="83"/>
      <c r="M23" s="83"/>
    </row>
    <row r="24" spans="1:13" s="84" customFormat="1" ht="50.1" customHeight="1" x14ac:dyDescent="0.3">
      <c r="A24" s="166" t="s">
        <v>100</v>
      </c>
      <c r="B24" s="167" t="s">
        <v>26</v>
      </c>
      <c r="C24" s="395">
        <f>C25+C26+C27+C28+C29+C30+C31</f>
        <v>26012</v>
      </c>
      <c r="D24" s="395">
        <v>27344</v>
      </c>
      <c r="E24" s="395">
        <v>33817</v>
      </c>
      <c r="F24" s="395">
        <v>36671</v>
      </c>
      <c r="G24" s="395">
        <v>44982</v>
      </c>
      <c r="H24" s="395">
        <v>49084</v>
      </c>
      <c r="I24" s="396">
        <v>69452</v>
      </c>
      <c r="J24" s="139" t="s">
        <v>66</v>
      </c>
      <c r="K24" s="83"/>
      <c r="L24" s="83"/>
      <c r="M24" s="83"/>
    </row>
    <row r="25" spans="1:13" ht="50.1" customHeight="1" x14ac:dyDescent="0.3">
      <c r="A25" s="168" t="s">
        <v>37</v>
      </c>
      <c r="B25" s="169" t="s">
        <v>13</v>
      </c>
      <c r="C25" s="398">
        <v>0</v>
      </c>
      <c r="D25" s="398">
        <v>0</v>
      </c>
      <c r="E25" s="398">
        <v>0</v>
      </c>
      <c r="F25" s="398">
        <v>0</v>
      </c>
      <c r="G25" s="398">
        <v>0</v>
      </c>
      <c r="H25" s="398">
        <v>0</v>
      </c>
      <c r="I25" s="202">
        <v>7820</v>
      </c>
      <c r="J25" s="147" t="s">
        <v>66</v>
      </c>
      <c r="K25" s="82"/>
      <c r="L25" s="82"/>
      <c r="M25" s="82"/>
    </row>
    <row r="26" spans="1:13" ht="50.1" customHeight="1" x14ac:dyDescent="0.3">
      <c r="A26" s="168" t="s">
        <v>49</v>
      </c>
      <c r="B26" s="169" t="s">
        <v>14</v>
      </c>
      <c r="C26" s="398">
        <v>4502</v>
      </c>
      <c r="D26" s="398">
        <v>4502</v>
      </c>
      <c r="E26" s="398">
        <v>8558</v>
      </c>
      <c r="F26" s="398">
        <v>8558</v>
      </c>
      <c r="G26" s="398">
        <v>12028</v>
      </c>
      <c r="H26" s="398">
        <v>12028</v>
      </c>
      <c r="I26" s="202">
        <v>14755</v>
      </c>
      <c r="J26" s="147" t="s">
        <v>66</v>
      </c>
      <c r="K26" s="82"/>
      <c r="L26" s="82"/>
      <c r="M26" s="82"/>
    </row>
    <row r="27" spans="1:13" s="87" customFormat="1" ht="50.1" customHeight="1" x14ac:dyDescent="0.3">
      <c r="A27" s="168" t="s">
        <v>39</v>
      </c>
      <c r="B27" s="169" t="s">
        <v>15</v>
      </c>
      <c r="C27" s="398">
        <v>19460</v>
      </c>
      <c r="D27" s="398">
        <v>19460</v>
      </c>
      <c r="E27" s="398">
        <v>21960</v>
      </c>
      <c r="F27" s="398">
        <v>21960</v>
      </c>
      <c r="G27" s="398">
        <v>26960</v>
      </c>
      <c r="H27" s="398">
        <v>26960</v>
      </c>
      <c r="I27" s="202">
        <v>29462</v>
      </c>
      <c r="J27" s="147" t="s">
        <v>66</v>
      </c>
      <c r="K27" s="86"/>
      <c r="L27" s="86"/>
      <c r="M27" s="86"/>
    </row>
    <row r="28" spans="1:13" s="87" customFormat="1" ht="50.1" customHeight="1" x14ac:dyDescent="0.3">
      <c r="A28" s="168" t="s">
        <v>50</v>
      </c>
      <c r="B28" s="169" t="s">
        <v>27</v>
      </c>
      <c r="C28" s="398">
        <v>974</v>
      </c>
      <c r="D28" s="398">
        <v>974</v>
      </c>
      <c r="E28" s="398">
        <v>1976</v>
      </c>
      <c r="F28" s="398">
        <v>1976</v>
      </c>
      <c r="G28" s="398">
        <v>3171</v>
      </c>
      <c r="H28" s="398">
        <v>3171</v>
      </c>
      <c r="I28" s="202">
        <v>7820</v>
      </c>
      <c r="J28" s="147" t="s">
        <v>66</v>
      </c>
      <c r="K28" s="86"/>
      <c r="L28" s="86"/>
      <c r="M28" s="86"/>
    </row>
    <row r="29" spans="1:13" ht="50.1" customHeight="1" x14ac:dyDescent="0.3">
      <c r="A29" s="168" t="s">
        <v>51</v>
      </c>
      <c r="B29" s="169" t="s">
        <v>28</v>
      </c>
      <c r="C29" s="398">
        <v>607</v>
      </c>
      <c r="D29" s="398">
        <v>607</v>
      </c>
      <c r="E29" s="398">
        <v>196</v>
      </c>
      <c r="F29" s="398">
        <v>760</v>
      </c>
      <c r="G29" s="398">
        <v>948</v>
      </c>
      <c r="H29" s="398">
        <v>948</v>
      </c>
      <c r="I29" s="202">
        <v>2272</v>
      </c>
      <c r="J29" s="147" t="s">
        <v>66</v>
      </c>
      <c r="K29" s="82"/>
      <c r="L29" s="82"/>
      <c r="M29" s="82"/>
    </row>
    <row r="30" spans="1:13" ht="50.1" customHeight="1" x14ac:dyDescent="0.3">
      <c r="A30" s="173" t="s">
        <v>52</v>
      </c>
      <c r="B30" s="169" t="s">
        <v>29</v>
      </c>
      <c r="C30" s="398">
        <v>0</v>
      </c>
      <c r="D30" s="398">
        <v>0</v>
      </c>
      <c r="E30" s="398">
        <v>0</v>
      </c>
      <c r="F30" s="398">
        <v>0</v>
      </c>
      <c r="G30" s="398">
        <v>0</v>
      </c>
      <c r="H30" s="398">
        <v>0</v>
      </c>
      <c r="I30" s="202">
        <v>74</v>
      </c>
      <c r="J30" s="147" t="s">
        <v>66</v>
      </c>
      <c r="K30" s="82"/>
      <c r="L30" s="82"/>
      <c r="M30" s="82"/>
    </row>
    <row r="31" spans="1:13" s="87" customFormat="1" ht="50.1" customHeight="1" x14ac:dyDescent="0.3">
      <c r="A31" s="168" t="s">
        <v>53</v>
      </c>
      <c r="B31" s="169" t="s">
        <v>0</v>
      </c>
      <c r="C31" s="398">
        <v>469</v>
      </c>
      <c r="D31" s="398">
        <v>1801</v>
      </c>
      <c r="E31" s="398">
        <v>1127</v>
      </c>
      <c r="F31" s="398">
        <v>3417</v>
      </c>
      <c r="G31" s="398">
        <v>1875</v>
      </c>
      <c r="H31" s="398">
        <v>5977</v>
      </c>
      <c r="I31" s="202">
        <v>7249</v>
      </c>
      <c r="J31" s="147" t="s">
        <v>66</v>
      </c>
      <c r="K31" s="86"/>
      <c r="L31" s="86"/>
      <c r="M31" s="86"/>
    </row>
    <row r="32" spans="1:13" s="89" customFormat="1" ht="50.1" customHeight="1" x14ac:dyDescent="0.3">
      <c r="A32" s="175" t="s">
        <v>99</v>
      </c>
      <c r="B32" s="174" t="s">
        <v>30</v>
      </c>
      <c r="C32" s="395">
        <v>4285</v>
      </c>
      <c r="D32" s="395">
        <v>4285</v>
      </c>
      <c r="E32" s="395">
        <v>9777</v>
      </c>
      <c r="F32" s="395">
        <v>9777</v>
      </c>
      <c r="G32" s="395">
        <v>15813</v>
      </c>
      <c r="H32" s="395">
        <v>15813</v>
      </c>
      <c r="I32" s="396">
        <v>29052</v>
      </c>
      <c r="J32" s="139" t="s">
        <v>66</v>
      </c>
      <c r="K32" s="88"/>
      <c r="L32" s="88"/>
      <c r="M32" s="88"/>
    </row>
    <row r="33" spans="1:13" s="89" customFormat="1" ht="50.1" customHeight="1" x14ac:dyDescent="0.3">
      <c r="A33" s="175" t="s">
        <v>54</v>
      </c>
      <c r="B33" s="174" t="s">
        <v>31</v>
      </c>
      <c r="C33" s="395">
        <v>1363</v>
      </c>
      <c r="D33" s="395">
        <v>1363</v>
      </c>
      <c r="E33" s="395">
        <v>3930</v>
      </c>
      <c r="F33" s="395">
        <v>3930</v>
      </c>
      <c r="G33" s="395">
        <v>6580</v>
      </c>
      <c r="H33" s="395">
        <v>6580</v>
      </c>
      <c r="I33" s="395" t="s">
        <v>66</v>
      </c>
      <c r="J33" s="395" t="s">
        <v>66</v>
      </c>
      <c r="K33" s="88"/>
      <c r="L33" s="88"/>
      <c r="M33" s="88"/>
    </row>
    <row r="34" spans="1:13" s="89" customFormat="1" ht="50.1" customHeight="1" x14ac:dyDescent="0.3">
      <c r="A34" s="176" t="s">
        <v>53</v>
      </c>
      <c r="B34" s="177" t="s">
        <v>0</v>
      </c>
      <c r="C34" s="400">
        <v>1421</v>
      </c>
      <c r="D34" s="400">
        <v>14116</v>
      </c>
      <c r="E34" s="400">
        <v>4012</v>
      </c>
      <c r="F34" s="400">
        <v>27159</v>
      </c>
      <c r="G34" s="400">
        <v>8023</v>
      </c>
      <c r="H34" s="400">
        <v>44538</v>
      </c>
      <c r="I34" s="400" t="s">
        <v>66</v>
      </c>
      <c r="J34" s="400" t="s">
        <v>66</v>
      </c>
      <c r="K34" s="88"/>
      <c r="L34" s="88"/>
      <c r="M34" s="88"/>
    </row>
    <row r="35" spans="1:13" s="89" customFormat="1" ht="21.9" customHeight="1" x14ac:dyDescent="0.3">
      <c r="A35" s="110" t="s">
        <v>69</v>
      </c>
      <c r="B35" s="109" t="s">
        <v>70</v>
      </c>
      <c r="C35" s="90"/>
      <c r="D35" s="90"/>
      <c r="E35" s="91"/>
      <c r="F35" s="91"/>
      <c r="G35" s="91"/>
      <c r="H35" s="91"/>
      <c r="I35" s="88"/>
      <c r="J35" s="88"/>
      <c r="K35" s="88"/>
      <c r="L35" s="88"/>
      <c r="M35" s="88"/>
    </row>
    <row r="36" spans="1:13" ht="87.6" customHeight="1" x14ac:dyDescent="0.3">
      <c r="A36" s="92" t="s">
        <v>57</v>
      </c>
      <c r="B36" s="93" t="s">
        <v>56</v>
      </c>
    </row>
    <row r="37" spans="1:13" ht="21.9" customHeight="1" x14ac:dyDescent="0.3">
      <c r="B37" s="214" t="s">
        <v>58</v>
      </c>
    </row>
    <row r="38" spans="1:13" ht="43.35" customHeight="1" x14ac:dyDescent="0.3">
      <c r="A38" s="51" t="s">
        <v>68</v>
      </c>
      <c r="B38" s="329" t="s">
        <v>80</v>
      </c>
      <c r="C38" s="329"/>
    </row>
    <row r="39" spans="1:13" ht="21.9" customHeight="1" x14ac:dyDescent="0.3">
      <c r="A39" s="96" t="s">
        <v>74</v>
      </c>
      <c r="B39" s="48" t="s">
        <v>71</v>
      </c>
    </row>
    <row r="40" spans="1:13" ht="21.9" customHeight="1" x14ac:dyDescent="0.3">
      <c r="B40" s="97"/>
      <c r="C40" s="98"/>
      <c r="D40" s="98"/>
      <c r="E40" s="98"/>
      <c r="F40" s="98"/>
      <c r="G40" s="94"/>
    </row>
    <row r="41" spans="1:13" ht="21.9" customHeight="1" x14ac:dyDescent="0.3"/>
    <row r="42" spans="1:13" ht="21.9" customHeight="1" x14ac:dyDescent="0.3"/>
    <row r="43" spans="1:13" ht="21.9" customHeight="1" x14ac:dyDescent="0.3"/>
    <row r="44" spans="1:13" ht="21.9" customHeight="1" x14ac:dyDescent="0.3"/>
    <row r="45" spans="1:13" ht="21.9" customHeight="1" x14ac:dyDescent="0.3"/>
    <row r="46" spans="1:13" ht="21.9" customHeight="1" x14ac:dyDescent="0.3"/>
    <row r="47" spans="1:13" ht="21.9" customHeight="1" x14ac:dyDescent="0.3"/>
    <row r="48" spans="1:13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3" orientation="landscape" horizontalDpi="4294967295" verticalDpi="4294967295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Y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57" customWidth="1"/>
    <col min="2" max="2" width="62.5546875" style="48" customWidth="1"/>
    <col min="3" max="4" width="24.5546875" style="107" customWidth="1"/>
    <col min="5" max="8" width="24.5546875" style="66" customWidth="1"/>
    <col min="9" max="10" width="24.5546875" style="57" customWidth="1"/>
    <col min="11" max="16384" width="9.109375" style="57"/>
  </cols>
  <sheetData>
    <row r="1" spans="1:51" ht="60" customHeight="1" x14ac:dyDescent="0.3">
      <c r="A1" s="288" t="s">
        <v>93</v>
      </c>
      <c r="B1" s="289" t="s">
        <v>94</v>
      </c>
      <c r="C1" s="111"/>
      <c r="D1" s="111"/>
      <c r="E1" s="111"/>
      <c r="F1" s="111"/>
      <c r="G1" s="111"/>
      <c r="H1" s="111"/>
      <c r="I1" s="111"/>
      <c r="J1" s="111"/>
    </row>
    <row r="2" spans="1:51" ht="28.35" customHeight="1" x14ac:dyDescent="0.3">
      <c r="A2" s="115"/>
      <c r="B2" s="136"/>
      <c r="C2" s="363"/>
      <c r="D2" s="363"/>
      <c r="E2" s="116"/>
      <c r="F2" s="117"/>
      <c r="G2" s="118"/>
      <c r="H2" s="116"/>
      <c r="I2" s="103"/>
      <c r="J2" s="275" t="s">
        <v>55</v>
      </c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</row>
    <row r="3" spans="1:51" s="52" customFormat="1" ht="15" customHeight="1" x14ac:dyDescent="0.3">
      <c r="A3" s="99"/>
      <c r="B3" s="361" t="s">
        <v>1</v>
      </c>
      <c r="C3" s="348" t="s">
        <v>67</v>
      </c>
      <c r="D3" s="349"/>
      <c r="E3" s="349"/>
      <c r="F3" s="349"/>
      <c r="G3" s="349"/>
      <c r="H3" s="349"/>
      <c r="I3" s="349"/>
      <c r="J3" s="349"/>
    </row>
    <row r="4" spans="1:51" s="52" customFormat="1" ht="15" customHeight="1" x14ac:dyDescent="0.3">
      <c r="A4" s="100"/>
      <c r="B4" s="362"/>
      <c r="C4" s="351"/>
      <c r="D4" s="352"/>
      <c r="E4" s="352"/>
      <c r="F4" s="352"/>
      <c r="G4" s="352"/>
      <c r="H4" s="352"/>
      <c r="I4" s="352"/>
      <c r="J4" s="352"/>
    </row>
    <row r="5" spans="1:51" s="52" customFormat="1" ht="15" customHeight="1" x14ac:dyDescent="0.3">
      <c r="A5" s="100"/>
      <c r="B5" s="69"/>
      <c r="C5" s="354" t="s">
        <v>3</v>
      </c>
      <c r="D5" s="354"/>
      <c r="E5" s="354" t="s">
        <v>5</v>
      </c>
      <c r="F5" s="354"/>
      <c r="G5" s="354" t="s">
        <v>6</v>
      </c>
      <c r="H5" s="354"/>
      <c r="I5" s="354" t="s">
        <v>7</v>
      </c>
      <c r="J5" s="354"/>
    </row>
    <row r="6" spans="1:51" s="52" customFormat="1" ht="15" customHeight="1" x14ac:dyDescent="0.3">
      <c r="A6" s="100"/>
      <c r="B6" s="69"/>
      <c r="C6" s="355"/>
      <c r="D6" s="355"/>
      <c r="E6" s="355"/>
      <c r="F6" s="355"/>
      <c r="G6" s="355"/>
      <c r="H6" s="355"/>
      <c r="I6" s="355"/>
      <c r="J6" s="355"/>
    </row>
    <row r="7" spans="1:51" s="53" customFormat="1" ht="99.9" customHeight="1" x14ac:dyDescent="0.4">
      <c r="A7" s="101"/>
      <c r="B7" s="70"/>
      <c r="C7" s="212" t="s">
        <v>2</v>
      </c>
      <c r="D7" s="309" t="s">
        <v>73</v>
      </c>
      <c r="E7" s="212" t="s">
        <v>2</v>
      </c>
      <c r="F7" s="309" t="s">
        <v>73</v>
      </c>
      <c r="G7" s="212" t="s">
        <v>2</v>
      </c>
      <c r="H7" s="309" t="s">
        <v>73</v>
      </c>
      <c r="I7" s="213" t="s">
        <v>2</v>
      </c>
      <c r="J7" s="309" t="s">
        <v>73</v>
      </c>
    </row>
    <row r="8" spans="1:51" s="55" customFormat="1" ht="50.1" customHeight="1" x14ac:dyDescent="0.3">
      <c r="A8" s="178" t="s">
        <v>34</v>
      </c>
      <c r="B8" s="179" t="s">
        <v>11</v>
      </c>
      <c r="C8" s="401">
        <v>96804</v>
      </c>
      <c r="D8" s="180" t="s">
        <v>66</v>
      </c>
      <c r="E8" s="401">
        <v>219848</v>
      </c>
      <c r="F8" s="180" t="s">
        <v>66</v>
      </c>
      <c r="G8" s="402">
        <v>363732</v>
      </c>
      <c r="H8" s="402">
        <v>420839</v>
      </c>
      <c r="I8" s="403">
        <v>659184</v>
      </c>
      <c r="J8" s="180">
        <v>755110</v>
      </c>
      <c r="K8" s="54"/>
    </row>
    <row r="9" spans="1:51" s="55" customFormat="1" ht="50.1" customHeight="1" x14ac:dyDescent="0.3">
      <c r="A9" s="181" t="s">
        <v>35</v>
      </c>
      <c r="B9" s="182" t="s">
        <v>12</v>
      </c>
      <c r="C9" s="404">
        <v>64113</v>
      </c>
      <c r="D9" s="180" t="s">
        <v>66</v>
      </c>
      <c r="E9" s="404">
        <v>154563</v>
      </c>
      <c r="F9" s="180" t="s">
        <v>66</v>
      </c>
      <c r="G9" s="405">
        <v>268956</v>
      </c>
      <c r="H9" s="405">
        <v>268956</v>
      </c>
      <c r="I9" s="406">
        <v>462007</v>
      </c>
      <c r="J9" s="180">
        <v>462007</v>
      </c>
      <c r="K9" s="54"/>
    </row>
    <row r="10" spans="1:51" s="55" customFormat="1" ht="50.1" customHeight="1" x14ac:dyDescent="0.3">
      <c r="A10" s="183" t="s">
        <v>36</v>
      </c>
      <c r="B10" s="184" t="s">
        <v>82</v>
      </c>
      <c r="C10" s="404">
        <v>19998</v>
      </c>
      <c r="D10" s="180" t="s">
        <v>66</v>
      </c>
      <c r="E10" s="404">
        <v>49645</v>
      </c>
      <c r="F10" s="180" t="s">
        <v>66</v>
      </c>
      <c r="G10" s="405">
        <v>82625</v>
      </c>
      <c r="H10" s="405">
        <v>82625</v>
      </c>
      <c r="I10" s="180">
        <v>166897</v>
      </c>
      <c r="J10" s="180">
        <v>166897</v>
      </c>
      <c r="K10" s="54"/>
    </row>
    <row r="11" spans="1:51" ht="50.1" customHeight="1" x14ac:dyDescent="0.3">
      <c r="A11" s="185" t="s">
        <v>37</v>
      </c>
      <c r="B11" s="186" t="s">
        <v>13</v>
      </c>
      <c r="C11" s="407">
        <v>0</v>
      </c>
      <c r="D11" s="187" t="s">
        <v>66</v>
      </c>
      <c r="E11" s="407">
        <v>0</v>
      </c>
      <c r="F11" s="187" t="s">
        <v>66</v>
      </c>
      <c r="G11" s="408">
        <v>5000</v>
      </c>
      <c r="H11" s="408">
        <v>5000</v>
      </c>
      <c r="I11" s="187">
        <v>42464</v>
      </c>
      <c r="J11" s="187">
        <v>42464</v>
      </c>
      <c r="K11" s="56"/>
    </row>
    <row r="12" spans="1:51" ht="50.1" customHeight="1" x14ac:dyDescent="0.3">
      <c r="A12" s="185" t="s">
        <v>38</v>
      </c>
      <c r="B12" s="186" t="s">
        <v>14</v>
      </c>
      <c r="C12" s="407">
        <v>2300</v>
      </c>
      <c r="D12" s="187" t="s">
        <v>66</v>
      </c>
      <c r="E12" s="407">
        <v>8800</v>
      </c>
      <c r="F12" s="187" t="s">
        <v>66</v>
      </c>
      <c r="G12" s="408">
        <v>14800</v>
      </c>
      <c r="H12" s="408">
        <v>14800</v>
      </c>
      <c r="I12" s="187">
        <v>22300</v>
      </c>
      <c r="J12" s="187">
        <v>22300</v>
      </c>
      <c r="K12" s="56"/>
    </row>
    <row r="13" spans="1:51" ht="50.1" customHeight="1" x14ac:dyDescent="0.3">
      <c r="A13" s="185" t="s">
        <v>39</v>
      </c>
      <c r="B13" s="186" t="s">
        <v>15</v>
      </c>
      <c r="C13" s="407">
        <v>3860</v>
      </c>
      <c r="D13" s="187" t="s">
        <v>66</v>
      </c>
      <c r="E13" s="407">
        <v>3860</v>
      </c>
      <c r="F13" s="187" t="s">
        <v>66</v>
      </c>
      <c r="G13" s="408">
        <v>3860</v>
      </c>
      <c r="H13" s="408">
        <v>3860</v>
      </c>
      <c r="I13" s="187">
        <v>3860</v>
      </c>
      <c r="J13" s="187">
        <v>3860</v>
      </c>
      <c r="K13" s="56"/>
    </row>
    <row r="14" spans="1:51" ht="50.1" customHeight="1" x14ac:dyDescent="0.3">
      <c r="A14" s="185" t="s">
        <v>40</v>
      </c>
      <c r="B14" s="186" t="s">
        <v>16</v>
      </c>
      <c r="C14" s="407">
        <v>5252</v>
      </c>
      <c r="D14" s="187" t="s">
        <v>66</v>
      </c>
      <c r="E14" s="407">
        <v>17261</v>
      </c>
      <c r="F14" s="187" t="s">
        <v>66</v>
      </c>
      <c r="G14" s="408">
        <v>25361</v>
      </c>
      <c r="H14" s="408">
        <v>25361</v>
      </c>
      <c r="I14" s="187">
        <v>47259</v>
      </c>
      <c r="J14" s="187">
        <v>47259</v>
      </c>
      <c r="K14" s="56"/>
    </row>
    <row r="15" spans="1:51" ht="50.1" customHeight="1" x14ac:dyDescent="0.3">
      <c r="A15" s="185" t="s">
        <v>63</v>
      </c>
      <c r="B15" s="186" t="s">
        <v>17</v>
      </c>
      <c r="C15" s="407">
        <v>8586</v>
      </c>
      <c r="D15" s="187" t="s">
        <v>66</v>
      </c>
      <c r="E15" s="407">
        <v>19724</v>
      </c>
      <c r="F15" s="187" t="s">
        <v>66</v>
      </c>
      <c r="G15" s="408">
        <v>33604</v>
      </c>
      <c r="H15" s="408">
        <v>33604</v>
      </c>
      <c r="I15" s="187">
        <v>51014</v>
      </c>
      <c r="J15" s="187">
        <v>51014</v>
      </c>
      <c r="K15" s="56"/>
    </row>
    <row r="16" spans="1:51" s="55" customFormat="1" ht="50.1" customHeight="1" x14ac:dyDescent="0.3">
      <c r="A16" s="183" t="s">
        <v>41</v>
      </c>
      <c r="B16" s="184" t="s">
        <v>18</v>
      </c>
      <c r="C16" s="404">
        <v>7927</v>
      </c>
      <c r="D16" s="180" t="s">
        <v>66</v>
      </c>
      <c r="E16" s="404">
        <v>16255</v>
      </c>
      <c r="F16" s="180" t="s">
        <v>66</v>
      </c>
      <c r="G16" s="405">
        <v>23176</v>
      </c>
      <c r="H16" s="405">
        <v>23176</v>
      </c>
      <c r="I16" s="180">
        <v>36539</v>
      </c>
      <c r="J16" s="180">
        <v>36539</v>
      </c>
      <c r="K16" s="54"/>
    </row>
    <row r="17" spans="1:11" s="55" customFormat="1" ht="50.1" customHeight="1" x14ac:dyDescent="0.3">
      <c r="A17" s="183" t="s">
        <v>42</v>
      </c>
      <c r="B17" s="184" t="s">
        <v>19</v>
      </c>
      <c r="C17" s="404">
        <v>31940</v>
      </c>
      <c r="D17" s="180" t="s">
        <v>66</v>
      </c>
      <c r="E17" s="404">
        <v>73901</v>
      </c>
      <c r="F17" s="180" t="s">
        <v>66</v>
      </c>
      <c r="G17" s="405">
        <v>130250</v>
      </c>
      <c r="H17" s="405">
        <v>130250</v>
      </c>
      <c r="I17" s="180">
        <v>208624</v>
      </c>
      <c r="J17" s="180">
        <v>208624</v>
      </c>
      <c r="K17" s="54"/>
    </row>
    <row r="18" spans="1:11" s="55" customFormat="1" ht="50.1" customHeight="1" x14ac:dyDescent="0.3">
      <c r="A18" s="183" t="s">
        <v>43</v>
      </c>
      <c r="B18" s="184" t="s">
        <v>20</v>
      </c>
      <c r="C18" s="404">
        <v>4248</v>
      </c>
      <c r="D18" s="180" t="s">
        <v>66</v>
      </c>
      <c r="E18" s="404">
        <v>10569</v>
      </c>
      <c r="F18" s="180" t="s">
        <v>66</v>
      </c>
      <c r="G18" s="405">
        <v>18345</v>
      </c>
      <c r="H18" s="405">
        <v>18345</v>
      </c>
      <c r="I18" s="180">
        <v>34255</v>
      </c>
      <c r="J18" s="180">
        <v>34255</v>
      </c>
      <c r="K18" s="54"/>
    </row>
    <row r="19" spans="1:11" s="55" customFormat="1" ht="50.1" customHeight="1" x14ac:dyDescent="0.3">
      <c r="A19" s="183" t="s">
        <v>44</v>
      </c>
      <c r="B19" s="184" t="s">
        <v>21</v>
      </c>
      <c r="C19" s="404">
        <v>0</v>
      </c>
      <c r="D19" s="180" t="s">
        <v>66</v>
      </c>
      <c r="E19" s="404">
        <v>4193</v>
      </c>
      <c r="F19" s="180" t="s">
        <v>66</v>
      </c>
      <c r="G19" s="405">
        <v>14560</v>
      </c>
      <c r="H19" s="405">
        <v>14560</v>
      </c>
      <c r="I19" s="180">
        <v>15692</v>
      </c>
      <c r="J19" s="180">
        <v>15692</v>
      </c>
      <c r="K19" s="54"/>
    </row>
    <row r="20" spans="1:11" s="55" customFormat="1" ht="50.1" customHeight="1" x14ac:dyDescent="0.3">
      <c r="A20" s="188" t="s">
        <v>45</v>
      </c>
      <c r="B20" s="182" t="s">
        <v>22</v>
      </c>
      <c r="C20" s="404">
        <v>101</v>
      </c>
      <c r="D20" s="180" t="s">
        <v>66</v>
      </c>
      <c r="E20" s="404">
        <v>299</v>
      </c>
      <c r="F20" s="180" t="s">
        <v>66</v>
      </c>
      <c r="G20" s="405">
        <v>508</v>
      </c>
      <c r="H20" s="405">
        <v>508</v>
      </c>
      <c r="I20" s="406">
        <v>17683</v>
      </c>
      <c r="J20" s="180">
        <v>17683</v>
      </c>
      <c r="K20" s="54"/>
    </row>
    <row r="21" spans="1:11" s="58" customFormat="1" ht="50.1" customHeight="1" x14ac:dyDescent="0.25">
      <c r="A21" s="189" t="s">
        <v>46</v>
      </c>
      <c r="B21" s="190" t="s">
        <v>23</v>
      </c>
      <c r="C21" s="407" t="s">
        <v>66</v>
      </c>
      <c r="D21" s="187" t="s">
        <v>66</v>
      </c>
      <c r="E21" s="407" t="s">
        <v>66</v>
      </c>
      <c r="F21" s="187" t="s">
        <v>66</v>
      </c>
      <c r="G21" s="408">
        <v>275</v>
      </c>
      <c r="H21" s="408">
        <v>275</v>
      </c>
      <c r="I21" s="187">
        <v>368</v>
      </c>
      <c r="J21" s="187">
        <v>368</v>
      </c>
    </row>
    <row r="22" spans="1:11" s="58" customFormat="1" ht="50.1" customHeight="1" x14ac:dyDescent="0.25">
      <c r="A22" s="189" t="s">
        <v>47</v>
      </c>
      <c r="B22" s="190" t="s">
        <v>24</v>
      </c>
      <c r="C22" s="407" t="s">
        <v>66</v>
      </c>
      <c r="D22" s="187" t="s">
        <v>66</v>
      </c>
      <c r="E22" s="407" t="s">
        <v>66</v>
      </c>
      <c r="F22" s="187" t="s">
        <v>66</v>
      </c>
      <c r="G22" s="408">
        <v>233</v>
      </c>
      <c r="H22" s="408">
        <v>233</v>
      </c>
      <c r="I22" s="187">
        <v>17315</v>
      </c>
      <c r="J22" s="187">
        <v>17315</v>
      </c>
    </row>
    <row r="23" spans="1:11" s="55" customFormat="1" ht="50.1" customHeight="1" x14ac:dyDescent="0.3">
      <c r="A23" s="181" t="s">
        <v>48</v>
      </c>
      <c r="B23" s="182" t="s">
        <v>25</v>
      </c>
      <c r="C23" s="404">
        <v>32590</v>
      </c>
      <c r="D23" s="180" t="s">
        <v>66</v>
      </c>
      <c r="E23" s="404">
        <v>64986</v>
      </c>
      <c r="F23" s="180" t="s">
        <v>66</v>
      </c>
      <c r="G23" s="405">
        <v>94268</v>
      </c>
      <c r="H23" s="405">
        <v>151375</v>
      </c>
      <c r="I23" s="180">
        <v>179494</v>
      </c>
      <c r="J23" s="180">
        <v>275420</v>
      </c>
      <c r="K23" s="54"/>
    </row>
    <row r="24" spans="1:11" s="55" customFormat="1" ht="50.1" customHeight="1" x14ac:dyDescent="0.3">
      <c r="A24" s="183" t="s">
        <v>100</v>
      </c>
      <c r="B24" s="184" t="s">
        <v>26</v>
      </c>
      <c r="C24" s="404">
        <v>24832</v>
      </c>
      <c r="D24" s="180" t="s">
        <v>66</v>
      </c>
      <c r="E24" s="404">
        <v>44827</v>
      </c>
      <c r="F24" s="180" t="s">
        <v>66</v>
      </c>
      <c r="G24" s="405">
        <v>61641</v>
      </c>
      <c r="H24" s="405">
        <v>67917</v>
      </c>
      <c r="I24" s="180">
        <v>95199</v>
      </c>
      <c r="J24" s="180">
        <v>111142</v>
      </c>
      <c r="K24" s="54"/>
    </row>
    <row r="25" spans="1:11" ht="50.1" customHeight="1" x14ac:dyDescent="0.3">
      <c r="A25" s="185" t="s">
        <v>37</v>
      </c>
      <c r="B25" s="186" t="s">
        <v>13</v>
      </c>
      <c r="C25" s="407">
        <v>0</v>
      </c>
      <c r="D25" s="187" t="s">
        <v>66</v>
      </c>
      <c r="E25" s="407">
        <v>0</v>
      </c>
      <c r="F25" s="187" t="s">
        <v>66</v>
      </c>
      <c r="G25" s="408">
        <v>910</v>
      </c>
      <c r="H25" s="408">
        <v>910</v>
      </c>
      <c r="I25" s="187">
        <v>5944</v>
      </c>
      <c r="J25" s="187">
        <v>5944</v>
      </c>
      <c r="K25" s="56"/>
    </row>
    <row r="26" spans="1:11" ht="50.1" customHeight="1" x14ac:dyDescent="0.3">
      <c r="A26" s="185" t="s">
        <v>49</v>
      </c>
      <c r="B26" s="186" t="s">
        <v>14</v>
      </c>
      <c r="C26" s="407">
        <v>4751</v>
      </c>
      <c r="D26" s="187" t="s">
        <v>66</v>
      </c>
      <c r="E26" s="407">
        <v>11751</v>
      </c>
      <c r="F26" s="187" t="s">
        <v>66</v>
      </c>
      <c r="G26" s="408">
        <v>19775</v>
      </c>
      <c r="H26" s="408">
        <v>19775</v>
      </c>
      <c r="I26" s="187">
        <v>29381</v>
      </c>
      <c r="J26" s="187">
        <v>29381</v>
      </c>
      <c r="K26" s="56"/>
    </row>
    <row r="27" spans="1:11" s="60" customFormat="1" ht="50.1" customHeight="1" x14ac:dyDescent="0.3">
      <c r="A27" s="185" t="s">
        <v>39</v>
      </c>
      <c r="B27" s="186" t="s">
        <v>15</v>
      </c>
      <c r="C27" s="407">
        <v>14927</v>
      </c>
      <c r="D27" s="187" t="s">
        <v>66</v>
      </c>
      <c r="E27" s="407">
        <v>16927</v>
      </c>
      <c r="F27" s="187" t="s">
        <v>66</v>
      </c>
      <c r="G27" s="408">
        <v>17927</v>
      </c>
      <c r="H27" s="408">
        <v>17927</v>
      </c>
      <c r="I27" s="187">
        <v>19427</v>
      </c>
      <c r="J27" s="187">
        <v>19427</v>
      </c>
      <c r="K27" s="59"/>
    </row>
    <row r="28" spans="1:11" s="60" customFormat="1" ht="50.1" customHeight="1" x14ac:dyDescent="0.3">
      <c r="A28" s="185" t="s">
        <v>50</v>
      </c>
      <c r="B28" s="186" t="s">
        <v>27</v>
      </c>
      <c r="C28" s="407">
        <v>1757</v>
      </c>
      <c r="D28" s="187" t="s">
        <v>66</v>
      </c>
      <c r="E28" s="407">
        <v>6282</v>
      </c>
      <c r="F28" s="187" t="s">
        <v>66</v>
      </c>
      <c r="G28" s="408">
        <v>7634</v>
      </c>
      <c r="H28" s="408">
        <v>7634</v>
      </c>
      <c r="I28" s="187">
        <v>10989</v>
      </c>
      <c r="J28" s="187">
        <v>10989</v>
      </c>
      <c r="K28" s="59"/>
    </row>
    <row r="29" spans="1:11" ht="50.1" customHeight="1" x14ac:dyDescent="0.3">
      <c r="A29" s="185" t="s">
        <v>51</v>
      </c>
      <c r="B29" s="186" t="s">
        <v>28</v>
      </c>
      <c r="C29" s="407">
        <v>93</v>
      </c>
      <c r="D29" s="187" t="s">
        <v>66</v>
      </c>
      <c r="E29" s="407">
        <v>365</v>
      </c>
      <c r="F29" s="187" t="s">
        <v>66</v>
      </c>
      <c r="G29" s="408">
        <v>2021</v>
      </c>
      <c r="H29" s="408">
        <v>2021</v>
      </c>
      <c r="I29" s="187">
        <v>5230</v>
      </c>
      <c r="J29" s="187">
        <v>5230</v>
      </c>
      <c r="K29" s="56"/>
    </row>
    <row r="30" spans="1:11" ht="50.1" customHeight="1" x14ac:dyDescent="0.3">
      <c r="A30" s="191" t="s">
        <v>52</v>
      </c>
      <c r="B30" s="186" t="s">
        <v>29</v>
      </c>
      <c r="C30" s="407" t="s">
        <v>66</v>
      </c>
      <c r="D30" s="187" t="s">
        <v>66</v>
      </c>
      <c r="E30" s="407" t="s">
        <v>66</v>
      </c>
      <c r="F30" s="187" t="s">
        <v>66</v>
      </c>
      <c r="G30" s="408">
        <v>6746</v>
      </c>
      <c r="H30" s="408">
        <v>6746</v>
      </c>
      <c r="I30" s="187">
        <v>7187</v>
      </c>
      <c r="J30" s="187">
        <v>7187</v>
      </c>
      <c r="K30" s="56"/>
    </row>
    <row r="31" spans="1:11" s="60" customFormat="1" ht="50.1" customHeight="1" x14ac:dyDescent="0.3">
      <c r="A31" s="185" t="s">
        <v>53</v>
      </c>
      <c r="B31" s="186" t="s">
        <v>0</v>
      </c>
      <c r="C31" s="407" t="s">
        <v>66</v>
      </c>
      <c r="D31" s="187" t="s">
        <v>66</v>
      </c>
      <c r="E31" s="407" t="s">
        <v>66</v>
      </c>
      <c r="F31" s="187" t="s">
        <v>66</v>
      </c>
      <c r="G31" s="408">
        <v>6628</v>
      </c>
      <c r="H31" s="408">
        <v>12904</v>
      </c>
      <c r="I31" s="187">
        <v>17041</v>
      </c>
      <c r="J31" s="187">
        <v>32984</v>
      </c>
      <c r="K31" s="59"/>
    </row>
    <row r="32" spans="1:11" s="62" customFormat="1" ht="50.1" customHeight="1" x14ac:dyDescent="0.3">
      <c r="A32" s="193" t="s">
        <v>99</v>
      </c>
      <c r="B32" s="192" t="s">
        <v>30</v>
      </c>
      <c r="C32" s="404">
        <v>4352</v>
      </c>
      <c r="D32" s="180" t="s">
        <v>66</v>
      </c>
      <c r="E32" s="404">
        <v>12147</v>
      </c>
      <c r="F32" s="180" t="s">
        <v>66</v>
      </c>
      <c r="G32" s="405">
        <v>20190</v>
      </c>
      <c r="H32" s="405">
        <v>20190</v>
      </c>
      <c r="I32" s="180">
        <v>38058</v>
      </c>
      <c r="J32" s="180">
        <v>38058</v>
      </c>
      <c r="K32" s="61"/>
    </row>
    <row r="33" spans="1:11" s="62" customFormat="1" ht="50.1" customHeight="1" x14ac:dyDescent="0.3">
      <c r="A33" s="193" t="s">
        <v>54</v>
      </c>
      <c r="B33" s="192" t="s">
        <v>31</v>
      </c>
      <c r="C33" s="409" t="s">
        <v>66</v>
      </c>
      <c r="D33" s="180" t="s">
        <v>66</v>
      </c>
      <c r="E33" s="409" t="s">
        <v>66</v>
      </c>
      <c r="F33" s="180" t="s">
        <v>66</v>
      </c>
      <c r="G33" s="405">
        <v>5730</v>
      </c>
      <c r="H33" s="405">
        <v>5730</v>
      </c>
      <c r="I33" s="180">
        <v>27282</v>
      </c>
      <c r="J33" s="180">
        <v>27282</v>
      </c>
      <c r="K33" s="61"/>
    </row>
    <row r="34" spans="1:11" s="62" customFormat="1" ht="50.1" customHeight="1" x14ac:dyDescent="0.3">
      <c r="A34" s="194" t="s">
        <v>53</v>
      </c>
      <c r="B34" s="195" t="s">
        <v>0</v>
      </c>
      <c r="C34" s="410" t="s">
        <v>66</v>
      </c>
      <c r="D34" s="196" t="s">
        <v>66</v>
      </c>
      <c r="E34" s="410" t="s">
        <v>66</v>
      </c>
      <c r="F34" s="196" t="s">
        <v>66</v>
      </c>
      <c r="G34" s="411">
        <v>6707</v>
      </c>
      <c r="H34" s="411">
        <v>57538</v>
      </c>
      <c r="I34" s="196">
        <v>18955</v>
      </c>
      <c r="J34" s="196">
        <v>98938</v>
      </c>
      <c r="K34" s="61"/>
    </row>
    <row r="35" spans="1:11" s="62" customFormat="1" ht="21.9" customHeight="1" x14ac:dyDescent="0.3">
      <c r="A35" s="123" t="s">
        <v>69</v>
      </c>
      <c r="B35" s="124" t="s">
        <v>70</v>
      </c>
      <c r="C35" s="125"/>
      <c r="D35" s="125"/>
      <c r="E35" s="126"/>
      <c r="F35" s="126"/>
      <c r="G35" s="126"/>
      <c r="H35" s="126"/>
      <c r="I35" s="197"/>
      <c r="J35" s="127"/>
      <c r="K35" s="61"/>
    </row>
    <row r="36" spans="1:11" ht="87.6" customHeight="1" x14ac:dyDescent="0.3">
      <c r="A36" s="128" t="s">
        <v>57</v>
      </c>
      <c r="B36" s="129" t="s">
        <v>56</v>
      </c>
      <c r="E36" s="116"/>
      <c r="F36" s="116"/>
      <c r="G36" s="116"/>
      <c r="H36" s="116"/>
      <c r="I36" s="115"/>
      <c r="J36" s="115"/>
    </row>
    <row r="37" spans="1:11" ht="21.9" customHeight="1" x14ac:dyDescent="0.3">
      <c r="A37" s="115"/>
      <c r="B37" s="135" t="s">
        <v>58</v>
      </c>
      <c r="E37" s="116"/>
      <c r="F37" s="116"/>
      <c r="G37" s="116"/>
      <c r="H37" s="116"/>
      <c r="I37" s="115"/>
      <c r="J37" s="115"/>
    </row>
    <row r="38" spans="1:11" ht="48" customHeight="1" x14ac:dyDescent="0.3">
      <c r="A38" s="128" t="s">
        <v>68</v>
      </c>
      <c r="B38" s="135" t="s">
        <v>77</v>
      </c>
      <c r="E38" s="116"/>
      <c r="F38" s="116"/>
      <c r="G38" s="116"/>
      <c r="H38" s="116"/>
      <c r="I38" s="115"/>
      <c r="J38" s="115"/>
    </row>
    <row r="39" spans="1:11" ht="21.9" customHeight="1" x14ac:dyDescent="0.3">
      <c r="A39" s="198" t="s">
        <v>74</v>
      </c>
      <c r="B39" s="135" t="s">
        <v>71</v>
      </c>
      <c r="E39" s="116"/>
      <c r="F39" s="116"/>
      <c r="G39" s="116"/>
      <c r="H39" s="116"/>
      <c r="I39" s="115"/>
      <c r="J39" s="115"/>
    </row>
    <row r="40" spans="1:11" ht="21.9" customHeight="1" x14ac:dyDescent="0.3">
      <c r="B40" s="67"/>
      <c r="C40" s="68"/>
      <c r="D40" s="68"/>
      <c r="E40" s="68"/>
      <c r="F40" s="68"/>
      <c r="G40" s="108"/>
    </row>
    <row r="41" spans="1:11" ht="21.9" customHeight="1" x14ac:dyDescent="0.3"/>
    <row r="42" spans="1:11" ht="21.9" customHeight="1" x14ac:dyDescent="0.3"/>
    <row r="43" spans="1:11" ht="21.9" customHeight="1" x14ac:dyDescent="0.3"/>
    <row r="44" spans="1:11" ht="21.9" customHeight="1" x14ac:dyDescent="0.3"/>
    <row r="45" spans="1:11" ht="21.9" customHeight="1" x14ac:dyDescent="0.3"/>
    <row r="46" spans="1:11" ht="21.9" customHeight="1" x14ac:dyDescent="0.3"/>
    <row r="47" spans="1:11" ht="21.9" customHeight="1" x14ac:dyDescent="0.3"/>
    <row r="48" spans="1:11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7">
    <mergeCell ref="I5:J6"/>
    <mergeCell ref="C2:D2"/>
    <mergeCell ref="B3:B4"/>
    <mergeCell ref="C5:D6"/>
    <mergeCell ref="E5:F6"/>
    <mergeCell ref="G5:H6"/>
    <mergeCell ref="C3:J4"/>
  </mergeCells>
  <printOptions horizontalCentered="1" verticalCentered="1"/>
  <pageMargins left="0" right="0" top="0" bottom="0" header="0" footer="0"/>
  <pageSetup paperSize="9" scale="33" orientation="landscape" horizontalDpi="4294967295" verticalDpi="4294967295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Y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57" customWidth="1"/>
    <col min="2" max="2" width="62.5546875" style="48" customWidth="1"/>
    <col min="3" max="4" width="24.5546875" style="107" customWidth="1"/>
    <col min="5" max="8" width="24.5546875" style="66" customWidth="1"/>
    <col min="9" max="10" width="24.5546875" style="57" customWidth="1"/>
    <col min="11" max="16384" width="9.109375" style="57"/>
  </cols>
  <sheetData>
    <row r="1" spans="1:51" ht="63" customHeight="1" x14ac:dyDescent="0.3">
      <c r="A1" s="257" t="s">
        <v>93</v>
      </c>
      <c r="B1" s="258" t="s">
        <v>94</v>
      </c>
      <c r="C1" s="276"/>
      <c r="D1" s="276"/>
      <c r="E1" s="276"/>
      <c r="F1" s="276"/>
      <c r="G1" s="276"/>
      <c r="H1" s="276"/>
      <c r="I1" s="276"/>
      <c r="J1" s="276"/>
    </row>
    <row r="2" spans="1:51" ht="20.399999999999999" customHeight="1" x14ac:dyDescent="0.35">
      <c r="A2" s="265"/>
      <c r="B2" s="266"/>
      <c r="C2" s="359"/>
      <c r="D2" s="359"/>
      <c r="E2" s="267"/>
      <c r="F2" s="268"/>
      <c r="G2" s="269"/>
      <c r="H2" s="267"/>
      <c r="I2" s="270"/>
      <c r="J2" s="277" t="s">
        <v>55</v>
      </c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</row>
    <row r="3" spans="1:51" s="52" customFormat="1" ht="15" customHeight="1" x14ac:dyDescent="0.35">
      <c r="A3" s="272"/>
      <c r="B3" s="346" t="s">
        <v>1</v>
      </c>
      <c r="C3" s="348" t="s">
        <v>72</v>
      </c>
      <c r="D3" s="349"/>
      <c r="E3" s="349"/>
      <c r="F3" s="349"/>
      <c r="G3" s="349"/>
      <c r="H3" s="349"/>
      <c r="I3" s="349"/>
      <c r="J3" s="349"/>
    </row>
    <row r="4" spans="1:51" s="52" customFormat="1" ht="15" customHeight="1" x14ac:dyDescent="0.35">
      <c r="A4" s="273"/>
      <c r="B4" s="347"/>
      <c r="C4" s="351"/>
      <c r="D4" s="352"/>
      <c r="E4" s="352"/>
      <c r="F4" s="352"/>
      <c r="G4" s="352"/>
      <c r="H4" s="352"/>
      <c r="I4" s="352"/>
      <c r="J4" s="352"/>
    </row>
    <row r="5" spans="1:51" s="52" customFormat="1" ht="15" customHeight="1" x14ac:dyDescent="0.35">
      <c r="A5" s="273"/>
      <c r="B5" s="241"/>
      <c r="C5" s="354" t="s">
        <v>3</v>
      </c>
      <c r="D5" s="354"/>
      <c r="E5" s="354" t="s">
        <v>5</v>
      </c>
      <c r="F5" s="354"/>
      <c r="G5" s="354" t="s">
        <v>6</v>
      </c>
      <c r="H5" s="354"/>
      <c r="I5" s="354" t="s">
        <v>7</v>
      </c>
      <c r="J5" s="354"/>
    </row>
    <row r="6" spans="1:51" s="52" customFormat="1" ht="15" customHeight="1" x14ac:dyDescent="0.35">
      <c r="A6" s="273"/>
      <c r="B6" s="241"/>
      <c r="C6" s="355"/>
      <c r="D6" s="355"/>
      <c r="E6" s="355"/>
      <c r="F6" s="355"/>
      <c r="G6" s="355"/>
      <c r="H6" s="355"/>
      <c r="I6" s="355"/>
      <c r="J6" s="355"/>
    </row>
    <row r="7" spans="1:51" s="53" customFormat="1" ht="109.35" customHeight="1" x14ac:dyDescent="0.4">
      <c r="A7" s="274"/>
      <c r="B7" s="242"/>
      <c r="C7" s="212" t="s">
        <v>2</v>
      </c>
      <c r="D7" s="309" t="s">
        <v>73</v>
      </c>
      <c r="E7" s="212" t="s">
        <v>2</v>
      </c>
      <c r="F7" s="309" t="s">
        <v>73</v>
      </c>
      <c r="G7" s="212" t="s">
        <v>2</v>
      </c>
      <c r="H7" s="309" t="s">
        <v>73</v>
      </c>
      <c r="I7" s="212" t="s">
        <v>2</v>
      </c>
      <c r="J7" s="309" t="s">
        <v>73</v>
      </c>
    </row>
    <row r="8" spans="1:51" s="55" customFormat="1" ht="50.1" customHeight="1" x14ac:dyDescent="0.3">
      <c r="A8" s="162" t="s">
        <v>34</v>
      </c>
      <c r="B8" s="163" t="s">
        <v>11</v>
      </c>
      <c r="C8" s="297">
        <v>128971</v>
      </c>
      <c r="D8" s="297">
        <v>148691</v>
      </c>
      <c r="E8" s="298">
        <v>302477</v>
      </c>
      <c r="F8" s="298">
        <v>348785</v>
      </c>
      <c r="G8" s="299">
        <v>497816</v>
      </c>
      <c r="H8" s="300">
        <v>567975</v>
      </c>
      <c r="I8" s="299">
        <v>805741</v>
      </c>
      <c r="J8" s="300">
        <v>915974</v>
      </c>
      <c r="K8" s="54"/>
    </row>
    <row r="9" spans="1:51" s="55" customFormat="1" ht="50.1" customHeight="1" x14ac:dyDescent="0.3">
      <c r="A9" s="164" t="s">
        <v>35</v>
      </c>
      <c r="B9" s="165" t="s">
        <v>12</v>
      </c>
      <c r="C9" s="281">
        <v>97159</v>
      </c>
      <c r="D9" s="281">
        <v>97159</v>
      </c>
      <c r="E9" s="254">
        <v>248781</v>
      </c>
      <c r="F9" s="254">
        <v>248781</v>
      </c>
      <c r="G9" s="301">
        <v>403216</v>
      </c>
      <c r="H9" s="302">
        <v>403216</v>
      </c>
      <c r="I9" s="301">
        <v>628083</v>
      </c>
      <c r="J9" s="302">
        <v>628083</v>
      </c>
      <c r="K9" s="54"/>
    </row>
    <row r="10" spans="1:51" s="55" customFormat="1" ht="50.1" customHeight="1" x14ac:dyDescent="0.3">
      <c r="A10" s="166" t="s">
        <v>36</v>
      </c>
      <c r="B10" s="167" t="s">
        <v>82</v>
      </c>
      <c r="C10" s="281">
        <v>22735</v>
      </c>
      <c r="D10" s="281">
        <v>22735</v>
      </c>
      <c r="E10" s="254">
        <v>68116</v>
      </c>
      <c r="F10" s="254">
        <v>68116</v>
      </c>
      <c r="G10" s="302">
        <v>119881</v>
      </c>
      <c r="H10" s="302">
        <v>119881</v>
      </c>
      <c r="I10" s="302">
        <v>206919</v>
      </c>
      <c r="J10" s="302">
        <v>206919</v>
      </c>
      <c r="K10" s="54"/>
    </row>
    <row r="11" spans="1:51" ht="50.1" customHeight="1" x14ac:dyDescent="0.3">
      <c r="A11" s="168" t="s">
        <v>37</v>
      </c>
      <c r="B11" s="169" t="s">
        <v>13</v>
      </c>
      <c r="C11" s="255">
        <v>0</v>
      </c>
      <c r="D11" s="255">
        <v>0</v>
      </c>
      <c r="E11" s="255">
        <v>9444</v>
      </c>
      <c r="F11" s="255">
        <v>9444</v>
      </c>
      <c r="G11" s="303">
        <v>20496</v>
      </c>
      <c r="H11" s="303">
        <v>20496</v>
      </c>
      <c r="I11" s="303">
        <v>51976</v>
      </c>
      <c r="J11" s="303">
        <v>51976</v>
      </c>
      <c r="K11" s="56"/>
    </row>
    <row r="12" spans="1:51" ht="50.1" customHeight="1" x14ac:dyDescent="0.3">
      <c r="A12" s="168" t="s">
        <v>38</v>
      </c>
      <c r="B12" s="169" t="s">
        <v>14</v>
      </c>
      <c r="C12" s="246">
        <v>4400</v>
      </c>
      <c r="D12" s="246">
        <v>4400</v>
      </c>
      <c r="E12" s="246">
        <v>12162</v>
      </c>
      <c r="F12" s="246">
        <v>12162</v>
      </c>
      <c r="G12" s="279">
        <v>20300</v>
      </c>
      <c r="H12" s="279">
        <v>20300</v>
      </c>
      <c r="I12" s="279">
        <v>29062</v>
      </c>
      <c r="J12" s="279">
        <v>29062</v>
      </c>
      <c r="K12" s="56"/>
    </row>
    <row r="13" spans="1:51" ht="50.1" customHeight="1" x14ac:dyDescent="0.3">
      <c r="A13" s="168" t="s">
        <v>39</v>
      </c>
      <c r="B13" s="169" t="s">
        <v>15</v>
      </c>
      <c r="C13" s="246">
        <v>0</v>
      </c>
      <c r="D13" s="246">
        <v>0</v>
      </c>
      <c r="E13" s="246">
        <v>0</v>
      </c>
      <c r="F13" s="246">
        <v>0</v>
      </c>
      <c r="G13" s="279">
        <v>0</v>
      </c>
      <c r="H13" s="279">
        <v>0</v>
      </c>
      <c r="I13" s="279">
        <v>0</v>
      </c>
      <c r="J13" s="279">
        <v>0</v>
      </c>
      <c r="K13" s="56"/>
    </row>
    <row r="14" spans="1:51" ht="50.1" customHeight="1" x14ac:dyDescent="0.3">
      <c r="A14" s="168" t="s">
        <v>40</v>
      </c>
      <c r="B14" s="169" t="s">
        <v>16</v>
      </c>
      <c r="C14" s="246">
        <v>6964</v>
      </c>
      <c r="D14" s="246">
        <v>6964</v>
      </c>
      <c r="E14" s="246">
        <v>21126</v>
      </c>
      <c r="F14" s="246">
        <v>21126</v>
      </c>
      <c r="G14" s="279">
        <v>35150</v>
      </c>
      <c r="H14" s="279">
        <v>35150</v>
      </c>
      <c r="I14" s="279">
        <v>61492</v>
      </c>
      <c r="J14" s="279">
        <v>61492</v>
      </c>
      <c r="K14" s="56"/>
    </row>
    <row r="15" spans="1:51" ht="50.1" customHeight="1" x14ac:dyDescent="0.3">
      <c r="A15" s="168" t="s">
        <v>63</v>
      </c>
      <c r="B15" s="169" t="s">
        <v>17</v>
      </c>
      <c r="C15" s="246">
        <v>11371</v>
      </c>
      <c r="D15" s="246">
        <v>11371</v>
      </c>
      <c r="E15" s="246">
        <v>25384</v>
      </c>
      <c r="F15" s="246">
        <v>25384</v>
      </c>
      <c r="G15" s="279">
        <v>43935</v>
      </c>
      <c r="H15" s="279">
        <v>43935</v>
      </c>
      <c r="I15" s="279">
        <v>64389</v>
      </c>
      <c r="J15" s="279">
        <v>64389</v>
      </c>
      <c r="K15" s="56"/>
    </row>
    <row r="16" spans="1:51" s="55" customFormat="1" ht="50.1" customHeight="1" x14ac:dyDescent="0.3">
      <c r="A16" s="166" t="s">
        <v>41</v>
      </c>
      <c r="B16" s="167" t="s">
        <v>18</v>
      </c>
      <c r="C16" s="244">
        <v>10437</v>
      </c>
      <c r="D16" s="244">
        <v>10437</v>
      </c>
      <c r="E16" s="244">
        <v>22980</v>
      </c>
      <c r="F16" s="244">
        <v>22980</v>
      </c>
      <c r="G16" s="278">
        <v>36323</v>
      </c>
      <c r="H16" s="278">
        <v>36323</v>
      </c>
      <c r="I16" s="278">
        <v>51353</v>
      </c>
      <c r="J16" s="278">
        <v>51353</v>
      </c>
      <c r="K16" s="54"/>
    </row>
    <row r="17" spans="1:11" s="55" customFormat="1" ht="50.1" customHeight="1" x14ac:dyDescent="0.3">
      <c r="A17" s="166" t="s">
        <v>42</v>
      </c>
      <c r="B17" s="167" t="s">
        <v>19</v>
      </c>
      <c r="C17" s="244">
        <v>54909</v>
      </c>
      <c r="D17" s="244">
        <v>54909</v>
      </c>
      <c r="E17" s="244">
        <v>132789</v>
      </c>
      <c r="F17" s="244">
        <v>132789</v>
      </c>
      <c r="G17" s="278">
        <v>208151</v>
      </c>
      <c r="H17" s="278">
        <v>208151</v>
      </c>
      <c r="I17" s="278">
        <v>293809</v>
      </c>
      <c r="J17" s="278">
        <v>293809</v>
      </c>
      <c r="K17" s="54"/>
    </row>
    <row r="18" spans="1:11" s="55" customFormat="1" ht="50.1" customHeight="1" x14ac:dyDescent="0.3">
      <c r="A18" s="166" t="s">
        <v>43</v>
      </c>
      <c r="B18" s="167" t="s">
        <v>20</v>
      </c>
      <c r="C18" s="244">
        <v>6545</v>
      </c>
      <c r="D18" s="244">
        <v>6545</v>
      </c>
      <c r="E18" s="244">
        <v>15235</v>
      </c>
      <c r="F18" s="244">
        <v>15235</v>
      </c>
      <c r="G18" s="278">
        <v>24675</v>
      </c>
      <c r="H18" s="278">
        <v>24675</v>
      </c>
      <c r="I18" s="278">
        <v>37505</v>
      </c>
      <c r="J18" s="278">
        <v>37505</v>
      </c>
      <c r="K18" s="54"/>
    </row>
    <row r="19" spans="1:11" s="55" customFormat="1" ht="50.1" customHeight="1" x14ac:dyDescent="0.3">
      <c r="A19" s="166" t="s">
        <v>44</v>
      </c>
      <c r="B19" s="167" t="s">
        <v>21</v>
      </c>
      <c r="C19" s="244">
        <v>2533</v>
      </c>
      <c r="D19" s="244">
        <v>2533</v>
      </c>
      <c r="E19" s="244">
        <v>9661</v>
      </c>
      <c r="F19" s="244">
        <v>9661</v>
      </c>
      <c r="G19" s="278">
        <v>14186</v>
      </c>
      <c r="H19" s="278">
        <v>14186</v>
      </c>
      <c r="I19" s="278">
        <v>38497</v>
      </c>
      <c r="J19" s="278">
        <v>38497</v>
      </c>
      <c r="K19" s="54"/>
    </row>
    <row r="20" spans="1:11" s="55" customFormat="1" ht="50.1" customHeight="1" x14ac:dyDescent="0.3">
      <c r="A20" s="170" t="s">
        <v>45</v>
      </c>
      <c r="B20" s="165" t="s">
        <v>22</v>
      </c>
      <c r="C20" s="244">
        <v>18</v>
      </c>
      <c r="D20" s="244">
        <v>18</v>
      </c>
      <c r="E20" s="244">
        <v>133</v>
      </c>
      <c r="F20" s="244">
        <v>133</v>
      </c>
      <c r="G20" s="278">
        <v>406</v>
      </c>
      <c r="H20" s="278">
        <v>406</v>
      </c>
      <c r="I20" s="278">
        <v>1989</v>
      </c>
      <c r="J20" s="278">
        <v>1989</v>
      </c>
      <c r="K20" s="54"/>
    </row>
    <row r="21" spans="1:11" s="58" customFormat="1" ht="50.1" customHeight="1" x14ac:dyDescent="0.25">
      <c r="A21" s="171" t="s">
        <v>46</v>
      </c>
      <c r="B21" s="172" t="s">
        <v>23</v>
      </c>
      <c r="C21" s="280">
        <v>3</v>
      </c>
      <c r="D21" s="280">
        <v>3</v>
      </c>
      <c r="E21" s="246">
        <v>65</v>
      </c>
      <c r="F21" s="246">
        <v>65</v>
      </c>
      <c r="G21" s="279">
        <v>131</v>
      </c>
      <c r="H21" s="279">
        <v>131</v>
      </c>
      <c r="I21" s="279">
        <v>242</v>
      </c>
      <c r="J21" s="279">
        <v>242</v>
      </c>
    </row>
    <row r="22" spans="1:11" s="58" customFormat="1" ht="50.1" customHeight="1" x14ac:dyDescent="0.25">
      <c r="A22" s="171" t="s">
        <v>47</v>
      </c>
      <c r="B22" s="172" t="s">
        <v>24</v>
      </c>
      <c r="C22" s="280">
        <v>15</v>
      </c>
      <c r="D22" s="280">
        <v>15</v>
      </c>
      <c r="E22" s="246">
        <v>68</v>
      </c>
      <c r="F22" s="246">
        <v>68</v>
      </c>
      <c r="G22" s="279">
        <v>275</v>
      </c>
      <c r="H22" s="279">
        <v>275</v>
      </c>
      <c r="I22" s="279">
        <v>1747</v>
      </c>
      <c r="J22" s="279">
        <v>1747</v>
      </c>
    </row>
    <row r="23" spans="1:11" s="55" customFormat="1" ht="50.1" customHeight="1" x14ac:dyDescent="0.3">
      <c r="A23" s="164" t="s">
        <v>48</v>
      </c>
      <c r="B23" s="165" t="s">
        <v>25</v>
      </c>
      <c r="C23" s="281">
        <v>31794</v>
      </c>
      <c r="D23" s="281">
        <v>51514</v>
      </c>
      <c r="E23" s="244">
        <v>53563</v>
      </c>
      <c r="F23" s="244">
        <v>99871</v>
      </c>
      <c r="G23" s="278">
        <v>94194</v>
      </c>
      <c r="H23" s="278">
        <v>164353</v>
      </c>
      <c r="I23" s="278">
        <v>175669</v>
      </c>
      <c r="J23" s="278">
        <v>285902</v>
      </c>
      <c r="K23" s="54"/>
    </row>
    <row r="24" spans="1:11" s="55" customFormat="1" ht="50.1" customHeight="1" x14ac:dyDescent="0.3">
      <c r="A24" s="166" t="s">
        <v>100</v>
      </c>
      <c r="B24" s="167" t="s">
        <v>26</v>
      </c>
      <c r="C24" s="281">
        <v>16802</v>
      </c>
      <c r="D24" s="281">
        <v>18994</v>
      </c>
      <c r="E24" s="244">
        <v>25657</v>
      </c>
      <c r="F24" s="244">
        <v>32643</v>
      </c>
      <c r="G24" s="278">
        <v>40027</v>
      </c>
      <c r="H24" s="278">
        <v>50734</v>
      </c>
      <c r="I24" s="278">
        <v>70317</v>
      </c>
      <c r="J24" s="278">
        <v>93881</v>
      </c>
      <c r="K24" s="54"/>
    </row>
    <row r="25" spans="1:11" ht="50.1" customHeight="1" x14ac:dyDescent="0.3">
      <c r="A25" s="168" t="s">
        <v>37</v>
      </c>
      <c r="B25" s="169" t="s">
        <v>13</v>
      </c>
      <c r="C25" s="280">
        <v>200</v>
      </c>
      <c r="D25" s="280">
        <v>200</v>
      </c>
      <c r="E25" s="246">
        <v>584</v>
      </c>
      <c r="F25" s="246">
        <v>584</v>
      </c>
      <c r="G25" s="279">
        <v>3475</v>
      </c>
      <c r="H25" s="279">
        <v>3475</v>
      </c>
      <c r="I25" s="279">
        <v>7900</v>
      </c>
      <c r="J25" s="279">
        <v>7900</v>
      </c>
      <c r="K25" s="56"/>
    </row>
    <row r="26" spans="1:11" ht="50.1" customHeight="1" x14ac:dyDescent="0.3">
      <c r="A26" s="168" t="s">
        <v>49</v>
      </c>
      <c r="B26" s="169" t="s">
        <v>14</v>
      </c>
      <c r="C26" s="280">
        <v>8200</v>
      </c>
      <c r="D26" s="280">
        <v>8200</v>
      </c>
      <c r="E26" s="246">
        <v>10872</v>
      </c>
      <c r="F26" s="246">
        <v>10872</v>
      </c>
      <c r="G26" s="279">
        <v>14203</v>
      </c>
      <c r="H26" s="279">
        <v>14203</v>
      </c>
      <c r="I26" s="279">
        <v>23718</v>
      </c>
      <c r="J26" s="279">
        <v>23718</v>
      </c>
      <c r="K26" s="56"/>
    </row>
    <row r="27" spans="1:11" s="60" customFormat="1" ht="50.1" customHeight="1" x14ac:dyDescent="0.3">
      <c r="A27" s="168" t="s">
        <v>39</v>
      </c>
      <c r="B27" s="169" t="s">
        <v>15</v>
      </c>
      <c r="C27" s="280">
        <v>5233</v>
      </c>
      <c r="D27" s="280">
        <v>5233</v>
      </c>
      <c r="E27" s="246">
        <v>5233</v>
      </c>
      <c r="F27" s="246">
        <v>5233</v>
      </c>
      <c r="G27" s="279">
        <v>5233</v>
      </c>
      <c r="H27" s="279">
        <v>5233</v>
      </c>
      <c r="I27" s="279">
        <v>5233</v>
      </c>
      <c r="J27" s="279">
        <v>5233</v>
      </c>
      <c r="K27" s="59"/>
    </row>
    <row r="28" spans="1:11" s="60" customFormat="1" ht="50.1" customHeight="1" x14ac:dyDescent="0.3">
      <c r="A28" s="168" t="s">
        <v>50</v>
      </c>
      <c r="B28" s="169" t="s">
        <v>27</v>
      </c>
      <c r="C28" s="280">
        <v>1322</v>
      </c>
      <c r="D28" s="280">
        <v>1322</v>
      </c>
      <c r="E28" s="246">
        <v>3209</v>
      </c>
      <c r="F28" s="246">
        <v>3209</v>
      </c>
      <c r="G28" s="279">
        <v>4798</v>
      </c>
      <c r="H28" s="279">
        <v>4798</v>
      </c>
      <c r="I28" s="279">
        <v>8297</v>
      </c>
      <c r="J28" s="279">
        <v>8297</v>
      </c>
      <c r="K28" s="59"/>
    </row>
    <row r="29" spans="1:11" ht="50.1" customHeight="1" x14ac:dyDescent="0.3">
      <c r="A29" s="168" t="s">
        <v>51</v>
      </c>
      <c r="B29" s="169" t="s">
        <v>28</v>
      </c>
      <c r="C29" s="280">
        <v>938</v>
      </c>
      <c r="D29" s="280">
        <v>938</v>
      </c>
      <c r="E29" s="246">
        <v>1549</v>
      </c>
      <c r="F29" s="246">
        <v>1549</v>
      </c>
      <c r="G29" s="279">
        <v>3702</v>
      </c>
      <c r="H29" s="279">
        <v>3702</v>
      </c>
      <c r="I29" s="279">
        <v>6863</v>
      </c>
      <c r="J29" s="279">
        <v>6863</v>
      </c>
      <c r="K29" s="56"/>
    </row>
    <row r="30" spans="1:11" ht="50.1" customHeight="1" x14ac:dyDescent="0.3">
      <c r="A30" s="173" t="s">
        <v>52</v>
      </c>
      <c r="B30" s="169" t="s">
        <v>29</v>
      </c>
      <c r="C30" s="280">
        <v>0</v>
      </c>
      <c r="D30" s="280">
        <v>0</v>
      </c>
      <c r="E30" s="246">
        <v>125</v>
      </c>
      <c r="F30" s="246">
        <v>125</v>
      </c>
      <c r="G30" s="279">
        <v>125</v>
      </c>
      <c r="H30" s="279">
        <v>125</v>
      </c>
      <c r="I30" s="279">
        <v>125</v>
      </c>
      <c r="J30" s="279">
        <v>125</v>
      </c>
      <c r="K30" s="56"/>
    </row>
    <row r="31" spans="1:11" s="60" customFormat="1" ht="50.1" customHeight="1" x14ac:dyDescent="0.3">
      <c r="A31" s="168" t="s">
        <v>53</v>
      </c>
      <c r="B31" s="169" t="s">
        <v>0</v>
      </c>
      <c r="C31" s="280">
        <v>909</v>
      </c>
      <c r="D31" s="280">
        <v>3101</v>
      </c>
      <c r="E31" s="246">
        <v>4085</v>
      </c>
      <c r="F31" s="246">
        <v>11071</v>
      </c>
      <c r="G31" s="279">
        <v>8491</v>
      </c>
      <c r="H31" s="279">
        <v>19198</v>
      </c>
      <c r="I31" s="279">
        <v>18181</v>
      </c>
      <c r="J31" s="279">
        <v>41745</v>
      </c>
      <c r="K31" s="59"/>
    </row>
    <row r="32" spans="1:11" s="62" customFormat="1" ht="50.1" customHeight="1" x14ac:dyDescent="0.3">
      <c r="A32" s="175" t="s">
        <v>99</v>
      </c>
      <c r="B32" s="174" t="s">
        <v>30</v>
      </c>
      <c r="C32" s="244">
        <v>5459</v>
      </c>
      <c r="D32" s="244">
        <v>5459</v>
      </c>
      <c r="E32" s="244">
        <v>13330</v>
      </c>
      <c r="F32" s="244">
        <v>13330</v>
      </c>
      <c r="G32" s="278">
        <v>23771</v>
      </c>
      <c r="H32" s="278">
        <v>23771</v>
      </c>
      <c r="I32" s="278">
        <v>44693</v>
      </c>
      <c r="J32" s="278">
        <v>44693</v>
      </c>
      <c r="K32" s="61"/>
    </row>
    <row r="33" spans="1:11" s="62" customFormat="1" ht="50.1" customHeight="1" x14ac:dyDescent="0.3">
      <c r="A33" s="175" t="s">
        <v>54</v>
      </c>
      <c r="B33" s="174" t="s">
        <v>31</v>
      </c>
      <c r="C33" s="244">
        <v>3165</v>
      </c>
      <c r="D33" s="244">
        <v>3165</v>
      </c>
      <c r="E33" s="282">
        <v>5743</v>
      </c>
      <c r="F33" s="282">
        <v>5743</v>
      </c>
      <c r="G33" s="283">
        <v>13639</v>
      </c>
      <c r="H33" s="283">
        <v>13639</v>
      </c>
      <c r="I33" s="283">
        <v>31430</v>
      </c>
      <c r="J33" s="283">
        <v>31430</v>
      </c>
      <c r="K33" s="61"/>
    </row>
    <row r="34" spans="1:11" s="62" customFormat="1" ht="50.1" customHeight="1" x14ac:dyDescent="0.3">
      <c r="A34" s="176" t="s">
        <v>53</v>
      </c>
      <c r="B34" s="177" t="s">
        <v>0</v>
      </c>
      <c r="C34" s="284">
        <v>6368</v>
      </c>
      <c r="D34" s="284">
        <v>23896</v>
      </c>
      <c r="E34" s="285">
        <v>8833</v>
      </c>
      <c r="F34" s="285">
        <v>48155</v>
      </c>
      <c r="G34" s="286">
        <v>16757</v>
      </c>
      <c r="H34" s="287">
        <v>76209</v>
      </c>
      <c r="I34" s="287">
        <v>29229</v>
      </c>
      <c r="J34" s="287">
        <v>115898</v>
      </c>
      <c r="K34" s="61"/>
    </row>
    <row r="35" spans="1:11" s="62" customFormat="1" ht="21.9" customHeight="1" x14ac:dyDescent="0.3">
      <c r="A35" s="110" t="s">
        <v>69</v>
      </c>
      <c r="B35" s="109" t="s">
        <v>70</v>
      </c>
      <c r="C35" s="63"/>
      <c r="D35" s="63"/>
      <c r="E35" s="104"/>
      <c r="F35" s="104"/>
      <c r="G35" s="104"/>
      <c r="H35" s="104"/>
      <c r="I35" s="105"/>
      <c r="J35" s="61"/>
      <c r="K35" s="61"/>
    </row>
    <row r="36" spans="1:11" ht="87.6" customHeight="1" x14ac:dyDescent="0.3">
      <c r="A36" s="51" t="s">
        <v>57</v>
      </c>
      <c r="B36" s="106" t="s">
        <v>56</v>
      </c>
    </row>
    <row r="37" spans="1:11" ht="30.6" customHeight="1" x14ac:dyDescent="0.3">
      <c r="B37" s="48" t="s">
        <v>58</v>
      </c>
    </row>
    <row r="38" spans="1:11" ht="44.4" customHeight="1" x14ac:dyDescent="0.3">
      <c r="A38" s="51" t="s">
        <v>68</v>
      </c>
      <c r="B38" s="329" t="s">
        <v>78</v>
      </c>
      <c r="C38" s="329"/>
    </row>
    <row r="39" spans="1:11" ht="21.9" customHeight="1" x14ac:dyDescent="0.3">
      <c r="A39" s="96"/>
    </row>
    <row r="40" spans="1:11" ht="21.9" customHeight="1" x14ac:dyDescent="0.3">
      <c r="B40" s="67"/>
      <c r="C40" s="68"/>
      <c r="D40" s="68"/>
      <c r="E40" s="68"/>
      <c r="F40" s="68"/>
      <c r="G40" s="108"/>
    </row>
    <row r="41" spans="1:11" ht="21.9" customHeight="1" x14ac:dyDescent="0.3"/>
    <row r="42" spans="1:11" ht="21.9" customHeight="1" x14ac:dyDescent="0.3"/>
    <row r="43" spans="1:11" ht="21.9" customHeight="1" x14ac:dyDescent="0.3"/>
    <row r="44" spans="1:11" ht="21.9" customHeight="1" x14ac:dyDescent="0.3"/>
    <row r="45" spans="1:11" ht="21.9" customHeight="1" x14ac:dyDescent="0.3"/>
    <row r="46" spans="1:11" ht="21.9" customHeight="1" x14ac:dyDescent="0.3"/>
    <row r="47" spans="1:11" ht="21.9" customHeight="1" x14ac:dyDescent="0.3"/>
    <row r="48" spans="1:11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8">
    <mergeCell ref="B38:C38"/>
    <mergeCell ref="I5:J6"/>
    <mergeCell ref="C2:D2"/>
    <mergeCell ref="B3:B4"/>
    <mergeCell ref="C5:D6"/>
    <mergeCell ref="E5:F6"/>
    <mergeCell ref="G5:H6"/>
    <mergeCell ref="C3:J4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8CF0-4F40-4B4A-8722-F296C4C2FCC4}">
  <sheetPr>
    <pageSetUpPr fitToPage="1"/>
  </sheetPr>
  <dimension ref="A1:AW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44140625" defaultRowHeight="17.399999999999999" x14ac:dyDescent="0.3"/>
  <cols>
    <col min="1" max="1" width="62.5546875" style="114" customWidth="1"/>
    <col min="2" max="2" width="62.5546875" style="131" customWidth="1"/>
    <col min="3" max="4" width="24.5546875" style="132" customWidth="1"/>
    <col min="5" max="8" width="24.5546875" style="120" customWidth="1"/>
    <col min="9" max="9" width="22.5546875" style="114" customWidth="1"/>
    <col min="10" max="10" width="25.44140625" style="114" customWidth="1"/>
    <col min="11" max="16384" width="9.44140625" style="114"/>
  </cols>
  <sheetData>
    <row r="1" spans="1:49" ht="69" customHeight="1" x14ac:dyDescent="0.3">
      <c r="A1" s="288" t="s">
        <v>96</v>
      </c>
      <c r="B1" s="289" t="s">
        <v>94</v>
      </c>
      <c r="C1" s="290"/>
      <c r="D1" s="290"/>
      <c r="E1" s="290"/>
      <c r="F1" s="290"/>
      <c r="G1" s="290"/>
      <c r="H1" s="290"/>
      <c r="I1" s="290"/>
      <c r="J1" s="290"/>
    </row>
    <row r="2" spans="1:49" ht="20.85" customHeight="1" x14ac:dyDescent="0.35">
      <c r="A2" s="291"/>
      <c r="B2" s="292"/>
      <c r="C2" s="365"/>
      <c r="D2" s="365"/>
      <c r="E2" s="293"/>
      <c r="F2" s="294"/>
      <c r="G2" s="295"/>
      <c r="H2" s="275"/>
      <c r="I2" s="275"/>
      <c r="J2" s="275" t="s">
        <v>55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</row>
    <row r="3" spans="1:49" s="120" customFormat="1" ht="15" customHeight="1" x14ac:dyDescent="0.35">
      <c r="A3" s="272"/>
      <c r="B3" s="346" t="s">
        <v>1</v>
      </c>
      <c r="C3" s="348" t="s">
        <v>83</v>
      </c>
      <c r="D3" s="349"/>
      <c r="E3" s="349"/>
      <c r="F3" s="349"/>
      <c r="G3" s="349"/>
      <c r="H3" s="349"/>
      <c r="I3" s="349"/>
      <c r="J3" s="350"/>
    </row>
    <row r="4" spans="1:49" s="120" customFormat="1" ht="15" customHeight="1" x14ac:dyDescent="0.35">
      <c r="A4" s="273"/>
      <c r="B4" s="347"/>
      <c r="C4" s="351"/>
      <c r="D4" s="352"/>
      <c r="E4" s="352"/>
      <c r="F4" s="352"/>
      <c r="G4" s="352"/>
      <c r="H4" s="352"/>
      <c r="I4" s="352"/>
      <c r="J4" s="353"/>
    </row>
    <row r="5" spans="1:49" s="120" customFormat="1" ht="15" customHeight="1" x14ac:dyDescent="0.35">
      <c r="A5" s="273"/>
      <c r="B5" s="241"/>
      <c r="C5" s="354" t="s">
        <v>3</v>
      </c>
      <c r="D5" s="354"/>
      <c r="E5" s="354" t="s">
        <v>5</v>
      </c>
      <c r="F5" s="354"/>
      <c r="G5" s="354" t="s">
        <v>6</v>
      </c>
      <c r="H5" s="354"/>
      <c r="I5" s="354" t="s">
        <v>7</v>
      </c>
      <c r="J5" s="354"/>
    </row>
    <row r="6" spans="1:49" s="120" customFormat="1" ht="15" customHeight="1" x14ac:dyDescent="0.35">
      <c r="A6" s="273"/>
      <c r="B6" s="241"/>
      <c r="C6" s="355"/>
      <c r="D6" s="355"/>
      <c r="E6" s="355"/>
      <c r="F6" s="355"/>
      <c r="G6" s="355"/>
      <c r="H6" s="355"/>
      <c r="I6" s="355"/>
      <c r="J6" s="355"/>
    </row>
    <row r="7" spans="1:49" s="121" customFormat="1" ht="86.85" customHeight="1" x14ac:dyDescent="0.35">
      <c r="A7" s="274"/>
      <c r="B7" s="242"/>
      <c r="C7" s="212" t="s">
        <v>2</v>
      </c>
      <c r="D7" s="220" t="s">
        <v>73</v>
      </c>
      <c r="E7" s="212" t="s">
        <v>2</v>
      </c>
      <c r="F7" s="220" t="s">
        <v>73</v>
      </c>
      <c r="G7" s="212" t="s">
        <v>2</v>
      </c>
      <c r="H7" s="220" t="s">
        <v>73</v>
      </c>
      <c r="I7" s="212" t="s">
        <v>2</v>
      </c>
      <c r="J7" s="220" t="s">
        <v>73</v>
      </c>
    </row>
    <row r="8" spans="1:49" s="140" customFormat="1" ht="50.1" customHeight="1" x14ac:dyDescent="0.4">
      <c r="A8" s="137" t="s">
        <v>34</v>
      </c>
      <c r="B8" s="138" t="s">
        <v>11</v>
      </c>
      <c r="C8" s="139">
        <v>174496</v>
      </c>
      <c r="D8" s="139" t="s">
        <v>66</v>
      </c>
      <c r="E8" s="139">
        <v>388264</v>
      </c>
      <c r="F8" s="139">
        <v>440321</v>
      </c>
      <c r="G8" s="139">
        <v>598682</v>
      </c>
      <c r="H8" s="139">
        <v>684712</v>
      </c>
      <c r="I8" s="139">
        <v>941910</v>
      </c>
      <c r="J8" s="139">
        <v>1080152</v>
      </c>
    </row>
    <row r="9" spans="1:49" s="140" customFormat="1" ht="50.1" customHeight="1" x14ac:dyDescent="0.4">
      <c r="A9" s="141" t="s">
        <v>35</v>
      </c>
      <c r="B9" s="142" t="s">
        <v>12</v>
      </c>
      <c r="C9" s="139">
        <v>135849</v>
      </c>
      <c r="D9" s="139" t="s">
        <v>66</v>
      </c>
      <c r="E9" s="139">
        <v>303936</v>
      </c>
      <c r="F9" s="139">
        <v>303936</v>
      </c>
      <c r="G9" s="139">
        <v>468410</v>
      </c>
      <c r="H9" s="139">
        <v>468410</v>
      </c>
      <c r="I9" s="139">
        <v>736121</v>
      </c>
      <c r="J9" s="139">
        <v>736121</v>
      </c>
    </row>
    <row r="10" spans="1:49" s="140" customFormat="1" ht="50.1" customHeight="1" x14ac:dyDescent="0.4">
      <c r="A10" s="143" t="s">
        <v>36</v>
      </c>
      <c r="B10" s="144" t="s">
        <v>84</v>
      </c>
      <c r="C10" s="139">
        <v>35766</v>
      </c>
      <c r="D10" s="139" t="s">
        <v>66</v>
      </c>
      <c r="E10" s="139">
        <v>91929</v>
      </c>
      <c r="F10" s="139">
        <v>91929</v>
      </c>
      <c r="G10" s="139">
        <v>146396</v>
      </c>
      <c r="H10" s="139">
        <v>146396</v>
      </c>
      <c r="I10" s="139">
        <v>250080</v>
      </c>
      <c r="J10" s="139">
        <v>250080</v>
      </c>
    </row>
    <row r="11" spans="1:49" s="149" customFormat="1" ht="50.1" customHeight="1" x14ac:dyDescent="0.35">
      <c r="A11" s="145" t="s">
        <v>37</v>
      </c>
      <c r="B11" s="146" t="s">
        <v>13</v>
      </c>
      <c r="C11" s="147">
        <v>0</v>
      </c>
      <c r="D11" s="147" t="s">
        <v>66</v>
      </c>
      <c r="E11" s="147">
        <v>11982</v>
      </c>
      <c r="F11" s="147">
        <v>11982</v>
      </c>
      <c r="G11" s="147">
        <v>16800</v>
      </c>
      <c r="H11" s="147">
        <v>16800</v>
      </c>
      <c r="I11" s="147">
        <v>42532</v>
      </c>
      <c r="J11" s="147">
        <v>42532</v>
      </c>
    </row>
    <row r="12" spans="1:49" s="149" customFormat="1" ht="50.1" customHeight="1" x14ac:dyDescent="0.35">
      <c r="A12" s="145" t="s">
        <v>38</v>
      </c>
      <c r="B12" s="146" t="s">
        <v>14</v>
      </c>
      <c r="C12" s="147">
        <v>9570</v>
      </c>
      <c r="D12" s="147" t="s">
        <v>66</v>
      </c>
      <c r="E12" s="147">
        <v>17400</v>
      </c>
      <c r="F12" s="147">
        <v>17400</v>
      </c>
      <c r="G12" s="147">
        <v>26200</v>
      </c>
      <c r="H12" s="147">
        <v>26200</v>
      </c>
      <c r="I12" s="147">
        <v>34480</v>
      </c>
      <c r="J12" s="147">
        <v>34480</v>
      </c>
    </row>
    <row r="13" spans="1:49" s="149" customFormat="1" ht="50.1" customHeight="1" x14ac:dyDescent="0.35">
      <c r="A13" s="145" t="s">
        <v>39</v>
      </c>
      <c r="B13" s="146" t="s">
        <v>15</v>
      </c>
      <c r="C13" s="147">
        <v>0</v>
      </c>
      <c r="D13" s="147" t="s">
        <v>66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</row>
    <row r="14" spans="1:49" s="149" customFormat="1" ht="50.1" customHeight="1" x14ac:dyDescent="0.35">
      <c r="A14" s="145" t="s">
        <v>40</v>
      </c>
      <c r="B14" s="146" t="s">
        <v>16</v>
      </c>
      <c r="C14" s="147">
        <v>10630</v>
      </c>
      <c r="D14" s="147" t="s">
        <v>66</v>
      </c>
      <c r="E14" s="147">
        <v>27308</v>
      </c>
      <c r="F14" s="147">
        <v>27308</v>
      </c>
      <c r="G14" s="147">
        <v>50273</v>
      </c>
      <c r="H14" s="147">
        <v>50273</v>
      </c>
      <c r="I14" s="147">
        <v>85762</v>
      </c>
      <c r="J14" s="147">
        <v>85762</v>
      </c>
    </row>
    <row r="15" spans="1:49" s="149" customFormat="1" ht="50.1" customHeight="1" x14ac:dyDescent="0.35">
      <c r="A15" s="145" t="s">
        <v>63</v>
      </c>
      <c r="B15" s="146" t="s">
        <v>17</v>
      </c>
      <c r="C15" s="147">
        <v>15566</v>
      </c>
      <c r="D15" s="147" t="s">
        <v>66</v>
      </c>
      <c r="E15" s="147">
        <v>35239</v>
      </c>
      <c r="F15" s="147">
        <v>35239</v>
      </c>
      <c r="G15" s="147">
        <v>53123</v>
      </c>
      <c r="H15" s="147">
        <v>53123</v>
      </c>
      <c r="I15" s="147">
        <v>87306</v>
      </c>
      <c r="J15" s="147">
        <v>87306</v>
      </c>
    </row>
    <row r="16" spans="1:49" s="140" customFormat="1" ht="50.1" customHeight="1" x14ac:dyDescent="0.4">
      <c r="A16" s="143" t="s">
        <v>41</v>
      </c>
      <c r="B16" s="144" t="s">
        <v>18</v>
      </c>
      <c r="C16" s="139">
        <v>15284</v>
      </c>
      <c r="D16" s="139" t="s">
        <v>66</v>
      </c>
      <c r="E16" s="139">
        <v>31013</v>
      </c>
      <c r="F16" s="139">
        <v>31013</v>
      </c>
      <c r="G16" s="139">
        <v>45254</v>
      </c>
      <c r="H16" s="139">
        <v>45254</v>
      </c>
      <c r="I16" s="139">
        <v>58907</v>
      </c>
      <c r="J16" s="139">
        <v>58907</v>
      </c>
    </row>
    <row r="17" spans="1:10" s="140" customFormat="1" ht="50.1" customHeight="1" x14ac:dyDescent="0.4">
      <c r="A17" s="143" t="s">
        <v>42</v>
      </c>
      <c r="B17" s="144" t="s">
        <v>19</v>
      </c>
      <c r="C17" s="139">
        <v>75310</v>
      </c>
      <c r="D17" s="139" t="s">
        <v>66</v>
      </c>
      <c r="E17" s="139">
        <v>161012</v>
      </c>
      <c r="F17" s="139">
        <v>161012</v>
      </c>
      <c r="G17" s="139">
        <v>247478</v>
      </c>
      <c r="H17" s="139">
        <v>247478</v>
      </c>
      <c r="I17" s="139">
        <v>350576</v>
      </c>
      <c r="J17" s="139">
        <v>350576</v>
      </c>
    </row>
    <row r="18" spans="1:10" s="140" customFormat="1" ht="50.1" customHeight="1" x14ac:dyDescent="0.4">
      <c r="A18" s="143" t="s">
        <v>43</v>
      </c>
      <c r="B18" s="144" t="s">
        <v>85</v>
      </c>
      <c r="C18" s="139">
        <v>9489</v>
      </c>
      <c r="D18" s="139" t="s">
        <v>66</v>
      </c>
      <c r="E18" s="139">
        <v>19982</v>
      </c>
      <c r="F18" s="139">
        <v>19982</v>
      </c>
      <c r="G18" s="139">
        <v>29271</v>
      </c>
      <c r="H18" s="139">
        <v>29271</v>
      </c>
      <c r="I18" s="139">
        <v>42020</v>
      </c>
      <c r="J18" s="139">
        <v>42020</v>
      </c>
    </row>
    <row r="19" spans="1:10" s="140" customFormat="1" ht="50.1" customHeight="1" x14ac:dyDescent="0.4">
      <c r="A19" s="143" t="s">
        <v>44</v>
      </c>
      <c r="B19" s="144" t="s">
        <v>21</v>
      </c>
      <c r="C19" s="139">
        <v>0</v>
      </c>
      <c r="D19" s="139" t="s">
        <v>66</v>
      </c>
      <c r="E19" s="139">
        <v>0</v>
      </c>
      <c r="F19" s="139">
        <v>0</v>
      </c>
      <c r="G19" s="139">
        <v>11</v>
      </c>
      <c r="H19" s="139">
        <v>11</v>
      </c>
      <c r="I19" s="139">
        <v>34538</v>
      </c>
      <c r="J19" s="139">
        <v>34538</v>
      </c>
    </row>
    <row r="20" spans="1:10" s="140" customFormat="1" ht="50.1" customHeight="1" x14ac:dyDescent="0.4">
      <c r="A20" s="150" t="s">
        <v>45</v>
      </c>
      <c r="B20" s="142" t="s">
        <v>22</v>
      </c>
      <c r="C20" s="139">
        <v>270</v>
      </c>
      <c r="D20" s="139" t="s">
        <v>66</v>
      </c>
      <c r="E20" s="139">
        <v>484</v>
      </c>
      <c r="F20" s="139">
        <v>484</v>
      </c>
      <c r="G20" s="139">
        <v>969</v>
      </c>
      <c r="H20" s="139">
        <v>969</v>
      </c>
      <c r="I20" s="139">
        <v>2609</v>
      </c>
      <c r="J20" s="139">
        <v>2609</v>
      </c>
    </row>
    <row r="21" spans="1:10" s="153" customFormat="1" ht="50.1" customHeight="1" x14ac:dyDescent="0.25">
      <c r="A21" s="151" t="s">
        <v>46</v>
      </c>
      <c r="B21" s="152" t="s">
        <v>23</v>
      </c>
      <c r="C21" s="147" t="s">
        <v>66</v>
      </c>
      <c r="D21" s="147" t="s">
        <v>66</v>
      </c>
      <c r="E21" s="147">
        <v>324</v>
      </c>
      <c r="F21" s="147">
        <v>324</v>
      </c>
      <c r="G21" s="147">
        <v>678</v>
      </c>
      <c r="H21" s="147">
        <v>678</v>
      </c>
      <c r="I21" s="147">
        <v>768</v>
      </c>
      <c r="J21" s="147">
        <v>768</v>
      </c>
    </row>
    <row r="22" spans="1:10" s="153" customFormat="1" ht="50.1" customHeight="1" x14ac:dyDescent="0.25">
      <c r="A22" s="151" t="s">
        <v>47</v>
      </c>
      <c r="B22" s="152" t="s">
        <v>24</v>
      </c>
      <c r="C22" s="147" t="s">
        <v>66</v>
      </c>
      <c r="D22" s="147" t="s">
        <v>66</v>
      </c>
      <c r="E22" s="147">
        <v>160</v>
      </c>
      <c r="F22" s="147">
        <v>160</v>
      </c>
      <c r="G22" s="147">
        <v>291</v>
      </c>
      <c r="H22" s="147">
        <v>291</v>
      </c>
      <c r="I22" s="147">
        <v>1841</v>
      </c>
      <c r="J22" s="147">
        <v>1841</v>
      </c>
    </row>
    <row r="23" spans="1:10" s="140" customFormat="1" ht="50.1" customHeight="1" x14ac:dyDescent="0.4">
      <c r="A23" s="141" t="s">
        <v>48</v>
      </c>
      <c r="B23" s="142" t="s">
        <v>25</v>
      </c>
      <c r="C23" s="139">
        <v>38377</v>
      </c>
      <c r="D23" s="139" t="s">
        <v>66</v>
      </c>
      <c r="E23" s="139">
        <v>83844</v>
      </c>
      <c r="F23" s="139">
        <v>135901</v>
      </c>
      <c r="G23" s="139">
        <v>129303</v>
      </c>
      <c r="H23" s="139">
        <v>215333</v>
      </c>
      <c r="I23" s="139">
        <f>I24+I32+I33+I34</f>
        <v>203180</v>
      </c>
      <c r="J23" s="139">
        <f>J24+J32+J33+J34</f>
        <v>341422</v>
      </c>
    </row>
    <row r="24" spans="1:10" s="140" customFormat="1" ht="50.1" customHeight="1" x14ac:dyDescent="0.4">
      <c r="A24" s="143" t="s">
        <v>100</v>
      </c>
      <c r="B24" s="144" t="s">
        <v>26</v>
      </c>
      <c r="C24" s="139">
        <v>11517</v>
      </c>
      <c r="D24" s="139" t="s">
        <v>66</v>
      </c>
      <c r="E24" s="139">
        <v>30207</v>
      </c>
      <c r="F24" s="139">
        <v>36792</v>
      </c>
      <c r="G24" s="139">
        <v>51768</v>
      </c>
      <c r="H24" s="139">
        <v>64742</v>
      </c>
      <c r="I24" s="139">
        <v>70354</v>
      </c>
      <c r="J24" s="139">
        <v>101047</v>
      </c>
    </row>
    <row r="25" spans="1:10" s="149" customFormat="1" ht="50.1" customHeight="1" x14ac:dyDescent="0.35">
      <c r="A25" s="145" t="s">
        <v>37</v>
      </c>
      <c r="B25" s="146" t="s">
        <v>13</v>
      </c>
      <c r="C25" s="147">
        <v>150</v>
      </c>
      <c r="D25" s="147" t="s">
        <v>66</v>
      </c>
      <c r="E25" s="147">
        <v>523</v>
      </c>
      <c r="F25" s="147">
        <v>523</v>
      </c>
      <c r="G25" s="147">
        <v>533</v>
      </c>
      <c r="H25" s="147">
        <v>533</v>
      </c>
      <c r="I25" s="147">
        <v>1278</v>
      </c>
      <c r="J25" s="147">
        <v>1278</v>
      </c>
    </row>
    <row r="26" spans="1:10" s="149" customFormat="1" ht="50.1" customHeight="1" x14ac:dyDescent="0.35">
      <c r="A26" s="145" t="s">
        <v>49</v>
      </c>
      <c r="B26" s="146" t="s">
        <v>14</v>
      </c>
      <c r="C26" s="147">
        <v>6600</v>
      </c>
      <c r="D26" s="147" t="s">
        <v>66</v>
      </c>
      <c r="E26" s="147">
        <v>16302</v>
      </c>
      <c r="F26" s="147">
        <v>16302</v>
      </c>
      <c r="G26" s="147">
        <v>23807</v>
      </c>
      <c r="H26" s="147">
        <v>23807</v>
      </c>
      <c r="I26" s="147">
        <v>30308</v>
      </c>
      <c r="J26" s="147">
        <v>30308</v>
      </c>
    </row>
    <row r="27" spans="1:10" s="154" customFormat="1" ht="50.1" customHeight="1" x14ac:dyDescent="0.35">
      <c r="A27" s="145" t="s">
        <v>39</v>
      </c>
      <c r="B27" s="146" t="s">
        <v>15</v>
      </c>
      <c r="C27" s="147">
        <v>0</v>
      </c>
      <c r="D27" s="147" t="s">
        <v>66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</row>
    <row r="28" spans="1:10" s="154" customFormat="1" ht="50.1" customHeight="1" x14ac:dyDescent="0.35">
      <c r="A28" s="145" t="s">
        <v>50</v>
      </c>
      <c r="B28" s="146" t="s">
        <v>27</v>
      </c>
      <c r="C28" s="147">
        <v>2045</v>
      </c>
      <c r="D28" s="147" t="s">
        <v>66</v>
      </c>
      <c r="E28" s="147">
        <v>4165</v>
      </c>
      <c r="F28" s="147">
        <v>4165</v>
      </c>
      <c r="G28" s="147">
        <v>9714</v>
      </c>
      <c r="H28" s="147">
        <v>9714</v>
      </c>
      <c r="I28" s="147">
        <v>10817</v>
      </c>
      <c r="J28" s="147">
        <v>10817</v>
      </c>
    </row>
    <row r="29" spans="1:10" s="149" customFormat="1" ht="50.1" customHeight="1" x14ac:dyDescent="0.35">
      <c r="A29" s="145" t="s">
        <v>51</v>
      </c>
      <c r="B29" s="146" t="s">
        <v>28</v>
      </c>
      <c r="C29" s="147">
        <v>20</v>
      </c>
      <c r="D29" s="147" t="s">
        <v>66</v>
      </c>
      <c r="E29" s="147">
        <v>1424</v>
      </c>
      <c r="F29" s="147">
        <v>1424</v>
      </c>
      <c r="G29" s="147">
        <v>3833</v>
      </c>
      <c r="H29" s="147">
        <v>3833</v>
      </c>
      <c r="I29" s="147">
        <v>5408</v>
      </c>
      <c r="J29" s="147">
        <v>5408</v>
      </c>
    </row>
    <row r="30" spans="1:10" s="149" customFormat="1" ht="50.1" customHeight="1" x14ac:dyDescent="0.35">
      <c r="A30" s="155" t="s">
        <v>52</v>
      </c>
      <c r="B30" s="146" t="s">
        <v>29</v>
      </c>
      <c r="C30" s="147" t="s">
        <v>66</v>
      </c>
      <c r="D30" s="147" t="s">
        <v>66</v>
      </c>
      <c r="E30" s="147">
        <v>535</v>
      </c>
      <c r="F30" s="147">
        <v>535</v>
      </c>
      <c r="G30" s="148">
        <v>535</v>
      </c>
      <c r="H30" s="147">
        <v>535</v>
      </c>
      <c r="I30" s="147">
        <v>276</v>
      </c>
      <c r="J30" s="147">
        <v>276</v>
      </c>
    </row>
    <row r="31" spans="1:10" s="154" customFormat="1" ht="50.1" customHeight="1" x14ac:dyDescent="0.35">
      <c r="A31" s="145" t="s">
        <v>53</v>
      </c>
      <c r="B31" s="146" t="s">
        <v>0</v>
      </c>
      <c r="C31" s="147" t="s">
        <v>66</v>
      </c>
      <c r="D31" s="147" t="s">
        <v>66</v>
      </c>
      <c r="E31" s="147">
        <v>7258</v>
      </c>
      <c r="F31" s="147">
        <v>13843</v>
      </c>
      <c r="G31" s="148">
        <v>13346</v>
      </c>
      <c r="H31" s="147">
        <v>26320</v>
      </c>
      <c r="I31" s="147">
        <v>22267</v>
      </c>
      <c r="J31" s="147">
        <v>52960</v>
      </c>
    </row>
    <row r="32" spans="1:10" s="157" customFormat="1" ht="50.1" customHeight="1" x14ac:dyDescent="0.4">
      <c r="A32" s="158" t="s">
        <v>99</v>
      </c>
      <c r="B32" s="156" t="s">
        <v>30</v>
      </c>
      <c r="C32" s="139">
        <v>12082</v>
      </c>
      <c r="D32" s="139" t="s">
        <v>66</v>
      </c>
      <c r="E32" s="139">
        <v>23288</v>
      </c>
      <c r="F32" s="139">
        <v>23288</v>
      </c>
      <c r="G32" s="139">
        <v>38328</v>
      </c>
      <c r="H32" s="139">
        <v>38328</v>
      </c>
      <c r="I32" s="139">
        <v>53565</v>
      </c>
      <c r="J32" s="139">
        <v>53565</v>
      </c>
    </row>
    <row r="33" spans="1:10" s="157" customFormat="1" ht="50.1" customHeight="1" x14ac:dyDescent="0.4">
      <c r="A33" s="158" t="s">
        <v>54</v>
      </c>
      <c r="B33" s="156" t="s">
        <v>31</v>
      </c>
      <c r="C33" s="139" t="s">
        <v>66</v>
      </c>
      <c r="D33" s="139" t="s">
        <v>66</v>
      </c>
      <c r="E33" s="139">
        <v>14757</v>
      </c>
      <c r="F33" s="139">
        <v>14757</v>
      </c>
      <c r="G33" s="139">
        <v>19773</v>
      </c>
      <c r="H33" s="139">
        <v>19773</v>
      </c>
      <c r="I33" s="139">
        <v>41749</v>
      </c>
      <c r="J33" s="139">
        <v>41749</v>
      </c>
    </row>
    <row r="34" spans="1:10" s="157" customFormat="1" ht="50.1" customHeight="1" x14ac:dyDescent="0.4">
      <c r="A34" s="159" t="s">
        <v>53</v>
      </c>
      <c r="B34" s="160" t="s">
        <v>0</v>
      </c>
      <c r="C34" s="161" t="s">
        <v>66</v>
      </c>
      <c r="D34" s="161" t="s">
        <v>66</v>
      </c>
      <c r="E34" s="161">
        <v>15592</v>
      </c>
      <c r="F34" s="161">
        <v>61064</v>
      </c>
      <c r="G34" s="161">
        <v>19434</v>
      </c>
      <c r="H34" s="161">
        <v>92490</v>
      </c>
      <c r="I34" s="161">
        <v>37512</v>
      </c>
      <c r="J34" s="161">
        <v>145061</v>
      </c>
    </row>
    <row r="35" spans="1:10" s="122" customFormat="1" ht="22.35" customHeight="1" x14ac:dyDescent="0.3">
      <c r="A35" s="123" t="s">
        <v>69</v>
      </c>
      <c r="B35" s="124" t="s">
        <v>70</v>
      </c>
      <c r="C35" s="125"/>
      <c r="D35" s="125"/>
      <c r="E35" s="126"/>
      <c r="F35" s="126"/>
      <c r="G35" s="126"/>
      <c r="H35" s="126"/>
      <c r="I35" s="126"/>
      <c r="J35" s="126"/>
    </row>
    <row r="36" spans="1:10" ht="87.6" customHeight="1" x14ac:dyDescent="0.3">
      <c r="A36" s="128" t="s">
        <v>57</v>
      </c>
      <c r="B36" s="129" t="s">
        <v>56</v>
      </c>
      <c r="C36" s="107"/>
      <c r="D36" s="107"/>
      <c r="E36" s="116"/>
      <c r="F36" s="116"/>
      <c r="G36" s="116"/>
      <c r="H36" s="116"/>
      <c r="I36" s="116"/>
      <c r="J36" s="116"/>
    </row>
    <row r="37" spans="1:10" ht="29.4" customHeight="1" x14ac:dyDescent="0.3">
      <c r="A37" s="115"/>
      <c r="B37" s="199" t="s">
        <v>59</v>
      </c>
      <c r="C37" s="107"/>
      <c r="D37" s="107"/>
      <c r="E37" s="116"/>
      <c r="F37" s="116"/>
      <c r="G37" s="116"/>
      <c r="H37" s="116"/>
      <c r="I37" s="116"/>
      <c r="J37" s="116"/>
    </row>
    <row r="38" spans="1:10" ht="36.6" customHeight="1" x14ac:dyDescent="0.3">
      <c r="A38" s="128" t="s">
        <v>68</v>
      </c>
      <c r="B38" s="364" t="s">
        <v>78</v>
      </c>
      <c r="C38" s="364"/>
      <c r="D38" s="107"/>
      <c r="E38" s="116"/>
      <c r="F38" s="116"/>
      <c r="G38" s="116"/>
      <c r="H38" s="116"/>
      <c r="I38" s="116"/>
      <c r="J38" s="116"/>
    </row>
    <row r="39" spans="1:10" ht="22.35" customHeight="1" x14ac:dyDescent="0.3">
      <c r="A39" s="198" t="s">
        <v>74</v>
      </c>
      <c r="B39" s="199" t="s">
        <v>71</v>
      </c>
      <c r="C39" s="200"/>
      <c r="D39" s="107"/>
      <c r="E39" s="116"/>
      <c r="F39" s="116"/>
      <c r="G39" s="116"/>
      <c r="H39" s="116"/>
      <c r="I39" s="116"/>
      <c r="J39" s="116"/>
    </row>
    <row r="40" spans="1:10" ht="22.35" customHeight="1" x14ac:dyDescent="0.3">
      <c r="B40" s="133"/>
      <c r="C40" s="134"/>
      <c r="D40" s="134"/>
      <c r="E40" s="134"/>
      <c r="F40" s="134"/>
      <c r="G40" s="132"/>
    </row>
    <row r="41" spans="1:10" ht="22.35" customHeight="1" x14ac:dyDescent="0.3"/>
    <row r="42" spans="1:10" ht="22.35" customHeight="1" x14ac:dyDescent="0.3"/>
    <row r="43" spans="1:10" ht="22.35" customHeight="1" x14ac:dyDescent="0.3"/>
    <row r="44" spans="1:10" ht="22.35" customHeight="1" x14ac:dyDescent="0.3"/>
    <row r="45" spans="1:10" ht="22.35" customHeight="1" x14ac:dyDescent="0.3"/>
    <row r="46" spans="1:10" ht="22.35" customHeight="1" x14ac:dyDescent="0.3"/>
    <row r="47" spans="1:10" ht="22.35" customHeight="1" x14ac:dyDescent="0.3"/>
    <row r="48" spans="1:10" ht="22.35" customHeight="1" x14ac:dyDescent="0.3"/>
    <row r="49" ht="22.35" customHeight="1" x14ac:dyDescent="0.3"/>
    <row r="50" ht="22.35" customHeight="1" x14ac:dyDescent="0.3"/>
    <row r="51" ht="22.35" customHeight="1" x14ac:dyDescent="0.3"/>
    <row r="52" ht="22.35" customHeight="1" x14ac:dyDescent="0.3"/>
    <row r="53" ht="22.35" customHeight="1" x14ac:dyDescent="0.3"/>
    <row r="54" ht="22.35" customHeight="1" x14ac:dyDescent="0.3"/>
    <row r="55" ht="22.35" customHeight="1" x14ac:dyDescent="0.3"/>
    <row r="56" ht="22.35" customHeight="1" x14ac:dyDescent="0.3"/>
    <row r="57" ht="22.35" customHeight="1" x14ac:dyDescent="0.3"/>
    <row r="58" ht="22.35" customHeight="1" x14ac:dyDescent="0.3"/>
    <row r="59" ht="22.35" customHeight="1" x14ac:dyDescent="0.3"/>
    <row r="60" ht="22.35" customHeight="1" x14ac:dyDescent="0.3"/>
    <row r="61" ht="22.35" customHeight="1" x14ac:dyDescent="0.3"/>
    <row r="62" ht="22.35" customHeight="1" x14ac:dyDescent="0.3"/>
    <row r="63" ht="22.35" customHeight="1" x14ac:dyDescent="0.3"/>
    <row r="64" ht="22.35" customHeight="1" x14ac:dyDescent="0.3"/>
    <row r="65" ht="22.35" customHeight="1" x14ac:dyDescent="0.3"/>
    <row r="66" ht="22.35" customHeight="1" x14ac:dyDescent="0.3"/>
    <row r="67" ht="22.35" customHeight="1" x14ac:dyDescent="0.3"/>
    <row r="68" ht="22.35" customHeight="1" x14ac:dyDescent="0.3"/>
    <row r="69" ht="22.35" customHeight="1" x14ac:dyDescent="0.3"/>
    <row r="70" ht="22.35" customHeight="1" x14ac:dyDescent="0.3"/>
    <row r="71" ht="22.35" customHeight="1" x14ac:dyDescent="0.3"/>
    <row r="72" ht="22.35" customHeight="1" x14ac:dyDescent="0.3"/>
    <row r="73" ht="22.35" customHeight="1" x14ac:dyDescent="0.3"/>
    <row r="74" ht="22.35" customHeight="1" x14ac:dyDescent="0.3"/>
    <row r="75" ht="22.35" customHeight="1" x14ac:dyDescent="0.3"/>
    <row r="76" ht="22.35" customHeight="1" x14ac:dyDescent="0.3"/>
    <row r="77" ht="22.35" customHeight="1" x14ac:dyDescent="0.3"/>
    <row r="78" ht="22.35" customHeight="1" x14ac:dyDescent="0.3"/>
    <row r="79" ht="22.35" customHeight="1" x14ac:dyDescent="0.3"/>
    <row r="80" ht="22.35" customHeight="1" x14ac:dyDescent="0.3"/>
    <row r="81" ht="22.35" customHeight="1" x14ac:dyDescent="0.3"/>
    <row r="82" ht="22.35" customHeight="1" x14ac:dyDescent="0.3"/>
    <row r="83" ht="22.35" customHeight="1" x14ac:dyDescent="0.3"/>
    <row r="84" ht="22.35" customHeight="1" x14ac:dyDescent="0.3"/>
    <row r="85" ht="22.35" customHeight="1" x14ac:dyDescent="0.3"/>
    <row r="86" ht="22.35" customHeight="1" x14ac:dyDescent="0.3"/>
    <row r="87" ht="22.35" customHeight="1" x14ac:dyDescent="0.3"/>
    <row r="88" ht="22.35" customHeight="1" x14ac:dyDescent="0.3"/>
    <row r="89" ht="22.35" customHeight="1" x14ac:dyDescent="0.3"/>
    <row r="90" ht="22.35" customHeight="1" x14ac:dyDescent="0.3"/>
    <row r="91" ht="22.35" customHeight="1" x14ac:dyDescent="0.3"/>
    <row r="92" ht="22.35" customHeight="1" x14ac:dyDescent="0.3"/>
    <row r="93" ht="22.35" customHeight="1" x14ac:dyDescent="0.3"/>
    <row r="94" ht="22.35" customHeight="1" x14ac:dyDescent="0.3"/>
    <row r="95" ht="22.35" customHeight="1" x14ac:dyDescent="0.3"/>
    <row r="96" ht="22.35" customHeight="1" x14ac:dyDescent="0.3"/>
    <row r="97" ht="22.35" customHeight="1" x14ac:dyDescent="0.3"/>
    <row r="98" ht="22.35" customHeight="1" x14ac:dyDescent="0.3"/>
    <row r="99" ht="22.35" customHeight="1" x14ac:dyDescent="0.3"/>
    <row r="100" ht="22.35" customHeight="1" x14ac:dyDescent="0.3"/>
    <row r="101" ht="22.35" customHeight="1" x14ac:dyDescent="0.3"/>
    <row r="102" ht="22.35" customHeight="1" x14ac:dyDescent="0.3"/>
    <row r="103" ht="22.35" customHeight="1" x14ac:dyDescent="0.3"/>
    <row r="104" ht="22.35" customHeight="1" x14ac:dyDescent="0.3"/>
    <row r="105" ht="22.35" customHeight="1" x14ac:dyDescent="0.3"/>
    <row r="106" ht="22.35" customHeight="1" x14ac:dyDescent="0.3"/>
    <row r="107" ht="22.35" customHeight="1" x14ac:dyDescent="0.3"/>
    <row r="108" ht="22.35" customHeight="1" x14ac:dyDescent="0.3"/>
    <row r="109" ht="22.35" customHeight="1" x14ac:dyDescent="0.3"/>
    <row r="110" ht="22.35" customHeight="1" x14ac:dyDescent="0.3"/>
    <row r="111" ht="22.35" customHeight="1" x14ac:dyDescent="0.3"/>
    <row r="112" ht="22.35" customHeight="1" x14ac:dyDescent="0.3"/>
    <row r="113" ht="22.35" customHeight="1" x14ac:dyDescent="0.3"/>
    <row r="114" ht="22.35" customHeight="1" x14ac:dyDescent="0.3"/>
    <row r="115" ht="22.35" customHeight="1" x14ac:dyDescent="0.3"/>
    <row r="116" ht="22.35" customHeight="1" x14ac:dyDescent="0.3"/>
    <row r="117" ht="22.35" customHeight="1" x14ac:dyDescent="0.3"/>
    <row r="118" ht="22.35" customHeight="1" x14ac:dyDescent="0.3"/>
    <row r="119" ht="22.35" customHeight="1" x14ac:dyDescent="0.3"/>
    <row r="120" ht="22.35" customHeight="1" x14ac:dyDescent="0.3"/>
    <row r="121" ht="22.35" customHeight="1" x14ac:dyDescent="0.3"/>
    <row r="122" ht="22.35" customHeight="1" x14ac:dyDescent="0.3"/>
    <row r="123" ht="22.35" customHeight="1" x14ac:dyDescent="0.3"/>
    <row r="124" ht="22.35" customHeight="1" x14ac:dyDescent="0.3"/>
    <row r="125" ht="22.35" customHeight="1" x14ac:dyDescent="0.3"/>
    <row r="126" ht="22.35" customHeight="1" x14ac:dyDescent="0.3"/>
    <row r="127" ht="22.35" customHeight="1" x14ac:dyDescent="0.3"/>
    <row r="128" ht="22.35" customHeight="1" x14ac:dyDescent="0.3"/>
    <row r="129" ht="22.35" customHeight="1" x14ac:dyDescent="0.3"/>
    <row r="130" ht="22.35" customHeight="1" x14ac:dyDescent="0.3"/>
    <row r="131" ht="22.35" customHeight="1" x14ac:dyDescent="0.3"/>
    <row r="132" ht="22.35" customHeight="1" x14ac:dyDescent="0.3"/>
    <row r="133" ht="22.35" customHeight="1" x14ac:dyDescent="0.3"/>
    <row r="134" ht="22.35" customHeight="1" x14ac:dyDescent="0.3"/>
    <row r="135" ht="22.35" customHeight="1" x14ac:dyDescent="0.3"/>
    <row r="136" ht="22.35" customHeight="1" x14ac:dyDescent="0.3"/>
    <row r="137" ht="22.35" customHeight="1" x14ac:dyDescent="0.3"/>
    <row r="138" ht="22.35" customHeight="1" x14ac:dyDescent="0.3"/>
    <row r="139" ht="22.35" customHeight="1" x14ac:dyDescent="0.3"/>
    <row r="140" ht="22.35" customHeight="1" x14ac:dyDescent="0.3"/>
    <row r="141" ht="22.35" customHeight="1" x14ac:dyDescent="0.3"/>
    <row r="142" ht="22.35" customHeight="1" x14ac:dyDescent="0.3"/>
    <row r="143" ht="22.35" customHeight="1" x14ac:dyDescent="0.3"/>
    <row r="144" ht="22.35" customHeight="1" x14ac:dyDescent="0.3"/>
    <row r="145" ht="22.35" customHeight="1" x14ac:dyDescent="0.3"/>
    <row r="146" ht="22.35" customHeight="1" x14ac:dyDescent="0.3"/>
    <row r="147" ht="22.35" customHeight="1" x14ac:dyDescent="0.3"/>
    <row r="148" ht="22.35" customHeight="1" x14ac:dyDescent="0.3"/>
    <row r="149" ht="22.35" customHeight="1" x14ac:dyDescent="0.3"/>
    <row r="150" ht="22.35" customHeight="1" x14ac:dyDescent="0.3"/>
    <row r="151" ht="22.35" customHeight="1" x14ac:dyDescent="0.3"/>
    <row r="152" ht="22.35" customHeight="1" x14ac:dyDescent="0.3"/>
    <row r="153" ht="22.35" customHeight="1" x14ac:dyDescent="0.3"/>
    <row r="154" ht="22.35" customHeight="1" x14ac:dyDescent="0.3"/>
    <row r="155" ht="22.35" customHeight="1" x14ac:dyDescent="0.3"/>
    <row r="156" ht="22.35" customHeight="1" x14ac:dyDescent="0.3"/>
    <row r="157" ht="22.35" customHeight="1" x14ac:dyDescent="0.3"/>
    <row r="158" ht="22.35" customHeight="1" x14ac:dyDescent="0.3"/>
    <row r="159" ht="22.35" customHeight="1" x14ac:dyDescent="0.3"/>
    <row r="160" ht="22.35" customHeight="1" x14ac:dyDescent="0.3"/>
    <row r="161" ht="22.35" customHeight="1" x14ac:dyDescent="0.3"/>
    <row r="162" ht="22.35" customHeight="1" x14ac:dyDescent="0.3"/>
    <row r="163" ht="22.35" customHeight="1" x14ac:dyDescent="0.3"/>
    <row r="164" ht="22.35" customHeight="1" x14ac:dyDescent="0.3"/>
    <row r="165" ht="22.35" customHeight="1" x14ac:dyDescent="0.3"/>
    <row r="166" ht="22.35" customHeight="1" x14ac:dyDescent="0.3"/>
    <row r="167" ht="22.35" customHeight="1" x14ac:dyDescent="0.3"/>
    <row r="168" ht="22.35" customHeight="1" x14ac:dyDescent="0.3"/>
    <row r="169" ht="22.35" customHeight="1" x14ac:dyDescent="0.3"/>
    <row r="170" ht="22.35" customHeight="1" x14ac:dyDescent="0.3"/>
    <row r="171" ht="22.35" customHeight="1" x14ac:dyDescent="0.3"/>
    <row r="172" ht="22.35" customHeight="1" x14ac:dyDescent="0.3"/>
    <row r="173" ht="22.35" customHeight="1" x14ac:dyDescent="0.3"/>
    <row r="174" ht="22.35" customHeight="1" x14ac:dyDescent="0.3"/>
    <row r="175" ht="22.35" customHeight="1" x14ac:dyDescent="0.3"/>
    <row r="176" ht="22.35" customHeight="1" x14ac:dyDescent="0.3"/>
    <row r="177" ht="22.35" customHeight="1" x14ac:dyDescent="0.3"/>
    <row r="178" ht="22.35" customHeight="1" x14ac:dyDescent="0.3"/>
    <row r="179" ht="22.35" customHeight="1" x14ac:dyDescent="0.3"/>
    <row r="180" ht="22.35" customHeight="1" x14ac:dyDescent="0.3"/>
    <row r="181" ht="22.35" customHeight="1" x14ac:dyDescent="0.3"/>
    <row r="182" ht="22.35" customHeight="1" x14ac:dyDescent="0.3"/>
    <row r="183" ht="22.35" customHeight="1" x14ac:dyDescent="0.3"/>
    <row r="184" ht="22.35" customHeight="1" x14ac:dyDescent="0.3"/>
    <row r="185" ht="22.35" customHeight="1" x14ac:dyDescent="0.3"/>
    <row r="186" ht="22.35" customHeight="1" x14ac:dyDescent="0.3"/>
    <row r="187" ht="22.35" customHeight="1" x14ac:dyDescent="0.3"/>
    <row r="188" ht="22.35" customHeight="1" x14ac:dyDescent="0.3"/>
    <row r="189" ht="22.35" customHeight="1" x14ac:dyDescent="0.3"/>
    <row r="190" ht="22.35" customHeight="1" x14ac:dyDescent="0.3"/>
    <row r="191" ht="22.35" customHeight="1" x14ac:dyDescent="0.3"/>
    <row r="192" ht="22.35" customHeight="1" x14ac:dyDescent="0.3"/>
    <row r="193" ht="22.35" customHeight="1" x14ac:dyDescent="0.3"/>
    <row r="194" ht="22.35" customHeight="1" x14ac:dyDescent="0.3"/>
    <row r="195" ht="22.35" customHeight="1" x14ac:dyDescent="0.3"/>
    <row r="196" ht="22.35" customHeight="1" x14ac:dyDescent="0.3"/>
    <row r="197" ht="22.35" customHeight="1" x14ac:dyDescent="0.3"/>
    <row r="198" ht="22.35" customHeight="1" x14ac:dyDescent="0.3"/>
    <row r="199" ht="22.35" customHeight="1" x14ac:dyDescent="0.3"/>
    <row r="200" ht="22.35" customHeight="1" x14ac:dyDescent="0.3"/>
    <row r="201" ht="22.35" customHeight="1" x14ac:dyDescent="0.3"/>
    <row r="202" ht="22.35" customHeight="1" x14ac:dyDescent="0.3"/>
    <row r="203" ht="22.35" customHeight="1" x14ac:dyDescent="0.3"/>
    <row r="204" ht="22.35" customHeight="1" x14ac:dyDescent="0.3"/>
    <row r="205" ht="22.35" customHeight="1" x14ac:dyDescent="0.3"/>
    <row r="206" ht="22.35" customHeight="1" x14ac:dyDescent="0.3"/>
    <row r="207" ht="22.35" customHeight="1" x14ac:dyDescent="0.3"/>
    <row r="208" ht="22.35" customHeight="1" x14ac:dyDescent="0.3"/>
    <row r="209" ht="22.35" customHeight="1" x14ac:dyDescent="0.3"/>
    <row r="210" ht="22.35" customHeight="1" x14ac:dyDescent="0.3"/>
    <row r="211" ht="22.35" customHeight="1" x14ac:dyDescent="0.3"/>
    <row r="212" ht="22.35" customHeight="1" x14ac:dyDescent="0.3"/>
    <row r="213" ht="22.35" customHeight="1" x14ac:dyDescent="0.3"/>
    <row r="214" ht="22.35" customHeight="1" x14ac:dyDescent="0.3"/>
    <row r="215" ht="22.35" customHeight="1" x14ac:dyDescent="0.3"/>
    <row r="216" ht="22.35" customHeight="1" x14ac:dyDescent="0.3"/>
    <row r="217" ht="22.35" customHeight="1" x14ac:dyDescent="0.3"/>
    <row r="218" ht="22.35" customHeight="1" x14ac:dyDescent="0.3"/>
    <row r="219" ht="22.35" customHeight="1" x14ac:dyDescent="0.3"/>
    <row r="220" ht="22.35" customHeight="1" x14ac:dyDescent="0.3"/>
    <row r="221" ht="22.35" customHeight="1" x14ac:dyDescent="0.3"/>
    <row r="222" ht="22.35" customHeight="1" x14ac:dyDescent="0.3"/>
    <row r="223" ht="22.35" customHeight="1" x14ac:dyDescent="0.3"/>
    <row r="224" ht="22.35" customHeight="1" x14ac:dyDescent="0.3"/>
    <row r="225" ht="22.35" customHeight="1" x14ac:dyDescent="0.3"/>
    <row r="226" ht="22.35" customHeight="1" x14ac:dyDescent="0.3"/>
    <row r="227" ht="22.35" customHeight="1" x14ac:dyDescent="0.3"/>
    <row r="228" ht="22.35" customHeight="1" x14ac:dyDescent="0.3"/>
    <row r="229" ht="22.35" customHeight="1" x14ac:dyDescent="0.3"/>
    <row r="230" ht="22.35" customHeight="1" x14ac:dyDescent="0.3"/>
    <row r="231" ht="22.35" customHeight="1" x14ac:dyDescent="0.3"/>
    <row r="232" ht="22.35" customHeight="1" x14ac:dyDescent="0.3"/>
    <row r="233" ht="22.35" customHeight="1" x14ac:dyDescent="0.3"/>
    <row r="234" ht="22.35" customHeight="1" x14ac:dyDescent="0.3"/>
    <row r="235" ht="22.35" customHeight="1" x14ac:dyDescent="0.3"/>
    <row r="236" ht="22.35" customHeight="1" x14ac:dyDescent="0.3"/>
    <row r="237" ht="22.35" customHeight="1" x14ac:dyDescent="0.3"/>
    <row r="238" ht="22.35" customHeight="1" x14ac:dyDescent="0.3"/>
    <row r="239" ht="22.35" customHeight="1" x14ac:dyDescent="0.3"/>
    <row r="240" ht="22.35" customHeight="1" x14ac:dyDescent="0.3"/>
    <row r="241" ht="22.35" customHeight="1" x14ac:dyDescent="0.3"/>
    <row r="242" ht="22.35" customHeight="1" x14ac:dyDescent="0.3"/>
    <row r="243" ht="22.35" customHeight="1" x14ac:dyDescent="0.3"/>
    <row r="244" ht="22.35" customHeight="1" x14ac:dyDescent="0.3"/>
    <row r="245" ht="22.35" customHeight="1" x14ac:dyDescent="0.3"/>
    <row r="246" ht="22.35" customHeight="1" x14ac:dyDescent="0.3"/>
    <row r="247" ht="22.35" customHeight="1" x14ac:dyDescent="0.3"/>
    <row r="248" ht="22.35" customHeight="1" x14ac:dyDescent="0.3"/>
    <row r="249" ht="22.35" customHeight="1" x14ac:dyDescent="0.3"/>
    <row r="250" ht="22.35" customHeight="1" x14ac:dyDescent="0.3"/>
    <row r="251" ht="22.35" customHeight="1" x14ac:dyDescent="0.3"/>
    <row r="252" ht="22.35" customHeight="1" x14ac:dyDescent="0.3"/>
    <row r="253" ht="22.35" customHeight="1" x14ac:dyDescent="0.3"/>
    <row r="254" ht="22.35" customHeight="1" x14ac:dyDescent="0.3"/>
    <row r="255" ht="22.35" customHeight="1" x14ac:dyDescent="0.3"/>
    <row r="256" ht="22.35" customHeight="1" x14ac:dyDescent="0.3"/>
    <row r="257" ht="22.35" customHeight="1" x14ac:dyDescent="0.3"/>
    <row r="258" ht="22.35" customHeight="1" x14ac:dyDescent="0.3"/>
    <row r="259" ht="22.35" customHeight="1" x14ac:dyDescent="0.3"/>
    <row r="260" ht="22.35" customHeight="1" x14ac:dyDescent="0.3"/>
    <row r="261" ht="22.35" customHeight="1" x14ac:dyDescent="0.3"/>
    <row r="262" ht="22.35" customHeight="1" x14ac:dyDescent="0.3"/>
    <row r="263" ht="22.35" customHeight="1" x14ac:dyDescent="0.3"/>
    <row r="264" ht="22.35" customHeight="1" x14ac:dyDescent="0.3"/>
    <row r="265" ht="22.35" customHeight="1" x14ac:dyDescent="0.3"/>
    <row r="266" ht="22.35" customHeight="1" x14ac:dyDescent="0.3"/>
    <row r="267" ht="22.35" customHeight="1" x14ac:dyDescent="0.3"/>
    <row r="268" ht="22.35" customHeight="1" x14ac:dyDescent="0.3"/>
    <row r="269" ht="22.35" customHeight="1" x14ac:dyDescent="0.3"/>
    <row r="270" ht="22.35" customHeight="1" x14ac:dyDescent="0.3"/>
    <row r="271" ht="22.35" customHeight="1" x14ac:dyDescent="0.3"/>
    <row r="272" ht="22.35" customHeight="1" x14ac:dyDescent="0.3"/>
    <row r="273" ht="22.35" customHeight="1" x14ac:dyDescent="0.3"/>
    <row r="274" ht="22.35" customHeight="1" x14ac:dyDescent="0.3"/>
    <row r="275" ht="22.35" customHeight="1" x14ac:dyDescent="0.3"/>
    <row r="276" ht="22.35" customHeight="1" x14ac:dyDescent="0.3"/>
    <row r="277" ht="22.35" customHeight="1" x14ac:dyDescent="0.3"/>
    <row r="278" ht="22.35" customHeight="1" x14ac:dyDescent="0.3"/>
    <row r="279" ht="22.35" customHeight="1" x14ac:dyDescent="0.3"/>
    <row r="280" ht="22.35" customHeight="1" x14ac:dyDescent="0.3"/>
    <row r="281" ht="22.35" customHeight="1" x14ac:dyDescent="0.3"/>
    <row r="282" ht="22.35" customHeight="1" x14ac:dyDescent="0.3"/>
    <row r="283" ht="22.35" customHeight="1" x14ac:dyDescent="0.3"/>
    <row r="284" ht="22.35" customHeight="1" x14ac:dyDescent="0.3"/>
    <row r="285" ht="22.35" customHeight="1" x14ac:dyDescent="0.3"/>
    <row r="286" ht="22.35" customHeight="1" x14ac:dyDescent="0.3"/>
    <row r="287" ht="22.35" customHeight="1" x14ac:dyDescent="0.3"/>
    <row r="288" ht="22.35" customHeight="1" x14ac:dyDescent="0.3"/>
    <row r="289" ht="22.35" customHeight="1" x14ac:dyDescent="0.3"/>
    <row r="290" ht="22.35" customHeight="1" x14ac:dyDescent="0.3"/>
    <row r="291" ht="22.35" customHeight="1" x14ac:dyDescent="0.3"/>
    <row r="292" ht="22.35" customHeight="1" x14ac:dyDescent="0.3"/>
    <row r="293" ht="22.35" customHeight="1" x14ac:dyDescent="0.3"/>
    <row r="294" ht="22.35" customHeight="1" x14ac:dyDescent="0.3"/>
    <row r="295" ht="22.35" customHeight="1" x14ac:dyDescent="0.3"/>
    <row r="296" ht="22.35" customHeight="1" x14ac:dyDescent="0.3"/>
    <row r="297" ht="22.35" customHeight="1" x14ac:dyDescent="0.3"/>
    <row r="298" ht="22.35" customHeight="1" x14ac:dyDescent="0.3"/>
    <row r="299" ht="22.35" customHeight="1" x14ac:dyDescent="0.3"/>
    <row r="300" ht="22.35" customHeight="1" x14ac:dyDescent="0.3"/>
    <row r="301" ht="22.35" customHeight="1" x14ac:dyDescent="0.3"/>
    <row r="302" ht="22.35" customHeight="1" x14ac:dyDescent="0.3"/>
    <row r="303" ht="22.35" customHeight="1" x14ac:dyDescent="0.3"/>
    <row r="304" ht="22.35" customHeight="1" x14ac:dyDescent="0.3"/>
    <row r="305" ht="22.35" customHeight="1" x14ac:dyDescent="0.3"/>
    <row r="306" ht="22.35" customHeight="1" x14ac:dyDescent="0.3"/>
    <row r="307" ht="22.35" customHeight="1" x14ac:dyDescent="0.3"/>
    <row r="308" ht="22.35" customHeight="1" x14ac:dyDescent="0.3"/>
    <row r="309" ht="22.35" customHeight="1" x14ac:dyDescent="0.3"/>
    <row r="310" ht="22.35" customHeight="1" x14ac:dyDescent="0.3"/>
    <row r="311" ht="22.35" customHeight="1" x14ac:dyDescent="0.3"/>
    <row r="312" ht="22.35" customHeight="1" x14ac:dyDescent="0.3"/>
    <row r="313" ht="22.35" customHeight="1" x14ac:dyDescent="0.3"/>
    <row r="314" ht="22.35" customHeight="1" x14ac:dyDescent="0.3"/>
    <row r="315" ht="22.35" customHeight="1" x14ac:dyDescent="0.3"/>
    <row r="316" ht="22.35" customHeight="1" x14ac:dyDescent="0.3"/>
    <row r="317" ht="22.35" customHeight="1" x14ac:dyDescent="0.3"/>
    <row r="318" ht="22.35" customHeight="1" x14ac:dyDescent="0.3"/>
    <row r="319" ht="22.35" customHeight="1" x14ac:dyDescent="0.3"/>
    <row r="320" ht="22.35" customHeight="1" x14ac:dyDescent="0.3"/>
    <row r="321" ht="22.35" customHeight="1" x14ac:dyDescent="0.3"/>
    <row r="322" ht="22.35" customHeight="1" x14ac:dyDescent="0.3"/>
    <row r="323" ht="22.35" customHeight="1" x14ac:dyDescent="0.3"/>
    <row r="324" ht="22.35" customHeight="1" x14ac:dyDescent="0.3"/>
    <row r="325" ht="22.35" customHeight="1" x14ac:dyDescent="0.3"/>
    <row r="326" ht="22.35" customHeight="1" x14ac:dyDescent="0.3"/>
    <row r="327" ht="22.35" customHeight="1" x14ac:dyDescent="0.3"/>
    <row r="328" ht="22.35" customHeight="1" x14ac:dyDescent="0.3"/>
    <row r="329" ht="22.35" customHeight="1" x14ac:dyDescent="0.3"/>
    <row r="330" ht="22.35" customHeight="1" x14ac:dyDescent="0.3"/>
    <row r="331" ht="22.35" customHeight="1" x14ac:dyDescent="0.3"/>
    <row r="332" ht="22.35" customHeight="1" x14ac:dyDescent="0.3"/>
    <row r="333" ht="22.35" customHeight="1" x14ac:dyDescent="0.3"/>
    <row r="334" ht="22.35" customHeight="1" x14ac:dyDescent="0.3"/>
    <row r="335" ht="22.35" customHeight="1" x14ac:dyDescent="0.3"/>
    <row r="336" ht="22.35" customHeight="1" x14ac:dyDescent="0.3"/>
    <row r="337" ht="22.35" customHeight="1" x14ac:dyDescent="0.3"/>
    <row r="338" ht="22.35" customHeight="1" x14ac:dyDescent="0.3"/>
    <row r="339" ht="22.35" customHeight="1" x14ac:dyDescent="0.3"/>
    <row r="340" ht="22.35" customHeight="1" x14ac:dyDescent="0.3"/>
    <row r="341" ht="22.35" customHeight="1" x14ac:dyDescent="0.3"/>
    <row r="342" ht="22.35" customHeight="1" x14ac:dyDescent="0.3"/>
    <row r="343" ht="22.35" customHeight="1" x14ac:dyDescent="0.3"/>
    <row r="344" ht="22.35" customHeight="1" x14ac:dyDescent="0.3"/>
    <row r="345" ht="22.35" customHeight="1" x14ac:dyDescent="0.3"/>
    <row r="346" ht="22.35" customHeight="1" x14ac:dyDescent="0.3"/>
    <row r="347" ht="22.35" customHeight="1" x14ac:dyDescent="0.3"/>
    <row r="348" ht="22.35" customHeight="1" x14ac:dyDescent="0.3"/>
    <row r="349" ht="22.35" customHeight="1" x14ac:dyDescent="0.3"/>
    <row r="350" ht="22.35" customHeight="1" x14ac:dyDescent="0.3"/>
    <row r="351" ht="22.35" customHeight="1" x14ac:dyDescent="0.3"/>
    <row r="352" ht="22.35" customHeight="1" x14ac:dyDescent="0.3"/>
    <row r="353" ht="22.35" customHeight="1" x14ac:dyDescent="0.3"/>
    <row r="354" ht="22.35" customHeight="1" x14ac:dyDescent="0.3"/>
    <row r="355" ht="22.35" customHeight="1" x14ac:dyDescent="0.3"/>
    <row r="356" ht="22.35" customHeight="1" x14ac:dyDescent="0.3"/>
    <row r="357" ht="22.35" customHeight="1" x14ac:dyDescent="0.3"/>
    <row r="358" ht="22.35" customHeight="1" x14ac:dyDescent="0.3"/>
    <row r="359" ht="22.35" customHeight="1" x14ac:dyDescent="0.3"/>
    <row r="360" ht="22.35" customHeight="1" x14ac:dyDescent="0.3"/>
    <row r="361" ht="22.35" customHeight="1" x14ac:dyDescent="0.3"/>
    <row r="362" ht="22.35" customHeight="1" x14ac:dyDescent="0.3"/>
    <row r="363" ht="22.35" customHeight="1" x14ac:dyDescent="0.3"/>
    <row r="364" ht="22.35" customHeight="1" x14ac:dyDescent="0.3"/>
    <row r="365" ht="22.35" customHeight="1" x14ac:dyDescent="0.3"/>
    <row r="366" ht="22.35" customHeight="1" x14ac:dyDescent="0.3"/>
    <row r="367" ht="22.35" customHeight="1" x14ac:dyDescent="0.3"/>
    <row r="368" ht="22.35" customHeight="1" x14ac:dyDescent="0.3"/>
    <row r="369" ht="22.35" customHeight="1" x14ac:dyDescent="0.3"/>
    <row r="370" ht="22.35" customHeight="1" x14ac:dyDescent="0.3"/>
    <row r="371" ht="22.35" customHeight="1" x14ac:dyDescent="0.3"/>
    <row r="372" ht="22.35" customHeight="1" x14ac:dyDescent="0.3"/>
    <row r="373" ht="22.35" customHeight="1" x14ac:dyDescent="0.3"/>
    <row r="374" ht="22.35" customHeight="1" x14ac:dyDescent="0.3"/>
    <row r="375" ht="22.35" customHeight="1" x14ac:dyDescent="0.3"/>
    <row r="376" ht="22.35" customHeight="1" x14ac:dyDescent="0.3"/>
    <row r="377" ht="22.35" customHeight="1" x14ac:dyDescent="0.3"/>
    <row r="378" ht="22.35" customHeight="1" x14ac:dyDescent="0.3"/>
    <row r="379" ht="22.35" customHeight="1" x14ac:dyDescent="0.3"/>
    <row r="380" ht="22.35" customHeight="1" x14ac:dyDescent="0.3"/>
    <row r="381" ht="22.35" customHeight="1" x14ac:dyDescent="0.3"/>
    <row r="382" ht="22.35" customHeight="1" x14ac:dyDescent="0.3"/>
    <row r="383" ht="22.35" customHeight="1" x14ac:dyDescent="0.3"/>
    <row r="384" ht="22.35" customHeight="1" x14ac:dyDescent="0.3"/>
    <row r="385" ht="22.35" customHeight="1" x14ac:dyDescent="0.3"/>
    <row r="386" ht="22.35" customHeight="1" x14ac:dyDescent="0.3"/>
    <row r="387" ht="22.35" customHeight="1" x14ac:dyDescent="0.3"/>
    <row r="388" ht="22.35" customHeight="1" x14ac:dyDescent="0.3"/>
    <row r="389" ht="22.35" customHeight="1" x14ac:dyDescent="0.3"/>
    <row r="390" ht="22.35" customHeight="1" x14ac:dyDescent="0.3"/>
    <row r="391" ht="22.35" customHeight="1" x14ac:dyDescent="0.3"/>
    <row r="392" ht="22.35" customHeight="1" x14ac:dyDescent="0.3"/>
    <row r="393" ht="22.35" customHeight="1" x14ac:dyDescent="0.3"/>
    <row r="394" ht="22.35" customHeight="1" x14ac:dyDescent="0.3"/>
    <row r="395" ht="22.35" customHeight="1" x14ac:dyDescent="0.3"/>
    <row r="396" ht="22.35" customHeight="1" x14ac:dyDescent="0.3"/>
    <row r="397" ht="22.35" customHeight="1" x14ac:dyDescent="0.3"/>
    <row r="398" ht="22.35" customHeight="1" x14ac:dyDescent="0.3"/>
    <row r="399" ht="22.35" customHeight="1" x14ac:dyDescent="0.3"/>
    <row r="400" ht="22.35" customHeight="1" x14ac:dyDescent="0.3"/>
    <row r="401" ht="22.35" customHeight="1" x14ac:dyDescent="0.3"/>
    <row r="402" ht="22.35" customHeight="1" x14ac:dyDescent="0.3"/>
    <row r="403" ht="22.35" customHeight="1" x14ac:dyDescent="0.3"/>
    <row r="404" ht="22.35" customHeight="1" x14ac:dyDescent="0.3"/>
    <row r="405" ht="22.35" customHeight="1" x14ac:dyDescent="0.3"/>
    <row r="406" ht="22.35" customHeight="1" x14ac:dyDescent="0.3"/>
    <row r="407" ht="22.35" customHeight="1" x14ac:dyDescent="0.3"/>
    <row r="408" ht="22.35" customHeight="1" x14ac:dyDescent="0.3"/>
    <row r="409" ht="22.35" customHeight="1" x14ac:dyDescent="0.3"/>
    <row r="410" ht="22.35" customHeight="1" x14ac:dyDescent="0.3"/>
    <row r="411" ht="22.35" customHeight="1" x14ac:dyDescent="0.3"/>
    <row r="412" ht="22.35" customHeight="1" x14ac:dyDescent="0.3"/>
    <row r="413" ht="22.35" customHeight="1" x14ac:dyDescent="0.3"/>
    <row r="414" ht="22.35" customHeight="1" x14ac:dyDescent="0.3"/>
    <row r="415" ht="22.35" customHeight="1" x14ac:dyDescent="0.3"/>
    <row r="416" ht="22.35" customHeight="1" x14ac:dyDescent="0.3"/>
    <row r="417" ht="22.35" customHeight="1" x14ac:dyDescent="0.3"/>
    <row r="418" ht="22.35" customHeight="1" x14ac:dyDescent="0.3"/>
    <row r="419" ht="22.35" customHeight="1" x14ac:dyDescent="0.3"/>
    <row r="420" ht="22.35" customHeight="1" x14ac:dyDescent="0.3"/>
    <row r="421" ht="22.35" customHeight="1" x14ac:dyDescent="0.3"/>
    <row r="422" ht="22.35" customHeight="1" x14ac:dyDescent="0.3"/>
    <row r="423" ht="22.35" customHeight="1" x14ac:dyDescent="0.3"/>
    <row r="424" ht="22.35" customHeight="1" x14ac:dyDescent="0.3"/>
    <row r="425" ht="22.35" customHeight="1" x14ac:dyDescent="0.3"/>
    <row r="426" ht="22.35" customHeight="1" x14ac:dyDescent="0.3"/>
    <row r="427" ht="22.35" customHeight="1" x14ac:dyDescent="0.3"/>
    <row r="428" ht="22.35" customHeight="1" x14ac:dyDescent="0.3"/>
    <row r="429" ht="22.35" customHeight="1" x14ac:dyDescent="0.3"/>
    <row r="430" ht="22.35" customHeight="1" x14ac:dyDescent="0.3"/>
    <row r="431" ht="22.35" customHeight="1" x14ac:dyDescent="0.3"/>
    <row r="432" ht="22.35" customHeight="1" x14ac:dyDescent="0.3"/>
    <row r="433" ht="22.35" customHeight="1" x14ac:dyDescent="0.3"/>
    <row r="434" ht="22.35" customHeight="1" x14ac:dyDescent="0.3"/>
    <row r="435" ht="22.35" customHeight="1" x14ac:dyDescent="0.3"/>
    <row r="436" ht="22.35" customHeight="1" x14ac:dyDescent="0.3"/>
    <row r="437" ht="22.35" customHeight="1" x14ac:dyDescent="0.3"/>
    <row r="438" ht="22.35" customHeight="1" x14ac:dyDescent="0.3"/>
    <row r="439" ht="22.35" customHeight="1" x14ac:dyDescent="0.3"/>
    <row r="440" ht="22.35" customHeight="1" x14ac:dyDescent="0.3"/>
    <row r="441" ht="22.35" customHeight="1" x14ac:dyDescent="0.3"/>
    <row r="442" ht="22.35" customHeight="1" x14ac:dyDescent="0.3"/>
    <row r="443" ht="22.35" customHeight="1" x14ac:dyDescent="0.3"/>
    <row r="444" ht="22.35" customHeight="1" x14ac:dyDescent="0.3"/>
    <row r="445" ht="22.35" customHeight="1" x14ac:dyDescent="0.3"/>
    <row r="446" ht="22.35" customHeight="1" x14ac:dyDescent="0.3"/>
    <row r="447" ht="22.35" customHeight="1" x14ac:dyDescent="0.3"/>
    <row r="448" ht="22.35" customHeight="1" x14ac:dyDescent="0.3"/>
    <row r="449" ht="22.35" customHeight="1" x14ac:dyDescent="0.3"/>
    <row r="450" ht="22.35" customHeight="1" x14ac:dyDescent="0.3"/>
    <row r="451" ht="22.35" customHeight="1" x14ac:dyDescent="0.3"/>
    <row r="452" ht="22.35" customHeight="1" x14ac:dyDescent="0.3"/>
    <row r="453" ht="22.35" customHeight="1" x14ac:dyDescent="0.3"/>
    <row r="454" ht="22.35" customHeight="1" x14ac:dyDescent="0.3"/>
    <row r="455" ht="22.35" customHeight="1" x14ac:dyDescent="0.3"/>
    <row r="456" ht="22.35" customHeight="1" x14ac:dyDescent="0.3"/>
    <row r="457" ht="22.35" customHeight="1" x14ac:dyDescent="0.3"/>
    <row r="458" ht="22.35" customHeight="1" x14ac:dyDescent="0.3"/>
    <row r="459" ht="22.35" customHeight="1" x14ac:dyDescent="0.3"/>
    <row r="460" ht="22.35" customHeight="1" x14ac:dyDescent="0.3"/>
    <row r="461" ht="22.35" customHeight="1" x14ac:dyDescent="0.3"/>
    <row r="462" ht="22.35" customHeight="1" x14ac:dyDescent="0.3"/>
    <row r="463" ht="22.35" customHeight="1" x14ac:dyDescent="0.3"/>
    <row r="464" ht="22.35" customHeight="1" x14ac:dyDescent="0.3"/>
    <row r="465" ht="22.35" customHeight="1" x14ac:dyDescent="0.3"/>
    <row r="466" ht="22.35" customHeight="1" x14ac:dyDescent="0.3"/>
    <row r="467" ht="22.35" customHeight="1" x14ac:dyDescent="0.3"/>
    <row r="468" ht="22.35" customHeight="1" x14ac:dyDescent="0.3"/>
    <row r="469" ht="22.35" customHeight="1" x14ac:dyDescent="0.3"/>
    <row r="470" ht="22.35" customHeight="1" x14ac:dyDescent="0.3"/>
    <row r="471" ht="22.35" customHeight="1" x14ac:dyDescent="0.3"/>
    <row r="472" ht="22.35" customHeight="1" x14ac:dyDescent="0.3"/>
    <row r="473" ht="22.35" customHeight="1" x14ac:dyDescent="0.3"/>
    <row r="474" ht="22.35" customHeight="1" x14ac:dyDescent="0.3"/>
    <row r="475" ht="22.35" customHeight="1" x14ac:dyDescent="0.3"/>
    <row r="476" ht="22.35" customHeight="1" x14ac:dyDescent="0.3"/>
    <row r="477" ht="22.35" customHeight="1" x14ac:dyDescent="0.3"/>
    <row r="478" ht="22.35" customHeight="1" x14ac:dyDescent="0.3"/>
    <row r="479" ht="22.35" customHeight="1" x14ac:dyDescent="0.3"/>
    <row r="480" ht="22.35" customHeight="1" x14ac:dyDescent="0.3"/>
    <row r="481" ht="22.35" customHeight="1" x14ac:dyDescent="0.3"/>
    <row r="482" ht="22.35" customHeight="1" x14ac:dyDescent="0.3"/>
    <row r="483" ht="22.35" customHeight="1" x14ac:dyDescent="0.3"/>
    <row r="484" ht="22.35" customHeight="1" x14ac:dyDescent="0.3"/>
    <row r="485" ht="22.35" customHeight="1" x14ac:dyDescent="0.3"/>
    <row r="486" ht="22.35" customHeight="1" x14ac:dyDescent="0.3"/>
    <row r="487" ht="22.35" customHeight="1" x14ac:dyDescent="0.3"/>
    <row r="488" ht="22.35" customHeight="1" x14ac:dyDescent="0.3"/>
    <row r="489" ht="22.35" customHeight="1" x14ac:dyDescent="0.3"/>
    <row r="490" ht="22.35" customHeight="1" x14ac:dyDescent="0.3"/>
    <row r="491" ht="22.35" customHeight="1" x14ac:dyDescent="0.3"/>
    <row r="492" ht="22.35" customHeight="1" x14ac:dyDescent="0.3"/>
    <row r="493" ht="22.35" customHeight="1" x14ac:dyDescent="0.3"/>
    <row r="494" ht="22.35" customHeight="1" x14ac:dyDescent="0.3"/>
    <row r="495" ht="22.35" customHeight="1" x14ac:dyDescent="0.3"/>
    <row r="496" ht="22.35" customHeight="1" x14ac:dyDescent="0.3"/>
    <row r="497" ht="22.35" customHeight="1" x14ac:dyDescent="0.3"/>
    <row r="498" ht="22.35" customHeight="1" x14ac:dyDescent="0.3"/>
    <row r="499" ht="22.35" customHeight="1" x14ac:dyDescent="0.3"/>
    <row r="500" ht="22.35" customHeight="1" x14ac:dyDescent="0.3"/>
    <row r="501" ht="22.35" customHeight="1" x14ac:dyDescent="0.3"/>
    <row r="502" ht="22.35" customHeight="1" x14ac:dyDescent="0.3"/>
    <row r="503" ht="22.35" customHeight="1" x14ac:dyDescent="0.3"/>
    <row r="504" ht="22.35" customHeight="1" x14ac:dyDescent="0.3"/>
    <row r="505" ht="22.35" customHeight="1" x14ac:dyDescent="0.3"/>
    <row r="506" ht="22.35" customHeight="1" x14ac:dyDescent="0.3"/>
    <row r="507" ht="22.35" customHeight="1" x14ac:dyDescent="0.3"/>
    <row r="508" ht="22.35" customHeight="1" x14ac:dyDescent="0.3"/>
    <row r="509" ht="22.35" customHeight="1" x14ac:dyDescent="0.3"/>
    <row r="510" ht="22.35" customHeight="1" x14ac:dyDescent="0.3"/>
    <row r="511" ht="22.35" customHeight="1" x14ac:dyDescent="0.3"/>
    <row r="512" ht="22.35" customHeight="1" x14ac:dyDescent="0.3"/>
    <row r="513" ht="22.35" customHeight="1" x14ac:dyDescent="0.3"/>
    <row r="514" ht="22.35" customHeight="1" x14ac:dyDescent="0.3"/>
    <row r="515" ht="22.35" customHeight="1" x14ac:dyDescent="0.3"/>
    <row r="516" ht="22.35" customHeight="1" x14ac:dyDescent="0.3"/>
    <row r="517" ht="22.35" customHeight="1" x14ac:dyDescent="0.3"/>
    <row r="518" ht="22.35" customHeight="1" x14ac:dyDescent="0.3"/>
    <row r="519" ht="22.35" customHeight="1" x14ac:dyDescent="0.3"/>
    <row r="520" ht="22.35" customHeight="1" x14ac:dyDescent="0.3"/>
    <row r="521" ht="22.35" customHeight="1" x14ac:dyDescent="0.3"/>
    <row r="522" ht="22.35" customHeight="1" x14ac:dyDescent="0.3"/>
    <row r="523" ht="22.35" customHeight="1" x14ac:dyDescent="0.3"/>
    <row r="524" ht="22.35" customHeight="1" x14ac:dyDescent="0.3"/>
    <row r="525" ht="22.35" customHeight="1" x14ac:dyDescent="0.3"/>
    <row r="526" ht="22.35" customHeight="1" x14ac:dyDescent="0.3"/>
    <row r="527" ht="22.35" customHeight="1" x14ac:dyDescent="0.3"/>
    <row r="528" ht="22.35" customHeight="1" x14ac:dyDescent="0.3"/>
    <row r="529" ht="22.35" customHeight="1" x14ac:dyDescent="0.3"/>
    <row r="530" ht="22.35" customHeight="1" x14ac:dyDescent="0.3"/>
    <row r="531" ht="22.35" customHeight="1" x14ac:dyDescent="0.3"/>
    <row r="532" ht="22.35" customHeight="1" x14ac:dyDescent="0.3"/>
    <row r="533" ht="22.35" customHeight="1" x14ac:dyDescent="0.3"/>
    <row r="534" ht="22.35" customHeight="1" x14ac:dyDescent="0.3"/>
    <row r="535" ht="22.35" customHeight="1" x14ac:dyDescent="0.3"/>
    <row r="536" ht="22.35" customHeight="1" x14ac:dyDescent="0.3"/>
    <row r="537" ht="22.35" customHeight="1" x14ac:dyDescent="0.3"/>
    <row r="538" ht="22.35" customHeight="1" x14ac:dyDescent="0.3"/>
    <row r="539" ht="22.35" customHeight="1" x14ac:dyDescent="0.3"/>
    <row r="540" ht="22.35" customHeight="1" x14ac:dyDescent="0.3"/>
    <row r="541" ht="22.35" customHeight="1" x14ac:dyDescent="0.3"/>
    <row r="542" ht="22.35" customHeight="1" x14ac:dyDescent="0.3"/>
    <row r="543" ht="22.35" customHeight="1" x14ac:dyDescent="0.3"/>
    <row r="544" ht="22.35" customHeight="1" x14ac:dyDescent="0.3"/>
    <row r="545" ht="22.35" customHeight="1" x14ac:dyDescent="0.3"/>
    <row r="546" ht="22.35" customHeight="1" x14ac:dyDescent="0.3"/>
    <row r="547" ht="22.35" customHeight="1" x14ac:dyDescent="0.3"/>
    <row r="548" ht="22.35" customHeight="1" x14ac:dyDescent="0.3"/>
    <row r="549" ht="22.35" customHeight="1" x14ac:dyDescent="0.3"/>
    <row r="550" ht="22.35" customHeight="1" x14ac:dyDescent="0.3"/>
    <row r="551" ht="22.35" customHeight="1" x14ac:dyDescent="0.3"/>
    <row r="552" ht="22.35" customHeight="1" x14ac:dyDescent="0.3"/>
    <row r="553" ht="22.35" customHeight="1" x14ac:dyDescent="0.3"/>
    <row r="554" ht="22.35" customHeight="1" x14ac:dyDescent="0.3"/>
    <row r="555" ht="22.35" customHeight="1" x14ac:dyDescent="0.3"/>
    <row r="556" ht="22.35" customHeight="1" x14ac:dyDescent="0.3"/>
    <row r="557" ht="22.35" customHeight="1" x14ac:dyDescent="0.3"/>
    <row r="558" ht="22.35" customHeight="1" x14ac:dyDescent="0.3"/>
    <row r="559" ht="22.35" customHeight="1" x14ac:dyDescent="0.3"/>
    <row r="560" ht="22.35" customHeight="1" x14ac:dyDescent="0.3"/>
    <row r="561" ht="22.35" customHeight="1" x14ac:dyDescent="0.3"/>
    <row r="562" ht="22.35" customHeight="1" x14ac:dyDescent="0.3"/>
    <row r="563" ht="22.35" customHeight="1" x14ac:dyDescent="0.3"/>
    <row r="564" ht="22.35" customHeight="1" x14ac:dyDescent="0.3"/>
    <row r="565" ht="22.35" customHeight="1" x14ac:dyDescent="0.3"/>
    <row r="566" ht="22.35" customHeight="1" x14ac:dyDescent="0.3"/>
    <row r="567" ht="22.35" customHeight="1" x14ac:dyDescent="0.3"/>
    <row r="568" ht="22.35" customHeight="1" x14ac:dyDescent="0.3"/>
    <row r="569" ht="22.35" customHeight="1" x14ac:dyDescent="0.3"/>
    <row r="570" ht="22.35" customHeight="1" x14ac:dyDescent="0.3"/>
    <row r="571" ht="22.35" customHeight="1" x14ac:dyDescent="0.3"/>
    <row r="572" ht="22.35" customHeight="1" x14ac:dyDescent="0.3"/>
    <row r="573" ht="22.35" customHeight="1" x14ac:dyDescent="0.3"/>
    <row r="574" ht="22.35" customHeight="1" x14ac:dyDescent="0.3"/>
    <row r="575" ht="22.35" customHeight="1" x14ac:dyDescent="0.3"/>
    <row r="576" ht="22.35" customHeight="1" x14ac:dyDescent="0.3"/>
    <row r="577" ht="22.35" customHeight="1" x14ac:dyDescent="0.3"/>
    <row r="578" ht="22.35" customHeight="1" x14ac:dyDescent="0.3"/>
    <row r="579" ht="22.35" customHeight="1" x14ac:dyDescent="0.3"/>
    <row r="580" ht="22.35" customHeight="1" x14ac:dyDescent="0.3"/>
    <row r="581" ht="22.35" customHeight="1" x14ac:dyDescent="0.3"/>
    <row r="582" ht="22.35" customHeight="1" x14ac:dyDescent="0.3"/>
    <row r="583" ht="22.35" customHeight="1" x14ac:dyDescent="0.3"/>
    <row r="584" ht="22.35" customHeight="1" x14ac:dyDescent="0.3"/>
    <row r="585" ht="22.35" customHeight="1" x14ac:dyDescent="0.3"/>
    <row r="586" ht="22.35" customHeight="1" x14ac:dyDescent="0.3"/>
    <row r="587" ht="22.35" customHeight="1" x14ac:dyDescent="0.3"/>
    <row r="588" ht="22.35" customHeight="1" x14ac:dyDescent="0.3"/>
    <row r="589" ht="22.35" customHeight="1" x14ac:dyDescent="0.3"/>
    <row r="590" ht="22.35" customHeight="1" x14ac:dyDescent="0.3"/>
    <row r="591" ht="22.35" customHeight="1" x14ac:dyDescent="0.3"/>
    <row r="592" ht="22.35" customHeight="1" x14ac:dyDescent="0.3"/>
    <row r="593" ht="22.35" customHeight="1" x14ac:dyDescent="0.3"/>
    <row r="594" ht="22.35" customHeight="1" x14ac:dyDescent="0.3"/>
    <row r="595" ht="22.35" customHeight="1" x14ac:dyDescent="0.3"/>
    <row r="596" ht="22.35" customHeight="1" x14ac:dyDescent="0.3"/>
    <row r="597" ht="22.35" customHeight="1" x14ac:dyDescent="0.3"/>
    <row r="598" ht="22.35" customHeight="1" x14ac:dyDescent="0.3"/>
    <row r="599" ht="22.35" customHeight="1" x14ac:dyDescent="0.3"/>
    <row r="600" ht="22.35" customHeight="1" x14ac:dyDescent="0.3"/>
    <row r="601" ht="22.35" customHeight="1" x14ac:dyDescent="0.3"/>
    <row r="602" ht="22.35" customHeight="1" x14ac:dyDescent="0.3"/>
    <row r="603" ht="22.35" customHeight="1" x14ac:dyDescent="0.3"/>
    <row r="604" ht="22.35" customHeight="1" x14ac:dyDescent="0.3"/>
    <row r="605" ht="22.35" customHeight="1" x14ac:dyDescent="0.3"/>
    <row r="606" ht="22.35" customHeight="1" x14ac:dyDescent="0.3"/>
    <row r="607" ht="22.35" customHeight="1" x14ac:dyDescent="0.3"/>
    <row r="608" ht="22.35" customHeight="1" x14ac:dyDescent="0.3"/>
    <row r="609" ht="22.35" customHeight="1" x14ac:dyDescent="0.3"/>
    <row r="610" ht="22.35" customHeight="1" x14ac:dyDescent="0.3"/>
    <row r="611" ht="22.35" customHeight="1" x14ac:dyDescent="0.3"/>
    <row r="612" ht="22.35" customHeight="1" x14ac:dyDescent="0.3"/>
    <row r="613" ht="22.35" customHeight="1" x14ac:dyDescent="0.3"/>
    <row r="614" ht="22.35" customHeight="1" x14ac:dyDescent="0.3"/>
    <row r="615" ht="22.35" customHeight="1" x14ac:dyDescent="0.3"/>
    <row r="616" ht="22.35" customHeight="1" x14ac:dyDescent="0.3"/>
    <row r="617" ht="22.35" customHeight="1" x14ac:dyDescent="0.3"/>
    <row r="618" ht="22.35" customHeight="1" x14ac:dyDescent="0.3"/>
    <row r="619" ht="22.35" customHeight="1" x14ac:dyDescent="0.3"/>
    <row r="620" ht="22.35" customHeight="1" x14ac:dyDescent="0.3"/>
    <row r="621" ht="22.35" customHeight="1" x14ac:dyDescent="0.3"/>
    <row r="622" ht="22.35" customHeight="1" x14ac:dyDescent="0.3"/>
    <row r="623" ht="22.35" customHeight="1" x14ac:dyDescent="0.3"/>
    <row r="624" ht="22.35" customHeight="1" x14ac:dyDescent="0.3"/>
    <row r="625" ht="22.35" customHeight="1" x14ac:dyDescent="0.3"/>
    <row r="626" ht="22.35" customHeight="1" x14ac:dyDescent="0.3"/>
    <row r="627" ht="22.35" customHeight="1" x14ac:dyDescent="0.3"/>
    <row r="628" ht="22.35" customHeight="1" x14ac:dyDescent="0.3"/>
    <row r="629" ht="22.35" customHeight="1" x14ac:dyDescent="0.3"/>
    <row r="630" ht="22.35" customHeight="1" x14ac:dyDescent="0.3"/>
    <row r="631" ht="22.35" customHeight="1" x14ac:dyDescent="0.3"/>
    <row r="632" ht="22.35" customHeight="1" x14ac:dyDescent="0.3"/>
    <row r="633" ht="22.35" customHeight="1" x14ac:dyDescent="0.3"/>
    <row r="634" ht="22.35" customHeight="1" x14ac:dyDescent="0.3"/>
    <row r="635" ht="22.35" customHeight="1" x14ac:dyDescent="0.3"/>
    <row r="636" ht="22.35" customHeight="1" x14ac:dyDescent="0.3"/>
    <row r="637" ht="22.35" customHeight="1" x14ac:dyDescent="0.3"/>
    <row r="638" ht="22.35" customHeight="1" x14ac:dyDescent="0.3"/>
    <row r="639" ht="22.35" customHeight="1" x14ac:dyDescent="0.3"/>
    <row r="640" ht="22.35" customHeight="1" x14ac:dyDescent="0.3"/>
    <row r="641" ht="22.35" customHeight="1" x14ac:dyDescent="0.3"/>
    <row r="642" ht="22.35" customHeight="1" x14ac:dyDescent="0.3"/>
    <row r="643" ht="22.35" customHeight="1" x14ac:dyDescent="0.3"/>
    <row r="644" ht="22.35" customHeight="1" x14ac:dyDescent="0.3"/>
    <row r="645" ht="22.35" customHeight="1" x14ac:dyDescent="0.3"/>
    <row r="646" ht="22.35" customHeight="1" x14ac:dyDescent="0.3"/>
    <row r="647" ht="22.35" customHeight="1" x14ac:dyDescent="0.3"/>
    <row r="648" ht="22.35" customHeight="1" x14ac:dyDescent="0.3"/>
    <row r="649" ht="22.35" customHeight="1" x14ac:dyDescent="0.3"/>
    <row r="650" ht="22.35" customHeight="1" x14ac:dyDescent="0.3"/>
    <row r="651" ht="22.35" customHeight="1" x14ac:dyDescent="0.3"/>
    <row r="652" ht="22.35" customHeight="1" x14ac:dyDescent="0.3"/>
    <row r="653" ht="22.35" customHeight="1" x14ac:dyDescent="0.3"/>
    <row r="654" ht="22.35" customHeight="1" x14ac:dyDescent="0.3"/>
    <row r="655" ht="22.35" customHeight="1" x14ac:dyDescent="0.3"/>
    <row r="656" ht="22.35" customHeight="1" x14ac:dyDescent="0.3"/>
    <row r="657" ht="22.35" customHeight="1" x14ac:dyDescent="0.3"/>
    <row r="658" ht="22.35" customHeight="1" x14ac:dyDescent="0.3"/>
    <row r="659" ht="22.35" customHeight="1" x14ac:dyDescent="0.3"/>
    <row r="660" ht="22.35" customHeight="1" x14ac:dyDescent="0.3"/>
    <row r="661" ht="22.35" customHeight="1" x14ac:dyDescent="0.3"/>
    <row r="662" ht="22.35" customHeight="1" x14ac:dyDescent="0.3"/>
    <row r="663" ht="22.35" customHeight="1" x14ac:dyDescent="0.3"/>
    <row r="664" ht="22.35" customHeight="1" x14ac:dyDescent="0.3"/>
    <row r="665" ht="22.35" customHeight="1" x14ac:dyDescent="0.3"/>
    <row r="666" ht="22.35" customHeight="1" x14ac:dyDescent="0.3"/>
    <row r="667" ht="22.35" customHeight="1" x14ac:dyDescent="0.3"/>
    <row r="668" ht="22.35" customHeight="1" x14ac:dyDescent="0.3"/>
    <row r="669" ht="22.35" customHeight="1" x14ac:dyDescent="0.3"/>
    <row r="670" ht="22.35" customHeight="1" x14ac:dyDescent="0.3"/>
    <row r="671" ht="22.35" customHeight="1" x14ac:dyDescent="0.3"/>
    <row r="672" ht="22.35" customHeight="1" x14ac:dyDescent="0.3"/>
    <row r="673" ht="22.35" customHeight="1" x14ac:dyDescent="0.3"/>
    <row r="674" ht="22.35" customHeight="1" x14ac:dyDescent="0.3"/>
    <row r="675" ht="22.35" customHeight="1" x14ac:dyDescent="0.3"/>
    <row r="676" ht="22.35" customHeight="1" x14ac:dyDescent="0.3"/>
    <row r="677" ht="22.35" customHeight="1" x14ac:dyDescent="0.3"/>
    <row r="678" ht="22.35" customHeight="1" x14ac:dyDescent="0.3"/>
    <row r="679" ht="22.35" customHeight="1" x14ac:dyDescent="0.3"/>
    <row r="680" ht="22.35" customHeight="1" x14ac:dyDescent="0.3"/>
    <row r="681" ht="22.35" customHeight="1" x14ac:dyDescent="0.3"/>
    <row r="682" ht="22.35" customHeight="1" x14ac:dyDescent="0.3"/>
    <row r="683" ht="22.35" customHeight="1" x14ac:dyDescent="0.3"/>
    <row r="684" ht="22.35" customHeight="1" x14ac:dyDescent="0.3"/>
    <row r="685" ht="22.35" customHeight="1" x14ac:dyDescent="0.3"/>
    <row r="686" ht="22.35" customHeight="1" x14ac:dyDescent="0.3"/>
    <row r="687" ht="22.35" customHeight="1" x14ac:dyDescent="0.3"/>
    <row r="688" ht="22.35" customHeight="1" x14ac:dyDescent="0.3"/>
    <row r="689" ht="22.35" customHeight="1" x14ac:dyDescent="0.3"/>
    <row r="690" ht="22.35" customHeight="1" x14ac:dyDescent="0.3"/>
    <row r="691" ht="22.35" customHeight="1" x14ac:dyDescent="0.3"/>
    <row r="692" ht="22.35" customHeight="1" x14ac:dyDescent="0.3"/>
    <row r="693" ht="22.35" customHeight="1" x14ac:dyDescent="0.3"/>
    <row r="694" ht="22.35" customHeight="1" x14ac:dyDescent="0.3"/>
    <row r="695" ht="22.35" customHeight="1" x14ac:dyDescent="0.3"/>
    <row r="696" ht="22.35" customHeight="1" x14ac:dyDescent="0.3"/>
    <row r="697" ht="22.35" customHeight="1" x14ac:dyDescent="0.3"/>
    <row r="698" ht="22.35" customHeight="1" x14ac:dyDescent="0.3"/>
    <row r="699" ht="22.35" customHeight="1" x14ac:dyDescent="0.3"/>
    <row r="700" ht="22.35" customHeight="1" x14ac:dyDescent="0.3"/>
    <row r="701" ht="22.35" customHeight="1" x14ac:dyDescent="0.3"/>
    <row r="702" ht="22.35" customHeight="1" x14ac:dyDescent="0.3"/>
    <row r="703" ht="22.35" customHeight="1" x14ac:dyDescent="0.3"/>
    <row r="704" ht="22.35" customHeight="1" x14ac:dyDescent="0.3"/>
    <row r="705" ht="22.35" customHeight="1" x14ac:dyDescent="0.3"/>
    <row r="706" ht="22.35" customHeight="1" x14ac:dyDescent="0.3"/>
    <row r="707" ht="22.35" customHeight="1" x14ac:dyDescent="0.3"/>
    <row r="708" ht="22.35" customHeight="1" x14ac:dyDescent="0.3"/>
    <row r="709" ht="22.35" customHeight="1" x14ac:dyDescent="0.3"/>
    <row r="710" ht="22.35" customHeight="1" x14ac:dyDescent="0.3"/>
    <row r="711" ht="22.35" customHeight="1" x14ac:dyDescent="0.3"/>
    <row r="712" ht="22.35" customHeight="1" x14ac:dyDescent="0.3"/>
    <row r="713" ht="22.35" customHeight="1" x14ac:dyDescent="0.3"/>
    <row r="714" ht="22.35" customHeight="1" x14ac:dyDescent="0.3"/>
    <row r="715" ht="22.35" customHeight="1" x14ac:dyDescent="0.3"/>
    <row r="716" ht="22.35" customHeight="1" x14ac:dyDescent="0.3"/>
    <row r="717" ht="22.35" customHeight="1" x14ac:dyDescent="0.3"/>
    <row r="718" ht="22.35" customHeight="1" x14ac:dyDescent="0.3"/>
    <row r="719" ht="22.35" customHeight="1" x14ac:dyDescent="0.3"/>
    <row r="720" ht="22.35" customHeight="1" x14ac:dyDescent="0.3"/>
    <row r="721" ht="22.35" customHeight="1" x14ac:dyDescent="0.3"/>
    <row r="722" ht="22.35" customHeight="1" x14ac:dyDescent="0.3"/>
    <row r="723" ht="22.35" customHeight="1" x14ac:dyDescent="0.3"/>
    <row r="724" ht="22.35" customHeight="1" x14ac:dyDescent="0.3"/>
    <row r="725" ht="22.35" customHeight="1" x14ac:dyDescent="0.3"/>
    <row r="726" ht="22.35" customHeight="1" x14ac:dyDescent="0.3"/>
    <row r="727" ht="22.35" customHeight="1" x14ac:dyDescent="0.3"/>
    <row r="728" ht="22.35" customHeight="1" x14ac:dyDescent="0.3"/>
    <row r="729" ht="22.35" customHeight="1" x14ac:dyDescent="0.3"/>
    <row r="730" ht="22.35" customHeight="1" x14ac:dyDescent="0.3"/>
    <row r="731" ht="22.35" customHeight="1" x14ac:dyDescent="0.3"/>
    <row r="732" ht="22.35" customHeight="1" x14ac:dyDescent="0.3"/>
    <row r="733" ht="22.35" customHeight="1" x14ac:dyDescent="0.3"/>
    <row r="734" ht="22.35" customHeight="1" x14ac:dyDescent="0.3"/>
    <row r="735" ht="22.35" customHeight="1" x14ac:dyDescent="0.3"/>
    <row r="736" ht="22.35" customHeight="1" x14ac:dyDescent="0.3"/>
    <row r="737" ht="22.35" customHeight="1" x14ac:dyDescent="0.3"/>
    <row r="738" ht="22.35" customHeight="1" x14ac:dyDescent="0.3"/>
    <row r="739" ht="22.35" customHeight="1" x14ac:dyDescent="0.3"/>
    <row r="740" ht="22.35" customHeight="1" x14ac:dyDescent="0.3"/>
    <row r="741" ht="22.35" customHeight="1" x14ac:dyDescent="0.3"/>
    <row r="742" ht="22.35" customHeight="1" x14ac:dyDescent="0.3"/>
    <row r="743" ht="22.35" customHeight="1" x14ac:dyDescent="0.3"/>
    <row r="744" ht="22.35" customHeight="1" x14ac:dyDescent="0.3"/>
    <row r="745" ht="22.35" customHeight="1" x14ac:dyDescent="0.3"/>
    <row r="746" ht="22.35" customHeight="1" x14ac:dyDescent="0.3"/>
    <row r="747" ht="22.35" customHeight="1" x14ac:dyDescent="0.3"/>
    <row r="748" ht="22.35" customHeight="1" x14ac:dyDescent="0.3"/>
    <row r="749" ht="22.35" customHeight="1" x14ac:dyDescent="0.3"/>
    <row r="750" ht="22.35" customHeight="1" x14ac:dyDescent="0.3"/>
    <row r="751" ht="22.35" customHeight="1" x14ac:dyDescent="0.3"/>
    <row r="752" ht="22.35" customHeight="1" x14ac:dyDescent="0.3"/>
    <row r="753" ht="22.35" customHeight="1" x14ac:dyDescent="0.3"/>
    <row r="754" ht="22.35" customHeight="1" x14ac:dyDescent="0.3"/>
    <row r="755" ht="22.35" customHeight="1" x14ac:dyDescent="0.3"/>
    <row r="756" ht="22.35" customHeight="1" x14ac:dyDescent="0.3"/>
    <row r="757" ht="22.35" customHeight="1" x14ac:dyDescent="0.3"/>
    <row r="758" ht="22.35" customHeight="1" x14ac:dyDescent="0.3"/>
    <row r="759" ht="22.35" customHeight="1" x14ac:dyDescent="0.3"/>
    <row r="760" ht="22.35" customHeight="1" x14ac:dyDescent="0.3"/>
    <row r="761" ht="22.35" customHeight="1" x14ac:dyDescent="0.3"/>
    <row r="762" ht="22.35" customHeight="1" x14ac:dyDescent="0.3"/>
    <row r="763" ht="22.35" customHeight="1" x14ac:dyDescent="0.3"/>
    <row r="764" ht="22.35" customHeight="1" x14ac:dyDescent="0.3"/>
    <row r="765" ht="22.35" customHeight="1" x14ac:dyDescent="0.3"/>
    <row r="766" ht="22.35" customHeight="1" x14ac:dyDescent="0.3"/>
    <row r="767" ht="22.35" customHeight="1" x14ac:dyDescent="0.3"/>
    <row r="768" ht="22.35" customHeight="1" x14ac:dyDescent="0.3"/>
    <row r="769" ht="22.35" customHeight="1" x14ac:dyDescent="0.3"/>
    <row r="770" ht="22.35" customHeight="1" x14ac:dyDescent="0.3"/>
    <row r="771" ht="22.35" customHeight="1" x14ac:dyDescent="0.3"/>
    <row r="772" ht="22.35" customHeight="1" x14ac:dyDescent="0.3"/>
    <row r="773" ht="22.35" customHeight="1" x14ac:dyDescent="0.3"/>
    <row r="774" ht="22.35" customHeight="1" x14ac:dyDescent="0.3"/>
    <row r="775" ht="22.35" customHeight="1" x14ac:dyDescent="0.3"/>
    <row r="776" ht="22.35" customHeight="1" x14ac:dyDescent="0.3"/>
    <row r="777" ht="22.35" customHeight="1" x14ac:dyDescent="0.3"/>
    <row r="778" ht="22.35" customHeight="1" x14ac:dyDescent="0.3"/>
    <row r="779" ht="22.35" customHeight="1" x14ac:dyDescent="0.3"/>
    <row r="780" ht="22.35" customHeight="1" x14ac:dyDescent="0.3"/>
    <row r="781" ht="22.35" customHeight="1" x14ac:dyDescent="0.3"/>
    <row r="782" ht="22.35" customHeight="1" x14ac:dyDescent="0.3"/>
    <row r="783" ht="22.35" customHeight="1" x14ac:dyDescent="0.3"/>
    <row r="784" ht="22.35" customHeight="1" x14ac:dyDescent="0.3"/>
    <row r="785" ht="22.35" customHeight="1" x14ac:dyDescent="0.3"/>
    <row r="786" ht="22.35" customHeight="1" x14ac:dyDescent="0.3"/>
    <row r="787" ht="22.35" customHeight="1" x14ac:dyDescent="0.3"/>
    <row r="788" ht="22.35" customHeight="1" x14ac:dyDescent="0.3"/>
    <row r="789" ht="22.35" customHeight="1" x14ac:dyDescent="0.3"/>
    <row r="790" ht="22.35" customHeight="1" x14ac:dyDescent="0.3"/>
    <row r="791" ht="22.35" customHeight="1" x14ac:dyDescent="0.3"/>
    <row r="792" ht="22.35" customHeight="1" x14ac:dyDescent="0.3"/>
    <row r="793" ht="22.35" customHeight="1" x14ac:dyDescent="0.3"/>
    <row r="794" ht="22.35" customHeight="1" x14ac:dyDescent="0.3"/>
    <row r="795" ht="22.35" customHeight="1" x14ac:dyDescent="0.3"/>
    <row r="796" ht="22.35" customHeight="1" x14ac:dyDescent="0.3"/>
    <row r="797" ht="22.35" customHeight="1" x14ac:dyDescent="0.3"/>
    <row r="798" ht="22.35" customHeight="1" x14ac:dyDescent="0.3"/>
    <row r="799" ht="22.35" customHeight="1" x14ac:dyDescent="0.3"/>
    <row r="800" ht="22.35" customHeight="1" x14ac:dyDescent="0.3"/>
    <row r="801" ht="22.35" customHeight="1" x14ac:dyDescent="0.3"/>
    <row r="802" ht="22.35" customHeight="1" x14ac:dyDescent="0.3"/>
    <row r="803" ht="22.35" customHeight="1" x14ac:dyDescent="0.3"/>
    <row r="804" ht="22.35" customHeight="1" x14ac:dyDescent="0.3"/>
    <row r="805" ht="22.35" customHeight="1" x14ac:dyDescent="0.3"/>
    <row r="806" ht="22.35" customHeight="1" x14ac:dyDescent="0.3"/>
    <row r="807" ht="22.35" customHeight="1" x14ac:dyDescent="0.3"/>
    <row r="808" ht="22.35" customHeight="1" x14ac:dyDescent="0.3"/>
    <row r="809" ht="22.35" customHeight="1" x14ac:dyDescent="0.3"/>
    <row r="810" ht="22.35" customHeight="1" x14ac:dyDescent="0.3"/>
    <row r="811" ht="22.35" customHeight="1" x14ac:dyDescent="0.3"/>
    <row r="812" ht="22.35" customHeight="1" x14ac:dyDescent="0.3"/>
    <row r="813" ht="22.35" customHeight="1" x14ac:dyDescent="0.3"/>
    <row r="814" ht="22.35" customHeight="1" x14ac:dyDescent="0.3"/>
    <row r="815" ht="22.35" customHeight="1" x14ac:dyDescent="0.3"/>
    <row r="816" ht="22.35" customHeight="1" x14ac:dyDescent="0.3"/>
    <row r="817" ht="22.35" customHeight="1" x14ac:dyDescent="0.3"/>
    <row r="818" ht="22.35" customHeight="1" x14ac:dyDescent="0.3"/>
    <row r="819" ht="22.35" customHeight="1" x14ac:dyDescent="0.3"/>
    <row r="820" ht="22.35" customHeight="1" x14ac:dyDescent="0.3"/>
    <row r="821" ht="22.35" customHeight="1" x14ac:dyDescent="0.3"/>
    <row r="822" ht="22.35" customHeight="1" x14ac:dyDescent="0.3"/>
    <row r="823" ht="22.35" customHeight="1" x14ac:dyDescent="0.3"/>
    <row r="824" ht="22.35" customHeight="1" x14ac:dyDescent="0.3"/>
    <row r="825" ht="22.35" customHeight="1" x14ac:dyDescent="0.3"/>
    <row r="826" ht="22.35" customHeight="1" x14ac:dyDescent="0.3"/>
    <row r="827" ht="22.35" customHeight="1" x14ac:dyDescent="0.3"/>
    <row r="828" ht="22.35" customHeight="1" x14ac:dyDescent="0.3"/>
    <row r="829" ht="22.35" customHeight="1" x14ac:dyDescent="0.3"/>
    <row r="830" ht="22.35" customHeight="1" x14ac:dyDescent="0.3"/>
    <row r="831" ht="22.35" customHeight="1" x14ac:dyDescent="0.3"/>
    <row r="832" ht="22.35" customHeight="1" x14ac:dyDescent="0.3"/>
    <row r="833" ht="22.35" customHeight="1" x14ac:dyDescent="0.3"/>
    <row r="834" ht="22.35" customHeight="1" x14ac:dyDescent="0.3"/>
    <row r="835" ht="22.35" customHeight="1" x14ac:dyDescent="0.3"/>
    <row r="836" ht="22.35" customHeight="1" x14ac:dyDescent="0.3"/>
    <row r="837" ht="22.35" customHeight="1" x14ac:dyDescent="0.3"/>
    <row r="838" ht="22.35" customHeight="1" x14ac:dyDescent="0.3"/>
    <row r="839" ht="22.35" customHeight="1" x14ac:dyDescent="0.3"/>
    <row r="840" ht="22.35" customHeight="1" x14ac:dyDescent="0.3"/>
    <row r="841" ht="22.35" customHeight="1" x14ac:dyDescent="0.3"/>
    <row r="842" ht="22.35" customHeight="1" x14ac:dyDescent="0.3"/>
    <row r="843" ht="22.35" customHeight="1" x14ac:dyDescent="0.3"/>
    <row r="844" ht="22.35" customHeight="1" x14ac:dyDescent="0.3"/>
    <row r="845" ht="22.35" customHeight="1" x14ac:dyDescent="0.3"/>
    <row r="846" ht="22.35" customHeight="1" x14ac:dyDescent="0.3"/>
    <row r="847" ht="22.35" customHeight="1" x14ac:dyDescent="0.3"/>
    <row r="848" ht="22.35" customHeight="1" x14ac:dyDescent="0.3"/>
    <row r="849" ht="22.35" customHeight="1" x14ac:dyDescent="0.3"/>
    <row r="850" ht="22.35" customHeight="1" x14ac:dyDescent="0.3"/>
    <row r="851" ht="22.35" customHeight="1" x14ac:dyDescent="0.3"/>
    <row r="852" ht="22.35" customHeight="1" x14ac:dyDescent="0.3"/>
    <row r="853" ht="22.35" customHeight="1" x14ac:dyDescent="0.3"/>
    <row r="854" ht="22.35" customHeight="1" x14ac:dyDescent="0.3"/>
    <row r="855" ht="22.35" customHeight="1" x14ac:dyDescent="0.3"/>
    <row r="856" ht="22.35" customHeight="1" x14ac:dyDescent="0.3"/>
    <row r="857" ht="22.35" customHeight="1" x14ac:dyDescent="0.3"/>
    <row r="858" ht="22.35" customHeight="1" x14ac:dyDescent="0.3"/>
    <row r="859" ht="22.35" customHeight="1" x14ac:dyDescent="0.3"/>
    <row r="860" ht="22.35" customHeight="1" x14ac:dyDescent="0.3"/>
    <row r="861" ht="22.35" customHeight="1" x14ac:dyDescent="0.3"/>
    <row r="862" ht="22.35" customHeight="1" x14ac:dyDescent="0.3"/>
    <row r="863" ht="22.35" customHeight="1" x14ac:dyDescent="0.3"/>
    <row r="864" ht="22.35" customHeight="1" x14ac:dyDescent="0.3"/>
    <row r="865" ht="22.35" customHeight="1" x14ac:dyDescent="0.3"/>
    <row r="866" ht="22.35" customHeight="1" x14ac:dyDescent="0.3"/>
    <row r="867" ht="22.35" customHeight="1" x14ac:dyDescent="0.3"/>
    <row r="868" ht="22.35" customHeight="1" x14ac:dyDescent="0.3"/>
    <row r="869" ht="22.35" customHeight="1" x14ac:dyDescent="0.3"/>
    <row r="870" ht="22.35" customHeight="1" x14ac:dyDescent="0.3"/>
    <row r="871" ht="22.35" customHeight="1" x14ac:dyDescent="0.3"/>
    <row r="872" ht="22.35" customHeight="1" x14ac:dyDescent="0.3"/>
    <row r="873" ht="22.35" customHeight="1" x14ac:dyDescent="0.3"/>
    <row r="874" ht="22.35" customHeight="1" x14ac:dyDescent="0.3"/>
    <row r="875" ht="22.35" customHeight="1" x14ac:dyDescent="0.3"/>
    <row r="876" ht="22.35" customHeight="1" x14ac:dyDescent="0.3"/>
    <row r="877" ht="22.35" customHeight="1" x14ac:dyDescent="0.3"/>
    <row r="878" ht="22.35" customHeight="1" x14ac:dyDescent="0.3"/>
    <row r="879" ht="22.35" customHeight="1" x14ac:dyDescent="0.3"/>
    <row r="880" ht="22.35" customHeight="1" x14ac:dyDescent="0.3"/>
    <row r="881" ht="22.35" customHeight="1" x14ac:dyDescent="0.3"/>
    <row r="882" ht="22.35" customHeight="1" x14ac:dyDescent="0.3"/>
    <row r="883" ht="22.35" customHeight="1" x14ac:dyDescent="0.3"/>
    <row r="884" ht="22.35" customHeight="1" x14ac:dyDescent="0.3"/>
    <row r="885" ht="22.35" customHeight="1" x14ac:dyDescent="0.3"/>
    <row r="886" ht="22.35" customHeight="1" x14ac:dyDescent="0.3"/>
    <row r="887" ht="22.35" customHeight="1" x14ac:dyDescent="0.3"/>
    <row r="888" ht="22.35" customHeight="1" x14ac:dyDescent="0.3"/>
    <row r="889" ht="22.35" customHeight="1" x14ac:dyDescent="0.3"/>
    <row r="890" ht="22.35" customHeight="1" x14ac:dyDescent="0.3"/>
    <row r="891" ht="22.35" customHeight="1" x14ac:dyDescent="0.3"/>
    <row r="892" ht="22.35" customHeight="1" x14ac:dyDescent="0.3"/>
    <row r="893" ht="22.35" customHeight="1" x14ac:dyDescent="0.3"/>
    <row r="894" ht="22.35" customHeight="1" x14ac:dyDescent="0.3"/>
    <row r="895" ht="22.35" customHeight="1" x14ac:dyDescent="0.3"/>
    <row r="896" ht="22.35" customHeight="1" x14ac:dyDescent="0.3"/>
    <row r="897" ht="22.35" customHeight="1" x14ac:dyDescent="0.3"/>
    <row r="898" ht="22.35" customHeight="1" x14ac:dyDescent="0.3"/>
    <row r="899" ht="22.35" customHeight="1" x14ac:dyDescent="0.3"/>
    <row r="900" ht="22.35" customHeight="1" x14ac:dyDescent="0.3"/>
    <row r="901" ht="22.35" customHeight="1" x14ac:dyDescent="0.3"/>
    <row r="902" ht="22.35" customHeight="1" x14ac:dyDescent="0.3"/>
    <row r="903" ht="22.35" customHeight="1" x14ac:dyDescent="0.3"/>
    <row r="904" ht="22.35" customHeight="1" x14ac:dyDescent="0.3"/>
    <row r="905" ht="22.35" customHeight="1" x14ac:dyDescent="0.3"/>
    <row r="906" ht="22.35" customHeight="1" x14ac:dyDescent="0.3"/>
    <row r="907" ht="22.35" customHeight="1" x14ac:dyDescent="0.3"/>
    <row r="908" ht="22.35" customHeight="1" x14ac:dyDescent="0.3"/>
    <row r="909" ht="22.35" customHeight="1" x14ac:dyDescent="0.3"/>
    <row r="910" ht="22.35" customHeight="1" x14ac:dyDescent="0.3"/>
    <row r="911" ht="22.35" customHeight="1" x14ac:dyDescent="0.3"/>
    <row r="912" ht="22.35" customHeight="1" x14ac:dyDescent="0.3"/>
    <row r="913" ht="22.35" customHeight="1" x14ac:dyDescent="0.3"/>
    <row r="914" ht="22.35" customHeight="1" x14ac:dyDescent="0.3"/>
    <row r="915" ht="22.35" customHeight="1" x14ac:dyDescent="0.3"/>
    <row r="916" ht="22.35" customHeight="1" x14ac:dyDescent="0.3"/>
    <row r="917" ht="22.35" customHeight="1" x14ac:dyDescent="0.3"/>
    <row r="918" ht="22.35" customHeight="1" x14ac:dyDescent="0.3"/>
    <row r="919" ht="22.35" customHeight="1" x14ac:dyDescent="0.3"/>
    <row r="920" ht="22.35" customHeight="1" x14ac:dyDescent="0.3"/>
    <row r="921" ht="22.35" customHeight="1" x14ac:dyDescent="0.3"/>
    <row r="922" ht="22.35" customHeight="1" x14ac:dyDescent="0.3"/>
    <row r="923" ht="22.35" customHeight="1" x14ac:dyDescent="0.3"/>
    <row r="924" ht="22.35" customHeight="1" x14ac:dyDescent="0.3"/>
    <row r="925" ht="22.35" customHeight="1" x14ac:dyDescent="0.3"/>
    <row r="926" ht="22.35" customHeight="1" x14ac:dyDescent="0.3"/>
    <row r="927" ht="22.35" customHeight="1" x14ac:dyDescent="0.3"/>
    <row r="928" ht="22.35" customHeight="1" x14ac:dyDescent="0.3"/>
    <row r="929" ht="22.35" customHeight="1" x14ac:dyDescent="0.3"/>
    <row r="930" ht="22.35" customHeight="1" x14ac:dyDescent="0.3"/>
    <row r="931" ht="22.35" customHeight="1" x14ac:dyDescent="0.3"/>
    <row r="932" ht="22.35" customHeight="1" x14ac:dyDescent="0.3"/>
    <row r="933" ht="22.35" customHeight="1" x14ac:dyDescent="0.3"/>
    <row r="934" ht="22.35" customHeight="1" x14ac:dyDescent="0.3"/>
    <row r="935" ht="22.35" customHeight="1" x14ac:dyDescent="0.3"/>
    <row r="936" ht="22.35" customHeight="1" x14ac:dyDescent="0.3"/>
    <row r="937" ht="22.35" customHeight="1" x14ac:dyDescent="0.3"/>
    <row r="938" ht="22.35" customHeight="1" x14ac:dyDescent="0.3"/>
    <row r="939" ht="22.35" customHeight="1" x14ac:dyDescent="0.3"/>
    <row r="940" ht="22.35" customHeight="1" x14ac:dyDescent="0.3"/>
    <row r="941" ht="22.35" customHeight="1" x14ac:dyDescent="0.3"/>
    <row r="942" ht="22.35" customHeight="1" x14ac:dyDescent="0.3"/>
    <row r="943" ht="22.35" customHeight="1" x14ac:dyDescent="0.3"/>
    <row r="944" ht="22.35" customHeight="1" x14ac:dyDescent="0.3"/>
    <row r="945" ht="22.35" customHeight="1" x14ac:dyDescent="0.3"/>
    <row r="946" ht="22.35" customHeight="1" x14ac:dyDescent="0.3"/>
    <row r="947" ht="22.35" customHeight="1" x14ac:dyDescent="0.3"/>
    <row r="948" ht="22.35" customHeight="1" x14ac:dyDescent="0.3"/>
    <row r="949" ht="22.35" customHeight="1" x14ac:dyDescent="0.3"/>
    <row r="950" ht="22.35" customHeight="1" x14ac:dyDescent="0.3"/>
    <row r="951" ht="22.35" customHeight="1" x14ac:dyDescent="0.3"/>
    <row r="952" ht="22.35" customHeight="1" x14ac:dyDescent="0.3"/>
    <row r="953" ht="22.35" customHeight="1" x14ac:dyDescent="0.3"/>
    <row r="954" ht="22.35" customHeight="1" x14ac:dyDescent="0.3"/>
    <row r="955" ht="22.35" customHeight="1" x14ac:dyDescent="0.3"/>
    <row r="956" ht="22.35" customHeight="1" x14ac:dyDescent="0.3"/>
    <row r="957" ht="22.35" customHeight="1" x14ac:dyDescent="0.3"/>
    <row r="958" ht="22.35" customHeight="1" x14ac:dyDescent="0.3"/>
    <row r="959" ht="22.35" customHeight="1" x14ac:dyDescent="0.3"/>
    <row r="960" ht="22.35" customHeight="1" x14ac:dyDescent="0.3"/>
    <row r="961" ht="22.35" customHeight="1" x14ac:dyDescent="0.3"/>
    <row r="962" ht="22.35" customHeight="1" x14ac:dyDescent="0.3"/>
    <row r="963" ht="22.35" customHeight="1" x14ac:dyDescent="0.3"/>
    <row r="964" ht="22.35" customHeight="1" x14ac:dyDescent="0.3"/>
    <row r="965" ht="22.35" customHeight="1" x14ac:dyDescent="0.3"/>
    <row r="966" ht="22.35" customHeight="1" x14ac:dyDescent="0.3"/>
    <row r="967" ht="22.35" customHeight="1" x14ac:dyDescent="0.3"/>
    <row r="968" ht="22.35" customHeight="1" x14ac:dyDescent="0.3"/>
    <row r="969" ht="22.35" customHeight="1" x14ac:dyDescent="0.3"/>
    <row r="970" ht="22.35" customHeight="1" x14ac:dyDescent="0.3"/>
    <row r="971" ht="22.35" customHeight="1" x14ac:dyDescent="0.3"/>
    <row r="972" ht="22.35" customHeight="1" x14ac:dyDescent="0.3"/>
    <row r="973" ht="22.35" customHeight="1" x14ac:dyDescent="0.3"/>
    <row r="974" ht="22.35" customHeight="1" x14ac:dyDescent="0.3"/>
    <row r="975" ht="22.35" customHeight="1" x14ac:dyDescent="0.3"/>
    <row r="976" ht="22.35" customHeight="1" x14ac:dyDescent="0.3"/>
    <row r="977" ht="22.35" customHeight="1" x14ac:dyDescent="0.3"/>
    <row r="978" ht="22.35" customHeight="1" x14ac:dyDescent="0.3"/>
    <row r="979" ht="22.35" customHeight="1" x14ac:dyDescent="0.3"/>
    <row r="980" ht="22.35" customHeight="1" x14ac:dyDescent="0.3"/>
    <row r="981" ht="22.35" customHeight="1" x14ac:dyDescent="0.3"/>
    <row r="982" ht="22.35" customHeight="1" x14ac:dyDescent="0.3"/>
    <row r="983" ht="22.35" customHeight="1" x14ac:dyDescent="0.3"/>
    <row r="984" ht="22.35" customHeight="1" x14ac:dyDescent="0.3"/>
    <row r="985" ht="22.35" customHeight="1" x14ac:dyDescent="0.3"/>
    <row r="986" ht="22.35" customHeight="1" x14ac:dyDescent="0.3"/>
    <row r="987" ht="22.35" customHeight="1" x14ac:dyDescent="0.3"/>
    <row r="988" ht="22.35" customHeight="1" x14ac:dyDescent="0.3"/>
    <row r="989" ht="22.35" customHeight="1" x14ac:dyDescent="0.3"/>
    <row r="990" ht="22.35" customHeight="1" x14ac:dyDescent="0.3"/>
    <row r="991" ht="22.35" customHeight="1" x14ac:dyDescent="0.3"/>
    <row r="992" ht="22.35" customHeight="1" x14ac:dyDescent="0.3"/>
    <row r="993" ht="22.35" customHeight="1" x14ac:dyDescent="0.3"/>
    <row r="994" ht="22.35" customHeight="1" x14ac:dyDescent="0.3"/>
    <row r="995" ht="22.35" customHeight="1" x14ac:dyDescent="0.3"/>
    <row r="996" ht="22.35" customHeight="1" x14ac:dyDescent="0.3"/>
    <row r="997" ht="22.35" customHeight="1" x14ac:dyDescent="0.3"/>
    <row r="998" ht="22.35" customHeight="1" x14ac:dyDescent="0.3"/>
    <row r="999" ht="22.35" customHeight="1" x14ac:dyDescent="0.3"/>
    <row r="1000" ht="22.35" customHeight="1" x14ac:dyDescent="0.3"/>
    <row r="1001" ht="22.35" customHeight="1" x14ac:dyDescent="0.3"/>
    <row r="1002" ht="22.35" customHeight="1" x14ac:dyDescent="0.3"/>
    <row r="1003" ht="22.35" customHeight="1" x14ac:dyDescent="0.3"/>
    <row r="1004" ht="22.35" customHeight="1" x14ac:dyDescent="0.3"/>
    <row r="1005" ht="22.35" customHeight="1" x14ac:dyDescent="0.3"/>
    <row r="1006" ht="22.35" customHeight="1" x14ac:dyDescent="0.3"/>
    <row r="1007" ht="22.35" customHeight="1" x14ac:dyDescent="0.3"/>
    <row r="1008" ht="22.35" customHeight="1" x14ac:dyDescent="0.3"/>
    <row r="1009" ht="22.35" customHeight="1" x14ac:dyDescent="0.3"/>
    <row r="1010" ht="22.35" customHeight="1" x14ac:dyDescent="0.3"/>
    <row r="1011" ht="22.35" customHeight="1" x14ac:dyDescent="0.3"/>
    <row r="1012" ht="22.35" customHeight="1" x14ac:dyDescent="0.3"/>
    <row r="1013" ht="22.35" customHeight="1" x14ac:dyDescent="0.3"/>
    <row r="1014" ht="22.35" customHeight="1" x14ac:dyDescent="0.3"/>
    <row r="1015" ht="22.35" customHeight="1" x14ac:dyDescent="0.3"/>
    <row r="1016" ht="22.35" customHeight="1" x14ac:dyDescent="0.3"/>
    <row r="1017" ht="22.35" customHeight="1" x14ac:dyDescent="0.3"/>
    <row r="1018" ht="22.35" customHeight="1" x14ac:dyDescent="0.3"/>
    <row r="1019" ht="22.35" customHeight="1" x14ac:dyDescent="0.3"/>
    <row r="1020" ht="22.35" customHeight="1" x14ac:dyDescent="0.3"/>
    <row r="1021" ht="22.35" customHeight="1" x14ac:dyDescent="0.3"/>
    <row r="1022" ht="22.35" customHeight="1" x14ac:dyDescent="0.3"/>
    <row r="1023" ht="22.35" customHeight="1" x14ac:dyDescent="0.3"/>
    <row r="1024" ht="22.35" customHeight="1" x14ac:dyDescent="0.3"/>
    <row r="1025" ht="22.35" customHeight="1" x14ac:dyDescent="0.3"/>
    <row r="1026" ht="22.35" customHeight="1" x14ac:dyDescent="0.3"/>
    <row r="1027" ht="22.35" customHeight="1" x14ac:dyDescent="0.3"/>
    <row r="1028" ht="22.35" customHeight="1" x14ac:dyDescent="0.3"/>
    <row r="1029" ht="22.35" customHeight="1" x14ac:dyDescent="0.3"/>
    <row r="1030" ht="22.35" customHeight="1" x14ac:dyDescent="0.3"/>
    <row r="1031" ht="22.35" customHeight="1" x14ac:dyDescent="0.3"/>
    <row r="1032" ht="22.35" customHeight="1" x14ac:dyDescent="0.3"/>
    <row r="1033" ht="22.35" customHeight="1" x14ac:dyDescent="0.3"/>
    <row r="1034" ht="22.35" customHeight="1" x14ac:dyDescent="0.3"/>
    <row r="1035" ht="22.35" customHeight="1" x14ac:dyDescent="0.3"/>
    <row r="1036" ht="22.35" customHeight="1" x14ac:dyDescent="0.3"/>
    <row r="1037" ht="22.35" customHeight="1" x14ac:dyDescent="0.3"/>
    <row r="1038" ht="22.35" customHeight="1" x14ac:dyDescent="0.3"/>
    <row r="1039" ht="22.35" customHeight="1" x14ac:dyDescent="0.3"/>
    <row r="1040" ht="22.35" customHeight="1" x14ac:dyDescent="0.3"/>
    <row r="1041" ht="22.35" customHeight="1" x14ac:dyDescent="0.3"/>
    <row r="1042" ht="22.35" customHeight="1" x14ac:dyDescent="0.3"/>
    <row r="1043" ht="22.35" customHeight="1" x14ac:dyDescent="0.3"/>
    <row r="1044" ht="22.35" customHeight="1" x14ac:dyDescent="0.3"/>
    <row r="1045" ht="22.35" customHeight="1" x14ac:dyDescent="0.3"/>
    <row r="1046" ht="22.35" customHeight="1" x14ac:dyDescent="0.3"/>
    <row r="1047" ht="22.35" customHeight="1" x14ac:dyDescent="0.3"/>
    <row r="1048" ht="22.35" customHeight="1" x14ac:dyDescent="0.3"/>
    <row r="1049" ht="22.35" customHeight="1" x14ac:dyDescent="0.3"/>
    <row r="1050" ht="22.35" customHeight="1" x14ac:dyDescent="0.3"/>
    <row r="1051" ht="22.35" customHeight="1" x14ac:dyDescent="0.3"/>
    <row r="1052" ht="22.35" customHeight="1" x14ac:dyDescent="0.3"/>
    <row r="1053" ht="22.35" customHeight="1" x14ac:dyDescent="0.3"/>
    <row r="1054" ht="22.35" customHeight="1" x14ac:dyDescent="0.3"/>
    <row r="1055" ht="22.35" customHeight="1" x14ac:dyDescent="0.3"/>
    <row r="1056" ht="22.35" customHeight="1" x14ac:dyDescent="0.3"/>
    <row r="1057" ht="22.35" customHeight="1" x14ac:dyDescent="0.3"/>
    <row r="1058" ht="22.35" customHeight="1" x14ac:dyDescent="0.3"/>
    <row r="1059" ht="22.35" customHeight="1" x14ac:dyDescent="0.3"/>
    <row r="1060" ht="22.35" customHeight="1" x14ac:dyDescent="0.3"/>
    <row r="1061" ht="22.35" customHeight="1" x14ac:dyDescent="0.3"/>
    <row r="1062" ht="22.35" customHeight="1" x14ac:dyDescent="0.3"/>
    <row r="1063" ht="22.35" customHeight="1" x14ac:dyDescent="0.3"/>
    <row r="1064" ht="22.35" customHeight="1" x14ac:dyDescent="0.3"/>
    <row r="1065" ht="22.35" customHeight="1" x14ac:dyDescent="0.3"/>
    <row r="1066" ht="22.35" customHeight="1" x14ac:dyDescent="0.3"/>
    <row r="1067" ht="22.35" customHeight="1" x14ac:dyDescent="0.3"/>
    <row r="1068" ht="22.35" customHeight="1" x14ac:dyDescent="0.3"/>
    <row r="1069" ht="22.35" customHeight="1" x14ac:dyDescent="0.3"/>
    <row r="1070" ht="22.35" customHeight="1" x14ac:dyDescent="0.3"/>
    <row r="1071" ht="22.35" customHeight="1" x14ac:dyDescent="0.3"/>
    <row r="1072" ht="22.35" customHeight="1" x14ac:dyDescent="0.3"/>
    <row r="1073" ht="22.35" customHeight="1" x14ac:dyDescent="0.3"/>
    <row r="1074" ht="22.35" customHeight="1" x14ac:dyDescent="0.3"/>
    <row r="1075" ht="22.35" customHeight="1" x14ac:dyDescent="0.3"/>
    <row r="1076" ht="22.35" customHeight="1" x14ac:dyDescent="0.3"/>
    <row r="1077" ht="22.35" customHeight="1" x14ac:dyDescent="0.3"/>
    <row r="1078" ht="22.35" customHeight="1" x14ac:dyDescent="0.3"/>
    <row r="1079" ht="22.35" customHeight="1" x14ac:dyDescent="0.3"/>
    <row r="1080" ht="22.35" customHeight="1" x14ac:dyDescent="0.3"/>
    <row r="1081" ht="22.35" customHeight="1" x14ac:dyDescent="0.3"/>
    <row r="1082" ht="22.35" customHeight="1" x14ac:dyDescent="0.3"/>
    <row r="1083" ht="22.35" customHeight="1" x14ac:dyDescent="0.3"/>
    <row r="1084" ht="22.35" customHeight="1" x14ac:dyDescent="0.3"/>
    <row r="1085" ht="22.35" customHeight="1" x14ac:dyDescent="0.3"/>
    <row r="1086" ht="22.35" customHeight="1" x14ac:dyDescent="0.3"/>
    <row r="1087" ht="22.35" customHeight="1" x14ac:dyDescent="0.3"/>
    <row r="1088" ht="22.35" customHeight="1" x14ac:dyDescent="0.3"/>
    <row r="1089" ht="22.35" customHeight="1" x14ac:dyDescent="0.3"/>
    <row r="1090" ht="22.35" customHeight="1" x14ac:dyDescent="0.3"/>
    <row r="1091" ht="22.35" customHeight="1" x14ac:dyDescent="0.3"/>
    <row r="1092" ht="22.35" customHeight="1" x14ac:dyDescent="0.3"/>
    <row r="1093" ht="22.35" customHeight="1" x14ac:dyDescent="0.3"/>
    <row r="1094" ht="22.35" customHeight="1" x14ac:dyDescent="0.3"/>
    <row r="1095" ht="22.35" customHeight="1" x14ac:dyDescent="0.3"/>
    <row r="1096" ht="22.35" customHeight="1" x14ac:dyDescent="0.3"/>
    <row r="1097" ht="22.35" customHeight="1" x14ac:dyDescent="0.3"/>
    <row r="1098" ht="22.35" customHeight="1" x14ac:dyDescent="0.3"/>
    <row r="1099" ht="22.35" customHeight="1" x14ac:dyDescent="0.3"/>
    <row r="1100" ht="22.35" customHeight="1" x14ac:dyDescent="0.3"/>
    <row r="1101" ht="22.35" customHeight="1" x14ac:dyDescent="0.3"/>
    <row r="1102" ht="22.35" customHeight="1" x14ac:dyDescent="0.3"/>
    <row r="1103" ht="22.35" customHeight="1" x14ac:dyDescent="0.3"/>
    <row r="1104" ht="22.35" customHeight="1" x14ac:dyDescent="0.3"/>
    <row r="1105" ht="22.35" customHeight="1" x14ac:dyDescent="0.3"/>
    <row r="1106" ht="22.35" customHeight="1" x14ac:dyDescent="0.3"/>
    <row r="1107" ht="22.35" customHeight="1" x14ac:dyDescent="0.3"/>
    <row r="1108" ht="22.35" customHeight="1" x14ac:dyDescent="0.3"/>
    <row r="1109" ht="22.35" customHeight="1" x14ac:dyDescent="0.3"/>
    <row r="1110" ht="22.35" customHeight="1" x14ac:dyDescent="0.3"/>
    <row r="1111" ht="22.35" customHeight="1" x14ac:dyDescent="0.3"/>
    <row r="1112" ht="22.35" customHeight="1" x14ac:dyDescent="0.3"/>
    <row r="1113" ht="22.35" customHeight="1" x14ac:dyDescent="0.3"/>
    <row r="1114" ht="22.35" customHeight="1" x14ac:dyDescent="0.3"/>
    <row r="1115" ht="22.35" customHeight="1" x14ac:dyDescent="0.3"/>
    <row r="1116" ht="22.35" customHeight="1" x14ac:dyDescent="0.3"/>
    <row r="1117" ht="22.35" customHeight="1" x14ac:dyDescent="0.3"/>
    <row r="1118" ht="22.35" customHeight="1" x14ac:dyDescent="0.3"/>
    <row r="1119" ht="22.35" customHeight="1" x14ac:dyDescent="0.3"/>
    <row r="1120" ht="22.35" customHeight="1" x14ac:dyDescent="0.3"/>
    <row r="1121" ht="22.35" customHeight="1" x14ac:dyDescent="0.3"/>
    <row r="1122" ht="22.35" customHeight="1" x14ac:dyDescent="0.3"/>
    <row r="1123" ht="22.35" customHeight="1" x14ac:dyDescent="0.3"/>
    <row r="1124" ht="22.35" customHeight="1" x14ac:dyDescent="0.3"/>
    <row r="1125" ht="22.35" customHeight="1" x14ac:dyDescent="0.3"/>
    <row r="1126" ht="22.35" customHeight="1" x14ac:dyDescent="0.3"/>
    <row r="1127" ht="22.35" customHeight="1" x14ac:dyDescent="0.3"/>
    <row r="1128" ht="22.35" customHeight="1" x14ac:dyDescent="0.3"/>
    <row r="1129" ht="22.35" customHeight="1" x14ac:dyDescent="0.3"/>
    <row r="1130" ht="22.35" customHeight="1" x14ac:dyDescent="0.3"/>
    <row r="1131" ht="22.35" customHeight="1" x14ac:dyDescent="0.3"/>
    <row r="1132" ht="22.35" customHeight="1" x14ac:dyDescent="0.3"/>
    <row r="1133" ht="22.35" customHeight="1" x14ac:dyDescent="0.3"/>
    <row r="1134" ht="22.35" customHeight="1" x14ac:dyDescent="0.3"/>
    <row r="1135" ht="22.35" customHeight="1" x14ac:dyDescent="0.3"/>
    <row r="1136" ht="22.35" customHeight="1" x14ac:dyDescent="0.3"/>
    <row r="1137" ht="22.35" customHeight="1" x14ac:dyDescent="0.3"/>
    <row r="1138" ht="22.35" customHeight="1" x14ac:dyDescent="0.3"/>
    <row r="1139" ht="22.35" customHeight="1" x14ac:dyDescent="0.3"/>
    <row r="1140" ht="22.35" customHeight="1" x14ac:dyDescent="0.3"/>
    <row r="1141" ht="22.35" customHeight="1" x14ac:dyDescent="0.3"/>
    <row r="1142" ht="22.35" customHeight="1" x14ac:dyDescent="0.3"/>
    <row r="1143" ht="22.35" customHeight="1" x14ac:dyDescent="0.3"/>
    <row r="1144" ht="22.35" customHeight="1" x14ac:dyDescent="0.3"/>
    <row r="1145" ht="22.35" customHeight="1" x14ac:dyDescent="0.3"/>
    <row r="1146" ht="22.35" customHeight="1" x14ac:dyDescent="0.3"/>
    <row r="1147" ht="22.35" customHeight="1" x14ac:dyDescent="0.3"/>
    <row r="1148" ht="22.35" customHeight="1" x14ac:dyDescent="0.3"/>
    <row r="1149" ht="22.35" customHeight="1" x14ac:dyDescent="0.3"/>
    <row r="1150" ht="22.35" customHeight="1" x14ac:dyDescent="0.3"/>
    <row r="1151" ht="22.35" customHeight="1" x14ac:dyDescent="0.3"/>
    <row r="1152" ht="22.35" customHeight="1" x14ac:dyDescent="0.3"/>
    <row r="1153" ht="22.35" customHeight="1" x14ac:dyDescent="0.3"/>
    <row r="1154" ht="22.35" customHeight="1" x14ac:dyDescent="0.3"/>
    <row r="1155" ht="22.35" customHeight="1" x14ac:dyDescent="0.3"/>
    <row r="1156" ht="22.35" customHeight="1" x14ac:dyDescent="0.3"/>
    <row r="1157" ht="22.35" customHeight="1" x14ac:dyDescent="0.3"/>
    <row r="1158" ht="22.35" customHeight="1" x14ac:dyDescent="0.3"/>
    <row r="1159" ht="22.35" customHeight="1" x14ac:dyDescent="0.3"/>
    <row r="1160" ht="22.35" customHeight="1" x14ac:dyDescent="0.3"/>
    <row r="1161" ht="22.35" customHeight="1" x14ac:dyDescent="0.3"/>
    <row r="1162" ht="22.35" customHeight="1" x14ac:dyDescent="0.3"/>
    <row r="1163" ht="22.35" customHeight="1" x14ac:dyDescent="0.3"/>
    <row r="1164" ht="22.35" customHeight="1" x14ac:dyDescent="0.3"/>
    <row r="1165" ht="22.35" customHeight="1" x14ac:dyDescent="0.3"/>
    <row r="1166" ht="22.35" customHeight="1" x14ac:dyDescent="0.3"/>
    <row r="1167" ht="22.35" customHeight="1" x14ac:dyDescent="0.3"/>
    <row r="1168" ht="22.35" customHeight="1" x14ac:dyDescent="0.3"/>
    <row r="1169" ht="22.35" customHeight="1" x14ac:dyDescent="0.3"/>
    <row r="1170" ht="22.35" customHeight="1" x14ac:dyDescent="0.3"/>
    <row r="1171" ht="22.35" customHeight="1" x14ac:dyDescent="0.3"/>
    <row r="1172" ht="22.35" customHeight="1" x14ac:dyDescent="0.3"/>
    <row r="1173" ht="22.35" customHeight="1" x14ac:dyDescent="0.3"/>
    <row r="1174" ht="22.35" customHeight="1" x14ac:dyDescent="0.3"/>
    <row r="1175" ht="22.35" customHeight="1" x14ac:dyDescent="0.3"/>
    <row r="1176" ht="22.35" customHeight="1" x14ac:dyDescent="0.3"/>
    <row r="1177" ht="22.35" customHeight="1" x14ac:dyDescent="0.3"/>
    <row r="1178" ht="22.35" customHeight="1" x14ac:dyDescent="0.3"/>
    <row r="1179" ht="22.35" customHeight="1" x14ac:dyDescent="0.3"/>
    <row r="1180" ht="22.35" customHeight="1" x14ac:dyDescent="0.3"/>
    <row r="1181" ht="22.35" customHeight="1" x14ac:dyDescent="0.3"/>
    <row r="1182" ht="22.35" customHeight="1" x14ac:dyDescent="0.3"/>
    <row r="1183" ht="22.35" customHeight="1" x14ac:dyDescent="0.3"/>
    <row r="1184" ht="22.35" customHeight="1" x14ac:dyDescent="0.3"/>
    <row r="1185" ht="22.35" customHeight="1" x14ac:dyDescent="0.3"/>
    <row r="1186" ht="22.35" customHeight="1" x14ac:dyDescent="0.3"/>
    <row r="1187" ht="22.35" customHeight="1" x14ac:dyDescent="0.3"/>
    <row r="1188" ht="22.35" customHeight="1" x14ac:dyDescent="0.3"/>
    <row r="1189" ht="22.35" customHeight="1" x14ac:dyDescent="0.3"/>
    <row r="1190" ht="22.35" customHeight="1" x14ac:dyDescent="0.3"/>
    <row r="1191" ht="22.35" customHeight="1" x14ac:dyDescent="0.3"/>
    <row r="1192" ht="22.35" customHeight="1" x14ac:dyDescent="0.3"/>
    <row r="1193" ht="22.35" customHeight="1" x14ac:dyDescent="0.3"/>
    <row r="1194" ht="22.35" customHeight="1" x14ac:dyDescent="0.3"/>
    <row r="1195" ht="22.35" customHeight="1" x14ac:dyDescent="0.3"/>
    <row r="1196" ht="22.35" customHeight="1" x14ac:dyDescent="0.3"/>
    <row r="1197" ht="22.35" customHeight="1" x14ac:dyDescent="0.3"/>
    <row r="1198" ht="22.35" customHeight="1" x14ac:dyDescent="0.3"/>
    <row r="1199" ht="22.35" customHeight="1" x14ac:dyDescent="0.3"/>
    <row r="1200" ht="22.35" customHeight="1" x14ac:dyDescent="0.3"/>
    <row r="1201" ht="22.35" customHeight="1" x14ac:dyDescent="0.3"/>
    <row r="1202" ht="22.35" customHeight="1" x14ac:dyDescent="0.3"/>
    <row r="1203" ht="22.35" customHeight="1" x14ac:dyDescent="0.3"/>
    <row r="1204" ht="22.35" customHeight="1" x14ac:dyDescent="0.3"/>
    <row r="1205" ht="22.35" customHeight="1" x14ac:dyDescent="0.3"/>
    <row r="1206" ht="22.35" customHeight="1" x14ac:dyDescent="0.3"/>
    <row r="1207" ht="22.35" customHeight="1" x14ac:dyDescent="0.3"/>
    <row r="1208" ht="22.35" customHeight="1" x14ac:dyDescent="0.3"/>
    <row r="1209" ht="22.35" customHeight="1" x14ac:dyDescent="0.3"/>
    <row r="1210" ht="22.35" customHeight="1" x14ac:dyDescent="0.3"/>
    <row r="1211" ht="22.35" customHeight="1" x14ac:dyDescent="0.3"/>
    <row r="1212" ht="22.35" customHeight="1" x14ac:dyDescent="0.3"/>
    <row r="1213" ht="22.35" customHeight="1" x14ac:dyDescent="0.3"/>
    <row r="1214" ht="22.35" customHeight="1" x14ac:dyDescent="0.3"/>
    <row r="1215" ht="22.35" customHeight="1" x14ac:dyDescent="0.3"/>
    <row r="1216" ht="22.35" customHeight="1" x14ac:dyDescent="0.3"/>
    <row r="1217" ht="22.35" customHeight="1" x14ac:dyDescent="0.3"/>
    <row r="1218" ht="22.35" customHeight="1" x14ac:dyDescent="0.3"/>
    <row r="1219" ht="22.35" customHeight="1" x14ac:dyDescent="0.3"/>
    <row r="1220" ht="22.35" customHeight="1" x14ac:dyDescent="0.3"/>
    <row r="1221" ht="22.35" customHeight="1" x14ac:dyDescent="0.3"/>
    <row r="1222" ht="22.35" customHeight="1" x14ac:dyDescent="0.3"/>
    <row r="1223" ht="22.35" customHeight="1" x14ac:dyDescent="0.3"/>
    <row r="1224" ht="22.35" customHeight="1" x14ac:dyDescent="0.3"/>
    <row r="1225" ht="22.35" customHeight="1" x14ac:dyDescent="0.3"/>
    <row r="1226" ht="22.35" customHeight="1" x14ac:dyDescent="0.3"/>
    <row r="1227" ht="22.35" customHeight="1" x14ac:dyDescent="0.3"/>
    <row r="1228" ht="22.35" customHeight="1" x14ac:dyDescent="0.3"/>
    <row r="1229" ht="22.35" customHeight="1" x14ac:dyDescent="0.3"/>
    <row r="1230" ht="22.35" customHeight="1" x14ac:dyDescent="0.3"/>
    <row r="1231" ht="22.35" customHeight="1" x14ac:dyDescent="0.3"/>
    <row r="1232" ht="22.35" customHeight="1" x14ac:dyDescent="0.3"/>
    <row r="1233" ht="22.35" customHeight="1" x14ac:dyDescent="0.3"/>
    <row r="1234" ht="22.35" customHeight="1" x14ac:dyDescent="0.3"/>
    <row r="1235" ht="22.35" customHeight="1" x14ac:dyDescent="0.3"/>
    <row r="1236" ht="22.35" customHeight="1" x14ac:dyDescent="0.3"/>
    <row r="1237" ht="22.35" customHeight="1" x14ac:dyDescent="0.3"/>
    <row r="1238" ht="22.35" customHeight="1" x14ac:dyDescent="0.3"/>
    <row r="1239" ht="22.35" customHeight="1" x14ac:dyDescent="0.3"/>
    <row r="1240" ht="22.35" customHeight="1" x14ac:dyDescent="0.3"/>
    <row r="1241" ht="22.35" customHeight="1" x14ac:dyDescent="0.3"/>
    <row r="1242" ht="22.35" customHeight="1" x14ac:dyDescent="0.3"/>
    <row r="1243" ht="22.35" customHeight="1" x14ac:dyDescent="0.3"/>
    <row r="1244" ht="22.35" customHeight="1" x14ac:dyDescent="0.3"/>
    <row r="1245" ht="22.35" customHeight="1" x14ac:dyDescent="0.3"/>
    <row r="1246" ht="22.35" customHeight="1" x14ac:dyDescent="0.3"/>
    <row r="1247" ht="22.35" customHeight="1" x14ac:dyDescent="0.3"/>
    <row r="1248" ht="22.35" customHeight="1" x14ac:dyDescent="0.3"/>
    <row r="1249" ht="22.35" customHeight="1" x14ac:dyDescent="0.3"/>
    <row r="1250" ht="22.35" customHeight="1" x14ac:dyDescent="0.3"/>
    <row r="1251" ht="22.35" customHeight="1" x14ac:dyDescent="0.3"/>
    <row r="1252" ht="22.35" customHeight="1" x14ac:dyDescent="0.3"/>
    <row r="1253" ht="22.35" customHeight="1" x14ac:dyDescent="0.3"/>
    <row r="1254" ht="22.35" customHeight="1" x14ac:dyDescent="0.3"/>
    <row r="1255" ht="22.35" customHeight="1" x14ac:dyDescent="0.3"/>
    <row r="1256" ht="22.35" customHeight="1" x14ac:dyDescent="0.3"/>
    <row r="1257" ht="22.35" customHeight="1" x14ac:dyDescent="0.3"/>
    <row r="1258" ht="22.35" customHeight="1" x14ac:dyDescent="0.3"/>
    <row r="1259" ht="22.35" customHeight="1" x14ac:dyDescent="0.3"/>
    <row r="1260" ht="22.35" customHeight="1" x14ac:dyDescent="0.3"/>
    <row r="1261" ht="22.35" customHeight="1" x14ac:dyDescent="0.3"/>
    <row r="1262" ht="22.35" customHeight="1" x14ac:dyDescent="0.3"/>
    <row r="1263" ht="22.35" customHeight="1" x14ac:dyDescent="0.3"/>
    <row r="1264" ht="22.35" customHeight="1" x14ac:dyDescent="0.3"/>
    <row r="1265" ht="22.35" customHeight="1" x14ac:dyDescent="0.3"/>
    <row r="1266" ht="22.35" customHeight="1" x14ac:dyDescent="0.3"/>
    <row r="1267" ht="22.35" customHeight="1" x14ac:dyDescent="0.3"/>
    <row r="1268" ht="22.35" customHeight="1" x14ac:dyDescent="0.3"/>
    <row r="1269" ht="22.35" customHeight="1" x14ac:dyDescent="0.3"/>
    <row r="1270" ht="22.35" customHeight="1" x14ac:dyDescent="0.3"/>
    <row r="1271" ht="22.35" customHeight="1" x14ac:dyDescent="0.3"/>
    <row r="1272" ht="22.35" customHeight="1" x14ac:dyDescent="0.3"/>
    <row r="1273" ht="22.35" customHeight="1" x14ac:dyDescent="0.3"/>
    <row r="1274" ht="22.35" customHeight="1" x14ac:dyDescent="0.3"/>
    <row r="1275" ht="22.35" customHeight="1" x14ac:dyDescent="0.3"/>
    <row r="1276" ht="22.35" customHeight="1" x14ac:dyDescent="0.3"/>
    <row r="1277" ht="22.35" customHeight="1" x14ac:dyDescent="0.3"/>
    <row r="1278" ht="22.35" customHeight="1" x14ac:dyDescent="0.3"/>
    <row r="1279" ht="22.35" customHeight="1" x14ac:dyDescent="0.3"/>
    <row r="1280" ht="22.35" customHeight="1" x14ac:dyDescent="0.3"/>
    <row r="1281" ht="22.35" customHeight="1" x14ac:dyDescent="0.3"/>
    <row r="1282" ht="22.35" customHeight="1" x14ac:dyDescent="0.3"/>
    <row r="1283" ht="22.35" customHeight="1" x14ac:dyDescent="0.3"/>
    <row r="1284" ht="22.35" customHeight="1" x14ac:dyDescent="0.3"/>
    <row r="1285" ht="22.35" customHeight="1" x14ac:dyDescent="0.3"/>
    <row r="1286" ht="22.35" customHeight="1" x14ac:dyDescent="0.3"/>
    <row r="1287" ht="22.35" customHeight="1" x14ac:dyDescent="0.3"/>
    <row r="1288" ht="22.35" customHeight="1" x14ac:dyDescent="0.3"/>
    <row r="1289" ht="22.35" customHeight="1" x14ac:dyDescent="0.3"/>
    <row r="1290" ht="22.35" customHeight="1" x14ac:dyDescent="0.3"/>
    <row r="1291" ht="22.35" customHeight="1" x14ac:dyDescent="0.3"/>
    <row r="1292" ht="22.35" customHeight="1" x14ac:dyDescent="0.3"/>
    <row r="1293" ht="22.35" customHeight="1" x14ac:dyDescent="0.3"/>
    <row r="1294" ht="22.35" customHeight="1" x14ac:dyDescent="0.3"/>
    <row r="1295" ht="22.35" customHeight="1" x14ac:dyDescent="0.3"/>
    <row r="1296" ht="22.35" customHeight="1" x14ac:dyDescent="0.3"/>
    <row r="1297" ht="22.35" customHeight="1" x14ac:dyDescent="0.3"/>
    <row r="1298" ht="22.35" customHeight="1" x14ac:dyDescent="0.3"/>
    <row r="1299" ht="22.35" customHeight="1" x14ac:dyDescent="0.3"/>
    <row r="1300" ht="22.35" customHeight="1" x14ac:dyDescent="0.3"/>
    <row r="1301" ht="22.35" customHeight="1" x14ac:dyDescent="0.3"/>
    <row r="1302" ht="22.35" customHeight="1" x14ac:dyDescent="0.3"/>
    <row r="1303" ht="22.35" customHeight="1" x14ac:dyDescent="0.3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2935-D77D-4210-AEF6-DA6E1434A920}">
  <sheetPr>
    <pageSetUpPr fitToPage="1"/>
  </sheetPr>
  <dimension ref="A1:AW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44140625" defaultRowHeight="17.399999999999999" x14ac:dyDescent="0.3"/>
  <cols>
    <col min="1" max="1" width="62.5546875" style="114" customWidth="1"/>
    <col min="2" max="2" width="62.5546875" style="131" customWidth="1"/>
    <col min="3" max="4" width="24.5546875" style="132" customWidth="1"/>
    <col min="5" max="8" width="24.5546875" style="120" customWidth="1"/>
    <col min="9" max="10" width="24.5546875" style="114" customWidth="1"/>
    <col min="11" max="16384" width="9.44140625" style="114"/>
  </cols>
  <sheetData>
    <row r="1" spans="1:49" ht="58.35" customHeight="1" x14ac:dyDescent="0.3">
      <c r="A1" s="288" t="s">
        <v>96</v>
      </c>
      <c r="B1" s="289" t="s">
        <v>95</v>
      </c>
      <c r="C1" s="290"/>
      <c r="D1" s="290"/>
      <c r="E1" s="290"/>
      <c r="F1" s="290"/>
      <c r="G1" s="290"/>
      <c r="H1" s="290"/>
      <c r="I1" s="290"/>
      <c r="J1" s="290"/>
    </row>
    <row r="2" spans="1:49" ht="20.85" customHeight="1" x14ac:dyDescent="0.35">
      <c r="A2" s="291"/>
      <c r="B2" s="292"/>
      <c r="C2" s="365"/>
      <c r="D2" s="365"/>
      <c r="E2" s="293"/>
      <c r="F2" s="294"/>
      <c r="G2" s="295"/>
      <c r="H2" s="275"/>
      <c r="I2" s="295"/>
      <c r="J2" s="296" t="s">
        <v>55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</row>
    <row r="3" spans="1:49" s="120" customFormat="1" ht="15" customHeight="1" x14ac:dyDescent="0.35">
      <c r="A3" s="272"/>
      <c r="B3" s="346" t="s">
        <v>1</v>
      </c>
      <c r="C3" s="348" t="s">
        <v>86</v>
      </c>
      <c r="D3" s="349"/>
      <c r="E3" s="349"/>
      <c r="F3" s="349"/>
      <c r="G3" s="349"/>
      <c r="H3" s="349"/>
      <c r="I3" s="349"/>
      <c r="J3" s="350"/>
    </row>
    <row r="4" spans="1:49" s="120" customFormat="1" ht="15" customHeight="1" x14ac:dyDescent="0.35">
      <c r="A4" s="273"/>
      <c r="B4" s="347"/>
      <c r="C4" s="351"/>
      <c r="D4" s="352"/>
      <c r="E4" s="352"/>
      <c r="F4" s="352"/>
      <c r="G4" s="352"/>
      <c r="H4" s="352"/>
      <c r="I4" s="352"/>
      <c r="J4" s="353"/>
    </row>
    <row r="5" spans="1:49" s="120" customFormat="1" ht="15" customHeight="1" x14ac:dyDescent="0.35">
      <c r="A5" s="273"/>
      <c r="B5" s="241"/>
      <c r="C5" s="354" t="s">
        <v>3</v>
      </c>
      <c r="D5" s="354"/>
      <c r="E5" s="354" t="s">
        <v>5</v>
      </c>
      <c r="F5" s="354"/>
      <c r="G5" s="348" t="s">
        <v>6</v>
      </c>
      <c r="H5" s="349"/>
      <c r="I5" s="348" t="s">
        <v>7</v>
      </c>
      <c r="J5" s="350"/>
    </row>
    <row r="6" spans="1:49" s="120" customFormat="1" ht="15" customHeight="1" x14ac:dyDescent="0.35">
      <c r="A6" s="273"/>
      <c r="B6" s="241"/>
      <c r="C6" s="355"/>
      <c r="D6" s="355"/>
      <c r="E6" s="355"/>
      <c r="F6" s="355"/>
      <c r="G6" s="351"/>
      <c r="H6" s="352"/>
      <c r="I6" s="351"/>
      <c r="J6" s="353"/>
    </row>
    <row r="7" spans="1:49" s="121" customFormat="1" ht="86.85" customHeight="1" x14ac:dyDescent="0.35">
      <c r="A7" s="274"/>
      <c r="B7" s="242"/>
      <c r="C7" s="212" t="s">
        <v>2</v>
      </c>
      <c r="D7" s="220" t="s">
        <v>73</v>
      </c>
      <c r="E7" s="212" t="s">
        <v>2</v>
      </c>
      <c r="F7" s="220" t="s">
        <v>73</v>
      </c>
      <c r="G7" s="212" t="s">
        <v>2</v>
      </c>
      <c r="H7" s="220" t="s">
        <v>73</v>
      </c>
      <c r="I7" s="212" t="s">
        <v>2</v>
      </c>
      <c r="J7" s="220" t="s">
        <v>73</v>
      </c>
    </row>
    <row r="8" spans="1:49" s="140" customFormat="1" ht="50.1" customHeight="1" x14ac:dyDescent="0.4">
      <c r="A8" s="137" t="s">
        <v>34</v>
      </c>
      <c r="B8" s="138" t="s">
        <v>11</v>
      </c>
      <c r="C8" s="139">
        <v>172971</v>
      </c>
      <c r="D8" s="139">
        <v>198670</v>
      </c>
      <c r="E8" s="139">
        <v>390121</v>
      </c>
      <c r="F8" s="139">
        <v>451711</v>
      </c>
      <c r="G8" s="139">
        <v>632318</v>
      </c>
      <c r="H8" s="201">
        <v>728068</v>
      </c>
      <c r="I8" s="201">
        <v>975430</v>
      </c>
      <c r="J8" s="139">
        <v>1121422</v>
      </c>
    </row>
    <row r="9" spans="1:49" s="140" customFormat="1" ht="50.1" customHeight="1" x14ac:dyDescent="0.4">
      <c r="A9" s="141" t="s">
        <v>35</v>
      </c>
      <c r="B9" s="142" t="s">
        <v>12</v>
      </c>
      <c r="C9" s="139">
        <v>131598</v>
      </c>
      <c r="D9" s="139">
        <v>131598</v>
      </c>
      <c r="E9" s="139">
        <v>303759</v>
      </c>
      <c r="F9" s="139">
        <v>303759</v>
      </c>
      <c r="G9" s="139">
        <v>474553</v>
      </c>
      <c r="H9" s="201">
        <v>474553</v>
      </c>
      <c r="I9" s="201">
        <v>739633</v>
      </c>
      <c r="J9" s="139">
        <v>739633</v>
      </c>
    </row>
    <row r="10" spans="1:49" s="140" customFormat="1" ht="50.1" customHeight="1" x14ac:dyDescent="0.4">
      <c r="A10" s="143" t="s">
        <v>36</v>
      </c>
      <c r="B10" s="144" t="s">
        <v>84</v>
      </c>
      <c r="C10" s="139">
        <v>38498</v>
      </c>
      <c r="D10" s="139">
        <v>38498</v>
      </c>
      <c r="E10" s="139">
        <v>100405</v>
      </c>
      <c r="F10" s="139">
        <v>100405</v>
      </c>
      <c r="G10" s="139">
        <v>156730</v>
      </c>
      <c r="H10" s="201">
        <v>156730</v>
      </c>
      <c r="I10" s="201">
        <v>286907</v>
      </c>
      <c r="J10" s="139">
        <v>286907</v>
      </c>
    </row>
    <row r="11" spans="1:49" s="149" customFormat="1" ht="50.1" customHeight="1" x14ac:dyDescent="0.35">
      <c r="A11" s="145" t="s">
        <v>37</v>
      </c>
      <c r="B11" s="146" t="s">
        <v>13</v>
      </c>
      <c r="C11" s="147">
        <v>0</v>
      </c>
      <c r="D11" s="147">
        <v>0</v>
      </c>
      <c r="E11" s="147">
        <v>2127</v>
      </c>
      <c r="F11" s="147">
        <v>2127</v>
      </c>
      <c r="G11" s="147">
        <v>3931</v>
      </c>
      <c r="H11" s="202">
        <v>3931</v>
      </c>
      <c r="I11" s="202">
        <v>26337</v>
      </c>
      <c r="J11" s="147">
        <v>26337</v>
      </c>
    </row>
    <row r="12" spans="1:49" s="149" customFormat="1" ht="50.1" customHeight="1" x14ac:dyDescent="0.35">
      <c r="A12" s="145" t="s">
        <v>38</v>
      </c>
      <c r="B12" s="146" t="s">
        <v>14</v>
      </c>
      <c r="C12" s="147">
        <v>7700</v>
      </c>
      <c r="D12" s="147">
        <v>7700</v>
      </c>
      <c r="E12" s="147">
        <v>16150</v>
      </c>
      <c r="F12" s="147">
        <v>16150</v>
      </c>
      <c r="G12" s="147">
        <v>23550</v>
      </c>
      <c r="H12" s="202">
        <v>23550</v>
      </c>
      <c r="I12" s="202">
        <v>42913</v>
      </c>
      <c r="J12" s="147">
        <v>42913</v>
      </c>
    </row>
    <row r="13" spans="1:49" s="149" customFormat="1" ht="50.1" customHeight="1" x14ac:dyDescent="0.35">
      <c r="A13" s="145" t="s">
        <v>39</v>
      </c>
      <c r="B13" s="146" t="s">
        <v>15</v>
      </c>
      <c r="C13" s="147">
        <v>0</v>
      </c>
      <c r="D13" s="147">
        <v>0</v>
      </c>
      <c r="E13" s="147">
        <v>0</v>
      </c>
      <c r="F13" s="147">
        <v>0</v>
      </c>
      <c r="G13" s="147">
        <v>0</v>
      </c>
      <c r="H13" s="202">
        <v>0</v>
      </c>
      <c r="I13" s="202">
        <v>0</v>
      </c>
      <c r="J13" s="147">
        <v>0</v>
      </c>
    </row>
    <row r="14" spans="1:49" s="149" customFormat="1" ht="50.1" customHeight="1" x14ac:dyDescent="0.35">
      <c r="A14" s="145" t="s">
        <v>40</v>
      </c>
      <c r="B14" s="146" t="s">
        <v>16</v>
      </c>
      <c r="C14" s="147">
        <v>13115</v>
      </c>
      <c r="D14" s="147">
        <v>13115</v>
      </c>
      <c r="E14" s="147">
        <v>40047</v>
      </c>
      <c r="F14" s="147">
        <v>40047</v>
      </c>
      <c r="G14" s="147">
        <v>59598</v>
      </c>
      <c r="H14" s="202">
        <v>59598</v>
      </c>
      <c r="I14" s="202">
        <v>119625</v>
      </c>
      <c r="J14" s="147">
        <v>119625</v>
      </c>
    </row>
    <row r="15" spans="1:49" s="149" customFormat="1" ht="50.1" customHeight="1" x14ac:dyDescent="0.35">
      <c r="A15" s="145" t="s">
        <v>63</v>
      </c>
      <c r="B15" s="146" t="s">
        <v>17</v>
      </c>
      <c r="C15" s="147">
        <v>17683</v>
      </c>
      <c r="D15" s="147">
        <v>17683</v>
      </c>
      <c r="E15" s="147">
        <v>42081</v>
      </c>
      <c r="F15" s="147">
        <v>42081</v>
      </c>
      <c r="G15" s="147">
        <v>69651</v>
      </c>
      <c r="H15" s="202">
        <v>69651</v>
      </c>
      <c r="I15" s="202">
        <v>98032</v>
      </c>
      <c r="J15" s="147">
        <v>98032</v>
      </c>
    </row>
    <row r="16" spans="1:49" s="140" customFormat="1" ht="50.1" customHeight="1" x14ac:dyDescent="0.4">
      <c r="A16" s="143" t="s">
        <v>87</v>
      </c>
      <c r="B16" s="144" t="s">
        <v>18</v>
      </c>
      <c r="C16" s="139">
        <v>11086</v>
      </c>
      <c r="D16" s="139">
        <v>11086</v>
      </c>
      <c r="E16" s="139">
        <v>27982</v>
      </c>
      <c r="F16" s="139">
        <v>27982</v>
      </c>
      <c r="G16" s="139">
        <v>40162</v>
      </c>
      <c r="H16" s="201">
        <v>40162</v>
      </c>
      <c r="I16" s="201">
        <v>59596</v>
      </c>
      <c r="J16" s="139">
        <v>59596</v>
      </c>
    </row>
    <row r="17" spans="1:10" s="140" customFormat="1" ht="50.1" customHeight="1" x14ac:dyDescent="0.4">
      <c r="A17" s="143" t="s">
        <v>88</v>
      </c>
      <c r="B17" s="144" t="s">
        <v>19</v>
      </c>
      <c r="C17" s="139">
        <v>73455</v>
      </c>
      <c r="D17" s="139">
        <v>73455</v>
      </c>
      <c r="E17" s="139">
        <v>156950</v>
      </c>
      <c r="F17" s="139">
        <v>156950</v>
      </c>
      <c r="G17" s="139">
        <v>251149</v>
      </c>
      <c r="H17" s="201">
        <v>251149</v>
      </c>
      <c r="I17" s="201">
        <v>329979</v>
      </c>
      <c r="J17" s="139">
        <v>329979</v>
      </c>
    </row>
    <row r="18" spans="1:10" s="140" customFormat="1" ht="50.1" customHeight="1" x14ac:dyDescent="0.4">
      <c r="A18" s="143" t="s">
        <v>43</v>
      </c>
      <c r="B18" s="144" t="s">
        <v>85</v>
      </c>
      <c r="C18" s="139">
        <v>8559</v>
      </c>
      <c r="D18" s="139">
        <v>8559</v>
      </c>
      <c r="E18" s="139">
        <v>18422</v>
      </c>
      <c r="F18" s="139">
        <v>18422</v>
      </c>
      <c r="G18" s="139">
        <v>26512</v>
      </c>
      <c r="H18" s="201">
        <v>26512</v>
      </c>
      <c r="I18" s="201">
        <v>32572</v>
      </c>
      <c r="J18" s="139">
        <v>32572</v>
      </c>
    </row>
    <row r="19" spans="1:10" s="140" customFormat="1" ht="50.1" customHeight="1" x14ac:dyDescent="0.4">
      <c r="A19" s="143" t="s">
        <v>44</v>
      </c>
      <c r="B19" s="144" t="s">
        <v>21</v>
      </c>
      <c r="C19" s="139">
        <v>0</v>
      </c>
      <c r="D19" s="139">
        <v>0</v>
      </c>
      <c r="E19" s="139">
        <v>0</v>
      </c>
      <c r="F19" s="139">
        <v>0</v>
      </c>
      <c r="G19" s="139">
        <v>0</v>
      </c>
      <c r="H19" s="201">
        <v>0</v>
      </c>
      <c r="I19" s="201">
        <v>30579</v>
      </c>
      <c r="J19" s="139">
        <v>30579</v>
      </c>
    </row>
    <row r="20" spans="1:10" s="140" customFormat="1" ht="50.1" customHeight="1" x14ac:dyDescent="0.4">
      <c r="A20" s="150" t="s">
        <v>45</v>
      </c>
      <c r="B20" s="142" t="s">
        <v>22</v>
      </c>
      <c r="C20" s="139">
        <v>323</v>
      </c>
      <c r="D20" s="139">
        <v>323</v>
      </c>
      <c r="E20" s="139">
        <v>752</v>
      </c>
      <c r="F20" s="139">
        <v>752</v>
      </c>
      <c r="G20" s="139">
        <v>4000</v>
      </c>
      <c r="H20" s="201">
        <v>4000</v>
      </c>
      <c r="I20" s="201">
        <v>5263</v>
      </c>
      <c r="J20" s="139">
        <v>5263</v>
      </c>
    </row>
    <row r="21" spans="1:10" s="153" customFormat="1" ht="50.1" customHeight="1" x14ac:dyDescent="0.25">
      <c r="A21" s="151" t="s">
        <v>46</v>
      </c>
      <c r="B21" s="152" t="s">
        <v>23</v>
      </c>
      <c r="C21" s="147">
        <v>271</v>
      </c>
      <c r="D21" s="147">
        <v>271</v>
      </c>
      <c r="E21" s="147">
        <v>571</v>
      </c>
      <c r="F21" s="147">
        <v>571</v>
      </c>
      <c r="G21" s="147">
        <v>631</v>
      </c>
      <c r="H21" s="202">
        <v>631</v>
      </c>
      <c r="I21" s="202">
        <v>1216</v>
      </c>
      <c r="J21" s="147">
        <v>1216</v>
      </c>
    </row>
    <row r="22" spans="1:10" s="153" customFormat="1" ht="50.1" customHeight="1" x14ac:dyDescent="0.25">
      <c r="A22" s="151" t="s">
        <v>47</v>
      </c>
      <c r="B22" s="152" t="s">
        <v>24</v>
      </c>
      <c r="C22" s="147">
        <v>52</v>
      </c>
      <c r="D22" s="147">
        <v>52</v>
      </c>
      <c r="E22" s="147">
        <v>181</v>
      </c>
      <c r="F22" s="147">
        <v>181</v>
      </c>
      <c r="G22" s="147">
        <v>3369</v>
      </c>
      <c r="H22" s="202">
        <v>3369</v>
      </c>
      <c r="I22" s="202">
        <v>4047</v>
      </c>
      <c r="J22" s="147">
        <v>4047</v>
      </c>
    </row>
    <row r="23" spans="1:10" s="140" customFormat="1" ht="50.1" customHeight="1" x14ac:dyDescent="0.4">
      <c r="A23" s="141" t="s">
        <v>48</v>
      </c>
      <c r="B23" s="142" t="s">
        <v>25</v>
      </c>
      <c r="C23" s="139">
        <f>C24+C32+C33+C34</f>
        <v>41050</v>
      </c>
      <c r="D23" s="139">
        <f t="shared" ref="D23:H23" si="0">D24+D32+D33+D34</f>
        <v>66749</v>
      </c>
      <c r="E23" s="139">
        <f t="shared" si="0"/>
        <v>85610</v>
      </c>
      <c r="F23" s="139">
        <f t="shared" si="0"/>
        <v>147200</v>
      </c>
      <c r="G23" s="139">
        <f t="shared" si="0"/>
        <v>153765</v>
      </c>
      <c r="H23" s="201">
        <f t="shared" si="0"/>
        <v>249515</v>
      </c>
      <c r="I23" s="201">
        <v>230534</v>
      </c>
      <c r="J23" s="139">
        <v>376526</v>
      </c>
    </row>
    <row r="24" spans="1:10" s="140" customFormat="1" ht="50.1" customHeight="1" x14ac:dyDescent="0.4">
      <c r="A24" s="143" t="s">
        <v>100</v>
      </c>
      <c r="B24" s="144" t="s">
        <v>26</v>
      </c>
      <c r="C24" s="139">
        <v>14430</v>
      </c>
      <c r="D24" s="139">
        <v>18077</v>
      </c>
      <c r="E24" s="139">
        <v>32155</v>
      </c>
      <c r="F24" s="139">
        <v>40671</v>
      </c>
      <c r="G24" s="139">
        <v>55112</v>
      </c>
      <c r="H24" s="201">
        <v>69489</v>
      </c>
      <c r="I24" s="201">
        <v>65519</v>
      </c>
      <c r="J24" s="139">
        <v>99953</v>
      </c>
    </row>
    <row r="25" spans="1:10" s="149" customFormat="1" ht="50.1" customHeight="1" x14ac:dyDescent="0.35">
      <c r="A25" s="145" t="s">
        <v>37</v>
      </c>
      <c r="B25" s="146" t="s">
        <v>13</v>
      </c>
      <c r="C25" s="147">
        <v>349</v>
      </c>
      <c r="D25" s="147">
        <v>349</v>
      </c>
      <c r="E25" s="147">
        <v>1838</v>
      </c>
      <c r="F25" s="147">
        <v>1838</v>
      </c>
      <c r="G25" s="147">
        <v>1949</v>
      </c>
      <c r="H25" s="202">
        <v>1949</v>
      </c>
      <c r="I25" s="202">
        <v>2093</v>
      </c>
      <c r="J25" s="147">
        <v>2093</v>
      </c>
    </row>
    <row r="26" spans="1:10" s="149" customFormat="1" ht="50.1" customHeight="1" x14ac:dyDescent="0.35">
      <c r="A26" s="145" t="s">
        <v>49</v>
      </c>
      <c r="B26" s="146" t="s">
        <v>14</v>
      </c>
      <c r="C26" s="147">
        <v>7756</v>
      </c>
      <c r="D26" s="147">
        <v>7756</v>
      </c>
      <c r="E26" s="147">
        <v>14855</v>
      </c>
      <c r="F26" s="147">
        <v>14855</v>
      </c>
      <c r="G26" s="147">
        <v>21956</v>
      </c>
      <c r="H26" s="202">
        <v>21956</v>
      </c>
      <c r="I26" s="202">
        <v>18354</v>
      </c>
      <c r="J26" s="147">
        <v>18354</v>
      </c>
    </row>
    <row r="27" spans="1:10" s="154" customFormat="1" ht="50.1" customHeight="1" x14ac:dyDescent="0.35">
      <c r="A27" s="145" t="s">
        <v>39</v>
      </c>
      <c r="B27" s="146" t="s">
        <v>15</v>
      </c>
      <c r="C27" s="147">
        <v>1</v>
      </c>
      <c r="D27" s="147">
        <v>1</v>
      </c>
      <c r="E27" s="147">
        <v>0</v>
      </c>
      <c r="F27" s="147">
        <v>0</v>
      </c>
      <c r="G27" s="147">
        <v>0</v>
      </c>
      <c r="H27" s="202">
        <v>0</v>
      </c>
      <c r="I27" s="202">
        <v>0</v>
      </c>
      <c r="J27" s="147">
        <v>0</v>
      </c>
    </row>
    <row r="28" spans="1:10" s="154" customFormat="1" ht="50.1" customHeight="1" x14ac:dyDescent="0.35">
      <c r="A28" s="145" t="s">
        <v>50</v>
      </c>
      <c r="B28" s="146" t="s">
        <v>27</v>
      </c>
      <c r="C28" s="147">
        <v>3355</v>
      </c>
      <c r="D28" s="147">
        <v>3355</v>
      </c>
      <c r="E28" s="147">
        <v>5428</v>
      </c>
      <c r="F28" s="147">
        <v>5428</v>
      </c>
      <c r="G28" s="147">
        <v>10209</v>
      </c>
      <c r="H28" s="202">
        <v>10209</v>
      </c>
      <c r="I28" s="202">
        <v>12045</v>
      </c>
      <c r="J28" s="147">
        <v>12045</v>
      </c>
    </row>
    <row r="29" spans="1:10" s="149" customFormat="1" ht="50.1" customHeight="1" x14ac:dyDescent="0.35">
      <c r="A29" s="145" t="s">
        <v>51</v>
      </c>
      <c r="B29" s="146" t="s">
        <v>28</v>
      </c>
      <c r="C29" s="147">
        <v>933</v>
      </c>
      <c r="D29" s="147">
        <v>933</v>
      </c>
      <c r="E29" s="147">
        <v>1242</v>
      </c>
      <c r="F29" s="147">
        <v>1242</v>
      </c>
      <c r="G29" s="147">
        <v>5753</v>
      </c>
      <c r="H29" s="202">
        <v>5753</v>
      </c>
      <c r="I29" s="202">
        <v>8631</v>
      </c>
      <c r="J29" s="147">
        <v>8631</v>
      </c>
    </row>
    <row r="30" spans="1:10" s="149" customFormat="1" ht="50.1" customHeight="1" x14ac:dyDescent="0.35">
      <c r="A30" s="155" t="s">
        <v>52</v>
      </c>
      <c r="B30" s="146" t="s">
        <v>29</v>
      </c>
      <c r="C30" s="147">
        <v>136</v>
      </c>
      <c r="D30" s="147">
        <v>136</v>
      </c>
      <c r="E30" s="147">
        <v>136</v>
      </c>
      <c r="F30" s="147">
        <v>136</v>
      </c>
      <c r="G30" s="147">
        <v>936</v>
      </c>
      <c r="H30" s="202">
        <v>936</v>
      </c>
      <c r="I30" s="202">
        <v>1136</v>
      </c>
      <c r="J30" s="147">
        <v>1136</v>
      </c>
    </row>
    <row r="31" spans="1:10" s="154" customFormat="1" ht="50.1" customHeight="1" x14ac:dyDescent="0.35">
      <c r="A31" s="145" t="s">
        <v>53</v>
      </c>
      <c r="B31" s="146" t="s">
        <v>0</v>
      </c>
      <c r="C31" s="147">
        <v>1900</v>
      </c>
      <c r="D31" s="147">
        <v>5547</v>
      </c>
      <c r="E31" s="147">
        <v>8656</v>
      </c>
      <c r="F31" s="147">
        <v>17172</v>
      </c>
      <c r="G31" s="147">
        <v>14309</v>
      </c>
      <c r="H31" s="202">
        <v>28686</v>
      </c>
      <c r="I31" s="202">
        <v>23260</v>
      </c>
      <c r="J31" s="147">
        <v>57694</v>
      </c>
    </row>
    <row r="32" spans="1:10" s="157" customFormat="1" ht="50.1" customHeight="1" x14ac:dyDescent="0.4">
      <c r="A32" s="158" t="s">
        <v>99</v>
      </c>
      <c r="B32" s="156" t="s">
        <v>30</v>
      </c>
      <c r="C32" s="139">
        <v>11540</v>
      </c>
      <c r="D32" s="139">
        <v>11540</v>
      </c>
      <c r="E32" s="139">
        <v>26991</v>
      </c>
      <c r="F32" s="139">
        <v>26991</v>
      </c>
      <c r="G32" s="139">
        <v>45912</v>
      </c>
      <c r="H32" s="201">
        <v>45912</v>
      </c>
      <c r="I32" s="201">
        <v>58809</v>
      </c>
      <c r="J32" s="139">
        <v>58809</v>
      </c>
    </row>
    <row r="33" spans="1:10" s="157" customFormat="1" ht="50.1" customHeight="1" x14ac:dyDescent="0.4">
      <c r="A33" s="158" t="s">
        <v>54</v>
      </c>
      <c r="B33" s="156" t="s">
        <v>31</v>
      </c>
      <c r="C33" s="139">
        <v>2657</v>
      </c>
      <c r="D33" s="139">
        <v>2657</v>
      </c>
      <c r="E33" s="139">
        <v>5557</v>
      </c>
      <c r="F33" s="139">
        <v>5557</v>
      </c>
      <c r="G33" s="139">
        <v>15197</v>
      </c>
      <c r="H33" s="201">
        <v>15197</v>
      </c>
      <c r="I33" s="201">
        <v>48740</v>
      </c>
      <c r="J33" s="139">
        <v>48740</v>
      </c>
    </row>
    <row r="34" spans="1:10" s="157" customFormat="1" ht="50.1" customHeight="1" x14ac:dyDescent="0.4">
      <c r="A34" s="159" t="s">
        <v>53</v>
      </c>
      <c r="B34" s="160" t="s">
        <v>0</v>
      </c>
      <c r="C34" s="161">
        <v>12423</v>
      </c>
      <c r="D34" s="161">
        <v>34475</v>
      </c>
      <c r="E34" s="161">
        <v>20907</v>
      </c>
      <c r="F34" s="161">
        <v>73981</v>
      </c>
      <c r="G34" s="161">
        <v>37544</v>
      </c>
      <c r="H34" s="203">
        <v>118917</v>
      </c>
      <c r="I34" s="203">
        <v>57466</v>
      </c>
      <c r="J34" s="161">
        <v>169024</v>
      </c>
    </row>
    <row r="35" spans="1:10" s="122" customFormat="1" ht="22.35" customHeight="1" x14ac:dyDescent="0.3">
      <c r="A35" s="123" t="s">
        <v>69</v>
      </c>
      <c r="B35" s="124" t="s">
        <v>70</v>
      </c>
      <c r="C35" s="125"/>
      <c r="D35" s="125"/>
      <c r="E35" s="126"/>
      <c r="F35" s="126"/>
      <c r="G35" s="126"/>
      <c r="H35" s="126"/>
      <c r="I35" s="127"/>
      <c r="J35" s="204"/>
    </row>
    <row r="36" spans="1:10" ht="87.6" customHeight="1" x14ac:dyDescent="0.3">
      <c r="A36" s="128" t="s">
        <v>57</v>
      </c>
      <c r="B36" s="129" t="s">
        <v>56</v>
      </c>
      <c r="C36" s="107"/>
      <c r="D36" s="107"/>
      <c r="E36" s="116"/>
      <c r="F36" s="116"/>
      <c r="G36" s="116"/>
      <c r="H36" s="116"/>
      <c r="I36" s="115"/>
      <c r="J36" s="115"/>
    </row>
    <row r="37" spans="1:10" ht="29.4" customHeight="1" x14ac:dyDescent="0.3">
      <c r="A37" s="115"/>
      <c r="B37" s="199" t="s">
        <v>58</v>
      </c>
      <c r="C37" s="107"/>
      <c r="D37" s="107"/>
      <c r="E37" s="116"/>
      <c r="F37" s="116"/>
      <c r="G37" s="116"/>
      <c r="H37" s="116"/>
      <c r="I37" s="115"/>
      <c r="J37" s="115"/>
    </row>
    <row r="38" spans="1:10" ht="36.6" customHeight="1" x14ac:dyDescent="0.3">
      <c r="A38" s="128" t="s">
        <v>68</v>
      </c>
      <c r="B38" s="364" t="s">
        <v>78</v>
      </c>
      <c r="C38" s="364"/>
      <c r="D38" s="107"/>
      <c r="E38" s="116"/>
      <c r="F38" s="116"/>
      <c r="G38" s="116"/>
      <c r="H38" s="116"/>
      <c r="I38" s="115"/>
      <c r="J38" s="115"/>
    </row>
    <row r="39" spans="1:10" ht="22.35" customHeight="1" x14ac:dyDescent="0.3">
      <c r="A39" s="130"/>
    </row>
    <row r="40" spans="1:10" ht="22.35" customHeight="1" x14ac:dyDescent="0.3">
      <c r="B40" s="133"/>
      <c r="C40" s="134"/>
      <c r="D40" s="134"/>
      <c r="E40" s="134"/>
      <c r="F40" s="134"/>
      <c r="G40" s="132"/>
    </row>
    <row r="41" spans="1:10" ht="22.35" customHeight="1" x14ac:dyDescent="0.3"/>
    <row r="42" spans="1:10" ht="22.35" customHeight="1" x14ac:dyDescent="0.3"/>
    <row r="43" spans="1:10" ht="22.35" customHeight="1" x14ac:dyDescent="0.3"/>
    <row r="44" spans="1:10" ht="22.35" customHeight="1" x14ac:dyDescent="0.3"/>
    <row r="45" spans="1:10" ht="22.35" customHeight="1" x14ac:dyDescent="0.3"/>
    <row r="46" spans="1:10" ht="22.35" customHeight="1" x14ac:dyDescent="0.3"/>
    <row r="47" spans="1:10" ht="22.35" customHeight="1" x14ac:dyDescent="0.3"/>
    <row r="48" spans="1:10" ht="22.35" customHeight="1" x14ac:dyDescent="0.3"/>
    <row r="49" ht="22.35" customHeight="1" x14ac:dyDescent="0.3"/>
    <row r="50" ht="22.35" customHeight="1" x14ac:dyDescent="0.3"/>
    <row r="51" ht="22.35" customHeight="1" x14ac:dyDescent="0.3"/>
    <row r="52" ht="22.35" customHeight="1" x14ac:dyDescent="0.3"/>
    <row r="53" ht="22.35" customHeight="1" x14ac:dyDescent="0.3"/>
    <row r="54" ht="22.35" customHeight="1" x14ac:dyDescent="0.3"/>
    <row r="55" ht="22.35" customHeight="1" x14ac:dyDescent="0.3"/>
    <row r="56" ht="22.35" customHeight="1" x14ac:dyDescent="0.3"/>
    <row r="57" ht="22.35" customHeight="1" x14ac:dyDescent="0.3"/>
    <row r="58" ht="22.35" customHeight="1" x14ac:dyDescent="0.3"/>
    <row r="59" ht="22.35" customHeight="1" x14ac:dyDescent="0.3"/>
    <row r="60" ht="22.35" customHeight="1" x14ac:dyDescent="0.3"/>
    <row r="61" ht="22.35" customHeight="1" x14ac:dyDescent="0.3"/>
    <row r="62" ht="22.35" customHeight="1" x14ac:dyDescent="0.3"/>
    <row r="63" ht="22.35" customHeight="1" x14ac:dyDescent="0.3"/>
    <row r="64" ht="22.35" customHeight="1" x14ac:dyDescent="0.3"/>
    <row r="65" ht="22.35" customHeight="1" x14ac:dyDescent="0.3"/>
    <row r="66" ht="22.35" customHeight="1" x14ac:dyDescent="0.3"/>
    <row r="67" ht="22.35" customHeight="1" x14ac:dyDescent="0.3"/>
    <row r="68" ht="22.35" customHeight="1" x14ac:dyDescent="0.3"/>
    <row r="69" ht="22.35" customHeight="1" x14ac:dyDescent="0.3"/>
    <row r="70" ht="22.35" customHeight="1" x14ac:dyDescent="0.3"/>
    <row r="71" ht="22.35" customHeight="1" x14ac:dyDescent="0.3"/>
    <row r="72" ht="22.35" customHeight="1" x14ac:dyDescent="0.3"/>
    <row r="73" ht="22.35" customHeight="1" x14ac:dyDescent="0.3"/>
    <row r="74" ht="22.35" customHeight="1" x14ac:dyDescent="0.3"/>
    <row r="75" ht="22.35" customHeight="1" x14ac:dyDescent="0.3"/>
    <row r="76" ht="22.35" customHeight="1" x14ac:dyDescent="0.3"/>
    <row r="77" ht="22.35" customHeight="1" x14ac:dyDescent="0.3"/>
    <row r="78" ht="22.35" customHeight="1" x14ac:dyDescent="0.3"/>
    <row r="79" ht="22.35" customHeight="1" x14ac:dyDescent="0.3"/>
    <row r="80" ht="22.35" customHeight="1" x14ac:dyDescent="0.3"/>
    <row r="81" ht="22.35" customHeight="1" x14ac:dyDescent="0.3"/>
    <row r="82" ht="22.35" customHeight="1" x14ac:dyDescent="0.3"/>
    <row r="83" ht="22.35" customHeight="1" x14ac:dyDescent="0.3"/>
    <row r="84" ht="22.35" customHeight="1" x14ac:dyDescent="0.3"/>
    <row r="85" ht="22.35" customHeight="1" x14ac:dyDescent="0.3"/>
    <row r="86" ht="22.35" customHeight="1" x14ac:dyDescent="0.3"/>
    <row r="87" ht="22.35" customHeight="1" x14ac:dyDescent="0.3"/>
    <row r="88" ht="22.35" customHeight="1" x14ac:dyDescent="0.3"/>
    <row r="89" ht="22.35" customHeight="1" x14ac:dyDescent="0.3"/>
    <row r="90" ht="22.35" customHeight="1" x14ac:dyDescent="0.3"/>
    <row r="91" ht="22.35" customHeight="1" x14ac:dyDescent="0.3"/>
    <row r="92" ht="22.35" customHeight="1" x14ac:dyDescent="0.3"/>
    <row r="93" ht="22.35" customHeight="1" x14ac:dyDescent="0.3"/>
    <row r="94" ht="22.35" customHeight="1" x14ac:dyDescent="0.3"/>
    <row r="95" ht="22.35" customHeight="1" x14ac:dyDescent="0.3"/>
    <row r="96" ht="22.35" customHeight="1" x14ac:dyDescent="0.3"/>
    <row r="97" ht="22.35" customHeight="1" x14ac:dyDescent="0.3"/>
    <row r="98" ht="22.35" customHeight="1" x14ac:dyDescent="0.3"/>
    <row r="99" ht="22.35" customHeight="1" x14ac:dyDescent="0.3"/>
    <row r="100" ht="22.35" customHeight="1" x14ac:dyDescent="0.3"/>
    <row r="101" ht="22.35" customHeight="1" x14ac:dyDescent="0.3"/>
    <row r="102" ht="22.35" customHeight="1" x14ac:dyDescent="0.3"/>
    <row r="103" ht="22.35" customHeight="1" x14ac:dyDescent="0.3"/>
    <row r="104" ht="22.35" customHeight="1" x14ac:dyDescent="0.3"/>
    <row r="105" ht="22.35" customHeight="1" x14ac:dyDescent="0.3"/>
    <row r="106" ht="22.35" customHeight="1" x14ac:dyDescent="0.3"/>
    <row r="107" ht="22.35" customHeight="1" x14ac:dyDescent="0.3"/>
    <row r="108" ht="22.35" customHeight="1" x14ac:dyDescent="0.3"/>
    <row r="109" ht="22.35" customHeight="1" x14ac:dyDescent="0.3"/>
    <row r="110" ht="22.35" customHeight="1" x14ac:dyDescent="0.3"/>
    <row r="111" ht="22.35" customHeight="1" x14ac:dyDescent="0.3"/>
    <row r="112" ht="22.35" customHeight="1" x14ac:dyDescent="0.3"/>
    <row r="113" ht="22.35" customHeight="1" x14ac:dyDescent="0.3"/>
    <row r="114" ht="22.35" customHeight="1" x14ac:dyDescent="0.3"/>
    <row r="115" ht="22.35" customHeight="1" x14ac:dyDescent="0.3"/>
    <row r="116" ht="22.35" customHeight="1" x14ac:dyDescent="0.3"/>
    <row r="117" ht="22.35" customHeight="1" x14ac:dyDescent="0.3"/>
    <row r="118" ht="22.35" customHeight="1" x14ac:dyDescent="0.3"/>
    <row r="119" ht="22.35" customHeight="1" x14ac:dyDescent="0.3"/>
    <row r="120" ht="22.35" customHeight="1" x14ac:dyDescent="0.3"/>
    <row r="121" ht="22.35" customHeight="1" x14ac:dyDescent="0.3"/>
    <row r="122" ht="22.35" customHeight="1" x14ac:dyDescent="0.3"/>
    <row r="123" ht="22.35" customHeight="1" x14ac:dyDescent="0.3"/>
    <row r="124" ht="22.35" customHeight="1" x14ac:dyDescent="0.3"/>
    <row r="125" ht="22.35" customHeight="1" x14ac:dyDescent="0.3"/>
    <row r="126" ht="22.35" customHeight="1" x14ac:dyDescent="0.3"/>
    <row r="127" ht="22.35" customHeight="1" x14ac:dyDescent="0.3"/>
    <row r="128" ht="22.35" customHeight="1" x14ac:dyDescent="0.3"/>
    <row r="129" ht="22.35" customHeight="1" x14ac:dyDescent="0.3"/>
    <row r="130" ht="22.35" customHeight="1" x14ac:dyDescent="0.3"/>
    <row r="131" ht="22.35" customHeight="1" x14ac:dyDescent="0.3"/>
    <row r="132" ht="22.35" customHeight="1" x14ac:dyDescent="0.3"/>
    <row r="133" ht="22.35" customHeight="1" x14ac:dyDescent="0.3"/>
    <row r="134" ht="22.35" customHeight="1" x14ac:dyDescent="0.3"/>
    <row r="135" ht="22.35" customHeight="1" x14ac:dyDescent="0.3"/>
    <row r="136" ht="22.35" customHeight="1" x14ac:dyDescent="0.3"/>
    <row r="137" ht="22.35" customHeight="1" x14ac:dyDescent="0.3"/>
    <row r="138" ht="22.35" customHeight="1" x14ac:dyDescent="0.3"/>
    <row r="139" ht="22.35" customHeight="1" x14ac:dyDescent="0.3"/>
    <row r="140" ht="22.35" customHeight="1" x14ac:dyDescent="0.3"/>
    <row r="141" ht="22.35" customHeight="1" x14ac:dyDescent="0.3"/>
    <row r="142" ht="22.35" customHeight="1" x14ac:dyDescent="0.3"/>
    <row r="143" ht="22.35" customHeight="1" x14ac:dyDescent="0.3"/>
    <row r="144" ht="22.35" customHeight="1" x14ac:dyDescent="0.3"/>
    <row r="145" ht="22.35" customHeight="1" x14ac:dyDescent="0.3"/>
    <row r="146" ht="22.35" customHeight="1" x14ac:dyDescent="0.3"/>
    <row r="147" ht="22.35" customHeight="1" x14ac:dyDescent="0.3"/>
    <row r="148" ht="22.35" customHeight="1" x14ac:dyDescent="0.3"/>
    <row r="149" ht="22.35" customHeight="1" x14ac:dyDescent="0.3"/>
    <row r="150" ht="22.35" customHeight="1" x14ac:dyDescent="0.3"/>
    <row r="151" ht="22.35" customHeight="1" x14ac:dyDescent="0.3"/>
    <row r="152" ht="22.35" customHeight="1" x14ac:dyDescent="0.3"/>
    <row r="153" ht="22.35" customHeight="1" x14ac:dyDescent="0.3"/>
    <row r="154" ht="22.35" customHeight="1" x14ac:dyDescent="0.3"/>
    <row r="155" ht="22.35" customHeight="1" x14ac:dyDescent="0.3"/>
    <row r="156" ht="22.35" customHeight="1" x14ac:dyDescent="0.3"/>
    <row r="157" ht="22.35" customHeight="1" x14ac:dyDescent="0.3"/>
    <row r="158" ht="22.35" customHeight="1" x14ac:dyDescent="0.3"/>
    <row r="159" ht="22.35" customHeight="1" x14ac:dyDescent="0.3"/>
    <row r="160" ht="22.35" customHeight="1" x14ac:dyDescent="0.3"/>
    <row r="161" ht="22.35" customHeight="1" x14ac:dyDescent="0.3"/>
    <row r="162" ht="22.35" customHeight="1" x14ac:dyDescent="0.3"/>
    <row r="163" ht="22.35" customHeight="1" x14ac:dyDescent="0.3"/>
    <row r="164" ht="22.35" customHeight="1" x14ac:dyDescent="0.3"/>
    <row r="165" ht="22.35" customHeight="1" x14ac:dyDescent="0.3"/>
    <row r="166" ht="22.35" customHeight="1" x14ac:dyDescent="0.3"/>
    <row r="167" ht="22.35" customHeight="1" x14ac:dyDescent="0.3"/>
    <row r="168" ht="22.35" customHeight="1" x14ac:dyDescent="0.3"/>
    <row r="169" ht="22.35" customHeight="1" x14ac:dyDescent="0.3"/>
    <row r="170" ht="22.35" customHeight="1" x14ac:dyDescent="0.3"/>
    <row r="171" ht="22.35" customHeight="1" x14ac:dyDescent="0.3"/>
    <row r="172" ht="22.35" customHeight="1" x14ac:dyDescent="0.3"/>
    <row r="173" ht="22.35" customHeight="1" x14ac:dyDescent="0.3"/>
    <row r="174" ht="22.35" customHeight="1" x14ac:dyDescent="0.3"/>
    <row r="175" ht="22.35" customHeight="1" x14ac:dyDescent="0.3"/>
    <row r="176" ht="22.35" customHeight="1" x14ac:dyDescent="0.3"/>
    <row r="177" ht="22.35" customHeight="1" x14ac:dyDescent="0.3"/>
    <row r="178" ht="22.35" customHeight="1" x14ac:dyDescent="0.3"/>
    <row r="179" ht="22.35" customHeight="1" x14ac:dyDescent="0.3"/>
    <row r="180" ht="22.35" customHeight="1" x14ac:dyDescent="0.3"/>
    <row r="181" ht="22.35" customHeight="1" x14ac:dyDescent="0.3"/>
    <row r="182" ht="22.35" customHeight="1" x14ac:dyDescent="0.3"/>
    <row r="183" ht="22.35" customHeight="1" x14ac:dyDescent="0.3"/>
    <row r="184" ht="22.35" customHeight="1" x14ac:dyDescent="0.3"/>
    <row r="185" ht="22.35" customHeight="1" x14ac:dyDescent="0.3"/>
    <row r="186" ht="22.35" customHeight="1" x14ac:dyDescent="0.3"/>
    <row r="187" ht="22.35" customHeight="1" x14ac:dyDescent="0.3"/>
    <row r="188" ht="22.35" customHeight="1" x14ac:dyDescent="0.3"/>
    <row r="189" ht="22.35" customHeight="1" x14ac:dyDescent="0.3"/>
    <row r="190" ht="22.35" customHeight="1" x14ac:dyDescent="0.3"/>
    <row r="191" ht="22.35" customHeight="1" x14ac:dyDescent="0.3"/>
    <row r="192" ht="22.35" customHeight="1" x14ac:dyDescent="0.3"/>
    <row r="193" ht="22.35" customHeight="1" x14ac:dyDescent="0.3"/>
    <row r="194" ht="22.35" customHeight="1" x14ac:dyDescent="0.3"/>
    <row r="195" ht="22.35" customHeight="1" x14ac:dyDescent="0.3"/>
    <row r="196" ht="22.35" customHeight="1" x14ac:dyDescent="0.3"/>
    <row r="197" ht="22.35" customHeight="1" x14ac:dyDescent="0.3"/>
    <row r="198" ht="22.35" customHeight="1" x14ac:dyDescent="0.3"/>
    <row r="199" ht="22.35" customHeight="1" x14ac:dyDescent="0.3"/>
    <row r="200" ht="22.35" customHeight="1" x14ac:dyDescent="0.3"/>
    <row r="201" ht="22.35" customHeight="1" x14ac:dyDescent="0.3"/>
    <row r="202" ht="22.35" customHeight="1" x14ac:dyDescent="0.3"/>
    <row r="203" ht="22.35" customHeight="1" x14ac:dyDescent="0.3"/>
    <row r="204" ht="22.35" customHeight="1" x14ac:dyDescent="0.3"/>
    <row r="205" ht="22.35" customHeight="1" x14ac:dyDescent="0.3"/>
    <row r="206" ht="22.35" customHeight="1" x14ac:dyDescent="0.3"/>
    <row r="207" ht="22.35" customHeight="1" x14ac:dyDescent="0.3"/>
    <row r="208" ht="22.35" customHeight="1" x14ac:dyDescent="0.3"/>
    <row r="209" ht="22.35" customHeight="1" x14ac:dyDescent="0.3"/>
    <row r="210" ht="22.35" customHeight="1" x14ac:dyDescent="0.3"/>
    <row r="211" ht="22.35" customHeight="1" x14ac:dyDescent="0.3"/>
    <row r="212" ht="22.35" customHeight="1" x14ac:dyDescent="0.3"/>
    <row r="213" ht="22.35" customHeight="1" x14ac:dyDescent="0.3"/>
    <row r="214" ht="22.35" customHeight="1" x14ac:dyDescent="0.3"/>
    <row r="215" ht="22.35" customHeight="1" x14ac:dyDescent="0.3"/>
    <row r="216" ht="22.35" customHeight="1" x14ac:dyDescent="0.3"/>
    <row r="217" ht="22.35" customHeight="1" x14ac:dyDescent="0.3"/>
    <row r="218" ht="22.35" customHeight="1" x14ac:dyDescent="0.3"/>
    <row r="219" ht="22.35" customHeight="1" x14ac:dyDescent="0.3"/>
    <row r="220" ht="22.35" customHeight="1" x14ac:dyDescent="0.3"/>
    <row r="221" ht="22.35" customHeight="1" x14ac:dyDescent="0.3"/>
    <row r="222" ht="22.35" customHeight="1" x14ac:dyDescent="0.3"/>
    <row r="223" ht="22.35" customHeight="1" x14ac:dyDescent="0.3"/>
    <row r="224" ht="22.35" customHeight="1" x14ac:dyDescent="0.3"/>
    <row r="225" ht="22.35" customHeight="1" x14ac:dyDescent="0.3"/>
    <row r="226" ht="22.35" customHeight="1" x14ac:dyDescent="0.3"/>
    <row r="227" ht="22.35" customHeight="1" x14ac:dyDescent="0.3"/>
    <row r="228" ht="22.35" customHeight="1" x14ac:dyDescent="0.3"/>
    <row r="229" ht="22.35" customHeight="1" x14ac:dyDescent="0.3"/>
    <row r="230" ht="22.35" customHeight="1" x14ac:dyDescent="0.3"/>
    <row r="231" ht="22.35" customHeight="1" x14ac:dyDescent="0.3"/>
    <row r="232" ht="22.35" customHeight="1" x14ac:dyDescent="0.3"/>
    <row r="233" ht="22.35" customHeight="1" x14ac:dyDescent="0.3"/>
    <row r="234" ht="22.35" customHeight="1" x14ac:dyDescent="0.3"/>
    <row r="235" ht="22.35" customHeight="1" x14ac:dyDescent="0.3"/>
    <row r="236" ht="22.35" customHeight="1" x14ac:dyDescent="0.3"/>
    <row r="237" ht="22.35" customHeight="1" x14ac:dyDescent="0.3"/>
    <row r="238" ht="22.35" customHeight="1" x14ac:dyDescent="0.3"/>
    <row r="239" ht="22.35" customHeight="1" x14ac:dyDescent="0.3"/>
    <row r="240" ht="22.35" customHeight="1" x14ac:dyDescent="0.3"/>
    <row r="241" ht="22.35" customHeight="1" x14ac:dyDescent="0.3"/>
    <row r="242" ht="22.35" customHeight="1" x14ac:dyDescent="0.3"/>
    <row r="243" ht="22.35" customHeight="1" x14ac:dyDescent="0.3"/>
    <row r="244" ht="22.35" customHeight="1" x14ac:dyDescent="0.3"/>
    <row r="245" ht="22.35" customHeight="1" x14ac:dyDescent="0.3"/>
    <row r="246" ht="22.35" customHeight="1" x14ac:dyDescent="0.3"/>
    <row r="247" ht="22.35" customHeight="1" x14ac:dyDescent="0.3"/>
    <row r="248" ht="22.35" customHeight="1" x14ac:dyDescent="0.3"/>
    <row r="249" ht="22.35" customHeight="1" x14ac:dyDescent="0.3"/>
    <row r="250" ht="22.35" customHeight="1" x14ac:dyDescent="0.3"/>
    <row r="251" ht="22.35" customHeight="1" x14ac:dyDescent="0.3"/>
    <row r="252" ht="22.35" customHeight="1" x14ac:dyDescent="0.3"/>
    <row r="253" ht="22.35" customHeight="1" x14ac:dyDescent="0.3"/>
    <row r="254" ht="22.35" customHeight="1" x14ac:dyDescent="0.3"/>
    <row r="255" ht="22.35" customHeight="1" x14ac:dyDescent="0.3"/>
    <row r="256" ht="22.35" customHeight="1" x14ac:dyDescent="0.3"/>
    <row r="257" ht="22.35" customHeight="1" x14ac:dyDescent="0.3"/>
    <row r="258" ht="22.35" customHeight="1" x14ac:dyDescent="0.3"/>
    <row r="259" ht="22.35" customHeight="1" x14ac:dyDescent="0.3"/>
    <row r="260" ht="22.35" customHeight="1" x14ac:dyDescent="0.3"/>
    <row r="261" ht="22.35" customHeight="1" x14ac:dyDescent="0.3"/>
    <row r="262" ht="22.35" customHeight="1" x14ac:dyDescent="0.3"/>
    <row r="263" ht="22.35" customHeight="1" x14ac:dyDescent="0.3"/>
    <row r="264" ht="22.35" customHeight="1" x14ac:dyDescent="0.3"/>
    <row r="265" ht="22.35" customHeight="1" x14ac:dyDescent="0.3"/>
    <row r="266" ht="22.35" customHeight="1" x14ac:dyDescent="0.3"/>
    <row r="267" ht="22.35" customHeight="1" x14ac:dyDescent="0.3"/>
    <row r="268" ht="22.35" customHeight="1" x14ac:dyDescent="0.3"/>
    <row r="269" ht="22.35" customHeight="1" x14ac:dyDescent="0.3"/>
    <row r="270" ht="22.35" customHeight="1" x14ac:dyDescent="0.3"/>
    <row r="271" ht="22.35" customHeight="1" x14ac:dyDescent="0.3"/>
    <row r="272" ht="22.35" customHeight="1" x14ac:dyDescent="0.3"/>
    <row r="273" ht="22.35" customHeight="1" x14ac:dyDescent="0.3"/>
    <row r="274" ht="22.35" customHeight="1" x14ac:dyDescent="0.3"/>
    <row r="275" ht="22.35" customHeight="1" x14ac:dyDescent="0.3"/>
    <row r="276" ht="22.35" customHeight="1" x14ac:dyDescent="0.3"/>
    <row r="277" ht="22.35" customHeight="1" x14ac:dyDescent="0.3"/>
    <row r="278" ht="22.35" customHeight="1" x14ac:dyDescent="0.3"/>
    <row r="279" ht="22.35" customHeight="1" x14ac:dyDescent="0.3"/>
    <row r="280" ht="22.35" customHeight="1" x14ac:dyDescent="0.3"/>
    <row r="281" ht="22.35" customHeight="1" x14ac:dyDescent="0.3"/>
    <row r="282" ht="22.35" customHeight="1" x14ac:dyDescent="0.3"/>
    <row r="283" ht="22.35" customHeight="1" x14ac:dyDescent="0.3"/>
    <row r="284" ht="22.35" customHeight="1" x14ac:dyDescent="0.3"/>
    <row r="285" ht="22.35" customHeight="1" x14ac:dyDescent="0.3"/>
    <row r="286" ht="22.35" customHeight="1" x14ac:dyDescent="0.3"/>
    <row r="287" ht="22.35" customHeight="1" x14ac:dyDescent="0.3"/>
    <row r="288" ht="22.35" customHeight="1" x14ac:dyDescent="0.3"/>
    <row r="289" ht="22.35" customHeight="1" x14ac:dyDescent="0.3"/>
    <row r="290" ht="22.35" customHeight="1" x14ac:dyDescent="0.3"/>
    <row r="291" ht="22.35" customHeight="1" x14ac:dyDescent="0.3"/>
    <row r="292" ht="22.35" customHeight="1" x14ac:dyDescent="0.3"/>
    <row r="293" ht="22.35" customHeight="1" x14ac:dyDescent="0.3"/>
    <row r="294" ht="22.35" customHeight="1" x14ac:dyDescent="0.3"/>
    <row r="295" ht="22.35" customHeight="1" x14ac:dyDescent="0.3"/>
    <row r="296" ht="22.35" customHeight="1" x14ac:dyDescent="0.3"/>
    <row r="297" ht="22.35" customHeight="1" x14ac:dyDescent="0.3"/>
    <row r="298" ht="22.35" customHeight="1" x14ac:dyDescent="0.3"/>
    <row r="299" ht="22.35" customHeight="1" x14ac:dyDescent="0.3"/>
    <row r="300" ht="22.35" customHeight="1" x14ac:dyDescent="0.3"/>
    <row r="301" ht="22.35" customHeight="1" x14ac:dyDescent="0.3"/>
    <row r="302" ht="22.35" customHeight="1" x14ac:dyDescent="0.3"/>
    <row r="303" ht="22.35" customHeight="1" x14ac:dyDescent="0.3"/>
    <row r="304" ht="22.35" customHeight="1" x14ac:dyDescent="0.3"/>
    <row r="305" ht="22.35" customHeight="1" x14ac:dyDescent="0.3"/>
    <row r="306" ht="22.35" customHeight="1" x14ac:dyDescent="0.3"/>
    <row r="307" ht="22.35" customHeight="1" x14ac:dyDescent="0.3"/>
    <row r="308" ht="22.35" customHeight="1" x14ac:dyDescent="0.3"/>
    <row r="309" ht="22.35" customHeight="1" x14ac:dyDescent="0.3"/>
    <row r="310" ht="22.35" customHeight="1" x14ac:dyDescent="0.3"/>
    <row r="311" ht="22.35" customHeight="1" x14ac:dyDescent="0.3"/>
    <row r="312" ht="22.35" customHeight="1" x14ac:dyDescent="0.3"/>
    <row r="313" ht="22.35" customHeight="1" x14ac:dyDescent="0.3"/>
    <row r="314" ht="22.35" customHeight="1" x14ac:dyDescent="0.3"/>
    <row r="315" ht="22.35" customHeight="1" x14ac:dyDescent="0.3"/>
    <row r="316" ht="22.35" customHeight="1" x14ac:dyDescent="0.3"/>
    <row r="317" ht="22.35" customHeight="1" x14ac:dyDescent="0.3"/>
    <row r="318" ht="22.35" customHeight="1" x14ac:dyDescent="0.3"/>
    <row r="319" ht="22.35" customHeight="1" x14ac:dyDescent="0.3"/>
    <row r="320" ht="22.35" customHeight="1" x14ac:dyDescent="0.3"/>
    <row r="321" ht="22.35" customHeight="1" x14ac:dyDescent="0.3"/>
    <row r="322" ht="22.35" customHeight="1" x14ac:dyDescent="0.3"/>
    <row r="323" ht="22.35" customHeight="1" x14ac:dyDescent="0.3"/>
    <row r="324" ht="22.35" customHeight="1" x14ac:dyDescent="0.3"/>
    <row r="325" ht="22.35" customHeight="1" x14ac:dyDescent="0.3"/>
    <row r="326" ht="22.35" customHeight="1" x14ac:dyDescent="0.3"/>
    <row r="327" ht="22.35" customHeight="1" x14ac:dyDescent="0.3"/>
    <row r="328" ht="22.35" customHeight="1" x14ac:dyDescent="0.3"/>
    <row r="329" ht="22.35" customHeight="1" x14ac:dyDescent="0.3"/>
    <row r="330" ht="22.35" customHeight="1" x14ac:dyDescent="0.3"/>
    <row r="331" ht="22.35" customHeight="1" x14ac:dyDescent="0.3"/>
    <row r="332" ht="22.35" customHeight="1" x14ac:dyDescent="0.3"/>
    <row r="333" ht="22.35" customHeight="1" x14ac:dyDescent="0.3"/>
    <row r="334" ht="22.35" customHeight="1" x14ac:dyDescent="0.3"/>
    <row r="335" ht="22.35" customHeight="1" x14ac:dyDescent="0.3"/>
    <row r="336" ht="22.35" customHeight="1" x14ac:dyDescent="0.3"/>
    <row r="337" ht="22.35" customHeight="1" x14ac:dyDescent="0.3"/>
    <row r="338" ht="22.35" customHeight="1" x14ac:dyDescent="0.3"/>
    <row r="339" ht="22.35" customHeight="1" x14ac:dyDescent="0.3"/>
    <row r="340" ht="22.35" customHeight="1" x14ac:dyDescent="0.3"/>
    <row r="341" ht="22.35" customHeight="1" x14ac:dyDescent="0.3"/>
    <row r="342" ht="22.35" customHeight="1" x14ac:dyDescent="0.3"/>
    <row r="343" ht="22.35" customHeight="1" x14ac:dyDescent="0.3"/>
    <row r="344" ht="22.35" customHeight="1" x14ac:dyDescent="0.3"/>
    <row r="345" ht="22.35" customHeight="1" x14ac:dyDescent="0.3"/>
    <row r="346" ht="22.35" customHeight="1" x14ac:dyDescent="0.3"/>
    <row r="347" ht="22.35" customHeight="1" x14ac:dyDescent="0.3"/>
    <row r="348" ht="22.35" customHeight="1" x14ac:dyDescent="0.3"/>
    <row r="349" ht="22.35" customHeight="1" x14ac:dyDescent="0.3"/>
    <row r="350" ht="22.35" customHeight="1" x14ac:dyDescent="0.3"/>
    <row r="351" ht="22.35" customHeight="1" x14ac:dyDescent="0.3"/>
    <row r="352" ht="22.35" customHeight="1" x14ac:dyDescent="0.3"/>
    <row r="353" ht="22.35" customHeight="1" x14ac:dyDescent="0.3"/>
    <row r="354" ht="22.35" customHeight="1" x14ac:dyDescent="0.3"/>
    <row r="355" ht="22.35" customHeight="1" x14ac:dyDescent="0.3"/>
    <row r="356" ht="22.35" customHeight="1" x14ac:dyDescent="0.3"/>
    <row r="357" ht="22.35" customHeight="1" x14ac:dyDescent="0.3"/>
    <row r="358" ht="22.35" customHeight="1" x14ac:dyDescent="0.3"/>
    <row r="359" ht="22.35" customHeight="1" x14ac:dyDescent="0.3"/>
    <row r="360" ht="22.35" customHeight="1" x14ac:dyDescent="0.3"/>
    <row r="361" ht="22.35" customHeight="1" x14ac:dyDescent="0.3"/>
    <row r="362" ht="22.35" customHeight="1" x14ac:dyDescent="0.3"/>
    <row r="363" ht="22.35" customHeight="1" x14ac:dyDescent="0.3"/>
    <row r="364" ht="22.35" customHeight="1" x14ac:dyDescent="0.3"/>
    <row r="365" ht="22.35" customHeight="1" x14ac:dyDescent="0.3"/>
    <row r="366" ht="22.35" customHeight="1" x14ac:dyDescent="0.3"/>
    <row r="367" ht="22.35" customHeight="1" x14ac:dyDescent="0.3"/>
    <row r="368" ht="22.35" customHeight="1" x14ac:dyDescent="0.3"/>
    <row r="369" ht="22.35" customHeight="1" x14ac:dyDescent="0.3"/>
    <row r="370" ht="22.35" customHeight="1" x14ac:dyDescent="0.3"/>
    <row r="371" ht="22.35" customHeight="1" x14ac:dyDescent="0.3"/>
    <row r="372" ht="22.35" customHeight="1" x14ac:dyDescent="0.3"/>
    <row r="373" ht="22.35" customHeight="1" x14ac:dyDescent="0.3"/>
    <row r="374" ht="22.35" customHeight="1" x14ac:dyDescent="0.3"/>
    <row r="375" ht="22.35" customHeight="1" x14ac:dyDescent="0.3"/>
    <row r="376" ht="22.35" customHeight="1" x14ac:dyDescent="0.3"/>
    <row r="377" ht="22.35" customHeight="1" x14ac:dyDescent="0.3"/>
    <row r="378" ht="22.35" customHeight="1" x14ac:dyDescent="0.3"/>
    <row r="379" ht="22.35" customHeight="1" x14ac:dyDescent="0.3"/>
    <row r="380" ht="22.35" customHeight="1" x14ac:dyDescent="0.3"/>
    <row r="381" ht="22.35" customHeight="1" x14ac:dyDescent="0.3"/>
    <row r="382" ht="22.35" customHeight="1" x14ac:dyDescent="0.3"/>
    <row r="383" ht="22.35" customHeight="1" x14ac:dyDescent="0.3"/>
    <row r="384" ht="22.35" customHeight="1" x14ac:dyDescent="0.3"/>
    <row r="385" ht="22.35" customHeight="1" x14ac:dyDescent="0.3"/>
    <row r="386" ht="22.35" customHeight="1" x14ac:dyDescent="0.3"/>
    <row r="387" ht="22.35" customHeight="1" x14ac:dyDescent="0.3"/>
    <row r="388" ht="22.35" customHeight="1" x14ac:dyDescent="0.3"/>
    <row r="389" ht="22.35" customHeight="1" x14ac:dyDescent="0.3"/>
    <row r="390" ht="22.35" customHeight="1" x14ac:dyDescent="0.3"/>
    <row r="391" ht="22.35" customHeight="1" x14ac:dyDescent="0.3"/>
    <row r="392" ht="22.35" customHeight="1" x14ac:dyDescent="0.3"/>
    <row r="393" ht="22.35" customHeight="1" x14ac:dyDescent="0.3"/>
    <row r="394" ht="22.35" customHeight="1" x14ac:dyDescent="0.3"/>
    <row r="395" ht="22.35" customHeight="1" x14ac:dyDescent="0.3"/>
    <row r="396" ht="22.35" customHeight="1" x14ac:dyDescent="0.3"/>
    <row r="397" ht="22.35" customHeight="1" x14ac:dyDescent="0.3"/>
    <row r="398" ht="22.35" customHeight="1" x14ac:dyDescent="0.3"/>
    <row r="399" ht="22.35" customHeight="1" x14ac:dyDescent="0.3"/>
    <row r="400" ht="22.35" customHeight="1" x14ac:dyDescent="0.3"/>
    <row r="401" ht="22.35" customHeight="1" x14ac:dyDescent="0.3"/>
    <row r="402" ht="22.35" customHeight="1" x14ac:dyDescent="0.3"/>
    <row r="403" ht="22.35" customHeight="1" x14ac:dyDescent="0.3"/>
    <row r="404" ht="22.35" customHeight="1" x14ac:dyDescent="0.3"/>
    <row r="405" ht="22.35" customHeight="1" x14ac:dyDescent="0.3"/>
    <row r="406" ht="22.35" customHeight="1" x14ac:dyDescent="0.3"/>
    <row r="407" ht="22.35" customHeight="1" x14ac:dyDescent="0.3"/>
    <row r="408" ht="22.35" customHeight="1" x14ac:dyDescent="0.3"/>
    <row r="409" ht="22.35" customHeight="1" x14ac:dyDescent="0.3"/>
    <row r="410" ht="22.35" customHeight="1" x14ac:dyDescent="0.3"/>
    <row r="411" ht="22.35" customHeight="1" x14ac:dyDescent="0.3"/>
    <row r="412" ht="22.35" customHeight="1" x14ac:dyDescent="0.3"/>
    <row r="413" ht="22.35" customHeight="1" x14ac:dyDescent="0.3"/>
    <row r="414" ht="22.35" customHeight="1" x14ac:dyDescent="0.3"/>
    <row r="415" ht="22.35" customHeight="1" x14ac:dyDescent="0.3"/>
    <row r="416" ht="22.35" customHeight="1" x14ac:dyDescent="0.3"/>
    <row r="417" ht="22.35" customHeight="1" x14ac:dyDescent="0.3"/>
    <row r="418" ht="22.35" customHeight="1" x14ac:dyDescent="0.3"/>
    <row r="419" ht="22.35" customHeight="1" x14ac:dyDescent="0.3"/>
    <row r="420" ht="22.35" customHeight="1" x14ac:dyDescent="0.3"/>
    <row r="421" ht="22.35" customHeight="1" x14ac:dyDescent="0.3"/>
    <row r="422" ht="22.35" customHeight="1" x14ac:dyDescent="0.3"/>
    <row r="423" ht="22.35" customHeight="1" x14ac:dyDescent="0.3"/>
    <row r="424" ht="22.35" customHeight="1" x14ac:dyDescent="0.3"/>
    <row r="425" ht="22.35" customHeight="1" x14ac:dyDescent="0.3"/>
    <row r="426" ht="22.35" customHeight="1" x14ac:dyDescent="0.3"/>
    <row r="427" ht="22.35" customHeight="1" x14ac:dyDescent="0.3"/>
    <row r="428" ht="22.35" customHeight="1" x14ac:dyDescent="0.3"/>
    <row r="429" ht="22.35" customHeight="1" x14ac:dyDescent="0.3"/>
    <row r="430" ht="22.35" customHeight="1" x14ac:dyDescent="0.3"/>
    <row r="431" ht="22.35" customHeight="1" x14ac:dyDescent="0.3"/>
    <row r="432" ht="22.35" customHeight="1" x14ac:dyDescent="0.3"/>
    <row r="433" ht="22.35" customHeight="1" x14ac:dyDescent="0.3"/>
    <row r="434" ht="22.35" customHeight="1" x14ac:dyDescent="0.3"/>
    <row r="435" ht="22.35" customHeight="1" x14ac:dyDescent="0.3"/>
    <row r="436" ht="22.35" customHeight="1" x14ac:dyDescent="0.3"/>
    <row r="437" ht="22.35" customHeight="1" x14ac:dyDescent="0.3"/>
    <row r="438" ht="22.35" customHeight="1" x14ac:dyDescent="0.3"/>
    <row r="439" ht="22.35" customHeight="1" x14ac:dyDescent="0.3"/>
    <row r="440" ht="22.35" customHeight="1" x14ac:dyDescent="0.3"/>
    <row r="441" ht="22.35" customHeight="1" x14ac:dyDescent="0.3"/>
    <row r="442" ht="22.35" customHeight="1" x14ac:dyDescent="0.3"/>
    <row r="443" ht="22.35" customHeight="1" x14ac:dyDescent="0.3"/>
    <row r="444" ht="22.35" customHeight="1" x14ac:dyDescent="0.3"/>
    <row r="445" ht="22.35" customHeight="1" x14ac:dyDescent="0.3"/>
    <row r="446" ht="22.35" customHeight="1" x14ac:dyDescent="0.3"/>
    <row r="447" ht="22.35" customHeight="1" x14ac:dyDescent="0.3"/>
    <row r="448" ht="22.35" customHeight="1" x14ac:dyDescent="0.3"/>
    <row r="449" ht="22.35" customHeight="1" x14ac:dyDescent="0.3"/>
    <row r="450" ht="22.35" customHeight="1" x14ac:dyDescent="0.3"/>
    <row r="451" ht="22.35" customHeight="1" x14ac:dyDescent="0.3"/>
    <row r="452" ht="22.35" customHeight="1" x14ac:dyDescent="0.3"/>
    <row r="453" ht="22.35" customHeight="1" x14ac:dyDescent="0.3"/>
    <row r="454" ht="22.35" customHeight="1" x14ac:dyDescent="0.3"/>
    <row r="455" ht="22.35" customHeight="1" x14ac:dyDescent="0.3"/>
    <row r="456" ht="22.35" customHeight="1" x14ac:dyDescent="0.3"/>
    <row r="457" ht="22.35" customHeight="1" x14ac:dyDescent="0.3"/>
    <row r="458" ht="22.35" customHeight="1" x14ac:dyDescent="0.3"/>
    <row r="459" ht="22.35" customHeight="1" x14ac:dyDescent="0.3"/>
    <row r="460" ht="22.35" customHeight="1" x14ac:dyDescent="0.3"/>
    <row r="461" ht="22.35" customHeight="1" x14ac:dyDescent="0.3"/>
    <row r="462" ht="22.35" customHeight="1" x14ac:dyDescent="0.3"/>
    <row r="463" ht="22.35" customHeight="1" x14ac:dyDescent="0.3"/>
    <row r="464" ht="22.35" customHeight="1" x14ac:dyDescent="0.3"/>
    <row r="465" ht="22.35" customHeight="1" x14ac:dyDescent="0.3"/>
    <row r="466" ht="22.35" customHeight="1" x14ac:dyDescent="0.3"/>
    <row r="467" ht="22.35" customHeight="1" x14ac:dyDescent="0.3"/>
    <row r="468" ht="22.35" customHeight="1" x14ac:dyDescent="0.3"/>
    <row r="469" ht="22.35" customHeight="1" x14ac:dyDescent="0.3"/>
    <row r="470" ht="22.35" customHeight="1" x14ac:dyDescent="0.3"/>
    <row r="471" ht="22.35" customHeight="1" x14ac:dyDescent="0.3"/>
    <row r="472" ht="22.35" customHeight="1" x14ac:dyDescent="0.3"/>
    <row r="473" ht="22.35" customHeight="1" x14ac:dyDescent="0.3"/>
    <row r="474" ht="22.35" customHeight="1" x14ac:dyDescent="0.3"/>
    <row r="475" ht="22.35" customHeight="1" x14ac:dyDescent="0.3"/>
    <row r="476" ht="22.35" customHeight="1" x14ac:dyDescent="0.3"/>
    <row r="477" ht="22.35" customHeight="1" x14ac:dyDescent="0.3"/>
    <row r="478" ht="22.35" customHeight="1" x14ac:dyDescent="0.3"/>
    <row r="479" ht="22.35" customHeight="1" x14ac:dyDescent="0.3"/>
    <row r="480" ht="22.35" customHeight="1" x14ac:dyDescent="0.3"/>
    <row r="481" ht="22.35" customHeight="1" x14ac:dyDescent="0.3"/>
    <row r="482" ht="22.35" customHeight="1" x14ac:dyDescent="0.3"/>
    <row r="483" ht="22.35" customHeight="1" x14ac:dyDescent="0.3"/>
    <row r="484" ht="22.35" customHeight="1" x14ac:dyDescent="0.3"/>
    <row r="485" ht="22.35" customHeight="1" x14ac:dyDescent="0.3"/>
    <row r="486" ht="22.35" customHeight="1" x14ac:dyDescent="0.3"/>
    <row r="487" ht="22.35" customHeight="1" x14ac:dyDescent="0.3"/>
    <row r="488" ht="22.35" customHeight="1" x14ac:dyDescent="0.3"/>
    <row r="489" ht="22.35" customHeight="1" x14ac:dyDescent="0.3"/>
    <row r="490" ht="22.35" customHeight="1" x14ac:dyDescent="0.3"/>
    <row r="491" ht="22.35" customHeight="1" x14ac:dyDescent="0.3"/>
    <row r="492" ht="22.35" customHeight="1" x14ac:dyDescent="0.3"/>
    <row r="493" ht="22.35" customHeight="1" x14ac:dyDescent="0.3"/>
    <row r="494" ht="22.35" customHeight="1" x14ac:dyDescent="0.3"/>
    <row r="495" ht="22.35" customHeight="1" x14ac:dyDescent="0.3"/>
    <row r="496" ht="22.35" customHeight="1" x14ac:dyDescent="0.3"/>
    <row r="497" ht="22.35" customHeight="1" x14ac:dyDescent="0.3"/>
    <row r="498" ht="22.35" customHeight="1" x14ac:dyDescent="0.3"/>
    <row r="499" ht="22.35" customHeight="1" x14ac:dyDescent="0.3"/>
    <row r="500" ht="22.35" customHeight="1" x14ac:dyDescent="0.3"/>
    <row r="501" ht="22.35" customHeight="1" x14ac:dyDescent="0.3"/>
    <row r="502" ht="22.35" customHeight="1" x14ac:dyDescent="0.3"/>
    <row r="503" ht="22.35" customHeight="1" x14ac:dyDescent="0.3"/>
    <row r="504" ht="22.35" customHeight="1" x14ac:dyDescent="0.3"/>
    <row r="505" ht="22.35" customHeight="1" x14ac:dyDescent="0.3"/>
    <row r="506" ht="22.35" customHeight="1" x14ac:dyDescent="0.3"/>
    <row r="507" ht="22.35" customHeight="1" x14ac:dyDescent="0.3"/>
    <row r="508" ht="22.35" customHeight="1" x14ac:dyDescent="0.3"/>
    <row r="509" ht="22.35" customHeight="1" x14ac:dyDescent="0.3"/>
    <row r="510" ht="22.35" customHeight="1" x14ac:dyDescent="0.3"/>
    <row r="511" ht="22.35" customHeight="1" x14ac:dyDescent="0.3"/>
    <row r="512" ht="22.35" customHeight="1" x14ac:dyDescent="0.3"/>
    <row r="513" ht="22.35" customHeight="1" x14ac:dyDescent="0.3"/>
    <row r="514" ht="22.35" customHeight="1" x14ac:dyDescent="0.3"/>
    <row r="515" ht="22.35" customHeight="1" x14ac:dyDescent="0.3"/>
    <row r="516" ht="22.35" customHeight="1" x14ac:dyDescent="0.3"/>
    <row r="517" ht="22.35" customHeight="1" x14ac:dyDescent="0.3"/>
    <row r="518" ht="22.35" customHeight="1" x14ac:dyDescent="0.3"/>
    <row r="519" ht="22.35" customHeight="1" x14ac:dyDescent="0.3"/>
    <row r="520" ht="22.35" customHeight="1" x14ac:dyDescent="0.3"/>
    <row r="521" ht="22.35" customHeight="1" x14ac:dyDescent="0.3"/>
    <row r="522" ht="22.35" customHeight="1" x14ac:dyDescent="0.3"/>
    <row r="523" ht="22.35" customHeight="1" x14ac:dyDescent="0.3"/>
    <row r="524" ht="22.35" customHeight="1" x14ac:dyDescent="0.3"/>
    <row r="525" ht="22.35" customHeight="1" x14ac:dyDescent="0.3"/>
    <row r="526" ht="22.35" customHeight="1" x14ac:dyDescent="0.3"/>
    <row r="527" ht="22.35" customHeight="1" x14ac:dyDescent="0.3"/>
    <row r="528" ht="22.35" customHeight="1" x14ac:dyDescent="0.3"/>
    <row r="529" ht="22.35" customHeight="1" x14ac:dyDescent="0.3"/>
    <row r="530" ht="22.35" customHeight="1" x14ac:dyDescent="0.3"/>
    <row r="531" ht="22.35" customHeight="1" x14ac:dyDescent="0.3"/>
    <row r="532" ht="22.35" customHeight="1" x14ac:dyDescent="0.3"/>
    <row r="533" ht="22.35" customHeight="1" x14ac:dyDescent="0.3"/>
    <row r="534" ht="22.35" customHeight="1" x14ac:dyDescent="0.3"/>
    <row r="535" ht="22.35" customHeight="1" x14ac:dyDescent="0.3"/>
    <row r="536" ht="22.35" customHeight="1" x14ac:dyDescent="0.3"/>
    <row r="537" ht="22.35" customHeight="1" x14ac:dyDescent="0.3"/>
    <row r="538" ht="22.35" customHeight="1" x14ac:dyDescent="0.3"/>
    <row r="539" ht="22.35" customHeight="1" x14ac:dyDescent="0.3"/>
    <row r="540" ht="22.35" customHeight="1" x14ac:dyDescent="0.3"/>
    <row r="541" ht="22.35" customHeight="1" x14ac:dyDescent="0.3"/>
    <row r="542" ht="22.35" customHeight="1" x14ac:dyDescent="0.3"/>
    <row r="543" ht="22.35" customHeight="1" x14ac:dyDescent="0.3"/>
    <row r="544" ht="22.35" customHeight="1" x14ac:dyDescent="0.3"/>
    <row r="545" ht="22.35" customHeight="1" x14ac:dyDescent="0.3"/>
    <row r="546" ht="22.35" customHeight="1" x14ac:dyDescent="0.3"/>
    <row r="547" ht="22.35" customHeight="1" x14ac:dyDescent="0.3"/>
    <row r="548" ht="22.35" customHeight="1" x14ac:dyDescent="0.3"/>
    <row r="549" ht="22.35" customHeight="1" x14ac:dyDescent="0.3"/>
    <row r="550" ht="22.35" customHeight="1" x14ac:dyDescent="0.3"/>
    <row r="551" ht="22.35" customHeight="1" x14ac:dyDescent="0.3"/>
    <row r="552" ht="22.35" customHeight="1" x14ac:dyDescent="0.3"/>
    <row r="553" ht="22.35" customHeight="1" x14ac:dyDescent="0.3"/>
    <row r="554" ht="22.35" customHeight="1" x14ac:dyDescent="0.3"/>
    <row r="555" ht="22.35" customHeight="1" x14ac:dyDescent="0.3"/>
    <row r="556" ht="22.35" customHeight="1" x14ac:dyDescent="0.3"/>
    <row r="557" ht="22.35" customHeight="1" x14ac:dyDescent="0.3"/>
    <row r="558" ht="22.35" customHeight="1" x14ac:dyDescent="0.3"/>
    <row r="559" ht="22.35" customHeight="1" x14ac:dyDescent="0.3"/>
    <row r="560" ht="22.35" customHeight="1" x14ac:dyDescent="0.3"/>
    <row r="561" ht="22.35" customHeight="1" x14ac:dyDescent="0.3"/>
    <row r="562" ht="22.35" customHeight="1" x14ac:dyDescent="0.3"/>
    <row r="563" ht="22.35" customHeight="1" x14ac:dyDescent="0.3"/>
    <row r="564" ht="22.35" customHeight="1" x14ac:dyDescent="0.3"/>
    <row r="565" ht="22.35" customHeight="1" x14ac:dyDescent="0.3"/>
    <row r="566" ht="22.35" customHeight="1" x14ac:dyDescent="0.3"/>
    <row r="567" ht="22.35" customHeight="1" x14ac:dyDescent="0.3"/>
    <row r="568" ht="22.35" customHeight="1" x14ac:dyDescent="0.3"/>
    <row r="569" ht="22.35" customHeight="1" x14ac:dyDescent="0.3"/>
    <row r="570" ht="22.35" customHeight="1" x14ac:dyDescent="0.3"/>
    <row r="571" ht="22.35" customHeight="1" x14ac:dyDescent="0.3"/>
    <row r="572" ht="22.35" customHeight="1" x14ac:dyDescent="0.3"/>
    <row r="573" ht="22.35" customHeight="1" x14ac:dyDescent="0.3"/>
    <row r="574" ht="22.35" customHeight="1" x14ac:dyDescent="0.3"/>
    <row r="575" ht="22.35" customHeight="1" x14ac:dyDescent="0.3"/>
    <row r="576" ht="22.35" customHeight="1" x14ac:dyDescent="0.3"/>
    <row r="577" ht="22.35" customHeight="1" x14ac:dyDescent="0.3"/>
    <row r="578" ht="22.35" customHeight="1" x14ac:dyDescent="0.3"/>
    <row r="579" ht="22.35" customHeight="1" x14ac:dyDescent="0.3"/>
    <row r="580" ht="22.35" customHeight="1" x14ac:dyDescent="0.3"/>
    <row r="581" ht="22.35" customHeight="1" x14ac:dyDescent="0.3"/>
    <row r="582" ht="22.35" customHeight="1" x14ac:dyDescent="0.3"/>
    <row r="583" ht="22.35" customHeight="1" x14ac:dyDescent="0.3"/>
    <row r="584" ht="22.35" customHeight="1" x14ac:dyDescent="0.3"/>
    <row r="585" ht="22.35" customHeight="1" x14ac:dyDescent="0.3"/>
    <row r="586" ht="22.35" customHeight="1" x14ac:dyDescent="0.3"/>
    <row r="587" ht="22.35" customHeight="1" x14ac:dyDescent="0.3"/>
    <row r="588" ht="22.35" customHeight="1" x14ac:dyDescent="0.3"/>
    <row r="589" ht="22.35" customHeight="1" x14ac:dyDescent="0.3"/>
    <row r="590" ht="22.35" customHeight="1" x14ac:dyDescent="0.3"/>
    <row r="591" ht="22.35" customHeight="1" x14ac:dyDescent="0.3"/>
    <row r="592" ht="22.35" customHeight="1" x14ac:dyDescent="0.3"/>
    <row r="593" ht="22.35" customHeight="1" x14ac:dyDescent="0.3"/>
    <row r="594" ht="22.35" customHeight="1" x14ac:dyDescent="0.3"/>
    <row r="595" ht="22.35" customHeight="1" x14ac:dyDescent="0.3"/>
    <row r="596" ht="22.35" customHeight="1" x14ac:dyDescent="0.3"/>
    <row r="597" ht="22.35" customHeight="1" x14ac:dyDescent="0.3"/>
    <row r="598" ht="22.35" customHeight="1" x14ac:dyDescent="0.3"/>
    <row r="599" ht="22.35" customHeight="1" x14ac:dyDescent="0.3"/>
    <row r="600" ht="22.35" customHeight="1" x14ac:dyDescent="0.3"/>
    <row r="601" ht="22.35" customHeight="1" x14ac:dyDescent="0.3"/>
    <row r="602" ht="22.35" customHeight="1" x14ac:dyDescent="0.3"/>
    <row r="603" ht="22.35" customHeight="1" x14ac:dyDescent="0.3"/>
    <row r="604" ht="22.35" customHeight="1" x14ac:dyDescent="0.3"/>
    <row r="605" ht="22.35" customHeight="1" x14ac:dyDescent="0.3"/>
    <row r="606" ht="22.35" customHeight="1" x14ac:dyDescent="0.3"/>
    <row r="607" ht="22.35" customHeight="1" x14ac:dyDescent="0.3"/>
    <row r="608" ht="22.35" customHeight="1" x14ac:dyDescent="0.3"/>
    <row r="609" ht="22.35" customHeight="1" x14ac:dyDescent="0.3"/>
    <row r="610" ht="22.35" customHeight="1" x14ac:dyDescent="0.3"/>
    <row r="611" ht="22.35" customHeight="1" x14ac:dyDescent="0.3"/>
    <row r="612" ht="22.35" customHeight="1" x14ac:dyDescent="0.3"/>
    <row r="613" ht="22.35" customHeight="1" x14ac:dyDescent="0.3"/>
    <row r="614" ht="22.35" customHeight="1" x14ac:dyDescent="0.3"/>
    <row r="615" ht="22.35" customHeight="1" x14ac:dyDescent="0.3"/>
    <row r="616" ht="22.35" customHeight="1" x14ac:dyDescent="0.3"/>
    <row r="617" ht="22.35" customHeight="1" x14ac:dyDescent="0.3"/>
    <row r="618" ht="22.35" customHeight="1" x14ac:dyDescent="0.3"/>
    <row r="619" ht="22.35" customHeight="1" x14ac:dyDescent="0.3"/>
    <row r="620" ht="22.35" customHeight="1" x14ac:dyDescent="0.3"/>
    <row r="621" ht="22.35" customHeight="1" x14ac:dyDescent="0.3"/>
    <row r="622" ht="22.35" customHeight="1" x14ac:dyDescent="0.3"/>
    <row r="623" ht="22.35" customHeight="1" x14ac:dyDescent="0.3"/>
    <row r="624" ht="22.35" customHeight="1" x14ac:dyDescent="0.3"/>
    <row r="625" ht="22.35" customHeight="1" x14ac:dyDescent="0.3"/>
    <row r="626" ht="22.35" customHeight="1" x14ac:dyDescent="0.3"/>
    <row r="627" ht="22.35" customHeight="1" x14ac:dyDescent="0.3"/>
    <row r="628" ht="22.35" customHeight="1" x14ac:dyDescent="0.3"/>
    <row r="629" ht="22.35" customHeight="1" x14ac:dyDescent="0.3"/>
    <row r="630" ht="22.35" customHeight="1" x14ac:dyDescent="0.3"/>
    <row r="631" ht="22.35" customHeight="1" x14ac:dyDescent="0.3"/>
    <row r="632" ht="22.35" customHeight="1" x14ac:dyDescent="0.3"/>
    <row r="633" ht="22.35" customHeight="1" x14ac:dyDescent="0.3"/>
    <row r="634" ht="22.35" customHeight="1" x14ac:dyDescent="0.3"/>
    <row r="635" ht="22.35" customHeight="1" x14ac:dyDescent="0.3"/>
    <row r="636" ht="22.35" customHeight="1" x14ac:dyDescent="0.3"/>
    <row r="637" ht="22.35" customHeight="1" x14ac:dyDescent="0.3"/>
    <row r="638" ht="22.35" customHeight="1" x14ac:dyDescent="0.3"/>
    <row r="639" ht="22.35" customHeight="1" x14ac:dyDescent="0.3"/>
    <row r="640" ht="22.35" customHeight="1" x14ac:dyDescent="0.3"/>
    <row r="641" ht="22.35" customHeight="1" x14ac:dyDescent="0.3"/>
    <row r="642" ht="22.35" customHeight="1" x14ac:dyDescent="0.3"/>
    <row r="643" ht="22.35" customHeight="1" x14ac:dyDescent="0.3"/>
    <row r="644" ht="22.35" customHeight="1" x14ac:dyDescent="0.3"/>
    <row r="645" ht="22.35" customHeight="1" x14ac:dyDescent="0.3"/>
    <row r="646" ht="22.35" customHeight="1" x14ac:dyDescent="0.3"/>
    <row r="647" ht="22.35" customHeight="1" x14ac:dyDescent="0.3"/>
    <row r="648" ht="22.35" customHeight="1" x14ac:dyDescent="0.3"/>
    <row r="649" ht="22.35" customHeight="1" x14ac:dyDescent="0.3"/>
    <row r="650" ht="22.35" customHeight="1" x14ac:dyDescent="0.3"/>
    <row r="651" ht="22.35" customHeight="1" x14ac:dyDescent="0.3"/>
    <row r="652" ht="22.35" customHeight="1" x14ac:dyDescent="0.3"/>
    <row r="653" ht="22.35" customHeight="1" x14ac:dyDescent="0.3"/>
    <row r="654" ht="22.35" customHeight="1" x14ac:dyDescent="0.3"/>
    <row r="655" ht="22.35" customHeight="1" x14ac:dyDescent="0.3"/>
    <row r="656" ht="22.35" customHeight="1" x14ac:dyDescent="0.3"/>
    <row r="657" ht="22.35" customHeight="1" x14ac:dyDescent="0.3"/>
    <row r="658" ht="22.35" customHeight="1" x14ac:dyDescent="0.3"/>
    <row r="659" ht="22.35" customHeight="1" x14ac:dyDescent="0.3"/>
    <row r="660" ht="22.35" customHeight="1" x14ac:dyDescent="0.3"/>
    <row r="661" ht="22.35" customHeight="1" x14ac:dyDescent="0.3"/>
    <row r="662" ht="22.35" customHeight="1" x14ac:dyDescent="0.3"/>
    <row r="663" ht="22.35" customHeight="1" x14ac:dyDescent="0.3"/>
    <row r="664" ht="22.35" customHeight="1" x14ac:dyDescent="0.3"/>
    <row r="665" ht="22.35" customHeight="1" x14ac:dyDescent="0.3"/>
    <row r="666" ht="22.35" customHeight="1" x14ac:dyDescent="0.3"/>
    <row r="667" ht="22.35" customHeight="1" x14ac:dyDescent="0.3"/>
    <row r="668" ht="22.35" customHeight="1" x14ac:dyDescent="0.3"/>
    <row r="669" ht="22.35" customHeight="1" x14ac:dyDescent="0.3"/>
    <row r="670" ht="22.35" customHeight="1" x14ac:dyDescent="0.3"/>
    <row r="671" ht="22.35" customHeight="1" x14ac:dyDescent="0.3"/>
    <row r="672" ht="22.35" customHeight="1" x14ac:dyDescent="0.3"/>
    <row r="673" ht="22.35" customHeight="1" x14ac:dyDescent="0.3"/>
    <row r="674" ht="22.35" customHeight="1" x14ac:dyDescent="0.3"/>
    <row r="675" ht="22.35" customHeight="1" x14ac:dyDescent="0.3"/>
    <row r="676" ht="22.35" customHeight="1" x14ac:dyDescent="0.3"/>
    <row r="677" ht="22.35" customHeight="1" x14ac:dyDescent="0.3"/>
    <row r="678" ht="22.35" customHeight="1" x14ac:dyDescent="0.3"/>
    <row r="679" ht="22.35" customHeight="1" x14ac:dyDescent="0.3"/>
    <row r="680" ht="22.35" customHeight="1" x14ac:dyDescent="0.3"/>
    <row r="681" ht="22.35" customHeight="1" x14ac:dyDescent="0.3"/>
    <row r="682" ht="22.35" customHeight="1" x14ac:dyDescent="0.3"/>
    <row r="683" ht="22.35" customHeight="1" x14ac:dyDescent="0.3"/>
    <row r="684" ht="22.35" customHeight="1" x14ac:dyDescent="0.3"/>
    <row r="685" ht="22.35" customHeight="1" x14ac:dyDescent="0.3"/>
    <row r="686" ht="22.35" customHeight="1" x14ac:dyDescent="0.3"/>
    <row r="687" ht="22.35" customHeight="1" x14ac:dyDescent="0.3"/>
    <row r="688" ht="22.35" customHeight="1" x14ac:dyDescent="0.3"/>
    <row r="689" ht="22.35" customHeight="1" x14ac:dyDescent="0.3"/>
    <row r="690" ht="22.35" customHeight="1" x14ac:dyDescent="0.3"/>
    <row r="691" ht="22.35" customHeight="1" x14ac:dyDescent="0.3"/>
    <row r="692" ht="22.35" customHeight="1" x14ac:dyDescent="0.3"/>
    <row r="693" ht="22.35" customHeight="1" x14ac:dyDescent="0.3"/>
    <row r="694" ht="22.35" customHeight="1" x14ac:dyDescent="0.3"/>
    <row r="695" ht="22.35" customHeight="1" x14ac:dyDescent="0.3"/>
    <row r="696" ht="22.35" customHeight="1" x14ac:dyDescent="0.3"/>
    <row r="697" ht="22.35" customHeight="1" x14ac:dyDescent="0.3"/>
    <row r="698" ht="22.35" customHeight="1" x14ac:dyDescent="0.3"/>
    <row r="699" ht="22.35" customHeight="1" x14ac:dyDescent="0.3"/>
    <row r="700" ht="22.35" customHeight="1" x14ac:dyDescent="0.3"/>
    <row r="701" ht="22.35" customHeight="1" x14ac:dyDescent="0.3"/>
    <row r="702" ht="22.35" customHeight="1" x14ac:dyDescent="0.3"/>
    <row r="703" ht="22.35" customHeight="1" x14ac:dyDescent="0.3"/>
    <row r="704" ht="22.35" customHeight="1" x14ac:dyDescent="0.3"/>
    <row r="705" ht="22.35" customHeight="1" x14ac:dyDescent="0.3"/>
    <row r="706" ht="22.35" customHeight="1" x14ac:dyDescent="0.3"/>
    <row r="707" ht="22.35" customHeight="1" x14ac:dyDescent="0.3"/>
    <row r="708" ht="22.35" customHeight="1" x14ac:dyDescent="0.3"/>
    <row r="709" ht="22.35" customHeight="1" x14ac:dyDescent="0.3"/>
    <row r="710" ht="22.35" customHeight="1" x14ac:dyDescent="0.3"/>
    <row r="711" ht="22.35" customHeight="1" x14ac:dyDescent="0.3"/>
    <row r="712" ht="22.35" customHeight="1" x14ac:dyDescent="0.3"/>
    <row r="713" ht="22.35" customHeight="1" x14ac:dyDescent="0.3"/>
    <row r="714" ht="22.35" customHeight="1" x14ac:dyDescent="0.3"/>
    <row r="715" ht="22.35" customHeight="1" x14ac:dyDescent="0.3"/>
    <row r="716" ht="22.35" customHeight="1" x14ac:dyDescent="0.3"/>
    <row r="717" ht="22.35" customHeight="1" x14ac:dyDescent="0.3"/>
    <row r="718" ht="22.35" customHeight="1" x14ac:dyDescent="0.3"/>
    <row r="719" ht="22.35" customHeight="1" x14ac:dyDescent="0.3"/>
    <row r="720" ht="22.35" customHeight="1" x14ac:dyDescent="0.3"/>
    <row r="721" ht="22.35" customHeight="1" x14ac:dyDescent="0.3"/>
    <row r="722" ht="22.35" customHeight="1" x14ac:dyDescent="0.3"/>
    <row r="723" ht="22.35" customHeight="1" x14ac:dyDescent="0.3"/>
    <row r="724" ht="22.35" customHeight="1" x14ac:dyDescent="0.3"/>
    <row r="725" ht="22.35" customHeight="1" x14ac:dyDescent="0.3"/>
    <row r="726" ht="22.35" customHeight="1" x14ac:dyDescent="0.3"/>
    <row r="727" ht="22.35" customHeight="1" x14ac:dyDescent="0.3"/>
    <row r="728" ht="22.35" customHeight="1" x14ac:dyDescent="0.3"/>
    <row r="729" ht="22.35" customHeight="1" x14ac:dyDescent="0.3"/>
    <row r="730" ht="22.35" customHeight="1" x14ac:dyDescent="0.3"/>
    <row r="731" ht="22.35" customHeight="1" x14ac:dyDescent="0.3"/>
    <row r="732" ht="22.35" customHeight="1" x14ac:dyDescent="0.3"/>
    <row r="733" ht="22.35" customHeight="1" x14ac:dyDescent="0.3"/>
    <row r="734" ht="22.35" customHeight="1" x14ac:dyDescent="0.3"/>
    <row r="735" ht="22.35" customHeight="1" x14ac:dyDescent="0.3"/>
    <row r="736" ht="22.35" customHeight="1" x14ac:dyDescent="0.3"/>
    <row r="737" ht="22.35" customHeight="1" x14ac:dyDescent="0.3"/>
    <row r="738" ht="22.35" customHeight="1" x14ac:dyDescent="0.3"/>
    <row r="739" ht="22.35" customHeight="1" x14ac:dyDescent="0.3"/>
    <row r="740" ht="22.35" customHeight="1" x14ac:dyDescent="0.3"/>
    <row r="741" ht="22.35" customHeight="1" x14ac:dyDescent="0.3"/>
    <row r="742" ht="22.35" customHeight="1" x14ac:dyDescent="0.3"/>
    <row r="743" ht="22.35" customHeight="1" x14ac:dyDescent="0.3"/>
    <row r="744" ht="22.35" customHeight="1" x14ac:dyDescent="0.3"/>
    <row r="745" ht="22.35" customHeight="1" x14ac:dyDescent="0.3"/>
    <row r="746" ht="22.35" customHeight="1" x14ac:dyDescent="0.3"/>
    <row r="747" ht="22.35" customHeight="1" x14ac:dyDescent="0.3"/>
    <row r="748" ht="22.35" customHeight="1" x14ac:dyDescent="0.3"/>
    <row r="749" ht="22.35" customHeight="1" x14ac:dyDescent="0.3"/>
    <row r="750" ht="22.35" customHeight="1" x14ac:dyDescent="0.3"/>
    <row r="751" ht="22.35" customHeight="1" x14ac:dyDescent="0.3"/>
    <row r="752" ht="22.35" customHeight="1" x14ac:dyDescent="0.3"/>
    <row r="753" ht="22.35" customHeight="1" x14ac:dyDescent="0.3"/>
    <row r="754" ht="22.35" customHeight="1" x14ac:dyDescent="0.3"/>
    <row r="755" ht="22.35" customHeight="1" x14ac:dyDescent="0.3"/>
    <row r="756" ht="22.35" customHeight="1" x14ac:dyDescent="0.3"/>
    <row r="757" ht="22.35" customHeight="1" x14ac:dyDescent="0.3"/>
    <row r="758" ht="22.35" customHeight="1" x14ac:dyDescent="0.3"/>
    <row r="759" ht="22.35" customHeight="1" x14ac:dyDescent="0.3"/>
    <row r="760" ht="22.35" customHeight="1" x14ac:dyDescent="0.3"/>
    <row r="761" ht="22.35" customHeight="1" x14ac:dyDescent="0.3"/>
    <row r="762" ht="22.35" customHeight="1" x14ac:dyDescent="0.3"/>
    <row r="763" ht="22.35" customHeight="1" x14ac:dyDescent="0.3"/>
    <row r="764" ht="22.35" customHeight="1" x14ac:dyDescent="0.3"/>
    <row r="765" ht="22.35" customHeight="1" x14ac:dyDescent="0.3"/>
    <row r="766" ht="22.35" customHeight="1" x14ac:dyDescent="0.3"/>
    <row r="767" ht="22.35" customHeight="1" x14ac:dyDescent="0.3"/>
    <row r="768" ht="22.35" customHeight="1" x14ac:dyDescent="0.3"/>
    <row r="769" ht="22.35" customHeight="1" x14ac:dyDescent="0.3"/>
    <row r="770" ht="22.35" customHeight="1" x14ac:dyDescent="0.3"/>
    <row r="771" ht="22.35" customHeight="1" x14ac:dyDescent="0.3"/>
    <row r="772" ht="22.35" customHeight="1" x14ac:dyDescent="0.3"/>
    <row r="773" ht="22.35" customHeight="1" x14ac:dyDescent="0.3"/>
    <row r="774" ht="22.35" customHeight="1" x14ac:dyDescent="0.3"/>
    <row r="775" ht="22.35" customHeight="1" x14ac:dyDescent="0.3"/>
    <row r="776" ht="22.35" customHeight="1" x14ac:dyDescent="0.3"/>
    <row r="777" ht="22.35" customHeight="1" x14ac:dyDescent="0.3"/>
    <row r="778" ht="22.35" customHeight="1" x14ac:dyDescent="0.3"/>
    <row r="779" ht="22.35" customHeight="1" x14ac:dyDescent="0.3"/>
    <row r="780" ht="22.35" customHeight="1" x14ac:dyDescent="0.3"/>
    <row r="781" ht="22.35" customHeight="1" x14ac:dyDescent="0.3"/>
    <row r="782" ht="22.35" customHeight="1" x14ac:dyDescent="0.3"/>
    <row r="783" ht="22.35" customHeight="1" x14ac:dyDescent="0.3"/>
    <row r="784" ht="22.35" customHeight="1" x14ac:dyDescent="0.3"/>
    <row r="785" ht="22.35" customHeight="1" x14ac:dyDescent="0.3"/>
    <row r="786" ht="22.35" customHeight="1" x14ac:dyDescent="0.3"/>
    <row r="787" ht="22.35" customHeight="1" x14ac:dyDescent="0.3"/>
    <row r="788" ht="22.35" customHeight="1" x14ac:dyDescent="0.3"/>
    <row r="789" ht="22.35" customHeight="1" x14ac:dyDescent="0.3"/>
    <row r="790" ht="22.35" customHeight="1" x14ac:dyDescent="0.3"/>
    <row r="791" ht="22.35" customHeight="1" x14ac:dyDescent="0.3"/>
    <row r="792" ht="22.35" customHeight="1" x14ac:dyDescent="0.3"/>
    <row r="793" ht="22.35" customHeight="1" x14ac:dyDescent="0.3"/>
    <row r="794" ht="22.35" customHeight="1" x14ac:dyDescent="0.3"/>
    <row r="795" ht="22.35" customHeight="1" x14ac:dyDescent="0.3"/>
    <row r="796" ht="22.35" customHeight="1" x14ac:dyDescent="0.3"/>
    <row r="797" ht="22.35" customHeight="1" x14ac:dyDescent="0.3"/>
    <row r="798" ht="22.35" customHeight="1" x14ac:dyDescent="0.3"/>
    <row r="799" ht="22.35" customHeight="1" x14ac:dyDescent="0.3"/>
    <row r="800" ht="22.35" customHeight="1" x14ac:dyDescent="0.3"/>
    <row r="801" ht="22.35" customHeight="1" x14ac:dyDescent="0.3"/>
    <row r="802" ht="22.35" customHeight="1" x14ac:dyDescent="0.3"/>
    <row r="803" ht="22.35" customHeight="1" x14ac:dyDescent="0.3"/>
    <row r="804" ht="22.35" customHeight="1" x14ac:dyDescent="0.3"/>
    <row r="805" ht="22.35" customHeight="1" x14ac:dyDescent="0.3"/>
    <row r="806" ht="22.35" customHeight="1" x14ac:dyDescent="0.3"/>
    <row r="807" ht="22.35" customHeight="1" x14ac:dyDescent="0.3"/>
    <row r="808" ht="22.35" customHeight="1" x14ac:dyDescent="0.3"/>
    <row r="809" ht="22.35" customHeight="1" x14ac:dyDescent="0.3"/>
    <row r="810" ht="22.35" customHeight="1" x14ac:dyDescent="0.3"/>
    <row r="811" ht="22.35" customHeight="1" x14ac:dyDescent="0.3"/>
    <row r="812" ht="22.35" customHeight="1" x14ac:dyDescent="0.3"/>
    <row r="813" ht="22.35" customHeight="1" x14ac:dyDescent="0.3"/>
    <row r="814" ht="22.35" customHeight="1" x14ac:dyDescent="0.3"/>
    <row r="815" ht="22.35" customHeight="1" x14ac:dyDescent="0.3"/>
    <row r="816" ht="22.35" customHeight="1" x14ac:dyDescent="0.3"/>
    <row r="817" ht="22.35" customHeight="1" x14ac:dyDescent="0.3"/>
    <row r="818" ht="22.35" customHeight="1" x14ac:dyDescent="0.3"/>
    <row r="819" ht="22.35" customHeight="1" x14ac:dyDescent="0.3"/>
    <row r="820" ht="22.35" customHeight="1" x14ac:dyDescent="0.3"/>
    <row r="821" ht="22.35" customHeight="1" x14ac:dyDescent="0.3"/>
    <row r="822" ht="22.35" customHeight="1" x14ac:dyDescent="0.3"/>
    <row r="823" ht="22.35" customHeight="1" x14ac:dyDescent="0.3"/>
    <row r="824" ht="22.35" customHeight="1" x14ac:dyDescent="0.3"/>
    <row r="825" ht="22.35" customHeight="1" x14ac:dyDescent="0.3"/>
    <row r="826" ht="22.35" customHeight="1" x14ac:dyDescent="0.3"/>
    <row r="827" ht="22.35" customHeight="1" x14ac:dyDescent="0.3"/>
    <row r="828" ht="22.35" customHeight="1" x14ac:dyDescent="0.3"/>
    <row r="829" ht="22.35" customHeight="1" x14ac:dyDescent="0.3"/>
    <row r="830" ht="22.35" customHeight="1" x14ac:dyDescent="0.3"/>
    <row r="831" ht="22.35" customHeight="1" x14ac:dyDescent="0.3"/>
    <row r="832" ht="22.35" customHeight="1" x14ac:dyDescent="0.3"/>
    <row r="833" ht="22.35" customHeight="1" x14ac:dyDescent="0.3"/>
    <row r="834" ht="22.35" customHeight="1" x14ac:dyDescent="0.3"/>
    <row r="835" ht="22.35" customHeight="1" x14ac:dyDescent="0.3"/>
    <row r="836" ht="22.35" customHeight="1" x14ac:dyDescent="0.3"/>
    <row r="837" ht="22.35" customHeight="1" x14ac:dyDescent="0.3"/>
    <row r="838" ht="22.35" customHeight="1" x14ac:dyDescent="0.3"/>
    <row r="839" ht="22.35" customHeight="1" x14ac:dyDescent="0.3"/>
    <row r="840" ht="22.35" customHeight="1" x14ac:dyDescent="0.3"/>
    <row r="841" ht="22.35" customHeight="1" x14ac:dyDescent="0.3"/>
    <row r="842" ht="22.35" customHeight="1" x14ac:dyDescent="0.3"/>
    <row r="843" ht="22.35" customHeight="1" x14ac:dyDescent="0.3"/>
    <row r="844" ht="22.35" customHeight="1" x14ac:dyDescent="0.3"/>
    <row r="845" ht="22.35" customHeight="1" x14ac:dyDescent="0.3"/>
    <row r="846" ht="22.35" customHeight="1" x14ac:dyDescent="0.3"/>
    <row r="847" ht="22.35" customHeight="1" x14ac:dyDescent="0.3"/>
    <row r="848" ht="22.35" customHeight="1" x14ac:dyDescent="0.3"/>
    <row r="849" ht="22.35" customHeight="1" x14ac:dyDescent="0.3"/>
    <row r="850" ht="22.35" customHeight="1" x14ac:dyDescent="0.3"/>
    <row r="851" ht="22.35" customHeight="1" x14ac:dyDescent="0.3"/>
    <row r="852" ht="22.35" customHeight="1" x14ac:dyDescent="0.3"/>
    <row r="853" ht="22.35" customHeight="1" x14ac:dyDescent="0.3"/>
    <row r="854" ht="22.35" customHeight="1" x14ac:dyDescent="0.3"/>
    <row r="855" ht="22.35" customHeight="1" x14ac:dyDescent="0.3"/>
    <row r="856" ht="22.35" customHeight="1" x14ac:dyDescent="0.3"/>
    <row r="857" ht="22.35" customHeight="1" x14ac:dyDescent="0.3"/>
    <row r="858" ht="22.35" customHeight="1" x14ac:dyDescent="0.3"/>
    <row r="859" ht="22.35" customHeight="1" x14ac:dyDescent="0.3"/>
    <row r="860" ht="22.35" customHeight="1" x14ac:dyDescent="0.3"/>
    <row r="861" ht="22.35" customHeight="1" x14ac:dyDescent="0.3"/>
    <row r="862" ht="22.35" customHeight="1" x14ac:dyDescent="0.3"/>
    <row r="863" ht="22.35" customHeight="1" x14ac:dyDescent="0.3"/>
    <row r="864" ht="22.35" customHeight="1" x14ac:dyDescent="0.3"/>
    <row r="865" ht="22.35" customHeight="1" x14ac:dyDescent="0.3"/>
    <row r="866" ht="22.35" customHeight="1" x14ac:dyDescent="0.3"/>
    <row r="867" ht="22.35" customHeight="1" x14ac:dyDescent="0.3"/>
    <row r="868" ht="22.35" customHeight="1" x14ac:dyDescent="0.3"/>
    <row r="869" ht="22.35" customHeight="1" x14ac:dyDescent="0.3"/>
    <row r="870" ht="22.35" customHeight="1" x14ac:dyDescent="0.3"/>
    <row r="871" ht="22.35" customHeight="1" x14ac:dyDescent="0.3"/>
    <row r="872" ht="22.35" customHeight="1" x14ac:dyDescent="0.3"/>
    <row r="873" ht="22.35" customHeight="1" x14ac:dyDescent="0.3"/>
    <row r="874" ht="22.35" customHeight="1" x14ac:dyDescent="0.3"/>
    <row r="875" ht="22.35" customHeight="1" x14ac:dyDescent="0.3"/>
    <row r="876" ht="22.35" customHeight="1" x14ac:dyDescent="0.3"/>
    <row r="877" ht="22.35" customHeight="1" x14ac:dyDescent="0.3"/>
    <row r="878" ht="22.35" customHeight="1" x14ac:dyDescent="0.3"/>
    <row r="879" ht="22.35" customHeight="1" x14ac:dyDescent="0.3"/>
    <row r="880" ht="22.35" customHeight="1" x14ac:dyDescent="0.3"/>
    <row r="881" ht="22.35" customHeight="1" x14ac:dyDescent="0.3"/>
    <row r="882" ht="22.35" customHeight="1" x14ac:dyDescent="0.3"/>
    <row r="883" ht="22.35" customHeight="1" x14ac:dyDescent="0.3"/>
    <row r="884" ht="22.35" customHeight="1" x14ac:dyDescent="0.3"/>
    <row r="885" ht="22.35" customHeight="1" x14ac:dyDescent="0.3"/>
    <row r="886" ht="22.35" customHeight="1" x14ac:dyDescent="0.3"/>
    <row r="887" ht="22.35" customHeight="1" x14ac:dyDescent="0.3"/>
    <row r="888" ht="22.35" customHeight="1" x14ac:dyDescent="0.3"/>
    <row r="889" ht="22.35" customHeight="1" x14ac:dyDescent="0.3"/>
    <row r="890" ht="22.35" customHeight="1" x14ac:dyDescent="0.3"/>
    <row r="891" ht="22.35" customHeight="1" x14ac:dyDescent="0.3"/>
    <row r="892" ht="22.35" customHeight="1" x14ac:dyDescent="0.3"/>
    <row r="893" ht="22.35" customHeight="1" x14ac:dyDescent="0.3"/>
    <row r="894" ht="22.35" customHeight="1" x14ac:dyDescent="0.3"/>
    <row r="895" ht="22.35" customHeight="1" x14ac:dyDescent="0.3"/>
    <row r="896" ht="22.35" customHeight="1" x14ac:dyDescent="0.3"/>
    <row r="897" ht="22.35" customHeight="1" x14ac:dyDescent="0.3"/>
    <row r="898" ht="22.35" customHeight="1" x14ac:dyDescent="0.3"/>
    <row r="899" ht="22.35" customHeight="1" x14ac:dyDescent="0.3"/>
    <row r="900" ht="22.35" customHeight="1" x14ac:dyDescent="0.3"/>
    <row r="901" ht="22.35" customHeight="1" x14ac:dyDescent="0.3"/>
    <row r="902" ht="22.35" customHeight="1" x14ac:dyDescent="0.3"/>
    <row r="903" ht="22.35" customHeight="1" x14ac:dyDescent="0.3"/>
    <row r="904" ht="22.35" customHeight="1" x14ac:dyDescent="0.3"/>
    <row r="905" ht="22.35" customHeight="1" x14ac:dyDescent="0.3"/>
    <row r="906" ht="22.35" customHeight="1" x14ac:dyDescent="0.3"/>
    <row r="907" ht="22.35" customHeight="1" x14ac:dyDescent="0.3"/>
    <row r="908" ht="22.35" customHeight="1" x14ac:dyDescent="0.3"/>
    <row r="909" ht="22.35" customHeight="1" x14ac:dyDescent="0.3"/>
    <row r="910" ht="22.35" customHeight="1" x14ac:dyDescent="0.3"/>
    <row r="911" ht="22.35" customHeight="1" x14ac:dyDescent="0.3"/>
    <row r="912" ht="22.35" customHeight="1" x14ac:dyDescent="0.3"/>
    <row r="913" ht="22.35" customHeight="1" x14ac:dyDescent="0.3"/>
    <row r="914" ht="22.35" customHeight="1" x14ac:dyDescent="0.3"/>
    <row r="915" ht="22.35" customHeight="1" x14ac:dyDescent="0.3"/>
    <row r="916" ht="22.35" customHeight="1" x14ac:dyDescent="0.3"/>
    <row r="917" ht="22.35" customHeight="1" x14ac:dyDescent="0.3"/>
    <row r="918" ht="22.35" customHeight="1" x14ac:dyDescent="0.3"/>
    <row r="919" ht="22.35" customHeight="1" x14ac:dyDescent="0.3"/>
    <row r="920" ht="22.35" customHeight="1" x14ac:dyDescent="0.3"/>
    <row r="921" ht="22.35" customHeight="1" x14ac:dyDescent="0.3"/>
    <row r="922" ht="22.35" customHeight="1" x14ac:dyDescent="0.3"/>
    <row r="923" ht="22.35" customHeight="1" x14ac:dyDescent="0.3"/>
    <row r="924" ht="22.35" customHeight="1" x14ac:dyDescent="0.3"/>
    <row r="925" ht="22.35" customHeight="1" x14ac:dyDescent="0.3"/>
    <row r="926" ht="22.35" customHeight="1" x14ac:dyDescent="0.3"/>
    <row r="927" ht="22.35" customHeight="1" x14ac:dyDescent="0.3"/>
    <row r="928" ht="22.35" customHeight="1" x14ac:dyDescent="0.3"/>
    <row r="929" ht="22.35" customHeight="1" x14ac:dyDescent="0.3"/>
    <row r="930" ht="22.35" customHeight="1" x14ac:dyDescent="0.3"/>
    <row r="931" ht="22.35" customHeight="1" x14ac:dyDescent="0.3"/>
    <row r="932" ht="22.35" customHeight="1" x14ac:dyDescent="0.3"/>
    <row r="933" ht="22.35" customHeight="1" x14ac:dyDescent="0.3"/>
    <row r="934" ht="22.35" customHeight="1" x14ac:dyDescent="0.3"/>
    <row r="935" ht="22.35" customHeight="1" x14ac:dyDescent="0.3"/>
    <row r="936" ht="22.35" customHeight="1" x14ac:dyDescent="0.3"/>
    <row r="937" ht="22.35" customHeight="1" x14ac:dyDescent="0.3"/>
    <row r="938" ht="22.35" customHeight="1" x14ac:dyDescent="0.3"/>
    <row r="939" ht="22.35" customHeight="1" x14ac:dyDescent="0.3"/>
    <row r="940" ht="22.35" customHeight="1" x14ac:dyDescent="0.3"/>
    <row r="941" ht="22.35" customHeight="1" x14ac:dyDescent="0.3"/>
    <row r="942" ht="22.35" customHeight="1" x14ac:dyDescent="0.3"/>
    <row r="943" ht="22.35" customHeight="1" x14ac:dyDescent="0.3"/>
    <row r="944" ht="22.35" customHeight="1" x14ac:dyDescent="0.3"/>
    <row r="945" ht="22.35" customHeight="1" x14ac:dyDescent="0.3"/>
    <row r="946" ht="22.35" customHeight="1" x14ac:dyDescent="0.3"/>
    <row r="947" ht="22.35" customHeight="1" x14ac:dyDescent="0.3"/>
    <row r="948" ht="22.35" customHeight="1" x14ac:dyDescent="0.3"/>
    <row r="949" ht="22.35" customHeight="1" x14ac:dyDescent="0.3"/>
    <row r="950" ht="22.35" customHeight="1" x14ac:dyDescent="0.3"/>
    <row r="951" ht="22.35" customHeight="1" x14ac:dyDescent="0.3"/>
    <row r="952" ht="22.35" customHeight="1" x14ac:dyDescent="0.3"/>
    <row r="953" ht="22.35" customHeight="1" x14ac:dyDescent="0.3"/>
    <row r="954" ht="22.35" customHeight="1" x14ac:dyDescent="0.3"/>
    <row r="955" ht="22.35" customHeight="1" x14ac:dyDescent="0.3"/>
    <row r="956" ht="22.35" customHeight="1" x14ac:dyDescent="0.3"/>
    <row r="957" ht="22.35" customHeight="1" x14ac:dyDescent="0.3"/>
    <row r="958" ht="22.35" customHeight="1" x14ac:dyDescent="0.3"/>
    <row r="959" ht="22.35" customHeight="1" x14ac:dyDescent="0.3"/>
    <row r="960" ht="22.35" customHeight="1" x14ac:dyDescent="0.3"/>
    <row r="961" ht="22.35" customHeight="1" x14ac:dyDescent="0.3"/>
    <row r="962" ht="22.35" customHeight="1" x14ac:dyDescent="0.3"/>
    <row r="963" ht="22.35" customHeight="1" x14ac:dyDescent="0.3"/>
    <row r="964" ht="22.35" customHeight="1" x14ac:dyDescent="0.3"/>
    <row r="965" ht="22.35" customHeight="1" x14ac:dyDescent="0.3"/>
    <row r="966" ht="22.35" customHeight="1" x14ac:dyDescent="0.3"/>
    <row r="967" ht="22.35" customHeight="1" x14ac:dyDescent="0.3"/>
    <row r="968" ht="22.35" customHeight="1" x14ac:dyDescent="0.3"/>
    <row r="969" ht="22.35" customHeight="1" x14ac:dyDescent="0.3"/>
    <row r="970" ht="22.35" customHeight="1" x14ac:dyDescent="0.3"/>
    <row r="971" ht="22.35" customHeight="1" x14ac:dyDescent="0.3"/>
    <row r="972" ht="22.35" customHeight="1" x14ac:dyDescent="0.3"/>
    <row r="973" ht="22.35" customHeight="1" x14ac:dyDescent="0.3"/>
    <row r="974" ht="22.35" customHeight="1" x14ac:dyDescent="0.3"/>
    <row r="975" ht="22.35" customHeight="1" x14ac:dyDescent="0.3"/>
    <row r="976" ht="22.35" customHeight="1" x14ac:dyDescent="0.3"/>
    <row r="977" ht="22.35" customHeight="1" x14ac:dyDescent="0.3"/>
    <row r="978" ht="22.35" customHeight="1" x14ac:dyDescent="0.3"/>
    <row r="979" ht="22.35" customHeight="1" x14ac:dyDescent="0.3"/>
    <row r="980" ht="22.35" customHeight="1" x14ac:dyDescent="0.3"/>
    <row r="981" ht="22.35" customHeight="1" x14ac:dyDescent="0.3"/>
    <row r="982" ht="22.35" customHeight="1" x14ac:dyDescent="0.3"/>
    <row r="983" ht="22.35" customHeight="1" x14ac:dyDescent="0.3"/>
    <row r="984" ht="22.35" customHeight="1" x14ac:dyDescent="0.3"/>
    <row r="985" ht="22.35" customHeight="1" x14ac:dyDescent="0.3"/>
    <row r="986" ht="22.35" customHeight="1" x14ac:dyDescent="0.3"/>
    <row r="987" ht="22.35" customHeight="1" x14ac:dyDescent="0.3"/>
    <row r="988" ht="22.35" customHeight="1" x14ac:dyDescent="0.3"/>
    <row r="989" ht="22.35" customHeight="1" x14ac:dyDescent="0.3"/>
    <row r="990" ht="22.35" customHeight="1" x14ac:dyDescent="0.3"/>
    <row r="991" ht="22.35" customHeight="1" x14ac:dyDescent="0.3"/>
    <row r="992" ht="22.35" customHeight="1" x14ac:dyDescent="0.3"/>
    <row r="993" ht="22.35" customHeight="1" x14ac:dyDescent="0.3"/>
    <row r="994" ht="22.35" customHeight="1" x14ac:dyDescent="0.3"/>
    <row r="995" ht="22.35" customHeight="1" x14ac:dyDescent="0.3"/>
    <row r="996" ht="22.35" customHeight="1" x14ac:dyDescent="0.3"/>
    <row r="997" ht="22.35" customHeight="1" x14ac:dyDescent="0.3"/>
    <row r="998" ht="22.35" customHeight="1" x14ac:dyDescent="0.3"/>
    <row r="999" ht="22.35" customHeight="1" x14ac:dyDescent="0.3"/>
    <row r="1000" ht="22.35" customHeight="1" x14ac:dyDescent="0.3"/>
    <row r="1001" ht="22.35" customHeight="1" x14ac:dyDescent="0.3"/>
    <row r="1002" ht="22.35" customHeight="1" x14ac:dyDescent="0.3"/>
    <row r="1003" ht="22.35" customHeight="1" x14ac:dyDescent="0.3"/>
    <row r="1004" ht="22.35" customHeight="1" x14ac:dyDescent="0.3"/>
    <row r="1005" ht="22.35" customHeight="1" x14ac:dyDescent="0.3"/>
    <row r="1006" ht="22.35" customHeight="1" x14ac:dyDescent="0.3"/>
    <row r="1007" ht="22.35" customHeight="1" x14ac:dyDescent="0.3"/>
    <row r="1008" ht="22.35" customHeight="1" x14ac:dyDescent="0.3"/>
    <row r="1009" ht="22.35" customHeight="1" x14ac:dyDescent="0.3"/>
    <row r="1010" ht="22.35" customHeight="1" x14ac:dyDescent="0.3"/>
    <row r="1011" ht="22.35" customHeight="1" x14ac:dyDescent="0.3"/>
    <row r="1012" ht="22.35" customHeight="1" x14ac:dyDescent="0.3"/>
    <row r="1013" ht="22.35" customHeight="1" x14ac:dyDescent="0.3"/>
    <row r="1014" ht="22.35" customHeight="1" x14ac:dyDescent="0.3"/>
    <row r="1015" ht="22.35" customHeight="1" x14ac:dyDescent="0.3"/>
    <row r="1016" ht="22.35" customHeight="1" x14ac:dyDescent="0.3"/>
    <row r="1017" ht="22.35" customHeight="1" x14ac:dyDescent="0.3"/>
    <row r="1018" ht="22.35" customHeight="1" x14ac:dyDescent="0.3"/>
    <row r="1019" ht="22.35" customHeight="1" x14ac:dyDescent="0.3"/>
    <row r="1020" ht="22.35" customHeight="1" x14ac:dyDescent="0.3"/>
    <row r="1021" ht="22.35" customHeight="1" x14ac:dyDescent="0.3"/>
    <row r="1022" ht="22.35" customHeight="1" x14ac:dyDescent="0.3"/>
    <row r="1023" ht="22.35" customHeight="1" x14ac:dyDescent="0.3"/>
    <row r="1024" ht="22.35" customHeight="1" x14ac:dyDescent="0.3"/>
    <row r="1025" ht="22.35" customHeight="1" x14ac:dyDescent="0.3"/>
    <row r="1026" ht="22.35" customHeight="1" x14ac:dyDescent="0.3"/>
    <row r="1027" ht="22.35" customHeight="1" x14ac:dyDescent="0.3"/>
    <row r="1028" ht="22.35" customHeight="1" x14ac:dyDescent="0.3"/>
    <row r="1029" ht="22.35" customHeight="1" x14ac:dyDescent="0.3"/>
    <row r="1030" ht="22.35" customHeight="1" x14ac:dyDescent="0.3"/>
    <row r="1031" ht="22.35" customHeight="1" x14ac:dyDescent="0.3"/>
    <row r="1032" ht="22.35" customHeight="1" x14ac:dyDescent="0.3"/>
    <row r="1033" ht="22.35" customHeight="1" x14ac:dyDescent="0.3"/>
    <row r="1034" ht="22.35" customHeight="1" x14ac:dyDescent="0.3"/>
    <row r="1035" ht="22.35" customHeight="1" x14ac:dyDescent="0.3"/>
    <row r="1036" ht="22.35" customHeight="1" x14ac:dyDescent="0.3"/>
    <row r="1037" ht="22.35" customHeight="1" x14ac:dyDescent="0.3"/>
    <row r="1038" ht="22.35" customHeight="1" x14ac:dyDescent="0.3"/>
    <row r="1039" ht="22.35" customHeight="1" x14ac:dyDescent="0.3"/>
    <row r="1040" ht="22.35" customHeight="1" x14ac:dyDescent="0.3"/>
    <row r="1041" ht="22.35" customHeight="1" x14ac:dyDescent="0.3"/>
    <row r="1042" ht="22.35" customHeight="1" x14ac:dyDescent="0.3"/>
    <row r="1043" ht="22.35" customHeight="1" x14ac:dyDescent="0.3"/>
    <row r="1044" ht="22.35" customHeight="1" x14ac:dyDescent="0.3"/>
    <row r="1045" ht="22.35" customHeight="1" x14ac:dyDescent="0.3"/>
    <row r="1046" ht="22.35" customHeight="1" x14ac:dyDescent="0.3"/>
    <row r="1047" ht="22.35" customHeight="1" x14ac:dyDescent="0.3"/>
    <row r="1048" ht="22.35" customHeight="1" x14ac:dyDescent="0.3"/>
    <row r="1049" ht="22.35" customHeight="1" x14ac:dyDescent="0.3"/>
    <row r="1050" ht="22.35" customHeight="1" x14ac:dyDescent="0.3"/>
    <row r="1051" ht="22.35" customHeight="1" x14ac:dyDescent="0.3"/>
    <row r="1052" ht="22.35" customHeight="1" x14ac:dyDescent="0.3"/>
    <row r="1053" ht="22.35" customHeight="1" x14ac:dyDescent="0.3"/>
    <row r="1054" ht="22.35" customHeight="1" x14ac:dyDescent="0.3"/>
    <row r="1055" ht="22.35" customHeight="1" x14ac:dyDescent="0.3"/>
    <row r="1056" ht="22.35" customHeight="1" x14ac:dyDescent="0.3"/>
    <row r="1057" ht="22.35" customHeight="1" x14ac:dyDescent="0.3"/>
    <row r="1058" ht="22.35" customHeight="1" x14ac:dyDescent="0.3"/>
    <row r="1059" ht="22.35" customHeight="1" x14ac:dyDescent="0.3"/>
    <row r="1060" ht="22.35" customHeight="1" x14ac:dyDescent="0.3"/>
    <row r="1061" ht="22.35" customHeight="1" x14ac:dyDescent="0.3"/>
    <row r="1062" ht="22.35" customHeight="1" x14ac:dyDescent="0.3"/>
    <row r="1063" ht="22.35" customHeight="1" x14ac:dyDescent="0.3"/>
    <row r="1064" ht="22.35" customHeight="1" x14ac:dyDescent="0.3"/>
    <row r="1065" ht="22.35" customHeight="1" x14ac:dyDescent="0.3"/>
    <row r="1066" ht="22.35" customHeight="1" x14ac:dyDescent="0.3"/>
    <row r="1067" ht="22.35" customHeight="1" x14ac:dyDescent="0.3"/>
    <row r="1068" ht="22.35" customHeight="1" x14ac:dyDescent="0.3"/>
    <row r="1069" ht="22.35" customHeight="1" x14ac:dyDescent="0.3"/>
    <row r="1070" ht="22.35" customHeight="1" x14ac:dyDescent="0.3"/>
    <row r="1071" ht="22.35" customHeight="1" x14ac:dyDescent="0.3"/>
    <row r="1072" ht="22.35" customHeight="1" x14ac:dyDescent="0.3"/>
    <row r="1073" ht="22.35" customHeight="1" x14ac:dyDescent="0.3"/>
    <row r="1074" ht="22.35" customHeight="1" x14ac:dyDescent="0.3"/>
    <row r="1075" ht="22.35" customHeight="1" x14ac:dyDescent="0.3"/>
    <row r="1076" ht="22.35" customHeight="1" x14ac:dyDescent="0.3"/>
    <row r="1077" ht="22.35" customHeight="1" x14ac:dyDescent="0.3"/>
    <row r="1078" ht="22.35" customHeight="1" x14ac:dyDescent="0.3"/>
    <row r="1079" ht="22.35" customHeight="1" x14ac:dyDescent="0.3"/>
    <row r="1080" ht="22.35" customHeight="1" x14ac:dyDescent="0.3"/>
    <row r="1081" ht="22.35" customHeight="1" x14ac:dyDescent="0.3"/>
    <row r="1082" ht="22.35" customHeight="1" x14ac:dyDescent="0.3"/>
    <row r="1083" ht="22.35" customHeight="1" x14ac:dyDescent="0.3"/>
    <row r="1084" ht="22.35" customHeight="1" x14ac:dyDescent="0.3"/>
    <row r="1085" ht="22.35" customHeight="1" x14ac:dyDescent="0.3"/>
    <row r="1086" ht="22.35" customHeight="1" x14ac:dyDescent="0.3"/>
    <row r="1087" ht="22.35" customHeight="1" x14ac:dyDescent="0.3"/>
    <row r="1088" ht="22.35" customHeight="1" x14ac:dyDescent="0.3"/>
    <row r="1089" ht="22.35" customHeight="1" x14ac:dyDescent="0.3"/>
    <row r="1090" ht="22.35" customHeight="1" x14ac:dyDescent="0.3"/>
    <row r="1091" ht="22.35" customHeight="1" x14ac:dyDescent="0.3"/>
    <row r="1092" ht="22.35" customHeight="1" x14ac:dyDescent="0.3"/>
    <row r="1093" ht="22.35" customHeight="1" x14ac:dyDescent="0.3"/>
    <row r="1094" ht="22.35" customHeight="1" x14ac:dyDescent="0.3"/>
    <row r="1095" ht="22.35" customHeight="1" x14ac:dyDescent="0.3"/>
    <row r="1096" ht="22.35" customHeight="1" x14ac:dyDescent="0.3"/>
    <row r="1097" ht="22.35" customHeight="1" x14ac:dyDescent="0.3"/>
    <row r="1098" ht="22.35" customHeight="1" x14ac:dyDescent="0.3"/>
    <row r="1099" ht="22.35" customHeight="1" x14ac:dyDescent="0.3"/>
    <row r="1100" ht="22.35" customHeight="1" x14ac:dyDescent="0.3"/>
    <row r="1101" ht="22.35" customHeight="1" x14ac:dyDescent="0.3"/>
    <row r="1102" ht="22.35" customHeight="1" x14ac:dyDescent="0.3"/>
    <row r="1103" ht="22.35" customHeight="1" x14ac:dyDescent="0.3"/>
    <row r="1104" ht="22.35" customHeight="1" x14ac:dyDescent="0.3"/>
    <row r="1105" ht="22.35" customHeight="1" x14ac:dyDescent="0.3"/>
    <row r="1106" ht="22.35" customHeight="1" x14ac:dyDescent="0.3"/>
    <row r="1107" ht="22.35" customHeight="1" x14ac:dyDescent="0.3"/>
    <row r="1108" ht="22.35" customHeight="1" x14ac:dyDescent="0.3"/>
    <row r="1109" ht="22.35" customHeight="1" x14ac:dyDescent="0.3"/>
    <row r="1110" ht="22.35" customHeight="1" x14ac:dyDescent="0.3"/>
    <row r="1111" ht="22.35" customHeight="1" x14ac:dyDescent="0.3"/>
    <row r="1112" ht="22.35" customHeight="1" x14ac:dyDescent="0.3"/>
    <row r="1113" ht="22.35" customHeight="1" x14ac:dyDescent="0.3"/>
    <row r="1114" ht="22.35" customHeight="1" x14ac:dyDescent="0.3"/>
    <row r="1115" ht="22.35" customHeight="1" x14ac:dyDescent="0.3"/>
    <row r="1116" ht="22.35" customHeight="1" x14ac:dyDescent="0.3"/>
    <row r="1117" ht="22.35" customHeight="1" x14ac:dyDescent="0.3"/>
    <row r="1118" ht="22.35" customHeight="1" x14ac:dyDescent="0.3"/>
    <row r="1119" ht="22.35" customHeight="1" x14ac:dyDescent="0.3"/>
    <row r="1120" ht="22.35" customHeight="1" x14ac:dyDescent="0.3"/>
    <row r="1121" ht="22.35" customHeight="1" x14ac:dyDescent="0.3"/>
    <row r="1122" ht="22.35" customHeight="1" x14ac:dyDescent="0.3"/>
    <row r="1123" ht="22.35" customHeight="1" x14ac:dyDescent="0.3"/>
    <row r="1124" ht="22.35" customHeight="1" x14ac:dyDescent="0.3"/>
    <row r="1125" ht="22.35" customHeight="1" x14ac:dyDescent="0.3"/>
    <row r="1126" ht="22.35" customHeight="1" x14ac:dyDescent="0.3"/>
    <row r="1127" ht="22.35" customHeight="1" x14ac:dyDescent="0.3"/>
    <row r="1128" ht="22.35" customHeight="1" x14ac:dyDescent="0.3"/>
    <row r="1129" ht="22.35" customHeight="1" x14ac:dyDescent="0.3"/>
    <row r="1130" ht="22.35" customHeight="1" x14ac:dyDescent="0.3"/>
    <row r="1131" ht="22.35" customHeight="1" x14ac:dyDescent="0.3"/>
    <row r="1132" ht="22.35" customHeight="1" x14ac:dyDescent="0.3"/>
    <row r="1133" ht="22.35" customHeight="1" x14ac:dyDescent="0.3"/>
    <row r="1134" ht="22.35" customHeight="1" x14ac:dyDescent="0.3"/>
    <row r="1135" ht="22.35" customHeight="1" x14ac:dyDescent="0.3"/>
    <row r="1136" ht="22.35" customHeight="1" x14ac:dyDescent="0.3"/>
    <row r="1137" ht="22.35" customHeight="1" x14ac:dyDescent="0.3"/>
    <row r="1138" ht="22.35" customHeight="1" x14ac:dyDescent="0.3"/>
    <row r="1139" ht="22.35" customHeight="1" x14ac:dyDescent="0.3"/>
    <row r="1140" ht="22.35" customHeight="1" x14ac:dyDescent="0.3"/>
    <row r="1141" ht="22.35" customHeight="1" x14ac:dyDescent="0.3"/>
    <row r="1142" ht="22.35" customHeight="1" x14ac:dyDescent="0.3"/>
    <row r="1143" ht="22.35" customHeight="1" x14ac:dyDescent="0.3"/>
    <row r="1144" ht="22.35" customHeight="1" x14ac:dyDescent="0.3"/>
    <row r="1145" ht="22.35" customHeight="1" x14ac:dyDescent="0.3"/>
    <row r="1146" ht="22.35" customHeight="1" x14ac:dyDescent="0.3"/>
    <row r="1147" ht="22.35" customHeight="1" x14ac:dyDescent="0.3"/>
    <row r="1148" ht="22.35" customHeight="1" x14ac:dyDescent="0.3"/>
    <row r="1149" ht="22.35" customHeight="1" x14ac:dyDescent="0.3"/>
    <row r="1150" ht="22.35" customHeight="1" x14ac:dyDescent="0.3"/>
    <row r="1151" ht="22.35" customHeight="1" x14ac:dyDescent="0.3"/>
    <row r="1152" ht="22.35" customHeight="1" x14ac:dyDescent="0.3"/>
    <row r="1153" ht="22.35" customHeight="1" x14ac:dyDescent="0.3"/>
    <row r="1154" ht="22.35" customHeight="1" x14ac:dyDescent="0.3"/>
    <row r="1155" ht="22.35" customHeight="1" x14ac:dyDescent="0.3"/>
    <row r="1156" ht="22.35" customHeight="1" x14ac:dyDescent="0.3"/>
    <row r="1157" ht="22.35" customHeight="1" x14ac:dyDescent="0.3"/>
    <row r="1158" ht="22.35" customHeight="1" x14ac:dyDescent="0.3"/>
    <row r="1159" ht="22.35" customHeight="1" x14ac:dyDescent="0.3"/>
    <row r="1160" ht="22.35" customHeight="1" x14ac:dyDescent="0.3"/>
    <row r="1161" ht="22.35" customHeight="1" x14ac:dyDescent="0.3"/>
    <row r="1162" ht="22.35" customHeight="1" x14ac:dyDescent="0.3"/>
    <row r="1163" ht="22.35" customHeight="1" x14ac:dyDescent="0.3"/>
    <row r="1164" ht="22.35" customHeight="1" x14ac:dyDescent="0.3"/>
    <row r="1165" ht="22.35" customHeight="1" x14ac:dyDescent="0.3"/>
    <row r="1166" ht="22.35" customHeight="1" x14ac:dyDescent="0.3"/>
    <row r="1167" ht="22.35" customHeight="1" x14ac:dyDescent="0.3"/>
    <row r="1168" ht="22.35" customHeight="1" x14ac:dyDescent="0.3"/>
    <row r="1169" ht="22.35" customHeight="1" x14ac:dyDescent="0.3"/>
    <row r="1170" ht="22.35" customHeight="1" x14ac:dyDescent="0.3"/>
    <row r="1171" ht="22.35" customHeight="1" x14ac:dyDescent="0.3"/>
    <row r="1172" ht="22.35" customHeight="1" x14ac:dyDescent="0.3"/>
    <row r="1173" ht="22.35" customHeight="1" x14ac:dyDescent="0.3"/>
    <row r="1174" ht="22.35" customHeight="1" x14ac:dyDescent="0.3"/>
    <row r="1175" ht="22.35" customHeight="1" x14ac:dyDescent="0.3"/>
    <row r="1176" ht="22.35" customHeight="1" x14ac:dyDescent="0.3"/>
    <row r="1177" ht="22.35" customHeight="1" x14ac:dyDescent="0.3"/>
    <row r="1178" ht="22.35" customHeight="1" x14ac:dyDescent="0.3"/>
    <row r="1179" ht="22.35" customHeight="1" x14ac:dyDescent="0.3"/>
    <row r="1180" ht="22.35" customHeight="1" x14ac:dyDescent="0.3"/>
    <row r="1181" ht="22.35" customHeight="1" x14ac:dyDescent="0.3"/>
    <row r="1182" ht="22.35" customHeight="1" x14ac:dyDescent="0.3"/>
    <row r="1183" ht="22.35" customHeight="1" x14ac:dyDescent="0.3"/>
    <row r="1184" ht="22.35" customHeight="1" x14ac:dyDescent="0.3"/>
    <row r="1185" ht="22.35" customHeight="1" x14ac:dyDescent="0.3"/>
    <row r="1186" ht="22.35" customHeight="1" x14ac:dyDescent="0.3"/>
    <row r="1187" ht="22.35" customHeight="1" x14ac:dyDescent="0.3"/>
    <row r="1188" ht="22.35" customHeight="1" x14ac:dyDescent="0.3"/>
    <row r="1189" ht="22.35" customHeight="1" x14ac:dyDescent="0.3"/>
    <row r="1190" ht="22.35" customHeight="1" x14ac:dyDescent="0.3"/>
    <row r="1191" ht="22.35" customHeight="1" x14ac:dyDescent="0.3"/>
    <row r="1192" ht="22.35" customHeight="1" x14ac:dyDescent="0.3"/>
    <row r="1193" ht="22.35" customHeight="1" x14ac:dyDescent="0.3"/>
    <row r="1194" ht="22.35" customHeight="1" x14ac:dyDescent="0.3"/>
    <row r="1195" ht="22.35" customHeight="1" x14ac:dyDescent="0.3"/>
    <row r="1196" ht="22.35" customHeight="1" x14ac:dyDescent="0.3"/>
    <row r="1197" ht="22.35" customHeight="1" x14ac:dyDescent="0.3"/>
    <row r="1198" ht="22.35" customHeight="1" x14ac:dyDescent="0.3"/>
    <row r="1199" ht="22.35" customHeight="1" x14ac:dyDescent="0.3"/>
    <row r="1200" ht="22.35" customHeight="1" x14ac:dyDescent="0.3"/>
    <row r="1201" ht="22.35" customHeight="1" x14ac:dyDescent="0.3"/>
    <row r="1202" ht="22.35" customHeight="1" x14ac:dyDescent="0.3"/>
    <row r="1203" ht="22.35" customHeight="1" x14ac:dyDescent="0.3"/>
    <row r="1204" ht="22.35" customHeight="1" x14ac:dyDescent="0.3"/>
    <row r="1205" ht="22.35" customHeight="1" x14ac:dyDescent="0.3"/>
    <row r="1206" ht="22.35" customHeight="1" x14ac:dyDescent="0.3"/>
    <row r="1207" ht="22.35" customHeight="1" x14ac:dyDescent="0.3"/>
    <row r="1208" ht="22.35" customHeight="1" x14ac:dyDescent="0.3"/>
    <row r="1209" ht="22.35" customHeight="1" x14ac:dyDescent="0.3"/>
    <row r="1210" ht="22.35" customHeight="1" x14ac:dyDescent="0.3"/>
    <row r="1211" ht="22.35" customHeight="1" x14ac:dyDescent="0.3"/>
    <row r="1212" ht="22.35" customHeight="1" x14ac:dyDescent="0.3"/>
    <row r="1213" ht="22.35" customHeight="1" x14ac:dyDescent="0.3"/>
    <row r="1214" ht="22.35" customHeight="1" x14ac:dyDescent="0.3"/>
    <row r="1215" ht="22.35" customHeight="1" x14ac:dyDescent="0.3"/>
    <row r="1216" ht="22.35" customHeight="1" x14ac:dyDescent="0.3"/>
    <row r="1217" ht="22.35" customHeight="1" x14ac:dyDescent="0.3"/>
    <row r="1218" ht="22.35" customHeight="1" x14ac:dyDescent="0.3"/>
    <row r="1219" ht="22.35" customHeight="1" x14ac:dyDescent="0.3"/>
    <row r="1220" ht="22.35" customHeight="1" x14ac:dyDescent="0.3"/>
    <row r="1221" ht="22.35" customHeight="1" x14ac:dyDescent="0.3"/>
    <row r="1222" ht="22.35" customHeight="1" x14ac:dyDescent="0.3"/>
    <row r="1223" ht="22.35" customHeight="1" x14ac:dyDescent="0.3"/>
    <row r="1224" ht="22.35" customHeight="1" x14ac:dyDescent="0.3"/>
    <row r="1225" ht="22.35" customHeight="1" x14ac:dyDescent="0.3"/>
    <row r="1226" ht="22.35" customHeight="1" x14ac:dyDescent="0.3"/>
    <row r="1227" ht="22.35" customHeight="1" x14ac:dyDescent="0.3"/>
    <row r="1228" ht="22.35" customHeight="1" x14ac:dyDescent="0.3"/>
    <row r="1229" ht="22.35" customHeight="1" x14ac:dyDescent="0.3"/>
    <row r="1230" ht="22.35" customHeight="1" x14ac:dyDescent="0.3"/>
    <row r="1231" ht="22.35" customHeight="1" x14ac:dyDescent="0.3"/>
    <row r="1232" ht="22.35" customHeight="1" x14ac:dyDescent="0.3"/>
    <row r="1233" ht="22.35" customHeight="1" x14ac:dyDescent="0.3"/>
    <row r="1234" ht="22.35" customHeight="1" x14ac:dyDescent="0.3"/>
    <row r="1235" ht="22.35" customHeight="1" x14ac:dyDescent="0.3"/>
    <row r="1236" ht="22.35" customHeight="1" x14ac:dyDescent="0.3"/>
    <row r="1237" ht="22.35" customHeight="1" x14ac:dyDescent="0.3"/>
    <row r="1238" ht="22.35" customHeight="1" x14ac:dyDescent="0.3"/>
    <row r="1239" ht="22.35" customHeight="1" x14ac:dyDescent="0.3"/>
    <row r="1240" ht="22.35" customHeight="1" x14ac:dyDescent="0.3"/>
    <row r="1241" ht="22.35" customHeight="1" x14ac:dyDescent="0.3"/>
    <row r="1242" ht="22.35" customHeight="1" x14ac:dyDescent="0.3"/>
    <row r="1243" ht="22.35" customHeight="1" x14ac:dyDescent="0.3"/>
    <row r="1244" ht="22.35" customHeight="1" x14ac:dyDescent="0.3"/>
    <row r="1245" ht="22.35" customHeight="1" x14ac:dyDescent="0.3"/>
    <row r="1246" ht="22.35" customHeight="1" x14ac:dyDescent="0.3"/>
    <row r="1247" ht="22.35" customHeight="1" x14ac:dyDescent="0.3"/>
    <row r="1248" ht="22.35" customHeight="1" x14ac:dyDescent="0.3"/>
    <row r="1249" ht="22.35" customHeight="1" x14ac:dyDescent="0.3"/>
    <row r="1250" ht="22.35" customHeight="1" x14ac:dyDescent="0.3"/>
    <row r="1251" ht="22.35" customHeight="1" x14ac:dyDescent="0.3"/>
    <row r="1252" ht="22.35" customHeight="1" x14ac:dyDescent="0.3"/>
    <row r="1253" ht="22.35" customHeight="1" x14ac:dyDescent="0.3"/>
    <row r="1254" ht="22.35" customHeight="1" x14ac:dyDescent="0.3"/>
    <row r="1255" ht="22.35" customHeight="1" x14ac:dyDescent="0.3"/>
    <row r="1256" ht="22.35" customHeight="1" x14ac:dyDescent="0.3"/>
    <row r="1257" ht="22.35" customHeight="1" x14ac:dyDescent="0.3"/>
    <row r="1258" ht="22.35" customHeight="1" x14ac:dyDescent="0.3"/>
    <row r="1259" ht="22.35" customHeight="1" x14ac:dyDescent="0.3"/>
    <row r="1260" ht="22.35" customHeight="1" x14ac:dyDescent="0.3"/>
    <row r="1261" ht="22.35" customHeight="1" x14ac:dyDescent="0.3"/>
    <row r="1262" ht="22.35" customHeight="1" x14ac:dyDescent="0.3"/>
    <row r="1263" ht="22.35" customHeight="1" x14ac:dyDescent="0.3"/>
    <row r="1264" ht="22.35" customHeight="1" x14ac:dyDescent="0.3"/>
    <row r="1265" ht="22.35" customHeight="1" x14ac:dyDescent="0.3"/>
    <row r="1266" ht="22.35" customHeight="1" x14ac:dyDescent="0.3"/>
    <row r="1267" ht="22.35" customHeight="1" x14ac:dyDescent="0.3"/>
    <row r="1268" ht="22.35" customHeight="1" x14ac:dyDescent="0.3"/>
    <row r="1269" ht="22.35" customHeight="1" x14ac:dyDescent="0.3"/>
    <row r="1270" ht="22.35" customHeight="1" x14ac:dyDescent="0.3"/>
    <row r="1271" ht="22.35" customHeight="1" x14ac:dyDescent="0.3"/>
    <row r="1272" ht="22.35" customHeight="1" x14ac:dyDescent="0.3"/>
    <row r="1273" ht="22.35" customHeight="1" x14ac:dyDescent="0.3"/>
    <row r="1274" ht="22.35" customHeight="1" x14ac:dyDescent="0.3"/>
    <row r="1275" ht="22.35" customHeight="1" x14ac:dyDescent="0.3"/>
    <row r="1276" ht="22.35" customHeight="1" x14ac:dyDescent="0.3"/>
    <row r="1277" ht="22.35" customHeight="1" x14ac:dyDescent="0.3"/>
    <row r="1278" ht="22.35" customHeight="1" x14ac:dyDescent="0.3"/>
    <row r="1279" ht="22.35" customHeight="1" x14ac:dyDescent="0.3"/>
    <row r="1280" ht="22.35" customHeight="1" x14ac:dyDescent="0.3"/>
    <row r="1281" ht="22.35" customHeight="1" x14ac:dyDescent="0.3"/>
    <row r="1282" ht="22.35" customHeight="1" x14ac:dyDescent="0.3"/>
    <row r="1283" ht="22.35" customHeight="1" x14ac:dyDescent="0.3"/>
    <row r="1284" ht="22.35" customHeight="1" x14ac:dyDescent="0.3"/>
    <row r="1285" ht="22.35" customHeight="1" x14ac:dyDescent="0.3"/>
    <row r="1286" ht="22.35" customHeight="1" x14ac:dyDescent="0.3"/>
    <row r="1287" ht="22.35" customHeight="1" x14ac:dyDescent="0.3"/>
    <row r="1288" ht="22.35" customHeight="1" x14ac:dyDescent="0.3"/>
    <row r="1289" ht="22.35" customHeight="1" x14ac:dyDescent="0.3"/>
    <row r="1290" ht="22.35" customHeight="1" x14ac:dyDescent="0.3"/>
    <row r="1291" ht="22.35" customHeight="1" x14ac:dyDescent="0.3"/>
    <row r="1292" ht="22.35" customHeight="1" x14ac:dyDescent="0.3"/>
    <row r="1293" ht="22.35" customHeight="1" x14ac:dyDescent="0.3"/>
    <row r="1294" ht="22.35" customHeight="1" x14ac:dyDescent="0.3"/>
    <row r="1295" ht="22.35" customHeight="1" x14ac:dyDescent="0.3"/>
    <row r="1296" ht="22.35" customHeight="1" x14ac:dyDescent="0.3"/>
    <row r="1297" ht="22.35" customHeight="1" x14ac:dyDescent="0.3"/>
    <row r="1298" ht="22.35" customHeight="1" x14ac:dyDescent="0.3"/>
    <row r="1299" ht="22.35" customHeight="1" x14ac:dyDescent="0.3"/>
    <row r="1300" ht="22.35" customHeight="1" x14ac:dyDescent="0.3"/>
    <row r="1301" ht="22.35" customHeight="1" x14ac:dyDescent="0.3"/>
    <row r="1302" ht="22.35" customHeight="1" x14ac:dyDescent="0.3"/>
    <row r="1303" ht="22.35" customHeight="1" x14ac:dyDescent="0.3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8A43-02F3-4ECE-8594-7903BBB1E09F}">
  <sheetPr>
    <pageSetUpPr fitToPage="1"/>
  </sheetPr>
  <dimension ref="A1:AW1303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44140625" defaultRowHeight="17.399999999999999" x14ac:dyDescent="0.3"/>
  <cols>
    <col min="1" max="1" width="67" style="114" customWidth="1"/>
    <col min="2" max="2" width="73.109375" style="131" customWidth="1"/>
    <col min="3" max="4" width="24.5546875" style="132" customWidth="1"/>
    <col min="5" max="8" width="24.5546875" style="120" customWidth="1"/>
    <col min="9" max="10" width="24.5546875" style="114" customWidth="1"/>
    <col min="11" max="11" width="9.44140625" style="114" bestFit="1" customWidth="1"/>
    <col min="12" max="12" width="9.44140625" style="114"/>
    <col min="13" max="13" width="12.5546875" style="114" customWidth="1"/>
    <col min="14" max="15" width="13.5546875" style="114" customWidth="1"/>
    <col min="16" max="17" width="11.5546875" style="114" customWidth="1"/>
    <col min="18" max="18" width="15.5546875" style="114" customWidth="1"/>
    <col min="19" max="19" width="11.5546875" style="114" customWidth="1"/>
    <col min="20" max="16384" width="9.44140625" style="114"/>
  </cols>
  <sheetData>
    <row r="1" spans="1:49" ht="70.349999999999994" customHeight="1" x14ac:dyDescent="0.3">
      <c r="A1" s="288" t="s">
        <v>96</v>
      </c>
      <c r="B1" s="289" t="s">
        <v>94</v>
      </c>
      <c r="C1" s="290"/>
      <c r="D1" s="290"/>
      <c r="E1" s="290"/>
      <c r="F1" s="290"/>
      <c r="G1" s="290"/>
      <c r="H1" s="290"/>
      <c r="I1" s="290"/>
      <c r="J1" s="290"/>
    </row>
    <row r="2" spans="1:49" ht="20.85" customHeight="1" x14ac:dyDescent="0.35">
      <c r="A2" s="291"/>
      <c r="B2" s="292"/>
      <c r="C2" s="365"/>
      <c r="D2" s="365"/>
      <c r="E2" s="293"/>
      <c r="F2" s="294"/>
      <c r="G2" s="295"/>
      <c r="H2" s="275"/>
      <c r="I2" s="295"/>
      <c r="J2" s="296" t="s">
        <v>55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</row>
    <row r="3" spans="1:49" s="120" customFormat="1" ht="15" customHeight="1" x14ac:dyDescent="0.35">
      <c r="A3" s="272"/>
      <c r="B3" s="346" t="s">
        <v>1</v>
      </c>
      <c r="C3" s="348" t="s">
        <v>89</v>
      </c>
      <c r="D3" s="349"/>
      <c r="E3" s="349"/>
      <c r="F3" s="349"/>
      <c r="G3" s="349"/>
      <c r="H3" s="349"/>
      <c r="I3" s="349"/>
      <c r="J3" s="350"/>
    </row>
    <row r="4" spans="1:49" s="120" customFormat="1" ht="15" customHeight="1" x14ac:dyDescent="0.35">
      <c r="A4" s="273"/>
      <c r="B4" s="347"/>
      <c r="C4" s="351"/>
      <c r="D4" s="352"/>
      <c r="E4" s="352"/>
      <c r="F4" s="352"/>
      <c r="G4" s="352"/>
      <c r="H4" s="352"/>
      <c r="I4" s="352"/>
      <c r="J4" s="353"/>
    </row>
    <row r="5" spans="1:49" s="120" customFormat="1" ht="15" customHeight="1" x14ac:dyDescent="0.35">
      <c r="A5" s="273"/>
      <c r="B5" s="241"/>
      <c r="C5" s="354" t="s">
        <v>3</v>
      </c>
      <c r="D5" s="354"/>
      <c r="E5" s="354" t="s">
        <v>5</v>
      </c>
      <c r="F5" s="354"/>
      <c r="G5" s="348" t="s">
        <v>6</v>
      </c>
      <c r="H5" s="349"/>
      <c r="I5" s="348" t="s">
        <v>7</v>
      </c>
      <c r="J5" s="350"/>
    </row>
    <row r="6" spans="1:49" s="120" customFormat="1" ht="15" customHeight="1" x14ac:dyDescent="0.35">
      <c r="A6" s="273"/>
      <c r="B6" s="241"/>
      <c r="C6" s="355"/>
      <c r="D6" s="355"/>
      <c r="E6" s="355"/>
      <c r="F6" s="355"/>
      <c r="G6" s="351"/>
      <c r="H6" s="352"/>
      <c r="I6" s="351"/>
      <c r="J6" s="353"/>
    </row>
    <row r="7" spans="1:49" s="121" customFormat="1" ht="86.85" customHeight="1" x14ac:dyDescent="0.35">
      <c r="A7" s="274"/>
      <c r="B7" s="242"/>
      <c r="C7" s="212" t="s">
        <v>2</v>
      </c>
      <c r="D7" s="220" t="s">
        <v>73</v>
      </c>
      <c r="E7" s="212" t="s">
        <v>2</v>
      </c>
      <c r="F7" s="220" t="s">
        <v>73</v>
      </c>
      <c r="G7" s="212" t="s">
        <v>2</v>
      </c>
      <c r="H7" s="220" t="s">
        <v>73</v>
      </c>
      <c r="I7" s="212" t="s">
        <v>2</v>
      </c>
      <c r="J7" s="220" t="s">
        <v>73</v>
      </c>
    </row>
    <row r="8" spans="1:49" s="140" customFormat="1" ht="50.1" customHeight="1" x14ac:dyDescent="0.4">
      <c r="A8" s="137" t="s">
        <v>34</v>
      </c>
      <c r="B8" s="138" t="s">
        <v>11</v>
      </c>
      <c r="C8" s="139">
        <v>204715</v>
      </c>
      <c r="D8" s="139">
        <v>234522</v>
      </c>
      <c r="E8" s="139">
        <v>452902</v>
      </c>
      <c r="F8" s="139">
        <v>540976</v>
      </c>
      <c r="G8" s="139">
        <v>724985</v>
      </c>
      <c r="H8" s="201">
        <v>865338</v>
      </c>
      <c r="I8" s="201">
        <v>1108626</v>
      </c>
      <c r="J8" s="139">
        <v>1266027</v>
      </c>
    </row>
    <row r="9" spans="1:49" s="140" customFormat="1" ht="50.1" customHeight="1" x14ac:dyDescent="0.4">
      <c r="A9" s="141" t="s">
        <v>35</v>
      </c>
      <c r="B9" s="142" t="s">
        <v>12</v>
      </c>
      <c r="C9" s="139">
        <v>150154</v>
      </c>
      <c r="D9" s="139">
        <v>150154</v>
      </c>
      <c r="E9" s="139">
        <v>334296</v>
      </c>
      <c r="F9" s="139">
        <v>334296</v>
      </c>
      <c r="G9" s="139">
        <v>538599</v>
      </c>
      <c r="H9" s="201">
        <v>538599</v>
      </c>
      <c r="I9" s="201">
        <v>833993</v>
      </c>
      <c r="J9" s="139">
        <v>833993</v>
      </c>
    </row>
    <row r="10" spans="1:49" s="140" customFormat="1" ht="50.1" customHeight="1" x14ac:dyDescent="0.4">
      <c r="A10" s="143" t="s">
        <v>36</v>
      </c>
      <c r="B10" s="144" t="s">
        <v>84</v>
      </c>
      <c r="C10" s="139">
        <v>54751</v>
      </c>
      <c r="D10" s="139">
        <v>54751</v>
      </c>
      <c r="E10" s="139">
        <v>114984</v>
      </c>
      <c r="F10" s="139">
        <v>114984</v>
      </c>
      <c r="G10" s="139">
        <v>193167</v>
      </c>
      <c r="H10" s="201">
        <v>193167</v>
      </c>
      <c r="I10" s="201">
        <v>321246</v>
      </c>
      <c r="J10" s="139">
        <v>321246</v>
      </c>
    </row>
    <row r="11" spans="1:49" s="149" customFormat="1" ht="50.1" customHeight="1" x14ac:dyDescent="0.35">
      <c r="A11" s="145" t="s">
        <v>37</v>
      </c>
      <c r="B11" s="146" t="s">
        <v>13</v>
      </c>
      <c r="C11" s="147">
        <v>0</v>
      </c>
      <c r="D11" s="147">
        <v>0</v>
      </c>
      <c r="E11" s="147">
        <v>0</v>
      </c>
      <c r="F11" s="147">
        <v>0</v>
      </c>
      <c r="G11" s="147">
        <v>16529</v>
      </c>
      <c r="H11" s="202">
        <v>16529</v>
      </c>
      <c r="I11" s="202">
        <v>39817</v>
      </c>
      <c r="J11" s="147">
        <v>39817</v>
      </c>
    </row>
    <row r="12" spans="1:49" s="149" customFormat="1" ht="50.1" customHeight="1" x14ac:dyDescent="0.35">
      <c r="A12" s="145" t="s">
        <v>38</v>
      </c>
      <c r="B12" s="146" t="s">
        <v>14</v>
      </c>
      <c r="C12" s="147">
        <v>7750</v>
      </c>
      <c r="D12" s="147">
        <v>7750</v>
      </c>
      <c r="E12" s="147">
        <v>14850</v>
      </c>
      <c r="F12" s="147">
        <v>14850</v>
      </c>
      <c r="G12" s="147">
        <v>22450</v>
      </c>
      <c r="H12" s="202">
        <v>22450</v>
      </c>
      <c r="I12" s="202">
        <v>32450</v>
      </c>
      <c r="J12" s="147">
        <v>32450</v>
      </c>
    </row>
    <row r="13" spans="1:49" s="149" customFormat="1" ht="50.1" customHeight="1" x14ac:dyDescent="0.35">
      <c r="A13" s="145" t="s">
        <v>39</v>
      </c>
      <c r="B13" s="146" t="s">
        <v>15</v>
      </c>
      <c r="C13" s="147">
        <v>0</v>
      </c>
      <c r="D13" s="147">
        <v>0</v>
      </c>
      <c r="E13" s="147">
        <v>0</v>
      </c>
      <c r="F13" s="147">
        <v>0</v>
      </c>
      <c r="G13" s="147">
        <v>0</v>
      </c>
      <c r="H13" s="202">
        <v>0</v>
      </c>
      <c r="I13" s="202">
        <v>0</v>
      </c>
      <c r="J13" s="147">
        <v>0</v>
      </c>
    </row>
    <row r="14" spans="1:49" s="149" customFormat="1" ht="50.1" customHeight="1" x14ac:dyDescent="0.35">
      <c r="A14" s="145" t="s">
        <v>40</v>
      </c>
      <c r="B14" s="146" t="s">
        <v>16</v>
      </c>
      <c r="C14" s="147">
        <v>24143</v>
      </c>
      <c r="D14" s="147">
        <v>24143</v>
      </c>
      <c r="E14" s="147">
        <v>48617</v>
      </c>
      <c r="F14" s="147">
        <v>48617</v>
      </c>
      <c r="G14" s="147">
        <v>69897</v>
      </c>
      <c r="H14" s="202">
        <v>69897</v>
      </c>
      <c r="I14" s="202">
        <v>125268</v>
      </c>
      <c r="J14" s="147">
        <v>125268</v>
      </c>
    </row>
    <row r="15" spans="1:49" s="149" customFormat="1" ht="50.1" customHeight="1" x14ac:dyDescent="0.35">
      <c r="A15" s="145" t="s">
        <v>63</v>
      </c>
      <c r="B15" s="146" t="s">
        <v>17</v>
      </c>
      <c r="C15" s="147">
        <v>22858</v>
      </c>
      <c r="D15" s="147">
        <v>22858</v>
      </c>
      <c r="E15" s="147">
        <v>51517</v>
      </c>
      <c r="F15" s="147">
        <v>51517</v>
      </c>
      <c r="G15" s="147">
        <v>84291</v>
      </c>
      <c r="H15" s="202">
        <v>84291</v>
      </c>
      <c r="I15" s="202">
        <v>123711</v>
      </c>
      <c r="J15" s="147">
        <v>123711</v>
      </c>
    </row>
    <row r="16" spans="1:49" s="140" customFormat="1" ht="50.1" customHeight="1" x14ac:dyDescent="0.4">
      <c r="A16" s="143" t="s">
        <v>87</v>
      </c>
      <c r="B16" s="144" t="s">
        <v>18</v>
      </c>
      <c r="C16" s="139">
        <v>12672</v>
      </c>
      <c r="D16" s="139">
        <v>12672</v>
      </c>
      <c r="E16" s="139">
        <v>32067</v>
      </c>
      <c r="F16" s="139">
        <v>32067</v>
      </c>
      <c r="G16" s="139">
        <v>51481</v>
      </c>
      <c r="H16" s="201">
        <v>51481</v>
      </c>
      <c r="I16" s="201">
        <v>72404</v>
      </c>
      <c r="J16" s="139">
        <v>72404</v>
      </c>
    </row>
    <row r="17" spans="1:19" s="140" customFormat="1" ht="50.1" customHeight="1" x14ac:dyDescent="0.4">
      <c r="A17" s="143" t="s">
        <v>88</v>
      </c>
      <c r="B17" s="144" t="s">
        <v>19</v>
      </c>
      <c r="C17" s="139">
        <v>74182</v>
      </c>
      <c r="D17" s="139">
        <v>74182</v>
      </c>
      <c r="E17" s="139">
        <v>170592</v>
      </c>
      <c r="F17" s="139">
        <v>170592</v>
      </c>
      <c r="G17" s="139">
        <v>267158</v>
      </c>
      <c r="H17" s="201">
        <v>267158</v>
      </c>
      <c r="I17" s="201">
        <v>384913</v>
      </c>
      <c r="J17" s="139">
        <v>384913</v>
      </c>
    </row>
    <row r="18" spans="1:19" s="140" customFormat="1" ht="50.1" customHeight="1" x14ac:dyDescent="0.4">
      <c r="A18" s="143" t="s">
        <v>43</v>
      </c>
      <c r="B18" s="144" t="s">
        <v>85</v>
      </c>
      <c r="C18" s="139">
        <v>8547</v>
      </c>
      <c r="D18" s="139">
        <v>8547</v>
      </c>
      <c r="E18" s="139">
        <v>16598</v>
      </c>
      <c r="F18" s="139">
        <v>16598</v>
      </c>
      <c r="G18" s="139">
        <v>26738</v>
      </c>
      <c r="H18" s="201">
        <v>26738</v>
      </c>
      <c r="I18" s="201">
        <v>36130</v>
      </c>
      <c r="J18" s="139">
        <v>36130</v>
      </c>
    </row>
    <row r="19" spans="1:19" s="140" customFormat="1" ht="50.1" customHeight="1" x14ac:dyDescent="0.4">
      <c r="A19" s="143" t="s">
        <v>44</v>
      </c>
      <c r="B19" s="144" t="s">
        <v>21</v>
      </c>
      <c r="C19" s="139">
        <v>2</v>
      </c>
      <c r="D19" s="139">
        <v>2</v>
      </c>
      <c r="E19" s="139">
        <v>55</v>
      </c>
      <c r="F19" s="139">
        <v>55</v>
      </c>
      <c r="G19" s="139">
        <v>55</v>
      </c>
      <c r="H19" s="201">
        <v>55</v>
      </c>
      <c r="I19" s="201">
        <v>19300</v>
      </c>
      <c r="J19" s="139">
        <v>19300</v>
      </c>
    </row>
    <row r="20" spans="1:19" s="140" customFormat="1" ht="50.1" customHeight="1" x14ac:dyDescent="0.4">
      <c r="A20" s="150" t="s">
        <v>45</v>
      </c>
      <c r="B20" s="142" t="s">
        <v>22</v>
      </c>
      <c r="C20" s="139">
        <v>314</v>
      </c>
      <c r="D20" s="139">
        <v>314</v>
      </c>
      <c r="E20" s="139">
        <v>400</v>
      </c>
      <c r="F20" s="139">
        <v>400</v>
      </c>
      <c r="G20" s="139">
        <v>616</v>
      </c>
      <c r="H20" s="201">
        <v>616</v>
      </c>
      <c r="I20" s="201">
        <v>2955</v>
      </c>
      <c r="J20" s="139">
        <v>2955</v>
      </c>
    </row>
    <row r="21" spans="1:19" s="153" customFormat="1" ht="50.1" customHeight="1" x14ac:dyDescent="0.25">
      <c r="A21" s="151" t="s">
        <v>46</v>
      </c>
      <c r="B21" s="152" t="s">
        <v>23</v>
      </c>
      <c r="C21" s="147">
        <v>261</v>
      </c>
      <c r="D21" s="147">
        <v>261</v>
      </c>
      <c r="E21" s="147">
        <v>277</v>
      </c>
      <c r="F21" s="147">
        <v>277</v>
      </c>
      <c r="G21" s="147">
        <v>343</v>
      </c>
      <c r="H21" s="202">
        <v>343</v>
      </c>
      <c r="I21" s="202">
        <v>808</v>
      </c>
      <c r="J21" s="147">
        <v>808</v>
      </c>
    </row>
    <row r="22" spans="1:19" s="153" customFormat="1" ht="50.1" customHeight="1" x14ac:dyDescent="0.25">
      <c r="A22" s="151" t="s">
        <v>47</v>
      </c>
      <c r="B22" s="152" t="s">
        <v>24</v>
      </c>
      <c r="C22" s="147">
        <v>53</v>
      </c>
      <c r="D22" s="147">
        <v>53</v>
      </c>
      <c r="E22" s="147">
        <v>123</v>
      </c>
      <c r="F22" s="147">
        <v>123</v>
      </c>
      <c r="G22" s="147">
        <v>273</v>
      </c>
      <c r="H22" s="202">
        <v>273</v>
      </c>
      <c r="I22" s="202">
        <v>2147</v>
      </c>
      <c r="J22" s="147">
        <v>2147</v>
      </c>
    </row>
    <row r="23" spans="1:19" s="140" customFormat="1" ht="50.1" customHeight="1" x14ac:dyDescent="0.4">
      <c r="A23" s="141" t="s">
        <v>48</v>
      </c>
      <c r="B23" s="142" t="s">
        <v>25</v>
      </c>
      <c r="C23" s="139">
        <v>54247</v>
      </c>
      <c r="D23" s="139">
        <v>84054</v>
      </c>
      <c r="E23" s="139">
        <v>118206</v>
      </c>
      <c r="F23" s="139">
        <v>206280</v>
      </c>
      <c r="G23" s="139">
        <v>185770</v>
      </c>
      <c r="H23" s="201">
        <v>326123</v>
      </c>
      <c r="I23" s="201">
        <v>271678</v>
      </c>
      <c r="J23" s="139">
        <v>429079</v>
      </c>
      <c r="K23" s="157"/>
      <c r="L23" s="157"/>
      <c r="M23" s="157"/>
      <c r="N23" s="157"/>
      <c r="O23" s="157"/>
      <c r="P23" s="157"/>
      <c r="Q23" s="157"/>
      <c r="R23" s="157"/>
      <c r="S23" s="157"/>
    </row>
    <row r="24" spans="1:19" s="140" customFormat="1" ht="50.1" customHeight="1" x14ac:dyDescent="0.4">
      <c r="A24" s="143" t="s">
        <v>100</v>
      </c>
      <c r="B24" s="144" t="s">
        <v>26</v>
      </c>
      <c r="C24" s="139">
        <v>16178</v>
      </c>
      <c r="D24" s="139">
        <v>20470</v>
      </c>
      <c r="E24" s="139">
        <v>29158</v>
      </c>
      <c r="F24" s="139">
        <v>52120</v>
      </c>
      <c r="G24" s="139">
        <v>54459</v>
      </c>
      <c r="H24" s="201">
        <v>94476</v>
      </c>
      <c r="I24" s="201">
        <v>79669</v>
      </c>
      <c r="J24" s="139">
        <v>93439</v>
      </c>
    </row>
    <row r="25" spans="1:19" s="149" customFormat="1" ht="50.1" customHeight="1" x14ac:dyDescent="0.35">
      <c r="A25" s="145" t="s">
        <v>37</v>
      </c>
      <c r="B25" s="146" t="s">
        <v>13</v>
      </c>
      <c r="C25" s="147">
        <v>0</v>
      </c>
      <c r="D25" s="147">
        <v>0</v>
      </c>
      <c r="E25" s="147">
        <v>200</v>
      </c>
      <c r="F25" s="147">
        <v>200</v>
      </c>
      <c r="G25" s="147">
        <v>913</v>
      </c>
      <c r="H25" s="202">
        <v>913</v>
      </c>
      <c r="I25" s="202">
        <v>3596</v>
      </c>
      <c r="J25" s="147">
        <v>3596</v>
      </c>
    </row>
    <row r="26" spans="1:19" s="149" customFormat="1" ht="50.1" customHeight="1" x14ac:dyDescent="0.35">
      <c r="A26" s="145" t="s">
        <v>49</v>
      </c>
      <c r="B26" s="146" t="s">
        <v>14</v>
      </c>
      <c r="C26" s="147">
        <v>7500</v>
      </c>
      <c r="D26" s="147">
        <v>7500</v>
      </c>
      <c r="E26" s="147">
        <v>14660</v>
      </c>
      <c r="F26" s="147">
        <v>14660</v>
      </c>
      <c r="G26" s="147">
        <v>22066</v>
      </c>
      <c r="H26" s="202">
        <v>22066</v>
      </c>
      <c r="I26" s="202">
        <v>28082</v>
      </c>
      <c r="J26" s="147">
        <v>28082</v>
      </c>
    </row>
    <row r="27" spans="1:19" s="154" customFormat="1" ht="50.1" customHeight="1" x14ac:dyDescent="0.35">
      <c r="A27" s="145" t="s">
        <v>39</v>
      </c>
      <c r="B27" s="146" t="s">
        <v>15</v>
      </c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202">
        <v>0</v>
      </c>
      <c r="I27" s="202">
        <v>0</v>
      </c>
      <c r="J27" s="147">
        <v>0</v>
      </c>
    </row>
    <row r="28" spans="1:19" s="154" customFormat="1" ht="50.1" customHeight="1" x14ac:dyDescent="0.35">
      <c r="A28" s="145" t="s">
        <v>50</v>
      </c>
      <c r="B28" s="146" t="s">
        <v>27</v>
      </c>
      <c r="C28" s="147">
        <v>2861</v>
      </c>
      <c r="D28" s="147">
        <v>2861</v>
      </c>
      <c r="E28" s="147">
        <v>5257</v>
      </c>
      <c r="F28" s="147">
        <v>5257</v>
      </c>
      <c r="G28" s="147">
        <v>9744</v>
      </c>
      <c r="H28" s="202">
        <v>9744</v>
      </c>
      <c r="I28" s="202">
        <v>11861</v>
      </c>
      <c r="J28" s="147">
        <v>11861</v>
      </c>
    </row>
    <row r="29" spans="1:19" s="149" customFormat="1" ht="50.1" customHeight="1" x14ac:dyDescent="0.35">
      <c r="A29" s="145" t="s">
        <v>51</v>
      </c>
      <c r="B29" s="146" t="s">
        <v>28</v>
      </c>
      <c r="C29" s="147">
        <v>3183</v>
      </c>
      <c r="D29" s="147">
        <v>3183</v>
      </c>
      <c r="E29" s="147">
        <v>5047</v>
      </c>
      <c r="F29" s="147">
        <v>5047</v>
      </c>
      <c r="G29" s="147">
        <v>7538</v>
      </c>
      <c r="H29" s="202">
        <v>7538</v>
      </c>
      <c r="I29" s="202">
        <v>11185</v>
      </c>
      <c r="J29" s="147">
        <v>11185</v>
      </c>
    </row>
    <row r="30" spans="1:19" s="149" customFormat="1" ht="50.1" customHeight="1" x14ac:dyDescent="0.35">
      <c r="A30" s="155" t="s">
        <v>52</v>
      </c>
      <c r="B30" s="146" t="s">
        <v>29</v>
      </c>
      <c r="C30" s="147">
        <v>649</v>
      </c>
      <c r="D30" s="147">
        <v>649</v>
      </c>
      <c r="E30" s="147">
        <v>649</v>
      </c>
      <c r="F30" s="147">
        <v>649</v>
      </c>
      <c r="G30" s="147">
        <v>917</v>
      </c>
      <c r="H30" s="202">
        <v>917</v>
      </c>
      <c r="I30" s="202">
        <v>917</v>
      </c>
      <c r="J30" s="147">
        <v>917</v>
      </c>
    </row>
    <row r="31" spans="1:19" s="154" customFormat="1" ht="50.1" customHeight="1" x14ac:dyDescent="0.35">
      <c r="A31" s="145" t="s">
        <v>53</v>
      </c>
      <c r="B31" s="146" t="s">
        <v>0</v>
      </c>
      <c r="C31" s="147">
        <v>1985</v>
      </c>
      <c r="D31" s="147">
        <v>6277</v>
      </c>
      <c r="E31" s="147">
        <v>3345</v>
      </c>
      <c r="F31" s="147">
        <v>26307</v>
      </c>
      <c r="G31" s="147">
        <v>13281</v>
      </c>
      <c r="H31" s="202">
        <v>53298</v>
      </c>
      <c r="I31" s="202">
        <v>24028</v>
      </c>
      <c r="J31" s="147">
        <v>37798</v>
      </c>
    </row>
    <row r="32" spans="1:19" s="157" customFormat="1" ht="50.1" customHeight="1" x14ac:dyDescent="0.4">
      <c r="A32" s="158" t="s">
        <v>99</v>
      </c>
      <c r="B32" s="156" t="s">
        <v>30</v>
      </c>
      <c r="C32" s="139">
        <v>10393</v>
      </c>
      <c r="D32" s="139">
        <v>10393</v>
      </c>
      <c r="E32" s="139">
        <v>26095</v>
      </c>
      <c r="F32" s="139">
        <v>26095</v>
      </c>
      <c r="G32" s="139">
        <v>41791</v>
      </c>
      <c r="H32" s="201">
        <v>41791</v>
      </c>
      <c r="I32" s="201">
        <v>57730</v>
      </c>
      <c r="J32" s="139">
        <v>57730</v>
      </c>
    </row>
    <row r="33" spans="1:10" s="157" customFormat="1" ht="50.1" customHeight="1" x14ac:dyDescent="0.4">
      <c r="A33" s="158" t="s">
        <v>54</v>
      </c>
      <c r="B33" s="156" t="s">
        <v>31</v>
      </c>
      <c r="C33" s="139">
        <v>4038</v>
      </c>
      <c r="D33" s="139">
        <v>4038</v>
      </c>
      <c r="E33" s="139">
        <v>11205</v>
      </c>
      <c r="F33" s="139">
        <v>11205</v>
      </c>
      <c r="G33" s="139">
        <v>17803</v>
      </c>
      <c r="H33" s="201">
        <v>17803</v>
      </c>
      <c r="I33" s="201">
        <v>38937</v>
      </c>
      <c r="J33" s="139">
        <v>38937</v>
      </c>
    </row>
    <row r="34" spans="1:10" s="157" customFormat="1" ht="50.1" customHeight="1" x14ac:dyDescent="0.4">
      <c r="A34" s="159" t="s">
        <v>53</v>
      </c>
      <c r="B34" s="160" t="s">
        <v>0</v>
      </c>
      <c r="C34" s="161">
        <v>23638</v>
      </c>
      <c r="D34" s="161">
        <v>49153</v>
      </c>
      <c r="E34" s="161">
        <v>51748</v>
      </c>
      <c r="F34" s="161">
        <v>116860</v>
      </c>
      <c r="G34" s="161">
        <v>71717</v>
      </c>
      <c r="H34" s="203">
        <v>172053</v>
      </c>
      <c r="I34" s="203">
        <v>95342</v>
      </c>
      <c r="J34" s="161">
        <v>238973</v>
      </c>
    </row>
    <row r="35" spans="1:10" s="122" customFormat="1" ht="22.35" customHeight="1" x14ac:dyDescent="0.3">
      <c r="A35" s="123" t="s">
        <v>69</v>
      </c>
      <c r="B35" s="124" t="s">
        <v>70</v>
      </c>
      <c r="C35" s="125"/>
      <c r="D35" s="125"/>
      <c r="E35" s="126"/>
      <c r="F35" s="126"/>
      <c r="G35" s="126"/>
      <c r="H35" s="126"/>
      <c r="I35" s="127"/>
      <c r="J35" s="204"/>
    </row>
    <row r="36" spans="1:10" ht="87.6" customHeight="1" x14ac:dyDescent="0.3">
      <c r="A36" s="128" t="s">
        <v>57</v>
      </c>
      <c r="B36" s="129" t="s">
        <v>56</v>
      </c>
      <c r="C36" s="107"/>
      <c r="D36" s="107"/>
      <c r="E36" s="116"/>
      <c r="F36" s="116"/>
      <c r="G36" s="116"/>
      <c r="H36" s="116"/>
      <c r="I36" s="115"/>
      <c r="J36" s="115"/>
    </row>
    <row r="37" spans="1:10" ht="27.6" customHeight="1" x14ac:dyDescent="0.3">
      <c r="A37" s="115"/>
      <c r="B37" s="199" t="s">
        <v>58</v>
      </c>
      <c r="C37" s="107"/>
      <c r="D37" s="107"/>
      <c r="E37" s="116"/>
      <c r="F37" s="116"/>
      <c r="G37" s="116"/>
      <c r="H37" s="116"/>
      <c r="I37" s="115"/>
      <c r="J37" s="115"/>
    </row>
    <row r="38" spans="1:10" ht="36.6" customHeight="1" x14ac:dyDescent="0.3">
      <c r="A38" s="128" t="s">
        <v>68</v>
      </c>
      <c r="B38" s="364" t="s">
        <v>78</v>
      </c>
      <c r="C38" s="364"/>
      <c r="D38" s="107"/>
      <c r="E38" s="116"/>
      <c r="F38" s="116"/>
      <c r="G38" s="116"/>
      <c r="H38" s="116"/>
      <c r="I38" s="115"/>
      <c r="J38" s="115"/>
    </row>
    <row r="39" spans="1:10" ht="22.35" customHeight="1" x14ac:dyDescent="0.3">
      <c r="A39" s="130"/>
    </row>
    <row r="40" spans="1:10" ht="22.35" customHeight="1" x14ac:dyDescent="0.3">
      <c r="B40" s="133"/>
      <c r="C40" s="134"/>
      <c r="D40" s="134"/>
      <c r="E40" s="134"/>
      <c r="F40" s="134"/>
      <c r="G40" s="132"/>
    </row>
    <row r="41" spans="1:10" ht="22.35" customHeight="1" x14ac:dyDescent="0.3"/>
    <row r="42" spans="1:10" ht="22.35" customHeight="1" x14ac:dyDescent="0.3"/>
    <row r="43" spans="1:10" ht="22.35" customHeight="1" x14ac:dyDescent="0.3"/>
    <row r="44" spans="1:10" ht="22.35" customHeight="1" x14ac:dyDescent="0.3"/>
    <row r="45" spans="1:10" ht="22.35" customHeight="1" x14ac:dyDescent="0.3"/>
    <row r="46" spans="1:10" ht="22.35" customHeight="1" x14ac:dyDescent="0.3"/>
    <row r="47" spans="1:10" ht="22.35" customHeight="1" x14ac:dyDescent="0.3"/>
    <row r="48" spans="1:10" ht="22.35" customHeight="1" x14ac:dyDescent="0.3"/>
    <row r="49" ht="22.35" customHeight="1" x14ac:dyDescent="0.3"/>
    <row r="50" ht="22.35" customHeight="1" x14ac:dyDescent="0.3"/>
    <row r="51" ht="22.35" customHeight="1" x14ac:dyDescent="0.3"/>
    <row r="52" ht="22.35" customHeight="1" x14ac:dyDescent="0.3"/>
    <row r="53" ht="22.35" customHeight="1" x14ac:dyDescent="0.3"/>
    <row r="54" ht="22.35" customHeight="1" x14ac:dyDescent="0.3"/>
    <row r="55" ht="22.35" customHeight="1" x14ac:dyDescent="0.3"/>
    <row r="56" ht="22.35" customHeight="1" x14ac:dyDescent="0.3"/>
    <row r="57" ht="22.35" customHeight="1" x14ac:dyDescent="0.3"/>
    <row r="58" ht="22.35" customHeight="1" x14ac:dyDescent="0.3"/>
    <row r="59" ht="22.35" customHeight="1" x14ac:dyDescent="0.3"/>
    <row r="60" ht="22.35" customHeight="1" x14ac:dyDescent="0.3"/>
    <row r="61" ht="22.35" customHeight="1" x14ac:dyDescent="0.3"/>
    <row r="62" ht="22.35" customHeight="1" x14ac:dyDescent="0.3"/>
    <row r="63" ht="22.35" customHeight="1" x14ac:dyDescent="0.3"/>
    <row r="64" ht="22.35" customHeight="1" x14ac:dyDescent="0.3"/>
    <row r="65" ht="22.35" customHeight="1" x14ac:dyDescent="0.3"/>
    <row r="66" ht="22.35" customHeight="1" x14ac:dyDescent="0.3"/>
    <row r="67" ht="22.35" customHeight="1" x14ac:dyDescent="0.3"/>
    <row r="68" ht="22.35" customHeight="1" x14ac:dyDescent="0.3"/>
    <row r="69" ht="22.35" customHeight="1" x14ac:dyDescent="0.3"/>
    <row r="70" ht="22.35" customHeight="1" x14ac:dyDescent="0.3"/>
    <row r="71" ht="22.35" customHeight="1" x14ac:dyDescent="0.3"/>
    <row r="72" ht="22.35" customHeight="1" x14ac:dyDescent="0.3"/>
    <row r="73" ht="22.35" customHeight="1" x14ac:dyDescent="0.3"/>
    <row r="74" ht="22.35" customHeight="1" x14ac:dyDescent="0.3"/>
    <row r="75" ht="22.35" customHeight="1" x14ac:dyDescent="0.3"/>
    <row r="76" ht="22.35" customHeight="1" x14ac:dyDescent="0.3"/>
    <row r="77" ht="22.35" customHeight="1" x14ac:dyDescent="0.3"/>
    <row r="78" ht="22.35" customHeight="1" x14ac:dyDescent="0.3"/>
    <row r="79" ht="22.35" customHeight="1" x14ac:dyDescent="0.3"/>
    <row r="80" ht="22.35" customHeight="1" x14ac:dyDescent="0.3"/>
    <row r="81" ht="22.35" customHeight="1" x14ac:dyDescent="0.3"/>
    <row r="82" ht="22.35" customHeight="1" x14ac:dyDescent="0.3"/>
    <row r="83" ht="22.35" customHeight="1" x14ac:dyDescent="0.3"/>
    <row r="84" ht="22.35" customHeight="1" x14ac:dyDescent="0.3"/>
    <row r="85" ht="22.35" customHeight="1" x14ac:dyDescent="0.3"/>
    <row r="86" ht="22.35" customHeight="1" x14ac:dyDescent="0.3"/>
    <row r="87" ht="22.35" customHeight="1" x14ac:dyDescent="0.3"/>
    <row r="88" ht="22.35" customHeight="1" x14ac:dyDescent="0.3"/>
    <row r="89" ht="22.35" customHeight="1" x14ac:dyDescent="0.3"/>
    <row r="90" ht="22.35" customHeight="1" x14ac:dyDescent="0.3"/>
    <row r="91" ht="22.35" customHeight="1" x14ac:dyDescent="0.3"/>
    <row r="92" ht="22.35" customHeight="1" x14ac:dyDescent="0.3"/>
    <row r="93" ht="22.35" customHeight="1" x14ac:dyDescent="0.3"/>
    <row r="94" ht="22.35" customHeight="1" x14ac:dyDescent="0.3"/>
    <row r="95" ht="22.35" customHeight="1" x14ac:dyDescent="0.3"/>
    <row r="96" ht="22.35" customHeight="1" x14ac:dyDescent="0.3"/>
    <row r="97" ht="22.35" customHeight="1" x14ac:dyDescent="0.3"/>
    <row r="98" ht="22.35" customHeight="1" x14ac:dyDescent="0.3"/>
    <row r="99" ht="22.35" customHeight="1" x14ac:dyDescent="0.3"/>
    <row r="100" ht="22.35" customHeight="1" x14ac:dyDescent="0.3"/>
    <row r="101" ht="22.35" customHeight="1" x14ac:dyDescent="0.3"/>
    <row r="102" ht="22.35" customHeight="1" x14ac:dyDescent="0.3"/>
    <row r="103" ht="22.35" customHeight="1" x14ac:dyDescent="0.3"/>
    <row r="104" ht="22.35" customHeight="1" x14ac:dyDescent="0.3"/>
    <row r="105" ht="22.35" customHeight="1" x14ac:dyDescent="0.3"/>
    <row r="106" ht="22.35" customHeight="1" x14ac:dyDescent="0.3"/>
    <row r="107" ht="22.35" customHeight="1" x14ac:dyDescent="0.3"/>
    <row r="108" ht="22.35" customHeight="1" x14ac:dyDescent="0.3"/>
    <row r="109" ht="22.35" customHeight="1" x14ac:dyDescent="0.3"/>
    <row r="110" ht="22.35" customHeight="1" x14ac:dyDescent="0.3"/>
    <row r="111" ht="22.35" customHeight="1" x14ac:dyDescent="0.3"/>
    <row r="112" ht="22.35" customHeight="1" x14ac:dyDescent="0.3"/>
    <row r="113" ht="22.35" customHeight="1" x14ac:dyDescent="0.3"/>
    <row r="114" ht="22.35" customHeight="1" x14ac:dyDescent="0.3"/>
    <row r="115" ht="22.35" customHeight="1" x14ac:dyDescent="0.3"/>
    <row r="116" ht="22.35" customHeight="1" x14ac:dyDescent="0.3"/>
    <row r="117" ht="22.35" customHeight="1" x14ac:dyDescent="0.3"/>
    <row r="118" ht="22.35" customHeight="1" x14ac:dyDescent="0.3"/>
    <row r="119" ht="22.35" customHeight="1" x14ac:dyDescent="0.3"/>
    <row r="120" ht="22.35" customHeight="1" x14ac:dyDescent="0.3"/>
    <row r="121" ht="22.35" customHeight="1" x14ac:dyDescent="0.3"/>
    <row r="122" ht="22.35" customHeight="1" x14ac:dyDescent="0.3"/>
    <row r="123" ht="22.35" customHeight="1" x14ac:dyDescent="0.3"/>
    <row r="124" ht="22.35" customHeight="1" x14ac:dyDescent="0.3"/>
    <row r="125" ht="22.35" customHeight="1" x14ac:dyDescent="0.3"/>
    <row r="126" ht="22.35" customHeight="1" x14ac:dyDescent="0.3"/>
    <row r="127" ht="22.35" customHeight="1" x14ac:dyDescent="0.3"/>
    <row r="128" ht="22.35" customHeight="1" x14ac:dyDescent="0.3"/>
    <row r="129" ht="22.35" customHeight="1" x14ac:dyDescent="0.3"/>
    <row r="130" ht="22.35" customHeight="1" x14ac:dyDescent="0.3"/>
    <row r="131" ht="22.35" customHeight="1" x14ac:dyDescent="0.3"/>
    <row r="132" ht="22.35" customHeight="1" x14ac:dyDescent="0.3"/>
    <row r="133" ht="22.35" customHeight="1" x14ac:dyDescent="0.3"/>
    <row r="134" ht="22.35" customHeight="1" x14ac:dyDescent="0.3"/>
    <row r="135" ht="22.35" customHeight="1" x14ac:dyDescent="0.3"/>
    <row r="136" ht="22.35" customHeight="1" x14ac:dyDescent="0.3"/>
    <row r="137" ht="22.35" customHeight="1" x14ac:dyDescent="0.3"/>
    <row r="138" ht="22.35" customHeight="1" x14ac:dyDescent="0.3"/>
    <row r="139" ht="22.35" customHeight="1" x14ac:dyDescent="0.3"/>
    <row r="140" ht="22.35" customHeight="1" x14ac:dyDescent="0.3"/>
    <row r="141" ht="22.35" customHeight="1" x14ac:dyDescent="0.3"/>
    <row r="142" ht="22.35" customHeight="1" x14ac:dyDescent="0.3"/>
    <row r="143" ht="22.35" customHeight="1" x14ac:dyDescent="0.3"/>
    <row r="144" ht="22.35" customHeight="1" x14ac:dyDescent="0.3"/>
    <row r="145" ht="22.35" customHeight="1" x14ac:dyDescent="0.3"/>
    <row r="146" ht="22.35" customHeight="1" x14ac:dyDescent="0.3"/>
    <row r="147" ht="22.35" customHeight="1" x14ac:dyDescent="0.3"/>
    <row r="148" ht="22.35" customHeight="1" x14ac:dyDescent="0.3"/>
    <row r="149" ht="22.35" customHeight="1" x14ac:dyDescent="0.3"/>
    <row r="150" ht="22.35" customHeight="1" x14ac:dyDescent="0.3"/>
    <row r="151" ht="22.35" customHeight="1" x14ac:dyDescent="0.3"/>
    <row r="152" ht="22.35" customHeight="1" x14ac:dyDescent="0.3"/>
    <row r="153" ht="22.35" customHeight="1" x14ac:dyDescent="0.3"/>
    <row r="154" ht="22.35" customHeight="1" x14ac:dyDescent="0.3"/>
    <row r="155" ht="22.35" customHeight="1" x14ac:dyDescent="0.3"/>
    <row r="156" ht="22.35" customHeight="1" x14ac:dyDescent="0.3"/>
    <row r="157" ht="22.35" customHeight="1" x14ac:dyDescent="0.3"/>
    <row r="158" ht="22.35" customHeight="1" x14ac:dyDescent="0.3"/>
    <row r="159" ht="22.35" customHeight="1" x14ac:dyDescent="0.3"/>
    <row r="160" ht="22.35" customHeight="1" x14ac:dyDescent="0.3"/>
    <row r="161" ht="22.35" customHeight="1" x14ac:dyDescent="0.3"/>
    <row r="162" ht="22.35" customHeight="1" x14ac:dyDescent="0.3"/>
    <row r="163" ht="22.35" customHeight="1" x14ac:dyDescent="0.3"/>
    <row r="164" ht="22.35" customHeight="1" x14ac:dyDescent="0.3"/>
    <row r="165" ht="22.35" customHeight="1" x14ac:dyDescent="0.3"/>
    <row r="166" ht="22.35" customHeight="1" x14ac:dyDescent="0.3"/>
    <row r="167" ht="22.35" customHeight="1" x14ac:dyDescent="0.3"/>
    <row r="168" ht="22.35" customHeight="1" x14ac:dyDescent="0.3"/>
    <row r="169" ht="22.35" customHeight="1" x14ac:dyDescent="0.3"/>
    <row r="170" ht="22.35" customHeight="1" x14ac:dyDescent="0.3"/>
    <row r="171" ht="22.35" customHeight="1" x14ac:dyDescent="0.3"/>
    <row r="172" ht="22.35" customHeight="1" x14ac:dyDescent="0.3"/>
    <row r="173" ht="22.35" customHeight="1" x14ac:dyDescent="0.3"/>
    <row r="174" ht="22.35" customHeight="1" x14ac:dyDescent="0.3"/>
    <row r="175" ht="22.35" customHeight="1" x14ac:dyDescent="0.3"/>
    <row r="176" ht="22.35" customHeight="1" x14ac:dyDescent="0.3"/>
    <row r="177" ht="22.35" customHeight="1" x14ac:dyDescent="0.3"/>
    <row r="178" ht="22.35" customHeight="1" x14ac:dyDescent="0.3"/>
    <row r="179" ht="22.35" customHeight="1" x14ac:dyDescent="0.3"/>
    <row r="180" ht="22.35" customHeight="1" x14ac:dyDescent="0.3"/>
    <row r="181" ht="22.35" customHeight="1" x14ac:dyDescent="0.3"/>
    <row r="182" ht="22.35" customHeight="1" x14ac:dyDescent="0.3"/>
    <row r="183" ht="22.35" customHeight="1" x14ac:dyDescent="0.3"/>
    <row r="184" ht="22.35" customHeight="1" x14ac:dyDescent="0.3"/>
    <row r="185" ht="22.35" customHeight="1" x14ac:dyDescent="0.3"/>
    <row r="186" ht="22.35" customHeight="1" x14ac:dyDescent="0.3"/>
    <row r="187" ht="22.35" customHeight="1" x14ac:dyDescent="0.3"/>
    <row r="188" ht="22.35" customHeight="1" x14ac:dyDescent="0.3"/>
    <row r="189" ht="22.35" customHeight="1" x14ac:dyDescent="0.3"/>
    <row r="190" ht="22.35" customHeight="1" x14ac:dyDescent="0.3"/>
    <row r="191" ht="22.35" customHeight="1" x14ac:dyDescent="0.3"/>
    <row r="192" ht="22.35" customHeight="1" x14ac:dyDescent="0.3"/>
    <row r="193" ht="22.35" customHeight="1" x14ac:dyDescent="0.3"/>
    <row r="194" ht="22.35" customHeight="1" x14ac:dyDescent="0.3"/>
    <row r="195" ht="22.35" customHeight="1" x14ac:dyDescent="0.3"/>
    <row r="196" ht="22.35" customHeight="1" x14ac:dyDescent="0.3"/>
    <row r="197" ht="22.35" customHeight="1" x14ac:dyDescent="0.3"/>
    <row r="198" ht="22.35" customHeight="1" x14ac:dyDescent="0.3"/>
    <row r="199" ht="22.35" customHeight="1" x14ac:dyDescent="0.3"/>
    <row r="200" ht="22.35" customHeight="1" x14ac:dyDescent="0.3"/>
    <row r="201" ht="22.35" customHeight="1" x14ac:dyDescent="0.3"/>
    <row r="202" ht="22.35" customHeight="1" x14ac:dyDescent="0.3"/>
    <row r="203" ht="22.35" customHeight="1" x14ac:dyDescent="0.3"/>
    <row r="204" ht="22.35" customHeight="1" x14ac:dyDescent="0.3"/>
    <row r="205" ht="22.35" customHeight="1" x14ac:dyDescent="0.3"/>
    <row r="206" ht="22.35" customHeight="1" x14ac:dyDescent="0.3"/>
    <row r="207" ht="22.35" customHeight="1" x14ac:dyDescent="0.3"/>
    <row r="208" ht="22.35" customHeight="1" x14ac:dyDescent="0.3"/>
    <row r="209" ht="22.35" customHeight="1" x14ac:dyDescent="0.3"/>
    <row r="210" ht="22.35" customHeight="1" x14ac:dyDescent="0.3"/>
    <row r="211" ht="22.35" customHeight="1" x14ac:dyDescent="0.3"/>
    <row r="212" ht="22.35" customHeight="1" x14ac:dyDescent="0.3"/>
    <row r="213" ht="22.35" customHeight="1" x14ac:dyDescent="0.3"/>
    <row r="214" ht="22.35" customHeight="1" x14ac:dyDescent="0.3"/>
    <row r="215" ht="22.35" customHeight="1" x14ac:dyDescent="0.3"/>
    <row r="216" ht="22.35" customHeight="1" x14ac:dyDescent="0.3"/>
    <row r="217" ht="22.35" customHeight="1" x14ac:dyDescent="0.3"/>
    <row r="218" ht="22.35" customHeight="1" x14ac:dyDescent="0.3"/>
    <row r="219" ht="22.35" customHeight="1" x14ac:dyDescent="0.3"/>
    <row r="220" ht="22.35" customHeight="1" x14ac:dyDescent="0.3"/>
    <row r="221" ht="22.35" customHeight="1" x14ac:dyDescent="0.3"/>
    <row r="222" ht="22.35" customHeight="1" x14ac:dyDescent="0.3"/>
    <row r="223" ht="22.35" customHeight="1" x14ac:dyDescent="0.3"/>
    <row r="224" ht="22.35" customHeight="1" x14ac:dyDescent="0.3"/>
    <row r="225" ht="22.35" customHeight="1" x14ac:dyDescent="0.3"/>
    <row r="226" ht="22.35" customHeight="1" x14ac:dyDescent="0.3"/>
    <row r="227" ht="22.35" customHeight="1" x14ac:dyDescent="0.3"/>
    <row r="228" ht="22.35" customHeight="1" x14ac:dyDescent="0.3"/>
    <row r="229" ht="22.35" customHeight="1" x14ac:dyDescent="0.3"/>
    <row r="230" ht="22.35" customHeight="1" x14ac:dyDescent="0.3"/>
    <row r="231" ht="22.35" customHeight="1" x14ac:dyDescent="0.3"/>
    <row r="232" ht="22.35" customHeight="1" x14ac:dyDescent="0.3"/>
    <row r="233" ht="22.35" customHeight="1" x14ac:dyDescent="0.3"/>
    <row r="234" ht="22.35" customHeight="1" x14ac:dyDescent="0.3"/>
    <row r="235" ht="22.35" customHeight="1" x14ac:dyDescent="0.3"/>
    <row r="236" ht="22.35" customHeight="1" x14ac:dyDescent="0.3"/>
    <row r="237" ht="22.35" customHeight="1" x14ac:dyDescent="0.3"/>
    <row r="238" ht="22.35" customHeight="1" x14ac:dyDescent="0.3"/>
    <row r="239" ht="22.35" customHeight="1" x14ac:dyDescent="0.3"/>
    <row r="240" ht="22.35" customHeight="1" x14ac:dyDescent="0.3"/>
    <row r="241" ht="22.35" customHeight="1" x14ac:dyDescent="0.3"/>
    <row r="242" ht="22.35" customHeight="1" x14ac:dyDescent="0.3"/>
    <row r="243" ht="22.35" customHeight="1" x14ac:dyDescent="0.3"/>
    <row r="244" ht="22.35" customHeight="1" x14ac:dyDescent="0.3"/>
    <row r="245" ht="22.35" customHeight="1" x14ac:dyDescent="0.3"/>
    <row r="246" ht="22.35" customHeight="1" x14ac:dyDescent="0.3"/>
    <row r="247" ht="22.35" customHeight="1" x14ac:dyDescent="0.3"/>
    <row r="248" ht="22.35" customHeight="1" x14ac:dyDescent="0.3"/>
    <row r="249" ht="22.35" customHeight="1" x14ac:dyDescent="0.3"/>
    <row r="250" ht="22.35" customHeight="1" x14ac:dyDescent="0.3"/>
    <row r="251" ht="22.35" customHeight="1" x14ac:dyDescent="0.3"/>
    <row r="252" ht="22.35" customHeight="1" x14ac:dyDescent="0.3"/>
    <row r="253" ht="22.35" customHeight="1" x14ac:dyDescent="0.3"/>
    <row r="254" ht="22.35" customHeight="1" x14ac:dyDescent="0.3"/>
    <row r="255" ht="22.35" customHeight="1" x14ac:dyDescent="0.3"/>
    <row r="256" ht="22.35" customHeight="1" x14ac:dyDescent="0.3"/>
    <row r="257" ht="22.35" customHeight="1" x14ac:dyDescent="0.3"/>
    <row r="258" ht="22.35" customHeight="1" x14ac:dyDescent="0.3"/>
    <row r="259" ht="22.35" customHeight="1" x14ac:dyDescent="0.3"/>
    <row r="260" ht="22.35" customHeight="1" x14ac:dyDescent="0.3"/>
    <row r="261" ht="22.35" customHeight="1" x14ac:dyDescent="0.3"/>
    <row r="262" ht="22.35" customHeight="1" x14ac:dyDescent="0.3"/>
    <row r="263" ht="22.35" customHeight="1" x14ac:dyDescent="0.3"/>
    <row r="264" ht="22.35" customHeight="1" x14ac:dyDescent="0.3"/>
    <row r="265" ht="22.35" customHeight="1" x14ac:dyDescent="0.3"/>
    <row r="266" ht="22.35" customHeight="1" x14ac:dyDescent="0.3"/>
    <row r="267" ht="22.35" customHeight="1" x14ac:dyDescent="0.3"/>
    <row r="268" ht="22.35" customHeight="1" x14ac:dyDescent="0.3"/>
    <row r="269" ht="22.35" customHeight="1" x14ac:dyDescent="0.3"/>
    <row r="270" ht="22.35" customHeight="1" x14ac:dyDescent="0.3"/>
    <row r="271" ht="22.35" customHeight="1" x14ac:dyDescent="0.3"/>
    <row r="272" ht="22.35" customHeight="1" x14ac:dyDescent="0.3"/>
    <row r="273" ht="22.35" customHeight="1" x14ac:dyDescent="0.3"/>
    <row r="274" ht="22.35" customHeight="1" x14ac:dyDescent="0.3"/>
    <row r="275" ht="22.35" customHeight="1" x14ac:dyDescent="0.3"/>
    <row r="276" ht="22.35" customHeight="1" x14ac:dyDescent="0.3"/>
    <row r="277" ht="22.35" customHeight="1" x14ac:dyDescent="0.3"/>
    <row r="278" ht="22.35" customHeight="1" x14ac:dyDescent="0.3"/>
    <row r="279" ht="22.35" customHeight="1" x14ac:dyDescent="0.3"/>
    <row r="280" ht="22.35" customHeight="1" x14ac:dyDescent="0.3"/>
    <row r="281" ht="22.35" customHeight="1" x14ac:dyDescent="0.3"/>
    <row r="282" ht="22.35" customHeight="1" x14ac:dyDescent="0.3"/>
    <row r="283" ht="22.35" customHeight="1" x14ac:dyDescent="0.3"/>
    <row r="284" ht="22.35" customHeight="1" x14ac:dyDescent="0.3"/>
    <row r="285" ht="22.35" customHeight="1" x14ac:dyDescent="0.3"/>
    <row r="286" ht="22.35" customHeight="1" x14ac:dyDescent="0.3"/>
    <row r="287" ht="22.35" customHeight="1" x14ac:dyDescent="0.3"/>
    <row r="288" ht="22.35" customHeight="1" x14ac:dyDescent="0.3"/>
    <row r="289" ht="22.35" customHeight="1" x14ac:dyDescent="0.3"/>
    <row r="290" ht="22.35" customHeight="1" x14ac:dyDescent="0.3"/>
    <row r="291" ht="22.35" customHeight="1" x14ac:dyDescent="0.3"/>
    <row r="292" ht="22.35" customHeight="1" x14ac:dyDescent="0.3"/>
    <row r="293" ht="22.35" customHeight="1" x14ac:dyDescent="0.3"/>
    <row r="294" ht="22.35" customHeight="1" x14ac:dyDescent="0.3"/>
    <row r="295" ht="22.35" customHeight="1" x14ac:dyDescent="0.3"/>
    <row r="296" ht="22.35" customHeight="1" x14ac:dyDescent="0.3"/>
    <row r="297" ht="22.35" customHeight="1" x14ac:dyDescent="0.3"/>
    <row r="298" ht="22.35" customHeight="1" x14ac:dyDescent="0.3"/>
    <row r="299" ht="22.35" customHeight="1" x14ac:dyDescent="0.3"/>
    <row r="300" ht="22.35" customHeight="1" x14ac:dyDescent="0.3"/>
    <row r="301" ht="22.35" customHeight="1" x14ac:dyDescent="0.3"/>
    <row r="302" ht="22.35" customHeight="1" x14ac:dyDescent="0.3"/>
    <row r="303" ht="22.35" customHeight="1" x14ac:dyDescent="0.3"/>
    <row r="304" ht="22.35" customHeight="1" x14ac:dyDescent="0.3"/>
    <row r="305" ht="22.35" customHeight="1" x14ac:dyDescent="0.3"/>
    <row r="306" ht="22.35" customHeight="1" x14ac:dyDescent="0.3"/>
    <row r="307" ht="22.35" customHeight="1" x14ac:dyDescent="0.3"/>
    <row r="308" ht="22.35" customHeight="1" x14ac:dyDescent="0.3"/>
    <row r="309" ht="22.35" customHeight="1" x14ac:dyDescent="0.3"/>
    <row r="310" ht="22.35" customHeight="1" x14ac:dyDescent="0.3"/>
    <row r="311" ht="22.35" customHeight="1" x14ac:dyDescent="0.3"/>
    <row r="312" ht="22.35" customHeight="1" x14ac:dyDescent="0.3"/>
    <row r="313" ht="22.35" customHeight="1" x14ac:dyDescent="0.3"/>
    <row r="314" ht="22.35" customHeight="1" x14ac:dyDescent="0.3"/>
    <row r="315" ht="22.35" customHeight="1" x14ac:dyDescent="0.3"/>
    <row r="316" ht="22.35" customHeight="1" x14ac:dyDescent="0.3"/>
    <row r="317" ht="22.35" customHeight="1" x14ac:dyDescent="0.3"/>
    <row r="318" ht="22.35" customHeight="1" x14ac:dyDescent="0.3"/>
    <row r="319" ht="22.35" customHeight="1" x14ac:dyDescent="0.3"/>
    <row r="320" ht="22.35" customHeight="1" x14ac:dyDescent="0.3"/>
    <row r="321" ht="22.35" customHeight="1" x14ac:dyDescent="0.3"/>
    <row r="322" ht="22.35" customHeight="1" x14ac:dyDescent="0.3"/>
    <row r="323" ht="22.35" customHeight="1" x14ac:dyDescent="0.3"/>
    <row r="324" ht="22.35" customHeight="1" x14ac:dyDescent="0.3"/>
    <row r="325" ht="22.35" customHeight="1" x14ac:dyDescent="0.3"/>
    <row r="326" ht="22.35" customHeight="1" x14ac:dyDescent="0.3"/>
    <row r="327" ht="22.35" customHeight="1" x14ac:dyDescent="0.3"/>
    <row r="328" ht="22.35" customHeight="1" x14ac:dyDescent="0.3"/>
    <row r="329" ht="22.35" customHeight="1" x14ac:dyDescent="0.3"/>
    <row r="330" ht="22.35" customHeight="1" x14ac:dyDescent="0.3"/>
    <row r="331" ht="22.35" customHeight="1" x14ac:dyDescent="0.3"/>
    <row r="332" ht="22.35" customHeight="1" x14ac:dyDescent="0.3"/>
    <row r="333" ht="22.35" customHeight="1" x14ac:dyDescent="0.3"/>
    <row r="334" ht="22.35" customHeight="1" x14ac:dyDescent="0.3"/>
    <row r="335" ht="22.35" customHeight="1" x14ac:dyDescent="0.3"/>
    <row r="336" ht="22.35" customHeight="1" x14ac:dyDescent="0.3"/>
    <row r="337" ht="22.35" customHeight="1" x14ac:dyDescent="0.3"/>
    <row r="338" ht="22.35" customHeight="1" x14ac:dyDescent="0.3"/>
    <row r="339" ht="22.35" customHeight="1" x14ac:dyDescent="0.3"/>
    <row r="340" ht="22.35" customHeight="1" x14ac:dyDescent="0.3"/>
    <row r="341" ht="22.35" customHeight="1" x14ac:dyDescent="0.3"/>
    <row r="342" ht="22.35" customHeight="1" x14ac:dyDescent="0.3"/>
    <row r="343" ht="22.35" customHeight="1" x14ac:dyDescent="0.3"/>
    <row r="344" ht="22.35" customHeight="1" x14ac:dyDescent="0.3"/>
    <row r="345" ht="22.35" customHeight="1" x14ac:dyDescent="0.3"/>
    <row r="346" ht="22.35" customHeight="1" x14ac:dyDescent="0.3"/>
    <row r="347" ht="22.35" customHeight="1" x14ac:dyDescent="0.3"/>
    <row r="348" ht="22.35" customHeight="1" x14ac:dyDescent="0.3"/>
    <row r="349" ht="22.35" customHeight="1" x14ac:dyDescent="0.3"/>
    <row r="350" ht="22.35" customHeight="1" x14ac:dyDescent="0.3"/>
    <row r="351" ht="22.35" customHeight="1" x14ac:dyDescent="0.3"/>
    <row r="352" ht="22.35" customHeight="1" x14ac:dyDescent="0.3"/>
    <row r="353" ht="22.35" customHeight="1" x14ac:dyDescent="0.3"/>
    <row r="354" ht="22.35" customHeight="1" x14ac:dyDescent="0.3"/>
    <row r="355" ht="22.35" customHeight="1" x14ac:dyDescent="0.3"/>
    <row r="356" ht="22.35" customHeight="1" x14ac:dyDescent="0.3"/>
    <row r="357" ht="22.35" customHeight="1" x14ac:dyDescent="0.3"/>
    <row r="358" ht="22.35" customHeight="1" x14ac:dyDescent="0.3"/>
    <row r="359" ht="22.35" customHeight="1" x14ac:dyDescent="0.3"/>
    <row r="360" ht="22.35" customHeight="1" x14ac:dyDescent="0.3"/>
    <row r="361" ht="22.35" customHeight="1" x14ac:dyDescent="0.3"/>
    <row r="362" ht="22.35" customHeight="1" x14ac:dyDescent="0.3"/>
    <row r="363" ht="22.35" customHeight="1" x14ac:dyDescent="0.3"/>
    <row r="364" ht="22.35" customHeight="1" x14ac:dyDescent="0.3"/>
    <row r="365" ht="22.35" customHeight="1" x14ac:dyDescent="0.3"/>
    <row r="366" ht="22.35" customHeight="1" x14ac:dyDescent="0.3"/>
    <row r="367" ht="22.35" customHeight="1" x14ac:dyDescent="0.3"/>
    <row r="368" ht="22.35" customHeight="1" x14ac:dyDescent="0.3"/>
    <row r="369" ht="22.35" customHeight="1" x14ac:dyDescent="0.3"/>
    <row r="370" ht="22.35" customHeight="1" x14ac:dyDescent="0.3"/>
    <row r="371" ht="22.35" customHeight="1" x14ac:dyDescent="0.3"/>
    <row r="372" ht="22.35" customHeight="1" x14ac:dyDescent="0.3"/>
    <row r="373" ht="22.35" customHeight="1" x14ac:dyDescent="0.3"/>
    <row r="374" ht="22.35" customHeight="1" x14ac:dyDescent="0.3"/>
    <row r="375" ht="22.35" customHeight="1" x14ac:dyDescent="0.3"/>
    <row r="376" ht="22.35" customHeight="1" x14ac:dyDescent="0.3"/>
    <row r="377" ht="22.35" customHeight="1" x14ac:dyDescent="0.3"/>
    <row r="378" ht="22.35" customHeight="1" x14ac:dyDescent="0.3"/>
    <row r="379" ht="22.35" customHeight="1" x14ac:dyDescent="0.3"/>
    <row r="380" ht="22.35" customHeight="1" x14ac:dyDescent="0.3"/>
    <row r="381" ht="22.35" customHeight="1" x14ac:dyDescent="0.3"/>
    <row r="382" ht="22.35" customHeight="1" x14ac:dyDescent="0.3"/>
    <row r="383" ht="22.35" customHeight="1" x14ac:dyDescent="0.3"/>
    <row r="384" ht="22.35" customHeight="1" x14ac:dyDescent="0.3"/>
    <row r="385" ht="22.35" customHeight="1" x14ac:dyDescent="0.3"/>
    <row r="386" ht="22.35" customHeight="1" x14ac:dyDescent="0.3"/>
    <row r="387" ht="22.35" customHeight="1" x14ac:dyDescent="0.3"/>
    <row r="388" ht="22.35" customHeight="1" x14ac:dyDescent="0.3"/>
    <row r="389" ht="22.35" customHeight="1" x14ac:dyDescent="0.3"/>
    <row r="390" ht="22.35" customHeight="1" x14ac:dyDescent="0.3"/>
    <row r="391" ht="22.35" customHeight="1" x14ac:dyDescent="0.3"/>
    <row r="392" ht="22.35" customHeight="1" x14ac:dyDescent="0.3"/>
    <row r="393" ht="22.35" customHeight="1" x14ac:dyDescent="0.3"/>
    <row r="394" ht="22.35" customHeight="1" x14ac:dyDescent="0.3"/>
    <row r="395" ht="22.35" customHeight="1" x14ac:dyDescent="0.3"/>
    <row r="396" ht="22.35" customHeight="1" x14ac:dyDescent="0.3"/>
    <row r="397" ht="22.35" customHeight="1" x14ac:dyDescent="0.3"/>
    <row r="398" ht="22.35" customHeight="1" x14ac:dyDescent="0.3"/>
    <row r="399" ht="22.35" customHeight="1" x14ac:dyDescent="0.3"/>
    <row r="400" ht="22.35" customHeight="1" x14ac:dyDescent="0.3"/>
    <row r="401" ht="22.35" customHeight="1" x14ac:dyDescent="0.3"/>
    <row r="402" ht="22.35" customHeight="1" x14ac:dyDescent="0.3"/>
    <row r="403" ht="22.35" customHeight="1" x14ac:dyDescent="0.3"/>
    <row r="404" ht="22.35" customHeight="1" x14ac:dyDescent="0.3"/>
    <row r="405" ht="22.35" customHeight="1" x14ac:dyDescent="0.3"/>
    <row r="406" ht="22.35" customHeight="1" x14ac:dyDescent="0.3"/>
    <row r="407" ht="22.35" customHeight="1" x14ac:dyDescent="0.3"/>
    <row r="408" ht="22.35" customHeight="1" x14ac:dyDescent="0.3"/>
    <row r="409" ht="22.35" customHeight="1" x14ac:dyDescent="0.3"/>
    <row r="410" ht="22.35" customHeight="1" x14ac:dyDescent="0.3"/>
    <row r="411" ht="22.35" customHeight="1" x14ac:dyDescent="0.3"/>
    <row r="412" ht="22.35" customHeight="1" x14ac:dyDescent="0.3"/>
    <row r="413" ht="22.35" customHeight="1" x14ac:dyDescent="0.3"/>
    <row r="414" ht="22.35" customHeight="1" x14ac:dyDescent="0.3"/>
    <row r="415" ht="22.35" customHeight="1" x14ac:dyDescent="0.3"/>
    <row r="416" ht="22.35" customHeight="1" x14ac:dyDescent="0.3"/>
    <row r="417" ht="22.35" customHeight="1" x14ac:dyDescent="0.3"/>
    <row r="418" ht="22.35" customHeight="1" x14ac:dyDescent="0.3"/>
    <row r="419" ht="22.35" customHeight="1" x14ac:dyDescent="0.3"/>
    <row r="420" ht="22.35" customHeight="1" x14ac:dyDescent="0.3"/>
    <row r="421" ht="22.35" customHeight="1" x14ac:dyDescent="0.3"/>
    <row r="422" ht="22.35" customHeight="1" x14ac:dyDescent="0.3"/>
    <row r="423" ht="22.35" customHeight="1" x14ac:dyDescent="0.3"/>
    <row r="424" ht="22.35" customHeight="1" x14ac:dyDescent="0.3"/>
    <row r="425" ht="22.35" customHeight="1" x14ac:dyDescent="0.3"/>
    <row r="426" ht="22.35" customHeight="1" x14ac:dyDescent="0.3"/>
    <row r="427" ht="22.35" customHeight="1" x14ac:dyDescent="0.3"/>
    <row r="428" ht="22.35" customHeight="1" x14ac:dyDescent="0.3"/>
    <row r="429" ht="22.35" customHeight="1" x14ac:dyDescent="0.3"/>
    <row r="430" ht="22.35" customHeight="1" x14ac:dyDescent="0.3"/>
    <row r="431" ht="22.35" customHeight="1" x14ac:dyDescent="0.3"/>
    <row r="432" ht="22.35" customHeight="1" x14ac:dyDescent="0.3"/>
    <row r="433" ht="22.35" customHeight="1" x14ac:dyDescent="0.3"/>
    <row r="434" ht="22.35" customHeight="1" x14ac:dyDescent="0.3"/>
    <row r="435" ht="22.35" customHeight="1" x14ac:dyDescent="0.3"/>
    <row r="436" ht="22.35" customHeight="1" x14ac:dyDescent="0.3"/>
    <row r="437" ht="22.35" customHeight="1" x14ac:dyDescent="0.3"/>
    <row r="438" ht="22.35" customHeight="1" x14ac:dyDescent="0.3"/>
    <row r="439" ht="22.35" customHeight="1" x14ac:dyDescent="0.3"/>
    <row r="440" ht="22.35" customHeight="1" x14ac:dyDescent="0.3"/>
    <row r="441" ht="22.35" customHeight="1" x14ac:dyDescent="0.3"/>
    <row r="442" ht="22.35" customHeight="1" x14ac:dyDescent="0.3"/>
    <row r="443" ht="22.35" customHeight="1" x14ac:dyDescent="0.3"/>
    <row r="444" ht="22.35" customHeight="1" x14ac:dyDescent="0.3"/>
    <row r="445" ht="22.35" customHeight="1" x14ac:dyDescent="0.3"/>
    <row r="446" ht="22.35" customHeight="1" x14ac:dyDescent="0.3"/>
    <row r="447" ht="22.35" customHeight="1" x14ac:dyDescent="0.3"/>
    <row r="448" ht="22.35" customHeight="1" x14ac:dyDescent="0.3"/>
    <row r="449" ht="22.35" customHeight="1" x14ac:dyDescent="0.3"/>
    <row r="450" ht="22.35" customHeight="1" x14ac:dyDescent="0.3"/>
    <row r="451" ht="22.35" customHeight="1" x14ac:dyDescent="0.3"/>
    <row r="452" ht="22.35" customHeight="1" x14ac:dyDescent="0.3"/>
    <row r="453" ht="22.35" customHeight="1" x14ac:dyDescent="0.3"/>
    <row r="454" ht="22.35" customHeight="1" x14ac:dyDescent="0.3"/>
    <row r="455" ht="22.35" customHeight="1" x14ac:dyDescent="0.3"/>
    <row r="456" ht="22.35" customHeight="1" x14ac:dyDescent="0.3"/>
    <row r="457" ht="22.35" customHeight="1" x14ac:dyDescent="0.3"/>
    <row r="458" ht="22.35" customHeight="1" x14ac:dyDescent="0.3"/>
    <row r="459" ht="22.35" customHeight="1" x14ac:dyDescent="0.3"/>
    <row r="460" ht="22.35" customHeight="1" x14ac:dyDescent="0.3"/>
    <row r="461" ht="22.35" customHeight="1" x14ac:dyDescent="0.3"/>
    <row r="462" ht="22.35" customHeight="1" x14ac:dyDescent="0.3"/>
    <row r="463" ht="22.35" customHeight="1" x14ac:dyDescent="0.3"/>
    <row r="464" ht="22.35" customHeight="1" x14ac:dyDescent="0.3"/>
    <row r="465" ht="22.35" customHeight="1" x14ac:dyDescent="0.3"/>
    <row r="466" ht="22.35" customHeight="1" x14ac:dyDescent="0.3"/>
    <row r="467" ht="22.35" customHeight="1" x14ac:dyDescent="0.3"/>
    <row r="468" ht="22.35" customHeight="1" x14ac:dyDescent="0.3"/>
    <row r="469" ht="22.35" customHeight="1" x14ac:dyDescent="0.3"/>
    <row r="470" ht="22.35" customHeight="1" x14ac:dyDescent="0.3"/>
    <row r="471" ht="22.35" customHeight="1" x14ac:dyDescent="0.3"/>
    <row r="472" ht="22.35" customHeight="1" x14ac:dyDescent="0.3"/>
    <row r="473" ht="22.35" customHeight="1" x14ac:dyDescent="0.3"/>
    <row r="474" ht="22.35" customHeight="1" x14ac:dyDescent="0.3"/>
    <row r="475" ht="22.35" customHeight="1" x14ac:dyDescent="0.3"/>
    <row r="476" ht="22.35" customHeight="1" x14ac:dyDescent="0.3"/>
    <row r="477" ht="22.35" customHeight="1" x14ac:dyDescent="0.3"/>
    <row r="478" ht="22.35" customHeight="1" x14ac:dyDescent="0.3"/>
    <row r="479" ht="22.35" customHeight="1" x14ac:dyDescent="0.3"/>
    <row r="480" ht="22.35" customHeight="1" x14ac:dyDescent="0.3"/>
    <row r="481" ht="22.35" customHeight="1" x14ac:dyDescent="0.3"/>
    <row r="482" ht="22.35" customHeight="1" x14ac:dyDescent="0.3"/>
    <row r="483" ht="22.35" customHeight="1" x14ac:dyDescent="0.3"/>
    <row r="484" ht="22.35" customHeight="1" x14ac:dyDescent="0.3"/>
    <row r="485" ht="22.35" customHeight="1" x14ac:dyDescent="0.3"/>
    <row r="486" ht="22.35" customHeight="1" x14ac:dyDescent="0.3"/>
    <row r="487" ht="22.35" customHeight="1" x14ac:dyDescent="0.3"/>
    <row r="488" ht="22.35" customHeight="1" x14ac:dyDescent="0.3"/>
    <row r="489" ht="22.35" customHeight="1" x14ac:dyDescent="0.3"/>
    <row r="490" ht="22.35" customHeight="1" x14ac:dyDescent="0.3"/>
    <row r="491" ht="22.35" customHeight="1" x14ac:dyDescent="0.3"/>
    <row r="492" ht="22.35" customHeight="1" x14ac:dyDescent="0.3"/>
    <row r="493" ht="22.35" customHeight="1" x14ac:dyDescent="0.3"/>
    <row r="494" ht="22.35" customHeight="1" x14ac:dyDescent="0.3"/>
    <row r="495" ht="22.35" customHeight="1" x14ac:dyDescent="0.3"/>
    <row r="496" ht="22.35" customHeight="1" x14ac:dyDescent="0.3"/>
    <row r="497" ht="22.35" customHeight="1" x14ac:dyDescent="0.3"/>
    <row r="498" ht="22.35" customHeight="1" x14ac:dyDescent="0.3"/>
    <row r="499" ht="22.35" customHeight="1" x14ac:dyDescent="0.3"/>
    <row r="500" ht="22.35" customHeight="1" x14ac:dyDescent="0.3"/>
    <row r="501" ht="22.35" customHeight="1" x14ac:dyDescent="0.3"/>
    <row r="502" ht="22.35" customHeight="1" x14ac:dyDescent="0.3"/>
    <row r="503" ht="22.35" customHeight="1" x14ac:dyDescent="0.3"/>
    <row r="504" ht="22.35" customHeight="1" x14ac:dyDescent="0.3"/>
    <row r="505" ht="22.35" customHeight="1" x14ac:dyDescent="0.3"/>
    <row r="506" ht="22.35" customHeight="1" x14ac:dyDescent="0.3"/>
    <row r="507" ht="22.35" customHeight="1" x14ac:dyDescent="0.3"/>
    <row r="508" ht="22.35" customHeight="1" x14ac:dyDescent="0.3"/>
    <row r="509" ht="22.35" customHeight="1" x14ac:dyDescent="0.3"/>
    <row r="510" ht="22.35" customHeight="1" x14ac:dyDescent="0.3"/>
    <row r="511" ht="22.35" customHeight="1" x14ac:dyDescent="0.3"/>
    <row r="512" ht="22.35" customHeight="1" x14ac:dyDescent="0.3"/>
    <row r="513" ht="22.35" customHeight="1" x14ac:dyDescent="0.3"/>
    <row r="514" ht="22.35" customHeight="1" x14ac:dyDescent="0.3"/>
    <row r="515" ht="22.35" customHeight="1" x14ac:dyDescent="0.3"/>
    <row r="516" ht="22.35" customHeight="1" x14ac:dyDescent="0.3"/>
    <row r="517" ht="22.35" customHeight="1" x14ac:dyDescent="0.3"/>
    <row r="518" ht="22.35" customHeight="1" x14ac:dyDescent="0.3"/>
    <row r="519" ht="22.35" customHeight="1" x14ac:dyDescent="0.3"/>
    <row r="520" ht="22.35" customHeight="1" x14ac:dyDescent="0.3"/>
    <row r="521" ht="22.35" customHeight="1" x14ac:dyDescent="0.3"/>
    <row r="522" ht="22.35" customHeight="1" x14ac:dyDescent="0.3"/>
    <row r="523" ht="22.35" customHeight="1" x14ac:dyDescent="0.3"/>
    <row r="524" ht="22.35" customHeight="1" x14ac:dyDescent="0.3"/>
    <row r="525" ht="22.35" customHeight="1" x14ac:dyDescent="0.3"/>
    <row r="526" ht="22.35" customHeight="1" x14ac:dyDescent="0.3"/>
    <row r="527" ht="22.35" customHeight="1" x14ac:dyDescent="0.3"/>
    <row r="528" ht="22.35" customHeight="1" x14ac:dyDescent="0.3"/>
    <row r="529" ht="22.35" customHeight="1" x14ac:dyDescent="0.3"/>
    <row r="530" ht="22.35" customHeight="1" x14ac:dyDescent="0.3"/>
    <row r="531" ht="22.35" customHeight="1" x14ac:dyDescent="0.3"/>
    <row r="532" ht="22.35" customHeight="1" x14ac:dyDescent="0.3"/>
    <row r="533" ht="22.35" customHeight="1" x14ac:dyDescent="0.3"/>
    <row r="534" ht="22.35" customHeight="1" x14ac:dyDescent="0.3"/>
    <row r="535" ht="22.35" customHeight="1" x14ac:dyDescent="0.3"/>
    <row r="536" ht="22.35" customHeight="1" x14ac:dyDescent="0.3"/>
    <row r="537" ht="22.35" customHeight="1" x14ac:dyDescent="0.3"/>
    <row r="538" ht="22.35" customHeight="1" x14ac:dyDescent="0.3"/>
    <row r="539" ht="22.35" customHeight="1" x14ac:dyDescent="0.3"/>
    <row r="540" ht="22.35" customHeight="1" x14ac:dyDescent="0.3"/>
    <row r="541" ht="22.35" customHeight="1" x14ac:dyDescent="0.3"/>
    <row r="542" ht="22.35" customHeight="1" x14ac:dyDescent="0.3"/>
    <row r="543" ht="22.35" customHeight="1" x14ac:dyDescent="0.3"/>
    <row r="544" ht="22.35" customHeight="1" x14ac:dyDescent="0.3"/>
    <row r="545" ht="22.35" customHeight="1" x14ac:dyDescent="0.3"/>
    <row r="546" ht="22.35" customHeight="1" x14ac:dyDescent="0.3"/>
    <row r="547" ht="22.35" customHeight="1" x14ac:dyDescent="0.3"/>
    <row r="548" ht="22.35" customHeight="1" x14ac:dyDescent="0.3"/>
    <row r="549" ht="22.35" customHeight="1" x14ac:dyDescent="0.3"/>
    <row r="550" ht="22.35" customHeight="1" x14ac:dyDescent="0.3"/>
    <row r="551" ht="22.35" customHeight="1" x14ac:dyDescent="0.3"/>
    <row r="552" ht="22.35" customHeight="1" x14ac:dyDescent="0.3"/>
    <row r="553" ht="22.35" customHeight="1" x14ac:dyDescent="0.3"/>
    <row r="554" ht="22.35" customHeight="1" x14ac:dyDescent="0.3"/>
    <row r="555" ht="22.35" customHeight="1" x14ac:dyDescent="0.3"/>
    <row r="556" ht="22.35" customHeight="1" x14ac:dyDescent="0.3"/>
    <row r="557" ht="22.35" customHeight="1" x14ac:dyDescent="0.3"/>
    <row r="558" ht="22.35" customHeight="1" x14ac:dyDescent="0.3"/>
    <row r="559" ht="22.35" customHeight="1" x14ac:dyDescent="0.3"/>
    <row r="560" ht="22.35" customHeight="1" x14ac:dyDescent="0.3"/>
    <row r="561" ht="22.35" customHeight="1" x14ac:dyDescent="0.3"/>
    <row r="562" ht="22.35" customHeight="1" x14ac:dyDescent="0.3"/>
    <row r="563" ht="22.35" customHeight="1" x14ac:dyDescent="0.3"/>
    <row r="564" ht="22.35" customHeight="1" x14ac:dyDescent="0.3"/>
    <row r="565" ht="22.35" customHeight="1" x14ac:dyDescent="0.3"/>
    <row r="566" ht="22.35" customHeight="1" x14ac:dyDescent="0.3"/>
    <row r="567" ht="22.35" customHeight="1" x14ac:dyDescent="0.3"/>
    <row r="568" ht="22.35" customHeight="1" x14ac:dyDescent="0.3"/>
    <row r="569" ht="22.35" customHeight="1" x14ac:dyDescent="0.3"/>
    <row r="570" ht="22.35" customHeight="1" x14ac:dyDescent="0.3"/>
    <row r="571" ht="22.35" customHeight="1" x14ac:dyDescent="0.3"/>
    <row r="572" ht="22.35" customHeight="1" x14ac:dyDescent="0.3"/>
    <row r="573" ht="22.35" customHeight="1" x14ac:dyDescent="0.3"/>
    <row r="574" ht="22.35" customHeight="1" x14ac:dyDescent="0.3"/>
    <row r="575" ht="22.35" customHeight="1" x14ac:dyDescent="0.3"/>
    <row r="576" ht="22.35" customHeight="1" x14ac:dyDescent="0.3"/>
    <row r="577" ht="22.35" customHeight="1" x14ac:dyDescent="0.3"/>
    <row r="578" ht="22.35" customHeight="1" x14ac:dyDescent="0.3"/>
    <row r="579" ht="22.35" customHeight="1" x14ac:dyDescent="0.3"/>
    <row r="580" ht="22.35" customHeight="1" x14ac:dyDescent="0.3"/>
    <row r="581" ht="22.35" customHeight="1" x14ac:dyDescent="0.3"/>
    <row r="582" ht="22.35" customHeight="1" x14ac:dyDescent="0.3"/>
    <row r="583" ht="22.35" customHeight="1" x14ac:dyDescent="0.3"/>
    <row r="584" ht="22.35" customHeight="1" x14ac:dyDescent="0.3"/>
    <row r="585" ht="22.35" customHeight="1" x14ac:dyDescent="0.3"/>
    <row r="586" ht="22.35" customHeight="1" x14ac:dyDescent="0.3"/>
    <row r="587" ht="22.35" customHeight="1" x14ac:dyDescent="0.3"/>
    <row r="588" ht="22.35" customHeight="1" x14ac:dyDescent="0.3"/>
    <row r="589" ht="22.35" customHeight="1" x14ac:dyDescent="0.3"/>
    <row r="590" ht="22.35" customHeight="1" x14ac:dyDescent="0.3"/>
    <row r="591" ht="22.35" customHeight="1" x14ac:dyDescent="0.3"/>
    <row r="592" ht="22.35" customHeight="1" x14ac:dyDescent="0.3"/>
    <row r="593" ht="22.35" customHeight="1" x14ac:dyDescent="0.3"/>
    <row r="594" ht="22.35" customHeight="1" x14ac:dyDescent="0.3"/>
    <row r="595" ht="22.35" customHeight="1" x14ac:dyDescent="0.3"/>
    <row r="596" ht="22.35" customHeight="1" x14ac:dyDescent="0.3"/>
    <row r="597" ht="22.35" customHeight="1" x14ac:dyDescent="0.3"/>
    <row r="598" ht="22.35" customHeight="1" x14ac:dyDescent="0.3"/>
    <row r="599" ht="22.35" customHeight="1" x14ac:dyDescent="0.3"/>
    <row r="600" ht="22.35" customHeight="1" x14ac:dyDescent="0.3"/>
    <row r="601" ht="22.35" customHeight="1" x14ac:dyDescent="0.3"/>
    <row r="602" ht="22.35" customHeight="1" x14ac:dyDescent="0.3"/>
    <row r="603" ht="22.35" customHeight="1" x14ac:dyDescent="0.3"/>
    <row r="604" ht="22.35" customHeight="1" x14ac:dyDescent="0.3"/>
    <row r="605" ht="22.35" customHeight="1" x14ac:dyDescent="0.3"/>
    <row r="606" ht="22.35" customHeight="1" x14ac:dyDescent="0.3"/>
    <row r="607" ht="22.35" customHeight="1" x14ac:dyDescent="0.3"/>
    <row r="608" ht="22.35" customHeight="1" x14ac:dyDescent="0.3"/>
    <row r="609" ht="22.35" customHeight="1" x14ac:dyDescent="0.3"/>
    <row r="610" ht="22.35" customHeight="1" x14ac:dyDescent="0.3"/>
    <row r="611" ht="22.35" customHeight="1" x14ac:dyDescent="0.3"/>
    <row r="612" ht="22.35" customHeight="1" x14ac:dyDescent="0.3"/>
    <row r="613" ht="22.35" customHeight="1" x14ac:dyDescent="0.3"/>
    <row r="614" ht="22.35" customHeight="1" x14ac:dyDescent="0.3"/>
    <row r="615" ht="22.35" customHeight="1" x14ac:dyDescent="0.3"/>
    <row r="616" ht="22.35" customHeight="1" x14ac:dyDescent="0.3"/>
    <row r="617" ht="22.35" customHeight="1" x14ac:dyDescent="0.3"/>
    <row r="618" ht="22.35" customHeight="1" x14ac:dyDescent="0.3"/>
    <row r="619" ht="22.35" customHeight="1" x14ac:dyDescent="0.3"/>
    <row r="620" ht="22.35" customHeight="1" x14ac:dyDescent="0.3"/>
    <row r="621" ht="22.35" customHeight="1" x14ac:dyDescent="0.3"/>
    <row r="622" ht="22.35" customHeight="1" x14ac:dyDescent="0.3"/>
    <row r="623" ht="22.35" customHeight="1" x14ac:dyDescent="0.3"/>
    <row r="624" ht="22.35" customHeight="1" x14ac:dyDescent="0.3"/>
    <row r="625" ht="22.35" customHeight="1" x14ac:dyDescent="0.3"/>
    <row r="626" ht="22.35" customHeight="1" x14ac:dyDescent="0.3"/>
    <row r="627" ht="22.35" customHeight="1" x14ac:dyDescent="0.3"/>
    <row r="628" ht="22.35" customHeight="1" x14ac:dyDescent="0.3"/>
    <row r="629" ht="22.35" customHeight="1" x14ac:dyDescent="0.3"/>
    <row r="630" ht="22.35" customHeight="1" x14ac:dyDescent="0.3"/>
    <row r="631" ht="22.35" customHeight="1" x14ac:dyDescent="0.3"/>
    <row r="632" ht="22.35" customHeight="1" x14ac:dyDescent="0.3"/>
    <row r="633" ht="22.35" customHeight="1" x14ac:dyDescent="0.3"/>
    <row r="634" ht="22.35" customHeight="1" x14ac:dyDescent="0.3"/>
    <row r="635" ht="22.35" customHeight="1" x14ac:dyDescent="0.3"/>
    <row r="636" ht="22.35" customHeight="1" x14ac:dyDescent="0.3"/>
    <row r="637" ht="22.35" customHeight="1" x14ac:dyDescent="0.3"/>
    <row r="638" ht="22.35" customHeight="1" x14ac:dyDescent="0.3"/>
    <row r="639" ht="22.35" customHeight="1" x14ac:dyDescent="0.3"/>
    <row r="640" ht="22.35" customHeight="1" x14ac:dyDescent="0.3"/>
    <row r="641" ht="22.35" customHeight="1" x14ac:dyDescent="0.3"/>
    <row r="642" ht="22.35" customHeight="1" x14ac:dyDescent="0.3"/>
    <row r="643" ht="22.35" customHeight="1" x14ac:dyDescent="0.3"/>
    <row r="644" ht="22.35" customHeight="1" x14ac:dyDescent="0.3"/>
    <row r="645" ht="22.35" customHeight="1" x14ac:dyDescent="0.3"/>
    <row r="646" ht="22.35" customHeight="1" x14ac:dyDescent="0.3"/>
    <row r="647" ht="22.35" customHeight="1" x14ac:dyDescent="0.3"/>
    <row r="648" ht="22.35" customHeight="1" x14ac:dyDescent="0.3"/>
    <row r="649" ht="22.35" customHeight="1" x14ac:dyDescent="0.3"/>
    <row r="650" ht="22.35" customHeight="1" x14ac:dyDescent="0.3"/>
    <row r="651" ht="22.35" customHeight="1" x14ac:dyDescent="0.3"/>
    <row r="652" ht="22.35" customHeight="1" x14ac:dyDescent="0.3"/>
    <row r="653" ht="22.35" customHeight="1" x14ac:dyDescent="0.3"/>
    <row r="654" ht="22.35" customHeight="1" x14ac:dyDescent="0.3"/>
    <row r="655" ht="22.35" customHeight="1" x14ac:dyDescent="0.3"/>
    <row r="656" ht="22.35" customHeight="1" x14ac:dyDescent="0.3"/>
    <row r="657" ht="22.35" customHeight="1" x14ac:dyDescent="0.3"/>
    <row r="658" ht="22.35" customHeight="1" x14ac:dyDescent="0.3"/>
    <row r="659" ht="22.35" customHeight="1" x14ac:dyDescent="0.3"/>
    <row r="660" ht="22.35" customHeight="1" x14ac:dyDescent="0.3"/>
    <row r="661" ht="22.35" customHeight="1" x14ac:dyDescent="0.3"/>
    <row r="662" ht="22.35" customHeight="1" x14ac:dyDescent="0.3"/>
    <row r="663" ht="22.35" customHeight="1" x14ac:dyDescent="0.3"/>
    <row r="664" ht="22.35" customHeight="1" x14ac:dyDescent="0.3"/>
    <row r="665" ht="22.35" customHeight="1" x14ac:dyDescent="0.3"/>
    <row r="666" ht="22.35" customHeight="1" x14ac:dyDescent="0.3"/>
    <row r="667" ht="22.35" customHeight="1" x14ac:dyDescent="0.3"/>
    <row r="668" ht="22.35" customHeight="1" x14ac:dyDescent="0.3"/>
    <row r="669" ht="22.35" customHeight="1" x14ac:dyDescent="0.3"/>
    <row r="670" ht="22.35" customHeight="1" x14ac:dyDescent="0.3"/>
    <row r="671" ht="22.35" customHeight="1" x14ac:dyDescent="0.3"/>
    <row r="672" ht="22.35" customHeight="1" x14ac:dyDescent="0.3"/>
    <row r="673" ht="22.35" customHeight="1" x14ac:dyDescent="0.3"/>
    <row r="674" ht="22.35" customHeight="1" x14ac:dyDescent="0.3"/>
    <row r="675" ht="22.35" customHeight="1" x14ac:dyDescent="0.3"/>
    <row r="676" ht="22.35" customHeight="1" x14ac:dyDescent="0.3"/>
    <row r="677" ht="22.35" customHeight="1" x14ac:dyDescent="0.3"/>
    <row r="678" ht="22.35" customHeight="1" x14ac:dyDescent="0.3"/>
    <row r="679" ht="22.35" customHeight="1" x14ac:dyDescent="0.3"/>
    <row r="680" ht="22.35" customHeight="1" x14ac:dyDescent="0.3"/>
    <row r="681" ht="22.35" customHeight="1" x14ac:dyDescent="0.3"/>
    <row r="682" ht="22.35" customHeight="1" x14ac:dyDescent="0.3"/>
    <row r="683" ht="22.35" customHeight="1" x14ac:dyDescent="0.3"/>
    <row r="684" ht="22.35" customHeight="1" x14ac:dyDescent="0.3"/>
    <row r="685" ht="22.35" customHeight="1" x14ac:dyDescent="0.3"/>
    <row r="686" ht="22.35" customHeight="1" x14ac:dyDescent="0.3"/>
    <row r="687" ht="22.35" customHeight="1" x14ac:dyDescent="0.3"/>
    <row r="688" ht="22.35" customHeight="1" x14ac:dyDescent="0.3"/>
    <row r="689" ht="22.35" customHeight="1" x14ac:dyDescent="0.3"/>
    <row r="690" ht="22.35" customHeight="1" x14ac:dyDescent="0.3"/>
    <row r="691" ht="22.35" customHeight="1" x14ac:dyDescent="0.3"/>
    <row r="692" ht="22.35" customHeight="1" x14ac:dyDescent="0.3"/>
    <row r="693" ht="22.35" customHeight="1" x14ac:dyDescent="0.3"/>
    <row r="694" ht="22.35" customHeight="1" x14ac:dyDescent="0.3"/>
    <row r="695" ht="22.35" customHeight="1" x14ac:dyDescent="0.3"/>
    <row r="696" ht="22.35" customHeight="1" x14ac:dyDescent="0.3"/>
    <row r="697" ht="22.35" customHeight="1" x14ac:dyDescent="0.3"/>
    <row r="698" ht="22.35" customHeight="1" x14ac:dyDescent="0.3"/>
    <row r="699" ht="22.35" customHeight="1" x14ac:dyDescent="0.3"/>
    <row r="700" ht="22.35" customHeight="1" x14ac:dyDescent="0.3"/>
    <row r="701" ht="22.35" customHeight="1" x14ac:dyDescent="0.3"/>
    <row r="702" ht="22.35" customHeight="1" x14ac:dyDescent="0.3"/>
    <row r="703" ht="22.35" customHeight="1" x14ac:dyDescent="0.3"/>
    <row r="704" ht="22.35" customHeight="1" x14ac:dyDescent="0.3"/>
    <row r="705" ht="22.35" customHeight="1" x14ac:dyDescent="0.3"/>
    <row r="706" ht="22.35" customHeight="1" x14ac:dyDescent="0.3"/>
    <row r="707" ht="22.35" customHeight="1" x14ac:dyDescent="0.3"/>
    <row r="708" ht="22.35" customHeight="1" x14ac:dyDescent="0.3"/>
    <row r="709" ht="22.35" customHeight="1" x14ac:dyDescent="0.3"/>
    <row r="710" ht="22.35" customHeight="1" x14ac:dyDescent="0.3"/>
    <row r="711" ht="22.35" customHeight="1" x14ac:dyDescent="0.3"/>
    <row r="712" ht="22.35" customHeight="1" x14ac:dyDescent="0.3"/>
    <row r="713" ht="22.35" customHeight="1" x14ac:dyDescent="0.3"/>
    <row r="714" ht="22.35" customHeight="1" x14ac:dyDescent="0.3"/>
    <row r="715" ht="22.35" customHeight="1" x14ac:dyDescent="0.3"/>
    <row r="716" ht="22.35" customHeight="1" x14ac:dyDescent="0.3"/>
    <row r="717" ht="22.35" customHeight="1" x14ac:dyDescent="0.3"/>
    <row r="718" ht="22.35" customHeight="1" x14ac:dyDescent="0.3"/>
    <row r="719" ht="22.35" customHeight="1" x14ac:dyDescent="0.3"/>
    <row r="720" ht="22.35" customHeight="1" x14ac:dyDescent="0.3"/>
    <row r="721" ht="22.35" customHeight="1" x14ac:dyDescent="0.3"/>
    <row r="722" ht="22.35" customHeight="1" x14ac:dyDescent="0.3"/>
    <row r="723" ht="22.35" customHeight="1" x14ac:dyDescent="0.3"/>
    <row r="724" ht="22.35" customHeight="1" x14ac:dyDescent="0.3"/>
    <row r="725" ht="22.35" customHeight="1" x14ac:dyDescent="0.3"/>
    <row r="726" ht="22.35" customHeight="1" x14ac:dyDescent="0.3"/>
    <row r="727" ht="22.35" customHeight="1" x14ac:dyDescent="0.3"/>
    <row r="728" ht="22.35" customHeight="1" x14ac:dyDescent="0.3"/>
    <row r="729" ht="22.35" customHeight="1" x14ac:dyDescent="0.3"/>
    <row r="730" ht="22.35" customHeight="1" x14ac:dyDescent="0.3"/>
    <row r="731" ht="22.35" customHeight="1" x14ac:dyDescent="0.3"/>
    <row r="732" ht="22.35" customHeight="1" x14ac:dyDescent="0.3"/>
    <row r="733" ht="22.35" customHeight="1" x14ac:dyDescent="0.3"/>
    <row r="734" ht="22.35" customHeight="1" x14ac:dyDescent="0.3"/>
    <row r="735" ht="22.35" customHeight="1" x14ac:dyDescent="0.3"/>
    <row r="736" ht="22.35" customHeight="1" x14ac:dyDescent="0.3"/>
    <row r="737" ht="22.35" customHeight="1" x14ac:dyDescent="0.3"/>
    <row r="738" ht="22.35" customHeight="1" x14ac:dyDescent="0.3"/>
    <row r="739" ht="22.35" customHeight="1" x14ac:dyDescent="0.3"/>
    <row r="740" ht="22.35" customHeight="1" x14ac:dyDescent="0.3"/>
    <row r="741" ht="22.35" customHeight="1" x14ac:dyDescent="0.3"/>
    <row r="742" ht="22.35" customHeight="1" x14ac:dyDescent="0.3"/>
    <row r="743" ht="22.35" customHeight="1" x14ac:dyDescent="0.3"/>
    <row r="744" ht="22.35" customHeight="1" x14ac:dyDescent="0.3"/>
    <row r="745" ht="22.35" customHeight="1" x14ac:dyDescent="0.3"/>
    <row r="746" ht="22.35" customHeight="1" x14ac:dyDescent="0.3"/>
    <row r="747" ht="22.35" customHeight="1" x14ac:dyDescent="0.3"/>
    <row r="748" ht="22.35" customHeight="1" x14ac:dyDescent="0.3"/>
    <row r="749" ht="22.35" customHeight="1" x14ac:dyDescent="0.3"/>
    <row r="750" ht="22.35" customHeight="1" x14ac:dyDescent="0.3"/>
    <row r="751" ht="22.35" customHeight="1" x14ac:dyDescent="0.3"/>
    <row r="752" ht="22.35" customHeight="1" x14ac:dyDescent="0.3"/>
    <row r="753" ht="22.35" customHeight="1" x14ac:dyDescent="0.3"/>
    <row r="754" ht="22.35" customHeight="1" x14ac:dyDescent="0.3"/>
    <row r="755" ht="22.35" customHeight="1" x14ac:dyDescent="0.3"/>
    <row r="756" ht="22.35" customHeight="1" x14ac:dyDescent="0.3"/>
    <row r="757" ht="22.35" customHeight="1" x14ac:dyDescent="0.3"/>
    <row r="758" ht="22.35" customHeight="1" x14ac:dyDescent="0.3"/>
    <row r="759" ht="22.35" customHeight="1" x14ac:dyDescent="0.3"/>
    <row r="760" ht="22.35" customHeight="1" x14ac:dyDescent="0.3"/>
    <row r="761" ht="22.35" customHeight="1" x14ac:dyDescent="0.3"/>
    <row r="762" ht="22.35" customHeight="1" x14ac:dyDescent="0.3"/>
    <row r="763" ht="22.35" customHeight="1" x14ac:dyDescent="0.3"/>
    <row r="764" ht="22.35" customHeight="1" x14ac:dyDescent="0.3"/>
    <row r="765" ht="22.35" customHeight="1" x14ac:dyDescent="0.3"/>
    <row r="766" ht="22.35" customHeight="1" x14ac:dyDescent="0.3"/>
    <row r="767" ht="22.35" customHeight="1" x14ac:dyDescent="0.3"/>
    <row r="768" ht="22.35" customHeight="1" x14ac:dyDescent="0.3"/>
    <row r="769" ht="22.35" customHeight="1" x14ac:dyDescent="0.3"/>
    <row r="770" ht="22.35" customHeight="1" x14ac:dyDescent="0.3"/>
    <row r="771" ht="22.35" customHeight="1" x14ac:dyDescent="0.3"/>
    <row r="772" ht="22.35" customHeight="1" x14ac:dyDescent="0.3"/>
    <row r="773" ht="22.35" customHeight="1" x14ac:dyDescent="0.3"/>
    <row r="774" ht="22.35" customHeight="1" x14ac:dyDescent="0.3"/>
    <row r="775" ht="22.35" customHeight="1" x14ac:dyDescent="0.3"/>
    <row r="776" ht="22.35" customHeight="1" x14ac:dyDescent="0.3"/>
    <row r="777" ht="22.35" customHeight="1" x14ac:dyDescent="0.3"/>
    <row r="778" ht="22.35" customHeight="1" x14ac:dyDescent="0.3"/>
    <row r="779" ht="22.35" customHeight="1" x14ac:dyDescent="0.3"/>
    <row r="780" ht="22.35" customHeight="1" x14ac:dyDescent="0.3"/>
    <row r="781" ht="22.35" customHeight="1" x14ac:dyDescent="0.3"/>
    <row r="782" ht="22.35" customHeight="1" x14ac:dyDescent="0.3"/>
    <row r="783" ht="22.35" customHeight="1" x14ac:dyDescent="0.3"/>
    <row r="784" ht="22.35" customHeight="1" x14ac:dyDescent="0.3"/>
    <row r="785" ht="22.35" customHeight="1" x14ac:dyDescent="0.3"/>
    <row r="786" ht="22.35" customHeight="1" x14ac:dyDescent="0.3"/>
    <row r="787" ht="22.35" customHeight="1" x14ac:dyDescent="0.3"/>
    <row r="788" ht="22.35" customHeight="1" x14ac:dyDescent="0.3"/>
    <row r="789" ht="22.35" customHeight="1" x14ac:dyDescent="0.3"/>
    <row r="790" ht="22.35" customHeight="1" x14ac:dyDescent="0.3"/>
    <row r="791" ht="22.35" customHeight="1" x14ac:dyDescent="0.3"/>
    <row r="792" ht="22.35" customHeight="1" x14ac:dyDescent="0.3"/>
    <row r="793" ht="22.35" customHeight="1" x14ac:dyDescent="0.3"/>
    <row r="794" ht="22.35" customHeight="1" x14ac:dyDescent="0.3"/>
    <row r="795" ht="22.35" customHeight="1" x14ac:dyDescent="0.3"/>
    <row r="796" ht="22.35" customHeight="1" x14ac:dyDescent="0.3"/>
    <row r="797" ht="22.35" customHeight="1" x14ac:dyDescent="0.3"/>
    <row r="798" ht="22.35" customHeight="1" x14ac:dyDescent="0.3"/>
    <row r="799" ht="22.35" customHeight="1" x14ac:dyDescent="0.3"/>
    <row r="800" ht="22.35" customHeight="1" x14ac:dyDescent="0.3"/>
    <row r="801" ht="22.35" customHeight="1" x14ac:dyDescent="0.3"/>
    <row r="802" ht="22.35" customHeight="1" x14ac:dyDescent="0.3"/>
    <row r="803" ht="22.35" customHeight="1" x14ac:dyDescent="0.3"/>
    <row r="804" ht="22.35" customHeight="1" x14ac:dyDescent="0.3"/>
    <row r="805" ht="22.35" customHeight="1" x14ac:dyDescent="0.3"/>
    <row r="806" ht="22.35" customHeight="1" x14ac:dyDescent="0.3"/>
    <row r="807" ht="22.35" customHeight="1" x14ac:dyDescent="0.3"/>
    <row r="808" ht="22.35" customHeight="1" x14ac:dyDescent="0.3"/>
    <row r="809" ht="22.35" customHeight="1" x14ac:dyDescent="0.3"/>
    <row r="810" ht="22.35" customHeight="1" x14ac:dyDescent="0.3"/>
    <row r="811" ht="22.35" customHeight="1" x14ac:dyDescent="0.3"/>
    <row r="812" ht="22.35" customHeight="1" x14ac:dyDescent="0.3"/>
    <row r="813" ht="22.35" customHeight="1" x14ac:dyDescent="0.3"/>
    <row r="814" ht="22.35" customHeight="1" x14ac:dyDescent="0.3"/>
    <row r="815" ht="22.35" customHeight="1" x14ac:dyDescent="0.3"/>
    <row r="816" ht="22.35" customHeight="1" x14ac:dyDescent="0.3"/>
    <row r="817" ht="22.35" customHeight="1" x14ac:dyDescent="0.3"/>
    <row r="818" ht="22.35" customHeight="1" x14ac:dyDescent="0.3"/>
    <row r="819" ht="22.35" customHeight="1" x14ac:dyDescent="0.3"/>
    <row r="820" ht="22.35" customHeight="1" x14ac:dyDescent="0.3"/>
    <row r="821" ht="22.35" customHeight="1" x14ac:dyDescent="0.3"/>
    <row r="822" ht="22.35" customHeight="1" x14ac:dyDescent="0.3"/>
    <row r="823" ht="22.35" customHeight="1" x14ac:dyDescent="0.3"/>
    <row r="824" ht="22.35" customHeight="1" x14ac:dyDescent="0.3"/>
    <row r="825" ht="22.35" customHeight="1" x14ac:dyDescent="0.3"/>
    <row r="826" ht="22.35" customHeight="1" x14ac:dyDescent="0.3"/>
    <row r="827" ht="22.35" customHeight="1" x14ac:dyDescent="0.3"/>
    <row r="828" ht="22.35" customHeight="1" x14ac:dyDescent="0.3"/>
    <row r="829" ht="22.35" customHeight="1" x14ac:dyDescent="0.3"/>
    <row r="830" ht="22.35" customHeight="1" x14ac:dyDescent="0.3"/>
    <row r="831" ht="22.35" customHeight="1" x14ac:dyDescent="0.3"/>
    <row r="832" ht="22.35" customHeight="1" x14ac:dyDescent="0.3"/>
    <row r="833" ht="22.35" customHeight="1" x14ac:dyDescent="0.3"/>
    <row r="834" ht="22.35" customHeight="1" x14ac:dyDescent="0.3"/>
    <row r="835" ht="22.35" customHeight="1" x14ac:dyDescent="0.3"/>
    <row r="836" ht="22.35" customHeight="1" x14ac:dyDescent="0.3"/>
    <row r="837" ht="22.35" customHeight="1" x14ac:dyDescent="0.3"/>
    <row r="838" ht="22.35" customHeight="1" x14ac:dyDescent="0.3"/>
    <row r="839" ht="22.35" customHeight="1" x14ac:dyDescent="0.3"/>
    <row r="840" ht="22.35" customHeight="1" x14ac:dyDescent="0.3"/>
    <row r="841" ht="22.35" customHeight="1" x14ac:dyDescent="0.3"/>
    <row r="842" ht="22.35" customHeight="1" x14ac:dyDescent="0.3"/>
    <row r="843" ht="22.35" customHeight="1" x14ac:dyDescent="0.3"/>
    <row r="844" ht="22.35" customHeight="1" x14ac:dyDescent="0.3"/>
    <row r="845" ht="22.35" customHeight="1" x14ac:dyDescent="0.3"/>
    <row r="846" ht="22.35" customHeight="1" x14ac:dyDescent="0.3"/>
    <row r="847" ht="22.35" customHeight="1" x14ac:dyDescent="0.3"/>
    <row r="848" ht="22.35" customHeight="1" x14ac:dyDescent="0.3"/>
    <row r="849" ht="22.35" customHeight="1" x14ac:dyDescent="0.3"/>
    <row r="850" ht="22.35" customHeight="1" x14ac:dyDescent="0.3"/>
    <row r="851" ht="22.35" customHeight="1" x14ac:dyDescent="0.3"/>
    <row r="852" ht="22.35" customHeight="1" x14ac:dyDescent="0.3"/>
    <row r="853" ht="22.35" customHeight="1" x14ac:dyDescent="0.3"/>
    <row r="854" ht="22.35" customHeight="1" x14ac:dyDescent="0.3"/>
    <row r="855" ht="22.35" customHeight="1" x14ac:dyDescent="0.3"/>
    <row r="856" ht="22.35" customHeight="1" x14ac:dyDescent="0.3"/>
    <row r="857" ht="22.35" customHeight="1" x14ac:dyDescent="0.3"/>
    <row r="858" ht="22.35" customHeight="1" x14ac:dyDescent="0.3"/>
    <row r="859" ht="22.35" customHeight="1" x14ac:dyDescent="0.3"/>
    <row r="860" ht="22.35" customHeight="1" x14ac:dyDescent="0.3"/>
    <row r="861" ht="22.35" customHeight="1" x14ac:dyDescent="0.3"/>
    <row r="862" ht="22.35" customHeight="1" x14ac:dyDescent="0.3"/>
    <row r="863" ht="22.35" customHeight="1" x14ac:dyDescent="0.3"/>
    <row r="864" ht="22.35" customHeight="1" x14ac:dyDescent="0.3"/>
    <row r="865" ht="22.35" customHeight="1" x14ac:dyDescent="0.3"/>
    <row r="866" ht="22.35" customHeight="1" x14ac:dyDescent="0.3"/>
    <row r="867" ht="22.35" customHeight="1" x14ac:dyDescent="0.3"/>
    <row r="868" ht="22.35" customHeight="1" x14ac:dyDescent="0.3"/>
    <row r="869" ht="22.35" customHeight="1" x14ac:dyDescent="0.3"/>
    <row r="870" ht="22.35" customHeight="1" x14ac:dyDescent="0.3"/>
    <row r="871" ht="22.35" customHeight="1" x14ac:dyDescent="0.3"/>
    <row r="872" ht="22.35" customHeight="1" x14ac:dyDescent="0.3"/>
    <row r="873" ht="22.35" customHeight="1" x14ac:dyDescent="0.3"/>
    <row r="874" ht="22.35" customHeight="1" x14ac:dyDescent="0.3"/>
    <row r="875" ht="22.35" customHeight="1" x14ac:dyDescent="0.3"/>
    <row r="876" ht="22.35" customHeight="1" x14ac:dyDescent="0.3"/>
    <row r="877" ht="22.35" customHeight="1" x14ac:dyDescent="0.3"/>
    <row r="878" ht="22.35" customHeight="1" x14ac:dyDescent="0.3"/>
    <row r="879" ht="22.35" customHeight="1" x14ac:dyDescent="0.3"/>
    <row r="880" ht="22.35" customHeight="1" x14ac:dyDescent="0.3"/>
    <row r="881" ht="22.35" customHeight="1" x14ac:dyDescent="0.3"/>
    <row r="882" ht="22.35" customHeight="1" x14ac:dyDescent="0.3"/>
    <row r="883" ht="22.35" customHeight="1" x14ac:dyDescent="0.3"/>
    <row r="884" ht="22.35" customHeight="1" x14ac:dyDescent="0.3"/>
    <row r="885" ht="22.35" customHeight="1" x14ac:dyDescent="0.3"/>
    <row r="886" ht="22.35" customHeight="1" x14ac:dyDescent="0.3"/>
    <row r="887" ht="22.35" customHeight="1" x14ac:dyDescent="0.3"/>
    <row r="888" ht="22.35" customHeight="1" x14ac:dyDescent="0.3"/>
    <row r="889" ht="22.35" customHeight="1" x14ac:dyDescent="0.3"/>
    <row r="890" ht="22.35" customHeight="1" x14ac:dyDescent="0.3"/>
    <row r="891" ht="22.35" customHeight="1" x14ac:dyDescent="0.3"/>
    <row r="892" ht="22.35" customHeight="1" x14ac:dyDescent="0.3"/>
    <row r="893" ht="22.35" customHeight="1" x14ac:dyDescent="0.3"/>
    <row r="894" ht="22.35" customHeight="1" x14ac:dyDescent="0.3"/>
    <row r="895" ht="22.35" customHeight="1" x14ac:dyDescent="0.3"/>
    <row r="896" ht="22.35" customHeight="1" x14ac:dyDescent="0.3"/>
    <row r="897" ht="22.35" customHeight="1" x14ac:dyDescent="0.3"/>
    <row r="898" ht="22.35" customHeight="1" x14ac:dyDescent="0.3"/>
    <row r="899" ht="22.35" customHeight="1" x14ac:dyDescent="0.3"/>
    <row r="900" ht="22.35" customHeight="1" x14ac:dyDescent="0.3"/>
    <row r="901" ht="22.35" customHeight="1" x14ac:dyDescent="0.3"/>
    <row r="902" ht="22.35" customHeight="1" x14ac:dyDescent="0.3"/>
    <row r="903" ht="22.35" customHeight="1" x14ac:dyDescent="0.3"/>
    <row r="904" ht="22.35" customHeight="1" x14ac:dyDescent="0.3"/>
    <row r="905" ht="22.35" customHeight="1" x14ac:dyDescent="0.3"/>
    <row r="906" ht="22.35" customHeight="1" x14ac:dyDescent="0.3"/>
    <row r="907" ht="22.35" customHeight="1" x14ac:dyDescent="0.3"/>
    <row r="908" ht="22.35" customHeight="1" x14ac:dyDescent="0.3"/>
    <row r="909" ht="22.35" customHeight="1" x14ac:dyDescent="0.3"/>
    <row r="910" ht="22.35" customHeight="1" x14ac:dyDescent="0.3"/>
    <row r="911" ht="22.35" customHeight="1" x14ac:dyDescent="0.3"/>
    <row r="912" ht="22.35" customHeight="1" x14ac:dyDescent="0.3"/>
    <row r="913" ht="22.35" customHeight="1" x14ac:dyDescent="0.3"/>
    <row r="914" ht="22.35" customHeight="1" x14ac:dyDescent="0.3"/>
    <row r="915" ht="22.35" customHeight="1" x14ac:dyDescent="0.3"/>
    <row r="916" ht="22.35" customHeight="1" x14ac:dyDescent="0.3"/>
    <row r="917" ht="22.35" customHeight="1" x14ac:dyDescent="0.3"/>
    <row r="918" ht="22.35" customHeight="1" x14ac:dyDescent="0.3"/>
    <row r="919" ht="22.35" customHeight="1" x14ac:dyDescent="0.3"/>
    <row r="920" ht="22.35" customHeight="1" x14ac:dyDescent="0.3"/>
    <row r="921" ht="22.35" customHeight="1" x14ac:dyDescent="0.3"/>
    <row r="922" ht="22.35" customHeight="1" x14ac:dyDescent="0.3"/>
    <row r="923" ht="22.35" customHeight="1" x14ac:dyDescent="0.3"/>
    <row r="924" ht="22.35" customHeight="1" x14ac:dyDescent="0.3"/>
    <row r="925" ht="22.35" customHeight="1" x14ac:dyDescent="0.3"/>
    <row r="926" ht="22.35" customHeight="1" x14ac:dyDescent="0.3"/>
    <row r="927" ht="22.35" customHeight="1" x14ac:dyDescent="0.3"/>
    <row r="928" ht="22.35" customHeight="1" x14ac:dyDescent="0.3"/>
    <row r="929" ht="22.35" customHeight="1" x14ac:dyDescent="0.3"/>
    <row r="930" ht="22.35" customHeight="1" x14ac:dyDescent="0.3"/>
    <row r="931" ht="22.35" customHeight="1" x14ac:dyDescent="0.3"/>
    <row r="932" ht="22.35" customHeight="1" x14ac:dyDescent="0.3"/>
    <row r="933" ht="22.35" customHeight="1" x14ac:dyDescent="0.3"/>
    <row r="934" ht="22.35" customHeight="1" x14ac:dyDescent="0.3"/>
    <row r="935" ht="22.35" customHeight="1" x14ac:dyDescent="0.3"/>
    <row r="936" ht="22.35" customHeight="1" x14ac:dyDescent="0.3"/>
    <row r="937" ht="22.35" customHeight="1" x14ac:dyDescent="0.3"/>
    <row r="938" ht="22.35" customHeight="1" x14ac:dyDescent="0.3"/>
    <row r="939" ht="22.35" customHeight="1" x14ac:dyDescent="0.3"/>
    <row r="940" ht="22.35" customHeight="1" x14ac:dyDescent="0.3"/>
    <row r="941" ht="22.35" customHeight="1" x14ac:dyDescent="0.3"/>
    <row r="942" ht="22.35" customHeight="1" x14ac:dyDescent="0.3"/>
    <row r="943" ht="22.35" customHeight="1" x14ac:dyDescent="0.3"/>
    <row r="944" ht="22.35" customHeight="1" x14ac:dyDescent="0.3"/>
    <row r="945" ht="22.35" customHeight="1" x14ac:dyDescent="0.3"/>
    <row r="946" ht="22.35" customHeight="1" x14ac:dyDescent="0.3"/>
    <row r="947" ht="22.35" customHeight="1" x14ac:dyDescent="0.3"/>
    <row r="948" ht="22.35" customHeight="1" x14ac:dyDescent="0.3"/>
    <row r="949" ht="22.35" customHeight="1" x14ac:dyDescent="0.3"/>
    <row r="950" ht="22.35" customHeight="1" x14ac:dyDescent="0.3"/>
    <row r="951" ht="22.35" customHeight="1" x14ac:dyDescent="0.3"/>
    <row r="952" ht="22.35" customHeight="1" x14ac:dyDescent="0.3"/>
    <row r="953" ht="22.35" customHeight="1" x14ac:dyDescent="0.3"/>
    <row r="954" ht="22.35" customHeight="1" x14ac:dyDescent="0.3"/>
    <row r="955" ht="22.35" customHeight="1" x14ac:dyDescent="0.3"/>
    <row r="956" ht="22.35" customHeight="1" x14ac:dyDescent="0.3"/>
    <row r="957" ht="22.35" customHeight="1" x14ac:dyDescent="0.3"/>
    <row r="958" ht="22.35" customHeight="1" x14ac:dyDescent="0.3"/>
    <row r="959" ht="22.35" customHeight="1" x14ac:dyDescent="0.3"/>
    <row r="960" ht="22.35" customHeight="1" x14ac:dyDescent="0.3"/>
    <row r="961" ht="22.35" customHeight="1" x14ac:dyDescent="0.3"/>
    <row r="962" ht="22.35" customHeight="1" x14ac:dyDescent="0.3"/>
    <row r="963" ht="22.35" customHeight="1" x14ac:dyDescent="0.3"/>
    <row r="964" ht="22.35" customHeight="1" x14ac:dyDescent="0.3"/>
    <row r="965" ht="22.35" customHeight="1" x14ac:dyDescent="0.3"/>
    <row r="966" ht="22.35" customHeight="1" x14ac:dyDescent="0.3"/>
    <row r="967" ht="22.35" customHeight="1" x14ac:dyDescent="0.3"/>
    <row r="968" ht="22.35" customHeight="1" x14ac:dyDescent="0.3"/>
    <row r="969" ht="22.35" customHeight="1" x14ac:dyDescent="0.3"/>
    <row r="970" ht="22.35" customHeight="1" x14ac:dyDescent="0.3"/>
    <row r="971" ht="22.35" customHeight="1" x14ac:dyDescent="0.3"/>
    <row r="972" ht="22.35" customHeight="1" x14ac:dyDescent="0.3"/>
    <row r="973" ht="22.35" customHeight="1" x14ac:dyDescent="0.3"/>
    <row r="974" ht="22.35" customHeight="1" x14ac:dyDescent="0.3"/>
    <row r="975" ht="22.35" customHeight="1" x14ac:dyDescent="0.3"/>
    <row r="976" ht="22.35" customHeight="1" x14ac:dyDescent="0.3"/>
    <row r="977" ht="22.35" customHeight="1" x14ac:dyDescent="0.3"/>
    <row r="978" ht="22.35" customHeight="1" x14ac:dyDescent="0.3"/>
    <row r="979" ht="22.35" customHeight="1" x14ac:dyDescent="0.3"/>
    <row r="980" ht="22.35" customHeight="1" x14ac:dyDescent="0.3"/>
    <row r="981" ht="22.35" customHeight="1" x14ac:dyDescent="0.3"/>
    <row r="982" ht="22.35" customHeight="1" x14ac:dyDescent="0.3"/>
    <row r="983" ht="22.35" customHeight="1" x14ac:dyDescent="0.3"/>
    <row r="984" ht="22.35" customHeight="1" x14ac:dyDescent="0.3"/>
    <row r="985" ht="22.35" customHeight="1" x14ac:dyDescent="0.3"/>
    <row r="986" ht="22.35" customHeight="1" x14ac:dyDescent="0.3"/>
    <row r="987" ht="22.35" customHeight="1" x14ac:dyDescent="0.3"/>
    <row r="988" ht="22.35" customHeight="1" x14ac:dyDescent="0.3"/>
    <row r="989" ht="22.35" customHeight="1" x14ac:dyDescent="0.3"/>
    <row r="990" ht="22.35" customHeight="1" x14ac:dyDescent="0.3"/>
    <row r="991" ht="22.35" customHeight="1" x14ac:dyDescent="0.3"/>
    <row r="992" ht="22.35" customHeight="1" x14ac:dyDescent="0.3"/>
    <row r="993" ht="22.35" customHeight="1" x14ac:dyDescent="0.3"/>
    <row r="994" ht="22.35" customHeight="1" x14ac:dyDescent="0.3"/>
    <row r="995" ht="22.35" customHeight="1" x14ac:dyDescent="0.3"/>
    <row r="996" ht="22.35" customHeight="1" x14ac:dyDescent="0.3"/>
    <row r="997" ht="22.35" customHeight="1" x14ac:dyDescent="0.3"/>
    <row r="998" ht="22.35" customHeight="1" x14ac:dyDescent="0.3"/>
    <row r="999" ht="22.35" customHeight="1" x14ac:dyDescent="0.3"/>
    <row r="1000" ht="22.35" customHeight="1" x14ac:dyDescent="0.3"/>
    <row r="1001" ht="22.35" customHeight="1" x14ac:dyDescent="0.3"/>
    <row r="1002" ht="22.35" customHeight="1" x14ac:dyDescent="0.3"/>
    <row r="1003" ht="22.35" customHeight="1" x14ac:dyDescent="0.3"/>
    <row r="1004" ht="22.35" customHeight="1" x14ac:dyDescent="0.3"/>
    <row r="1005" ht="22.35" customHeight="1" x14ac:dyDescent="0.3"/>
    <row r="1006" ht="22.35" customHeight="1" x14ac:dyDescent="0.3"/>
    <row r="1007" ht="22.35" customHeight="1" x14ac:dyDescent="0.3"/>
    <row r="1008" ht="22.35" customHeight="1" x14ac:dyDescent="0.3"/>
    <row r="1009" ht="22.35" customHeight="1" x14ac:dyDescent="0.3"/>
    <row r="1010" ht="22.35" customHeight="1" x14ac:dyDescent="0.3"/>
    <row r="1011" ht="22.35" customHeight="1" x14ac:dyDescent="0.3"/>
    <row r="1012" ht="22.35" customHeight="1" x14ac:dyDescent="0.3"/>
    <row r="1013" ht="22.35" customHeight="1" x14ac:dyDescent="0.3"/>
    <row r="1014" ht="22.35" customHeight="1" x14ac:dyDescent="0.3"/>
    <row r="1015" ht="22.35" customHeight="1" x14ac:dyDescent="0.3"/>
    <row r="1016" ht="22.35" customHeight="1" x14ac:dyDescent="0.3"/>
    <row r="1017" ht="22.35" customHeight="1" x14ac:dyDescent="0.3"/>
    <row r="1018" ht="22.35" customHeight="1" x14ac:dyDescent="0.3"/>
    <row r="1019" ht="22.35" customHeight="1" x14ac:dyDescent="0.3"/>
    <row r="1020" ht="22.35" customHeight="1" x14ac:dyDescent="0.3"/>
    <row r="1021" ht="22.35" customHeight="1" x14ac:dyDescent="0.3"/>
    <row r="1022" ht="22.35" customHeight="1" x14ac:dyDescent="0.3"/>
    <row r="1023" ht="22.35" customHeight="1" x14ac:dyDescent="0.3"/>
    <row r="1024" ht="22.35" customHeight="1" x14ac:dyDescent="0.3"/>
    <row r="1025" ht="22.35" customHeight="1" x14ac:dyDescent="0.3"/>
    <row r="1026" ht="22.35" customHeight="1" x14ac:dyDescent="0.3"/>
    <row r="1027" ht="22.35" customHeight="1" x14ac:dyDescent="0.3"/>
    <row r="1028" ht="22.35" customHeight="1" x14ac:dyDescent="0.3"/>
    <row r="1029" ht="22.35" customHeight="1" x14ac:dyDescent="0.3"/>
    <row r="1030" ht="22.35" customHeight="1" x14ac:dyDescent="0.3"/>
    <row r="1031" ht="22.35" customHeight="1" x14ac:dyDescent="0.3"/>
    <row r="1032" ht="22.35" customHeight="1" x14ac:dyDescent="0.3"/>
    <row r="1033" ht="22.35" customHeight="1" x14ac:dyDescent="0.3"/>
    <row r="1034" ht="22.35" customHeight="1" x14ac:dyDescent="0.3"/>
    <row r="1035" ht="22.35" customHeight="1" x14ac:dyDescent="0.3"/>
    <row r="1036" ht="22.35" customHeight="1" x14ac:dyDescent="0.3"/>
    <row r="1037" ht="22.35" customHeight="1" x14ac:dyDescent="0.3"/>
    <row r="1038" ht="22.35" customHeight="1" x14ac:dyDescent="0.3"/>
    <row r="1039" ht="22.35" customHeight="1" x14ac:dyDescent="0.3"/>
    <row r="1040" ht="22.35" customHeight="1" x14ac:dyDescent="0.3"/>
    <row r="1041" ht="22.35" customHeight="1" x14ac:dyDescent="0.3"/>
    <row r="1042" ht="22.35" customHeight="1" x14ac:dyDescent="0.3"/>
    <row r="1043" ht="22.35" customHeight="1" x14ac:dyDescent="0.3"/>
    <row r="1044" ht="22.35" customHeight="1" x14ac:dyDescent="0.3"/>
    <row r="1045" ht="22.35" customHeight="1" x14ac:dyDescent="0.3"/>
    <row r="1046" ht="22.35" customHeight="1" x14ac:dyDescent="0.3"/>
    <row r="1047" ht="22.35" customHeight="1" x14ac:dyDescent="0.3"/>
    <row r="1048" ht="22.35" customHeight="1" x14ac:dyDescent="0.3"/>
    <row r="1049" ht="22.35" customHeight="1" x14ac:dyDescent="0.3"/>
    <row r="1050" ht="22.35" customHeight="1" x14ac:dyDescent="0.3"/>
    <row r="1051" ht="22.35" customHeight="1" x14ac:dyDescent="0.3"/>
    <row r="1052" ht="22.35" customHeight="1" x14ac:dyDescent="0.3"/>
    <row r="1053" ht="22.35" customHeight="1" x14ac:dyDescent="0.3"/>
    <row r="1054" ht="22.35" customHeight="1" x14ac:dyDescent="0.3"/>
    <row r="1055" ht="22.35" customHeight="1" x14ac:dyDescent="0.3"/>
    <row r="1056" ht="22.35" customHeight="1" x14ac:dyDescent="0.3"/>
    <row r="1057" ht="22.35" customHeight="1" x14ac:dyDescent="0.3"/>
    <row r="1058" ht="22.35" customHeight="1" x14ac:dyDescent="0.3"/>
    <row r="1059" ht="22.35" customHeight="1" x14ac:dyDescent="0.3"/>
    <row r="1060" ht="22.35" customHeight="1" x14ac:dyDescent="0.3"/>
    <row r="1061" ht="22.35" customHeight="1" x14ac:dyDescent="0.3"/>
    <row r="1062" ht="22.35" customHeight="1" x14ac:dyDescent="0.3"/>
    <row r="1063" ht="22.35" customHeight="1" x14ac:dyDescent="0.3"/>
    <row r="1064" ht="22.35" customHeight="1" x14ac:dyDescent="0.3"/>
    <row r="1065" ht="22.35" customHeight="1" x14ac:dyDescent="0.3"/>
    <row r="1066" ht="22.35" customHeight="1" x14ac:dyDescent="0.3"/>
    <row r="1067" ht="22.35" customHeight="1" x14ac:dyDescent="0.3"/>
    <row r="1068" ht="22.35" customHeight="1" x14ac:dyDescent="0.3"/>
    <row r="1069" ht="22.35" customHeight="1" x14ac:dyDescent="0.3"/>
    <row r="1070" ht="22.35" customHeight="1" x14ac:dyDescent="0.3"/>
    <row r="1071" ht="22.35" customHeight="1" x14ac:dyDescent="0.3"/>
    <row r="1072" ht="22.35" customHeight="1" x14ac:dyDescent="0.3"/>
    <row r="1073" ht="22.35" customHeight="1" x14ac:dyDescent="0.3"/>
    <row r="1074" ht="22.35" customHeight="1" x14ac:dyDescent="0.3"/>
    <row r="1075" ht="22.35" customHeight="1" x14ac:dyDescent="0.3"/>
    <row r="1076" ht="22.35" customHeight="1" x14ac:dyDescent="0.3"/>
    <row r="1077" ht="22.35" customHeight="1" x14ac:dyDescent="0.3"/>
    <row r="1078" ht="22.35" customHeight="1" x14ac:dyDescent="0.3"/>
    <row r="1079" ht="22.35" customHeight="1" x14ac:dyDescent="0.3"/>
    <row r="1080" ht="22.35" customHeight="1" x14ac:dyDescent="0.3"/>
    <row r="1081" ht="22.35" customHeight="1" x14ac:dyDescent="0.3"/>
    <row r="1082" ht="22.35" customHeight="1" x14ac:dyDescent="0.3"/>
    <row r="1083" ht="22.35" customHeight="1" x14ac:dyDescent="0.3"/>
    <row r="1084" ht="22.35" customHeight="1" x14ac:dyDescent="0.3"/>
    <row r="1085" ht="22.35" customHeight="1" x14ac:dyDescent="0.3"/>
    <row r="1086" ht="22.35" customHeight="1" x14ac:dyDescent="0.3"/>
    <row r="1087" ht="22.35" customHeight="1" x14ac:dyDescent="0.3"/>
    <row r="1088" ht="22.35" customHeight="1" x14ac:dyDescent="0.3"/>
    <row r="1089" ht="22.35" customHeight="1" x14ac:dyDescent="0.3"/>
    <row r="1090" ht="22.35" customHeight="1" x14ac:dyDescent="0.3"/>
    <row r="1091" ht="22.35" customHeight="1" x14ac:dyDescent="0.3"/>
    <row r="1092" ht="22.35" customHeight="1" x14ac:dyDescent="0.3"/>
    <row r="1093" ht="22.35" customHeight="1" x14ac:dyDescent="0.3"/>
    <row r="1094" ht="22.35" customHeight="1" x14ac:dyDescent="0.3"/>
    <row r="1095" ht="22.35" customHeight="1" x14ac:dyDescent="0.3"/>
    <row r="1096" ht="22.35" customHeight="1" x14ac:dyDescent="0.3"/>
    <row r="1097" ht="22.35" customHeight="1" x14ac:dyDescent="0.3"/>
    <row r="1098" ht="22.35" customHeight="1" x14ac:dyDescent="0.3"/>
    <row r="1099" ht="22.35" customHeight="1" x14ac:dyDescent="0.3"/>
    <row r="1100" ht="22.35" customHeight="1" x14ac:dyDescent="0.3"/>
    <row r="1101" ht="22.35" customHeight="1" x14ac:dyDescent="0.3"/>
    <row r="1102" ht="22.35" customHeight="1" x14ac:dyDescent="0.3"/>
    <row r="1103" ht="22.35" customHeight="1" x14ac:dyDescent="0.3"/>
    <row r="1104" ht="22.35" customHeight="1" x14ac:dyDescent="0.3"/>
    <row r="1105" ht="22.35" customHeight="1" x14ac:dyDescent="0.3"/>
    <row r="1106" ht="22.35" customHeight="1" x14ac:dyDescent="0.3"/>
    <row r="1107" ht="22.35" customHeight="1" x14ac:dyDescent="0.3"/>
    <row r="1108" ht="22.35" customHeight="1" x14ac:dyDescent="0.3"/>
    <row r="1109" ht="22.35" customHeight="1" x14ac:dyDescent="0.3"/>
    <row r="1110" ht="22.35" customHeight="1" x14ac:dyDescent="0.3"/>
    <row r="1111" ht="22.35" customHeight="1" x14ac:dyDescent="0.3"/>
    <row r="1112" ht="22.35" customHeight="1" x14ac:dyDescent="0.3"/>
    <row r="1113" ht="22.35" customHeight="1" x14ac:dyDescent="0.3"/>
    <row r="1114" ht="22.35" customHeight="1" x14ac:dyDescent="0.3"/>
    <row r="1115" ht="22.35" customHeight="1" x14ac:dyDescent="0.3"/>
    <row r="1116" ht="22.35" customHeight="1" x14ac:dyDescent="0.3"/>
    <row r="1117" ht="22.35" customHeight="1" x14ac:dyDescent="0.3"/>
    <row r="1118" ht="22.35" customHeight="1" x14ac:dyDescent="0.3"/>
    <row r="1119" ht="22.35" customHeight="1" x14ac:dyDescent="0.3"/>
    <row r="1120" ht="22.35" customHeight="1" x14ac:dyDescent="0.3"/>
    <row r="1121" ht="22.35" customHeight="1" x14ac:dyDescent="0.3"/>
    <row r="1122" ht="22.35" customHeight="1" x14ac:dyDescent="0.3"/>
    <row r="1123" ht="22.35" customHeight="1" x14ac:dyDescent="0.3"/>
    <row r="1124" ht="22.35" customHeight="1" x14ac:dyDescent="0.3"/>
    <row r="1125" ht="22.35" customHeight="1" x14ac:dyDescent="0.3"/>
    <row r="1126" ht="22.35" customHeight="1" x14ac:dyDescent="0.3"/>
    <row r="1127" ht="22.35" customHeight="1" x14ac:dyDescent="0.3"/>
    <row r="1128" ht="22.35" customHeight="1" x14ac:dyDescent="0.3"/>
    <row r="1129" ht="22.35" customHeight="1" x14ac:dyDescent="0.3"/>
    <row r="1130" ht="22.35" customHeight="1" x14ac:dyDescent="0.3"/>
    <row r="1131" ht="22.35" customHeight="1" x14ac:dyDescent="0.3"/>
    <row r="1132" ht="22.35" customHeight="1" x14ac:dyDescent="0.3"/>
    <row r="1133" ht="22.35" customHeight="1" x14ac:dyDescent="0.3"/>
    <row r="1134" ht="22.35" customHeight="1" x14ac:dyDescent="0.3"/>
    <row r="1135" ht="22.35" customHeight="1" x14ac:dyDescent="0.3"/>
    <row r="1136" ht="22.35" customHeight="1" x14ac:dyDescent="0.3"/>
    <row r="1137" ht="22.35" customHeight="1" x14ac:dyDescent="0.3"/>
    <row r="1138" ht="22.35" customHeight="1" x14ac:dyDescent="0.3"/>
    <row r="1139" ht="22.35" customHeight="1" x14ac:dyDescent="0.3"/>
    <row r="1140" ht="22.35" customHeight="1" x14ac:dyDescent="0.3"/>
    <row r="1141" ht="22.35" customHeight="1" x14ac:dyDescent="0.3"/>
    <row r="1142" ht="22.35" customHeight="1" x14ac:dyDescent="0.3"/>
    <row r="1143" ht="22.35" customHeight="1" x14ac:dyDescent="0.3"/>
    <row r="1144" ht="22.35" customHeight="1" x14ac:dyDescent="0.3"/>
    <row r="1145" ht="22.35" customHeight="1" x14ac:dyDescent="0.3"/>
    <row r="1146" ht="22.35" customHeight="1" x14ac:dyDescent="0.3"/>
    <row r="1147" ht="22.35" customHeight="1" x14ac:dyDescent="0.3"/>
    <row r="1148" ht="22.35" customHeight="1" x14ac:dyDescent="0.3"/>
    <row r="1149" ht="22.35" customHeight="1" x14ac:dyDescent="0.3"/>
    <row r="1150" ht="22.35" customHeight="1" x14ac:dyDescent="0.3"/>
    <row r="1151" ht="22.35" customHeight="1" x14ac:dyDescent="0.3"/>
    <row r="1152" ht="22.35" customHeight="1" x14ac:dyDescent="0.3"/>
    <row r="1153" ht="22.35" customHeight="1" x14ac:dyDescent="0.3"/>
    <row r="1154" ht="22.35" customHeight="1" x14ac:dyDescent="0.3"/>
    <row r="1155" ht="22.35" customHeight="1" x14ac:dyDescent="0.3"/>
    <row r="1156" ht="22.35" customHeight="1" x14ac:dyDescent="0.3"/>
    <row r="1157" ht="22.35" customHeight="1" x14ac:dyDescent="0.3"/>
    <row r="1158" ht="22.35" customHeight="1" x14ac:dyDescent="0.3"/>
    <row r="1159" ht="22.35" customHeight="1" x14ac:dyDescent="0.3"/>
    <row r="1160" ht="22.35" customHeight="1" x14ac:dyDescent="0.3"/>
    <row r="1161" ht="22.35" customHeight="1" x14ac:dyDescent="0.3"/>
    <row r="1162" ht="22.35" customHeight="1" x14ac:dyDescent="0.3"/>
    <row r="1163" ht="22.35" customHeight="1" x14ac:dyDescent="0.3"/>
    <row r="1164" ht="22.35" customHeight="1" x14ac:dyDescent="0.3"/>
    <row r="1165" ht="22.35" customHeight="1" x14ac:dyDescent="0.3"/>
    <row r="1166" ht="22.35" customHeight="1" x14ac:dyDescent="0.3"/>
    <row r="1167" ht="22.35" customHeight="1" x14ac:dyDescent="0.3"/>
    <row r="1168" ht="22.35" customHeight="1" x14ac:dyDescent="0.3"/>
    <row r="1169" ht="22.35" customHeight="1" x14ac:dyDescent="0.3"/>
    <row r="1170" ht="22.35" customHeight="1" x14ac:dyDescent="0.3"/>
    <row r="1171" ht="22.35" customHeight="1" x14ac:dyDescent="0.3"/>
    <row r="1172" ht="22.35" customHeight="1" x14ac:dyDescent="0.3"/>
    <row r="1173" ht="22.35" customHeight="1" x14ac:dyDescent="0.3"/>
    <row r="1174" ht="22.35" customHeight="1" x14ac:dyDescent="0.3"/>
    <row r="1175" ht="22.35" customHeight="1" x14ac:dyDescent="0.3"/>
    <row r="1176" ht="22.35" customHeight="1" x14ac:dyDescent="0.3"/>
    <row r="1177" ht="22.35" customHeight="1" x14ac:dyDescent="0.3"/>
    <row r="1178" ht="22.35" customHeight="1" x14ac:dyDescent="0.3"/>
    <row r="1179" ht="22.35" customHeight="1" x14ac:dyDescent="0.3"/>
    <row r="1180" ht="22.35" customHeight="1" x14ac:dyDescent="0.3"/>
    <row r="1181" ht="22.35" customHeight="1" x14ac:dyDescent="0.3"/>
    <row r="1182" ht="22.35" customHeight="1" x14ac:dyDescent="0.3"/>
    <row r="1183" ht="22.35" customHeight="1" x14ac:dyDescent="0.3"/>
    <row r="1184" ht="22.35" customHeight="1" x14ac:dyDescent="0.3"/>
    <row r="1185" ht="22.35" customHeight="1" x14ac:dyDescent="0.3"/>
    <row r="1186" ht="22.35" customHeight="1" x14ac:dyDescent="0.3"/>
    <row r="1187" ht="22.35" customHeight="1" x14ac:dyDescent="0.3"/>
    <row r="1188" ht="22.35" customHeight="1" x14ac:dyDescent="0.3"/>
    <row r="1189" ht="22.35" customHeight="1" x14ac:dyDescent="0.3"/>
    <row r="1190" ht="22.35" customHeight="1" x14ac:dyDescent="0.3"/>
    <row r="1191" ht="22.35" customHeight="1" x14ac:dyDescent="0.3"/>
    <row r="1192" ht="22.35" customHeight="1" x14ac:dyDescent="0.3"/>
    <row r="1193" ht="22.35" customHeight="1" x14ac:dyDescent="0.3"/>
    <row r="1194" ht="22.35" customHeight="1" x14ac:dyDescent="0.3"/>
    <row r="1195" ht="22.35" customHeight="1" x14ac:dyDescent="0.3"/>
    <row r="1196" ht="22.35" customHeight="1" x14ac:dyDescent="0.3"/>
    <row r="1197" ht="22.35" customHeight="1" x14ac:dyDescent="0.3"/>
    <row r="1198" ht="22.35" customHeight="1" x14ac:dyDescent="0.3"/>
    <row r="1199" ht="22.35" customHeight="1" x14ac:dyDescent="0.3"/>
    <row r="1200" ht="22.35" customHeight="1" x14ac:dyDescent="0.3"/>
    <row r="1201" ht="22.35" customHeight="1" x14ac:dyDescent="0.3"/>
    <row r="1202" ht="22.35" customHeight="1" x14ac:dyDescent="0.3"/>
    <row r="1203" ht="22.35" customHeight="1" x14ac:dyDescent="0.3"/>
    <row r="1204" ht="22.35" customHeight="1" x14ac:dyDescent="0.3"/>
    <row r="1205" ht="22.35" customHeight="1" x14ac:dyDescent="0.3"/>
    <row r="1206" ht="22.35" customHeight="1" x14ac:dyDescent="0.3"/>
    <row r="1207" ht="22.35" customHeight="1" x14ac:dyDescent="0.3"/>
    <row r="1208" ht="22.35" customHeight="1" x14ac:dyDescent="0.3"/>
    <row r="1209" ht="22.35" customHeight="1" x14ac:dyDescent="0.3"/>
    <row r="1210" ht="22.35" customHeight="1" x14ac:dyDescent="0.3"/>
    <row r="1211" ht="22.35" customHeight="1" x14ac:dyDescent="0.3"/>
    <row r="1212" ht="22.35" customHeight="1" x14ac:dyDescent="0.3"/>
    <row r="1213" ht="22.35" customHeight="1" x14ac:dyDescent="0.3"/>
    <row r="1214" ht="22.35" customHeight="1" x14ac:dyDescent="0.3"/>
    <row r="1215" ht="22.35" customHeight="1" x14ac:dyDescent="0.3"/>
    <row r="1216" ht="22.35" customHeight="1" x14ac:dyDescent="0.3"/>
    <row r="1217" ht="22.35" customHeight="1" x14ac:dyDescent="0.3"/>
    <row r="1218" ht="22.35" customHeight="1" x14ac:dyDescent="0.3"/>
    <row r="1219" ht="22.35" customHeight="1" x14ac:dyDescent="0.3"/>
    <row r="1220" ht="22.35" customHeight="1" x14ac:dyDescent="0.3"/>
    <row r="1221" ht="22.35" customHeight="1" x14ac:dyDescent="0.3"/>
    <row r="1222" ht="22.35" customHeight="1" x14ac:dyDescent="0.3"/>
    <row r="1223" ht="22.35" customHeight="1" x14ac:dyDescent="0.3"/>
    <row r="1224" ht="22.35" customHeight="1" x14ac:dyDescent="0.3"/>
    <row r="1225" ht="22.35" customHeight="1" x14ac:dyDescent="0.3"/>
    <row r="1226" ht="22.35" customHeight="1" x14ac:dyDescent="0.3"/>
    <row r="1227" ht="22.35" customHeight="1" x14ac:dyDescent="0.3"/>
    <row r="1228" ht="22.35" customHeight="1" x14ac:dyDescent="0.3"/>
    <row r="1229" ht="22.35" customHeight="1" x14ac:dyDescent="0.3"/>
    <row r="1230" ht="22.35" customHeight="1" x14ac:dyDescent="0.3"/>
    <row r="1231" ht="22.35" customHeight="1" x14ac:dyDescent="0.3"/>
    <row r="1232" ht="22.35" customHeight="1" x14ac:dyDescent="0.3"/>
    <row r="1233" ht="22.35" customHeight="1" x14ac:dyDescent="0.3"/>
    <row r="1234" ht="22.35" customHeight="1" x14ac:dyDescent="0.3"/>
    <row r="1235" ht="22.35" customHeight="1" x14ac:dyDescent="0.3"/>
    <row r="1236" ht="22.35" customHeight="1" x14ac:dyDescent="0.3"/>
    <row r="1237" ht="22.35" customHeight="1" x14ac:dyDescent="0.3"/>
    <row r="1238" ht="22.35" customHeight="1" x14ac:dyDescent="0.3"/>
    <row r="1239" ht="22.35" customHeight="1" x14ac:dyDescent="0.3"/>
    <row r="1240" ht="22.35" customHeight="1" x14ac:dyDescent="0.3"/>
    <row r="1241" ht="22.35" customHeight="1" x14ac:dyDescent="0.3"/>
    <row r="1242" ht="22.35" customHeight="1" x14ac:dyDescent="0.3"/>
    <row r="1243" ht="22.35" customHeight="1" x14ac:dyDescent="0.3"/>
    <row r="1244" ht="22.35" customHeight="1" x14ac:dyDescent="0.3"/>
    <row r="1245" ht="22.35" customHeight="1" x14ac:dyDescent="0.3"/>
    <row r="1246" ht="22.35" customHeight="1" x14ac:dyDescent="0.3"/>
    <row r="1247" ht="22.35" customHeight="1" x14ac:dyDescent="0.3"/>
    <row r="1248" ht="22.35" customHeight="1" x14ac:dyDescent="0.3"/>
    <row r="1249" ht="22.35" customHeight="1" x14ac:dyDescent="0.3"/>
    <row r="1250" ht="22.35" customHeight="1" x14ac:dyDescent="0.3"/>
    <row r="1251" ht="22.35" customHeight="1" x14ac:dyDescent="0.3"/>
    <row r="1252" ht="22.35" customHeight="1" x14ac:dyDescent="0.3"/>
    <row r="1253" ht="22.35" customHeight="1" x14ac:dyDescent="0.3"/>
    <row r="1254" ht="22.35" customHeight="1" x14ac:dyDescent="0.3"/>
    <row r="1255" ht="22.35" customHeight="1" x14ac:dyDescent="0.3"/>
    <row r="1256" ht="22.35" customHeight="1" x14ac:dyDescent="0.3"/>
    <row r="1257" ht="22.35" customHeight="1" x14ac:dyDescent="0.3"/>
    <row r="1258" ht="22.35" customHeight="1" x14ac:dyDescent="0.3"/>
    <row r="1259" ht="22.35" customHeight="1" x14ac:dyDescent="0.3"/>
    <row r="1260" ht="22.35" customHeight="1" x14ac:dyDescent="0.3"/>
    <row r="1261" ht="22.35" customHeight="1" x14ac:dyDescent="0.3"/>
    <row r="1262" ht="22.35" customHeight="1" x14ac:dyDescent="0.3"/>
    <row r="1263" ht="22.35" customHeight="1" x14ac:dyDescent="0.3"/>
    <row r="1264" ht="22.35" customHeight="1" x14ac:dyDescent="0.3"/>
    <row r="1265" ht="22.35" customHeight="1" x14ac:dyDescent="0.3"/>
    <row r="1266" ht="22.35" customHeight="1" x14ac:dyDescent="0.3"/>
    <row r="1267" ht="22.35" customHeight="1" x14ac:dyDescent="0.3"/>
    <row r="1268" ht="22.35" customHeight="1" x14ac:dyDescent="0.3"/>
    <row r="1269" ht="22.35" customHeight="1" x14ac:dyDescent="0.3"/>
    <row r="1270" ht="22.35" customHeight="1" x14ac:dyDescent="0.3"/>
    <row r="1271" ht="22.35" customHeight="1" x14ac:dyDescent="0.3"/>
    <row r="1272" ht="22.35" customHeight="1" x14ac:dyDescent="0.3"/>
    <row r="1273" ht="22.35" customHeight="1" x14ac:dyDescent="0.3"/>
    <row r="1274" ht="22.35" customHeight="1" x14ac:dyDescent="0.3"/>
    <row r="1275" ht="22.35" customHeight="1" x14ac:dyDescent="0.3"/>
    <row r="1276" ht="22.35" customHeight="1" x14ac:dyDescent="0.3"/>
    <row r="1277" ht="22.35" customHeight="1" x14ac:dyDescent="0.3"/>
    <row r="1278" ht="22.35" customHeight="1" x14ac:dyDescent="0.3"/>
    <row r="1279" ht="22.35" customHeight="1" x14ac:dyDescent="0.3"/>
    <row r="1280" ht="22.35" customHeight="1" x14ac:dyDescent="0.3"/>
    <row r="1281" ht="22.35" customHeight="1" x14ac:dyDescent="0.3"/>
    <row r="1282" ht="22.35" customHeight="1" x14ac:dyDescent="0.3"/>
    <row r="1283" ht="22.35" customHeight="1" x14ac:dyDescent="0.3"/>
    <row r="1284" ht="22.35" customHeight="1" x14ac:dyDescent="0.3"/>
    <row r="1285" ht="22.35" customHeight="1" x14ac:dyDescent="0.3"/>
    <row r="1286" ht="22.35" customHeight="1" x14ac:dyDescent="0.3"/>
    <row r="1287" ht="22.35" customHeight="1" x14ac:dyDescent="0.3"/>
    <row r="1288" ht="22.35" customHeight="1" x14ac:dyDescent="0.3"/>
    <row r="1289" ht="22.35" customHeight="1" x14ac:dyDescent="0.3"/>
    <row r="1290" ht="22.35" customHeight="1" x14ac:dyDescent="0.3"/>
    <row r="1291" ht="22.35" customHeight="1" x14ac:dyDescent="0.3"/>
    <row r="1292" ht="22.35" customHeight="1" x14ac:dyDescent="0.3"/>
    <row r="1293" ht="22.35" customHeight="1" x14ac:dyDescent="0.3"/>
    <row r="1294" ht="22.35" customHeight="1" x14ac:dyDescent="0.3"/>
    <row r="1295" ht="22.35" customHeight="1" x14ac:dyDescent="0.3"/>
    <row r="1296" ht="22.35" customHeight="1" x14ac:dyDescent="0.3"/>
    <row r="1297" ht="22.35" customHeight="1" x14ac:dyDescent="0.3"/>
    <row r="1298" ht="22.35" customHeight="1" x14ac:dyDescent="0.3"/>
    <row r="1299" ht="22.35" customHeight="1" x14ac:dyDescent="0.3"/>
    <row r="1300" ht="22.35" customHeight="1" x14ac:dyDescent="0.3"/>
    <row r="1301" ht="22.35" customHeight="1" x14ac:dyDescent="0.3"/>
    <row r="1302" ht="22.35" customHeight="1" x14ac:dyDescent="0.3"/>
    <row r="1303" ht="22.35" customHeight="1" x14ac:dyDescent="0.3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A078-389E-4A9F-805F-EDCBEF7FFAD3}">
  <sheetPr>
    <pageSetUpPr fitToPage="1"/>
  </sheetPr>
  <dimension ref="A1:AW1302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114" customWidth="1"/>
    <col min="2" max="2" width="79.44140625" style="131" customWidth="1"/>
    <col min="3" max="4" width="24.5546875" style="132" customWidth="1"/>
    <col min="5" max="8" width="24.5546875" style="120" customWidth="1"/>
    <col min="9" max="10" width="24.5546875" style="114" customWidth="1"/>
    <col min="11" max="11" width="9.44140625" style="114" bestFit="1" customWidth="1"/>
    <col min="12" max="12" width="9.109375" style="114"/>
    <col min="13" max="13" width="12.5546875" style="114" customWidth="1"/>
    <col min="14" max="15" width="13.5546875" style="114" customWidth="1"/>
    <col min="16" max="16" width="11.88671875" style="114" customWidth="1"/>
    <col min="17" max="17" width="11.5546875" style="114" customWidth="1"/>
    <col min="18" max="18" width="15.5546875" style="114" customWidth="1"/>
    <col min="19" max="19" width="11.88671875" style="114" customWidth="1"/>
    <col min="20" max="16384" width="9.109375" style="114"/>
  </cols>
  <sheetData>
    <row r="1" spans="1:49" ht="70.349999999999994" customHeight="1" x14ac:dyDescent="0.3">
      <c r="A1" s="288" t="s">
        <v>96</v>
      </c>
      <c r="B1" s="289" t="s">
        <v>95</v>
      </c>
      <c r="C1" s="290"/>
      <c r="D1" s="290"/>
      <c r="E1" s="290"/>
      <c r="F1" s="290"/>
      <c r="G1" s="290"/>
      <c r="H1" s="290"/>
      <c r="I1" s="290"/>
      <c r="J1" s="290"/>
    </row>
    <row r="2" spans="1:49" ht="20.399999999999999" customHeight="1" x14ac:dyDescent="0.35">
      <c r="A2" s="291"/>
      <c r="B2" s="292"/>
      <c r="C2" s="365"/>
      <c r="D2" s="365"/>
      <c r="E2" s="293"/>
      <c r="F2" s="294"/>
      <c r="G2" s="295"/>
      <c r="H2" s="275"/>
      <c r="I2" s="295"/>
      <c r="J2" s="296" t="s">
        <v>55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</row>
    <row r="3" spans="1:49" s="120" customFormat="1" ht="15" customHeight="1" x14ac:dyDescent="0.35">
      <c r="A3" s="272"/>
      <c r="B3" s="346" t="s">
        <v>1</v>
      </c>
      <c r="C3" s="348" t="s">
        <v>90</v>
      </c>
      <c r="D3" s="349"/>
      <c r="E3" s="349"/>
      <c r="F3" s="349"/>
      <c r="G3" s="349"/>
      <c r="H3" s="349"/>
      <c r="I3" s="349"/>
      <c r="J3" s="350"/>
    </row>
    <row r="4" spans="1:49" s="120" customFormat="1" ht="15" customHeight="1" x14ac:dyDescent="0.35">
      <c r="A4" s="273"/>
      <c r="B4" s="347"/>
      <c r="C4" s="351"/>
      <c r="D4" s="352"/>
      <c r="E4" s="352"/>
      <c r="F4" s="352"/>
      <c r="G4" s="352"/>
      <c r="H4" s="352"/>
      <c r="I4" s="352"/>
      <c r="J4" s="353"/>
    </row>
    <row r="5" spans="1:49" s="120" customFormat="1" ht="15" customHeight="1" x14ac:dyDescent="0.35">
      <c r="A5" s="273"/>
      <c r="B5" s="241"/>
      <c r="C5" s="354" t="s">
        <v>3</v>
      </c>
      <c r="D5" s="354"/>
      <c r="E5" s="354" t="s">
        <v>5</v>
      </c>
      <c r="F5" s="354"/>
      <c r="G5" s="348" t="s">
        <v>6</v>
      </c>
      <c r="H5" s="349"/>
      <c r="I5" s="348" t="s">
        <v>7</v>
      </c>
      <c r="J5" s="350"/>
    </row>
    <row r="6" spans="1:49" s="120" customFormat="1" ht="15" customHeight="1" x14ac:dyDescent="0.35">
      <c r="A6" s="273"/>
      <c r="B6" s="241"/>
      <c r="C6" s="355"/>
      <c r="D6" s="355"/>
      <c r="E6" s="355"/>
      <c r="F6" s="355"/>
      <c r="G6" s="351"/>
      <c r="H6" s="352"/>
      <c r="I6" s="351"/>
      <c r="J6" s="353"/>
    </row>
    <row r="7" spans="1:49" s="121" customFormat="1" ht="86.4" customHeight="1" x14ac:dyDescent="0.35">
      <c r="A7" s="274"/>
      <c r="B7" s="242"/>
      <c r="C7" s="212" t="s">
        <v>2</v>
      </c>
      <c r="D7" s="220" t="s">
        <v>73</v>
      </c>
      <c r="E7" s="212" t="s">
        <v>2</v>
      </c>
      <c r="F7" s="220" t="s">
        <v>73</v>
      </c>
      <c r="G7" s="212" t="s">
        <v>2</v>
      </c>
      <c r="H7" s="304" t="s">
        <v>73</v>
      </c>
      <c r="I7" s="212" t="s">
        <v>2</v>
      </c>
      <c r="J7" s="220" t="s">
        <v>73</v>
      </c>
    </row>
    <row r="8" spans="1:49" s="140" customFormat="1" ht="50.1" customHeight="1" x14ac:dyDescent="0.4">
      <c r="A8" s="137" t="s">
        <v>34</v>
      </c>
      <c r="B8" s="138" t="s">
        <v>11</v>
      </c>
      <c r="C8" s="139">
        <f>C9+C20+C23</f>
        <v>223904</v>
      </c>
      <c r="D8" s="139">
        <f t="shared" ref="D8" si="0">D9+D20+D23</f>
        <v>268603</v>
      </c>
      <c r="E8" s="139">
        <f>E9+E20+E23</f>
        <v>499644</v>
      </c>
      <c r="F8" s="139">
        <f>F9+F20+F23</f>
        <v>588808</v>
      </c>
      <c r="G8" s="139">
        <f t="shared" ref="G8:I8" si="1">G9+G20+G23</f>
        <v>780996</v>
      </c>
      <c r="H8" s="139">
        <f>H9+H20+H23</f>
        <v>910176</v>
      </c>
      <c r="I8" s="139">
        <f t="shared" si="1"/>
        <v>1325571</v>
      </c>
      <c r="J8" s="139">
        <f>J9+J20+J23</f>
        <v>1483977</v>
      </c>
    </row>
    <row r="9" spans="1:49" s="140" customFormat="1" ht="50.1" customHeight="1" x14ac:dyDescent="0.4">
      <c r="A9" s="141" t="s">
        <v>35</v>
      </c>
      <c r="B9" s="142" t="s">
        <v>12</v>
      </c>
      <c r="C9" s="139">
        <f t="shared" ref="C9:D9" si="2">C10+C16+C17+C18+C19</f>
        <v>176348</v>
      </c>
      <c r="D9" s="139">
        <f t="shared" si="2"/>
        <v>176348</v>
      </c>
      <c r="E9" s="139">
        <f>E10+E16+E17+E18+E19</f>
        <v>386851</v>
      </c>
      <c r="F9" s="139">
        <f>F10+F16+F17+F18+F19</f>
        <v>386851</v>
      </c>
      <c r="G9" s="139">
        <f t="shared" ref="G9:J9" si="3">G10+G16+G17+G18+G19</f>
        <v>607678</v>
      </c>
      <c r="H9" s="139">
        <f t="shared" si="3"/>
        <v>607678</v>
      </c>
      <c r="I9" s="139">
        <f t="shared" si="3"/>
        <v>990138</v>
      </c>
      <c r="J9" s="139">
        <f t="shared" si="3"/>
        <v>990138</v>
      </c>
    </row>
    <row r="10" spans="1:49" s="140" customFormat="1" ht="50.1" customHeight="1" x14ac:dyDescent="0.4">
      <c r="A10" s="143" t="s">
        <v>36</v>
      </c>
      <c r="B10" s="144" t="s">
        <v>91</v>
      </c>
      <c r="C10" s="139">
        <f t="shared" ref="C10:D10" si="4">SUM(C11:C15)</f>
        <v>52085</v>
      </c>
      <c r="D10" s="139">
        <f t="shared" si="4"/>
        <v>52085</v>
      </c>
      <c r="E10" s="139">
        <f>SUM(E11:E15)</f>
        <v>119882</v>
      </c>
      <c r="F10" s="139">
        <f>SUM(F11:F15)</f>
        <v>119882</v>
      </c>
      <c r="G10" s="139">
        <f t="shared" ref="G10:J10" si="5">SUM(G11:G15)</f>
        <v>195722</v>
      </c>
      <c r="H10" s="139">
        <f t="shared" si="5"/>
        <v>195722</v>
      </c>
      <c r="I10" s="139">
        <f t="shared" si="5"/>
        <v>385499</v>
      </c>
      <c r="J10" s="139">
        <f t="shared" si="5"/>
        <v>385499</v>
      </c>
    </row>
    <row r="11" spans="1:49" s="149" customFormat="1" ht="50.1" customHeight="1" x14ac:dyDescent="0.35">
      <c r="A11" s="205" t="s">
        <v>37</v>
      </c>
      <c r="B11" s="146" t="s">
        <v>13</v>
      </c>
      <c r="C11" s="147">
        <v>0</v>
      </c>
      <c r="D11" s="147">
        <v>0</v>
      </c>
      <c r="E11" s="147">
        <v>4000</v>
      </c>
      <c r="F11" s="147">
        <v>4000</v>
      </c>
      <c r="G11" s="147">
        <v>4000</v>
      </c>
      <c r="H11" s="147">
        <v>4000</v>
      </c>
      <c r="I11" s="147">
        <v>29658</v>
      </c>
      <c r="J11" s="147">
        <v>29658</v>
      </c>
    </row>
    <row r="12" spans="1:49" s="149" customFormat="1" ht="50.1" customHeight="1" x14ac:dyDescent="0.35">
      <c r="A12" s="205" t="s">
        <v>38</v>
      </c>
      <c r="B12" s="146" t="s">
        <v>14</v>
      </c>
      <c r="C12" s="147">
        <v>7650</v>
      </c>
      <c r="D12" s="147">
        <v>7650</v>
      </c>
      <c r="E12" s="147">
        <v>14400</v>
      </c>
      <c r="F12" s="147">
        <v>14400</v>
      </c>
      <c r="G12" s="147">
        <v>24150</v>
      </c>
      <c r="H12" s="147">
        <v>24150</v>
      </c>
      <c r="I12" s="147">
        <v>38952</v>
      </c>
      <c r="J12" s="147">
        <v>38952</v>
      </c>
    </row>
    <row r="13" spans="1:49" s="149" customFormat="1" ht="50.1" customHeight="1" x14ac:dyDescent="0.35">
      <c r="A13" s="205" t="s">
        <v>39</v>
      </c>
      <c r="B13" s="146" t="s">
        <v>15</v>
      </c>
      <c r="C13" s="147">
        <v>0</v>
      </c>
      <c r="D13" s="147">
        <v>0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</row>
    <row r="14" spans="1:49" s="149" customFormat="1" ht="50.1" customHeight="1" x14ac:dyDescent="0.35">
      <c r="A14" s="205" t="s">
        <v>40</v>
      </c>
      <c r="B14" s="146" t="s">
        <v>16</v>
      </c>
      <c r="C14" s="147">
        <v>23521</v>
      </c>
      <c r="D14" s="147">
        <v>23521</v>
      </c>
      <c r="E14" s="147">
        <v>49087</v>
      </c>
      <c r="F14" s="147">
        <v>49087</v>
      </c>
      <c r="G14" s="147">
        <v>73426</v>
      </c>
      <c r="H14" s="147">
        <v>73426</v>
      </c>
      <c r="I14" s="147">
        <v>164971</v>
      </c>
      <c r="J14" s="147">
        <v>164971</v>
      </c>
    </row>
    <row r="15" spans="1:49" s="149" customFormat="1" ht="50.1" customHeight="1" x14ac:dyDescent="0.35">
      <c r="A15" s="205" t="s">
        <v>63</v>
      </c>
      <c r="B15" s="146" t="s">
        <v>17</v>
      </c>
      <c r="C15" s="147">
        <v>20914</v>
      </c>
      <c r="D15" s="147">
        <v>20914</v>
      </c>
      <c r="E15" s="147">
        <v>52395</v>
      </c>
      <c r="F15" s="147">
        <v>52395</v>
      </c>
      <c r="G15" s="147">
        <v>94146</v>
      </c>
      <c r="H15" s="147">
        <v>94146</v>
      </c>
      <c r="I15" s="147">
        <v>151918</v>
      </c>
      <c r="J15" s="147">
        <v>151918</v>
      </c>
    </row>
    <row r="16" spans="1:49" s="140" customFormat="1" ht="50.1" customHeight="1" x14ac:dyDescent="0.4">
      <c r="A16" s="143" t="s">
        <v>87</v>
      </c>
      <c r="B16" s="144" t="s">
        <v>18</v>
      </c>
      <c r="C16" s="139">
        <v>29500</v>
      </c>
      <c r="D16" s="139">
        <v>29500</v>
      </c>
      <c r="E16" s="139">
        <v>50637</v>
      </c>
      <c r="F16" s="139">
        <v>50637</v>
      </c>
      <c r="G16" s="139">
        <v>70885</v>
      </c>
      <c r="H16" s="139">
        <v>70885</v>
      </c>
      <c r="I16" s="139">
        <v>89777</v>
      </c>
      <c r="J16" s="139">
        <v>89777</v>
      </c>
    </row>
    <row r="17" spans="1:19" s="140" customFormat="1" ht="50.1" customHeight="1" x14ac:dyDescent="0.4">
      <c r="A17" s="143" t="s">
        <v>88</v>
      </c>
      <c r="B17" s="144" t="s">
        <v>19</v>
      </c>
      <c r="C17" s="139">
        <v>85708</v>
      </c>
      <c r="D17" s="139">
        <v>85708</v>
      </c>
      <c r="E17" s="139">
        <v>195763</v>
      </c>
      <c r="F17" s="139">
        <v>195763</v>
      </c>
      <c r="G17" s="139">
        <v>309880</v>
      </c>
      <c r="H17" s="139">
        <v>309880</v>
      </c>
      <c r="I17" s="139">
        <v>453944</v>
      </c>
      <c r="J17" s="139">
        <v>453944</v>
      </c>
    </row>
    <row r="18" spans="1:19" s="140" customFormat="1" ht="50.1" customHeight="1" x14ac:dyDescent="0.4">
      <c r="A18" s="143" t="s">
        <v>43</v>
      </c>
      <c r="B18" s="144" t="s">
        <v>92</v>
      </c>
      <c r="C18" s="139">
        <v>9055</v>
      </c>
      <c r="D18" s="139">
        <v>9055</v>
      </c>
      <c r="E18" s="139">
        <v>20569</v>
      </c>
      <c r="F18" s="139">
        <v>20569</v>
      </c>
      <c r="G18" s="139">
        <v>31191</v>
      </c>
      <c r="H18" s="139">
        <v>31191</v>
      </c>
      <c r="I18" s="139">
        <v>43297</v>
      </c>
      <c r="J18" s="139">
        <v>43297</v>
      </c>
    </row>
    <row r="19" spans="1:19" s="140" customFormat="1" ht="50.1" customHeight="1" x14ac:dyDescent="0.4">
      <c r="A19" s="143" t="s">
        <v>44</v>
      </c>
      <c r="B19" s="144" t="s">
        <v>21</v>
      </c>
      <c r="C19" s="139">
        <v>0</v>
      </c>
      <c r="D19" s="139">
        <v>0</v>
      </c>
      <c r="E19" s="139">
        <v>0</v>
      </c>
      <c r="F19" s="139">
        <v>0</v>
      </c>
      <c r="G19" s="139">
        <v>0</v>
      </c>
      <c r="H19" s="139">
        <v>0</v>
      </c>
      <c r="I19" s="139">
        <v>17621</v>
      </c>
      <c r="J19" s="139">
        <v>17621</v>
      </c>
    </row>
    <row r="20" spans="1:19" s="140" customFormat="1" ht="50.1" customHeight="1" x14ac:dyDescent="0.4">
      <c r="A20" s="206" t="s">
        <v>45</v>
      </c>
      <c r="B20" s="142" t="s">
        <v>22</v>
      </c>
      <c r="C20" s="139">
        <f t="shared" ref="C20:D20" si="6">C21+C22</f>
        <v>17</v>
      </c>
      <c r="D20" s="139">
        <f t="shared" si="6"/>
        <v>17</v>
      </c>
      <c r="E20" s="139">
        <f>E21+E22</f>
        <v>58</v>
      </c>
      <c r="F20" s="139">
        <f>F21+F22</f>
        <v>58</v>
      </c>
      <c r="G20" s="139">
        <f t="shared" ref="G20:J20" si="7">G21+G22</f>
        <v>2670</v>
      </c>
      <c r="H20" s="139">
        <f t="shared" si="7"/>
        <v>2670</v>
      </c>
      <c r="I20" s="139">
        <f t="shared" si="7"/>
        <v>2889</v>
      </c>
      <c r="J20" s="139">
        <f t="shared" si="7"/>
        <v>2889</v>
      </c>
    </row>
    <row r="21" spans="1:19" s="153" customFormat="1" ht="50.1" customHeight="1" x14ac:dyDescent="0.25">
      <c r="A21" s="207" t="s">
        <v>46</v>
      </c>
      <c r="B21" s="152" t="s">
        <v>23</v>
      </c>
      <c r="C21" s="147">
        <v>6</v>
      </c>
      <c r="D21" s="147">
        <v>6</v>
      </c>
      <c r="E21" s="147">
        <v>12</v>
      </c>
      <c r="F21" s="147">
        <v>12</v>
      </c>
      <c r="G21" s="147">
        <v>2419</v>
      </c>
      <c r="H21" s="147">
        <v>2419</v>
      </c>
      <c r="I21" s="147">
        <v>2429</v>
      </c>
      <c r="J21" s="147">
        <v>2429</v>
      </c>
    </row>
    <row r="22" spans="1:19" s="153" customFormat="1" ht="50.1" customHeight="1" x14ac:dyDescent="0.25">
      <c r="A22" s="207" t="s">
        <v>47</v>
      </c>
      <c r="B22" s="152" t="s">
        <v>24</v>
      </c>
      <c r="C22" s="147">
        <v>11</v>
      </c>
      <c r="D22" s="147">
        <v>11</v>
      </c>
      <c r="E22" s="147">
        <v>46</v>
      </c>
      <c r="F22" s="147">
        <v>46</v>
      </c>
      <c r="G22" s="147">
        <v>251</v>
      </c>
      <c r="H22" s="147">
        <v>251</v>
      </c>
      <c r="I22" s="147">
        <v>460</v>
      </c>
      <c r="J22" s="147">
        <v>460</v>
      </c>
    </row>
    <row r="23" spans="1:19" s="140" customFormat="1" ht="50.1" customHeight="1" x14ac:dyDescent="0.4">
      <c r="A23" s="141" t="s">
        <v>48</v>
      </c>
      <c r="B23" s="142" t="s">
        <v>25</v>
      </c>
      <c r="C23" s="139">
        <f t="shared" ref="C23:D23" si="8">C24+C32+C33+C34</f>
        <v>47539</v>
      </c>
      <c r="D23" s="139">
        <f t="shared" si="8"/>
        <v>92238</v>
      </c>
      <c r="E23" s="139">
        <f>E24+E32+E33+E34</f>
        <v>112735</v>
      </c>
      <c r="F23" s="139">
        <f>F24+F32+F33+F34</f>
        <v>201899</v>
      </c>
      <c r="G23" s="139">
        <f t="shared" ref="G23:J23" si="9">G24+G32+G33+G34</f>
        <v>170648</v>
      </c>
      <c r="H23" s="139">
        <f t="shared" si="9"/>
        <v>299828</v>
      </c>
      <c r="I23" s="139">
        <f t="shared" si="9"/>
        <v>332544</v>
      </c>
      <c r="J23" s="139">
        <f t="shared" si="9"/>
        <v>490950</v>
      </c>
      <c r="K23" s="157"/>
      <c r="L23" s="157"/>
      <c r="M23" s="157"/>
      <c r="N23" s="157"/>
      <c r="O23" s="157"/>
      <c r="P23" s="157"/>
      <c r="Q23" s="157"/>
      <c r="R23" s="157"/>
      <c r="S23" s="157"/>
    </row>
    <row r="24" spans="1:19" s="140" customFormat="1" ht="50.1" customHeight="1" x14ac:dyDescent="0.4">
      <c r="A24" s="143" t="s">
        <v>100</v>
      </c>
      <c r="B24" s="144" t="s">
        <v>26</v>
      </c>
      <c r="C24" s="139">
        <f t="shared" ref="C24" si="10">SUM(C25:C31)</f>
        <v>10714</v>
      </c>
      <c r="D24" s="139">
        <f>SUM(D25:D31)</f>
        <v>25144</v>
      </c>
      <c r="E24" s="139">
        <f>SUM(E25:E31)</f>
        <v>38874</v>
      </c>
      <c r="F24" s="139">
        <f>SUM(F25:F31)</f>
        <v>66186</v>
      </c>
      <c r="G24" s="139">
        <f t="shared" ref="G24:J24" si="11">SUM(G25:G31)</f>
        <v>55767</v>
      </c>
      <c r="H24" s="139">
        <f t="shared" si="11"/>
        <v>99407</v>
      </c>
      <c r="I24" s="139">
        <f t="shared" si="11"/>
        <v>91434</v>
      </c>
      <c r="J24" s="139">
        <f t="shared" si="11"/>
        <v>157081</v>
      </c>
    </row>
    <row r="25" spans="1:19" s="149" customFormat="1" ht="50.1" customHeight="1" x14ac:dyDescent="0.35">
      <c r="A25" s="205" t="s">
        <v>37</v>
      </c>
      <c r="B25" s="146" t="s">
        <v>13</v>
      </c>
      <c r="C25" s="147">
        <v>0</v>
      </c>
      <c r="D25" s="147">
        <v>0</v>
      </c>
      <c r="E25" s="147">
        <v>9086</v>
      </c>
      <c r="F25" s="147">
        <v>9086</v>
      </c>
      <c r="G25" s="147">
        <v>11810</v>
      </c>
      <c r="H25" s="147">
        <v>11810</v>
      </c>
      <c r="I25" s="147">
        <v>11606</v>
      </c>
      <c r="J25" s="147">
        <v>11606</v>
      </c>
    </row>
    <row r="26" spans="1:19" s="149" customFormat="1" ht="50.1" customHeight="1" x14ac:dyDescent="0.35">
      <c r="A26" s="205" t="s">
        <v>49</v>
      </c>
      <c r="B26" s="146" t="s">
        <v>14</v>
      </c>
      <c r="C26" s="147">
        <v>6850</v>
      </c>
      <c r="D26" s="147">
        <v>6850</v>
      </c>
      <c r="E26" s="147">
        <v>14616</v>
      </c>
      <c r="F26" s="147">
        <v>14616</v>
      </c>
      <c r="G26" s="147">
        <v>19637</v>
      </c>
      <c r="H26" s="147">
        <v>19637</v>
      </c>
      <c r="I26" s="147">
        <v>27734</v>
      </c>
      <c r="J26" s="147">
        <v>27734</v>
      </c>
    </row>
    <row r="27" spans="1:19" s="154" customFormat="1" ht="50.1" customHeight="1" x14ac:dyDescent="0.35">
      <c r="A27" s="205" t="s">
        <v>39</v>
      </c>
      <c r="B27" s="146" t="s">
        <v>15</v>
      </c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</row>
    <row r="28" spans="1:19" s="154" customFormat="1" ht="50.1" customHeight="1" x14ac:dyDescent="0.35">
      <c r="A28" s="205" t="s">
        <v>50</v>
      </c>
      <c r="B28" s="146" t="s">
        <v>27</v>
      </c>
      <c r="C28" s="147">
        <v>1494</v>
      </c>
      <c r="D28" s="147">
        <v>1494</v>
      </c>
      <c r="E28" s="147">
        <v>4299</v>
      </c>
      <c r="F28" s="147">
        <v>4299</v>
      </c>
      <c r="G28" s="147">
        <v>7096</v>
      </c>
      <c r="H28" s="147">
        <v>7096</v>
      </c>
      <c r="I28" s="147">
        <v>11095</v>
      </c>
      <c r="J28" s="147">
        <v>11095</v>
      </c>
    </row>
    <row r="29" spans="1:19" s="149" customFormat="1" ht="50.1" customHeight="1" x14ac:dyDescent="0.35">
      <c r="A29" s="205" t="s">
        <v>51</v>
      </c>
      <c r="B29" s="146" t="s">
        <v>28</v>
      </c>
      <c r="C29" s="147">
        <v>762</v>
      </c>
      <c r="D29" s="147">
        <v>762</v>
      </c>
      <c r="E29" s="147">
        <v>4126</v>
      </c>
      <c r="F29" s="147">
        <v>4126</v>
      </c>
      <c r="G29" s="147">
        <v>8036</v>
      </c>
      <c r="H29" s="147">
        <v>8036</v>
      </c>
      <c r="I29" s="147">
        <v>12336</v>
      </c>
      <c r="J29" s="147">
        <v>12336</v>
      </c>
    </row>
    <row r="30" spans="1:19" s="149" customFormat="1" ht="50.1" customHeight="1" x14ac:dyDescent="0.35">
      <c r="A30" s="208" t="s">
        <v>52</v>
      </c>
      <c r="B30" s="146" t="s">
        <v>29</v>
      </c>
      <c r="C30" s="147">
        <v>0</v>
      </c>
      <c r="D30" s="147">
        <v>0</v>
      </c>
      <c r="E30" s="147">
        <v>0</v>
      </c>
      <c r="F30" s="147">
        <v>0</v>
      </c>
      <c r="G30" s="147">
        <v>0</v>
      </c>
      <c r="H30" s="147">
        <v>0</v>
      </c>
      <c r="I30" s="147">
        <v>0</v>
      </c>
      <c r="J30" s="147">
        <v>0</v>
      </c>
    </row>
    <row r="31" spans="1:19" s="154" customFormat="1" ht="50.1" customHeight="1" x14ac:dyDescent="0.35">
      <c r="A31" s="205" t="s">
        <v>53</v>
      </c>
      <c r="B31" s="146" t="s">
        <v>0</v>
      </c>
      <c r="C31" s="147">
        <v>1608</v>
      </c>
      <c r="D31" s="147">
        <v>16038</v>
      </c>
      <c r="E31" s="147">
        <v>6747</v>
      </c>
      <c r="F31" s="147">
        <v>34059</v>
      </c>
      <c r="G31" s="147">
        <v>9188</v>
      </c>
      <c r="H31" s="147">
        <v>52828</v>
      </c>
      <c r="I31" s="147">
        <v>28663</v>
      </c>
      <c r="J31" s="147">
        <v>94310</v>
      </c>
    </row>
    <row r="32" spans="1:19" s="157" customFormat="1" ht="50.1" customHeight="1" x14ac:dyDescent="0.4">
      <c r="A32" s="209" t="s">
        <v>99</v>
      </c>
      <c r="B32" s="156" t="s">
        <v>30</v>
      </c>
      <c r="C32" s="139">
        <v>12577</v>
      </c>
      <c r="D32" s="139">
        <v>12577</v>
      </c>
      <c r="E32" s="139">
        <v>33465</v>
      </c>
      <c r="F32" s="139">
        <v>33465</v>
      </c>
      <c r="G32" s="139">
        <v>53439</v>
      </c>
      <c r="H32" s="139">
        <v>53439</v>
      </c>
      <c r="I32" s="139">
        <v>75291</v>
      </c>
      <c r="J32" s="139">
        <v>75291</v>
      </c>
    </row>
    <row r="33" spans="1:10" s="157" customFormat="1" ht="50.1" customHeight="1" x14ac:dyDescent="0.4">
      <c r="A33" s="209" t="s">
        <v>54</v>
      </c>
      <c r="B33" s="156" t="s">
        <v>31</v>
      </c>
      <c r="C33" s="139">
        <v>3249</v>
      </c>
      <c r="D33" s="139">
        <v>3249</v>
      </c>
      <c r="E33" s="139">
        <v>10539</v>
      </c>
      <c r="F33" s="139">
        <v>10539</v>
      </c>
      <c r="G33" s="139">
        <v>20374</v>
      </c>
      <c r="H33" s="139">
        <v>20374</v>
      </c>
      <c r="I33" s="139">
        <v>33795</v>
      </c>
      <c r="J33" s="139">
        <v>33795</v>
      </c>
    </row>
    <row r="34" spans="1:10" s="157" customFormat="1" ht="50.1" customHeight="1" x14ac:dyDescent="0.4">
      <c r="A34" s="210" t="s">
        <v>53</v>
      </c>
      <c r="B34" s="160" t="s">
        <v>0</v>
      </c>
      <c r="C34" s="161">
        <v>20999</v>
      </c>
      <c r="D34" s="161">
        <v>51268</v>
      </c>
      <c r="E34" s="161">
        <v>29857</v>
      </c>
      <c r="F34" s="161">
        <v>91709</v>
      </c>
      <c r="G34" s="161">
        <v>41068</v>
      </c>
      <c r="H34" s="161">
        <v>126608</v>
      </c>
      <c r="I34" s="161">
        <v>132024</v>
      </c>
      <c r="J34" s="161">
        <v>224783</v>
      </c>
    </row>
    <row r="35" spans="1:10" s="122" customFormat="1" ht="21.9" customHeight="1" x14ac:dyDescent="0.3">
      <c r="A35" s="211" t="s">
        <v>69</v>
      </c>
      <c r="B35" s="124" t="s">
        <v>70</v>
      </c>
      <c r="C35" s="125"/>
      <c r="D35" s="125"/>
      <c r="E35" s="126"/>
      <c r="F35" s="126"/>
      <c r="G35" s="126"/>
      <c r="H35" s="126"/>
      <c r="I35" s="127"/>
      <c r="J35" s="204"/>
    </row>
    <row r="36" spans="1:10" ht="87.6" customHeight="1" x14ac:dyDescent="0.3">
      <c r="A36" s="128" t="s">
        <v>57</v>
      </c>
      <c r="B36" s="129" t="s">
        <v>56</v>
      </c>
      <c r="C36" s="107"/>
      <c r="D36" s="107"/>
      <c r="E36" s="116"/>
      <c r="F36" s="116"/>
      <c r="G36" s="116"/>
      <c r="H36" s="116"/>
      <c r="I36" s="115"/>
      <c r="J36" s="115"/>
    </row>
    <row r="37" spans="1:10" ht="36.6" customHeight="1" x14ac:dyDescent="0.3">
      <c r="A37" s="115"/>
      <c r="B37" s="199" t="s">
        <v>58</v>
      </c>
      <c r="C37" s="107"/>
      <c r="D37" s="107"/>
      <c r="E37" s="116"/>
      <c r="F37" s="116"/>
      <c r="G37" s="116"/>
      <c r="H37" s="116"/>
      <c r="I37" s="115"/>
      <c r="J37" s="115"/>
    </row>
    <row r="38" spans="1:10" ht="36.6" customHeight="1" x14ac:dyDescent="0.3">
      <c r="A38" s="128" t="s">
        <v>68</v>
      </c>
      <c r="B38" s="364" t="s">
        <v>78</v>
      </c>
      <c r="C38" s="364"/>
      <c r="D38" s="107"/>
      <c r="E38" s="116"/>
      <c r="F38" s="116"/>
      <c r="G38" s="116"/>
      <c r="H38" s="116"/>
      <c r="I38" s="115"/>
      <c r="J38" s="115"/>
    </row>
    <row r="39" spans="1:10" ht="21.9" customHeight="1" x14ac:dyDescent="0.3">
      <c r="B39" s="133"/>
      <c r="C39" s="134"/>
      <c r="D39" s="134"/>
      <c r="E39" s="134"/>
      <c r="F39" s="134"/>
      <c r="G39" s="132"/>
    </row>
    <row r="40" spans="1:10" ht="21.9" customHeight="1" x14ac:dyDescent="0.3"/>
    <row r="41" spans="1:10" ht="21.9" customHeight="1" x14ac:dyDescent="0.3"/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  <ignoredErrors>
    <ignoredError sqref="C10:J10 C24:J24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B014-F6EC-4B47-811E-2E39C396E961}">
  <sheetPr>
    <pageSetUpPr fitToPage="1"/>
  </sheetPr>
  <dimension ref="A1:AW1302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5546875" style="114" customWidth="1"/>
    <col min="2" max="2" width="79.44140625" style="131" customWidth="1"/>
    <col min="3" max="4" width="24.5546875" style="132" customWidth="1"/>
    <col min="5" max="8" width="24.5546875" style="120" customWidth="1"/>
    <col min="9" max="10" width="24.5546875" style="114" customWidth="1"/>
    <col min="11" max="11" width="9.44140625" style="114" bestFit="1" customWidth="1"/>
    <col min="12" max="12" width="9.109375" style="114"/>
    <col min="13" max="13" width="12.5546875" style="114" customWidth="1"/>
    <col min="14" max="15" width="13.5546875" style="114" customWidth="1"/>
    <col min="16" max="16" width="11.88671875" style="114" customWidth="1"/>
    <col min="17" max="17" width="11.5546875" style="114" customWidth="1"/>
    <col min="18" max="18" width="15.5546875" style="114" customWidth="1"/>
    <col min="19" max="19" width="11.88671875" style="114" customWidth="1"/>
    <col min="20" max="16384" width="9.109375" style="114"/>
  </cols>
  <sheetData>
    <row r="1" spans="1:49" ht="70.349999999999994" customHeight="1" x14ac:dyDescent="0.3">
      <c r="A1" s="288" t="s">
        <v>96</v>
      </c>
      <c r="B1" s="289" t="s">
        <v>95</v>
      </c>
      <c r="C1" s="290"/>
      <c r="D1" s="290"/>
      <c r="E1" s="290"/>
      <c r="F1" s="290"/>
      <c r="G1" s="290"/>
      <c r="H1" s="290"/>
      <c r="I1" s="290"/>
      <c r="J1" s="290"/>
    </row>
    <row r="2" spans="1:49" ht="20.399999999999999" customHeight="1" x14ac:dyDescent="0.35">
      <c r="A2" s="291"/>
      <c r="B2" s="307"/>
      <c r="C2" s="365"/>
      <c r="D2" s="365"/>
      <c r="E2" s="293"/>
      <c r="F2" s="294"/>
      <c r="G2" s="295"/>
      <c r="H2" s="275"/>
      <c r="I2" s="295"/>
      <c r="J2" s="296" t="s">
        <v>55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</row>
    <row r="3" spans="1:49" s="120" customFormat="1" ht="15" customHeight="1" x14ac:dyDescent="0.35">
      <c r="A3" s="272"/>
      <c r="B3" s="346" t="s">
        <v>1</v>
      </c>
      <c r="C3" s="348" t="s">
        <v>97</v>
      </c>
      <c r="D3" s="349"/>
      <c r="E3" s="349"/>
      <c r="F3" s="349"/>
      <c r="G3" s="349"/>
      <c r="H3" s="349"/>
      <c r="I3" s="349"/>
      <c r="J3" s="350"/>
    </row>
    <row r="4" spans="1:49" s="120" customFormat="1" ht="15" customHeight="1" x14ac:dyDescent="0.35">
      <c r="A4" s="273"/>
      <c r="B4" s="347"/>
      <c r="C4" s="351"/>
      <c r="D4" s="352"/>
      <c r="E4" s="352"/>
      <c r="F4" s="352"/>
      <c r="G4" s="352"/>
      <c r="H4" s="352"/>
      <c r="I4" s="352"/>
      <c r="J4" s="353"/>
    </row>
    <row r="5" spans="1:49" s="120" customFormat="1" ht="15" customHeight="1" x14ac:dyDescent="0.35">
      <c r="A5" s="273"/>
      <c r="B5" s="305"/>
      <c r="C5" s="354" t="s">
        <v>3</v>
      </c>
      <c r="D5" s="354"/>
      <c r="E5" s="354" t="s">
        <v>5</v>
      </c>
      <c r="F5" s="354"/>
      <c r="G5" s="348" t="s">
        <v>6</v>
      </c>
      <c r="H5" s="349"/>
      <c r="I5" s="348" t="s">
        <v>7</v>
      </c>
      <c r="J5" s="350"/>
    </row>
    <row r="6" spans="1:49" s="120" customFormat="1" ht="15" customHeight="1" x14ac:dyDescent="0.35">
      <c r="A6" s="273"/>
      <c r="B6" s="305"/>
      <c r="C6" s="355"/>
      <c r="D6" s="355"/>
      <c r="E6" s="355"/>
      <c r="F6" s="355"/>
      <c r="G6" s="351"/>
      <c r="H6" s="352"/>
      <c r="I6" s="351"/>
      <c r="J6" s="353"/>
    </row>
    <row r="7" spans="1:49" s="121" customFormat="1" ht="86.4" customHeight="1" x14ac:dyDescent="0.35">
      <c r="A7" s="274"/>
      <c r="B7" s="242"/>
      <c r="C7" s="212" t="s">
        <v>2</v>
      </c>
      <c r="D7" s="220" t="s">
        <v>73</v>
      </c>
      <c r="E7" s="212" t="s">
        <v>2</v>
      </c>
      <c r="F7" s="220" t="s">
        <v>73</v>
      </c>
      <c r="G7" s="212" t="s">
        <v>2</v>
      </c>
      <c r="H7" s="304" t="s">
        <v>73</v>
      </c>
      <c r="I7" s="212" t="s">
        <v>2</v>
      </c>
      <c r="J7" s="220" t="s">
        <v>73</v>
      </c>
    </row>
    <row r="8" spans="1:49" s="140" customFormat="1" ht="50.1" customHeight="1" x14ac:dyDescent="0.4">
      <c r="A8" s="137" t="s">
        <v>34</v>
      </c>
      <c r="B8" s="138" t="s">
        <v>11</v>
      </c>
      <c r="C8" s="139">
        <f>C9+C20+C23</f>
        <v>258850</v>
      </c>
      <c r="D8" s="139">
        <f t="shared" ref="D8" si="0">D9+D20+D23</f>
        <v>350791</v>
      </c>
      <c r="E8" s="139">
        <f>E9+E20+E23</f>
        <v>572553</v>
      </c>
      <c r="F8" s="139">
        <f>F9+F20+F23</f>
        <v>675649</v>
      </c>
      <c r="G8" s="139">
        <f t="shared" ref="G8:I8" si="1">G9+G20+G23</f>
        <v>925134</v>
      </c>
      <c r="H8" s="139">
        <f>H9+H20+H23</f>
        <v>1047279</v>
      </c>
      <c r="I8" s="139">
        <f t="shared" si="1"/>
        <v>1564115</v>
      </c>
      <c r="J8" s="139">
        <f>J9+J20+J23</f>
        <v>1723717</v>
      </c>
    </row>
    <row r="9" spans="1:49" s="140" customFormat="1" ht="50.1" customHeight="1" x14ac:dyDescent="0.4">
      <c r="A9" s="141" t="s">
        <v>35</v>
      </c>
      <c r="B9" s="142" t="s">
        <v>12</v>
      </c>
      <c r="C9" s="139">
        <f t="shared" ref="C9:D9" si="2">C10+C16+C17+C18+C19</f>
        <v>211389</v>
      </c>
      <c r="D9" s="139">
        <f t="shared" si="2"/>
        <v>211389</v>
      </c>
      <c r="E9" s="139">
        <f>E10+E16+E17+E18+E19</f>
        <v>461764</v>
      </c>
      <c r="F9" s="139">
        <f>F10+F16+F17+F18+F19</f>
        <v>461764</v>
      </c>
      <c r="G9" s="139">
        <f t="shared" ref="G9:J9" si="3">G10+G16+G17+G18+G19</f>
        <v>740722</v>
      </c>
      <c r="H9" s="139">
        <f t="shared" si="3"/>
        <v>740722</v>
      </c>
      <c r="I9" s="139">
        <f t="shared" si="3"/>
        <v>1258582</v>
      </c>
      <c r="J9" s="139">
        <f t="shared" si="3"/>
        <v>1258582</v>
      </c>
    </row>
    <row r="10" spans="1:49" s="140" customFormat="1" ht="50.1" customHeight="1" x14ac:dyDescent="0.4">
      <c r="A10" s="143" t="s">
        <v>36</v>
      </c>
      <c r="B10" s="144" t="s">
        <v>91</v>
      </c>
      <c r="C10" s="139">
        <f t="shared" ref="C10:D10" si="4">SUM(C11:C15)</f>
        <v>61921</v>
      </c>
      <c r="D10" s="139">
        <f t="shared" si="4"/>
        <v>61921</v>
      </c>
      <c r="E10" s="139">
        <f>SUM(E11:E15)</f>
        <v>144163</v>
      </c>
      <c r="F10" s="139">
        <f>SUM(F11:F15)</f>
        <v>144163</v>
      </c>
      <c r="G10" s="139">
        <f t="shared" ref="G10:J10" si="5">SUM(G11:G15)</f>
        <v>243845</v>
      </c>
      <c r="H10" s="139">
        <f t="shared" si="5"/>
        <v>243845</v>
      </c>
      <c r="I10" s="139">
        <f t="shared" si="5"/>
        <v>516287</v>
      </c>
      <c r="J10" s="139">
        <f t="shared" si="5"/>
        <v>516287</v>
      </c>
    </row>
    <row r="11" spans="1:49" s="149" customFormat="1" ht="50.1" customHeight="1" x14ac:dyDescent="0.35">
      <c r="A11" s="205" t="s">
        <v>37</v>
      </c>
      <c r="B11" s="146" t="s">
        <v>13</v>
      </c>
      <c r="C11" s="147">
        <v>0</v>
      </c>
      <c r="D11" s="147">
        <v>0</v>
      </c>
      <c r="E11" s="147">
        <v>0</v>
      </c>
      <c r="F11" s="147">
        <v>0</v>
      </c>
      <c r="G11" s="147">
        <v>0</v>
      </c>
      <c r="H11" s="147">
        <v>0</v>
      </c>
      <c r="I11" s="147">
        <v>50538</v>
      </c>
      <c r="J11" s="147">
        <v>50538</v>
      </c>
    </row>
    <row r="12" spans="1:49" s="149" customFormat="1" ht="50.1" customHeight="1" x14ac:dyDescent="0.35">
      <c r="A12" s="205" t="s">
        <v>38</v>
      </c>
      <c r="B12" s="146" t="s">
        <v>14</v>
      </c>
      <c r="C12" s="147">
        <v>8500</v>
      </c>
      <c r="D12" s="147">
        <v>8500</v>
      </c>
      <c r="E12" s="147">
        <v>23975</v>
      </c>
      <c r="F12" s="147">
        <v>23975</v>
      </c>
      <c r="G12" s="147">
        <v>46526</v>
      </c>
      <c r="H12" s="147">
        <v>46526</v>
      </c>
      <c r="I12" s="147">
        <v>97013</v>
      </c>
      <c r="J12" s="147">
        <v>97013</v>
      </c>
    </row>
    <row r="13" spans="1:49" s="149" customFormat="1" ht="50.1" customHeight="1" x14ac:dyDescent="0.35">
      <c r="A13" s="205" t="s">
        <v>39</v>
      </c>
      <c r="B13" s="146" t="s">
        <v>15</v>
      </c>
      <c r="C13" s="147">
        <v>0</v>
      </c>
      <c r="D13" s="147">
        <v>0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</row>
    <row r="14" spans="1:49" s="149" customFormat="1" ht="50.1" customHeight="1" x14ac:dyDescent="0.35">
      <c r="A14" s="205" t="s">
        <v>40</v>
      </c>
      <c r="B14" s="146" t="s">
        <v>16</v>
      </c>
      <c r="C14" s="147">
        <v>27275</v>
      </c>
      <c r="D14" s="147">
        <v>27275</v>
      </c>
      <c r="E14" s="147">
        <v>57768</v>
      </c>
      <c r="F14" s="147">
        <v>57768</v>
      </c>
      <c r="G14" s="147">
        <v>84735</v>
      </c>
      <c r="H14" s="147">
        <v>84735</v>
      </c>
      <c r="I14" s="147">
        <v>174617</v>
      </c>
      <c r="J14" s="147">
        <v>174617</v>
      </c>
    </row>
    <row r="15" spans="1:49" s="149" customFormat="1" ht="50.1" customHeight="1" x14ac:dyDescent="0.35">
      <c r="A15" s="205" t="s">
        <v>63</v>
      </c>
      <c r="B15" s="146" t="s">
        <v>17</v>
      </c>
      <c r="C15" s="147">
        <v>26146</v>
      </c>
      <c r="D15" s="147">
        <v>26146</v>
      </c>
      <c r="E15" s="147">
        <v>62420</v>
      </c>
      <c r="F15" s="147">
        <v>62420</v>
      </c>
      <c r="G15" s="147">
        <v>112584</v>
      </c>
      <c r="H15" s="147">
        <v>112584</v>
      </c>
      <c r="I15" s="147">
        <v>194119</v>
      </c>
      <c r="J15" s="147">
        <v>194119</v>
      </c>
    </row>
    <row r="16" spans="1:49" s="140" customFormat="1" ht="50.1" customHeight="1" x14ac:dyDescent="0.4">
      <c r="A16" s="143" t="s">
        <v>87</v>
      </c>
      <c r="B16" s="144" t="s">
        <v>18</v>
      </c>
      <c r="C16" s="139">
        <v>39462</v>
      </c>
      <c r="D16" s="139">
        <v>39462</v>
      </c>
      <c r="E16" s="139">
        <v>65917</v>
      </c>
      <c r="F16" s="139">
        <v>65917</v>
      </c>
      <c r="G16" s="139">
        <v>91161</v>
      </c>
      <c r="H16" s="139">
        <v>91161</v>
      </c>
      <c r="I16" s="139">
        <v>125157</v>
      </c>
      <c r="J16" s="139">
        <v>125157</v>
      </c>
    </row>
    <row r="17" spans="1:19" s="140" customFormat="1" ht="50.1" customHeight="1" x14ac:dyDescent="0.4">
      <c r="A17" s="143" t="s">
        <v>88</v>
      </c>
      <c r="B17" s="144" t="s">
        <v>19</v>
      </c>
      <c r="C17" s="139">
        <v>100258</v>
      </c>
      <c r="D17" s="139">
        <v>100258</v>
      </c>
      <c r="E17" s="139">
        <v>228019</v>
      </c>
      <c r="F17" s="139">
        <v>228019</v>
      </c>
      <c r="G17" s="139">
        <v>366818</v>
      </c>
      <c r="H17" s="139">
        <v>366818</v>
      </c>
      <c r="I17" s="139">
        <v>555556</v>
      </c>
      <c r="J17" s="139">
        <v>555556</v>
      </c>
    </row>
    <row r="18" spans="1:19" s="140" customFormat="1" ht="50.1" customHeight="1" x14ac:dyDescent="0.4">
      <c r="A18" s="143" t="s">
        <v>43</v>
      </c>
      <c r="B18" s="144" t="s">
        <v>92</v>
      </c>
      <c r="C18" s="139">
        <v>9748</v>
      </c>
      <c r="D18" s="139">
        <v>9748</v>
      </c>
      <c r="E18" s="139">
        <v>23596</v>
      </c>
      <c r="F18" s="139">
        <v>23596</v>
      </c>
      <c r="G18" s="139">
        <v>38892</v>
      </c>
      <c r="H18" s="139">
        <v>38892</v>
      </c>
      <c r="I18" s="139">
        <v>59390</v>
      </c>
      <c r="J18" s="139">
        <v>59390</v>
      </c>
    </row>
    <row r="19" spans="1:19" s="140" customFormat="1" ht="50.1" customHeight="1" x14ac:dyDescent="0.4">
      <c r="A19" s="143" t="s">
        <v>44</v>
      </c>
      <c r="B19" s="144" t="s">
        <v>21</v>
      </c>
      <c r="C19" s="139">
        <v>0</v>
      </c>
      <c r="D19" s="139">
        <v>0</v>
      </c>
      <c r="E19" s="139">
        <v>69</v>
      </c>
      <c r="F19" s="139">
        <v>69</v>
      </c>
      <c r="G19" s="139">
        <v>6</v>
      </c>
      <c r="H19" s="139">
        <v>6</v>
      </c>
      <c r="I19" s="139">
        <v>2192</v>
      </c>
      <c r="J19" s="139">
        <v>2192</v>
      </c>
    </row>
    <row r="20" spans="1:19" s="140" customFormat="1" ht="50.1" customHeight="1" x14ac:dyDescent="0.4">
      <c r="A20" s="206" t="s">
        <v>45</v>
      </c>
      <c r="B20" s="142" t="s">
        <v>22</v>
      </c>
      <c r="C20" s="139">
        <f t="shared" ref="C20:D20" si="6">C21+C22</f>
        <v>17</v>
      </c>
      <c r="D20" s="139">
        <f t="shared" si="6"/>
        <v>17</v>
      </c>
      <c r="E20" s="139">
        <f>E21+E22</f>
        <v>2131</v>
      </c>
      <c r="F20" s="139">
        <f>F21+F22</f>
        <v>2131</v>
      </c>
      <c r="G20" s="139">
        <f t="shared" ref="G20:J20" si="7">G21+G22</f>
        <v>2329</v>
      </c>
      <c r="H20" s="139">
        <f t="shared" si="7"/>
        <v>2329</v>
      </c>
      <c r="I20" s="139">
        <f t="shared" si="7"/>
        <v>5432</v>
      </c>
      <c r="J20" s="139">
        <f t="shared" si="7"/>
        <v>5432</v>
      </c>
    </row>
    <row r="21" spans="1:19" s="153" customFormat="1" ht="50.1" customHeight="1" x14ac:dyDescent="0.25">
      <c r="A21" s="207" t="s">
        <v>46</v>
      </c>
      <c r="B21" s="152" t="s">
        <v>23</v>
      </c>
      <c r="C21" s="147">
        <v>4</v>
      </c>
      <c r="D21" s="147">
        <v>4</v>
      </c>
      <c r="E21" s="147">
        <v>2013</v>
      </c>
      <c r="F21" s="147">
        <v>2013</v>
      </c>
      <c r="G21" s="147">
        <v>2028</v>
      </c>
      <c r="H21" s="147">
        <v>2028</v>
      </c>
      <c r="I21" s="147">
        <v>4533</v>
      </c>
      <c r="J21" s="147">
        <v>4533</v>
      </c>
    </row>
    <row r="22" spans="1:19" s="153" customFormat="1" ht="50.1" customHeight="1" x14ac:dyDescent="0.25">
      <c r="A22" s="207" t="s">
        <v>47</v>
      </c>
      <c r="B22" s="152" t="s">
        <v>24</v>
      </c>
      <c r="C22" s="147">
        <v>13</v>
      </c>
      <c r="D22" s="147">
        <v>13</v>
      </c>
      <c r="E22" s="147">
        <v>118</v>
      </c>
      <c r="F22" s="147">
        <v>118</v>
      </c>
      <c r="G22" s="147">
        <v>301</v>
      </c>
      <c r="H22" s="147">
        <v>301</v>
      </c>
      <c r="I22" s="147">
        <v>899</v>
      </c>
      <c r="J22" s="147">
        <v>899</v>
      </c>
    </row>
    <row r="23" spans="1:19" s="140" customFormat="1" ht="50.1" customHeight="1" x14ac:dyDescent="0.4">
      <c r="A23" s="141" t="s">
        <v>48</v>
      </c>
      <c r="B23" s="142" t="s">
        <v>25</v>
      </c>
      <c r="C23" s="139">
        <f t="shared" ref="C23:D23" si="8">C24+C32+C33+C34</f>
        <v>47444</v>
      </c>
      <c r="D23" s="139">
        <f t="shared" si="8"/>
        <v>139385</v>
      </c>
      <c r="E23" s="139">
        <f>E24+E32+E33+E34</f>
        <v>108658</v>
      </c>
      <c r="F23" s="139">
        <f>F24+F32+F33+F34</f>
        <v>211754</v>
      </c>
      <c r="G23" s="139">
        <f t="shared" ref="G23:J23" si="9">G24+G32+G33+G34</f>
        <v>182083</v>
      </c>
      <c r="H23" s="139">
        <f t="shared" si="9"/>
        <v>304228</v>
      </c>
      <c r="I23" s="139">
        <f t="shared" si="9"/>
        <v>300101</v>
      </c>
      <c r="J23" s="139">
        <f t="shared" si="9"/>
        <v>459703</v>
      </c>
      <c r="K23" s="157"/>
      <c r="L23" s="157"/>
      <c r="M23" s="157"/>
      <c r="N23" s="157"/>
      <c r="O23" s="157"/>
      <c r="P23" s="157"/>
      <c r="Q23" s="157"/>
      <c r="R23" s="157"/>
      <c r="S23" s="157"/>
    </row>
    <row r="24" spans="1:19" s="140" customFormat="1" ht="50.1" customHeight="1" x14ac:dyDescent="0.4">
      <c r="A24" s="143" t="s">
        <v>100</v>
      </c>
      <c r="B24" s="144" t="s">
        <v>26</v>
      </c>
      <c r="C24" s="139">
        <f t="shared" ref="C24" si="10">SUM(C25:C31)</f>
        <v>15973</v>
      </c>
      <c r="D24" s="139">
        <f>SUM(D25:D31)</f>
        <v>39016</v>
      </c>
      <c r="E24" s="139">
        <f>SUM(E25:E31)</f>
        <v>32934</v>
      </c>
      <c r="F24" s="139">
        <f>SUM(F25:F31)</f>
        <v>66316</v>
      </c>
      <c r="G24" s="139">
        <f t="shared" ref="G24:J24" si="11">SUM(G25:G31)</f>
        <v>47525</v>
      </c>
      <c r="H24" s="139">
        <f t="shared" si="11"/>
        <v>56993</v>
      </c>
      <c r="I24" s="139">
        <f t="shared" si="11"/>
        <v>86220</v>
      </c>
      <c r="J24" s="139">
        <f t="shared" si="11"/>
        <v>101915</v>
      </c>
    </row>
    <row r="25" spans="1:19" s="149" customFormat="1" ht="50.1" customHeight="1" x14ac:dyDescent="0.35">
      <c r="A25" s="205" t="s">
        <v>37</v>
      </c>
      <c r="B25" s="146" t="s">
        <v>13</v>
      </c>
      <c r="C25" s="147">
        <v>1500</v>
      </c>
      <c r="D25" s="147">
        <v>1500</v>
      </c>
      <c r="E25" s="147">
        <v>2683</v>
      </c>
      <c r="F25" s="147">
        <v>2683</v>
      </c>
      <c r="G25" s="147">
        <v>5907</v>
      </c>
      <c r="H25" s="147">
        <v>5907</v>
      </c>
      <c r="I25" s="147">
        <v>1468</v>
      </c>
      <c r="J25" s="147">
        <v>1468</v>
      </c>
    </row>
    <row r="26" spans="1:19" s="149" customFormat="1" ht="50.1" customHeight="1" x14ac:dyDescent="0.35">
      <c r="A26" s="205" t="s">
        <v>49</v>
      </c>
      <c r="B26" s="146" t="s">
        <v>14</v>
      </c>
      <c r="C26" s="147">
        <v>9100</v>
      </c>
      <c r="D26" s="147">
        <v>9100</v>
      </c>
      <c r="E26" s="147">
        <v>17326</v>
      </c>
      <c r="F26" s="147">
        <v>17326</v>
      </c>
      <c r="G26" s="147">
        <v>17591</v>
      </c>
      <c r="H26" s="147">
        <v>17591</v>
      </c>
      <c r="I26" s="147">
        <v>14722</v>
      </c>
      <c r="J26" s="147">
        <v>14722</v>
      </c>
    </row>
    <row r="27" spans="1:19" s="154" customFormat="1" ht="50.1" customHeight="1" x14ac:dyDescent="0.35">
      <c r="A27" s="205" t="s">
        <v>39</v>
      </c>
      <c r="B27" s="146" t="s">
        <v>15</v>
      </c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</row>
    <row r="28" spans="1:19" s="154" customFormat="1" ht="50.1" customHeight="1" x14ac:dyDescent="0.35">
      <c r="A28" s="205" t="s">
        <v>50</v>
      </c>
      <c r="B28" s="146" t="s">
        <v>27</v>
      </c>
      <c r="C28" s="147">
        <v>2428</v>
      </c>
      <c r="D28" s="147">
        <v>2428</v>
      </c>
      <c r="E28" s="147">
        <v>6053</v>
      </c>
      <c r="F28" s="147">
        <v>6053</v>
      </c>
      <c r="G28" s="147">
        <v>9352</v>
      </c>
      <c r="H28" s="147">
        <v>9352</v>
      </c>
      <c r="I28" s="147">
        <v>11168</v>
      </c>
      <c r="J28" s="147">
        <v>11168</v>
      </c>
    </row>
    <row r="29" spans="1:19" s="149" customFormat="1" ht="50.1" customHeight="1" x14ac:dyDescent="0.35">
      <c r="A29" s="205" t="s">
        <v>51</v>
      </c>
      <c r="B29" s="146" t="s">
        <v>28</v>
      </c>
      <c r="C29" s="147">
        <v>981</v>
      </c>
      <c r="D29" s="147">
        <v>981</v>
      </c>
      <c r="E29" s="147">
        <v>1509</v>
      </c>
      <c r="F29" s="147">
        <v>1509</v>
      </c>
      <c r="G29" s="147">
        <v>5460</v>
      </c>
      <c r="H29" s="147">
        <v>5460</v>
      </c>
      <c r="I29" s="147">
        <v>8468</v>
      </c>
      <c r="J29" s="147">
        <v>8468</v>
      </c>
    </row>
    <row r="30" spans="1:19" s="149" customFormat="1" ht="50.1" customHeight="1" x14ac:dyDescent="0.35">
      <c r="A30" s="208" t="s">
        <v>52</v>
      </c>
      <c r="B30" s="146" t="s">
        <v>29</v>
      </c>
      <c r="C30" s="147">
        <v>0</v>
      </c>
      <c r="D30" s="147">
        <v>0</v>
      </c>
      <c r="E30" s="147">
        <v>0</v>
      </c>
      <c r="F30" s="147">
        <v>0</v>
      </c>
      <c r="G30" s="147">
        <v>-1524</v>
      </c>
      <c r="H30" s="147">
        <v>-1524</v>
      </c>
      <c r="I30" s="147">
        <v>-1524</v>
      </c>
      <c r="J30" s="147">
        <v>-1524</v>
      </c>
    </row>
    <row r="31" spans="1:19" s="154" customFormat="1" ht="50.1" customHeight="1" x14ac:dyDescent="0.35">
      <c r="A31" s="205" t="s">
        <v>53</v>
      </c>
      <c r="B31" s="146" t="s">
        <v>0</v>
      </c>
      <c r="C31" s="147">
        <v>1964</v>
      </c>
      <c r="D31" s="147">
        <v>25007</v>
      </c>
      <c r="E31" s="147">
        <v>5363</v>
      </c>
      <c r="F31" s="147">
        <v>38745</v>
      </c>
      <c r="G31" s="147">
        <v>10739</v>
      </c>
      <c r="H31" s="147">
        <v>20207</v>
      </c>
      <c r="I31" s="147">
        <v>51918</v>
      </c>
      <c r="J31" s="147">
        <v>67613</v>
      </c>
    </row>
    <row r="32" spans="1:19" s="157" customFormat="1" ht="50.1" customHeight="1" x14ac:dyDescent="0.4">
      <c r="A32" s="209" t="s">
        <v>99</v>
      </c>
      <c r="B32" s="156" t="s">
        <v>30</v>
      </c>
      <c r="C32" s="139">
        <v>15812</v>
      </c>
      <c r="D32" s="139">
        <v>15812</v>
      </c>
      <c r="E32" s="139">
        <v>42427</v>
      </c>
      <c r="F32" s="139">
        <v>42427</v>
      </c>
      <c r="G32" s="139">
        <v>69375</v>
      </c>
      <c r="H32" s="139">
        <v>69375</v>
      </c>
      <c r="I32" s="139">
        <v>94707</v>
      </c>
      <c r="J32" s="139">
        <v>94707</v>
      </c>
    </row>
    <row r="33" spans="1:10" s="157" customFormat="1" ht="50.1" customHeight="1" x14ac:dyDescent="0.4">
      <c r="A33" s="209" t="s">
        <v>54</v>
      </c>
      <c r="B33" s="156" t="s">
        <v>31</v>
      </c>
      <c r="C33" s="139">
        <v>5167</v>
      </c>
      <c r="D33" s="139">
        <v>5167</v>
      </c>
      <c r="E33" s="139">
        <v>14292</v>
      </c>
      <c r="F33" s="139">
        <v>14292</v>
      </c>
      <c r="G33" s="139">
        <v>22701</v>
      </c>
      <c r="H33" s="139">
        <v>22701</v>
      </c>
      <c r="I33" s="139">
        <v>34738</v>
      </c>
      <c r="J33" s="139">
        <v>34738</v>
      </c>
    </row>
    <row r="34" spans="1:10" s="157" customFormat="1" ht="50.1" customHeight="1" x14ac:dyDescent="0.4">
      <c r="A34" s="210" t="s">
        <v>53</v>
      </c>
      <c r="B34" s="160" t="s">
        <v>0</v>
      </c>
      <c r="C34" s="161">
        <v>10492</v>
      </c>
      <c r="D34" s="161">
        <v>79390</v>
      </c>
      <c r="E34" s="161">
        <v>19005</v>
      </c>
      <c r="F34" s="161">
        <v>88719</v>
      </c>
      <c r="G34" s="161">
        <v>42482</v>
      </c>
      <c r="H34" s="161">
        <v>155159</v>
      </c>
      <c r="I34" s="161">
        <v>84436</v>
      </c>
      <c r="J34" s="161">
        <v>228343</v>
      </c>
    </row>
    <row r="35" spans="1:10" s="122" customFormat="1" ht="21.9" customHeight="1" x14ac:dyDescent="0.3">
      <c r="A35" s="211" t="s">
        <v>69</v>
      </c>
      <c r="B35" s="124" t="s">
        <v>70</v>
      </c>
      <c r="C35" s="125"/>
      <c r="D35" s="125"/>
      <c r="E35" s="126"/>
      <c r="F35" s="126"/>
      <c r="G35" s="126"/>
      <c r="H35" s="126"/>
      <c r="I35" s="127"/>
      <c r="J35" s="204"/>
    </row>
    <row r="36" spans="1:10" ht="87.6" customHeight="1" x14ac:dyDescent="0.3">
      <c r="A36" s="128" t="s">
        <v>57</v>
      </c>
      <c r="B36" s="129" t="s">
        <v>56</v>
      </c>
      <c r="C36" s="107"/>
      <c r="D36" s="107"/>
      <c r="E36" s="116"/>
      <c r="F36" s="116"/>
      <c r="G36" s="116"/>
      <c r="H36" s="116"/>
      <c r="I36" s="115"/>
      <c r="J36" s="115"/>
    </row>
    <row r="37" spans="1:10" ht="36.6" customHeight="1" x14ac:dyDescent="0.3">
      <c r="A37" s="115"/>
      <c r="B37" s="306" t="s">
        <v>58</v>
      </c>
      <c r="C37" s="107"/>
      <c r="D37" s="107"/>
      <c r="E37" s="116"/>
      <c r="F37" s="116"/>
      <c r="G37" s="116"/>
      <c r="H37" s="116"/>
      <c r="I37" s="115"/>
      <c r="J37" s="115"/>
    </row>
    <row r="38" spans="1:10" ht="36.6" customHeight="1" x14ac:dyDescent="0.3">
      <c r="A38" s="128" t="s">
        <v>68</v>
      </c>
      <c r="B38" s="364" t="s">
        <v>78</v>
      </c>
      <c r="C38" s="364"/>
      <c r="D38" s="107"/>
      <c r="E38" s="116"/>
      <c r="F38" s="116"/>
      <c r="G38" s="116"/>
      <c r="H38" s="116"/>
      <c r="I38" s="115"/>
      <c r="J38" s="115"/>
    </row>
    <row r="39" spans="1:10" ht="21.9" customHeight="1" x14ac:dyDescent="0.3">
      <c r="B39" s="133"/>
      <c r="C39" s="134"/>
      <c r="D39" s="134"/>
      <c r="E39" s="134"/>
      <c r="F39" s="134"/>
      <c r="G39" s="132"/>
    </row>
    <row r="40" spans="1:10" ht="21.9" customHeight="1" x14ac:dyDescent="0.3"/>
    <row r="41" spans="1:10" ht="21.9" customHeight="1" x14ac:dyDescent="0.3"/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  <ignoredErrors>
    <ignoredError sqref="C10:J10 C24:J24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8D4C-1F4F-4B46-9CE4-BDDFB0EF2067}">
  <sheetPr>
    <pageSetUpPr fitToPage="1"/>
  </sheetPr>
  <dimension ref="A1:AQ1302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6640625" style="114" customWidth="1"/>
    <col min="2" max="2" width="79.44140625" style="131" customWidth="1"/>
    <col min="3" max="4" width="24.6640625" style="132" customWidth="1"/>
    <col min="5" max="10" width="24.6640625" style="114" customWidth="1"/>
    <col min="11" max="11" width="11.6640625" style="114" customWidth="1"/>
    <col min="12" max="12" width="15.5546875" style="114" customWidth="1"/>
    <col min="13" max="13" width="11.88671875" style="114" customWidth="1"/>
    <col min="14" max="16384" width="9.109375" style="114"/>
  </cols>
  <sheetData>
    <row r="1" spans="1:43" ht="70.2" customHeight="1" x14ac:dyDescent="0.3">
      <c r="A1" s="288" t="s">
        <v>96</v>
      </c>
      <c r="B1" s="289" t="s">
        <v>95</v>
      </c>
      <c r="C1" s="290"/>
      <c r="D1" s="308"/>
      <c r="E1" s="290"/>
      <c r="F1" s="290"/>
      <c r="G1" s="290"/>
      <c r="H1" s="290"/>
      <c r="I1" s="290"/>
      <c r="J1" s="290"/>
    </row>
    <row r="2" spans="1:43" ht="24" customHeight="1" x14ac:dyDescent="0.35">
      <c r="A2" s="291"/>
      <c r="B2" s="311"/>
      <c r="C2" s="308"/>
      <c r="D2" s="308"/>
      <c r="E2" s="308"/>
      <c r="F2" s="296"/>
      <c r="G2" s="308"/>
      <c r="H2" s="296"/>
      <c r="I2" s="308"/>
      <c r="J2" s="296" t="s">
        <v>55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</row>
    <row r="3" spans="1:43" s="120" customFormat="1" ht="15" customHeight="1" x14ac:dyDescent="0.3">
      <c r="A3" s="366"/>
      <c r="B3" s="369" t="s">
        <v>1</v>
      </c>
      <c r="C3" s="348" t="s">
        <v>98</v>
      </c>
      <c r="D3" s="349"/>
      <c r="E3" s="349"/>
      <c r="F3" s="349"/>
      <c r="G3" s="349"/>
      <c r="H3" s="349"/>
      <c r="I3" s="349"/>
      <c r="J3" s="349"/>
    </row>
    <row r="4" spans="1:43" s="120" customFormat="1" ht="30" customHeight="1" x14ac:dyDescent="0.3">
      <c r="A4" s="367"/>
      <c r="B4" s="370"/>
      <c r="C4" s="351"/>
      <c r="D4" s="352"/>
      <c r="E4" s="352"/>
      <c r="F4" s="352"/>
      <c r="G4" s="352"/>
      <c r="H4" s="352"/>
      <c r="I4" s="352"/>
      <c r="J4" s="352"/>
    </row>
    <row r="5" spans="1:43" s="120" customFormat="1" ht="15" customHeight="1" x14ac:dyDescent="0.3">
      <c r="A5" s="367"/>
      <c r="B5" s="370"/>
      <c r="C5" s="354" t="s">
        <v>3</v>
      </c>
      <c r="D5" s="354"/>
      <c r="E5" s="354" t="s">
        <v>5</v>
      </c>
      <c r="F5" s="354"/>
      <c r="G5" s="348" t="s">
        <v>6</v>
      </c>
      <c r="H5" s="349"/>
      <c r="I5" s="348" t="s">
        <v>7</v>
      </c>
      <c r="J5" s="350"/>
    </row>
    <row r="6" spans="1:43" s="120" customFormat="1" ht="15" customHeight="1" x14ac:dyDescent="0.3">
      <c r="A6" s="367"/>
      <c r="B6" s="370"/>
      <c r="C6" s="355"/>
      <c r="D6" s="355"/>
      <c r="E6" s="355"/>
      <c r="F6" s="355"/>
      <c r="G6" s="351"/>
      <c r="H6" s="352"/>
      <c r="I6" s="351"/>
      <c r="J6" s="353"/>
    </row>
    <row r="7" spans="1:43" s="121" customFormat="1" ht="86.4" customHeight="1" x14ac:dyDescent="0.3">
      <c r="A7" s="368"/>
      <c r="B7" s="371"/>
      <c r="C7" s="212" t="s">
        <v>2</v>
      </c>
      <c r="D7" s="220" t="s">
        <v>73</v>
      </c>
      <c r="E7" s="212" t="s">
        <v>2</v>
      </c>
      <c r="F7" s="220" t="s">
        <v>73</v>
      </c>
      <c r="G7" s="212" t="s">
        <v>2</v>
      </c>
      <c r="H7" s="220" t="s">
        <v>73</v>
      </c>
      <c r="I7" s="212" t="s">
        <v>2</v>
      </c>
      <c r="J7" s="220" t="s">
        <v>73</v>
      </c>
    </row>
    <row r="8" spans="1:43" s="140" customFormat="1" ht="49.95" customHeight="1" x14ac:dyDescent="0.4">
      <c r="A8" s="137" t="s">
        <v>34</v>
      </c>
      <c r="B8" s="138" t="s">
        <v>11</v>
      </c>
      <c r="C8" s="139">
        <f>C9+C20+C23</f>
        <v>335135</v>
      </c>
      <c r="D8" s="139">
        <f t="shared" ref="D8:J8" si="0">D9+D20+D23</f>
        <v>387028</v>
      </c>
      <c r="E8" s="139">
        <f>E9+E20+E23</f>
        <v>810590</v>
      </c>
      <c r="F8" s="139">
        <f t="shared" si="0"/>
        <v>912715</v>
      </c>
      <c r="G8" s="139">
        <f>G9+G20+G23</f>
        <v>1454360</v>
      </c>
      <c r="H8" s="139">
        <f t="shared" si="0"/>
        <v>1644503</v>
      </c>
      <c r="I8" s="139">
        <f>I9+I20+I23</f>
        <v>2506443</v>
      </c>
      <c r="J8" s="139">
        <f t="shared" si="0"/>
        <v>2717715</v>
      </c>
    </row>
    <row r="9" spans="1:43" s="140" customFormat="1" ht="49.95" customHeight="1" x14ac:dyDescent="0.4">
      <c r="A9" s="141" t="s">
        <v>35</v>
      </c>
      <c r="B9" s="142" t="s">
        <v>12</v>
      </c>
      <c r="C9" s="139">
        <f t="shared" ref="C9:J9" si="1">C10+C16+C17+C18+C19</f>
        <v>285030</v>
      </c>
      <c r="D9" s="139">
        <f t="shared" si="1"/>
        <v>285030</v>
      </c>
      <c r="E9" s="139">
        <f t="shared" si="1"/>
        <v>662103</v>
      </c>
      <c r="F9" s="139">
        <f t="shared" si="1"/>
        <v>662103</v>
      </c>
      <c r="G9" s="139">
        <f t="shared" si="1"/>
        <v>1045979</v>
      </c>
      <c r="H9" s="139">
        <f t="shared" si="1"/>
        <v>1045979</v>
      </c>
      <c r="I9" s="139">
        <f t="shared" si="1"/>
        <v>1630152</v>
      </c>
      <c r="J9" s="139">
        <f t="shared" si="1"/>
        <v>1630152</v>
      </c>
    </row>
    <row r="10" spans="1:43" s="140" customFormat="1" ht="49.95" customHeight="1" x14ac:dyDescent="0.4">
      <c r="A10" s="143" t="s">
        <v>36</v>
      </c>
      <c r="B10" s="144" t="s">
        <v>91</v>
      </c>
      <c r="C10" s="139">
        <f t="shared" ref="C10:J10" si="2">SUM(C11:C15)</f>
        <v>87621</v>
      </c>
      <c r="D10" s="139">
        <f t="shared" si="2"/>
        <v>87621</v>
      </c>
      <c r="E10" s="139">
        <f t="shared" si="2"/>
        <v>222128</v>
      </c>
      <c r="F10" s="139">
        <f t="shared" si="2"/>
        <v>222128</v>
      </c>
      <c r="G10" s="139">
        <f t="shared" si="2"/>
        <v>371409</v>
      </c>
      <c r="H10" s="139">
        <f t="shared" si="2"/>
        <v>371409</v>
      </c>
      <c r="I10" s="139">
        <f t="shared" si="2"/>
        <v>682795</v>
      </c>
      <c r="J10" s="139">
        <f t="shared" si="2"/>
        <v>682795</v>
      </c>
    </row>
    <row r="11" spans="1:43" s="149" customFormat="1" ht="49.95" customHeight="1" x14ac:dyDescent="0.35">
      <c r="A11" s="205" t="s">
        <v>37</v>
      </c>
      <c r="B11" s="146" t="s">
        <v>13</v>
      </c>
      <c r="C11" s="147">
        <v>0</v>
      </c>
      <c r="D11" s="147">
        <v>0</v>
      </c>
      <c r="E11" s="147">
        <v>0</v>
      </c>
      <c r="F11" s="147">
        <v>0</v>
      </c>
      <c r="G11" s="147">
        <v>29000</v>
      </c>
      <c r="H11" s="147">
        <v>29000</v>
      </c>
      <c r="I11" s="147">
        <v>59228</v>
      </c>
      <c r="J11" s="147">
        <v>59228</v>
      </c>
    </row>
    <row r="12" spans="1:43" s="149" customFormat="1" ht="49.95" customHeight="1" x14ac:dyDescent="0.35">
      <c r="A12" s="205" t="s">
        <v>38</v>
      </c>
      <c r="B12" s="146" t="s">
        <v>14</v>
      </c>
      <c r="C12" s="147">
        <v>21389</v>
      </c>
      <c r="D12" s="147">
        <v>21389</v>
      </c>
      <c r="E12" s="147">
        <v>62482</v>
      </c>
      <c r="F12" s="147">
        <v>62482</v>
      </c>
      <c r="G12" s="147">
        <v>80758</v>
      </c>
      <c r="H12" s="147">
        <v>80758</v>
      </c>
      <c r="I12" s="147">
        <v>101258</v>
      </c>
      <c r="J12" s="147">
        <v>101258</v>
      </c>
    </row>
    <row r="13" spans="1:43" s="149" customFormat="1" ht="49.95" customHeight="1" x14ac:dyDescent="0.35">
      <c r="A13" s="205" t="s">
        <v>39</v>
      </c>
      <c r="B13" s="146" t="s">
        <v>15</v>
      </c>
      <c r="C13" s="147">
        <v>0</v>
      </c>
      <c r="D13" s="147">
        <v>0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</row>
    <row r="14" spans="1:43" s="149" customFormat="1" ht="49.95" customHeight="1" x14ac:dyDescent="0.35">
      <c r="A14" s="205" t="s">
        <v>40</v>
      </c>
      <c r="B14" s="146" t="s">
        <v>16</v>
      </c>
      <c r="C14" s="147">
        <v>31832</v>
      </c>
      <c r="D14" s="147">
        <v>31832</v>
      </c>
      <c r="E14" s="147">
        <v>74045</v>
      </c>
      <c r="F14" s="147">
        <v>74045</v>
      </c>
      <c r="G14" s="147">
        <v>108891</v>
      </c>
      <c r="H14" s="147">
        <v>108891</v>
      </c>
      <c r="I14" s="147">
        <v>237649</v>
      </c>
      <c r="J14" s="147">
        <v>237649</v>
      </c>
    </row>
    <row r="15" spans="1:43" s="149" customFormat="1" ht="49.95" customHeight="1" x14ac:dyDescent="0.35">
      <c r="A15" s="205" t="s">
        <v>63</v>
      </c>
      <c r="B15" s="146" t="s">
        <v>17</v>
      </c>
      <c r="C15" s="147">
        <v>34400</v>
      </c>
      <c r="D15" s="147">
        <v>34400</v>
      </c>
      <c r="E15" s="147">
        <v>85601</v>
      </c>
      <c r="F15" s="147">
        <v>85601</v>
      </c>
      <c r="G15" s="147">
        <v>152760</v>
      </c>
      <c r="H15" s="147">
        <v>152760</v>
      </c>
      <c r="I15" s="147">
        <v>284660</v>
      </c>
      <c r="J15" s="147">
        <v>284660</v>
      </c>
    </row>
    <row r="16" spans="1:43" s="140" customFormat="1" ht="49.95" customHeight="1" x14ac:dyDescent="0.4">
      <c r="A16" s="143" t="s">
        <v>87</v>
      </c>
      <c r="B16" s="144" t="s">
        <v>18</v>
      </c>
      <c r="C16" s="139">
        <v>54236</v>
      </c>
      <c r="D16" s="139">
        <v>54236</v>
      </c>
      <c r="E16" s="139">
        <v>96996</v>
      </c>
      <c r="F16" s="139">
        <v>96996</v>
      </c>
      <c r="G16" s="139">
        <v>142269</v>
      </c>
      <c r="H16" s="139">
        <v>142269</v>
      </c>
      <c r="I16" s="139">
        <v>179363</v>
      </c>
      <c r="J16" s="139">
        <v>179363</v>
      </c>
    </row>
    <row r="17" spans="1:13" s="140" customFormat="1" ht="49.95" customHeight="1" x14ac:dyDescent="0.4">
      <c r="A17" s="143" t="s">
        <v>88</v>
      </c>
      <c r="B17" s="144" t="s">
        <v>19</v>
      </c>
      <c r="C17" s="139">
        <v>127864</v>
      </c>
      <c r="D17" s="139">
        <v>127864</v>
      </c>
      <c r="E17" s="139">
        <v>296410</v>
      </c>
      <c r="F17" s="139">
        <v>296410</v>
      </c>
      <c r="G17" s="139">
        <v>472781</v>
      </c>
      <c r="H17" s="139">
        <v>472781</v>
      </c>
      <c r="I17" s="139">
        <v>682644</v>
      </c>
      <c r="J17" s="139">
        <v>682644</v>
      </c>
    </row>
    <row r="18" spans="1:13" s="140" customFormat="1" ht="49.95" customHeight="1" x14ac:dyDescent="0.4">
      <c r="A18" s="143" t="s">
        <v>43</v>
      </c>
      <c r="B18" s="144" t="s">
        <v>92</v>
      </c>
      <c r="C18" s="139">
        <v>15309</v>
      </c>
      <c r="D18" s="139">
        <v>15309</v>
      </c>
      <c r="E18" s="139">
        <v>41818</v>
      </c>
      <c r="F18" s="139">
        <v>41818</v>
      </c>
      <c r="G18" s="139">
        <v>54769</v>
      </c>
      <c r="H18" s="139">
        <v>54769</v>
      </c>
      <c r="I18" s="139">
        <v>75432</v>
      </c>
      <c r="J18" s="139">
        <v>75432</v>
      </c>
    </row>
    <row r="19" spans="1:13" s="140" customFormat="1" ht="49.95" customHeight="1" x14ac:dyDescent="0.4">
      <c r="A19" s="143" t="s">
        <v>44</v>
      </c>
      <c r="B19" s="144" t="s">
        <v>21</v>
      </c>
      <c r="C19" s="139">
        <v>0</v>
      </c>
      <c r="D19" s="139">
        <v>0</v>
      </c>
      <c r="E19" s="139">
        <v>4751</v>
      </c>
      <c r="F19" s="139">
        <v>4751</v>
      </c>
      <c r="G19" s="139">
        <v>4751</v>
      </c>
      <c r="H19" s="139">
        <v>4751</v>
      </c>
      <c r="I19" s="139">
        <v>9918</v>
      </c>
      <c r="J19" s="139">
        <v>9918</v>
      </c>
    </row>
    <row r="20" spans="1:13" s="140" customFormat="1" ht="49.95" customHeight="1" x14ac:dyDescent="0.4">
      <c r="A20" s="206" t="s">
        <v>45</v>
      </c>
      <c r="B20" s="142" t="s">
        <v>22</v>
      </c>
      <c r="C20" s="139">
        <f t="shared" ref="C20:J20" si="3">C21+C22</f>
        <v>23</v>
      </c>
      <c r="D20" s="139">
        <f t="shared" si="3"/>
        <v>23</v>
      </c>
      <c r="E20" s="139">
        <f t="shared" si="3"/>
        <v>296</v>
      </c>
      <c r="F20" s="139">
        <f t="shared" si="3"/>
        <v>296</v>
      </c>
      <c r="G20" s="139">
        <f t="shared" si="3"/>
        <v>1738</v>
      </c>
      <c r="H20" s="139">
        <f t="shared" si="3"/>
        <v>1738</v>
      </c>
      <c r="I20" s="139">
        <f t="shared" si="3"/>
        <v>5941</v>
      </c>
      <c r="J20" s="139">
        <f t="shared" si="3"/>
        <v>5941</v>
      </c>
    </row>
    <row r="21" spans="1:13" s="153" customFormat="1" ht="49.95" customHeight="1" x14ac:dyDescent="0.25">
      <c r="A21" s="207" t="s">
        <v>46</v>
      </c>
      <c r="B21" s="152" t="s">
        <v>23</v>
      </c>
      <c r="C21" s="147">
        <v>12</v>
      </c>
      <c r="D21" s="147">
        <v>12</v>
      </c>
      <c r="E21" s="147">
        <v>186</v>
      </c>
      <c r="F21" s="147">
        <v>186</v>
      </c>
      <c r="G21" s="147">
        <v>1371</v>
      </c>
      <c r="H21" s="147">
        <v>1371</v>
      </c>
      <c r="I21" s="147">
        <v>4188</v>
      </c>
      <c r="J21" s="147">
        <v>4188</v>
      </c>
    </row>
    <row r="22" spans="1:13" s="153" customFormat="1" ht="49.95" customHeight="1" x14ac:dyDescent="0.25">
      <c r="A22" s="207" t="s">
        <v>47</v>
      </c>
      <c r="B22" s="152" t="s">
        <v>24</v>
      </c>
      <c r="C22" s="147">
        <v>11</v>
      </c>
      <c r="D22" s="147">
        <v>11</v>
      </c>
      <c r="E22" s="147">
        <v>110</v>
      </c>
      <c r="F22" s="147">
        <v>110</v>
      </c>
      <c r="G22" s="147">
        <v>367</v>
      </c>
      <c r="H22" s="147">
        <v>367</v>
      </c>
      <c r="I22" s="147">
        <v>1753</v>
      </c>
      <c r="J22" s="147">
        <v>1753</v>
      </c>
    </row>
    <row r="23" spans="1:13" s="140" customFormat="1" ht="49.95" customHeight="1" x14ac:dyDescent="0.4">
      <c r="A23" s="141" t="s">
        <v>48</v>
      </c>
      <c r="B23" s="142" t="s">
        <v>25</v>
      </c>
      <c r="C23" s="139">
        <f t="shared" ref="C23:J23" si="4">C24+C32+C33+C34</f>
        <v>50082</v>
      </c>
      <c r="D23" s="139">
        <f t="shared" si="4"/>
        <v>101975</v>
      </c>
      <c r="E23" s="139">
        <f t="shared" si="4"/>
        <v>148191</v>
      </c>
      <c r="F23" s="139">
        <f t="shared" si="4"/>
        <v>250316</v>
      </c>
      <c r="G23" s="139">
        <f t="shared" si="4"/>
        <v>406643</v>
      </c>
      <c r="H23" s="139">
        <f t="shared" si="4"/>
        <v>596786</v>
      </c>
      <c r="I23" s="139">
        <f t="shared" si="4"/>
        <v>870350</v>
      </c>
      <c r="J23" s="139">
        <f t="shared" si="4"/>
        <v>1081622</v>
      </c>
      <c r="K23" s="157"/>
      <c r="L23" s="157"/>
      <c r="M23" s="157"/>
    </row>
    <row r="24" spans="1:13" s="140" customFormat="1" ht="49.95" customHeight="1" x14ac:dyDescent="0.4">
      <c r="A24" s="143" t="s">
        <v>100</v>
      </c>
      <c r="B24" s="144" t="s">
        <v>26</v>
      </c>
      <c r="C24" s="139">
        <f t="shared" ref="C24:J24" si="5">SUM(C25:C31)</f>
        <v>21894</v>
      </c>
      <c r="D24" s="139">
        <f>SUM(D25:D31)</f>
        <v>26066</v>
      </c>
      <c r="E24" s="139">
        <f t="shared" si="5"/>
        <v>53778</v>
      </c>
      <c r="F24" s="139">
        <f t="shared" si="5"/>
        <v>62279</v>
      </c>
      <c r="G24" s="139">
        <f t="shared" si="5"/>
        <v>72532</v>
      </c>
      <c r="H24" s="139">
        <f t="shared" si="5"/>
        <v>92835</v>
      </c>
      <c r="I24" s="139">
        <f t="shared" si="5"/>
        <v>103457</v>
      </c>
      <c r="J24" s="139">
        <f t="shared" si="5"/>
        <v>123479</v>
      </c>
    </row>
    <row r="25" spans="1:13" s="149" customFormat="1" ht="49.95" customHeight="1" x14ac:dyDescent="0.35">
      <c r="A25" s="205" t="s">
        <v>37</v>
      </c>
      <c r="B25" s="146" t="s">
        <v>13</v>
      </c>
      <c r="C25" s="147">
        <v>0</v>
      </c>
      <c r="D25" s="147">
        <v>0</v>
      </c>
      <c r="E25" s="147">
        <v>0</v>
      </c>
      <c r="F25" s="147">
        <v>0</v>
      </c>
      <c r="G25" s="147">
        <v>0</v>
      </c>
      <c r="H25" s="147">
        <v>0</v>
      </c>
      <c r="I25" s="147">
        <v>1351</v>
      </c>
      <c r="J25" s="147">
        <v>1351</v>
      </c>
    </row>
    <row r="26" spans="1:13" s="149" customFormat="1" ht="49.95" customHeight="1" x14ac:dyDescent="0.35">
      <c r="A26" s="205" t="s">
        <v>49</v>
      </c>
      <c r="B26" s="146" t="s">
        <v>14</v>
      </c>
      <c r="C26" s="147">
        <v>13317</v>
      </c>
      <c r="D26" s="147">
        <v>13317</v>
      </c>
      <c r="E26" s="147">
        <v>32819</v>
      </c>
      <c r="F26" s="147">
        <v>32819</v>
      </c>
      <c r="G26" s="147">
        <v>32859</v>
      </c>
      <c r="H26" s="147">
        <v>32859</v>
      </c>
      <c r="I26" s="147">
        <v>32873</v>
      </c>
      <c r="J26" s="147">
        <v>32873</v>
      </c>
    </row>
    <row r="27" spans="1:13" s="154" customFormat="1" ht="49.95" customHeight="1" x14ac:dyDescent="0.35">
      <c r="A27" s="205" t="s">
        <v>39</v>
      </c>
      <c r="B27" s="146" t="s">
        <v>15</v>
      </c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</row>
    <row r="28" spans="1:13" s="154" customFormat="1" ht="49.95" customHeight="1" x14ac:dyDescent="0.35">
      <c r="A28" s="205" t="s">
        <v>50</v>
      </c>
      <c r="B28" s="146" t="s">
        <v>27</v>
      </c>
      <c r="C28" s="147">
        <v>2600</v>
      </c>
      <c r="D28" s="147">
        <v>2600</v>
      </c>
      <c r="E28" s="147">
        <v>6384</v>
      </c>
      <c r="F28" s="147">
        <v>6384</v>
      </c>
      <c r="G28" s="147">
        <v>10710</v>
      </c>
      <c r="H28" s="147">
        <v>10710</v>
      </c>
      <c r="I28" s="147">
        <v>14589</v>
      </c>
      <c r="J28" s="147">
        <v>14589</v>
      </c>
    </row>
    <row r="29" spans="1:13" s="149" customFormat="1" ht="49.95" customHeight="1" x14ac:dyDescent="0.35">
      <c r="A29" s="205" t="s">
        <v>51</v>
      </c>
      <c r="B29" s="146" t="s">
        <v>28</v>
      </c>
      <c r="C29" s="147">
        <v>1467</v>
      </c>
      <c r="D29" s="147">
        <v>1467</v>
      </c>
      <c r="E29" s="147">
        <v>3543</v>
      </c>
      <c r="F29" s="147">
        <v>3543</v>
      </c>
      <c r="G29" s="147">
        <v>10608</v>
      </c>
      <c r="H29" s="147">
        <v>10608</v>
      </c>
      <c r="I29" s="147">
        <v>13360</v>
      </c>
      <c r="J29" s="147">
        <v>13360</v>
      </c>
    </row>
    <row r="30" spans="1:13" s="149" customFormat="1" ht="49.95" customHeight="1" x14ac:dyDescent="0.35">
      <c r="A30" s="208" t="s">
        <v>52</v>
      </c>
      <c r="B30" s="146" t="s">
        <v>29</v>
      </c>
      <c r="C30" s="147">
        <v>0</v>
      </c>
      <c r="D30" s="147">
        <v>0</v>
      </c>
      <c r="E30" s="147">
        <v>0</v>
      </c>
      <c r="F30" s="147">
        <v>0</v>
      </c>
      <c r="G30" s="147">
        <v>-2773</v>
      </c>
      <c r="H30" s="147">
        <v>-2773</v>
      </c>
      <c r="I30" s="147">
        <v>0</v>
      </c>
      <c r="J30" s="147">
        <v>0</v>
      </c>
    </row>
    <row r="31" spans="1:13" s="154" customFormat="1" ht="49.95" customHeight="1" x14ac:dyDescent="0.35">
      <c r="A31" s="205" t="s">
        <v>53</v>
      </c>
      <c r="B31" s="146" t="s">
        <v>0</v>
      </c>
      <c r="C31" s="147">
        <v>4510</v>
      </c>
      <c r="D31" s="147">
        <v>8682</v>
      </c>
      <c r="E31" s="147">
        <v>11032</v>
      </c>
      <c r="F31" s="147">
        <v>19533</v>
      </c>
      <c r="G31" s="147">
        <v>21128</v>
      </c>
      <c r="H31" s="147">
        <v>41431</v>
      </c>
      <c r="I31" s="147">
        <v>41284</v>
      </c>
      <c r="J31" s="147">
        <v>61306</v>
      </c>
    </row>
    <row r="32" spans="1:13" s="157" customFormat="1" ht="49.95" customHeight="1" x14ac:dyDescent="0.4">
      <c r="A32" s="209" t="s">
        <v>99</v>
      </c>
      <c r="B32" s="156" t="s">
        <v>30</v>
      </c>
      <c r="C32" s="139">
        <v>10582</v>
      </c>
      <c r="D32" s="139">
        <v>10582</v>
      </c>
      <c r="E32" s="139">
        <v>37115</v>
      </c>
      <c r="F32" s="139">
        <v>37115</v>
      </c>
      <c r="G32" s="139">
        <v>65618</v>
      </c>
      <c r="H32" s="139">
        <v>65618</v>
      </c>
      <c r="I32" s="139">
        <v>112796</v>
      </c>
      <c r="J32" s="139">
        <v>112796</v>
      </c>
    </row>
    <row r="33" spans="1:10" s="157" customFormat="1" ht="49.95" customHeight="1" x14ac:dyDescent="0.4">
      <c r="A33" s="209" t="s">
        <v>54</v>
      </c>
      <c r="B33" s="156" t="s">
        <v>31</v>
      </c>
      <c r="C33" s="139">
        <v>4479</v>
      </c>
      <c r="D33" s="139">
        <v>4479</v>
      </c>
      <c r="E33" s="139">
        <v>12232</v>
      </c>
      <c r="F33" s="139">
        <v>12232</v>
      </c>
      <c r="G33" s="139">
        <v>29778</v>
      </c>
      <c r="H33" s="139">
        <v>29778</v>
      </c>
      <c r="I33" s="139">
        <v>54913</v>
      </c>
      <c r="J33" s="139">
        <v>54913</v>
      </c>
    </row>
    <row r="34" spans="1:10" s="157" customFormat="1" ht="49.95" customHeight="1" x14ac:dyDescent="0.4">
      <c r="A34" s="210" t="s">
        <v>53</v>
      </c>
      <c r="B34" s="160" t="s">
        <v>0</v>
      </c>
      <c r="C34" s="161">
        <v>13127</v>
      </c>
      <c r="D34" s="161">
        <v>60848</v>
      </c>
      <c r="E34" s="161">
        <v>45066</v>
      </c>
      <c r="F34" s="161">
        <v>138690</v>
      </c>
      <c r="G34" s="161">
        <v>238715</v>
      </c>
      <c r="H34" s="161">
        <v>408555</v>
      </c>
      <c r="I34" s="161">
        <v>599184</v>
      </c>
      <c r="J34" s="161">
        <v>790434</v>
      </c>
    </row>
    <row r="35" spans="1:10" s="122" customFormat="1" ht="21.9" customHeight="1" x14ac:dyDescent="0.3">
      <c r="A35" s="211" t="s">
        <v>69</v>
      </c>
      <c r="B35" s="124" t="s">
        <v>70</v>
      </c>
      <c r="C35" s="125"/>
      <c r="D35" s="125"/>
      <c r="E35" s="125"/>
      <c r="F35" s="125"/>
      <c r="G35" s="125"/>
      <c r="H35" s="125"/>
      <c r="I35" s="125"/>
      <c r="J35" s="125"/>
    </row>
    <row r="36" spans="1:10" ht="87.6" customHeight="1" x14ac:dyDescent="0.3">
      <c r="A36" s="128" t="s">
        <v>57</v>
      </c>
      <c r="B36" s="129" t="s">
        <v>56</v>
      </c>
      <c r="C36" s="107"/>
      <c r="D36" s="107"/>
      <c r="E36" s="107"/>
      <c r="F36" s="107"/>
      <c r="G36" s="107"/>
      <c r="H36" s="107"/>
      <c r="I36" s="107"/>
      <c r="J36" s="107"/>
    </row>
    <row r="37" spans="1:10" ht="36.6" customHeight="1" x14ac:dyDescent="0.3">
      <c r="A37" s="115"/>
      <c r="B37" s="310" t="s">
        <v>58</v>
      </c>
      <c r="C37" s="107"/>
      <c r="D37" s="107"/>
      <c r="E37" s="290"/>
      <c r="F37" s="290"/>
      <c r="G37" s="290"/>
      <c r="H37" s="290"/>
      <c r="I37" s="290"/>
      <c r="J37" s="290"/>
    </row>
    <row r="38" spans="1:10" ht="36.6" customHeight="1" x14ac:dyDescent="0.3">
      <c r="A38" s="128" t="s">
        <v>68</v>
      </c>
      <c r="B38" s="364" t="s">
        <v>78</v>
      </c>
      <c r="C38" s="364"/>
      <c r="D38" s="107"/>
      <c r="E38" s="308"/>
      <c r="F38" s="296"/>
      <c r="G38" s="308"/>
      <c r="H38" s="296"/>
      <c r="I38" s="308"/>
      <c r="J38" s="296"/>
    </row>
    <row r="39" spans="1:10" ht="21.9" customHeight="1" x14ac:dyDescent="0.3">
      <c r="B39" s="133"/>
      <c r="C39" s="134"/>
      <c r="D39" s="134"/>
      <c r="E39" s="349"/>
      <c r="F39" s="349"/>
      <c r="G39" s="349"/>
      <c r="H39" s="349"/>
      <c r="I39" s="349"/>
      <c r="J39" s="349"/>
    </row>
    <row r="40" spans="1:10" ht="21.9" customHeight="1" x14ac:dyDescent="0.3">
      <c r="E40" s="119"/>
      <c r="F40" s="119"/>
      <c r="G40" s="119"/>
      <c r="H40" s="119"/>
      <c r="I40" s="119"/>
      <c r="J40" s="119"/>
    </row>
    <row r="41" spans="1:10" ht="21.9" customHeight="1" x14ac:dyDescent="0.3"/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11">
    <mergeCell ref="B38:C38"/>
    <mergeCell ref="E39:F39"/>
    <mergeCell ref="G39:H39"/>
    <mergeCell ref="I39:J39"/>
    <mergeCell ref="A3:A7"/>
    <mergeCell ref="B3:B7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24" orientation="portrait" horizontalDpi="4294967295" verticalDpi="4294967295" r:id="rId1"/>
  <headerFooter alignWithMargins="0"/>
  <ignoredErrors>
    <ignoredError sqref="C10:J10 C24:J24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BB12-6AC8-482C-81F8-64E2A4F83C20}">
  <sheetPr>
    <pageSetUpPr fitToPage="1"/>
  </sheetPr>
  <dimension ref="A1:J1302"/>
  <sheetViews>
    <sheetView tabSelected="1" view="pageBreakPreview" zoomScale="40" zoomScaleNormal="75" zoomScaleSheetLayoutView="40" workbookViewId="0">
      <selection activeCell="C3" sqref="C3:J4"/>
    </sheetView>
  </sheetViews>
  <sheetFormatPr defaultColWidth="9.109375" defaultRowHeight="17.399999999999999" x14ac:dyDescent="0.3"/>
  <cols>
    <col min="1" max="1" width="62.6640625" style="114" customWidth="1"/>
    <col min="2" max="2" width="79.44140625" style="131" customWidth="1"/>
    <col min="3" max="10" width="24.6640625" style="120" customWidth="1"/>
    <col min="11" max="16384" width="9.109375" style="114"/>
  </cols>
  <sheetData>
    <row r="1" spans="1:10" ht="70.2" customHeight="1" x14ac:dyDescent="0.3">
      <c r="A1" s="257" t="s">
        <v>96</v>
      </c>
      <c r="B1" s="258" t="s">
        <v>95</v>
      </c>
      <c r="C1" s="313"/>
      <c r="D1" s="314"/>
      <c r="E1" s="313"/>
      <c r="F1" s="314"/>
      <c r="G1" s="313"/>
      <c r="H1" s="314"/>
      <c r="I1" s="313"/>
      <c r="J1" s="314"/>
    </row>
    <row r="2" spans="1:10" ht="24" customHeight="1" x14ac:dyDescent="0.35">
      <c r="A2" s="265"/>
      <c r="B2" s="315"/>
      <c r="C2" s="314"/>
      <c r="D2" s="314"/>
      <c r="E2" s="314"/>
      <c r="F2" s="316"/>
      <c r="G2" s="314"/>
      <c r="H2" s="316"/>
      <c r="I2" s="314"/>
      <c r="J2" s="316" t="s">
        <v>55</v>
      </c>
    </row>
    <row r="3" spans="1:10" s="120" customFormat="1" ht="15" customHeight="1" x14ac:dyDescent="0.3">
      <c r="A3" s="366"/>
      <c r="B3" s="369" t="s">
        <v>1</v>
      </c>
      <c r="C3" s="348" t="s">
        <v>101</v>
      </c>
      <c r="D3" s="349"/>
      <c r="E3" s="349"/>
      <c r="F3" s="349"/>
      <c r="G3" s="349"/>
      <c r="H3" s="349"/>
      <c r="I3" s="349"/>
      <c r="J3" s="350"/>
    </row>
    <row r="4" spans="1:10" s="120" customFormat="1" ht="30" customHeight="1" x14ac:dyDescent="0.3">
      <c r="A4" s="367"/>
      <c r="B4" s="370"/>
      <c r="C4" s="351"/>
      <c r="D4" s="352"/>
      <c r="E4" s="352"/>
      <c r="F4" s="352"/>
      <c r="G4" s="352"/>
      <c r="H4" s="352"/>
      <c r="I4" s="352"/>
      <c r="J4" s="353"/>
    </row>
    <row r="5" spans="1:10" s="120" customFormat="1" ht="15" customHeight="1" x14ac:dyDescent="0.3">
      <c r="A5" s="367"/>
      <c r="B5" s="370"/>
      <c r="C5" s="354" t="s">
        <v>3</v>
      </c>
      <c r="D5" s="354"/>
      <c r="E5" s="354" t="s">
        <v>5</v>
      </c>
      <c r="F5" s="354"/>
      <c r="G5" s="348" t="s">
        <v>6</v>
      </c>
      <c r="H5" s="349"/>
      <c r="I5" s="348" t="s">
        <v>7</v>
      </c>
      <c r="J5" s="350"/>
    </row>
    <row r="6" spans="1:10" s="120" customFormat="1" ht="15" customHeight="1" x14ac:dyDescent="0.3">
      <c r="A6" s="367"/>
      <c r="B6" s="370"/>
      <c r="C6" s="355"/>
      <c r="D6" s="355"/>
      <c r="E6" s="355"/>
      <c r="F6" s="355"/>
      <c r="G6" s="351"/>
      <c r="H6" s="352"/>
      <c r="I6" s="351"/>
      <c r="J6" s="353"/>
    </row>
    <row r="7" spans="1:10" ht="86.4" customHeight="1" x14ac:dyDescent="0.3">
      <c r="A7" s="368"/>
      <c r="B7" s="371"/>
      <c r="C7" s="212" t="s">
        <v>2</v>
      </c>
      <c r="D7" s="220" t="s">
        <v>73</v>
      </c>
      <c r="E7" s="212" t="s">
        <v>2</v>
      </c>
      <c r="F7" s="220" t="s">
        <v>73</v>
      </c>
      <c r="G7" s="212" t="s">
        <v>2</v>
      </c>
      <c r="H7" s="220" t="s">
        <v>73</v>
      </c>
      <c r="I7" s="212" t="s">
        <v>2</v>
      </c>
      <c r="J7" s="220" t="s">
        <v>73</v>
      </c>
    </row>
    <row r="8" spans="1:10" s="140" customFormat="1" ht="49.95" customHeight="1" x14ac:dyDescent="0.4">
      <c r="A8" s="162" t="s">
        <v>34</v>
      </c>
      <c r="B8" s="163" t="s">
        <v>11</v>
      </c>
      <c r="C8" s="245">
        <f>C9+C20+C23</f>
        <v>470098</v>
      </c>
      <c r="D8" s="245">
        <f t="shared" ref="D8:J8" si="0">D9+D20+D23</f>
        <v>535651</v>
      </c>
      <c r="E8" s="245">
        <f t="shared" si="0"/>
        <v>1060938</v>
      </c>
      <c r="F8" s="245">
        <f t="shared" si="0"/>
        <v>1194338</v>
      </c>
      <c r="G8" s="245">
        <f t="shared" si="0"/>
        <v>1685521</v>
      </c>
      <c r="H8" s="245">
        <f t="shared" si="0"/>
        <v>1889712</v>
      </c>
      <c r="I8" s="245">
        <f t="shared" si="0"/>
        <v>2644113</v>
      </c>
      <c r="J8" s="245">
        <f t="shared" si="0"/>
        <v>2921214</v>
      </c>
    </row>
    <row r="9" spans="1:10" s="140" customFormat="1" ht="49.95" customHeight="1" x14ac:dyDescent="0.4">
      <c r="A9" s="164" t="s">
        <v>35</v>
      </c>
      <c r="B9" s="165" t="s">
        <v>12</v>
      </c>
      <c r="C9" s="245">
        <f t="shared" ref="C9:J9" si="1">C10+C16+C17+C18+C19</f>
        <v>413280</v>
      </c>
      <c r="D9" s="245">
        <f t="shared" si="1"/>
        <v>413280</v>
      </c>
      <c r="E9" s="245">
        <f t="shared" si="1"/>
        <v>912472</v>
      </c>
      <c r="F9" s="245">
        <f t="shared" si="1"/>
        <v>912472</v>
      </c>
      <c r="G9" s="245">
        <f t="shared" si="1"/>
        <v>1441019</v>
      </c>
      <c r="H9" s="245">
        <f t="shared" si="1"/>
        <v>1441019</v>
      </c>
      <c r="I9" s="245">
        <f t="shared" si="1"/>
        <v>2202281</v>
      </c>
      <c r="J9" s="245">
        <f t="shared" si="1"/>
        <v>2202281</v>
      </c>
    </row>
    <row r="10" spans="1:10" s="140" customFormat="1" ht="49.95" customHeight="1" x14ac:dyDescent="0.4">
      <c r="A10" s="166" t="s">
        <v>36</v>
      </c>
      <c r="B10" s="167" t="s">
        <v>91</v>
      </c>
      <c r="C10" s="245">
        <f t="shared" ref="C10:J10" si="2">SUM(C11:C15)</f>
        <v>100466</v>
      </c>
      <c r="D10" s="245">
        <f t="shared" si="2"/>
        <v>100466</v>
      </c>
      <c r="E10" s="245">
        <f t="shared" si="2"/>
        <v>258497</v>
      </c>
      <c r="F10" s="245">
        <f t="shared" si="2"/>
        <v>258497</v>
      </c>
      <c r="G10" s="245">
        <f t="shared" si="2"/>
        <v>417144</v>
      </c>
      <c r="H10" s="245">
        <f t="shared" si="2"/>
        <v>417144</v>
      </c>
      <c r="I10" s="245">
        <f t="shared" si="2"/>
        <v>836804</v>
      </c>
      <c r="J10" s="245">
        <f t="shared" si="2"/>
        <v>836804</v>
      </c>
    </row>
    <row r="11" spans="1:10" s="149" customFormat="1" ht="49.95" customHeight="1" x14ac:dyDescent="0.35">
      <c r="A11" s="317" t="s">
        <v>37</v>
      </c>
      <c r="B11" s="169" t="s">
        <v>13</v>
      </c>
      <c r="C11" s="247">
        <v>0</v>
      </c>
      <c r="D11" s="247">
        <v>0</v>
      </c>
      <c r="E11" s="247">
        <v>20000</v>
      </c>
      <c r="F11" s="247">
        <v>20000</v>
      </c>
      <c r="G11" s="247">
        <v>20000</v>
      </c>
      <c r="H11" s="247">
        <v>20000</v>
      </c>
      <c r="I11" s="247">
        <v>54454</v>
      </c>
      <c r="J11" s="247">
        <v>54454</v>
      </c>
    </row>
    <row r="12" spans="1:10" s="149" customFormat="1" ht="49.95" customHeight="1" x14ac:dyDescent="0.35">
      <c r="A12" s="317" t="s">
        <v>38</v>
      </c>
      <c r="B12" s="169" t="s">
        <v>14</v>
      </c>
      <c r="C12" s="247">
        <v>22451</v>
      </c>
      <c r="D12" s="247">
        <v>22451</v>
      </c>
      <c r="E12" s="247">
        <v>42310</v>
      </c>
      <c r="F12" s="247">
        <v>42310</v>
      </c>
      <c r="G12" s="247">
        <v>66862</v>
      </c>
      <c r="H12" s="247">
        <v>66862</v>
      </c>
      <c r="I12" s="247">
        <v>91916</v>
      </c>
      <c r="J12" s="247">
        <v>91916</v>
      </c>
    </row>
    <row r="13" spans="1:10" s="149" customFormat="1" ht="49.95" customHeight="1" x14ac:dyDescent="0.35">
      <c r="A13" s="317" t="s">
        <v>39</v>
      </c>
      <c r="B13" s="169" t="s">
        <v>15</v>
      </c>
      <c r="C13" s="247">
        <v>0</v>
      </c>
      <c r="D13" s="247">
        <v>0</v>
      </c>
      <c r="E13" s="247">
        <v>0</v>
      </c>
      <c r="F13" s="247">
        <v>0</v>
      </c>
      <c r="G13" s="247">
        <v>0</v>
      </c>
      <c r="H13" s="247">
        <v>0</v>
      </c>
      <c r="I13" s="247">
        <v>0</v>
      </c>
      <c r="J13" s="247">
        <v>0</v>
      </c>
    </row>
    <row r="14" spans="1:10" s="149" customFormat="1" ht="49.95" customHeight="1" x14ac:dyDescent="0.35">
      <c r="A14" s="317" t="s">
        <v>40</v>
      </c>
      <c r="B14" s="169" t="s">
        <v>16</v>
      </c>
      <c r="C14" s="247">
        <v>35735</v>
      </c>
      <c r="D14" s="247">
        <v>35735</v>
      </c>
      <c r="E14" s="247">
        <v>86548</v>
      </c>
      <c r="F14" s="247">
        <v>86548</v>
      </c>
      <c r="G14" s="247">
        <v>129963</v>
      </c>
      <c r="H14" s="247">
        <v>129963</v>
      </c>
      <c r="I14" s="247">
        <v>307470</v>
      </c>
      <c r="J14" s="247">
        <v>307470</v>
      </c>
    </row>
    <row r="15" spans="1:10" s="149" customFormat="1" ht="49.95" customHeight="1" x14ac:dyDescent="0.35">
      <c r="A15" s="317" t="s">
        <v>63</v>
      </c>
      <c r="B15" s="169" t="s">
        <v>17</v>
      </c>
      <c r="C15" s="247">
        <v>42280</v>
      </c>
      <c r="D15" s="247">
        <v>42280</v>
      </c>
      <c r="E15" s="247">
        <v>109639</v>
      </c>
      <c r="F15" s="247">
        <v>109639</v>
      </c>
      <c r="G15" s="247">
        <v>200319</v>
      </c>
      <c r="H15" s="247">
        <v>200319</v>
      </c>
      <c r="I15" s="247">
        <v>382964</v>
      </c>
      <c r="J15" s="247">
        <v>382964</v>
      </c>
    </row>
    <row r="16" spans="1:10" s="140" customFormat="1" ht="49.95" customHeight="1" x14ac:dyDescent="0.4">
      <c r="A16" s="166" t="s">
        <v>87</v>
      </c>
      <c r="B16" s="167" t="s">
        <v>18</v>
      </c>
      <c r="C16" s="245">
        <v>98555</v>
      </c>
      <c r="D16" s="245">
        <v>98555</v>
      </c>
      <c r="E16" s="245">
        <v>167206</v>
      </c>
      <c r="F16" s="245">
        <v>167206</v>
      </c>
      <c r="G16" s="245">
        <v>266056</v>
      </c>
      <c r="H16" s="245">
        <v>266056</v>
      </c>
      <c r="I16" s="245">
        <v>320920</v>
      </c>
      <c r="J16" s="245">
        <v>320920</v>
      </c>
    </row>
    <row r="17" spans="1:10" s="140" customFormat="1" ht="49.95" customHeight="1" x14ac:dyDescent="0.4">
      <c r="A17" s="166" t="s">
        <v>88</v>
      </c>
      <c r="B17" s="167" t="s">
        <v>19</v>
      </c>
      <c r="C17" s="245">
        <v>184860</v>
      </c>
      <c r="D17" s="245">
        <v>184860</v>
      </c>
      <c r="E17" s="245">
        <v>416814</v>
      </c>
      <c r="F17" s="245">
        <v>416814</v>
      </c>
      <c r="G17" s="245">
        <v>656206</v>
      </c>
      <c r="H17" s="245">
        <v>656206</v>
      </c>
      <c r="I17" s="245">
        <v>916157</v>
      </c>
      <c r="J17" s="245">
        <v>916157</v>
      </c>
    </row>
    <row r="18" spans="1:10" s="140" customFormat="1" ht="49.95" customHeight="1" x14ac:dyDescent="0.4">
      <c r="A18" s="166" t="s">
        <v>43</v>
      </c>
      <c r="B18" s="167" t="s">
        <v>92</v>
      </c>
      <c r="C18" s="245">
        <v>29399</v>
      </c>
      <c r="D18" s="245">
        <v>29399</v>
      </c>
      <c r="E18" s="245">
        <v>62695</v>
      </c>
      <c r="F18" s="245">
        <v>62695</v>
      </c>
      <c r="G18" s="245">
        <v>91181</v>
      </c>
      <c r="H18" s="245">
        <v>91181</v>
      </c>
      <c r="I18" s="245">
        <v>110727</v>
      </c>
      <c r="J18" s="245">
        <v>110727</v>
      </c>
    </row>
    <row r="19" spans="1:10" s="140" customFormat="1" ht="49.95" customHeight="1" x14ac:dyDescent="0.4">
      <c r="A19" s="166" t="s">
        <v>44</v>
      </c>
      <c r="B19" s="167" t="s">
        <v>21</v>
      </c>
      <c r="C19" s="245">
        <v>0</v>
      </c>
      <c r="D19" s="245">
        <v>0</v>
      </c>
      <c r="E19" s="245">
        <v>7260</v>
      </c>
      <c r="F19" s="245">
        <v>7260</v>
      </c>
      <c r="G19" s="245">
        <v>10432</v>
      </c>
      <c r="H19" s="245">
        <v>10432</v>
      </c>
      <c r="I19" s="245">
        <v>17673</v>
      </c>
      <c r="J19" s="245">
        <v>17673</v>
      </c>
    </row>
    <row r="20" spans="1:10" s="140" customFormat="1" ht="49.95" customHeight="1" x14ac:dyDescent="0.4">
      <c r="A20" s="318" t="s">
        <v>45</v>
      </c>
      <c r="B20" s="165" t="s">
        <v>22</v>
      </c>
      <c r="C20" s="245">
        <f t="shared" ref="C20:J20" si="3">C21+C22</f>
        <v>97</v>
      </c>
      <c r="D20" s="245">
        <f t="shared" si="3"/>
        <v>97</v>
      </c>
      <c r="E20" s="245">
        <f t="shared" si="3"/>
        <v>2841</v>
      </c>
      <c r="F20" s="245">
        <f t="shared" si="3"/>
        <v>2841</v>
      </c>
      <c r="G20" s="245">
        <f t="shared" si="3"/>
        <v>5552</v>
      </c>
      <c r="H20" s="245">
        <f t="shared" si="3"/>
        <v>5552</v>
      </c>
      <c r="I20" s="245">
        <f t="shared" si="3"/>
        <v>16903</v>
      </c>
      <c r="J20" s="245">
        <f t="shared" si="3"/>
        <v>16903</v>
      </c>
    </row>
    <row r="21" spans="1:10" s="153" customFormat="1" ht="49.95" customHeight="1" x14ac:dyDescent="0.25">
      <c r="A21" s="319" t="s">
        <v>46</v>
      </c>
      <c r="B21" s="172" t="s">
        <v>23</v>
      </c>
      <c r="C21" s="247">
        <v>-7</v>
      </c>
      <c r="D21" s="247">
        <v>-7</v>
      </c>
      <c r="E21" s="247">
        <v>2399</v>
      </c>
      <c r="F21" s="247">
        <v>2399</v>
      </c>
      <c r="G21" s="247">
        <v>4861</v>
      </c>
      <c r="H21" s="247">
        <v>4861</v>
      </c>
      <c r="I21" s="247">
        <v>15357</v>
      </c>
      <c r="J21" s="247">
        <v>15357</v>
      </c>
    </row>
    <row r="22" spans="1:10" s="153" customFormat="1" ht="49.95" customHeight="1" x14ac:dyDescent="0.25">
      <c r="A22" s="319" t="s">
        <v>47</v>
      </c>
      <c r="B22" s="172" t="s">
        <v>24</v>
      </c>
      <c r="C22" s="247">
        <v>104</v>
      </c>
      <c r="D22" s="247">
        <v>104</v>
      </c>
      <c r="E22" s="247">
        <v>442</v>
      </c>
      <c r="F22" s="247">
        <v>442</v>
      </c>
      <c r="G22" s="247">
        <v>691</v>
      </c>
      <c r="H22" s="247">
        <v>691</v>
      </c>
      <c r="I22" s="247">
        <v>1546</v>
      </c>
      <c r="J22" s="247">
        <v>1546</v>
      </c>
    </row>
    <row r="23" spans="1:10" s="140" customFormat="1" ht="49.95" customHeight="1" x14ac:dyDescent="0.4">
      <c r="A23" s="164" t="s">
        <v>48</v>
      </c>
      <c r="B23" s="165" t="s">
        <v>25</v>
      </c>
      <c r="C23" s="245">
        <f t="shared" ref="C23:J23" si="4">C24+C32+C33+C34</f>
        <v>56721</v>
      </c>
      <c r="D23" s="245">
        <f t="shared" si="4"/>
        <v>122274</v>
      </c>
      <c r="E23" s="245">
        <f t="shared" si="4"/>
        <v>145625</v>
      </c>
      <c r="F23" s="245">
        <f t="shared" si="4"/>
        <v>279025</v>
      </c>
      <c r="G23" s="245">
        <f t="shared" si="4"/>
        <v>238950</v>
      </c>
      <c r="H23" s="245">
        <f t="shared" si="4"/>
        <v>443141</v>
      </c>
      <c r="I23" s="245">
        <f t="shared" si="4"/>
        <v>424929</v>
      </c>
      <c r="J23" s="245">
        <f t="shared" si="4"/>
        <v>702030</v>
      </c>
    </row>
    <row r="24" spans="1:10" s="140" customFormat="1" ht="49.95" customHeight="1" x14ac:dyDescent="0.4">
      <c r="A24" s="166" t="s">
        <v>100</v>
      </c>
      <c r="B24" s="167" t="s">
        <v>26</v>
      </c>
      <c r="C24" s="245">
        <f t="shared" ref="C24:H24" si="5">SUM(C25:C31)</f>
        <v>17912</v>
      </c>
      <c r="D24" s="245">
        <f>SUM(D25:D31)</f>
        <v>23179</v>
      </c>
      <c r="E24" s="245">
        <f t="shared" si="5"/>
        <v>44317</v>
      </c>
      <c r="F24" s="245">
        <f t="shared" si="5"/>
        <v>55689</v>
      </c>
      <c r="G24" s="245">
        <f t="shared" si="5"/>
        <v>81647</v>
      </c>
      <c r="H24" s="245">
        <f t="shared" si="5"/>
        <v>98550</v>
      </c>
      <c r="I24" s="245">
        <f t="shared" ref="I24:J24" si="6">SUM(I25:I31)</f>
        <v>94978</v>
      </c>
      <c r="J24" s="245">
        <f t="shared" si="6"/>
        <v>118179</v>
      </c>
    </row>
    <row r="25" spans="1:10" s="149" customFormat="1" ht="49.95" customHeight="1" x14ac:dyDescent="0.35">
      <c r="A25" s="317" t="s">
        <v>37</v>
      </c>
      <c r="B25" s="169" t="s">
        <v>13</v>
      </c>
      <c r="C25" s="247">
        <v>0</v>
      </c>
      <c r="D25" s="247">
        <v>0</v>
      </c>
      <c r="E25" s="247">
        <v>540</v>
      </c>
      <c r="F25" s="247">
        <v>540</v>
      </c>
      <c r="G25" s="247">
        <v>1228</v>
      </c>
      <c r="H25" s="247">
        <v>1228</v>
      </c>
      <c r="I25" s="247">
        <v>1228</v>
      </c>
      <c r="J25" s="247">
        <v>1228</v>
      </c>
    </row>
    <row r="26" spans="1:10" s="149" customFormat="1" ht="49.95" customHeight="1" x14ac:dyDescent="0.35">
      <c r="A26" s="317" t="s">
        <v>49</v>
      </c>
      <c r="B26" s="169" t="s">
        <v>14</v>
      </c>
      <c r="C26" s="247">
        <v>1000</v>
      </c>
      <c r="D26" s="247">
        <v>1000</v>
      </c>
      <c r="E26" s="247">
        <v>5329</v>
      </c>
      <c r="F26" s="247">
        <v>5329</v>
      </c>
      <c r="G26" s="247">
        <v>5346</v>
      </c>
      <c r="H26" s="247">
        <v>5346</v>
      </c>
      <c r="I26" s="247">
        <v>5503</v>
      </c>
      <c r="J26" s="247">
        <v>5503</v>
      </c>
    </row>
    <row r="27" spans="1:10" s="154" customFormat="1" ht="49.95" customHeight="1" x14ac:dyDescent="0.35">
      <c r="A27" s="317" t="s">
        <v>39</v>
      </c>
      <c r="B27" s="169" t="s">
        <v>15</v>
      </c>
      <c r="C27" s="247">
        <v>0</v>
      </c>
      <c r="D27" s="247">
        <v>0</v>
      </c>
      <c r="E27" s="247">
        <v>0</v>
      </c>
      <c r="F27" s="247">
        <v>0</v>
      </c>
      <c r="G27" s="247">
        <v>0</v>
      </c>
      <c r="H27" s="247">
        <v>0</v>
      </c>
      <c r="I27" s="247">
        <v>0</v>
      </c>
      <c r="J27" s="247">
        <v>0</v>
      </c>
    </row>
    <row r="28" spans="1:10" s="154" customFormat="1" ht="49.95" customHeight="1" x14ac:dyDescent="0.35">
      <c r="A28" s="317" t="s">
        <v>50</v>
      </c>
      <c r="B28" s="169" t="s">
        <v>27</v>
      </c>
      <c r="C28" s="247">
        <v>3648</v>
      </c>
      <c r="D28" s="247">
        <v>3648</v>
      </c>
      <c r="E28" s="247">
        <v>10274</v>
      </c>
      <c r="F28" s="247">
        <v>10274</v>
      </c>
      <c r="G28" s="247">
        <v>12922</v>
      </c>
      <c r="H28" s="247">
        <v>12922</v>
      </c>
      <c r="I28" s="247">
        <v>15383</v>
      </c>
      <c r="J28" s="247">
        <v>15383</v>
      </c>
    </row>
    <row r="29" spans="1:10" s="149" customFormat="1" ht="49.95" customHeight="1" x14ac:dyDescent="0.35">
      <c r="A29" s="317" t="s">
        <v>51</v>
      </c>
      <c r="B29" s="169" t="s">
        <v>28</v>
      </c>
      <c r="C29" s="247">
        <v>2470</v>
      </c>
      <c r="D29" s="247">
        <v>2470</v>
      </c>
      <c r="E29" s="247">
        <v>3478</v>
      </c>
      <c r="F29" s="247">
        <v>3478</v>
      </c>
      <c r="G29" s="247">
        <v>8625</v>
      </c>
      <c r="H29" s="247">
        <v>8625</v>
      </c>
      <c r="I29" s="247">
        <v>11493</v>
      </c>
      <c r="J29" s="247">
        <v>11493</v>
      </c>
    </row>
    <row r="30" spans="1:10" s="149" customFormat="1" ht="49.95" customHeight="1" x14ac:dyDescent="0.35">
      <c r="A30" s="320" t="s">
        <v>52</v>
      </c>
      <c r="B30" s="169" t="s">
        <v>29</v>
      </c>
      <c r="C30" s="247">
        <v>4298</v>
      </c>
      <c r="D30" s="247">
        <v>4298</v>
      </c>
      <c r="E30" s="247">
        <v>4298</v>
      </c>
      <c r="F30" s="247">
        <v>4298</v>
      </c>
      <c r="G30" s="247">
        <v>17898</v>
      </c>
      <c r="H30" s="247">
        <v>17898</v>
      </c>
      <c r="I30" s="247">
        <v>14395</v>
      </c>
      <c r="J30" s="247">
        <v>14395</v>
      </c>
    </row>
    <row r="31" spans="1:10" s="154" customFormat="1" ht="49.95" customHeight="1" x14ac:dyDescent="0.35">
      <c r="A31" s="317" t="s">
        <v>53</v>
      </c>
      <c r="B31" s="169" t="s">
        <v>0</v>
      </c>
      <c r="C31" s="247">
        <v>6496</v>
      </c>
      <c r="D31" s="247">
        <v>11763</v>
      </c>
      <c r="E31" s="247">
        <v>20398</v>
      </c>
      <c r="F31" s="247">
        <v>31770</v>
      </c>
      <c r="G31" s="247">
        <v>35628</v>
      </c>
      <c r="H31" s="247">
        <v>52531</v>
      </c>
      <c r="I31" s="247">
        <v>46976</v>
      </c>
      <c r="J31" s="247">
        <v>70177</v>
      </c>
    </row>
    <row r="32" spans="1:10" s="157" customFormat="1" ht="49.95" customHeight="1" x14ac:dyDescent="0.4">
      <c r="A32" s="321" t="s">
        <v>99</v>
      </c>
      <c r="B32" s="174" t="s">
        <v>30</v>
      </c>
      <c r="C32" s="245">
        <v>15327</v>
      </c>
      <c r="D32" s="245">
        <v>15327</v>
      </c>
      <c r="E32" s="245">
        <v>42891</v>
      </c>
      <c r="F32" s="245">
        <v>42891</v>
      </c>
      <c r="G32" s="245">
        <v>70390</v>
      </c>
      <c r="H32" s="245">
        <v>70390</v>
      </c>
      <c r="I32" s="245">
        <v>154527</v>
      </c>
      <c r="J32" s="245">
        <v>154527</v>
      </c>
    </row>
    <row r="33" spans="1:10" s="157" customFormat="1" ht="49.95" customHeight="1" x14ac:dyDescent="0.4">
      <c r="A33" s="321" t="s">
        <v>54</v>
      </c>
      <c r="B33" s="174" t="s">
        <v>31</v>
      </c>
      <c r="C33" s="245">
        <v>3621</v>
      </c>
      <c r="D33" s="245">
        <v>3621</v>
      </c>
      <c r="E33" s="245">
        <v>14183</v>
      </c>
      <c r="F33" s="245">
        <v>14183</v>
      </c>
      <c r="G33" s="245">
        <v>20579</v>
      </c>
      <c r="H33" s="245">
        <v>20579</v>
      </c>
      <c r="I33" s="245">
        <v>105099</v>
      </c>
      <c r="J33" s="245">
        <v>105099</v>
      </c>
    </row>
    <row r="34" spans="1:10" s="157" customFormat="1" ht="49.95" customHeight="1" x14ac:dyDescent="0.4">
      <c r="A34" s="322" t="s">
        <v>53</v>
      </c>
      <c r="B34" s="177" t="s">
        <v>0</v>
      </c>
      <c r="C34" s="250">
        <v>19861</v>
      </c>
      <c r="D34" s="250">
        <v>80147</v>
      </c>
      <c r="E34" s="250">
        <v>44234</v>
      </c>
      <c r="F34" s="250">
        <v>166262</v>
      </c>
      <c r="G34" s="250">
        <v>66334</v>
      </c>
      <c r="H34" s="250">
        <v>253622</v>
      </c>
      <c r="I34" s="250">
        <v>70325</v>
      </c>
      <c r="J34" s="250">
        <v>324225</v>
      </c>
    </row>
    <row r="35" spans="1:10" s="122" customFormat="1" ht="21.9" customHeight="1" x14ac:dyDescent="0.3">
      <c r="A35" s="323" t="s">
        <v>69</v>
      </c>
      <c r="B35" s="324" t="s">
        <v>70</v>
      </c>
      <c r="C35" s="325"/>
      <c r="D35" s="325"/>
      <c r="E35" s="325"/>
      <c r="F35" s="325"/>
      <c r="G35" s="325"/>
      <c r="H35" s="325"/>
      <c r="I35" s="325"/>
      <c r="J35" s="325"/>
    </row>
    <row r="36" spans="1:10" ht="87.6" customHeight="1" x14ac:dyDescent="0.3">
      <c r="A36" s="51" t="s">
        <v>57</v>
      </c>
      <c r="B36" s="326" t="s">
        <v>56</v>
      </c>
      <c r="C36" s="66"/>
      <c r="D36" s="66"/>
      <c r="E36" s="66"/>
      <c r="F36" s="66"/>
      <c r="G36" s="66"/>
      <c r="H36" s="66"/>
      <c r="I36" s="66"/>
      <c r="J36" s="66"/>
    </row>
    <row r="37" spans="1:10" ht="36.6" customHeight="1" x14ac:dyDescent="0.3">
      <c r="A37" s="57"/>
      <c r="B37" s="312" t="s">
        <v>58</v>
      </c>
      <c r="C37" s="66"/>
      <c r="D37" s="66"/>
      <c r="E37" s="66"/>
      <c r="F37" s="66"/>
      <c r="G37" s="66"/>
      <c r="H37" s="66"/>
      <c r="I37" s="66"/>
      <c r="J37" s="66"/>
    </row>
    <row r="38" spans="1:10" ht="36.6" customHeight="1" x14ac:dyDescent="0.3">
      <c r="A38" s="51" t="s">
        <v>68</v>
      </c>
      <c r="B38" s="329" t="s">
        <v>78</v>
      </c>
      <c r="C38" s="329"/>
      <c r="D38" s="66"/>
      <c r="E38" s="66"/>
      <c r="F38" s="66"/>
      <c r="G38" s="66"/>
      <c r="H38" s="66"/>
      <c r="I38" s="66"/>
      <c r="J38" s="66"/>
    </row>
    <row r="39" spans="1:10" ht="21.9" customHeight="1" x14ac:dyDescent="0.3">
      <c r="B39" s="327"/>
      <c r="C39" s="328"/>
      <c r="D39" s="328"/>
      <c r="E39" s="328"/>
      <c r="F39" s="328"/>
      <c r="G39" s="328"/>
      <c r="H39" s="328"/>
      <c r="I39" s="328"/>
      <c r="J39" s="328"/>
    </row>
    <row r="40" spans="1:10" ht="21.9" customHeight="1" x14ac:dyDescent="0.3"/>
    <row r="41" spans="1:10" ht="21.9" customHeight="1" x14ac:dyDescent="0.3"/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8">
    <mergeCell ref="B38:C38"/>
    <mergeCell ref="A3:A7"/>
    <mergeCell ref="B3:B7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24" orientation="portrait" horizontalDpi="4294967295" verticalDpi="4294967295" r:id="rId1"/>
  <headerFooter alignWithMargins="0"/>
  <ignoredErrors>
    <ignoredError sqref="C10:J10 C24:J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HeadingPairs>
  <TitlesOfParts>
    <vt:vector size="57" baseType="lpstr">
      <vt:lpstr>Revenues 2006-2007</vt:lpstr>
      <vt:lpstr>Revenues 2007-2008</vt:lpstr>
      <vt:lpstr>Revenues 2008-2009</vt:lpstr>
      <vt:lpstr>Revenues 2009-2010</vt:lpstr>
      <vt:lpstr>Revenues 2010-2011</vt:lpstr>
      <vt:lpstr>Revenues 2011-2012</vt:lpstr>
      <vt:lpstr>Revenues 2012-2013</vt:lpstr>
      <vt:lpstr>Revenues 2013-2014</vt:lpstr>
      <vt:lpstr>Revenues 2014-2015</vt:lpstr>
      <vt:lpstr>Revenues 2015-2016</vt:lpstr>
      <vt:lpstr>Revenues 2016-2017 </vt:lpstr>
      <vt:lpstr>Revenues 2017-2018  </vt:lpstr>
      <vt:lpstr>Revenues 2018-2019  </vt:lpstr>
      <vt:lpstr>Revenues 2019-2020</vt:lpstr>
      <vt:lpstr>Revenues 2020-2021</vt:lpstr>
      <vt:lpstr>Revenues 2021-2022</vt:lpstr>
      <vt:lpstr>Revenues 2022-2023</vt:lpstr>
      <vt:lpstr>Revenues 2023-2024</vt:lpstr>
      <vt:lpstr>Revenues 2024-2025</vt:lpstr>
      <vt:lpstr>'Revenues 2006-2007'!Print_Area</vt:lpstr>
      <vt:lpstr>'Revenues 2007-2008'!Print_Area</vt:lpstr>
      <vt:lpstr>'Revenues 2008-2009'!Print_Area</vt:lpstr>
      <vt:lpstr>'Revenues 2009-2010'!Print_Area</vt:lpstr>
      <vt:lpstr>'Revenues 2010-2011'!Print_Area</vt:lpstr>
      <vt:lpstr>'Revenues 2011-2012'!Print_Area</vt:lpstr>
      <vt:lpstr>'Revenues 2012-2013'!Print_Area</vt:lpstr>
      <vt:lpstr>'Revenues 2013-2014'!Print_Area</vt:lpstr>
      <vt:lpstr>'Revenues 2014-2015'!Print_Area</vt:lpstr>
      <vt:lpstr>'Revenues 2015-2016'!Print_Area</vt:lpstr>
      <vt:lpstr>'Revenues 2016-2017 '!Print_Area</vt:lpstr>
      <vt:lpstr>'Revenues 2017-2018  '!Print_Area</vt:lpstr>
      <vt:lpstr>'Revenues 2018-2019  '!Print_Area</vt:lpstr>
      <vt:lpstr>'Revenues 2019-2020'!Print_Area</vt:lpstr>
      <vt:lpstr>'Revenues 2020-2021'!Print_Area</vt:lpstr>
      <vt:lpstr>'Revenues 2021-2022'!Print_Area</vt:lpstr>
      <vt:lpstr>'Revenues 2022-2023'!Print_Area</vt:lpstr>
      <vt:lpstr>'Revenues 2023-2024'!Print_Area</vt:lpstr>
      <vt:lpstr>'Revenues 2024-2025'!Print_Area</vt:lpstr>
      <vt:lpstr>'Revenues 2006-2007'!Print_Titles</vt:lpstr>
      <vt:lpstr>'Revenues 2007-2008'!Print_Titles</vt:lpstr>
      <vt:lpstr>'Revenues 2008-2009'!Print_Titles</vt:lpstr>
      <vt:lpstr>'Revenues 2009-2010'!Print_Titles</vt:lpstr>
      <vt:lpstr>'Revenues 2010-2011'!Print_Titles</vt:lpstr>
      <vt:lpstr>'Revenues 2011-2012'!Print_Titles</vt:lpstr>
      <vt:lpstr>'Revenues 2012-2013'!Print_Titles</vt:lpstr>
      <vt:lpstr>'Revenues 2013-2014'!Print_Titles</vt:lpstr>
      <vt:lpstr>'Revenues 2014-2015'!Print_Titles</vt:lpstr>
      <vt:lpstr>'Revenues 2015-2016'!Print_Titles</vt:lpstr>
      <vt:lpstr>'Revenues 2016-2017 '!Print_Titles</vt:lpstr>
      <vt:lpstr>'Revenues 2017-2018  '!Print_Titles</vt:lpstr>
      <vt:lpstr>'Revenues 2018-2019  '!Print_Titles</vt:lpstr>
      <vt:lpstr>'Revenues 2019-2020'!Print_Titles</vt:lpstr>
      <vt:lpstr>'Revenues 2020-2021'!Print_Titles</vt:lpstr>
      <vt:lpstr>'Revenues 2021-2022'!Print_Titles</vt:lpstr>
      <vt:lpstr>'Revenues 2022-2023'!Print_Titles</vt:lpstr>
      <vt:lpstr>'Revenues 2023-2024'!Print_Titles</vt:lpstr>
      <vt:lpstr>'Revenues 2024-2025'!Print_Titles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Hames Abdelrashaed</cp:lastModifiedBy>
  <cp:lastPrinted>2024-06-04T09:42:38Z</cp:lastPrinted>
  <dcterms:created xsi:type="dcterms:W3CDTF">1996-10-14T23:33:28Z</dcterms:created>
  <dcterms:modified xsi:type="dcterms:W3CDTF">2026-03-05T10:26:32Z</dcterms:modified>
</cp:coreProperties>
</file>