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800" yWindow="120" windowWidth="15570" windowHeight="10035"/>
  </bookViews>
  <sheets>
    <sheet name="2015-2016" sheetId="1" r:id="rId1"/>
  </sheets>
  <calcPr calcId="145620"/>
</workbook>
</file>

<file path=xl/calcChain.xml><?xml version="1.0" encoding="utf-8"?>
<calcChain xmlns="http://schemas.openxmlformats.org/spreadsheetml/2006/main">
  <c r="E48" i="1" l="1"/>
  <c r="D9" i="1" l="1"/>
  <c r="E9" i="1"/>
  <c r="F9" i="1"/>
  <c r="C9" i="1" l="1"/>
</calcChain>
</file>

<file path=xl/sharedStrings.xml><?xml version="1.0" encoding="utf-8"?>
<sst xmlns="http://schemas.openxmlformats.org/spreadsheetml/2006/main" count="101" uniqueCount="100">
  <si>
    <t xml:space="preserve"> Payments for Merchandise Imports by Degree of Use *</t>
  </si>
  <si>
    <t>(US$ mn)</t>
  </si>
  <si>
    <t>خلال</t>
  </si>
  <si>
    <t>During</t>
  </si>
  <si>
    <t>Q1</t>
  </si>
  <si>
    <r>
      <t xml:space="preserve">إجمالى الواردات </t>
    </r>
    <r>
      <rPr>
        <u/>
        <sz val="13"/>
        <color indexed="61"/>
        <rFont val="Arial"/>
        <family val="2"/>
      </rPr>
      <t>***</t>
    </r>
  </si>
  <si>
    <t>Total Imports ***</t>
  </si>
  <si>
    <t>الوقود والزيوت المعدنية ومنتجاتها ، منها :</t>
  </si>
  <si>
    <t xml:space="preserve"> Fuel, Mineral Oils &amp; Products, of which :</t>
  </si>
  <si>
    <r>
      <t xml:space="preserve">منتجات بترولية </t>
    </r>
    <r>
      <rPr>
        <vertAlign val="superscript"/>
        <sz val="10"/>
        <rFont val="Akhbar MT"/>
        <charset val="178"/>
      </rPr>
      <t>x</t>
    </r>
  </si>
  <si>
    <r>
      <t xml:space="preserve">Petroleum products </t>
    </r>
    <r>
      <rPr>
        <vertAlign val="superscript"/>
        <sz val="10"/>
        <rFont val="Arial"/>
        <family val="2"/>
      </rPr>
      <t>x</t>
    </r>
  </si>
  <si>
    <t>فحم بأنواعه</t>
  </si>
  <si>
    <t>Coal &amp; types thereof</t>
  </si>
  <si>
    <t xml:space="preserve"> المــواد  الخــــام ، منها :</t>
  </si>
  <si>
    <t xml:space="preserve"> Raw Materials, of which :</t>
  </si>
  <si>
    <t>بترول خام</t>
  </si>
  <si>
    <t>Crude Oil</t>
  </si>
  <si>
    <t>قمح</t>
  </si>
  <si>
    <t>Wheat</t>
  </si>
  <si>
    <t>ذره</t>
  </si>
  <si>
    <t>Maize</t>
  </si>
  <si>
    <t xml:space="preserve">تبغ </t>
  </si>
  <si>
    <t>Tobacco</t>
  </si>
  <si>
    <t>خامات حديد</t>
  </si>
  <si>
    <t>Iron ore</t>
  </si>
  <si>
    <t>قطــن خــام</t>
  </si>
  <si>
    <t>Cotton</t>
  </si>
  <si>
    <t xml:space="preserve">السلع الوسيطة ، منها : </t>
  </si>
  <si>
    <t xml:space="preserve"> Intermediate Goods, of which : </t>
  </si>
  <si>
    <t xml:space="preserve">شحوم ودهون وزيوت حيوانية ونباتية ومنتجاتها </t>
  </si>
  <si>
    <t>Animal &amp; vegetable fats, greases &amp; oils &amp; prod.</t>
  </si>
  <si>
    <t>منتجات كيماوية عضوية وغير عضوية</t>
  </si>
  <si>
    <t>Organic &amp; inorganic chemicals</t>
  </si>
  <si>
    <t>لدائن ومصنوعاتها</t>
  </si>
  <si>
    <t>Plastic &amp; articles thereof</t>
  </si>
  <si>
    <t>خشب ومصنوعاته وفحم خشبي</t>
  </si>
  <si>
    <t>Wood &amp; articles and charcoal</t>
  </si>
  <si>
    <t>ورق وورق مقوى ومصنوعات ورقية</t>
  </si>
  <si>
    <t>Paper, cardboard paper &amp; articles thereof</t>
  </si>
  <si>
    <t>مصنوعات من حديد وصلب</t>
  </si>
  <si>
    <t>Iron &amp; steel products</t>
  </si>
  <si>
    <t xml:space="preserve">ألومنيوم ومصنوعاته </t>
  </si>
  <si>
    <t>Aluminium &amp; articles</t>
  </si>
  <si>
    <t>أجزاء ولوازم سيارات وقطع غيارها</t>
  </si>
  <si>
    <t>Spare parts and accessories for cars</t>
  </si>
  <si>
    <t>مطاط ومصنوعاته</t>
  </si>
  <si>
    <t>Rubber &amp; articles</t>
  </si>
  <si>
    <t>السلع الإستثمارية ، منها :</t>
  </si>
  <si>
    <t xml:space="preserve"> Investment Goods, of which  :</t>
  </si>
  <si>
    <t>حاسبات آلية</t>
  </si>
  <si>
    <t>Computers</t>
  </si>
  <si>
    <t>محركات ومولدات كهربائية وقطع غيارها</t>
  </si>
  <si>
    <t>Motors, generators &amp; spare parts</t>
  </si>
  <si>
    <t>مركبات لنقل الأشخاص</t>
  </si>
  <si>
    <t>Vehicles for passengers</t>
  </si>
  <si>
    <t xml:space="preserve">أجهزه كهربائية للهاتف والتلغراف </t>
  </si>
  <si>
    <t>Electric appliances for tel. and telegraph</t>
  </si>
  <si>
    <t>أجهزة بصريات أو تصوير سينمائى أو للطب والجراحة ولوازمهم</t>
  </si>
  <si>
    <t xml:space="preserve">Optical appliances </t>
  </si>
  <si>
    <t>السلع الإستهلاكية</t>
  </si>
  <si>
    <t xml:space="preserve"> Consumer Goods</t>
  </si>
  <si>
    <t xml:space="preserve">أ- السلع المعمرة ، منها :       </t>
  </si>
  <si>
    <t xml:space="preserve">   A - Durable Goods, of which :</t>
  </si>
  <si>
    <t>ثلاجات ومجمدات كهربائية للاستعمال المنزلي</t>
  </si>
  <si>
    <t>Household refrigerators &amp; electric freezers</t>
  </si>
  <si>
    <t>تليفزيونات وأجزاؤها وفيديوهات وشاشات كمبيوتر</t>
  </si>
  <si>
    <t>Televisions , parts thereof , videos and computer monitors</t>
  </si>
  <si>
    <t>سيارات ركوب أشخاص</t>
  </si>
  <si>
    <t>Cars</t>
  </si>
  <si>
    <t xml:space="preserve"> : ب- السلع  غير المعمرة ، منها</t>
  </si>
  <si>
    <t xml:space="preserve">   B - Non-Durable Goods, of which :</t>
  </si>
  <si>
    <t xml:space="preserve">ألبان ومنتجاتها وبيض وعسل طبيعي </t>
  </si>
  <si>
    <t>Dairy products, eggs and honey</t>
  </si>
  <si>
    <t xml:space="preserve">سكر مكرر ومصنوعاته </t>
  </si>
  <si>
    <t>Refined sugar &amp; products</t>
  </si>
  <si>
    <t>منتجات صيدلية</t>
  </si>
  <si>
    <t>Pharmaceuticals</t>
  </si>
  <si>
    <t>مبيدات حشرية</t>
  </si>
  <si>
    <t>Insecticides</t>
  </si>
  <si>
    <t>ملابس جاهزة</t>
  </si>
  <si>
    <t>Ready-made clothes</t>
  </si>
  <si>
    <t>منسوجات قطنية</t>
  </si>
  <si>
    <t xml:space="preserve">Cotton textiles </t>
  </si>
  <si>
    <t>الواردات غير الموزعة</t>
  </si>
  <si>
    <t xml:space="preserve"> Undistributed Imports</t>
  </si>
  <si>
    <r>
      <t xml:space="preserve">* 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التصنيف على أساس التعريفة الجمركية المنسقة ( درجة الإستخدام ).</t>
    </r>
    <r>
      <rPr>
        <sz val="15"/>
        <rFont val="Akhbar MT"/>
        <charset val="178"/>
      </rPr>
      <t xml:space="preserve">       </t>
    </r>
  </si>
  <si>
    <r>
      <t xml:space="preserve">*   </t>
    </r>
    <r>
      <rPr>
        <sz val="10"/>
        <rFont val="Arial"/>
        <family val="2"/>
      </rPr>
      <t xml:space="preserve"> According to the Harmonized System ( Degree of Use ).        </t>
    </r>
  </si>
  <si>
    <r>
      <t>**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أرقام مبدئية .</t>
    </r>
  </si>
  <si>
    <r>
      <t xml:space="preserve">**  </t>
    </r>
    <r>
      <rPr>
        <sz val="10"/>
        <rFont val="Arial"/>
        <family val="2"/>
      </rPr>
      <t xml:space="preserve"> Provisional.</t>
    </r>
  </si>
  <si>
    <r>
      <t>***</t>
    </r>
    <r>
      <rPr>
        <b/>
        <sz val="15"/>
        <rFont val="Arial"/>
        <family val="2"/>
      </rPr>
      <t xml:space="preserve"> </t>
    </r>
    <r>
      <rPr>
        <b/>
        <sz val="15"/>
        <rFont val="Akhbar MT"/>
        <charset val="178"/>
      </rPr>
      <t xml:space="preserve"> </t>
    </r>
    <r>
      <rPr>
        <sz val="12"/>
        <rFont val="Akhbar MT"/>
        <charset val="178"/>
      </rPr>
      <t>تتضمن واردات المناطق الحرة ، والمنح والقروض السلعية.</t>
    </r>
  </si>
  <si>
    <r>
      <t xml:space="preserve">***  </t>
    </r>
    <r>
      <rPr>
        <sz val="10"/>
        <rFont val="Arial"/>
        <family val="2"/>
      </rPr>
      <t>Including imports of free zones, and commodity grants and loans.</t>
    </r>
  </si>
  <si>
    <r>
      <t>x</t>
    </r>
    <r>
      <rPr>
        <sz val="15"/>
        <rFont val="Akhbar MT"/>
        <charset val="178"/>
      </rPr>
      <t xml:space="preserve">   </t>
    </r>
    <r>
      <rPr>
        <sz val="12"/>
        <rFont val="Akhbar MT"/>
        <charset val="178"/>
      </rPr>
      <t>تتضمن الغاز ، وتموين السفن والطائرات بالوقود .</t>
    </r>
  </si>
  <si>
    <r>
      <t>x</t>
    </r>
    <r>
      <rPr>
        <sz val="10"/>
        <rFont val="Arial"/>
        <family val="2"/>
        <charset val="178"/>
      </rPr>
      <t xml:space="preserve">    </t>
    </r>
    <r>
      <rPr>
        <sz val="10"/>
        <rFont val="Arial"/>
        <family val="2"/>
      </rPr>
      <t>Including gas, and bunker and jet fuel.</t>
    </r>
  </si>
  <si>
    <t>July/Sep.2015**</t>
  </si>
  <si>
    <t>Q2</t>
  </si>
  <si>
    <t>Oct./Dec.2015**</t>
  </si>
  <si>
    <t>Q3</t>
  </si>
  <si>
    <t>Jan./Mar.2016**</t>
  </si>
  <si>
    <t>Q4</t>
  </si>
  <si>
    <t>Apr./June 2016**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</si>
</sst>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30">
    <font>
      <sz val="10"/>
      <name val="Arial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  <charset val="178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b/>
      <u/>
      <sz val="12"/>
      <name val="Times New (W1)"/>
      <family val="1"/>
    </font>
    <font>
      <u/>
      <sz val="15"/>
      <color indexed="61"/>
      <name val="Akhbar MT"/>
      <charset val="178"/>
    </font>
    <font>
      <u/>
      <sz val="13"/>
      <color indexed="61"/>
      <name val="Arial"/>
      <family val="2"/>
    </font>
    <font>
      <u/>
      <sz val="11"/>
      <color indexed="61"/>
      <name val="Arial"/>
      <family val="2"/>
    </font>
    <font>
      <sz val="10"/>
      <name val="Arial"/>
      <family val="2"/>
    </font>
    <font>
      <u/>
      <sz val="11"/>
      <color indexed="61"/>
      <name val="Arial"/>
      <family val="2"/>
      <charset val="178"/>
    </font>
    <font>
      <sz val="15"/>
      <color indexed="61"/>
      <name val="Akhbar MT"/>
      <charset val="178"/>
    </font>
    <font>
      <sz val="11"/>
      <color indexed="61"/>
      <name val="Arial"/>
      <family val="2"/>
    </font>
    <font>
      <sz val="11"/>
      <color indexed="61"/>
      <name val="Arial"/>
      <family val="2"/>
      <charset val="178"/>
    </font>
    <font>
      <sz val="13"/>
      <name val="Akhbar MT"/>
      <charset val="178"/>
    </font>
    <font>
      <vertAlign val="superscript"/>
      <sz val="10"/>
      <name val="Akhbar MT"/>
      <charset val="178"/>
    </font>
    <font>
      <sz val="10"/>
      <name val="Arial"/>
      <family val="2"/>
      <charset val="178"/>
    </font>
    <font>
      <vertAlign val="superscript"/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sz val="12"/>
      <name val="Akhbar MT"/>
      <charset val="178"/>
    </font>
    <font>
      <sz val="11"/>
      <name val="Arial"/>
      <family val="2"/>
      <charset val="178"/>
    </font>
    <font>
      <sz val="10"/>
      <name val="Arabic Transparent"/>
      <charset val="178"/>
    </font>
    <font>
      <u/>
      <sz val="10"/>
      <color indexed="36"/>
      <name val="Arial"/>
      <family val="2"/>
    </font>
    <font>
      <vertAlign val="subscript"/>
      <sz val="15"/>
      <name val="Arial"/>
      <family val="2"/>
    </font>
    <font>
      <sz val="15"/>
      <name val="Akhbar MT"/>
      <charset val="178"/>
    </font>
    <font>
      <b/>
      <sz val="15"/>
      <name val="Arial"/>
      <family val="2"/>
    </font>
    <font>
      <b/>
      <sz val="15"/>
      <name val="Akhbar MT"/>
      <charset val="178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10" fillId="0" borderId="0"/>
    <xf numFmtId="0" fontId="19" fillId="0" borderId="0"/>
    <xf numFmtId="0" fontId="20" fillId="0" borderId="0"/>
    <xf numFmtId="0" fontId="23" fillId="0" borderId="0" applyNumberFormat="0">
      <alignment horizontal="right"/>
    </xf>
    <xf numFmtId="41" fontId="1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1" applyFont="1" applyBorder="1" applyAlignment="1">
      <alignment horizontal="right" vertical="center"/>
    </xf>
    <xf numFmtId="0" fontId="7" fillId="3" borderId="1" xfId="1" applyFont="1" applyFill="1" applyBorder="1" applyAlignment="1">
      <alignment horizontal="right" vertical="center" indent="1"/>
    </xf>
    <xf numFmtId="0" fontId="9" fillId="3" borderId="1" xfId="1" quotePrefix="1" applyFont="1" applyFill="1" applyBorder="1" applyAlignment="1">
      <alignment horizontal="left" vertical="center" indent="1"/>
    </xf>
    <xf numFmtId="164" fontId="11" fillId="0" borderId="1" xfId="3" applyNumberFormat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right" vertical="center" indent="1" readingOrder="2"/>
    </xf>
    <xf numFmtId="0" fontId="13" fillId="3" borderId="3" xfId="1" applyFont="1" applyFill="1" applyBorder="1" applyAlignment="1">
      <alignment horizontal="left" vertical="center" indent="1" readingOrder="1"/>
    </xf>
    <xf numFmtId="164" fontId="14" fillId="0" borderId="3" xfId="3" quotePrefix="1" applyNumberFormat="1" applyFont="1" applyFill="1" applyBorder="1" applyAlignment="1">
      <alignment horizontal="center" vertical="center"/>
    </xf>
    <xf numFmtId="0" fontId="15" fillId="3" borderId="3" xfId="1" applyFont="1" applyFill="1" applyBorder="1" applyAlignment="1">
      <alignment horizontal="right" vertical="center" indent="2" readingOrder="2"/>
    </xf>
    <xf numFmtId="0" fontId="17" fillId="3" borderId="3" xfId="1" applyFont="1" applyFill="1" applyBorder="1" applyAlignment="1">
      <alignment horizontal="left" vertical="center" indent="2" readingOrder="1"/>
    </xf>
    <xf numFmtId="164" fontId="17" fillId="0" borderId="3" xfId="3" applyNumberFormat="1" applyFont="1" applyFill="1" applyBorder="1" applyAlignment="1">
      <alignment horizontal="center" vertical="center"/>
    </xf>
    <xf numFmtId="1" fontId="15" fillId="3" borderId="3" xfId="1" applyNumberFormat="1" applyFont="1" applyFill="1" applyBorder="1" applyAlignment="1">
      <alignment horizontal="right" vertical="center" indent="2"/>
    </xf>
    <xf numFmtId="0" fontId="17" fillId="3" borderId="3" xfId="1" quotePrefix="1" applyFont="1" applyFill="1" applyBorder="1" applyAlignment="1">
      <alignment horizontal="left" vertical="center" indent="2" readingOrder="1"/>
    </xf>
    <xf numFmtId="164" fontId="13" fillId="0" borderId="3" xfId="3" quotePrefix="1" applyNumberFormat="1" applyFont="1" applyFill="1" applyBorder="1" applyAlignment="1">
      <alignment horizontal="center" vertical="center"/>
    </xf>
    <xf numFmtId="164" fontId="17" fillId="3" borderId="3" xfId="1" applyNumberFormat="1" applyFont="1" applyFill="1" applyBorder="1" applyAlignment="1">
      <alignment horizontal="left" vertical="center" indent="2" shrinkToFit="1"/>
    </xf>
    <xf numFmtId="164" fontId="17" fillId="0" borderId="3" xfId="3" quotePrefix="1" applyNumberFormat="1" applyFont="1" applyFill="1" applyBorder="1" applyAlignment="1">
      <alignment horizontal="center" vertical="center"/>
    </xf>
    <xf numFmtId="0" fontId="17" fillId="3" borderId="3" xfId="4" applyFont="1" applyFill="1" applyBorder="1" applyAlignment="1">
      <alignment horizontal="left" vertical="center" indent="2" shrinkToFit="1"/>
    </xf>
    <xf numFmtId="0" fontId="17" fillId="3" borderId="3" xfId="4" applyFont="1" applyFill="1" applyBorder="1" applyAlignment="1">
      <alignment horizontal="left" vertical="center" indent="2"/>
    </xf>
    <xf numFmtId="0" fontId="13" fillId="3" borderId="3" xfId="5" applyFont="1" applyFill="1" applyBorder="1" applyAlignment="1">
      <alignment horizontal="left" vertical="center" indent="1" readingOrder="1"/>
    </xf>
    <xf numFmtId="0" fontId="17" fillId="3" borderId="3" xfId="1" applyFont="1" applyFill="1" applyBorder="1" applyAlignment="1">
      <alignment horizontal="left" vertical="center" indent="2" shrinkToFit="1" readingOrder="1"/>
    </xf>
    <xf numFmtId="1" fontId="21" fillId="3" borderId="3" xfId="1" applyNumberFormat="1" applyFont="1" applyFill="1" applyBorder="1" applyAlignment="1">
      <alignment horizontal="right" vertical="center" indent="2"/>
    </xf>
    <xf numFmtId="0" fontId="12" fillId="3" borderId="3" xfId="1" quotePrefix="1" applyFont="1" applyFill="1" applyBorder="1" applyAlignment="1">
      <alignment horizontal="right" vertical="center" indent="1"/>
    </xf>
    <xf numFmtId="0" fontId="12" fillId="3" borderId="3" xfId="1" applyFont="1" applyFill="1" applyBorder="1" applyAlignment="1">
      <alignment horizontal="right" vertical="center" indent="1"/>
    </xf>
    <xf numFmtId="0" fontId="12" fillId="3" borderId="5" xfId="1" applyFont="1" applyFill="1" applyBorder="1" applyAlignment="1">
      <alignment horizontal="right" vertical="center" indent="1" readingOrder="2"/>
    </xf>
    <xf numFmtId="0" fontId="13" fillId="3" borderId="5" xfId="1" applyFont="1" applyFill="1" applyBorder="1" applyAlignment="1">
      <alignment horizontal="left" vertical="center" indent="1" readingOrder="1"/>
    </xf>
    <xf numFmtId="164" fontId="14" fillId="0" borderId="5" xfId="3" applyNumberFormat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right" vertical="center" readingOrder="2"/>
    </xf>
    <xf numFmtId="0" fontId="22" fillId="0" borderId="0" xfId="3" applyFont="1" applyFill="1" applyAlignment="1">
      <alignment horizontal="left" vertical="center" indent="1"/>
    </xf>
    <xf numFmtId="0" fontId="1" fillId="0" borderId="0" xfId="3" applyFont="1" applyFill="1" applyBorder="1" applyAlignment="1">
      <alignment horizontal="right" vertical="center" readingOrder="2"/>
    </xf>
    <xf numFmtId="0" fontId="29" fillId="0" borderId="0" xfId="5" applyFont="1" applyFill="1" applyBorder="1" applyAlignment="1">
      <alignment horizontal="right" vertical="center" indent="1"/>
    </xf>
    <xf numFmtId="0" fontId="6" fillId="4" borderId="7" xfId="0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2" fillId="2" borderId="0" xfId="1" applyFont="1" applyFill="1" applyBorder="1" applyAlignment="1">
      <alignment horizontal="center" vertical="center" readingOrder="1"/>
    </xf>
    <xf numFmtId="164" fontId="29" fillId="0" borderId="0" xfId="5" applyNumberFormat="1" applyFont="1" applyFill="1" applyBorder="1" applyAlignment="1">
      <alignment horizontal="right" vertical="center" indent="1"/>
    </xf>
    <xf numFmtId="164" fontId="3" fillId="0" borderId="0" xfId="1" applyNumberFormat="1" applyFont="1" applyBorder="1" applyAlignment="1">
      <alignment horizontal="right" vertical="center"/>
    </xf>
    <xf numFmtId="0" fontId="6" fillId="5" borderId="3" xfId="0" applyFont="1" applyFill="1" applyBorder="1" applyAlignment="1">
      <alignment horizontal="center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0" fontId="2" fillId="2" borderId="0" xfId="1" applyFont="1" applyFill="1" applyBorder="1" applyAlignment="1">
      <alignment horizontal="center" vertical="center" readingOrder="1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readingOrder="1"/>
    </xf>
    <xf numFmtId="0" fontId="5" fillId="3" borderId="4" xfId="1" applyFont="1" applyFill="1" applyBorder="1" applyAlignment="1">
      <alignment horizontal="center" vertical="center" readingOrder="1"/>
    </xf>
    <xf numFmtId="0" fontId="5" fillId="3" borderId="6" xfId="1" applyFont="1" applyFill="1" applyBorder="1" applyAlignment="1">
      <alignment horizontal="center" vertical="center" readingOrder="1"/>
    </xf>
  </cellXfs>
  <cellStyles count="13">
    <cellStyle name="MS_Arabic" xfId="6"/>
    <cellStyle name="Normal" xfId="0" builtinId="0"/>
    <cellStyle name="Normal 2" xfId="2"/>
    <cellStyle name="Normal_BOP_11_14-19_21" xfId="1"/>
    <cellStyle name="Normal_BOP_11_14-19_21 3" xfId="3"/>
    <cellStyle name="Normal_imp_JUL_SEP_DEC95" xfId="4"/>
    <cellStyle name="Spelling 1033,0" xfId="7"/>
    <cellStyle name="ارتباط تشعبي متبع_قطاعات" xfId="8"/>
    <cellStyle name="عادي_artim" xfId="5"/>
    <cellStyle name="عملة [0]_Book1" xfId="9"/>
    <cellStyle name="عملة_Book1" xfId="10"/>
    <cellStyle name="فاصلة [0]_Book1" xfId="11"/>
    <cellStyle name="فاصلة_Book1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6"/>
  <sheetViews>
    <sheetView tabSelected="1" workbookViewId="0">
      <selection activeCell="C11" sqref="C11"/>
    </sheetView>
  </sheetViews>
  <sheetFormatPr defaultRowHeight="12.75"/>
  <cols>
    <col min="1" max="1" width="43.7109375" customWidth="1"/>
    <col min="2" max="2" width="52" customWidth="1"/>
    <col min="3" max="3" width="19.28515625" customWidth="1"/>
    <col min="4" max="4" width="19.5703125" customWidth="1"/>
    <col min="5" max="6" width="20.42578125" customWidth="1"/>
  </cols>
  <sheetData>
    <row r="2" spans="1:12">
      <c r="C2" s="31"/>
      <c r="D2" s="31"/>
      <c r="E2" s="31"/>
      <c r="F2" s="31"/>
    </row>
    <row r="3" spans="1:12" ht="20.25">
      <c r="A3" s="37" t="s">
        <v>0</v>
      </c>
      <c r="B3" s="37"/>
      <c r="C3" s="37"/>
      <c r="D3" s="37"/>
      <c r="E3" s="37"/>
      <c r="F3" s="37"/>
    </row>
    <row r="4" spans="1:12" ht="20.25">
      <c r="A4" s="32"/>
      <c r="B4" s="32"/>
      <c r="C4" s="32"/>
      <c r="D4" s="32"/>
      <c r="E4" s="32"/>
      <c r="F4" s="32"/>
    </row>
    <row r="5" spans="1:12" ht="15.75">
      <c r="C5" s="34"/>
      <c r="D5" s="34"/>
      <c r="E5" s="34"/>
      <c r="F5" s="1" t="s">
        <v>1</v>
      </c>
    </row>
    <row r="6" spans="1:12" ht="15.75">
      <c r="A6" s="38" t="s">
        <v>2</v>
      </c>
      <c r="B6" s="41" t="s">
        <v>3</v>
      </c>
      <c r="C6" s="30" t="s">
        <v>4</v>
      </c>
      <c r="D6" s="30" t="s">
        <v>94</v>
      </c>
      <c r="E6" s="30" t="s">
        <v>96</v>
      </c>
      <c r="F6" s="30" t="s">
        <v>98</v>
      </c>
    </row>
    <row r="7" spans="1:12" ht="13.5" customHeight="1">
      <c r="A7" s="39"/>
      <c r="B7" s="42"/>
      <c r="C7" s="35" t="s">
        <v>93</v>
      </c>
      <c r="D7" s="35" t="s">
        <v>95</v>
      </c>
      <c r="E7" s="35" t="s">
        <v>97</v>
      </c>
      <c r="F7" s="35" t="s">
        <v>99</v>
      </c>
    </row>
    <row r="8" spans="1:12" ht="12.75" customHeight="1">
      <c r="A8" s="40"/>
      <c r="B8" s="43"/>
      <c r="C8" s="36"/>
      <c r="D8" s="36"/>
      <c r="E8" s="36"/>
      <c r="F8" s="36" t="s">
        <v>98</v>
      </c>
    </row>
    <row r="9" spans="1:12" ht="24.75">
      <c r="A9" s="2" t="s">
        <v>5</v>
      </c>
      <c r="B9" s="3" t="s">
        <v>6</v>
      </c>
      <c r="C9" s="4">
        <f>C10+C13+C20+C30+C36+C48</f>
        <v>14742.599999999999</v>
      </c>
      <c r="D9" s="4">
        <f t="shared" ref="D9:F9" si="0">D10+D13+D20+D30+D36+D48</f>
        <v>14265.900000000001</v>
      </c>
      <c r="E9" s="4">
        <f t="shared" si="0"/>
        <v>14245.800000000001</v>
      </c>
      <c r="F9" s="4">
        <f t="shared" si="0"/>
        <v>14133.399999999998</v>
      </c>
      <c r="G9" s="31"/>
      <c r="J9" s="31"/>
      <c r="K9" s="31"/>
      <c r="L9" s="31"/>
    </row>
    <row r="10" spans="1:12" ht="24.75">
      <c r="A10" s="5" t="s">
        <v>7</v>
      </c>
      <c r="B10" s="6" t="s">
        <v>8</v>
      </c>
      <c r="C10" s="7">
        <v>2445</v>
      </c>
      <c r="D10" s="7">
        <v>2403</v>
      </c>
      <c r="E10" s="7">
        <v>1556.1</v>
      </c>
      <c r="F10" s="7">
        <v>2222.1</v>
      </c>
      <c r="G10" s="31"/>
      <c r="J10" s="31"/>
      <c r="K10" s="31"/>
      <c r="L10" s="31"/>
    </row>
    <row r="11" spans="1:12" ht="23.25">
      <c r="A11" s="8" t="s">
        <v>9</v>
      </c>
      <c r="B11" s="9" t="s">
        <v>10</v>
      </c>
      <c r="C11" s="10">
        <v>2400</v>
      </c>
      <c r="D11" s="10">
        <v>2331.9</v>
      </c>
      <c r="E11" s="10">
        <v>1497.6</v>
      </c>
      <c r="F11" s="10">
        <v>2153.4</v>
      </c>
      <c r="G11" s="31"/>
      <c r="J11" s="31"/>
      <c r="K11" s="31"/>
      <c r="L11" s="31"/>
    </row>
    <row r="12" spans="1:12" ht="23.25">
      <c r="A12" s="8" t="s">
        <v>11</v>
      </c>
      <c r="B12" s="9" t="s">
        <v>12</v>
      </c>
      <c r="C12" s="10">
        <v>27.1</v>
      </c>
      <c r="D12" s="10">
        <v>32.299999999999997</v>
      </c>
      <c r="E12" s="10">
        <v>41.7</v>
      </c>
      <c r="F12" s="10">
        <v>40.700000000000003</v>
      </c>
      <c r="G12" s="31"/>
      <c r="J12" s="31"/>
      <c r="K12" s="31"/>
      <c r="L12" s="31"/>
    </row>
    <row r="13" spans="1:12" ht="24.75">
      <c r="A13" s="5" t="s">
        <v>13</v>
      </c>
      <c r="B13" s="6" t="s">
        <v>14</v>
      </c>
      <c r="C13" s="7">
        <v>1696.3</v>
      </c>
      <c r="D13" s="7">
        <v>1531.8</v>
      </c>
      <c r="E13" s="7">
        <v>1438.9</v>
      </c>
      <c r="F13" s="7">
        <v>1423.6</v>
      </c>
      <c r="G13" s="31"/>
      <c r="J13" s="31"/>
      <c r="K13" s="31"/>
      <c r="L13" s="31"/>
    </row>
    <row r="14" spans="1:12" ht="23.25">
      <c r="A14" s="11" t="s">
        <v>15</v>
      </c>
      <c r="B14" s="9" t="s">
        <v>16</v>
      </c>
      <c r="C14" s="10">
        <v>409.6</v>
      </c>
      <c r="D14" s="10">
        <v>288.8</v>
      </c>
      <c r="E14" s="10">
        <v>144.19999999999999</v>
      </c>
      <c r="F14" s="10">
        <v>68.099999999999994</v>
      </c>
      <c r="G14" s="31"/>
      <c r="J14" s="31"/>
      <c r="K14" s="31"/>
      <c r="L14" s="31"/>
    </row>
    <row r="15" spans="1:12" ht="23.25">
      <c r="A15" s="11" t="s">
        <v>17</v>
      </c>
      <c r="B15" s="12" t="s">
        <v>18</v>
      </c>
      <c r="C15" s="10">
        <v>413</v>
      </c>
      <c r="D15" s="10">
        <v>444</v>
      </c>
      <c r="E15" s="10">
        <v>421.2</v>
      </c>
      <c r="F15" s="10">
        <v>445.7</v>
      </c>
      <c r="G15" s="31"/>
      <c r="J15" s="31"/>
      <c r="K15" s="31"/>
      <c r="L15" s="31"/>
    </row>
    <row r="16" spans="1:12" ht="23.25">
      <c r="A16" s="11" t="s">
        <v>19</v>
      </c>
      <c r="B16" s="9" t="s">
        <v>20</v>
      </c>
      <c r="C16" s="10">
        <v>337.3</v>
      </c>
      <c r="D16" s="10">
        <v>264.10000000000002</v>
      </c>
      <c r="E16" s="10">
        <v>357.7</v>
      </c>
      <c r="F16" s="10">
        <v>375.2</v>
      </c>
      <c r="G16" s="31"/>
      <c r="J16" s="31"/>
      <c r="K16" s="31"/>
      <c r="L16" s="31"/>
    </row>
    <row r="17" spans="1:12" ht="23.25">
      <c r="A17" s="11" t="s">
        <v>21</v>
      </c>
      <c r="B17" s="9" t="s">
        <v>22</v>
      </c>
      <c r="C17" s="10">
        <v>72.900000000000006</v>
      </c>
      <c r="D17" s="10">
        <v>99.4</v>
      </c>
      <c r="E17" s="10">
        <v>135.1</v>
      </c>
      <c r="F17" s="10">
        <v>71.900000000000006</v>
      </c>
      <c r="G17" s="31"/>
      <c r="J17" s="31"/>
      <c r="K17" s="31"/>
      <c r="L17" s="31"/>
    </row>
    <row r="18" spans="1:12" ht="23.25">
      <c r="A18" s="11" t="s">
        <v>23</v>
      </c>
      <c r="B18" s="9" t="s">
        <v>24</v>
      </c>
      <c r="C18" s="10">
        <v>158.19999999999999</v>
      </c>
      <c r="D18" s="10">
        <v>78.2</v>
      </c>
      <c r="E18" s="10">
        <v>92.5</v>
      </c>
      <c r="F18" s="10">
        <v>60.1</v>
      </c>
      <c r="G18" s="31"/>
      <c r="J18" s="31"/>
      <c r="K18" s="31"/>
      <c r="L18" s="31"/>
    </row>
    <row r="19" spans="1:12" ht="23.25">
      <c r="A19" s="11" t="s">
        <v>25</v>
      </c>
      <c r="B19" s="9" t="s">
        <v>26</v>
      </c>
      <c r="C19" s="10">
        <v>19.899999999999999</v>
      </c>
      <c r="D19" s="10">
        <v>18.899999999999999</v>
      </c>
      <c r="E19" s="10">
        <v>13.7</v>
      </c>
      <c r="F19" s="10">
        <v>29.2</v>
      </c>
      <c r="G19" s="31"/>
      <c r="J19" s="31"/>
      <c r="K19" s="31"/>
      <c r="L19" s="31"/>
    </row>
    <row r="20" spans="1:12" ht="24.75">
      <c r="A20" s="5" t="s">
        <v>27</v>
      </c>
      <c r="B20" s="6" t="s">
        <v>28</v>
      </c>
      <c r="C20" s="13">
        <v>3492.8</v>
      </c>
      <c r="D20" s="13">
        <v>3545.9</v>
      </c>
      <c r="E20" s="13">
        <v>3683.5</v>
      </c>
      <c r="F20" s="13">
        <v>3964.7</v>
      </c>
      <c r="G20" s="31"/>
      <c r="J20" s="31"/>
      <c r="K20" s="31"/>
      <c r="L20" s="31"/>
    </row>
    <row r="21" spans="1:12" ht="23.25">
      <c r="A21" s="11" t="s">
        <v>29</v>
      </c>
      <c r="B21" s="14" t="s">
        <v>30</v>
      </c>
      <c r="C21" s="15">
        <v>185.6</v>
      </c>
      <c r="D21" s="15">
        <v>156.1</v>
      </c>
      <c r="E21" s="15">
        <v>211.1</v>
      </c>
      <c r="F21" s="15">
        <v>350.1</v>
      </c>
      <c r="G21" s="31"/>
      <c r="J21" s="31"/>
      <c r="K21" s="31"/>
      <c r="L21" s="31"/>
    </row>
    <row r="22" spans="1:12" ht="23.25">
      <c r="A22" s="11" t="s">
        <v>31</v>
      </c>
      <c r="B22" s="16" t="s">
        <v>32</v>
      </c>
      <c r="C22" s="15">
        <v>407</v>
      </c>
      <c r="D22" s="15">
        <v>447.1</v>
      </c>
      <c r="E22" s="15">
        <v>410</v>
      </c>
      <c r="F22" s="15">
        <v>470.7</v>
      </c>
      <c r="G22" s="31"/>
      <c r="J22" s="31"/>
      <c r="K22" s="31"/>
      <c r="L22" s="31"/>
    </row>
    <row r="23" spans="1:12" ht="23.25">
      <c r="A23" s="11" t="s">
        <v>33</v>
      </c>
      <c r="B23" s="17" t="s">
        <v>34</v>
      </c>
      <c r="C23" s="15">
        <v>463.2</v>
      </c>
      <c r="D23" s="15">
        <v>437.2</v>
      </c>
      <c r="E23" s="15">
        <v>444.1</v>
      </c>
      <c r="F23" s="15">
        <v>428.9</v>
      </c>
      <c r="G23" s="31"/>
      <c r="J23" s="31"/>
      <c r="K23" s="31"/>
      <c r="L23" s="31"/>
    </row>
    <row r="24" spans="1:12" ht="23.25">
      <c r="A24" s="11" t="s">
        <v>35</v>
      </c>
      <c r="B24" s="17" t="s">
        <v>36</v>
      </c>
      <c r="C24" s="15">
        <v>257.89999999999998</v>
      </c>
      <c r="D24" s="15">
        <v>274.10000000000002</v>
      </c>
      <c r="E24" s="15">
        <v>296.60000000000002</v>
      </c>
      <c r="F24" s="15">
        <v>299.10000000000002</v>
      </c>
      <c r="G24" s="31"/>
      <c r="J24" s="31"/>
      <c r="K24" s="31"/>
      <c r="L24" s="31"/>
    </row>
    <row r="25" spans="1:12" ht="23.25">
      <c r="A25" s="11" t="s">
        <v>37</v>
      </c>
      <c r="B25" s="16" t="s">
        <v>38</v>
      </c>
      <c r="C25" s="15">
        <v>241.7</v>
      </c>
      <c r="D25" s="15">
        <v>248.9</v>
      </c>
      <c r="E25" s="15">
        <v>250.2</v>
      </c>
      <c r="F25" s="15">
        <v>239.7</v>
      </c>
      <c r="G25" s="31"/>
      <c r="J25" s="31"/>
      <c r="K25" s="31"/>
      <c r="L25" s="31"/>
    </row>
    <row r="26" spans="1:12" ht="23.25">
      <c r="A26" s="11" t="s">
        <v>39</v>
      </c>
      <c r="B26" s="17" t="s">
        <v>40</v>
      </c>
      <c r="C26" s="15">
        <v>526.79999999999995</v>
      </c>
      <c r="D26" s="15">
        <v>624.29999999999995</v>
      </c>
      <c r="E26" s="15">
        <v>675</v>
      </c>
      <c r="F26" s="15">
        <v>657.6</v>
      </c>
      <c r="G26" s="31"/>
      <c r="J26" s="31"/>
      <c r="K26" s="31"/>
      <c r="L26" s="31"/>
    </row>
    <row r="27" spans="1:12" ht="23.25">
      <c r="A27" s="11" t="s">
        <v>41</v>
      </c>
      <c r="B27" s="17" t="s">
        <v>42</v>
      </c>
      <c r="C27" s="15">
        <v>62.4</v>
      </c>
      <c r="D27" s="15">
        <v>101.8</v>
      </c>
      <c r="E27" s="15">
        <v>119.5</v>
      </c>
      <c r="F27" s="15">
        <v>82.2</v>
      </c>
      <c r="G27" s="31"/>
      <c r="J27" s="31"/>
      <c r="K27" s="31"/>
      <c r="L27" s="31"/>
    </row>
    <row r="28" spans="1:12" ht="23.25">
      <c r="A28" s="11" t="s">
        <v>43</v>
      </c>
      <c r="B28" s="9" t="s">
        <v>44</v>
      </c>
      <c r="C28" s="15">
        <v>353.1</v>
      </c>
      <c r="D28" s="15">
        <v>307.7</v>
      </c>
      <c r="E28" s="15">
        <v>351.3</v>
      </c>
      <c r="F28" s="15">
        <v>395.9</v>
      </c>
      <c r="G28" s="31"/>
      <c r="J28" s="31"/>
      <c r="K28" s="31"/>
      <c r="L28" s="31"/>
    </row>
    <row r="29" spans="1:12" ht="23.25">
      <c r="A29" s="11" t="s">
        <v>45</v>
      </c>
      <c r="B29" s="17" t="s">
        <v>46</v>
      </c>
      <c r="C29" s="15">
        <v>154.30000000000001</v>
      </c>
      <c r="D29" s="15">
        <v>154.5</v>
      </c>
      <c r="E29" s="15">
        <v>144.30000000000001</v>
      </c>
      <c r="F29" s="15">
        <v>146.80000000000001</v>
      </c>
      <c r="G29" s="31"/>
      <c r="J29" s="31"/>
      <c r="K29" s="31"/>
      <c r="L29" s="31"/>
    </row>
    <row r="30" spans="1:12" ht="24.75">
      <c r="A30" s="5" t="s">
        <v>47</v>
      </c>
      <c r="B30" s="18" t="s">
        <v>48</v>
      </c>
      <c r="C30" s="7">
        <v>3581.7</v>
      </c>
      <c r="D30" s="7">
        <v>2782.6</v>
      </c>
      <c r="E30" s="7">
        <v>3270.6</v>
      </c>
      <c r="F30" s="7">
        <v>2390.6999999999998</v>
      </c>
      <c r="G30" s="31"/>
      <c r="J30" s="31"/>
      <c r="K30" s="31"/>
      <c r="L30" s="31"/>
    </row>
    <row r="31" spans="1:12" ht="23.25">
      <c r="A31" s="11" t="s">
        <v>49</v>
      </c>
      <c r="B31" s="9" t="s">
        <v>50</v>
      </c>
      <c r="C31" s="15">
        <v>104.1</v>
      </c>
      <c r="D31" s="15">
        <v>113.8</v>
      </c>
      <c r="E31" s="15">
        <v>124.6</v>
      </c>
      <c r="F31" s="15">
        <v>114.5</v>
      </c>
      <c r="G31" s="31"/>
      <c r="J31" s="31"/>
      <c r="K31" s="31"/>
      <c r="L31" s="31"/>
    </row>
    <row r="32" spans="1:12" ht="23.25">
      <c r="A32" s="11" t="s">
        <v>51</v>
      </c>
      <c r="B32" s="19" t="s">
        <v>52</v>
      </c>
      <c r="C32" s="15">
        <v>493.5</v>
      </c>
      <c r="D32" s="15">
        <v>184.2</v>
      </c>
      <c r="E32" s="15">
        <v>292</v>
      </c>
      <c r="F32" s="15">
        <v>224.1</v>
      </c>
      <c r="G32" s="31"/>
      <c r="J32" s="31"/>
      <c r="K32" s="31"/>
      <c r="L32" s="31"/>
    </row>
    <row r="33" spans="1:12" ht="23.25">
      <c r="A33" s="11" t="s">
        <v>53</v>
      </c>
      <c r="B33" s="9" t="s">
        <v>54</v>
      </c>
      <c r="C33" s="15">
        <v>17.5</v>
      </c>
      <c r="D33" s="15">
        <v>0.7</v>
      </c>
      <c r="E33" s="15">
        <v>6.5</v>
      </c>
      <c r="F33" s="15">
        <v>2.2999999999999998</v>
      </c>
      <c r="G33" s="31"/>
      <c r="J33" s="31"/>
      <c r="K33" s="31"/>
      <c r="L33" s="31"/>
    </row>
    <row r="34" spans="1:12" ht="23.25">
      <c r="A34" s="11" t="s">
        <v>55</v>
      </c>
      <c r="B34" s="9" t="s">
        <v>56</v>
      </c>
      <c r="C34" s="15">
        <v>328.7</v>
      </c>
      <c r="D34" s="15">
        <v>349.4</v>
      </c>
      <c r="E34" s="15">
        <v>251.9</v>
      </c>
      <c r="F34" s="15">
        <v>207.7</v>
      </c>
      <c r="G34" s="31"/>
      <c r="J34" s="31"/>
      <c r="K34" s="31"/>
      <c r="L34" s="31"/>
    </row>
    <row r="35" spans="1:12" ht="22.5">
      <c r="A35" s="20" t="s">
        <v>57</v>
      </c>
      <c r="B35" s="9" t="s">
        <v>58</v>
      </c>
      <c r="C35" s="15">
        <v>191.5</v>
      </c>
      <c r="D35" s="15">
        <v>207.6</v>
      </c>
      <c r="E35" s="15">
        <v>202.2</v>
      </c>
      <c r="F35" s="15">
        <v>205.1</v>
      </c>
      <c r="G35" s="31"/>
      <c r="J35" s="31"/>
      <c r="K35" s="31"/>
      <c r="L35" s="31"/>
    </row>
    <row r="36" spans="1:12" ht="24.75">
      <c r="A36" s="21" t="s">
        <v>59</v>
      </c>
      <c r="B36" s="6" t="s">
        <v>60</v>
      </c>
      <c r="C36" s="7">
        <v>3282.8</v>
      </c>
      <c r="D36" s="7">
        <v>3467.9</v>
      </c>
      <c r="E36" s="7">
        <v>3330.3</v>
      </c>
      <c r="F36" s="7">
        <v>3054.3</v>
      </c>
      <c r="G36" s="31"/>
      <c r="J36" s="31"/>
      <c r="K36" s="31"/>
      <c r="L36" s="31"/>
    </row>
    <row r="37" spans="1:12" ht="24.75">
      <c r="A37" s="22" t="s">
        <v>61</v>
      </c>
      <c r="B37" s="6" t="s">
        <v>62</v>
      </c>
      <c r="C37" s="7">
        <v>954.2</v>
      </c>
      <c r="D37" s="7">
        <v>963.1</v>
      </c>
      <c r="E37" s="7">
        <v>780.6</v>
      </c>
      <c r="F37" s="7">
        <v>680.1</v>
      </c>
      <c r="G37" s="31"/>
      <c r="J37" s="31"/>
      <c r="K37" s="31"/>
      <c r="L37" s="31"/>
    </row>
    <row r="38" spans="1:12" ht="23.25">
      <c r="A38" s="11" t="s">
        <v>63</v>
      </c>
      <c r="B38" s="9" t="s">
        <v>64</v>
      </c>
      <c r="C38" s="15">
        <v>50.5</v>
      </c>
      <c r="D38" s="15">
        <v>39</v>
      </c>
      <c r="E38" s="15">
        <v>36.1</v>
      </c>
      <c r="F38" s="15">
        <v>29.2</v>
      </c>
      <c r="G38" s="31"/>
      <c r="J38" s="31"/>
      <c r="K38" s="31"/>
      <c r="L38" s="31"/>
    </row>
    <row r="39" spans="1:12" ht="23.25">
      <c r="A39" s="11" t="s">
        <v>65</v>
      </c>
      <c r="B39" s="9" t="s">
        <v>66</v>
      </c>
      <c r="C39" s="15">
        <v>206.4</v>
      </c>
      <c r="D39" s="15">
        <v>195.7</v>
      </c>
      <c r="E39" s="15">
        <v>192.7</v>
      </c>
      <c r="F39" s="15">
        <v>172.2</v>
      </c>
      <c r="G39" s="31"/>
      <c r="J39" s="31"/>
      <c r="K39" s="31"/>
      <c r="L39" s="31"/>
    </row>
    <row r="40" spans="1:12" ht="23.25">
      <c r="A40" s="11" t="s">
        <v>67</v>
      </c>
      <c r="B40" s="9" t="s">
        <v>68</v>
      </c>
      <c r="C40" s="15">
        <v>434</v>
      </c>
      <c r="D40" s="15">
        <v>455</v>
      </c>
      <c r="E40" s="15">
        <v>336.7</v>
      </c>
      <c r="F40" s="15">
        <v>280.3</v>
      </c>
      <c r="G40" s="31"/>
      <c r="J40" s="31"/>
      <c r="K40" s="31"/>
      <c r="L40" s="31"/>
    </row>
    <row r="41" spans="1:12" ht="24.75">
      <c r="A41" s="22" t="s">
        <v>69</v>
      </c>
      <c r="B41" s="6" t="s">
        <v>70</v>
      </c>
      <c r="C41" s="7">
        <v>2328.6</v>
      </c>
      <c r="D41" s="7">
        <v>2504.8000000000002</v>
      </c>
      <c r="E41" s="7">
        <v>2549.6999999999998</v>
      </c>
      <c r="F41" s="7">
        <v>2374.1999999999998</v>
      </c>
      <c r="G41" s="31"/>
      <c r="J41" s="31"/>
      <c r="K41" s="31"/>
      <c r="L41" s="31"/>
    </row>
    <row r="42" spans="1:12" ht="23.25">
      <c r="A42" s="11" t="s">
        <v>71</v>
      </c>
      <c r="B42" s="9" t="s">
        <v>72</v>
      </c>
      <c r="C42" s="15">
        <v>122.4</v>
      </c>
      <c r="D42" s="15">
        <v>112.9</v>
      </c>
      <c r="E42" s="15">
        <v>144.9</v>
      </c>
      <c r="F42" s="15">
        <v>156.69999999999999</v>
      </c>
      <c r="G42" s="31"/>
      <c r="J42" s="31"/>
      <c r="K42" s="31"/>
      <c r="L42" s="31"/>
    </row>
    <row r="43" spans="1:12" ht="23.25">
      <c r="A43" s="11" t="s">
        <v>73</v>
      </c>
      <c r="B43" s="9" t="s">
        <v>74</v>
      </c>
      <c r="C43" s="15">
        <v>24.7</v>
      </c>
      <c r="D43" s="15">
        <v>20.7</v>
      </c>
      <c r="E43" s="15">
        <v>44.2</v>
      </c>
      <c r="F43" s="15">
        <v>33.299999999999997</v>
      </c>
      <c r="G43" s="31"/>
      <c r="J43" s="31"/>
      <c r="K43" s="31"/>
      <c r="L43" s="31"/>
    </row>
    <row r="44" spans="1:12" ht="23.25">
      <c r="A44" s="11" t="s">
        <v>75</v>
      </c>
      <c r="B44" s="9" t="s">
        <v>76</v>
      </c>
      <c r="C44" s="15">
        <v>595.1</v>
      </c>
      <c r="D44" s="15">
        <v>713.3</v>
      </c>
      <c r="E44" s="15">
        <v>745.3</v>
      </c>
      <c r="F44" s="15">
        <v>777.5</v>
      </c>
      <c r="G44" s="31"/>
      <c r="J44" s="31"/>
      <c r="K44" s="31"/>
      <c r="L44" s="31"/>
    </row>
    <row r="45" spans="1:12" ht="23.25">
      <c r="A45" s="11" t="s">
        <v>77</v>
      </c>
      <c r="B45" s="9" t="s">
        <v>78</v>
      </c>
      <c r="C45" s="15">
        <v>6.8</v>
      </c>
      <c r="D45" s="15">
        <v>9.6</v>
      </c>
      <c r="E45" s="15">
        <v>13.9</v>
      </c>
      <c r="F45" s="15">
        <v>17.2</v>
      </c>
      <c r="G45" s="31"/>
      <c r="J45" s="31"/>
      <c r="K45" s="31"/>
      <c r="L45" s="31"/>
    </row>
    <row r="46" spans="1:12" ht="23.25">
      <c r="A46" s="8" t="s">
        <v>79</v>
      </c>
      <c r="B46" s="12" t="s">
        <v>80</v>
      </c>
      <c r="C46" s="10">
        <v>194.2</v>
      </c>
      <c r="D46" s="10">
        <v>195.2</v>
      </c>
      <c r="E46" s="10">
        <v>141.6</v>
      </c>
      <c r="F46" s="10">
        <v>92.2</v>
      </c>
      <c r="G46" s="31"/>
      <c r="J46" s="31"/>
      <c r="K46" s="31"/>
      <c r="L46" s="31"/>
    </row>
    <row r="47" spans="1:12" ht="23.25">
      <c r="A47" s="8" t="s">
        <v>81</v>
      </c>
      <c r="B47" s="12" t="s">
        <v>82</v>
      </c>
      <c r="C47" s="10">
        <v>152.19999999999999</v>
      </c>
      <c r="D47" s="10">
        <v>165.4</v>
      </c>
      <c r="E47" s="10">
        <v>110.2</v>
      </c>
      <c r="F47" s="10">
        <v>85.9</v>
      </c>
      <c r="G47" s="31"/>
      <c r="J47" s="31"/>
      <c r="K47" s="31"/>
      <c r="L47" s="31"/>
    </row>
    <row r="48" spans="1:12" ht="24.75">
      <c r="A48" s="23" t="s">
        <v>83</v>
      </c>
      <c r="B48" s="24" t="s">
        <v>84</v>
      </c>
      <c r="C48" s="25">
        <v>244</v>
      </c>
      <c r="D48" s="25">
        <v>534.70000000000005</v>
      </c>
      <c r="E48" s="25">
        <f>966.4</f>
        <v>966.4</v>
      </c>
      <c r="F48" s="25">
        <v>1077.9999999999998</v>
      </c>
      <c r="G48" s="31"/>
      <c r="J48" s="31"/>
      <c r="K48" s="31"/>
      <c r="L48" s="31"/>
    </row>
    <row r="49" spans="1:6" ht="24.75">
      <c r="A49" s="26" t="s">
        <v>85</v>
      </c>
      <c r="B49" s="27" t="s">
        <v>86</v>
      </c>
      <c r="E49" s="29"/>
      <c r="F49" s="29"/>
    </row>
    <row r="50" spans="1:6" ht="24.75">
      <c r="A50" s="26" t="s">
        <v>87</v>
      </c>
      <c r="B50" s="27" t="s">
        <v>88</v>
      </c>
      <c r="C50" s="31"/>
      <c r="D50" s="31"/>
      <c r="E50" s="33"/>
      <c r="F50" s="33"/>
    </row>
    <row r="51" spans="1:6" ht="26.25">
      <c r="A51" s="26" t="s">
        <v>89</v>
      </c>
      <c r="B51" s="27" t="s">
        <v>90</v>
      </c>
      <c r="E51" s="29"/>
      <c r="F51" s="29"/>
    </row>
    <row r="52" spans="1:6" ht="24.75">
      <c r="A52" s="28" t="s">
        <v>91</v>
      </c>
      <c r="B52" s="27" t="s">
        <v>92</v>
      </c>
      <c r="E52" s="29"/>
      <c r="F52" s="29"/>
    </row>
    <row r="53" spans="1:6" ht="15">
      <c r="E53" s="29"/>
      <c r="F53" s="29"/>
    </row>
    <row r="54" spans="1:6" ht="15">
      <c r="E54" s="29"/>
      <c r="F54" s="29"/>
    </row>
    <row r="55" spans="1:6" ht="15">
      <c r="E55" s="29"/>
      <c r="F55" s="29"/>
    </row>
    <row r="56" spans="1:6" ht="15">
      <c r="E56" s="29"/>
      <c r="F56" s="29"/>
    </row>
  </sheetData>
  <mergeCells count="7">
    <mergeCell ref="F7:F8"/>
    <mergeCell ref="A3:F3"/>
    <mergeCell ref="E7:E8"/>
    <mergeCell ref="A6:A8"/>
    <mergeCell ref="B6:B8"/>
    <mergeCell ref="C7:C8"/>
    <mergeCell ref="D7:D8"/>
  </mergeCells>
  <pageMargins left="0.70866141732283505" right="0.70866141732283505" top="0.74803149606299202" bottom="0.74803149606299202" header="0.31496062992126" footer="0.31496062992126"/>
  <pageSetup paperSize="8" scale="7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7NQWTN4WQ7WA-971242747-1375</_dlc_DocId>
    <_dlc_DocIdUrl xmlns="806035d9-ad3b-44db-92a1-1ed4b9daec3e">
      <Url>http://cbe-test-spsql:4050/_layouts/15/DocIdRedir.aspx?ID=7NQWTN4WQ7WA-971242747-1375</Url>
      <Description>7NQWTN4WQ7WA-971242747-1375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53076-CA1A-470C-9F9A-570CC1C29E1A}"/>
</file>

<file path=customXml/itemProps2.xml><?xml version="1.0" encoding="utf-8"?>
<ds:datastoreItem xmlns:ds="http://schemas.openxmlformats.org/officeDocument/2006/customXml" ds:itemID="{EA2112BA-1BEE-4C01-AE51-C37C10CC4B14}"/>
</file>

<file path=customXml/itemProps3.xml><?xml version="1.0" encoding="utf-8"?>
<ds:datastoreItem xmlns:ds="http://schemas.openxmlformats.org/officeDocument/2006/customXml" ds:itemID="{CF9D4A61-052B-44E6-B1F7-B943D3A4E4CD}"/>
</file>

<file path=customXml/itemProps4.xml><?xml version="1.0" encoding="utf-8"?>
<ds:datastoreItem xmlns:ds="http://schemas.openxmlformats.org/officeDocument/2006/customXml" ds:itemID="{C9BD78E1-BAEF-4649-BFF7-1C3E237004F2}"/>
</file>

<file path=customXml/itemProps5.xml><?xml version="1.0" encoding="utf-8"?>
<ds:datastoreItem xmlns:ds="http://schemas.openxmlformats.org/officeDocument/2006/customXml" ds:itemID="{10512BA7-96AE-419A-BDB7-6527A7E87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Imports_Quarter 2015-2016</dc:title>
  <dc:creator>Internet Research</dc:creator>
  <cp:lastModifiedBy>Internet Research</cp:lastModifiedBy>
  <cp:lastPrinted>2017-03-02T07:05:34Z</cp:lastPrinted>
  <dcterms:created xsi:type="dcterms:W3CDTF">2015-04-27T12:09:47Z</dcterms:created>
  <dcterms:modified xsi:type="dcterms:W3CDTF">2017-03-14T08:53:29Z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4f5dac52-1324-4fe8-891d-4000f14610f6</vt:lpwstr>
  </property>
</Properties>
</file>