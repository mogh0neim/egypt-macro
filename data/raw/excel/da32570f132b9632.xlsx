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&amp; Hanaa (final 24 November 2020)\NIB\"/>
    </mc:Choice>
  </mc:AlternateContent>
  <xr:revisionPtr revIDLastSave="0" documentId="13_ncr:1_{9F19918E-1EC2-4165-A74B-83E5BD619D99}" xr6:coauthVersionLast="36" xr6:coauthVersionMax="36" xr10:uidLastSave="{00000000-0000-0000-0000-000000000000}"/>
  <bookViews>
    <workbookView xWindow="0" yWindow="0" windowWidth="15600" windowHeight="8925" xr2:uid="{00000000-000D-0000-FFFF-FFFF00000000}"/>
  </bookViews>
  <sheets>
    <sheet name="2018-2019  " sheetId="1" r:id="rId1"/>
  </sheets>
  <definedNames>
    <definedName name="_xlnm.Print_Area" localSheetId="0">'2018-2019  '!$A$4:$F$23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F8" i="1"/>
  <c r="E8" i="1"/>
  <c r="D8" i="1"/>
  <c r="C8" i="1"/>
</calcChain>
</file>

<file path=xl/sharedStrings.xml><?xml version="1.0" encoding="utf-8"?>
<sst xmlns="http://schemas.openxmlformats.org/spreadsheetml/2006/main" count="43" uniqueCount="43">
  <si>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</si>
  <si>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</si>
  <si>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NIB Resources and Uses</t>
  </si>
  <si>
    <t>( LE mn )</t>
  </si>
  <si>
    <t xml:space="preserve">End of </t>
  </si>
  <si>
    <t>Q1</t>
  </si>
  <si>
    <t>Q2</t>
  </si>
  <si>
    <t>Q3</t>
  </si>
  <si>
    <t>Q4</t>
  </si>
  <si>
    <t>Sept.2018</t>
  </si>
  <si>
    <t>Dec.2018</t>
  </si>
  <si>
    <t xml:space="preserve"> March 2019</t>
  </si>
  <si>
    <t xml:space="preserve"> June 2019</t>
  </si>
  <si>
    <r>
      <t xml:space="preserve"> </t>
    </r>
    <r>
      <rPr>
        <b/>
        <u/>
        <sz val="14"/>
        <rFont val="Arial"/>
        <family val="2"/>
      </rPr>
      <t>- الخصوم  : منها</t>
    </r>
  </si>
  <si>
    <t>Liabilities :of which</t>
  </si>
  <si>
    <t>. صندوق التأمين الاجتماعى للعاملين بالحكومة</t>
  </si>
  <si>
    <t xml:space="preserve"> Social Insurance Fund for Gov. Employees</t>
  </si>
  <si>
    <t>. صندوق التأمين الاجتماعى للعاملين بقطاعى الأعمال العام والخاص</t>
  </si>
  <si>
    <t xml:space="preserve"> Social Insurance Fund for Pub. &amp; Priv. Business Sectors Employees</t>
  </si>
  <si>
    <t>. حصيلة شهادات الاستثمار</t>
  </si>
  <si>
    <t xml:space="preserve"> Proceeds of investment certificates</t>
  </si>
  <si>
    <t>. العوائد المتراكمة لشهادات الاستثمار مجموعة (أ)</t>
  </si>
  <si>
    <t xml:space="preserve"> Accumulated  interest on investment certificates (category A)</t>
  </si>
  <si>
    <t>. حصيلة سندات التنمية الدولارية</t>
  </si>
  <si>
    <t xml:space="preserve"> Proceeds of US dollar development bonds</t>
  </si>
  <si>
    <t>. ودائع صندوق توفير البريد</t>
  </si>
  <si>
    <t xml:space="preserve"> Post office savings deposits</t>
  </si>
  <si>
    <r>
      <t xml:space="preserve">. أخرى </t>
    </r>
    <r>
      <rPr>
        <sz val="14"/>
        <rFont val="Arial"/>
        <family val="2"/>
      </rPr>
      <t>*</t>
    </r>
  </si>
  <si>
    <t xml:space="preserve"> Others*</t>
  </si>
  <si>
    <r>
      <t xml:space="preserve"> </t>
    </r>
    <r>
      <rPr>
        <b/>
        <u/>
        <sz val="14"/>
        <rFont val="Arial"/>
        <family val="2"/>
      </rPr>
      <t>- الأصول : منها</t>
    </r>
  </si>
  <si>
    <t>Assets :of which</t>
  </si>
  <si>
    <t xml:space="preserve"> - اقراض للحكومة</t>
  </si>
  <si>
    <t xml:space="preserve"> Loans to government</t>
  </si>
  <si>
    <t>. اقراض للهيئات  العامة الاقتصادية</t>
  </si>
  <si>
    <t xml:space="preserve"> Loans to public economic authorities</t>
  </si>
  <si>
    <t>.إستثمارات فى أوراق مالية حكومية (اذون وسندات)</t>
  </si>
  <si>
    <t xml:space="preserve"> Investments in government securities (bills and bonds)</t>
  </si>
  <si>
    <t xml:space="preserve">.ودائع بنك الاستثمار القومى لدى الجهاز المصرفى </t>
  </si>
  <si>
    <t xml:space="preserve"> Deposits of the NIB with the banking system</t>
  </si>
  <si>
    <t>. اقراض للمساهمة فى الشركات القابضة والوحدات التابعة والقروض الميسرة وأخرى (صافى مديونية بنك الاستثمار القومى مطروحا منه المديونية البينية )</t>
  </si>
  <si>
    <t xml:space="preserve"> Lending to holding companies and affiliate units, concessional loans, and others
(Net NIB debt minus its intra-debt) </t>
  </si>
  <si>
    <t>Source: Central Bank of Egypt -  National Investment Bank.</t>
  </si>
  <si>
    <t>* Including deposits of the private insurance funds, alternative insurance funds, deposits of various authorities and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</si>
</sst>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19"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b/>
      <sz val="12"/>
      <name val="Arial"/>
      <family val="2"/>
      <charset val="178"/>
    </font>
    <font>
      <b/>
      <sz val="20"/>
      <name val="Arial"/>
      <family val="2"/>
    </font>
    <font>
      <b/>
      <u/>
      <sz val="12"/>
      <name val="Times New (W1)"/>
      <family val="1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u/>
      <sz val="14"/>
      <name val="Times New (W1)"/>
      <charset val="178"/>
    </font>
    <font>
      <sz val="13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sz val="11"/>
      <name val="Arial"/>
      <family val="2"/>
      <charset val="178"/>
    </font>
    <font>
      <i/>
      <sz val="12"/>
      <name val="Arial"/>
      <family val="2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Fill="1" applyAlignment="1">
      <alignment readingOrder="1"/>
    </xf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5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right"/>
    </xf>
    <xf numFmtId="0" fontId="6" fillId="0" borderId="0" xfId="1" quotePrefix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vertical="center" wrapText="1" readingOrder="1"/>
    </xf>
    <xf numFmtId="164" fontId="8" fillId="3" borderId="7" xfId="0" applyNumberFormat="1" applyFont="1" applyFill="1" applyBorder="1" applyAlignment="1">
      <alignment horizontal="center" vertical="center" wrapText="1" readingOrder="1"/>
    </xf>
    <xf numFmtId="0" fontId="9" fillId="4" borderId="8" xfId="1" applyFont="1" applyFill="1" applyBorder="1" applyAlignment="1">
      <alignment horizontal="right" vertical="center"/>
    </xf>
    <xf numFmtId="0" fontId="9" fillId="4" borderId="8" xfId="1" applyFont="1" applyFill="1" applyBorder="1" applyAlignment="1">
      <alignment horizontal="left" vertical="center" readingOrder="1"/>
    </xf>
    <xf numFmtId="3" fontId="11" fillId="0" borderId="8" xfId="0" applyNumberFormat="1" applyFont="1" applyFill="1" applyBorder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2" fillId="4" borderId="8" xfId="0" applyFont="1" applyFill="1" applyBorder="1" applyAlignment="1">
      <alignment horizontal="right" readingOrder="2"/>
    </xf>
    <xf numFmtId="0" fontId="12" fillId="4" borderId="8" xfId="0" applyFont="1" applyFill="1" applyBorder="1" applyAlignment="1">
      <alignment horizontal="left" readingOrder="1"/>
    </xf>
    <xf numFmtId="3" fontId="13" fillId="0" borderId="8" xfId="0" applyNumberFormat="1" applyFont="1" applyFill="1" applyBorder="1" applyAlignment="1">
      <alignment horizontal="center" readingOrder="1"/>
    </xf>
    <xf numFmtId="165" fontId="14" fillId="0" borderId="0" xfId="0" applyNumberFormat="1" applyFont="1" applyBorder="1"/>
    <xf numFmtId="0" fontId="14" fillId="0" borderId="0" xfId="0" applyFont="1" applyBorder="1"/>
    <xf numFmtId="165" fontId="14" fillId="0" borderId="0" xfId="0" applyNumberFormat="1" applyFont="1"/>
    <xf numFmtId="0" fontId="14" fillId="0" borderId="0" xfId="0" applyFont="1"/>
    <xf numFmtId="0" fontId="12" fillId="4" borderId="8" xfId="0" quotePrefix="1" applyFont="1" applyFill="1" applyBorder="1" applyAlignment="1">
      <alignment horizontal="left" readingOrder="1"/>
    </xf>
    <xf numFmtId="0" fontId="15" fillId="0" borderId="0" xfId="0" applyFont="1" applyBorder="1"/>
    <xf numFmtId="165" fontId="15" fillId="0" borderId="0" xfId="0" applyNumberFormat="1" applyFont="1" applyBorder="1"/>
    <xf numFmtId="165" fontId="15" fillId="0" borderId="0" xfId="0" applyNumberFormat="1" applyFont="1"/>
    <xf numFmtId="0" fontId="15" fillId="0" borderId="0" xfId="0" applyFont="1"/>
    <xf numFmtId="0" fontId="12" fillId="4" borderId="8" xfId="0" applyFont="1" applyFill="1" applyBorder="1" applyAlignment="1">
      <alignment horizontal="right" vertical="center" readingOrder="2"/>
    </xf>
    <xf numFmtId="0" fontId="12" fillId="4" borderId="8" xfId="0" applyFont="1" applyFill="1" applyBorder="1" applyAlignment="1">
      <alignment horizontal="left" vertical="center" readingOrder="1"/>
    </xf>
    <xf numFmtId="0" fontId="9" fillId="4" borderId="8" xfId="1" applyFont="1" applyFill="1" applyBorder="1" applyAlignment="1">
      <alignment horizontal="right" vertical="center" readingOrder="2"/>
    </xf>
    <xf numFmtId="3" fontId="16" fillId="0" borderId="8" xfId="1" applyNumberFormat="1" applyFont="1" applyFill="1" applyBorder="1" applyAlignment="1">
      <alignment horizontal="center" vertical="center" readingOrder="1"/>
    </xf>
    <xf numFmtId="0" fontId="12" fillId="4" borderId="8" xfId="0" quotePrefix="1" applyFont="1" applyFill="1" applyBorder="1" applyAlignment="1">
      <alignment horizontal="right" readingOrder="2"/>
    </xf>
    <xf numFmtId="0" fontId="17" fillId="0" borderId="0" xfId="0" applyFont="1" applyBorder="1"/>
    <xf numFmtId="165" fontId="17" fillId="0" borderId="0" xfId="0" applyNumberFormat="1" applyFont="1" applyBorder="1"/>
    <xf numFmtId="0" fontId="17" fillId="0" borderId="0" xfId="0" applyFont="1"/>
    <xf numFmtId="165" fontId="0" fillId="0" borderId="0" xfId="0" applyNumberFormat="1" applyBorder="1" applyAlignment="1">
      <alignment horizontal="center"/>
    </xf>
    <xf numFmtId="0" fontId="12" fillId="4" borderId="9" xfId="0" applyFont="1" applyFill="1" applyBorder="1" applyAlignment="1">
      <alignment horizontal="right" wrapText="1" readingOrder="2"/>
    </xf>
    <xf numFmtId="0" fontId="12" fillId="4" borderId="9" xfId="0" applyFont="1" applyFill="1" applyBorder="1" applyAlignment="1">
      <alignment horizontal="left" wrapText="1" readingOrder="1"/>
    </xf>
    <xf numFmtId="3" fontId="13" fillId="0" borderId="9" xfId="0" applyNumberFormat="1" applyFont="1" applyFill="1" applyBorder="1" applyAlignment="1">
      <alignment horizontal="center" vertical="center" readingOrder="1"/>
    </xf>
    <xf numFmtId="0" fontId="0" fillId="4" borderId="0" xfId="0" applyFill="1" applyBorder="1"/>
    <xf numFmtId="0" fontId="2" fillId="4" borderId="0" xfId="0" applyFont="1" applyFill="1" applyAlignment="1">
      <alignment readingOrder="1"/>
    </xf>
    <xf numFmtId="0" fontId="18" fillId="5" borderId="0" xfId="1" applyFont="1" applyFill="1" applyBorder="1" applyAlignment="1">
      <alignment horizontal="left" vertical="center" indent="1"/>
    </xf>
    <xf numFmtId="0" fontId="18" fillId="4" borderId="0" xfId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2" borderId="2" xfId="0" applyFont="1" applyFill="1" applyBorder="1" applyAlignment="1">
      <alignment horizontal="center"/>
    </xf>
  </cellXfs>
  <cellStyles count="2">
    <cellStyle name="Normal" xfId="0" builtinId="0"/>
    <cellStyle name="Normal_wafaa file_12_22-24_26-3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3"/>
  <sheetViews>
    <sheetView tabSelected="1" view="pageBreakPreview" topLeftCell="A4" zoomScale="88" zoomScaleNormal="75" zoomScaleSheetLayoutView="88" workbookViewId="0">
      <selection activeCell="A4" sqref="A4:F4"/>
    </sheetView>
  </sheetViews>
  <sheetFormatPr defaultRowHeight="12.75"/>
  <cols>
    <col min="1" max="1" width="71.140625" customWidth="1"/>
    <col min="2" max="2" width="78.85546875" style="1" customWidth="1"/>
    <col min="3" max="5" width="18.42578125" customWidth="1"/>
    <col min="6" max="6" width="18.1406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t="15" hidden="1" customHeight="1"/>
    <row r="2" spans="1:25" ht="23.25" hidden="1">
      <c r="B2" s="48" t="s">
        <v>0</v>
      </c>
      <c r="C2" s="48"/>
      <c r="D2" s="48"/>
      <c r="E2" s="48"/>
      <c r="F2" s="48"/>
    </row>
    <row r="3" spans="1:25" ht="23.25" hidden="1">
      <c r="B3" s="49" t="s">
        <v>1</v>
      </c>
      <c r="C3" s="49"/>
      <c r="D3" s="49"/>
      <c r="E3" s="49"/>
      <c r="F3" s="49"/>
    </row>
    <row r="4" spans="1:25" s="4" customFormat="1" ht="45" customHeight="1">
      <c r="A4" s="50" t="s">
        <v>2</v>
      </c>
      <c r="B4" s="50"/>
      <c r="C4" s="50"/>
      <c r="D4" s="50"/>
      <c r="E4" s="50"/>
      <c r="F4" s="5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5" s="4" customFormat="1" ht="45" customHeight="1" thickBot="1">
      <c r="A5" s="5"/>
      <c r="B5" s="5"/>
      <c r="C5" s="5"/>
      <c r="D5" s="5"/>
      <c r="E5" s="5"/>
      <c r="F5" s="6" t="s">
        <v>3</v>
      </c>
      <c r="G5" s="7"/>
      <c r="H5" s="7"/>
      <c r="I5" s="7"/>
      <c r="J5" s="7"/>
      <c r="K5" s="7"/>
      <c r="L5" s="3"/>
      <c r="M5" s="3"/>
      <c r="N5" s="3"/>
      <c r="O5" s="3"/>
      <c r="P5" s="3"/>
      <c r="Q5" s="3"/>
      <c r="R5" s="3"/>
      <c r="S5" s="3"/>
    </row>
    <row r="6" spans="1:25" ht="25.5" customHeight="1" thickTop="1">
      <c r="A6" s="51" t="s">
        <v>4</v>
      </c>
      <c r="B6" s="51"/>
      <c r="C6" s="8" t="s">
        <v>5</v>
      </c>
      <c r="D6" s="9" t="s">
        <v>6</v>
      </c>
      <c r="E6" s="9" t="s">
        <v>7</v>
      </c>
      <c r="F6" s="9" t="s">
        <v>8</v>
      </c>
      <c r="I6" s="10"/>
    </row>
    <row r="7" spans="1:25" ht="36" customHeight="1" thickBot="1">
      <c r="A7" s="11"/>
      <c r="B7" s="12"/>
      <c r="C7" s="13" t="s">
        <v>9</v>
      </c>
      <c r="D7" s="13" t="s">
        <v>10</v>
      </c>
      <c r="E7" s="14" t="s">
        <v>11</v>
      </c>
      <c r="F7" s="14" t="s">
        <v>12</v>
      </c>
    </row>
    <row r="8" spans="1:25" ht="24.95" customHeight="1" thickTop="1">
      <c r="A8" s="15" t="s">
        <v>13</v>
      </c>
      <c r="B8" s="16" t="s">
        <v>14</v>
      </c>
      <c r="C8" s="17">
        <f>C9+C10+C11+C12+C13+C14+C15</f>
        <v>525186</v>
      </c>
      <c r="D8" s="17">
        <f t="shared" ref="D8:F8" si="0">D9+D10+D11+D12+D13+D14+D15</f>
        <v>563340</v>
      </c>
      <c r="E8" s="17">
        <f t="shared" si="0"/>
        <v>599077</v>
      </c>
      <c r="F8" s="17">
        <f t="shared" si="0"/>
        <v>643252</v>
      </c>
      <c r="G8" s="18"/>
      <c r="P8" s="18"/>
      <c r="Q8" s="18"/>
      <c r="R8" s="18"/>
      <c r="S8" s="18"/>
      <c r="T8" s="19"/>
      <c r="U8" s="19"/>
      <c r="V8" s="19"/>
      <c r="W8" s="19"/>
      <c r="X8" s="19"/>
      <c r="Y8" s="19"/>
    </row>
    <row r="9" spans="1:25" s="26" customFormat="1" ht="24.95" customHeight="1">
      <c r="A9" s="20" t="s">
        <v>15</v>
      </c>
      <c r="B9" s="21" t="s">
        <v>16</v>
      </c>
      <c r="C9" s="22">
        <v>36363</v>
      </c>
      <c r="D9" s="22">
        <v>37177</v>
      </c>
      <c r="E9" s="22">
        <v>36002</v>
      </c>
      <c r="F9" s="22">
        <v>36542</v>
      </c>
      <c r="G9" s="18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1" customFormat="1" ht="24.95" customHeight="1">
      <c r="A10" s="20" t="s">
        <v>17</v>
      </c>
      <c r="B10" s="27" t="s">
        <v>18</v>
      </c>
      <c r="C10" s="22">
        <v>21368</v>
      </c>
      <c r="D10" s="22">
        <v>21234</v>
      </c>
      <c r="E10" s="22">
        <v>19880</v>
      </c>
      <c r="F10" s="22">
        <v>19548</v>
      </c>
      <c r="G10" s="18"/>
      <c r="H10" s="28"/>
      <c r="I10" s="28"/>
      <c r="J10" s="28"/>
      <c r="K10" s="28"/>
      <c r="L10" s="28"/>
      <c r="M10" s="28"/>
      <c r="N10" s="28"/>
      <c r="O10" s="28"/>
      <c r="P10" s="29"/>
      <c r="Q10" s="29"/>
      <c r="R10" s="29"/>
      <c r="S10" s="29"/>
      <c r="T10" s="30"/>
      <c r="U10" s="30"/>
      <c r="V10" s="30"/>
      <c r="W10" s="30"/>
      <c r="X10" s="30"/>
      <c r="Y10" s="30"/>
    </row>
    <row r="11" spans="1:25" s="31" customFormat="1" ht="24.95" customHeight="1">
      <c r="A11" s="20" t="s">
        <v>19</v>
      </c>
      <c r="B11" s="21" t="s">
        <v>20</v>
      </c>
      <c r="C11" s="22">
        <v>316385</v>
      </c>
      <c r="D11" s="22">
        <v>350658</v>
      </c>
      <c r="E11" s="22">
        <v>385017</v>
      </c>
      <c r="F11" s="22">
        <v>424754</v>
      </c>
      <c r="G11" s="18"/>
      <c r="H11" s="29"/>
      <c r="I11" s="28"/>
      <c r="J11" s="28"/>
      <c r="K11" s="28"/>
      <c r="L11" s="28"/>
      <c r="M11" s="28"/>
      <c r="N11" s="28"/>
      <c r="O11" s="28"/>
      <c r="P11" s="29"/>
      <c r="Q11" s="29"/>
      <c r="R11" s="29"/>
      <c r="S11" s="29"/>
      <c r="T11" s="30"/>
      <c r="U11" s="30"/>
      <c r="V11" s="30"/>
      <c r="W11" s="30"/>
      <c r="X11" s="30"/>
      <c r="Y11" s="30"/>
    </row>
    <row r="12" spans="1:25" s="26" customFormat="1" ht="24.95" customHeight="1">
      <c r="A12" s="20" t="s">
        <v>21</v>
      </c>
      <c r="B12" s="27" t="s">
        <v>22</v>
      </c>
      <c r="C12" s="22">
        <v>7488</v>
      </c>
      <c r="D12" s="22">
        <v>7728</v>
      </c>
      <c r="E12" s="22">
        <v>8002</v>
      </c>
      <c r="F12" s="22">
        <v>8288</v>
      </c>
      <c r="G12" s="18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1" customFormat="1" ht="24.95" customHeight="1">
      <c r="A13" s="20" t="s">
        <v>23</v>
      </c>
      <c r="B13" s="21" t="s">
        <v>24</v>
      </c>
      <c r="C13" s="22">
        <v>2</v>
      </c>
      <c r="D13" s="22">
        <v>2</v>
      </c>
      <c r="E13" s="22">
        <v>2</v>
      </c>
      <c r="F13" s="22">
        <v>0</v>
      </c>
      <c r="G13" s="18"/>
      <c r="H13" s="23"/>
      <c r="I13" s="28"/>
      <c r="J13" s="28"/>
      <c r="K13" s="28"/>
      <c r="L13" s="28"/>
      <c r="M13" s="28"/>
      <c r="N13" s="28"/>
      <c r="O13" s="28"/>
      <c r="P13" s="29"/>
      <c r="Q13" s="29"/>
      <c r="R13" s="29"/>
      <c r="S13" s="29"/>
      <c r="T13" s="30"/>
      <c r="U13" s="30"/>
      <c r="V13" s="30"/>
      <c r="W13" s="30"/>
      <c r="X13" s="30"/>
      <c r="Y13" s="30"/>
    </row>
    <row r="14" spans="1:25" s="31" customFormat="1" ht="24.95" customHeight="1">
      <c r="A14" s="20" t="s">
        <v>25</v>
      </c>
      <c r="B14" s="27" t="s">
        <v>26</v>
      </c>
      <c r="C14" s="22">
        <v>138159</v>
      </c>
      <c r="D14" s="22">
        <v>141886</v>
      </c>
      <c r="E14" s="22">
        <v>145532</v>
      </c>
      <c r="F14" s="22">
        <v>149219</v>
      </c>
      <c r="G14" s="18"/>
      <c r="H14" s="23"/>
      <c r="I14" s="28"/>
      <c r="J14" s="28"/>
      <c r="K14" s="28"/>
      <c r="L14" s="28"/>
      <c r="M14" s="28"/>
      <c r="N14" s="28"/>
      <c r="O14" s="28"/>
      <c r="P14" s="29"/>
      <c r="Q14" s="29"/>
      <c r="R14" s="29"/>
      <c r="S14" s="29"/>
      <c r="T14" s="30"/>
      <c r="U14" s="30"/>
      <c r="V14" s="30"/>
      <c r="W14" s="30"/>
      <c r="X14" s="30"/>
      <c r="Y14" s="30"/>
    </row>
    <row r="15" spans="1:25" ht="30" customHeight="1">
      <c r="A15" s="32" t="s">
        <v>27</v>
      </c>
      <c r="B15" s="33" t="s">
        <v>28</v>
      </c>
      <c r="C15" s="22">
        <v>5421</v>
      </c>
      <c r="D15" s="22">
        <v>4655</v>
      </c>
      <c r="E15" s="22">
        <v>4642</v>
      </c>
      <c r="F15" s="22">
        <v>4901</v>
      </c>
      <c r="G15" s="18"/>
      <c r="P15" s="18"/>
      <c r="Q15" s="18"/>
      <c r="R15" s="18"/>
      <c r="S15" s="18"/>
      <c r="T15" s="19"/>
      <c r="U15" s="19"/>
      <c r="V15" s="19"/>
      <c r="W15" s="19"/>
      <c r="X15" s="19"/>
      <c r="Y15" s="19"/>
    </row>
    <row r="16" spans="1:25" ht="24.95" customHeight="1">
      <c r="A16" s="34" t="s">
        <v>29</v>
      </c>
      <c r="B16" s="16" t="s">
        <v>30</v>
      </c>
      <c r="C16" s="17">
        <f>SUM(C18:C21)</f>
        <v>525186</v>
      </c>
      <c r="D16" s="17">
        <f>SUM(D18:D21)</f>
        <v>563340</v>
      </c>
      <c r="E16" s="17">
        <f>SUM(E18:E21)</f>
        <v>599077</v>
      </c>
      <c r="F16" s="17">
        <f t="shared" ref="F16" si="1">SUM(F17:F21)</f>
        <v>643252</v>
      </c>
      <c r="G16" s="18"/>
      <c r="P16" s="18"/>
      <c r="Q16" s="18"/>
      <c r="R16" s="18"/>
      <c r="S16" s="18"/>
      <c r="T16" s="19"/>
      <c r="U16" s="19"/>
      <c r="V16" s="19"/>
      <c r="W16" s="19"/>
      <c r="X16" s="19"/>
      <c r="Y16" s="19"/>
    </row>
    <row r="17" spans="1:25" ht="24.95" customHeight="1">
      <c r="A17" s="20" t="s">
        <v>31</v>
      </c>
      <c r="B17" s="21" t="s">
        <v>32</v>
      </c>
      <c r="C17" s="35">
        <v>0</v>
      </c>
      <c r="D17" s="35">
        <v>0</v>
      </c>
      <c r="E17" s="35">
        <v>0</v>
      </c>
      <c r="F17" s="22">
        <v>0</v>
      </c>
      <c r="G17" s="18"/>
      <c r="I17" s="18"/>
      <c r="P17" s="18"/>
      <c r="Q17" s="18"/>
      <c r="R17" s="18"/>
      <c r="S17" s="18"/>
      <c r="T17" s="19"/>
      <c r="U17" s="19"/>
      <c r="V17" s="19"/>
      <c r="W17" s="19"/>
      <c r="X17" s="19"/>
      <c r="Y17" s="19"/>
    </row>
    <row r="18" spans="1:25" s="39" customFormat="1" ht="24.95" customHeight="1">
      <c r="A18" s="36" t="s">
        <v>33</v>
      </c>
      <c r="B18" s="27" t="s">
        <v>34</v>
      </c>
      <c r="C18" s="22">
        <v>74254</v>
      </c>
      <c r="D18" s="22">
        <v>74045</v>
      </c>
      <c r="E18" s="22">
        <v>72939</v>
      </c>
      <c r="F18" s="22">
        <v>72032</v>
      </c>
      <c r="G18" s="18"/>
      <c r="H18" s="37"/>
      <c r="I18" s="38"/>
      <c r="J18" s="38"/>
      <c r="K18" s="37"/>
      <c r="L18" s="37"/>
      <c r="M18" s="37"/>
      <c r="N18" s="37"/>
      <c r="O18" s="37"/>
      <c r="P18" s="18"/>
      <c r="Q18" s="18"/>
      <c r="R18" s="18"/>
      <c r="S18" s="18"/>
      <c r="T18" s="19"/>
      <c r="U18" s="19"/>
      <c r="V18" s="19"/>
      <c r="W18" s="19"/>
      <c r="X18" s="19"/>
      <c r="Y18" s="19"/>
    </row>
    <row r="19" spans="1:25" ht="24.95" customHeight="1">
      <c r="A19" s="20" t="s">
        <v>35</v>
      </c>
      <c r="B19" s="21" t="s">
        <v>36</v>
      </c>
      <c r="C19" s="22">
        <v>184081</v>
      </c>
      <c r="D19" s="22">
        <v>216629</v>
      </c>
      <c r="E19" s="22">
        <v>251743</v>
      </c>
      <c r="F19" s="22">
        <v>290643</v>
      </c>
      <c r="G19" s="18"/>
      <c r="H19" s="40"/>
      <c r="I19" s="18"/>
      <c r="P19" s="18"/>
      <c r="Q19" s="18"/>
      <c r="R19" s="18"/>
      <c r="S19" s="18"/>
      <c r="T19" s="19"/>
      <c r="U19" s="19"/>
      <c r="V19" s="19"/>
      <c r="W19" s="19"/>
      <c r="X19" s="19"/>
      <c r="Y19" s="19"/>
    </row>
    <row r="20" spans="1:25" ht="24.95" customHeight="1">
      <c r="A20" s="36" t="s">
        <v>37</v>
      </c>
      <c r="B20" s="27" t="s">
        <v>38</v>
      </c>
      <c r="C20" s="22">
        <v>7837</v>
      </c>
      <c r="D20" s="22">
        <v>9603</v>
      </c>
      <c r="E20" s="22">
        <v>7734</v>
      </c>
      <c r="F20" s="22">
        <v>12234</v>
      </c>
      <c r="G20" s="18"/>
      <c r="J20" s="18"/>
      <c r="P20" s="18"/>
      <c r="Q20" s="18"/>
      <c r="R20" s="18"/>
      <c r="S20" s="18"/>
      <c r="T20" s="19"/>
      <c r="U20" s="19"/>
      <c r="V20" s="19"/>
      <c r="W20" s="19"/>
      <c r="X20" s="19"/>
      <c r="Y20" s="19"/>
    </row>
    <row r="21" spans="1:25" ht="40.5" customHeight="1">
      <c r="A21" s="41" t="s">
        <v>39</v>
      </c>
      <c r="B21" s="42" t="s">
        <v>40</v>
      </c>
      <c r="C21" s="43">
        <v>259014</v>
      </c>
      <c r="D21" s="43">
        <v>263063</v>
      </c>
      <c r="E21" s="43">
        <v>266661</v>
      </c>
      <c r="F21" s="43">
        <v>268343</v>
      </c>
      <c r="G21" s="18"/>
      <c r="H21" s="18"/>
      <c r="P21" s="18"/>
      <c r="Q21" s="18"/>
      <c r="R21" s="18"/>
      <c r="S21" s="18"/>
      <c r="T21" s="19"/>
      <c r="U21" s="19"/>
      <c r="V21" s="19"/>
      <c r="W21" s="19"/>
      <c r="X21" s="19"/>
      <c r="Y21" s="19"/>
    </row>
    <row r="22" spans="1:25" ht="15.75">
      <c r="A22" s="44" t="s">
        <v>41</v>
      </c>
      <c r="B22" s="45"/>
      <c r="C22" s="46"/>
      <c r="D22" s="46"/>
      <c r="E22" s="46"/>
      <c r="F22" s="46"/>
      <c r="G22" s="47"/>
      <c r="H22" s="47"/>
    </row>
    <row r="23" spans="1:25" ht="18.75" customHeight="1">
      <c r="A23" s="44" t="s">
        <v>42</v>
      </c>
      <c r="B23" s="45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7NQWTN4WQ7WA-971242747-2192</_dlc_DocId>
    <_dlc_DocIdUrl xmlns="806035d9-ad3b-44db-92a1-1ed4b9daec3e">
      <Url>http://cbe-test-spsql:4050/_layouts/15/DocIdRedir.aspx?ID=7NQWTN4WQ7WA-971242747-2192</Url>
      <Description>7NQWTN4WQ7WA-971242747-2192</Description>
    </_dlc_DocIdUrl>
  </documentManagement>
</p:properties>
</file>

<file path=customXml/itemProps1.xml><?xml version="1.0" encoding="utf-8"?>
<ds:datastoreItem xmlns:ds="http://schemas.openxmlformats.org/officeDocument/2006/customXml" ds:itemID="{DCF7D7E6-6822-42AE-8A46-A3853C878D12}"/>
</file>

<file path=customXml/itemProps2.xml><?xml version="1.0" encoding="utf-8"?>
<ds:datastoreItem xmlns:ds="http://schemas.openxmlformats.org/officeDocument/2006/customXml" ds:itemID="{D833F791-CA6E-4079-8BB5-EAF96F4276E5}"/>
</file>

<file path=customXml/itemProps3.xml><?xml version="1.0" encoding="utf-8"?>
<ds:datastoreItem xmlns:ds="http://schemas.openxmlformats.org/officeDocument/2006/customXml" ds:itemID="{453F80D4-A046-481A-B427-86482E98B904}"/>
</file>

<file path=customXml/itemProps4.xml><?xml version="1.0" encoding="utf-8"?>
<ds:datastoreItem xmlns:ds="http://schemas.openxmlformats.org/officeDocument/2006/customXml" ds:itemID="{87793A7F-F789-4046-A41B-2EDFAF2AD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  </vt:lpstr>
      <vt:lpstr>'2018-2019  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 Quarter 2018 2019</dc:title>
  <dc:creator>Khaled Abdelnabi</dc:creator>
  <cp:lastModifiedBy>Khaled Abdelnabi</cp:lastModifiedBy>
  <dcterms:created xsi:type="dcterms:W3CDTF">2020-11-24T10:54:00Z</dcterms:created>
  <dcterms:modified xsi:type="dcterms:W3CDTF">2021-05-18T11:34:40Z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b18087c2-16f2-40aa-b2dc-484fd1a84689</vt:lpwstr>
  </property>
</Properties>
</file>