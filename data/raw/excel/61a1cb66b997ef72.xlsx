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2-2013" sheetId="1" r:id="rId1"/>
  </sheets>
  <calcPr calcId="145621"/>
</workbook>
</file>

<file path=xl/calcChain.xml><?xml version="1.0" encoding="utf-8"?>
<calcChain xmlns="http://schemas.openxmlformats.org/spreadsheetml/2006/main">
  <c r="F9" i="1" l="1"/>
  <c r="E9" i="1"/>
  <c r="F8" i="1"/>
  <c r="E8" i="1"/>
  <c r="F7" i="1"/>
  <c r="E7" i="1"/>
</calcChain>
</file>

<file path=xl/sharedStrings.xml><?xml version="1.0" encoding="utf-8"?>
<sst xmlns="http://schemas.openxmlformats.org/spreadsheetml/2006/main" count="80" uniqueCount="80">
  <si>
    <t xml:space="preserve"> Proceeds of Merchandise Exports by Degree of Processing *</t>
  </si>
  <si>
    <t>(US$ mn)</t>
  </si>
  <si>
    <t>During</t>
  </si>
  <si>
    <t>Q1</t>
  </si>
  <si>
    <t>Q2</t>
  </si>
  <si>
    <t>Q3</t>
  </si>
  <si>
    <t>Q4</t>
  </si>
  <si>
    <t xml:space="preserve">خــــلال 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</si>
  <si>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*** </t>
    </r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</si>
  <si>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</si>
  <si>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</si>
  <si>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</si>
  <si>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</si>
  <si>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</si>
  <si>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</si>
  <si>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</si>
  <si>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</si>
  <si>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</si>
  <si>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</si>
  <si>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</si>
  <si>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</si>
  <si>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</si>
  <si>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</si>
  <si>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</si>
  <si>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</si>
  <si>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</si>
  <si>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</si>
  <si>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</si>
  <si>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</si>
  <si>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</si>
  <si>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>البان ومنتجاتها وبيض وعسل</t>
  </si>
  <si>
    <t>Dairy products, eggs and honey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</si>
  <si>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</si>
  <si>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</si>
  <si>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</si>
  <si>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</si>
  <si>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</si>
  <si>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</si>
  <si>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</si>
  <si>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</si>
  <si>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</si>
  <si>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</si>
  <si>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</si>
  <si>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</si>
  <si>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</si>
  <si>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</si>
  <si>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</si>
  <si>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</si>
  <si>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</si>
  <si>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</si>
  <si>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</si>
  <si>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</si>
  <si>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</si>
  <si>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</si>
  <si>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</si>
  <si>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</si>
  <si>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</si>
  <si>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</si>
  <si>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</si>
  <si>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</si>
  <si>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</si>
  <si>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</si>
  <si>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</si>
  <si>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</si>
  <si>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</si>
  <si>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</si>
  <si>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</si>
  <si>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</si>
  <si>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</si>
  <si>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</si>
  <si>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t>*</t>
    </r>
    <r>
      <rPr>
        <sz val="16"/>
        <rFont val="Akhbar MT"/>
        <charset val="178"/>
      </rPr>
      <t xml:space="preserve">    التصنيف على أساس التعريفة الجمركية المنسقة (درجة التصنيع) .</t>
    </r>
  </si>
  <si>
    <t>*    According to the Harmonized System (Degree of Processing) .</t>
  </si>
  <si>
    <r>
      <t>***</t>
    </r>
    <r>
      <rPr>
        <sz val="16"/>
        <rFont val="Akhbar MT"/>
        <charset val="178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</si>
  <si>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</si>
  <si>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</si>
  <si>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</si>
  <si>
    <t>July/Sep.2012</t>
  </si>
  <si>
    <t>Oct./Dec.2012</t>
  </si>
  <si>
    <t>Jan./Mar2013</t>
  </si>
  <si>
    <t>Apr./Jun2013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</si>
</sst>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0"/>
      <name val="Arial"/>
    </font>
    <font>
      <sz val="10"/>
      <name val="Arial"/>
      <charset val="178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6"/>
      <name val="Akhbar MT"/>
      <charset val="178"/>
    </font>
    <font>
      <b/>
      <sz val="12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color indexed="17"/>
      <name val="Times New Roman"/>
      <charset val="178"/>
    </font>
    <font>
      <u/>
      <sz val="16"/>
      <color indexed="61"/>
      <name val="Akhbar MT"/>
      <charset val="178"/>
    </font>
    <font>
      <u/>
      <sz val="16"/>
      <color indexed="61"/>
      <name val="Arial"/>
      <family val="2"/>
    </font>
    <font>
      <sz val="16"/>
      <color indexed="61"/>
      <name val="Akhbar MT"/>
      <charset val="178"/>
    </font>
    <font>
      <sz val="16"/>
      <color indexed="61"/>
      <name val="Arial"/>
      <family val="2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  <font>
      <vertAlign val="subscript"/>
      <sz val="16"/>
      <name val="Arial"/>
      <family val="2"/>
    </font>
    <font>
      <sz val="16"/>
      <name val="Times New Roman"/>
      <charset val="178"/>
    </font>
    <font>
      <sz val="16"/>
      <name val="Arial Euro"/>
      <family val="2"/>
      <charset val="178"/>
    </font>
    <font>
      <sz val="16"/>
      <name val="Arial"/>
    </font>
    <font>
      <sz val="10"/>
      <name val="MS Sans Serif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3" fillId="0" borderId="0"/>
  </cellStyleXfs>
  <cellXfs count="47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1" xfId="1" applyFont="1" applyFill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8" fillId="3" borderId="2" xfId="1" applyFont="1" applyFill="1" applyBorder="1"/>
    <xf numFmtId="0" fontId="10" fillId="4" borderId="3" xfId="0" applyFont="1" applyFill="1" applyBorder="1" applyAlignment="1">
      <alignment horizontal="center" vertical="center" wrapText="1" readingOrder="1"/>
    </xf>
    <xf numFmtId="0" fontId="10" fillId="4" borderId="2" xfId="0" applyFont="1" applyFill="1" applyBorder="1" applyAlignment="1">
      <alignment horizontal="center" vertical="center" wrapText="1" readingOrder="1"/>
    </xf>
    <xf numFmtId="0" fontId="13" fillId="3" borderId="2" xfId="1" applyFont="1" applyFill="1" applyBorder="1" applyAlignment="1">
      <alignment horizontal="right" vertical="center" indent="1"/>
    </xf>
    <xf numFmtId="0" fontId="14" fillId="3" borderId="2" xfId="1" applyFont="1" applyFill="1" applyBorder="1" applyAlignment="1">
      <alignment horizontal="left" vertical="center" indent="1" readingOrder="1"/>
    </xf>
    <xf numFmtId="164" fontId="14" fillId="0" borderId="2" xfId="1" applyNumberFormat="1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right" vertical="center" indent="1" readingOrder="2"/>
    </xf>
    <xf numFmtId="0" fontId="16" fillId="3" borderId="4" xfId="1" applyFont="1" applyFill="1" applyBorder="1" applyAlignment="1">
      <alignment horizontal="left" vertical="center" indent="1" readingOrder="1"/>
    </xf>
    <xf numFmtId="164" fontId="16" fillId="0" borderId="4" xfId="1" quotePrefix="1" applyNumberFormat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right" vertical="center" indent="2" readingOrder="2"/>
    </xf>
    <xf numFmtId="0" fontId="4" fillId="3" borderId="4" xfId="1" quotePrefix="1" applyFont="1" applyFill="1" applyBorder="1" applyAlignment="1">
      <alignment horizontal="left" vertical="center" indent="2" readingOrder="1"/>
    </xf>
    <xf numFmtId="164" fontId="3" fillId="0" borderId="4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left" vertical="center" indent="2" readingOrder="1"/>
    </xf>
    <xf numFmtId="164" fontId="3" fillId="0" borderId="4" xfId="1" quotePrefix="1" applyNumberFormat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right" vertical="center" indent="1" readingOrder="2"/>
    </xf>
    <xf numFmtId="0" fontId="16" fillId="3" borderId="5" xfId="1" applyFont="1" applyFill="1" applyBorder="1" applyAlignment="1">
      <alignment horizontal="left" vertical="center" indent="1" readingOrder="1"/>
    </xf>
    <xf numFmtId="164" fontId="16" fillId="0" borderId="5" xfId="1" quotePrefix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 indent="1"/>
    </xf>
    <xf numFmtId="0" fontId="4" fillId="0" borderId="0" xfId="1" applyFont="1" applyFill="1" applyBorder="1" applyAlignment="1">
      <alignment horizontal="left" vertical="center" indent="1"/>
    </xf>
    <xf numFmtId="164" fontId="4" fillId="0" borderId="0" xfId="1" applyNumberFormat="1" applyFont="1" applyFill="1" applyBorder="1"/>
    <xf numFmtId="0" fontId="19" fillId="0" borderId="0" xfId="1" applyFont="1" applyFill="1" applyBorder="1" applyAlignment="1">
      <alignment horizontal="right" vertical="center" indent="1" readingOrder="2"/>
    </xf>
    <xf numFmtId="0" fontId="20" fillId="0" borderId="0" xfId="1" applyFont="1" applyFill="1" applyBorder="1"/>
    <xf numFmtId="1" fontId="21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 vertical="center" indent="1" readingOrder="2"/>
    </xf>
    <xf numFmtId="0" fontId="3" fillId="0" borderId="0" xfId="1" applyFont="1" applyFill="1" applyAlignment="1"/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20" fillId="0" borderId="0" xfId="1" applyFont="1" applyFill="1"/>
    <xf numFmtId="0" fontId="22" fillId="0" borderId="0" xfId="0" applyFont="1"/>
    <xf numFmtId="0" fontId="3" fillId="0" borderId="0" xfId="1" applyFont="1" applyBorder="1"/>
    <xf numFmtId="0" fontId="3" fillId="0" borderId="0" xfId="1" applyFont="1"/>
    <xf numFmtId="0" fontId="3" fillId="2" borderId="0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 readingOrder="1"/>
    </xf>
    <xf numFmtId="0" fontId="9" fillId="3" borderId="4" xfId="1" applyFont="1" applyFill="1" applyBorder="1" applyAlignment="1">
      <alignment horizontal="center" vertical="center" readingOrder="1"/>
    </xf>
    <xf numFmtId="0" fontId="9" fillId="3" borderId="5" xfId="1" applyFont="1" applyFill="1" applyBorder="1" applyAlignment="1">
      <alignment horizontal="center" vertical="center" readingOrder="1"/>
    </xf>
    <xf numFmtId="0" fontId="11" fillId="3" borderId="4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 readingOrder="1"/>
    </xf>
    <xf numFmtId="0" fontId="10" fillId="5" borderId="5" xfId="0" applyFont="1" applyFill="1" applyBorder="1" applyAlignment="1">
      <alignment horizontal="center" vertical="center" wrapText="1" readingOrder="1"/>
    </xf>
  </cellXfs>
  <cellStyles count="3">
    <cellStyle name="Normal" xfId="0" builtinId="0"/>
    <cellStyle name="Normal_BOP_11_14-19_21" xfId="1"/>
    <cellStyle name="عادي_artim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view="pageBreakPreview" zoomScale="60" zoomScaleNormal="100" workbookViewId="0">
      <selection activeCell="J12" sqref="J12"/>
    </sheetView>
  </sheetViews>
  <sheetFormatPr defaultRowHeight="20.25"/>
  <cols>
    <col min="1" max="1" width="40.7109375" style="38" customWidth="1"/>
    <col min="2" max="2" width="66" style="38" customWidth="1"/>
    <col min="3" max="3" width="24.42578125" style="38" customWidth="1"/>
    <col min="4" max="4" width="24.5703125" style="38" customWidth="1"/>
    <col min="5" max="5" width="24.42578125" style="38" customWidth="1"/>
    <col min="6" max="6" width="25.28515625" style="38" customWidth="1"/>
  </cols>
  <sheetData>
    <row r="1" spans="1:6" ht="26.25">
      <c r="A1" s="1"/>
      <c r="B1" s="2"/>
      <c r="C1" s="3"/>
      <c r="D1" s="3"/>
      <c r="E1" s="3"/>
      <c r="F1" s="3"/>
    </row>
    <row r="2" spans="1:6">
      <c r="A2" s="39" t="s">
        <v>0</v>
      </c>
      <c r="B2" s="39"/>
      <c r="C2" s="39"/>
      <c r="D2" s="39"/>
      <c r="E2" s="39"/>
      <c r="F2" s="39"/>
    </row>
    <row r="3" spans="1:6" ht="27.75">
      <c r="A3" s="4"/>
      <c r="B3" s="5"/>
      <c r="C3" s="6"/>
      <c r="D3" s="6"/>
      <c r="E3" s="6"/>
      <c r="F3" s="7" t="s">
        <v>1</v>
      </c>
    </row>
    <row r="4" spans="1:6">
      <c r="A4" s="8"/>
      <c r="B4" s="40" t="s">
        <v>2</v>
      </c>
      <c r="C4" s="9" t="s">
        <v>3</v>
      </c>
      <c r="D4" s="9" t="s">
        <v>4</v>
      </c>
      <c r="E4" s="9" t="s">
        <v>5</v>
      </c>
      <c r="F4" s="10" t="s">
        <v>6</v>
      </c>
    </row>
    <row r="5" spans="1:6" ht="12.75" customHeight="1">
      <c r="A5" s="43" t="s">
        <v>7</v>
      </c>
      <c r="B5" s="41"/>
      <c r="C5" s="45" t="s">
        <v>76</v>
      </c>
      <c r="D5" s="45" t="s">
        <v>77</v>
      </c>
      <c r="E5" s="45" t="s">
        <v>78</v>
      </c>
      <c r="F5" s="45" t="s">
        <v>79</v>
      </c>
    </row>
    <row r="6" spans="1:6" ht="20.25" customHeight="1">
      <c r="A6" s="44"/>
      <c r="B6" s="42"/>
      <c r="C6" s="46"/>
      <c r="D6" s="46"/>
      <c r="E6" s="46"/>
      <c r="F6" s="46"/>
    </row>
    <row r="7" spans="1:6" ht="26.1" customHeight="1">
      <c r="A7" s="11" t="s">
        <v>8</v>
      </c>
      <c r="B7" s="12" t="s">
        <v>9</v>
      </c>
      <c r="C7" s="13">
        <v>6775.0999999999995</v>
      </c>
      <c r="D7" s="13">
        <v>6833.5000000000009</v>
      </c>
      <c r="E7" s="13">
        <f>6804.9-155</f>
        <v>6649.9</v>
      </c>
      <c r="F7" s="13">
        <f>6574.61+155</f>
        <v>6729.61</v>
      </c>
    </row>
    <row r="8" spans="1:6" ht="26.1" customHeight="1">
      <c r="A8" s="14" t="s">
        <v>10</v>
      </c>
      <c r="B8" s="15" t="s">
        <v>11</v>
      </c>
      <c r="C8" s="16">
        <v>3242.3</v>
      </c>
      <c r="D8" s="16">
        <v>3435.9</v>
      </c>
      <c r="E8" s="16">
        <f>3483.4-155</f>
        <v>3328.4</v>
      </c>
      <c r="F8" s="16">
        <f>3010.1+155</f>
        <v>3165.1</v>
      </c>
    </row>
    <row r="9" spans="1:6" ht="26.1" customHeight="1">
      <c r="A9" s="17" t="s">
        <v>12</v>
      </c>
      <c r="B9" s="18" t="s">
        <v>13</v>
      </c>
      <c r="C9" s="19">
        <v>1861.4</v>
      </c>
      <c r="D9" s="19">
        <v>1849.1</v>
      </c>
      <c r="E9" s="19">
        <f>2037.6-155</f>
        <v>1882.6</v>
      </c>
      <c r="F9" s="19">
        <f>1555.1+155</f>
        <v>1710.1</v>
      </c>
    </row>
    <row r="10" spans="1:6" ht="26.1" customHeight="1">
      <c r="A10" s="17" t="s">
        <v>14</v>
      </c>
      <c r="B10" s="18" t="s">
        <v>15</v>
      </c>
      <c r="C10" s="19">
        <v>1338.5</v>
      </c>
      <c r="D10" s="19">
        <v>1544.8</v>
      </c>
      <c r="E10" s="19">
        <v>1410.1</v>
      </c>
      <c r="F10" s="19">
        <v>1426.4</v>
      </c>
    </row>
    <row r="11" spans="1:6" ht="26.1" customHeight="1">
      <c r="A11" s="17" t="s">
        <v>16</v>
      </c>
      <c r="B11" s="20" t="s">
        <v>17</v>
      </c>
      <c r="C11" s="19">
        <v>9.5</v>
      </c>
      <c r="D11" s="19">
        <v>8.8000000000000007</v>
      </c>
      <c r="E11" s="19">
        <v>11.3</v>
      </c>
      <c r="F11" s="19">
        <v>10.02</v>
      </c>
    </row>
    <row r="12" spans="1:6" ht="26.1" customHeight="1">
      <c r="A12" s="14" t="s">
        <v>18</v>
      </c>
      <c r="B12" s="15" t="s">
        <v>19</v>
      </c>
      <c r="C12" s="16">
        <v>289.5</v>
      </c>
      <c r="D12" s="16">
        <v>263.8</v>
      </c>
      <c r="E12" s="16">
        <v>373.4</v>
      </c>
      <c r="F12" s="16">
        <v>412.31</v>
      </c>
    </row>
    <row r="13" spans="1:6" ht="26.1" customHeight="1">
      <c r="A13" s="17" t="s">
        <v>20</v>
      </c>
      <c r="B13" s="20" t="s">
        <v>21</v>
      </c>
      <c r="C13" s="21">
        <v>27.1</v>
      </c>
      <c r="D13" s="21">
        <v>31.4</v>
      </c>
      <c r="E13" s="21">
        <v>27.7</v>
      </c>
      <c r="F13" s="21">
        <v>34.1</v>
      </c>
    </row>
    <row r="14" spans="1:6" ht="26.1" customHeight="1">
      <c r="A14" s="17" t="s">
        <v>22</v>
      </c>
      <c r="B14" s="18" t="s">
        <v>23</v>
      </c>
      <c r="C14" s="21">
        <v>20.7</v>
      </c>
      <c r="D14" s="21">
        <v>14</v>
      </c>
      <c r="E14" s="21">
        <v>11.8</v>
      </c>
      <c r="F14" s="21">
        <v>46.2</v>
      </c>
    </row>
    <row r="15" spans="1:6" ht="26.1" customHeight="1">
      <c r="A15" s="17" t="s">
        <v>24</v>
      </c>
      <c r="B15" s="18" t="s">
        <v>25</v>
      </c>
      <c r="C15" s="19">
        <v>6</v>
      </c>
      <c r="D15" s="19">
        <v>3.1</v>
      </c>
      <c r="E15" s="19">
        <v>24.2</v>
      </c>
      <c r="F15" s="19">
        <v>29</v>
      </c>
    </row>
    <row r="16" spans="1:6" ht="26.1" customHeight="1">
      <c r="A16" s="17" t="s">
        <v>26</v>
      </c>
      <c r="B16" s="18" t="s">
        <v>27</v>
      </c>
      <c r="C16" s="19">
        <v>7.2</v>
      </c>
      <c r="D16" s="19">
        <v>5.2</v>
      </c>
      <c r="E16" s="19">
        <v>5.7</v>
      </c>
      <c r="F16" s="19">
        <v>8.1999999999999993</v>
      </c>
    </row>
    <row r="17" spans="1:6" ht="26.1" customHeight="1">
      <c r="A17" s="17" t="s">
        <v>28</v>
      </c>
      <c r="B17" s="20" t="s">
        <v>29</v>
      </c>
      <c r="C17" s="19">
        <v>1.3</v>
      </c>
      <c r="D17" s="19">
        <v>1.7</v>
      </c>
      <c r="E17" s="19">
        <v>0.9</v>
      </c>
      <c r="F17" s="19">
        <v>3.6</v>
      </c>
    </row>
    <row r="18" spans="1:6" ht="26.1" customHeight="1">
      <c r="A18" s="17" t="s">
        <v>30</v>
      </c>
      <c r="B18" s="18" t="s">
        <v>31</v>
      </c>
      <c r="C18" s="19">
        <v>56.7</v>
      </c>
      <c r="D18" s="19">
        <v>42.2</v>
      </c>
      <c r="E18" s="19">
        <v>34.9</v>
      </c>
      <c r="F18" s="19">
        <v>43.3</v>
      </c>
    </row>
    <row r="19" spans="1:6" ht="26.1" customHeight="1">
      <c r="A19" s="17" t="s">
        <v>32</v>
      </c>
      <c r="B19" s="18" t="s">
        <v>33</v>
      </c>
      <c r="C19" s="19">
        <v>0.2</v>
      </c>
      <c r="D19" s="19">
        <v>0.4</v>
      </c>
      <c r="E19" s="19">
        <v>0.2</v>
      </c>
      <c r="F19" s="19">
        <v>0.3</v>
      </c>
    </row>
    <row r="20" spans="1:6" ht="26.1" customHeight="1">
      <c r="A20" s="14" t="s">
        <v>34</v>
      </c>
      <c r="B20" s="15" t="s">
        <v>35</v>
      </c>
      <c r="C20" s="16">
        <v>523.70000000000005</v>
      </c>
      <c r="D20" s="16">
        <v>490.9</v>
      </c>
      <c r="E20" s="16">
        <v>476.7</v>
      </c>
      <c r="F20" s="16">
        <v>504.5</v>
      </c>
    </row>
    <row r="21" spans="1:6" ht="26.1" customHeight="1">
      <c r="A21" s="17" t="s">
        <v>36</v>
      </c>
      <c r="B21" s="18" t="s">
        <v>37</v>
      </c>
      <c r="C21" s="21">
        <v>46.4</v>
      </c>
      <c r="D21" s="21">
        <v>51.7</v>
      </c>
      <c r="E21" s="21">
        <v>46.2</v>
      </c>
      <c r="F21" s="21">
        <v>41.8</v>
      </c>
    </row>
    <row r="22" spans="1:6" ht="26.1" customHeight="1">
      <c r="A22" s="17" t="s">
        <v>38</v>
      </c>
      <c r="B22" s="18" t="s">
        <v>39</v>
      </c>
      <c r="C22" s="21">
        <v>6.1</v>
      </c>
      <c r="D22" s="21">
        <v>6.3</v>
      </c>
      <c r="E22" s="21">
        <v>6</v>
      </c>
      <c r="F22" s="21">
        <v>8.4</v>
      </c>
    </row>
    <row r="23" spans="1:6" ht="26.1" customHeight="1">
      <c r="A23" s="17" t="s">
        <v>40</v>
      </c>
      <c r="B23" s="18" t="s">
        <v>41</v>
      </c>
      <c r="C23" s="21">
        <v>30</v>
      </c>
      <c r="D23" s="21">
        <v>25.3</v>
      </c>
      <c r="E23" s="21">
        <v>33.799999999999997</v>
      </c>
      <c r="F23" s="21">
        <v>24.6</v>
      </c>
    </row>
    <row r="24" spans="1:6" ht="26.1" customHeight="1">
      <c r="A24" s="17" t="s">
        <v>42</v>
      </c>
      <c r="B24" s="18" t="s">
        <v>43</v>
      </c>
      <c r="C24" s="21">
        <v>18.899999999999999</v>
      </c>
      <c r="D24" s="21">
        <v>19.3</v>
      </c>
      <c r="E24" s="21">
        <v>24.2</v>
      </c>
      <c r="F24" s="21">
        <v>28.8</v>
      </c>
    </row>
    <row r="25" spans="1:6" ht="26.1" customHeight="1">
      <c r="A25" s="17" t="s">
        <v>44</v>
      </c>
      <c r="B25" s="20" t="s">
        <v>45</v>
      </c>
      <c r="C25" s="21">
        <v>123.8</v>
      </c>
      <c r="D25" s="21">
        <v>148.9</v>
      </c>
      <c r="E25" s="21">
        <v>119.1</v>
      </c>
      <c r="F25" s="21">
        <v>127.2</v>
      </c>
    </row>
    <row r="26" spans="1:6" ht="26.1" customHeight="1">
      <c r="A26" s="14" t="s">
        <v>46</v>
      </c>
      <c r="B26" s="15" t="s">
        <v>47</v>
      </c>
      <c r="C26" s="16">
        <v>2718.7</v>
      </c>
      <c r="D26" s="16">
        <v>2641.8</v>
      </c>
      <c r="E26" s="16">
        <v>2470.6</v>
      </c>
      <c r="F26" s="16">
        <v>2646.5</v>
      </c>
    </row>
    <row r="27" spans="1:6" ht="26.1" customHeight="1">
      <c r="A27" s="17" t="s">
        <v>48</v>
      </c>
      <c r="B27" s="18" t="s">
        <v>49</v>
      </c>
      <c r="C27" s="19">
        <v>2.4</v>
      </c>
      <c r="D27" s="19">
        <v>8.5</v>
      </c>
      <c r="E27" s="19">
        <v>18.100000000000001</v>
      </c>
      <c r="F27" s="19">
        <v>23.9</v>
      </c>
    </row>
    <row r="28" spans="1:6" ht="26.1" customHeight="1">
      <c r="A28" s="17" t="s">
        <v>50</v>
      </c>
      <c r="B28" s="18" t="s">
        <v>51</v>
      </c>
      <c r="C28" s="19">
        <v>78.7</v>
      </c>
      <c r="D28" s="19">
        <v>94.4</v>
      </c>
      <c r="E28" s="19">
        <v>75.8</v>
      </c>
      <c r="F28" s="19">
        <v>94.3</v>
      </c>
    </row>
    <row r="29" spans="1:6" ht="26.1" customHeight="1">
      <c r="A29" s="17" t="s">
        <v>52</v>
      </c>
      <c r="B29" s="18" t="s">
        <v>53</v>
      </c>
      <c r="C29" s="19">
        <v>4.5</v>
      </c>
      <c r="D29" s="19">
        <v>3.4</v>
      </c>
      <c r="E29" s="19">
        <v>4.9000000000000004</v>
      </c>
      <c r="F29" s="19">
        <v>5.8</v>
      </c>
    </row>
    <row r="30" spans="1:6" ht="26.1" customHeight="1">
      <c r="A30" s="17" t="s">
        <v>54</v>
      </c>
      <c r="B30" s="18" t="s">
        <v>55</v>
      </c>
      <c r="C30" s="19">
        <v>95.1</v>
      </c>
      <c r="D30" s="19">
        <v>100.5</v>
      </c>
      <c r="E30" s="19">
        <v>104.8</v>
      </c>
      <c r="F30" s="19">
        <v>79.800000000000068</v>
      </c>
    </row>
    <row r="31" spans="1:6" ht="26.1" customHeight="1">
      <c r="A31" s="17" t="s">
        <v>56</v>
      </c>
      <c r="B31" s="18" t="s">
        <v>57</v>
      </c>
      <c r="C31" s="19">
        <v>223.6</v>
      </c>
      <c r="D31" s="19">
        <v>240.7</v>
      </c>
      <c r="E31" s="19">
        <v>218.1</v>
      </c>
      <c r="F31" s="19">
        <v>167.7</v>
      </c>
    </row>
    <row r="32" spans="1:6" ht="26.1" customHeight="1">
      <c r="A32" s="17" t="s">
        <v>58</v>
      </c>
      <c r="B32" s="18" t="s">
        <v>59</v>
      </c>
      <c r="C32" s="19">
        <v>39.5</v>
      </c>
      <c r="D32" s="19">
        <v>39.799999999999997</v>
      </c>
      <c r="E32" s="19">
        <v>37</v>
      </c>
      <c r="F32" s="19">
        <v>43.2</v>
      </c>
    </row>
    <row r="33" spans="1:6" ht="26.1" customHeight="1">
      <c r="A33" s="17" t="s">
        <v>60</v>
      </c>
      <c r="B33" s="18" t="s">
        <v>61</v>
      </c>
      <c r="C33" s="19">
        <v>72.3</v>
      </c>
      <c r="D33" s="19">
        <v>85.9</v>
      </c>
      <c r="E33" s="19">
        <v>100.8</v>
      </c>
      <c r="F33" s="19">
        <v>130.30000000000001</v>
      </c>
    </row>
    <row r="34" spans="1:6" ht="26.1" customHeight="1">
      <c r="A34" s="17" t="s">
        <v>62</v>
      </c>
      <c r="B34" s="18" t="s">
        <v>63</v>
      </c>
      <c r="C34" s="19">
        <v>59.6</v>
      </c>
      <c r="D34" s="19">
        <v>40.5</v>
      </c>
      <c r="E34" s="19">
        <v>52</v>
      </c>
      <c r="F34" s="19">
        <v>61.4</v>
      </c>
    </row>
    <row r="35" spans="1:6" ht="26.1" customHeight="1">
      <c r="A35" s="17" t="s">
        <v>64</v>
      </c>
      <c r="B35" s="18" t="s">
        <v>65</v>
      </c>
      <c r="C35" s="19">
        <v>181</v>
      </c>
      <c r="D35" s="19">
        <v>186.2</v>
      </c>
      <c r="E35" s="19">
        <v>164.2</v>
      </c>
      <c r="F35" s="19">
        <v>186.3</v>
      </c>
    </row>
    <row r="36" spans="1:6" ht="26.1" customHeight="1">
      <c r="A36" s="17" t="s">
        <v>66</v>
      </c>
      <c r="B36" s="18" t="s">
        <v>67</v>
      </c>
      <c r="C36" s="19">
        <v>163.30000000000001</v>
      </c>
      <c r="D36" s="19">
        <v>204.3</v>
      </c>
      <c r="E36" s="19">
        <v>191.9</v>
      </c>
      <c r="F36" s="19">
        <v>223.1</v>
      </c>
    </row>
    <row r="37" spans="1:6" ht="26.1" customHeight="1">
      <c r="A37" s="22" t="s">
        <v>68</v>
      </c>
      <c r="B37" s="23" t="s">
        <v>69</v>
      </c>
      <c r="C37" s="24">
        <v>0.89999999999991331</v>
      </c>
      <c r="D37" s="24">
        <v>1.1000000000000001</v>
      </c>
      <c r="E37" s="24">
        <v>0.8</v>
      </c>
      <c r="F37" s="24">
        <v>1.2</v>
      </c>
    </row>
    <row r="38" spans="1:6" ht="26.1" customHeight="1">
      <c r="A38" s="25"/>
      <c r="B38" s="26"/>
      <c r="C38" s="27"/>
      <c r="D38" s="27"/>
      <c r="E38" s="27"/>
      <c r="F38" s="27"/>
    </row>
    <row r="39" spans="1:6" ht="26.1" customHeight="1">
      <c r="A39" s="28" t="s">
        <v>70</v>
      </c>
      <c r="B39" s="26" t="s">
        <v>71</v>
      </c>
      <c r="C39" s="29"/>
      <c r="D39" s="29"/>
      <c r="E39" s="29"/>
      <c r="F39" s="29"/>
    </row>
    <row r="40" spans="1:6" ht="26.1" customHeight="1">
      <c r="A40" s="28" t="s">
        <v>72</v>
      </c>
      <c r="B40" s="26" t="s">
        <v>73</v>
      </c>
      <c r="C40" s="30"/>
      <c r="D40" s="30"/>
      <c r="E40" s="30"/>
      <c r="F40" s="30"/>
    </row>
    <row r="41" spans="1:6" ht="26.1" customHeight="1">
      <c r="A41" s="31" t="s">
        <v>74</v>
      </c>
      <c r="B41" s="26" t="s">
        <v>75</v>
      </c>
      <c r="C41" s="32"/>
      <c r="D41" s="32"/>
      <c r="E41" s="32"/>
      <c r="F41" s="32"/>
    </row>
    <row r="42" spans="1:6">
      <c r="A42" s="33"/>
      <c r="B42" s="34"/>
      <c r="C42" s="35"/>
      <c r="D42" s="33"/>
      <c r="E42" s="33"/>
      <c r="F42" s="33"/>
    </row>
    <row r="43" spans="1:6">
      <c r="A43" s="36"/>
      <c r="B43" s="36"/>
      <c r="C43" s="37"/>
      <c r="D43" s="36"/>
      <c r="E43" s="36"/>
      <c r="F43" s="36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5" right="0.75" top="1" bottom="1" header="0.5" footer="0.5"/>
  <pageSetup paperSize="9" scale="41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7NQWTN4WQ7WA-971242747-779</_dlc_DocId>
    <_dlc_DocIdUrl xmlns="806035d9-ad3b-44db-92a1-1ed4b9daec3e">
      <Url>http://cbe-test-spsql:4050/_layouts/15/DocIdRedir.aspx?ID=7NQWTN4WQ7WA-971242747-779</Url>
      <Description>7NQWTN4WQ7WA-971242747-779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4EC004-7495-4F1A-B349-EAC9A2717B5A}"/>
</file>

<file path=customXml/itemProps2.xml><?xml version="1.0" encoding="utf-8"?>
<ds:datastoreItem xmlns:ds="http://schemas.openxmlformats.org/officeDocument/2006/customXml" ds:itemID="{BAEEFA85-7938-42BE-ADBD-F7BCCF7E8576}"/>
</file>

<file path=customXml/itemProps3.xml><?xml version="1.0" encoding="utf-8"?>
<ds:datastoreItem xmlns:ds="http://schemas.openxmlformats.org/officeDocument/2006/customXml" ds:itemID="{F06EE014-5D92-465B-9D33-CF3CDB32EC56}"/>
</file>

<file path=customXml/itemProps4.xml><?xml version="1.0" encoding="utf-8"?>
<ds:datastoreItem xmlns:ds="http://schemas.openxmlformats.org/officeDocument/2006/customXml" ds:itemID="{BAEEFA85-7938-42BE-ADBD-F7BCCF7E85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06E29FD-5012-4580-8A31-AF0859548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2012-2013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MerchandiseExports_Quarter2012-2013</dc:title>
  <dc:creator>Internet Research</dc:creator>
  <cp:lastModifiedBy>Internet Research</cp:lastModifiedBy>
  <dcterms:created xsi:type="dcterms:W3CDTF">2015-04-28T09:01:28Z</dcterms:created>
  <dcterms:modified xsi:type="dcterms:W3CDTF">2015-04-29T09:19:53Z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ec38d7da-000d-4bba-b978-594247b5dfde</vt:lpwstr>
  </property>
</Properties>
</file>