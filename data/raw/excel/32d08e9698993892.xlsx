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الزمنية مارس 2026\ext.debt\"/>
    </mc:Choice>
  </mc:AlternateContent>
  <xr:revisionPtr revIDLastSave="0" documentId="13_ncr:1_{3FBD347B-6263-44FD-B46F-0AE14345170F}" xr6:coauthVersionLast="47" xr6:coauthVersionMax="47" xr10:uidLastSave="{00000000-0000-0000-0000-000000000000}"/>
  <bookViews>
    <workbookView xWindow="-120" yWindow="-120" windowWidth="24240" windowHeight="13140" firstSheet="15" activeTab="20" xr2:uid="{00000000-000D-0000-FFFF-FFFF00000000}"/>
  </bookViews>
  <sheets>
    <sheet name="2004-2005" sheetId="2" r:id="rId1"/>
    <sheet name="2005-2006" sheetId="3" r:id="rId2"/>
    <sheet name="2006-2007" sheetId="4" r:id="rId3"/>
    <sheet name="2007-2008" sheetId="5" r:id="rId4"/>
    <sheet name="2008-2009" sheetId="6" r:id="rId5"/>
    <sheet name="2009-2010" sheetId="7" r:id="rId6"/>
    <sheet name="2010-2011" sheetId="8" r:id="rId7"/>
    <sheet name="2011-2012" sheetId="9" r:id="rId8"/>
    <sheet name="2012-2013" sheetId="10" r:id="rId9"/>
    <sheet name="2013-2014" sheetId="11" r:id="rId10"/>
    <sheet name="2014-2015" sheetId="12" r:id="rId11"/>
    <sheet name="2015-2016 " sheetId="15" r:id="rId12"/>
    <sheet name="2016-2017" sheetId="14" r:id="rId13"/>
    <sheet name="2017-2018" sheetId="16" r:id="rId14"/>
    <sheet name="2018-2019" sheetId="17" r:id="rId15"/>
    <sheet name="2019-2020" sheetId="19" r:id="rId16"/>
    <sheet name="2020-2021" sheetId="20" r:id="rId17"/>
    <sheet name="2021-2022" sheetId="21" r:id="rId18"/>
    <sheet name="2022-2023 " sheetId="22" r:id="rId19"/>
    <sheet name="2023-2024 " sheetId="23" r:id="rId20"/>
    <sheet name="2024-2025 " sheetId="24" r:id="rId21"/>
    <sheet name="2025-2026" sheetId="25" r:id="rId22"/>
  </sheets>
  <definedNames>
    <definedName name="_xlnm.Print_Area" localSheetId="0">'2004-2005'!$A$1:$F$30</definedName>
    <definedName name="_xlnm.Print_Area" localSheetId="1">'2005-2006'!$A$1:$F$32</definedName>
    <definedName name="_xlnm.Print_Area" localSheetId="2">'2006-2007'!$A$1:$F$31</definedName>
    <definedName name="_xlnm.Print_Area" localSheetId="3">'2007-2008'!$A$1:$F$31</definedName>
    <definedName name="_xlnm.Print_Area" localSheetId="4">'2008-2009'!$A$1:$F$31</definedName>
    <definedName name="_xlnm.Print_Area" localSheetId="5">'2009-2010'!$A$1:$F$31</definedName>
    <definedName name="_xlnm.Print_Area" localSheetId="6">'2010-2011'!$A$1:$F$31</definedName>
    <definedName name="_xlnm.Print_Area" localSheetId="7">'2011-2012'!$A$1:$F$31</definedName>
    <definedName name="_xlnm.Print_Area" localSheetId="8">'2012-2013'!$A$1:$F$31</definedName>
    <definedName name="_xlnm.Print_Area" localSheetId="9">'2013-2014'!$A$1:$F$31</definedName>
    <definedName name="_xlnm.Print_Area" localSheetId="10">'2014-2015'!$A$1:$G$31</definedName>
    <definedName name="_xlnm.Print_Area" localSheetId="11">'2015-2016 '!$A$1:$G$33</definedName>
    <definedName name="_xlnm.Print_Area" localSheetId="12">'2016-2017'!$A$1:$G$34</definedName>
    <definedName name="_xlnm.Print_Area" localSheetId="13">'2017-2018'!$A$1:$F$32</definedName>
    <definedName name="_xlnm.Print_Area" localSheetId="14">'2018-2019'!$A$1:$J$32</definedName>
    <definedName name="_xlnm.Print_Area" localSheetId="15">'2019-2020'!$A$1:$G$32</definedName>
    <definedName name="_xlnm.Print_Area" localSheetId="16">'2020-2021'!$A$1:$G$32</definedName>
    <definedName name="_xlnm.Print_Area" localSheetId="17">'2021-2022'!$A$2:$F$34</definedName>
    <definedName name="_xlnm.Print_Area" localSheetId="18">'2022-2023 '!$A$2:$F$34</definedName>
    <definedName name="_xlnm.Print_Area" localSheetId="20">'2024-2025 '!$A$1:$F$33</definedName>
    <definedName name="_xlnm.Print_Area" localSheetId="21">'2025-2026'!$A$1:$F$34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2" l="1"/>
  <c r="E8" i="12"/>
  <c r="F8" i="12"/>
  <c r="C8" i="12"/>
  <c r="D8" i="11"/>
  <c r="E8" i="11"/>
  <c r="F8" i="11"/>
  <c r="C8" i="11"/>
  <c r="D8" i="10"/>
  <c r="E8" i="10"/>
  <c r="F8" i="10"/>
  <c r="C8" i="10"/>
  <c r="D8" i="9"/>
  <c r="E8" i="9"/>
  <c r="F8" i="9"/>
  <c r="C8" i="9"/>
  <c r="D8" i="8"/>
  <c r="E8" i="8"/>
  <c r="F8" i="8"/>
  <c r="C8" i="8"/>
  <c r="D8" i="7"/>
  <c r="E8" i="7"/>
  <c r="F8" i="7"/>
  <c r="C8" i="7"/>
  <c r="D8" i="6"/>
  <c r="E8" i="6"/>
  <c r="F8" i="6"/>
  <c r="C8" i="6"/>
  <c r="D8" i="5"/>
  <c r="E8" i="5"/>
  <c r="F8" i="5"/>
  <c r="C8" i="5"/>
  <c r="D8" i="4"/>
  <c r="E8" i="4"/>
  <c r="F8" i="4"/>
  <c r="C8" i="4"/>
  <c r="D8" i="3"/>
  <c r="E8" i="3"/>
  <c r="F8" i="3"/>
  <c r="C8" i="3"/>
  <c r="D8" i="2"/>
  <c r="E8" i="2"/>
  <c r="F8" i="2"/>
  <c r="C8" i="2"/>
</calcChain>
</file>

<file path=xl/sharedStrings.xml><?xml version="1.0" encoding="utf-8"?>
<sst xmlns="http://schemas.openxmlformats.org/spreadsheetml/2006/main" count="1208" uniqueCount="162">
  <si>
    <t xml:space="preserve">External Debt </t>
  </si>
  <si>
    <t xml:space="preserve">فى آخر    </t>
  </si>
  <si>
    <t xml:space="preserve">End of      </t>
  </si>
  <si>
    <t>إجمالى الدين الخارجى**</t>
  </si>
  <si>
    <t>Total External Debt **</t>
  </si>
  <si>
    <t xml:space="preserve"> القروض الثنائية المعاد جدولتها +</t>
  </si>
  <si>
    <r>
      <t>Rescheduled bilateral debt</t>
    </r>
    <r>
      <rPr>
        <vertAlign val="superscript"/>
        <sz val="14"/>
        <rFont val="Arial"/>
        <family val="2"/>
      </rPr>
      <t>+</t>
    </r>
  </si>
  <si>
    <t xml:space="preserve">الميسرة </t>
  </si>
  <si>
    <t xml:space="preserve">    ODA</t>
  </si>
  <si>
    <t>غير الميسرة</t>
  </si>
  <si>
    <t xml:space="preserve">    Non-ODA</t>
  </si>
  <si>
    <t xml:space="preserve"> : القروض الثنائية الاخرى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</si>
  <si>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</si>
  <si>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</si>
  <si>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</si>
  <si>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</si>
  <si>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</si>
  <si>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t>المؤسسات الدولية والاقليمية</t>
  </si>
  <si>
    <t>International &amp; regional organizations</t>
  </si>
  <si>
    <t>تسهيلات المشترين و الموردين</t>
  </si>
  <si>
    <t>Suppliers' &amp; buyers' credit</t>
  </si>
  <si>
    <t>سندات وصكوك مصرية</t>
  </si>
  <si>
    <t>Egyptian bonds and notes</t>
  </si>
  <si>
    <t>ودائع طويلة الأجل</t>
  </si>
  <si>
    <t xml:space="preserve">Long -Term Deposits </t>
  </si>
  <si>
    <t>الدين قصير الأجل</t>
  </si>
  <si>
    <t>Short-term debt</t>
  </si>
  <si>
    <t xml:space="preserve">الودائع </t>
  </si>
  <si>
    <t xml:space="preserve">    Deposits </t>
  </si>
  <si>
    <t>تسهيلات أخرى</t>
  </si>
  <si>
    <t xml:space="preserve">    Other facilities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</si>
  <si>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</si>
  <si>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</si>
  <si>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</si>
  <si>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</si>
  <si>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الفوائد  المدفوعة#</t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</si>
  <si>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</si>
  <si>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</si>
  <si>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</si>
  <si>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</si>
  <si>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</si>
  <si>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**    The difference from World Bank data is in short-term debt.</t>
  </si>
  <si>
    <t>+     According to the agreement signed with Paris Club countries on 25/5/1991.</t>
  </si>
  <si>
    <t>#    Including interest payments on Egyptian bonds and notes floated abroad.</t>
  </si>
  <si>
    <t xml:space="preserve"> (US$ mn)</t>
  </si>
  <si>
    <t>2004/2005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</si>
  <si>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</si>
  <si>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</si>
  <si>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</si>
  <si>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</si>
  <si>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</si>
  <si>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</si>
  <si>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</si>
  <si>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</si>
  <si>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2005/2006</t>
  </si>
  <si>
    <t>2006/2007</t>
  </si>
  <si>
    <t>2007/2008</t>
  </si>
  <si>
    <t>2008/2009</t>
  </si>
  <si>
    <t>2009/2010</t>
  </si>
  <si>
    <t>2010/2011</t>
  </si>
  <si>
    <t>89,0</t>
  </si>
  <si>
    <t>2011/2012</t>
  </si>
  <si>
    <t>2012/2013</t>
  </si>
  <si>
    <t>2013/2014</t>
  </si>
  <si>
    <r>
      <t>Rescheduled bilateral debt</t>
    </r>
    <r>
      <rPr>
        <vertAlign val="superscript"/>
        <sz val="12"/>
        <rFont val="Arial"/>
        <family val="2"/>
      </rPr>
      <t>+</t>
    </r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</si>
  <si>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</si>
  <si>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</si>
  <si>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2014/2015</t>
  </si>
  <si>
    <t>2015/2016</t>
  </si>
  <si>
    <r>
      <t>تسهيلات أخرى</t>
    </r>
    <r>
      <rPr>
        <b/>
        <vertAlign val="superscript"/>
        <sz val="14"/>
        <color rgb="FF0000CC"/>
        <rFont val="Arial"/>
        <family val="2"/>
      </rPr>
      <t>+++</t>
    </r>
  </si>
  <si>
    <r>
      <t xml:space="preserve">    Other facilities</t>
    </r>
    <r>
      <rPr>
        <vertAlign val="superscript"/>
        <sz val="14"/>
        <color rgb="FF0000CC"/>
        <rFont val="Arial"/>
        <family val="2"/>
      </rPr>
      <t>+++</t>
    </r>
  </si>
  <si>
    <t>+++ Cartain amounts have been reclassified as loans, instead of deposits, under short-term debt item.</t>
  </si>
  <si>
    <t>+++ Certain amounts have been reclassified as loans, instead of deposits, under short-term debt item.</t>
  </si>
  <si>
    <r>
      <t>2785.8</t>
    </r>
    <r>
      <rPr>
        <vertAlign val="superscript"/>
        <sz val="14"/>
        <color rgb="FF0000CC"/>
        <rFont val="Arial"/>
        <family val="2"/>
      </rPr>
      <t>++</t>
    </r>
  </si>
  <si>
    <r>
      <t>2549.2</t>
    </r>
    <r>
      <rPr>
        <vertAlign val="superscript"/>
        <sz val="14"/>
        <color rgb="FF0000CC"/>
        <rFont val="Arial"/>
        <family val="2"/>
      </rPr>
      <t>++</t>
    </r>
  </si>
  <si>
    <r>
      <t>2866.3</t>
    </r>
    <r>
      <rPr>
        <vertAlign val="superscript"/>
        <sz val="14"/>
        <color rgb="FF0000CC"/>
        <rFont val="Arial"/>
        <family val="2"/>
      </rPr>
      <t>++</t>
    </r>
  </si>
  <si>
    <r>
      <t>2861.6</t>
    </r>
    <r>
      <rPr>
        <vertAlign val="superscript"/>
        <sz val="14"/>
        <color rgb="FF0000CC"/>
        <rFont val="Arial"/>
        <family val="2"/>
      </rPr>
      <t>++</t>
    </r>
  </si>
  <si>
    <t>++ Liquidity Support Facility (LSF) has been moved to Other bilateral debt to other countries instead of suppliers' &amp; buyers' credit.</t>
  </si>
  <si>
    <t xml:space="preserve">تسهيلات الموردين  والمشترين </t>
  </si>
  <si>
    <t>Suppliers' &amp; buyers'  credit</t>
  </si>
  <si>
    <r>
      <t>2956.4</t>
    </r>
    <r>
      <rPr>
        <vertAlign val="superscript"/>
        <sz val="14"/>
        <color rgb="FF0000CC"/>
        <rFont val="Arial"/>
        <family val="2"/>
      </rPr>
      <t>++</t>
    </r>
  </si>
  <si>
    <r>
      <t>2746.4</t>
    </r>
    <r>
      <rPr>
        <vertAlign val="superscript"/>
        <sz val="14"/>
        <color rgb="FF0000CC"/>
        <rFont val="Arial"/>
        <family val="2"/>
      </rPr>
      <t>++</t>
    </r>
  </si>
  <si>
    <r>
      <t>2859.4</t>
    </r>
    <r>
      <rPr>
        <vertAlign val="superscript"/>
        <sz val="14"/>
        <color rgb="FF0000CC"/>
        <rFont val="Arial"/>
        <family val="2"/>
      </rPr>
      <t>++</t>
    </r>
  </si>
  <si>
    <r>
      <t>2851.6</t>
    </r>
    <r>
      <rPr>
        <vertAlign val="superscript"/>
        <sz val="14"/>
        <color rgb="FF0000CC"/>
        <rFont val="Arial"/>
        <family val="2"/>
      </rPr>
      <t>++</t>
    </r>
  </si>
  <si>
    <r>
      <t>3028.1</t>
    </r>
    <r>
      <rPr>
        <vertAlign val="superscript"/>
        <sz val="14"/>
        <color rgb="FF0000CC"/>
        <rFont val="Arial"/>
        <family val="2"/>
      </rPr>
      <t>++</t>
    </r>
  </si>
  <si>
    <r>
      <t>3213.5</t>
    </r>
    <r>
      <rPr>
        <vertAlign val="superscript"/>
        <sz val="14"/>
        <color rgb="FF0000CC"/>
        <rFont val="Arial"/>
        <family val="2"/>
      </rPr>
      <t>++</t>
    </r>
  </si>
  <si>
    <t>++  Including Liquidity Support Facility agreement provided by China Development Bank to the Central Bank of Egypt.</t>
  </si>
  <si>
    <t>Multilateral Institutions</t>
  </si>
  <si>
    <t xml:space="preserve">ودائع </t>
  </si>
  <si>
    <t xml:space="preserve"> Deposits </t>
  </si>
  <si>
    <t xml:space="preserve"> عملات و ودائع </t>
  </si>
  <si>
    <t xml:space="preserve">     Currency &amp; Deposits </t>
  </si>
  <si>
    <t xml:space="preserve"> قروض و تسهيلات </t>
  </si>
  <si>
    <t xml:space="preserve">     Loans &amp; Trade Credits</t>
  </si>
  <si>
    <t>#    Including interest payments on sovereign bonds floated abroad.</t>
  </si>
  <si>
    <t xml:space="preserve">سندات </t>
  </si>
  <si>
    <t xml:space="preserve"> Bonds</t>
  </si>
  <si>
    <t>2017/2018</t>
  </si>
  <si>
    <t>2016/2017</t>
  </si>
  <si>
    <t xml:space="preserve"> Bonds </t>
  </si>
  <si>
    <t xml:space="preserve">المؤسسات الدولية </t>
  </si>
  <si>
    <t>ودائع</t>
  </si>
  <si>
    <t>+   According to the agreement signed with Paris Club countries on 25/5/1991.</t>
  </si>
  <si>
    <t xml:space="preserve"> عملات وودائع </t>
  </si>
  <si>
    <t xml:space="preserve"> قروض وتسهيلات </t>
  </si>
  <si>
    <r>
      <t xml:space="preserve">  </t>
    </r>
    <r>
      <rPr>
        <b/>
        <sz val="14"/>
        <rFont val="Arial"/>
        <family val="2"/>
        <charset val="178"/>
      </rPr>
      <t>القروض الثنائية الاخرى</t>
    </r>
  </si>
  <si>
    <r>
      <t xml:space="preserve"> القروض الثنائية المعاد جدولتها </t>
    </r>
    <r>
      <rPr>
        <b/>
        <vertAlign val="superscript"/>
        <sz val="14"/>
        <rFont val="Arial"/>
        <family val="2"/>
      </rPr>
      <t>+</t>
    </r>
  </si>
  <si>
    <r>
      <t>4257.8</t>
    </r>
    <r>
      <rPr>
        <vertAlign val="superscript"/>
        <sz val="14"/>
        <color rgb="FF0000CC"/>
        <rFont val="Arial"/>
        <family val="2"/>
      </rPr>
      <t>++</t>
    </r>
  </si>
  <si>
    <r>
      <t>الفوائد  المدفوعة</t>
    </r>
    <r>
      <rPr>
        <b/>
        <vertAlign val="superscript"/>
        <sz val="14"/>
        <color rgb="FF0000CC"/>
        <rFont val="Arial"/>
        <family val="2"/>
      </rPr>
      <t>#</t>
    </r>
  </si>
  <si>
    <t>المؤسسات الدولية</t>
  </si>
  <si>
    <r>
      <t>الفوائد  المدفوعة</t>
    </r>
    <r>
      <rPr>
        <vertAlign val="superscript"/>
        <sz val="14"/>
        <color rgb="FF0000CC"/>
        <rFont val="Arial"/>
        <family val="2"/>
      </rPr>
      <t>#</t>
    </r>
  </si>
  <si>
    <t>إجمالى الدين الخارجى</t>
  </si>
  <si>
    <t xml:space="preserve">Total External Debt </t>
  </si>
  <si>
    <t xml:space="preserve">إعادة شراء أوراق مالية </t>
  </si>
  <si>
    <t xml:space="preserve"> Repo</t>
  </si>
  <si>
    <r>
      <t>4462.5</t>
    </r>
    <r>
      <rPr>
        <vertAlign val="superscript"/>
        <sz val="14"/>
        <color rgb="FF0000CC"/>
        <rFont val="Arial"/>
        <family val="2"/>
      </rPr>
      <t>++</t>
    </r>
  </si>
  <si>
    <t>#    Including interest payments on bonds floated abroad.</t>
  </si>
  <si>
    <r>
      <t>Rescheduled bilateral debt</t>
    </r>
    <r>
      <rPr>
        <b/>
        <vertAlign val="superscript"/>
        <sz val="14"/>
        <rFont val="Arial"/>
        <family val="2"/>
      </rPr>
      <t>+</t>
    </r>
  </si>
  <si>
    <r>
      <t>4543.1</t>
    </r>
    <r>
      <rPr>
        <vertAlign val="superscript"/>
        <sz val="14"/>
        <color rgb="FF0000CC"/>
        <rFont val="Arial"/>
        <family val="2"/>
      </rPr>
      <t>++</t>
    </r>
  </si>
  <si>
    <r>
      <t>4611.3</t>
    </r>
    <r>
      <rPr>
        <vertAlign val="superscript"/>
        <sz val="14"/>
        <color rgb="FF0000CC"/>
        <rFont val="Arial"/>
        <family val="2"/>
      </rPr>
      <t>++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</si>
  <si>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</si>
  <si>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القروض الثنائية الاخرى</t>
  </si>
  <si>
    <t xml:space="preserve">الدين قصير الاجل </t>
  </si>
  <si>
    <t xml:space="preserve"> Loans &amp; Trade Credits</t>
  </si>
  <si>
    <t xml:space="preserve">    Other countries++</t>
  </si>
  <si>
    <t>الدول الأخرى++</t>
  </si>
  <si>
    <t>4585.7++</t>
  </si>
  <si>
    <t>4894.2++</t>
  </si>
  <si>
    <t>4779.6++</t>
  </si>
  <si>
    <t>4799.2++</t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</si>
  <si>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</si>
  <si>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</si>
  <si>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2019/2020</t>
  </si>
  <si>
    <t>2018/2019</t>
  </si>
  <si>
    <t>2020/2021</t>
  </si>
  <si>
    <t>Loans &amp; Trade Credits</t>
  </si>
  <si>
    <t xml:space="preserve">تسهيلات المشترين و الموردين </t>
  </si>
  <si>
    <t xml:space="preserve">Buyers' &amp;Suppliers' credit  </t>
  </si>
  <si>
    <r>
      <t xml:space="preserve"> عملات و ودائع </t>
    </r>
    <r>
      <rPr>
        <vertAlign val="superscript"/>
        <sz val="12"/>
        <rFont val="Arial"/>
        <family val="2"/>
      </rPr>
      <t>+++</t>
    </r>
  </si>
  <si>
    <r>
      <t>Currency &amp; Deposits</t>
    </r>
    <r>
      <rPr>
        <vertAlign val="superscript"/>
        <sz val="12"/>
        <rFont val="Arial"/>
        <family val="2"/>
      </rPr>
      <t xml:space="preserve"> +++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</si>
  <si>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</si>
  <si>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r>
      <t>الدول الأخرى</t>
    </r>
    <r>
      <rPr>
        <vertAlign val="superscript"/>
        <sz val="12"/>
        <rFont val="Arial"/>
        <family val="2"/>
      </rPr>
      <t>++</t>
    </r>
  </si>
  <si>
    <t>Bonds</t>
  </si>
  <si>
    <t>Repo</t>
  </si>
  <si>
    <t xml:space="preserve">Deposits </t>
  </si>
  <si>
    <t xml:space="preserve">  +++ Including the People's Bank of China's currency swap agreement, amounting to US$ 2686.9 mn at end of June 2022.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</si>
  <si>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</si>
  <si>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t>الأقساط المسددة</t>
  </si>
  <si>
    <r>
      <t>الفوائد المدفوعة</t>
    </r>
    <r>
      <rPr>
        <vertAlign val="superscript"/>
        <sz val="12"/>
        <rFont val="Arial"/>
        <family val="2"/>
      </rPr>
      <t>#</t>
    </r>
  </si>
  <si>
    <t>2021/2022</t>
  </si>
  <si>
    <t xml:space="preserve">  +++ Including the People's Bank of China's currency swap agreement, amounting to US$ 2487.8 mn at end of June 2023.</t>
  </si>
  <si>
    <t>2022/2023</t>
  </si>
  <si>
    <t xml:space="preserve">Buyers' &amp; Suppliers' credit  </t>
  </si>
  <si>
    <t xml:space="preserve">تسهيلات المشترين والموردين </t>
  </si>
  <si>
    <t xml:space="preserve">  +++ Includes Currency Swap Arrangements with China and United Arab Emirates at end of June 2024.</t>
  </si>
  <si>
    <t>Bonds &amp; Sukuk</t>
  </si>
  <si>
    <t>فى نهاية</t>
  </si>
  <si>
    <t>2023/2024</t>
  </si>
  <si>
    <t>سندات وصكوك</t>
  </si>
  <si>
    <t>2025/2026*</t>
  </si>
  <si>
    <t xml:space="preserve">   +++  Including Currency Swap Arrangements between the Central Bank of Egypt and international financial institutions.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</si>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</sst>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* #,##0.00\ _ج_._م_._‏_-;\-* #,##0.00\ _ج_._م_._‏_-;_-* &quot;-&quot;??\ _ج_._م_._‏_-;_-@_-"/>
    <numFmt numFmtId="170" formatCode="0.0"/>
    <numFmt numFmtId="171" formatCode="###0.0_);[Red]\(###0.0\)"/>
    <numFmt numFmtId="172" formatCode="_(* #.##0.00_);_(* \(#.##0.00\);_(* &quot;-&quot;??_);_(@_)"/>
    <numFmt numFmtId="173" formatCode="_-[$€]* #,##0.00_-;\-[$€]* #,##0.00_-;_-[$€]* &quot;-&quot;??_-;_-@_-"/>
  </numFmts>
  <fonts count="1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b/>
      <vertAlign val="superscript"/>
      <sz val="14"/>
      <color rgb="FF0000CC"/>
      <name val="Arial"/>
      <family val="2"/>
    </font>
    <font>
      <vertAlign val="superscript"/>
      <sz val="14"/>
      <color rgb="FF0000CC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name val="Arial"/>
      <family val="2"/>
    </font>
    <font>
      <b/>
      <vertAlign val="superscript"/>
      <sz val="14"/>
      <name val="Arial"/>
      <family val="2"/>
    </font>
    <font>
      <b/>
      <vertAlign val="superscript"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78"/>
      <scheme val="minor"/>
    </font>
    <font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u/>
      <sz val="12"/>
      <color rgb="FF993366"/>
      <name val="Arial"/>
      <family val="2"/>
    </font>
    <font>
      <sz val="12"/>
      <color rgb="FF99336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1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  <font>
      <b/>
      <u/>
      <sz val="12"/>
      <color rgb="FF993366"/>
      <name val="Arial"/>
      <family val="2"/>
      <charset val="178"/>
    </font>
    <font>
      <sz val="11"/>
      <name val="Arial"/>
      <family val="2"/>
      <charset val="178"/>
    </font>
  </fonts>
  <fills count="5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1">
    <xf numFmtId="0" fontId="0" fillId="0" borderId="0"/>
    <xf numFmtId="168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6" fillId="0" borderId="0"/>
    <xf numFmtId="0" fontId="28" fillId="0" borderId="0" applyNumberFormat="0">
      <alignment horizontal="right"/>
    </xf>
    <xf numFmtId="9" fontId="2" fillId="0" borderId="0" applyFont="0" applyFill="0" applyBorder="0" applyAlignment="0" applyProtection="0"/>
    <xf numFmtId="0" fontId="27" fillId="0" borderId="0"/>
    <xf numFmtId="165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/>
    <xf numFmtId="0" fontId="2" fillId="0" borderId="0"/>
    <xf numFmtId="0" fontId="49" fillId="36" borderId="0" applyNumberFormat="0" applyBorder="0" applyAlignment="0" applyProtection="0"/>
    <xf numFmtId="0" fontId="1" fillId="13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84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1" fillId="1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84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8" borderId="0" applyNumberFormat="0" applyBorder="0" applyAlignment="0" applyProtection="0"/>
    <xf numFmtId="0" fontId="1" fillId="21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84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1" fillId="25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84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1" fillId="29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84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1" borderId="0" applyNumberFormat="0" applyBorder="0" applyAlignment="0" applyProtection="0"/>
    <xf numFmtId="0" fontId="1" fillId="33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84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2" borderId="0" applyNumberFormat="0" applyBorder="0" applyAlignment="0" applyProtection="0"/>
    <xf numFmtId="0" fontId="1" fillId="14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84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1" fillId="18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84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1" fillId="22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84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39" borderId="0" applyNumberFormat="0" applyBorder="0" applyAlignment="0" applyProtection="0"/>
    <xf numFmtId="0" fontId="1" fillId="26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84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42" borderId="0" applyNumberFormat="0" applyBorder="0" applyAlignment="0" applyProtection="0"/>
    <xf numFmtId="0" fontId="1" fillId="30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84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5" borderId="0" applyNumberFormat="0" applyBorder="0" applyAlignment="0" applyProtection="0"/>
    <xf numFmtId="0" fontId="1" fillId="34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84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49" fillId="45" borderId="0" applyNumberFormat="0" applyBorder="0" applyAlignment="0" applyProtection="0"/>
    <xf numFmtId="0" fontId="50" fillId="46" borderId="0" applyNumberFormat="0" applyBorder="0" applyAlignment="0" applyProtection="0"/>
    <xf numFmtId="0" fontId="48" fillId="15" borderId="0" applyNumberFormat="0" applyBorder="0" applyAlignment="0" applyProtection="0"/>
    <xf numFmtId="0" fontId="68" fillId="46" borderId="0" applyNumberFormat="0" applyBorder="0" applyAlignment="0" applyProtection="0"/>
    <xf numFmtId="0" fontId="68" fillId="46" borderId="0" applyNumberFormat="0" applyBorder="0" applyAlignment="0" applyProtection="0"/>
    <xf numFmtId="0" fontId="86" fillId="46" borderId="0" applyNumberFormat="0" applyBorder="0" applyAlignment="0" applyProtection="0"/>
    <xf numFmtId="0" fontId="68" fillId="46" borderId="0" applyNumberFormat="0" applyBorder="0" applyAlignment="0" applyProtection="0"/>
    <xf numFmtId="0" fontId="68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3" borderId="0" applyNumberFormat="0" applyBorder="0" applyAlignment="0" applyProtection="0"/>
    <xf numFmtId="0" fontId="48" fillId="19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86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48" fillId="23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86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7" borderId="0" applyNumberFormat="0" applyBorder="0" applyAlignment="0" applyProtection="0"/>
    <xf numFmtId="0" fontId="48" fillId="2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86" fillId="4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8" fillId="31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86" fillId="4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9" borderId="0" applyNumberFormat="0" applyBorder="0" applyAlignment="0" applyProtection="0"/>
    <xf numFmtId="0" fontId="48" fillId="35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86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50" fillId="49" borderId="0" applyNumberFormat="0" applyBorder="0" applyAlignment="0" applyProtection="0"/>
    <xf numFmtId="0" fontId="50" fillId="50" borderId="0" applyNumberFormat="0" applyBorder="0" applyAlignment="0" applyProtection="0"/>
    <xf numFmtId="0" fontId="48" fillId="12" borderId="0" applyNumberFormat="0" applyBorder="0" applyAlignment="0" applyProtection="0"/>
    <xf numFmtId="0" fontId="68" fillId="50" borderId="0" applyNumberFormat="0" applyBorder="0" applyAlignment="0" applyProtection="0"/>
    <xf numFmtId="0" fontId="68" fillId="50" borderId="0" applyNumberFormat="0" applyBorder="0" applyAlignment="0" applyProtection="0"/>
    <xf numFmtId="0" fontId="86" fillId="50" borderId="0" applyNumberFormat="0" applyBorder="0" applyAlignment="0" applyProtection="0"/>
    <xf numFmtId="0" fontId="68" fillId="50" borderId="0" applyNumberFormat="0" applyBorder="0" applyAlignment="0" applyProtection="0"/>
    <xf numFmtId="0" fontId="68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48" fillId="16" borderId="0" applyNumberFormat="0" applyBorder="0" applyAlignment="0" applyProtection="0"/>
    <xf numFmtId="0" fontId="68" fillId="51" borderId="0" applyNumberFormat="0" applyBorder="0" applyAlignment="0" applyProtection="0"/>
    <xf numFmtId="0" fontId="68" fillId="51" borderId="0" applyNumberFormat="0" applyBorder="0" applyAlignment="0" applyProtection="0"/>
    <xf numFmtId="0" fontId="86" fillId="51" borderId="0" applyNumberFormat="0" applyBorder="0" applyAlignment="0" applyProtection="0"/>
    <xf numFmtId="0" fontId="68" fillId="51" borderId="0" applyNumberFormat="0" applyBorder="0" applyAlignment="0" applyProtection="0"/>
    <xf numFmtId="0" fontId="68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48" fillId="20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86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47" borderId="0" applyNumberFormat="0" applyBorder="0" applyAlignment="0" applyProtection="0"/>
    <xf numFmtId="0" fontId="48" fillId="24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86" fillId="4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8" fillId="2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86" fillId="4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53" borderId="0" applyNumberFormat="0" applyBorder="0" applyAlignment="0" applyProtection="0"/>
    <xf numFmtId="0" fontId="48" fillId="32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86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37" borderId="0" applyNumberFormat="0" applyBorder="0" applyAlignment="0" applyProtection="0"/>
    <xf numFmtId="0" fontId="38" fillId="6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87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51" fillId="37" borderId="0" applyNumberFormat="0" applyBorder="0" applyAlignment="0" applyProtection="0"/>
    <xf numFmtId="0" fontId="52" fillId="54" borderId="20" applyNumberFormat="0" applyAlignment="0" applyProtection="0"/>
    <xf numFmtId="0" fontId="42" fillId="9" borderId="14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88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52" fillId="54" borderId="20" applyNumberFormat="0" applyAlignment="0" applyProtection="0"/>
    <xf numFmtId="0" fontId="53" fillId="55" borderId="21" applyNumberFormat="0" applyAlignment="0" applyProtection="0"/>
    <xf numFmtId="0" fontId="44" fillId="10" borderId="17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89" fillId="55" borderId="21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53" fillId="55" borderId="21" applyNumberFormat="0" applyAlignment="0" applyProtection="0"/>
    <xf numFmtId="0" fontId="102" fillId="56" borderId="22">
      <alignment horizontal="left" vertical="center" indent="1"/>
    </xf>
    <xf numFmtId="169" fontId="2" fillId="0" borderId="0" applyFont="0" applyFill="0" applyBorder="0" applyAlignment="0" applyProtection="0"/>
    <xf numFmtId="164" fontId="4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03" fillId="0" borderId="0" applyFont="0" applyFill="0" applyBorder="0" applyAlignment="0" applyProtection="0"/>
    <xf numFmtId="43" fontId="67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66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38" borderId="0" applyNumberFormat="0" applyBorder="0" applyAlignment="0" applyProtection="0"/>
    <xf numFmtId="0" fontId="37" fillId="5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91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55" fillId="38" borderId="0" applyNumberFormat="0" applyBorder="0" applyAlignment="0" applyProtection="0"/>
    <xf numFmtId="0" fontId="56" fillId="0" borderId="23" applyNumberFormat="0" applyFill="0" applyAlignment="0" applyProtection="0"/>
    <xf numFmtId="0" fontId="34" fillId="0" borderId="11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92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56" fillId="0" borderId="23" applyNumberFormat="0" applyFill="0" applyAlignment="0" applyProtection="0"/>
    <xf numFmtId="0" fontId="57" fillId="0" borderId="24" applyNumberFormat="0" applyFill="0" applyAlignment="0" applyProtection="0"/>
    <xf numFmtId="0" fontId="35" fillId="0" borderId="12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9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57" fillId="0" borderId="24" applyNumberFormat="0" applyFill="0" applyAlignment="0" applyProtection="0"/>
    <xf numFmtId="0" fontId="58" fillId="0" borderId="25" applyNumberFormat="0" applyFill="0" applyAlignment="0" applyProtection="0"/>
    <xf numFmtId="0" fontId="36" fillId="0" borderId="13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25" applyNumberFormat="0" applyFill="0" applyAlignment="0" applyProtection="0"/>
    <xf numFmtId="0" fontId="94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41" borderId="20" applyNumberFormat="0" applyAlignment="0" applyProtection="0"/>
    <xf numFmtId="0" fontId="40" fillId="8" borderId="14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95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59" fillId="41" borderId="20" applyNumberFormat="0" applyAlignment="0" applyProtection="0"/>
    <xf numFmtId="0" fontId="60" fillId="0" borderId="26" applyNumberFormat="0" applyFill="0" applyAlignment="0" applyProtection="0"/>
    <xf numFmtId="0" fontId="43" fillId="0" borderId="1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60" fillId="0" borderId="26" applyNumberFormat="0" applyFill="0" applyAlignment="0" applyProtection="0"/>
    <xf numFmtId="0" fontId="96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60" fillId="0" borderId="26" applyNumberFormat="0" applyFill="0" applyAlignment="0" applyProtection="0"/>
    <xf numFmtId="0" fontId="78" fillId="0" borderId="26" applyNumberFormat="0" applyFill="0" applyAlignment="0" applyProtection="0"/>
    <xf numFmtId="0" fontId="61" fillId="57" borderId="0" applyNumberFormat="0" applyBorder="0" applyAlignment="0" applyProtection="0"/>
    <xf numFmtId="0" fontId="39" fillId="7" borderId="0" applyNumberFormat="0" applyBorder="0" applyAlignment="0" applyProtection="0"/>
    <xf numFmtId="0" fontId="79" fillId="57" borderId="0" applyNumberFormat="0" applyBorder="0" applyAlignment="0" applyProtection="0"/>
    <xf numFmtId="0" fontId="79" fillId="57" borderId="0" applyNumberFormat="0" applyBorder="0" applyAlignment="0" applyProtection="0"/>
    <xf numFmtId="0" fontId="97" fillId="57" borderId="0" applyNumberFormat="0" applyBorder="0" applyAlignment="0" applyProtection="0"/>
    <xf numFmtId="0" fontId="79" fillId="57" borderId="0" applyNumberFormat="0" applyBorder="0" applyAlignment="0" applyProtection="0"/>
    <xf numFmtId="0" fontId="79" fillId="57" borderId="0" applyNumberFormat="0" applyBorder="0" applyAlignment="0" applyProtection="0"/>
    <xf numFmtId="0" fontId="61" fillId="57" borderId="0" applyNumberFormat="0" applyBorder="0" applyAlignment="0" applyProtection="0"/>
    <xf numFmtId="0" fontId="1" fillId="0" borderId="0"/>
    <xf numFmtId="0" fontId="106" fillId="0" borderId="0"/>
    <xf numFmtId="0" fontId="2" fillId="0" borderId="0"/>
    <xf numFmtId="0" fontId="49" fillId="0" borderId="0"/>
    <xf numFmtId="0" fontId="106" fillId="0" borderId="0"/>
    <xf numFmtId="0" fontId="49" fillId="0" borderId="0"/>
    <xf numFmtId="0" fontId="106" fillId="0" borderId="0"/>
    <xf numFmtId="0" fontId="10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10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105" fillId="0" borderId="0"/>
    <xf numFmtId="0" fontId="1" fillId="0" borderId="0"/>
    <xf numFmtId="0" fontId="67" fillId="0" borderId="0"/>
    <xf numFmtId="0" fontId="2" fillId="0" borderId="0"/>
    <xf numFmtId="0" fontId="84" fillId="0" borderId="0"/>
    <xf numFmtId="0" fontId="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49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8" borderId="27" applyNumberFormat="0" applyFont="0" applyAlignment="0" applyProtection="0"/>
    <xf numFmtId="0" fontId="84" fillId="11" borderId="18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84" fillId="58" borderId="27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49" fillId="58" borderId="27" applyNumberFormat="0" applyFont="0" applyAlignment="0" applyProtection="0"/>
    <xf numFmtId="0" fontId="85" fillId="58" borderId="27" applyNumberFormat="0" applyFont="0" applyAlignment="0" applyProtection="0"/>
    <xf numFmtId="0" fontId="85" fillId="58" borderId="27" applyNumberFormat="0" applyFont="0" applyAlignment="0" applyProtection="0"/>
    <xf numFmtId="0" fontId="49" fillId="58" borderId="27" applyNumberFormat="0" applyFont="0" applyAlignment="0" applyProtection="0"/>
    <xf numFmtId="0" fontId="67" fillId="58" borderId="27" applyNumberFormat="0" applyFont="0" applyAlignment="0" applyProtection="0"/>
    <xf numFmtId="0" fontId="62" fillId="54" borderId="28" applyNumberFormat="0" applyAlignment="0" applyProtection="0"/>
    <xf numFmtId="0" fontId="41" fillId="9" borderId="15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98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62" fillId="54" borderId="2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9" applyNumberFormat="0" applyFill="0" applyAlignment="0" applyProtection="0"/>
    <xf numFmtId="0" fontId="47" fillId="0" borderId="1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100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64" fillId="0" borderId="29" applyNumberFormat="0" applyFill="0" applyAlignment="0" applyProtection="0"/>
    <xf numFmtId="0" fontId="6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65" fillId="0" borderId="0" applyNumberFormat="0" applyFill="0" applyBorder="0" applyAlignment="0" applyProtection="0"/>
  </cellStyleXfs>
  <cellXfs count="212">
    <xf numFmtId="0" fontId="0" fillId="0" borderId="0" xfId="0"/>
    <xf numFmtId="0" fontId="5" fillId="0" borderId="3" xfId="0" applyFont="1" applyBorder="1" applyAlignment="1">
      <alignment horizontal="right" readingOrder="1"/>
    </xf>
    <xf numFmtId="0" fontId="7" fillId="0" borderId="3" xfId="0" quotePrefix="1" applyFont="1" applyBorder="1" applyAlignment="1">
      <alignment horizontal="right" vertical="center" readingOrder="1"/>
    </xf>
    <xf numFmtId="0" fontId="7" fillId="0" borderId="3" xfId="4" quotePrefix="1" applyFont="1" applyBorder="1" applyAlignment="1" applyProtection="1">
      <alignment horizontal="left" vertical="center" indent="1" readingOrder="1"/>
      <protection hidden="1"/>
    </xf>
    <xf numFmtId="170" fontId="7" fillId="0" borderId="3" xfId="4" applyNumberFormat="1" applyFont="1" applyBorder="1" applyAlignment="1" applyProtection="1">
      <alignment horizontal="center" vertical="center" readingOrder="1"/>
      <protection hidden="1"/>
    </xf>
    <xf numFmtId="170" fontId="7" fillId="0" borderId="6" xfId="4" applyNumberFormat="1" applyFont="1" applyBorder="1" applyAlignment="1" applyProtection="1">
      <alignment horizontal="center" vertical="center" readingOrder="1"/>
      <protection hidden="1"/>
    </xf>
    <xf numFmtId="170" fontId="7" fillId="0" borderId="4" xfId="4" applyNumberFormat="1" applyFont="1" applyBorder="1" applyAlignment="1" applyProtection="1">
      <alignment horizontal="center" vertical="center" readingOrder="1"/>
      <protection hidden="1"/>
    </xf>
    <xf numFmtId="0" fontId="8" fillId="0" borderId="0" xfId="4" applyFont="1" applyAlignment="1" applyProtection="1">
      <alignment horizontal="right" readingOrder="1"/>
      <protection hidden="1"/>
    </xf>
    <xf numFmtId="0" fontId="9" fillId="0" borderId="0" xfId="4" applyFont="1" applyAlignment="1" applyProtection="1">
      <alignment vertical="center" readingOrder="1"/>
      <protection hidden="1"/>
    </xf>
    <xf numFmtId="0" fontId="8" fillId="0" borderId="0" xfId="4" applyFont="1" applyAlignment="1" applyProtection="1">
      <alignment readingOrder="1"/>
      <protection hidden="1"/>
    </xf>
    <xf numFmtId="0" fontId="7" fillId="0" borderId="3" xfId="0" quotePrefix="1" applyFont="1" applyBorder="1" applyAlignment="1">
      <alignment horizontal="right" vertical="center" readingOrder="2"/>
    </xf>
    <xf numFmtId="0" fontId="7" fillId="0" borderId="6" xfId="4" quotePrefix="1" applyFont="1" applyBorder="1" applyAlignment="1" applyProtection="1">
      <alignment horizontal="left" vertical="center" indent="1" readingOrder="1"/>
      <protection hidden="1"/>
    </xf>
    <xf numFmtId="0" fontId="8" fillId="0" borderId="0" xfId="0" applyFont="1"/>
    <xf numFmtId="0" fontId="12" fillId="0" borderId="3" xfId="0" quotePrefix="1" applyFont="1" applyBorder="1" applyAlignment="1">
      <alignment horizontal="right" readingOrder="2"/>
    </xf>
    <xf numFmtId="0" fontId="8" fillId="0" borderId="3" xfId="4" quotePrefix="1" applyFont="1" applyBorder="1" applyAlignment="1" applyProtection="1">
      <alignment horizontal="left" vertical="center" indent="1" readingOrder="1"/>
      <protection hidden="1"/>
    </xf>
    <xf numFmtId="170" fontId="8" fillId="0" borderId="3" xfId="4" applyNumberFormat="1" applyFont="1" applyBorder="1" applyAlignment="1" applyProtection="1">
      <alignment horizontal="center" vertical="center" readingOrder="1"/>
      <protection hidden="1"/>
    </xf>
    <xf numFmtId="170" fontId="8" fillId="0" borderId="4" xfId="4" applyNumberFormat="1" applyFont="1" applyBorder="1" applyAlignment="1" applyProtection="1">
      <alignment horizontal="center" vertical="center" readingOrder="1"/>
      <protection hidden="1"/>
    </xf>
    <xf numFmtId="0" fontId="14" fillId="0" borderId="3" xfId="0" applyFont="1" applyBorder="1" applyAlignment="1">
      <alignment horizontal="right" indent="1" readingOrder="2"/>
    </xf>
    <xf numFmtId="0" fontId="15" fillId="0" borderId="3" xfId="4" applyFont="1" applyBorder="1" applyAlignment="1" applyProtection="1">
      <alignment horizontal="left" vertical="center" indent="1" readingOrder="1"/>
      <protection hidden="1"/>
    </xf>
    <xf numFmtId="170" fontId="15" fillId="0" borderId="3" xfId="4" applyNumberFormat="1" applyFont="1" applyBorder="1" applyAlignment="1" applyProtection="1">
      <alignment horizontal="center" vertical="center" readingOrder="1"/>
      <protection hidden="1"/>
    </xf>
    <xf numFmtId="170" fontId="15" fillId="0" borderId="4" xfId="4" applyNumberFormat="1" applyFont="1" applyBorder="1" applyAlignment="1" applyProtection="1">
      <alignment horizontal="center" vertical="center" readingOrder="1"/>
      <protection hidden="1"/>
    </xf>
    <xf numFmtId="0" fontId="15" fillId="0" borderId="3" xfId="4" quotePrefix="1" applyFont="1" applyBorder="1" applyAlignment="1" applyProtection="1">
      <alignment horizontal="left" vertical="center" indent="1" readingOrder="1"/>
      <protection hidden="1"/>
    </xf>
    <xf numFmtId="0" fontId="12" fillId="0" borderId="3" xfId="0" applyFont="1" applyBorder="1" applyAlignment="1">
      <alignment horizontal="right" readingOrder="2"/>
    </xf>
    <xf numFmtId="0" fontId="8" fillId="0" borderId="3" xfId="4" applyFont="1" applyBorder="1" applyAlignment="1" applyProtection="1">
      <alignment horizontal="left" vertical="center" indent="1" readingOrder="1"/>
      <protection hidden="1"/>
    </xf>
    <xf numFmtId="0" fontId="8" fillId="0" borderId="2" xfId="4" applyFont="1" applyBorder="1" applyAlignment="1" applyProtection="1">
      <alignment horizontal="left" vertical="center" indent="1" readingOrder="1"/>
      <protection hidden="1"/>
    </xf>
    <xf numFmtId="0" fontId="8" fillId="0" borderId="2" xfId="4" applyFont="1" applyBorder="1" applyAlignment="1" applyProtection="1">
      <alignment vertical="center" readingOrder="1"/>
      <protection hidden="1"/>
    </xf>
    <xf numFmtId="0" fontId="16" fillId="0" borderId="3" xfId="0" applyFont="1" applyBorder="1" applyAlignment="1">
      <alignment horizontal="right" readingOrder="1"/>
    </xf>
    <xf numFmtId="0" fontId="8" fillId="0" borderId="5" xfId="4" quotePrefix="1" applyFont="1" applyBorder="1" applyAlignment="1" applyProtection="1">
      <alignment horizontal="left" vertical="center" indent="1" readingOrder="1"/>
      <protection hidden="1"/>
    </xf>
    <xf numFmtId="0" fontId="8" fillId="0" borderId="0" xfId="4" applyFont="1" applyAlignment="1" applyProtection="1">
      <alignment horizontal="left" vertical="center" indent="1" readingOrder="1"/>
      <protection hidden="1"/>
    </xf>
    <xf numFmtId="49" fontId="8" fillId="0" borderId="0" xfId="4" applyNumberFormat="1" applyFont="1" applyAlignment="1" applyProtection="1">
      <alignment horizontal="left" vertical="center" indent="1" readingOrder="1"/>
      <protection hidden="1"/>
    </xf>
    <xf numFmtId="49" fontId="10" fillId="0" borderId="0" xfId="4" applyNumberFormat="1" applyFont="1" applyAlignment="1" applyProtection="1">
      <alignment readingOrder="1"/>
      <protection hidden="1"/>
    </xf>
    <xf numFmtId="0" fontId="8" fillId="0" borderId="0" xfId="0" applyFont="1" applyAlignment="1">
      <alignment horizontal="right" readingOrder="1"/>
    </xf>
    <xf numFmtId="0" fontId="17" fillId="0" borderId="3" xfId="0" applyFont="1" applyBorder="1" applyAlignment="1">
      <alignment horizontal="right" readingOrder="1"/>
    </xf>
    <xf numFmtId="0" fontId="10" fillId="0" borderId="0" xfId="4" applyFont="1" applyAlignment="1" applyProtection="1">
      <alignment vertical="center"/>
      <protection hidden="1"/>
    </xf>
    <xf numFmtId="171" fontId="19" fillId="2" borderId="1" xfId="3" applyNumberFormat="1" applyFont="1" applyFill="1" applyBorder="1" applyAlignment="1">
      <alignment horizontal="center" vertical="center"/>
    </xf>
    <xf numFmtId="171" fontId="19" fillId="2" borderId="6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center" vertical="center" readingOrder="1"/>
    </xf>
    <xf numFmtId="0" fontId="18" fillId="2" borderId="7" xfId="3" applyFont="1" applyFill="1" applyBorder="1" applyAlignment="1">
      <alignment horizontal="center" vertical="center" readingOrder="1"/>
    </xf>
    <xf numFmtId="0" fontId="12" fillId="0" borderId="3" xfId="0" quotePrefix="1" applyFont="1" applyBorder="1" applyAlignment="1">
      <alignment horizontal="right" readingOrder="1"/>
    </xf>
    <xf numFmtId="0" fontId="12" fillId="0" borderId="3" xfId="0" applyFont="1" applyBorder="1" applyAlignment="1">
      <alignment horizontal="right" readingOrder="1"/>
    </xf>
    <xf numFmtId="0" fontId="12" fillId="0" borderId="3" xfId="0" quotePrefix="1" applyFont="1" applyBorder="1" applyAlignment="1">
      <alignment horizontal="right" vertical="center" indent="1" readingOrder="2"/>
    </xf>
    <xf numFmtId="170" fontId="8" fillId="0" borderId="7" xfId="4" applyNumberFormat="1" applyFont="1" applyBorder="1" applyAlignment="1" applyProtection="1">
      <alignment horizontal="center" vertical="center"/>
      <protection hidden="1"/>
    </xf>
    <xf numFmtId="170" fontId="8" fillId="0" borderId="2" xfId="4" applyNumberFormat="1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>
      <alignment horizontal="right" readingOrder="1"/>
    </xf>
    <xf numFmtId="170" fontId="8" fillId="0" borderId="3" xfId="4" quotePrefix="1" applyNumberFormat="1" applyFont="1" applyBorder="1" applyAlignment="1" applyProtection="1">
      <alignment horizontal="center" vertical="center" readingOrder="1"/>
      <protection hidden="1"/>
    </xf>
    <xf numFmtId="170" fontId="8" fillId="0" borderId="4" xfId="4" quotePrefix="1" applyNumberFormat="1" applyFont="1" applyBorder="1" applyAlignment="1" applyProtection="1">
      <alignment horizontal="center" vertical="center" readingOrder="1"/>
      <protection hidden="1"/>
    </xf>
    <xf numFmtId="0" fontId="21" fillId="0" borderId="3" xfId="0" quotePrefix="1" applyFont="1" applyBorder="1" applyAlignment="1">
      <alignment horizontal="right" readingOrder="1"/>
    </xf>
    <xf numFmtId="0" fontId="22" fillId="0" borderId="4" xfId="4" applyFont="1" applyBorder="1" applyAlignment="1" applyProtection="1">
      <alignment horizontal="left" vertical="center" indent="1" readingOrder="1"/>
      <protection hidden="1"/>
    </xf>
    <xf numFmtId="0" fontId="23" fillId="0" borderId="3" xfId="4" applyFont="1" applyBorder="1" applyAlignment="1" applyProtection="1">
      <alignment horizontal="left" vertical="center" indent="1" readingOrder="1"/>
      <protection hidden="1"/>
    </xf>
    <xf numFmtId="170" fontId="23" fillId="0" borderId="3" xfId="4" quotePrefix="1" applyNumberFormat="1" applyFont="1" applyBorder="1" applyAlignment="1" applyProtection="1">
      <alignment horizontal="center" vertical="center" readingOrder="1"/>
      <protection hidden="1"/>
    </xf>
    <xf numFmtId="170" fontId="23" fillId="0" borderId="4" xfId="4" quotePrefix="1" applyNumberFormat="1" applyFont="1" applyBorder="1" applyAlignment="1" applyProtection="1">
      <alignment horizontal="center" vertical="center" readingOrder="1"/>
      <protection hidden="1"/>
    </xf>
    <xf numFmtId="170" fontId="23" fillId="0" borderId="3" xfId="4" applyNumberFormat="1" applyFont="1" applyBorder="1" applyAlignment="1" applyProtection="1">
      <alignment horizontal="center" vertical="center" readingOrder="1"/>
      <protection hidden="1"/>
    </xf>
    <xf numFmtId="168" fontId="8" fillId="0" borderId="0" xfId="1" applyFont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170" fontId="7" fillId="0" borderId="1" xfId="4" applyNumberFormat="1" applyFont="1" applyBorder="1" applyAlignment="1" applyProtection="1">
      <alignment horizontal="center" vertical="center" readingOrder="1"/>
      <protection hidden="1"/>
    </xf>
    <xf numFmtId="170" fontId="7" fillId="4" borderId="4" xfId="4" applyNumberFormat="1" applyFont="1" applyFill="1" applyBorder="1" applyAlignment="1" applyProtection="1">
      <alignment horizontal="center" vertical="center" readingOrder="1"/>
      <protection hidden="1"/>
    </xf>
    <xf numFmtId="0" fontId="8" fillId="0" borderId="0" xfId="6" applyFont="1" applyAlignment="1" applyProtection="1">
      <alignment horizontal="right" readingOrder="1"/>
      <protection hidden="1"/>
    </xf>
    <xf numFmtId="0" fontId="9" fillId="0" borderId="0" xfId="6" applyFont="1" applyAlignment="1" applyProtection="1">
      <alignment vertical="center" readingOrder="1"/>
      <protection hidden="1"/>
    </xf>
    <xf numFmtId="0" fontId="8" fillId="0" borderId="0" xfId="6" applyFont="1" applyAlignment="1" applyProtection="1">
      <alignment readingOrder="1"/>
      <protection hidden="1"/>
    </xf>
    <xf numFmtId="0" fontId="8" fillId="0" borderId="0" xfId="7" applyFont="1"/>
    <xf numFmtId="171" fontId="19" fillId="2" borderId="1" xfId="8" applyNumberFormat="1" applyFont="1" applyFill="1" applyBorder="1" applyAlignment="1">
      <alignment horizontal="center" vertical="center"/>
    </xf>
    <xf numFmtId="0" fontId="18" fillId="2" borderId="2" xfId="8" applyFont="1" applyFill="1" applyBorder="1" applyAlignment="1">
      <alignment horizontal="center" vertical="center" readingOrder="1"/>
    </xf>
    <xf numFmtId="172" fontId="8" fillId="0" borderId="0" xfId="9" applyFont="1"/>
    <xf numFmtId="0" fontId="7" fillId="0" borderId="3" xfId="7" quotePrefix="1" applyFont="1" applyBorder="1" applyAlignment="1">
      <alignment horizontal="right" vertical="center" readingOrder="2"/>
    </xf>
    <xf numFmtId="0" fontId="7" fillId="0" borderId="3" xfId="6" quotePrefix="1" applyFont="1" applyBorder="1" applyAlignment="1" applyProtection="1">
      <alignment horizontal="left" vertical="center" indent="1" readingOrder="1"/>
      <protection hidden="1"/>
    </xf>
    <xf numFmtId="170" fontId="7" fillId="0" borderId="3" xfId="6" applyNumberFormat="1" applyFont="1" applyBorder="1" applyAlignment="1" applyProtection="1">
      <alignment horizontal="center" vertical="center" readingOrder="1"/>
      <protection hidden="1"/>
    </xf>
    <xf numFmtId="170" fontId="7" fillId="0" borderId="4" xfId="6" applyNumberFormat="1" applyFont="1" applyBorder="1" applyAlignment="1" applyProtection="1">
      <alignment horizontal="center" vertical="center" readingOrder="1"/>
      <protection hidden="1"/>
    </xf>
    <xf numFmtId="170" fontId="7" fillId="0" borderId="1" xfId="6" applyNumberFormat="1" applyFont="1" applyBorder="1" applyAlignment="1" applyProtection="1">
      <alignment horizontal="center" vertical="center" readingOrder="1"/>
      <protection hidden="1"/>
    </xf>
    <xf numFmtId="0" fontId="12" fillId="0" borderId="3" xfId="7" quotePrefix="1" applyFont="1" applyBorder="1" applyAlignment="1">
      <alignment horizontal="right" readingOrder="2"/>
    </xf>
    <xf numFmtId="0" fontId="8" fillId="0" borderId="3" xfId="6" quotePrefix="1" applyFont="1" applyBorder="1" applyAlignment="1" applyProtection="1">
      <alignment horizontal="left" vertical="center" indent="1" readingOrder="1"/>
      <protection hidden="1"/>
    </xf>
    <xf numFmtId="170" fontId="8" fillId="0" borderId="3" xfId="6" applyNumberFormat="1" applyFont="1" applyBorder="1" applyAlignment="1" applyProtection="1">
      <alignment horizontal="center" vertical="center" readingOrder="1"/>
      <protection hidden="1"/>
    </xf>
    <xf numFmtId="170" fontId="8" fillId="0" borderId="4" xfId="6" applyNumberFormat="1" applyFont="1" applyBorder="1" applyAlignment="1" applyProtection="1">
      <alignment horizontal="center" vertical="center" readingOrder="1"/>
      <protection hidden="1"/>
    </xf>
    <xf numFmtId="0" fontId="14" fillId="0" borderId="3" xfId="7" applyFont="1" applyBorder="1" applyAlignment="1">
      <alignment horizontal="right" indent="1" readingOrder="2"/>
    </xf>
    <xf numFmtId="0" fontId="15" fillId="0" borderId="3" xfId="6" applyFont="1" applyBorder="1" applyAlignment="1" applyProtection="1">
      <alignment horizontal="left" vertical="center" indent="1" readingOrder="1"/>
      <protection hidden="1"/>
    </xf>
    <xf numFmtId="170" fontId="15" fillId="0" borderId="3" xfId="6" applyNumberFormat="1" applyFont="1" applyBorder="1" applyAlignment="1" applyProtection="1">
      <alignment horizontal="center" vertical="center" readingOrder="1"/>
      <protection hidden="1"/>
    </xf>
    <xf numFmtId="170" fontId="15" fillId="0" borderId="4" xfId="6" applyNumberFormat="1" applyFont="1" applyBorder="1" applyAlignment="1" applyProtection="1">
      <alignment horizontal="center" vertical="center" readingOrder="1"/>
      <protection hidden="1"/>
    </xf>
    <xf numFmtId="0" fontId="12" fillId="0" borderId="3" xfId="7" quotePrefix="1" applyFont="1" applyBorder="1" applyAlignment="1">
      <alignment horizontal="right" readingOrder="1"/>
    </xf>
    <xf numFmtId="0" fontId="15" fillId="0" borderId="3" xfId="6" quotePrefix="1" applyFont="1" applyBorder="1" applyAlignment="1" applyProtection="1">
      <alignment horizontal="left" vertical="center" indent="1" readingOrder="1"/>
      <protection hidden="1"/>
    </xf>
    <xf numFmtId="0" fontId="12" fillId="0" borderId="3" xfId="7" applyFont="1" applyBorder="1" applyAlignment="1">
      <alignment horizontal="right" readingOrder="1"/>
    </xf>
    <xf numFmtId="0" fontId="8" fillId="0" borderId="3" xfId="6" applyFont="1" applyBorder="1" applyAlignment="1" applyProtection="1">
      <alignment horizontal="left" vertical="center" indent="1" readingOrder="1"/>
      <protection hidden="1"/>
    </xf>
    <xf numFmtId="0" fontId="12" fillId="0" borderId="3" xfId="7" applyFont="1" applyBorder="1" applyAlignment="1">
      <alignment horizontal="right" readingOrder="2"/>
    </xf>
    <xf numFmtId="170" fontId="8" fillId="0" borderId="3" xfId="6" quotePrefix="1" applyNumberFormat="1" applyFont="1" applyBorder="1" applyAlignment="1" applyProtection="1">
      <alignment horizontal="center" vertical="center" readingOrder="1"/>
      <protection hidden="1"/>
    </xf>
    <xf numFmtId="170" fontId="8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21" fillId="0" borderId="3" xfId="7" quotePrefix="1" applyFont="1" applyBorder="1" applyAlignment="1">
      <alignment horizontal="right" readingOrder="1"/>
    </xf>
    <xf numFmtId="0" fontId="22" fillId="0" borderId="4" xfId="6" applyFont="1" applyBorder="1" applyAlignment="1" applyProtection="1">
      <alignment horizontal="left" vertical="center" indent="1" readingOrder="1"/>
      <protection hidden="1"/>
    </xf>
    <xf numFmtId="0" fontId="8" fillId="0" borderId="3" xfId="7" applyFont="1" applyBorder="1"/>
    <xf numFmtId="0" fontId="8" fillId="0" borderId="4" xfId="7" applyFont="1" applyBorder="1"/>
    <xf numFmtId="170" fontId="7" fillId="4" borderId="4" xfId="6" applyNumberFormat="1" applyFont="1" applyFill="1" applyBorder="1" applyAlignment="1" applyProtection="1">
      <alignment horizontal="center" vertical="center" readingOrder="1"/>
      <protection hidden="1"/>
    </xf>
    <xf numFmtId="0" fontId="23" fillId="0" borderId="3" xfId="6" applyFont="1" applyBorder="1" applyAlignment="1" applyProtection="1">
      <alignment horizontal="left" vertical="center" indent="1" readingOrder="1"/>
      <protection hidden="1"/>
    </xf>
    <xf numFmtId="170" fontId="23" fillId="0" borderId="3" xfId="6" quotePrefix="1" applyNumberFormat="1" applyFont="1" applyBorder="1" applyAlignment="1" applyProtection="1">
      <alignment horizontal="center" vertical="center" readingOrder="1"/>
      <protection hidden="1"/>
    </xf>
    <xf numFmtId="170" fontId="23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8" fillId="0" borderId="2" xfId="6" applyFont="1" applyBorder="1" applyAlignment="1" applyProtection="1">
      <alignment horizontal="left" vertical="center" indent="1" readingOrder="1"/>
      <protection hidden="1"/>
    </xf>
    <xf numFmtId="0" fontId="8" fillId="0" borderId="2" xfId="6" applyFont="1" applyBorder="1" applyAlignment="1" applyProtection="1">
      <alignment vertical="center" readingOrder="1"/>
      <protection hidden="1"/>
    </xf>
    <xf numFmtId="0" fontId="8" fillId="0" borderId="2" xfId="7" applyFont="1" applyBorder="1"/>
    <xf numFmtId="0" fontId="8" fillId="0" borderId="5" xfId="6" quotePrefix="1" applyFont="1" applyBorder="1" applyAlignment="1" applyProtection="1">
      <alignment horizontal="left" vertical="center" indent="1" readingOrder="1"/>
      <protection hidden="1"/>
    </xf>
    <xf numFmtId="0" fontId="8" fillId="0" borderId="0" xfId="6" applyFont="1" applyAlignment="1" applyProtection="1">
      <alignment horizontal="left" vertical="center" indent="1" readingOrder="1"/>
      <protection hidden="1"/>
    </xf>
    <xf numFmtId="49" fontId="8" fillId="0" borderId="0" xfId="6" applyNumberFormat="1" applyFont="1" applyAlignment="1" applyProtection="1">
      <alignment horizontal="left" vertical="center" indent="1" readingOrder="1"/>
      <protection hidden="1"/>
    </xf>
    <xf numFmtId="0" fontId="16" fillId="0" borderId="3" xfId="7" applyFont="1" applyBorder="1" applyAlignment="1">
      <alignment horizontal="right" readingOrder="1"/>
    </xf>
    <xf numFmtId="49" fontId="10" fillId="0" borderId="0" xfId="6" applyNumberFormat="1" applyFont="1" applyAlignment="1" applyProtection="1">
      <alignment readingOrder="1"/>
      <protection hidden="1"/>
    </xf>
    <xf numFmtId="0" fontId="17" fillId="0" borderId="3" xfId="7" applyFont="1" applyBorder="1" applyAlignment="1">
      <alignment horizontal="right" readingOrder="1"/>
    </xf>
    <xf numFmtId="0" fontId="20" fillId="0" borderId="3" xfId="7" applyFont="1" applyBorder="1" applyAlignment="1">
      <alignment horizontal="right" readingOrder="1"/>
    </xf>
    <xf numFmtId="0" fontId="8" fillId="0" borderId="0" xfId="7" applyFont="1" applyAlignment="1">
      <alignment horizontal="right" readingOrder="1"/>
    </xf>
    <xf numFmtId="0" fontId="5" fillId="0" borderId="3" xfId="7" applyFont="1" applyBorder="1" applyAlignment="1">
      <alignment horizontal="right" readingOrder="1"/>
    </xf>
    <xf numFmtId="170" fontId="8" fillId="0" borderId="0" xfId="0" applyNumberFormat="1" applyFont="1"/>
    <xf numFmtId="170" fontId="8" fillId="0" borderId="0" xfId="7" applyNumberFormat="1" applyFont="1"/>
    <xf numFmtId="0" fontId="23" fillId="0" borderId="3" xfId="0" applyFont="1" applyBorder="1" applyAlignment="1">
      <alignment horizontal="left" indent="23" readingOrder="2"/>
    </xf>
    <xf numFmtId="0" fontId="23" fillId="0" borderId="3" xfId="0" applyFont="1" applyBorder="1" applyAlignment="1">
      <alignment horizontal="left" indent="25" readingOrder="2"/>
    </xf>
    <xf numFmtId="0" fontId="23" fillId="0" borderId="3" xfId="0" applyFont="1" applyBorder="1" applyAlignment="1">
      <alignment horizontal="left" indent="27"/>
    </xf>
    <xf numFmtId="0" fontId="23" fillId="0" borderId="3" xfId="0" applyFont="1" applyBorder="1" applyAlignment="1">
      <alignment horizontal="left" indent="25"/>
    </xf>
    <xf numFmtId="0" fontId="23" fillId="0" borderId="3" xfId="0" applyFont="1" applyBorder="1" applyAlignment="1">
      <alignment horizontal="right" indent="1" readingOrder="2"/>
    </xf>
    <xf numFmtId="0" fontId="12" fillId="0" borderId="3" xfId="0" quotePrefix="1" applyFont="1" applyBorder="1" applyAlignment="1">
      <alignment horizontal="left" indent="18" readingOrder="2"/>
    </xf>
    <xf numFmtId="0" fontId="12" fillId="0" borderId="3" xfId="0" quotePrefix="1" applyFont="1" applyBorder="1" applyAlignment="1">
      <alignment horizontal="left" indent="25" readingOrder="2"/>
    </xf>
    <xf numFmtId="0" fontId="12" fillId="0" borderId="3" xfId="0" quotePrefix="1" applyFont="1" applyBorder="1" applyAlignment="1">
      <alignment horizontal="left" indent="26" readingOrder="2"/>
    </xf>
    <xf numFmtId="0" fontId="12" fillId="0" borderId="3" xfId="0" quotePrefix="1" applyFont="1" applyBorder="1" applyAlignment="1">
      <alignment horizontal="left" indent="31" readingOrder="2"/>
    </xf>
    <xf numFmtId="0" fontId="12" fillId="0" borderId="3" xfId="0" quotePrefix="1" applyFont="1" applyBorder="1" applyAlignment="1">
      <alignment horizontal="left" indent="32" readingOrder="2"/>
    </xf>
    <xf numFmtId="0" fontId="10" fillId="0" borderId="3" xfId="4" quotePrefix="1" applyFont="1" applyBorder="1" applyAlignment="1" applyProtection="1">
      <alignment horizontal="left" vertical="center" indent="1" readingOrder="1"/>
      <protection hidden="1"/>
    </xf>
    <xf numFmtId="0" fontId="10" fillId="0" borderId="3" xfId="4" applyFont="1" applyBorder="1" applyAlignment="1" applyProtection="1">
      <alignment horizontal="left" vertical="center" indent="1" readingOrder="1"/>
      <protection hidden="1"/>
    </xf>
    <xf numFmtId="0" fontId="10" fillId="0" borderId="3" xfId="6" applyFont="1" applyBorder="1" applyAlignment="1" applyProtection="1">
      <alignment horizontal="left" vertical="center" indent="1" readingOrder="1"/>
      <protection hidden="1"/>
    </xf>
    <xf numFmtId="0" fontId="10" fillId="0" borderId="3" xfId="6" quotePrefix="1" applyFont="1" applyBorder="1" applyAlignment="1" applyProtection="1">
      <alignment horizontal="left" vertical="center" indent="1" readingOrder="1"/>
      <protection hidden="1"/>
    </xf>
    <xf numFmtId="0" fontId="23" fillId="0" borderId="3" xfId="7" applyFont="1" applyBorder="1" applyAlignment="1">
      <alignment horizontal="right" indent="1" readingOrder="2"/>
    </xf>
    <xf numFmtId="0" fontId="15" fillId="0" borderId="3" xfId="6" applyFont="1" applyBorder="1" applyAlignment="1" applyProtection="1">
      <alignment horizontal="left" vertical="center" indent="3" readingOrder="1"/>
      <protection hidden="1"/>
    </xf>
    <xf numFmtId="0" fontId="12" fillId="0" borderId="3" xfId="7" quotePrefix="1" applyFont="1" applyBorder="1" applyAlignment="1">
      <alignment horizontal="left" indent="13" readingOrder="1"/>
    </xf>
    <xf numFmtId="0" fontId="16" fillId="0" borderId="0" xfId="7" applyFont="1" applyAlignment="1">
      <alignment horizontal="right" readingOrder="1"/>
    </xf>
    <xf numFmtId="0" fontId="17" fillId="0" borderId="0" xfId="7" applyFont="1" applyAlignment="1">
      <alignment horizontal="right" readingOrder="1"/>
    </xf>
    <xf numFmtId="0" fontId="20" fillId="0" borderId="0" xfId="7" applyFont="1" applyAlignment="1">
      <alignment horizontal="right" readingOrder="1"/>
    </xf>
    <xf numFmtId="170" fontId="27" fillId="0" borderId="3" xfId="6" quotePrefix="1" applyNumberFormat="1" applyFont="1" applyBorder="1" applyAlignment="1" applyProtection="1">
      <alignment horizontal="center" vertical="center" readingOrder="1"/>
      <protection hidden="1"/>
    </xf>
    <xf numFmtId="170" fontId="27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107" fillId="0" borderId="0" xfId="7" applyFont="1"/>
    <xf numFmtId="0" fontId="108" fillId="0" borderId="5" xfId="6" quotePrefix="1" applyFont="1" applyBorder="1" applyAlignment="1" applyProtection="1">
      <alignment horizontal="left" vertical="center" indent="1" readingOrder="1"/>
      <protection hidden="1"/>
    </xf>
    <xf numFmtId="0" fontId="109" fillId="0" borderId="0" xfId="6" applyFont="1" applyAlignment="1" applyProtection="1">
      <alignment vertical="center" readingOrder="1"/>
      <protection hidden="1"/>
    </xf>
    <xf numFmtId="170" fontId="108" fillId="0" borderId="0" xfId="7" applyNumberFormat="1" applyFont="1"/>
    <xf numFmtId="0" fontId="108" fillId="0" borderId="0" xfId="7" applyFont="1"/>
    <xf numFmtId="49" fontId="108" fillId="0" borderId="0" xfId="6" applyNumberFormat="1" applyFont="1" applyAlignment="1" applyProtection="1">
      <alignment horizontal="left" vertical="center" indent="1" readingOrder="1"/>
      <protection hidden="1"/>
    </xf>
    <xf numFmtId="0" fontId="110" fillId="0" borderId="3" xfId="7" quotePrefix="1" applyFont="1" applyBorder="1" applyAlignment="1">
      <alignment horizontal="right" vertical="center" readingOrder="2"/>
    </xf>
    <xf numFmtId="0" fontId="110" fillId="0" borderId="3" xfId="6" quotePrefix="1" applyFont="1" applyBorder="1" applyAlignment="1" applyProtection="1">
      <alignment horizontal="left" vertical="center" indent="1" readingOrder="1"/>
      <protection hidden="1"/>
    </xf>
    <xf numFmtId="170" fontId="110" fillId="0" borderId="4" xfId="6" applyNumberFormat="1" applyFont="1" applyBorder="1" applyAlignment="1" applyProtection="1">
      <alignment horizontal="center" vertical="center" readingOrder="1"/>
      <protection hidden="1"/>
    </xf>
    <xf numFmtId="170" fontId="110" fillId="0" borderId="1" xfId="6" applyNumberFormat="1" applyFont="1" applyBorder="1" applyAlignment="1" applyProtection="1">
      <alignment horizontal="center" vertical="center" readingOrder="1"/>
      <protection hidden="1"/>
    </xf>
    <xf numFmtId="0" fontId="111" fillId="0" borderId="0" xfId="7" applyFont="1"/>
    <xf numFmtId="170" fontId="111" fillId="0" borderId="0" xfId="7" applyNumberFormat="1" applyFont="1"/>
    <xf numFmtId="0" fontId="112" fillId="0" borderId="3" xfId="7" quotePrefix="1" applyFont="1" applyBorder="1" applyAlignment="1">
      <alignment horizontal="right" readingOrder="2"/>
    </xf>
    <xf numFmtId="0" fontId="112" fillId="0" borderId="3" xfId="6" quotePrefix="1" applyFont="1" applyBorder="1" applyAlignment="1" applyProtection="1">
      <alignment horizontal="left" vertical="center" indent="1" readingOrder="1"/>
      <protection hidden="1"/>
    </xf>
    <xf numFmtId="170" fontId="27" fillId="0" borderId="4" xfId="6" applyNumberFormat="1" applyFont="1" applyBorder="1" applyAlignment="1" applyProtection="1">
      <alignment horizontal="center" vertical="center" readingOrder="1"/>
      <protection hidden="1"/>
    </xf>
    <xf numFmtId="0" fontId="27" fillId="0" borderId="0" xfId="7" applyFont="1"/>
    <xf numFmtId="170" fontId="27" fillId="0" borderId="0" xfId="7" applyNumberFormat="1" applyFont="1"/>
    <xf numFmtId="0" fontId="27" fillId="0" borderId="3" xfId="7" applyFont="1" applyBorder="1" applyAlignment="1">
      <alignment horizontal="right" indent="1" readingOrder="2"/>
    </xf>
    <xf numFmtId="0" fontId="27" fillId="0" borderId="3" xfId="6" applyFont="1" applyBorder="1" applyAlignment="1" applyProtection="1">
      <alignment horizontal="left" vertical="center" indent="1" readingOrder="1"/>
      <protection hidden="1"/>
    </xf>
    <xf numFmtId="0" fontId="112" fillId="0" borderId="3" xfId="7" quotePrefix="1" applyFont="1" applyBorder="1" applyAlignment="1">
      <alignment horizontal="right" readingOrder="1"/>
    </xf>
    <xf numFmtId="0" fontId="27" fillId="0" borderId="3" xfId="6" quotePrefix="1" applyFont="1" applyBorder="1" applyAlignment="1" applyProtection="1">
      <alignment horizontal="left" vertical="center" indent="1" readingOrder="1"/>
      <protection hidden="1"/>
    </xf>
    <xf numFmtId="0" fontId="112" fillId="0" borderId="3" xfId="7" applyFont="1" applyBorder="1" applyAlignment="1">
      <alignment horizontal="right" readingOrder="1"/>
    </xf>
    <xf numFmtId="0" fontId="112" fillId="0" borderId="3" xfId="6" applyFont="1" applyBorder="1" applyAlignment="1" applyProtection="1">
      <alignment horizontal="left" vertical="center" indent="1" readingOrder="1"/>
      <protection hidden="1"/>
    </xf>
    <xf numFmtId="0" fontId="27" fillId="0" borderId="3" xfId="6" applyFont="1" applyBorder="1" applyAlignment="1" applyProtection="1">
      <alignment horizontal="left" vertical="center" indent="3" readingOrder="1"/>
      <protection hidden="1"/>
    </xf>
    <xf numFmtId="0" fontId="113" fillId="0" borderId="3" xfId="7" quotePrefix="1" applyFont="1" applyBorder="1" applyAlignment="1">
      <alignment horizontal="right" readingOrder="1"/>
    </xf>
    <xf numFmtId="0" fontId="114" fillId="0" borderId="4" xfId="6" applyFont="1" applyBorder="1" applyAlignment="1" applyProtection="1">
      <alignment horizontal="left" vertical="center" indent="1" readingOrder="1"/>
      <protection hidden="1"/>
    </xf>
    <xf numFmtId="0" fontId="27" fillId="0" borderId="4" xfId="7" applyFont="1" applyBorder="1"/>
    <xf numFmtId="0" fontId="27" fillId="0" borderId="2" xfId="6" applyFont="1" applyBorder="1" applyAlignment="1" applyProtection="1">
      <alignment horizontal="left" vertical="center" indent="1" readingOrder="1"/>
      <protection hidden="1"/>
    </xf>
    <xf numFmtId="0" fontId="27" fillId="0" borderId="2" xfId="6" applyFont="1" applyBorder="1" applyAlignment="1" applyProtection="1">
      <alignment vertical="center" readingOrder="1"/>
      <protection hidden="1"/>
    </xf>
    <xf numFmtId="0" fontId="27" fillId="0" borderId="2" xfId="7" applyFont="1" applyBorder="1"/>
    <xf numFmtId="172" fontId="107" fillId="0" borderId="0" xfId="9" applyFont="1"/>
    <xf numFmtId="171" fontId="118" fillId="2" borderId="1" xfId="8" applyNumberFormat="1" applyFont="1" applyFill="1" applyBorder="1" applyAlignment="1">
      <alignment horizontal="center" vertical="center"/>
    </xf>
    <xf numFmtId="0" fontId="118" fillId="2" borderId="2" xfId="8" applyFont="1" applyFill="1" applyBorder="1" applyAlignment="1">
      <alignment horizontal="center" vertical="center" readingOrder="1"/>
    </xf>
    <xf numFmtId="49" fontId="108" fillId="0" borderId="0" xfId="6" applyNumberFormat="1" applyFont="1" applyAlignment="1" applyProtection="1">
      <alignment horizontal="left" vertical="center" readingOrder="1"/>
      <protection hidden="1"/>
    </xf>
    <xf numFmtId="2" fontId="8" fillId="0" borderId="0" xfId="7" applyNumberFormat="1" applyFont="1"/>
    <xf numFmtId="0" fontId="27" fillId="0" borderId="3" xfId="6" applyFont="1" applyBorder="1" applyAlignment="1" applyProtection="1">
      <alignment horizontal="left" vertical="center" indent="2" readingOrder="1"/>
      <protection hidden="1"/>
    </xf>
    <xf numFmtId="0" fontId="17" fillId="0" borderId="0" xfId="7" applyFont="1" applyBorder="1" applyAlignment="1">
      <alignment horizontal="right" readingOrder="1"/>
    </xf>
    <xf numFmtId="170" fontId="112" fillId="0" borderId="4" xfId="6" applyNumberFormat="1" applyFont="1" applyBorder="1" applyAlignment="1" applyProtection="1">
      <alignment horizontal="center" vertical="center" readingOrder="1"/>
      <protection hidden="1"/>
    </xf>
    <xf numFmtId="170" fontId="119" fillId="0" borderId="4" xfId="6" applyNumberFormat="1" applyFont="1" applyBorder="1" applyAlignment="1" applyProtection="1">
      <alignment horizontal="center" vertical="center" readingOrder="1"/>
      <protection hidden="1"/>
    </xf>
    <xf numFmtId="170" fontId="112" fillId="0" borderId="4" xfId="6" quotePrefix="1" applyNumberFormat="1" applyFont="1" applyBorder="1" applyAlignment="1" applyProtection="1">
      <alignment horizontal="center" vertical="center" readingOrder="1"/>
      <protection hidden="1"/>
    </xf>
    <xf numFmtId="170" fontId="120" fillId="0" borderId="4" xfId="6" applyNumberFormat="1" applyFont="1" applyBorder="1" applyAlignment="1" applyProtection="1">
      <alignment horizontal="center" vertical="center" readingOrder="1"/>
      <protection hidden="1"/>
    </xf>
    <xf numFmtId="170" fontId="121" fillId="0" borderId="4" xfId="6" applyNumberFormat="1" applyFont="1" applyBorder="1" applyAlignment="1" applyProtection="1">
      <alignment horizontal="center" vertical="center" readingOrder="1"/>
      <protection hidden="1"/>
    </xf>
    <xf numFmtId="0" fontId="2" fillId="0" borderId="5" xfId="6" quotePrefix="1" applyFont="1" applyBorder="1" applyAlignment="1" applyProtection="1">
      <alignment horizontal="left" vertical="center" indent="1" readingOrder="1"/>
      <protection hidden="1"/>
    </xf>
    <xf numFmtId="0" fontId="2" fillId="0" borderId="0" xfId="6" applyFont="1" applyAlignment="1" applyProtection="1">
      <alignment vertical="center" readingOrder="1"/>
      <protection hidden="1"/>
    </xf>
    <xf numFmtId="170" fontId="2" fillId="0" borderId="0" xfId="7" applyNumberFormat="1" applyFont="1"/>
    <xf numFmtId="49" fontId="2" fillId="0" borderId="0" xfId="6" applyNumberFormat="1" applyFont="1" applyAlignment="1" applyProtection="1">
      <alignment horizontal="left" vertical="center" indent="1" readingOrder="1"/>
      <protection hidden="1"/>
    </xf>
    <xf numFmtId="0" fontId="2" fillId="0" borderId="0" xfId="7" applyFont="1"/>
    <xf numFmtId="49" fontId="108" fillId="0" borderId="0" xfId="6" applyNumberFormat="1" applyFont="1" applyAlignment="1" applyProtection="1">
      <alignment vertical="center" wrapText="1" readingOrder="1"/>
      <protection hidden="1"/>
    </xf>
    <xf numFmtId="170" fontId="0" fillId="0" borderId="0" xfId="0" applyNumberFormat="1"/>
    <xf numFmtId="49" fontId="108" fillId="0" borderId="0" xfId="6" applyNumberFormat="1" applyFont="1" applyFill="1" applyAlignment="1" applyProtection="1">
      <alignment vertical="center" wrapText="1" readingOrder="1"/>
      <protection hidden="1"/>
    </xf>
    <xf numFmtId="0" fontId="0" fillId="0" borderId="0" xfId="0" applyFill="1"/>
    <xf numFmtId="0" fontId="10" fillId="3" borderId="0" xfId="4" applyFont="1" applyFill="1" applyAlignment="1" applyProtection="1">
      <alignment horizontal="center" vertical="center" readingOrder="1"/>
      <protection hidden="1"/>
    </xf>
    <xf numFmtId="0" fontId="18" fillId="2" borderId="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1" fillId="2" borderId="1" xfId="4" applyFont="1" applyFill="1" applyBorder="1" applyAlignment="1" applyProtection="1">
      <alignment horizontal="center" vertical="center"/>
      <protection hidden="1"/>
    </xf>
    <xf numFmtId="0" fontId="11" fillId="2" borderId="4" xfId="4" applyFont="1" applyFill="1" applyBorder="1" applyAlignment="1" applyProtection="1">
      <alignment horizontal="center" vertical="center"/>
      <protection hidden="1"/>
    </xf>
    <xf numFmtId="0" fontId="11" fillId="2" borderId="2" xfId="4" applyFont="1" applyFill="1" applyBorder="1" applyAlignment="1" applyProtection="1">
      <alignment horizontal="center" vertical="center"/>
      <protection hidden="1"/>
    </xf>
    <xf numFmtId="0" fontId="10" fillId="3" borderId="0" xfId="6" applyFont="1" applyFill="1" applyAlignment="1" applyProtection="1">
      <alignment horizontal="center" vertical="center" readingOrder="1"/>
      <protection hidden="1"/>
    </xf>
    <xf numFmtId="0" fontId="10" fillId="0" borderId="0" xfId="6" applyFont="1" applyAlignment="1" applyProtection="1">
      <alignment horizontal="center" vertical="center"/>
      <protection hidden="1"/>
    </xf>
    <xf numFmtId="0" fontId="11" fillId="2" borderId="1" xfId="6" applyFont="1" applyFill="1" applyBorder="1" applyAlignment="1" applyProtection="1">
      <alignment horizontal="center" vertical="center"/>
      <protection hidden="1"/>
    </xf>
    <xf numFmtId="0" fontId="11" fillId="2" borderId="4" xfId="6" applyFont="1" applyFill="1" applyBorder="1" applyAlignment="1" applyProtection="1">
      <alignment horizontal="center" vertical="center"/>
      <protection hidden="1"/>
    </xf>
    <xf numFmtId="0" fontId="11" fillId="2" borderId="2" xfId="6" applyFont="1" applyFill="1" applyBorder="1" applyAlignment="1" applyProtection="1">
      <alignment horizontal="center" vertical="center"/>
      <protection hidden="1"/>
    </xf>
    <xf numFmtId="0" fontId="18" fillId="2" borderId="9" xfId="7" applyFont="1" applyFill="1" applyBorder="1" applyAlignment="1">
      <alignment horizontal="center" vertical="center"/>
    </xf>
    <xf numFmtId="0" fontId="18" fillId="2" borderId="8" xfId="7" applyFont="1" applyFill="1" applyBorder="1" applyAlignment="1">
      <alignment horizontal="center" vertical="center"/>
    </xf>
    <xf numFmtId="0" fontId="18" fillId="2" borderId="10" xfId="7" applyFont="1" applyFill="1" applyBorder="1" applyAlignment="1">
      <alignment horizontal="center" vertical="center"/>
    </xf>
    <xf numFmtId="0" fontId="10" fillId="0" borderId="0" xfId="4" applyFont="1" applyAlignment="1" applyProtection="1">
      <alignment horizontal="right" vertical="center"/>
      <protection hidden="1"/>
    </xf>
    <xf numFmtId="0" fontId="10" fillId="0" borderId="0" xfId="6" applyFont="1" applyAlignment="1" applyProtection="1">
      <alignment horizontal="right" vertical="center"/>
      <protection hidden="1"/>
    </xf>
    <xf numFmtId="0" fontId="117" fillId="0" borderId="0" xfId="6" applyFont="1" applyAlignment="1" applyProtection="1">
      <alignment horizontal="right" vertical="center"/>
      <protection hidden="1"/>
    </xf>
    <xf numFmtId="0" fontId="115" fillId="2" borderId="1" xfId="6" applyFont="1" applyFill="1" applyBorder="1" applyAlignment="1" applyProtection="1">
      <alignment horizontal="center" vertical="center"/>
      <protection hidden="1"/>
    </xf>
    <xf numFmtId="0" fontId="115" fillId="2" borderId="4" xfId="6" applyFont="1" applyFill="1" applyBorder="1" applyAlignment="1" applyProtection="1">
      <alignment horizontal="center" vertical="center"/>
      <protection hidden="1"/>
    </xf>
    <xf numFmtId="0" fontId="115" fillId="2" borderId="2" xfId="6" applyFont="1" applyFill="1" applyBorder="1" applyAlignment="1" applyProtection="1">
      <alignment horizontal="center" vertical="center"/>
      <protection hidden="1"/>
    </xf>
    <xf numFmtId="0" fontId="116" fillId="2" borderId="9" xfId="7" applyFont="1" applyFill="1" applyBorder="1" applyAlignment="1">
      <alignment horizontal="center" vertical="center"/>
    </xf>
    <xf numFmtId="0" fontId="116" fillId="2" borderId="8" xfId="7" applyFont="1" applyFill="1" applyBorder="1" applyAlignment="1">
      <alignment horizontal="center" vertical="center"/>
    </xf>
    <xf numFmtId="0" fontId="116" fillId="2" borderId="10" xfId="7" applyFont="1" applyFill="1" applyBorder="1" applyAlignment="1">
      <alignment horizontal="center" vertical="center"/>
    </xf>
    <xf numFmtId="0" fontId="118" fillId="2" borderId="1" xfId="6" applyFont="1" applyFill="1" applyBorder="1" applyAlignment="1" applyProtection="1">
      <alignment horizontal="center" vertical="center"/>
      <protection hidden="1"/>
    </xf>
    <xf numFmtId="0" fontId="118" fillId="2" borderId="4" xfId="6" applyFont="1" applyFill="1" applyBorder="1" applyAlignment="1" applyProtection="1">
      <alignment horizontal="center" vertical="center"/>
      <protection hidden="1"/>
    </xf>
    <xf numFmtId="0" fontId="118" fillId="2" borderId="2" xfId="6" applyFont="1" applyFill="1" applyBorder="1" applyAlignment="1" applyProtection="1">
      <alignment horizontal="center" vertical="center"/>
      <protection hidden="1"/>
    </xf>
    <xf numFmtId="0" fontId="118" fillId="2" borderId="9" xfId="7" applyFont="1" applyFill="1" applyBorder="1" applyAlignment="1">
      <alignment horizontal="center" vertical="center"/>
    </xf>
    <xf numFmtId="0" fontId="118" fillId="2" borderId="8" xfId="7" applyFont="1" applyFill="1" applyBorder="1" applyAlignment="1">
      <alignment horizontal="center" vertical="center"/>
    </xf>
    <xf numFmtId="0" fontId="118" fillId="2" borderId="10" xfId="7" applyFont="1" applyFill="1" applyBorder="1" applyAlignment="1">
      <alignment horizontal="center" vertical="center"/>
    </xf>
    <xf numFmtId="49" fontId="108" fillId="0" borderId="0" xfId="6" applyNumberFormat="1" applyFont="1" applyAlignment="1" applyProtection="1">
      <alignment horizontal="left" vertical="center" wrapText="1" readingOrder="1"/>
      <protection hidden="1"/>
    </xf>
    <xf numFmtId="49" fontId="108" fillId="0" borderId="0" xfId="6" applyNumberFormat="1" applyFont="1" applyFill="1" applyAlignment="1" applyProtection="1">
      <alignment horizontal="left" vertical="center" wrapText="1" readingOrder="1"/>
      <protection hidden="1"/>
    </xf>
  </cellXfs>
  <cellStyles count="611">
    <cellStyle name="_Book1" xfId="20" xr:uid="{00000000-0005-0000-0000-000000000000}"/>
    <cellStyle name="_الربع الثالث31" xfId="21" xr:uid="{00000000-0005-0000-0000-000001000000}"/>
    <cellStyle name="_الربع الثالث31 2" xfId="26" xr:uid="{00000000-0005-0000-0000-000002000000}"/>
    <cellStyle name="20% - Accent1 2" xfId="27" xr:uid="{00000000-0005-0000-0000-000003000000}"/>
    <cellStyle name="20% - Accent1 2 2" xfId="28" xr:uid="{00000000-0005-0000-0000-000004000000}"/>
    <cellStyle name="20% - Accent1 2 2 2" xfId="29" xr:uid="{00000000-0005-0000-0000-000005000000}"/>
    <cellStyle name="20% - Accent1 2 2 3" xfId="30" xr:uid="{00000000-0005-0000-0000-000006000000}"/>
    <cellStyle name="20% - Accent1 2 3" xfId="31" xr:uid="{00000000-0005-0000-0000-000007000000}"/>
    <cellStyle name="20% - Accent1 2 4" xfId="32" xr:uid="{00000000-0005-0000-0000-000008000000}"/>
    <cellStyle name="20% - Accent1 2 5" xfId="33" xr:uid="{00000000-0005-0000-0000-000009000000}"/>
    <cellStyle name="20% - Accent1 3" xfId="34" xr:uid="{00000000-0005-0000-0000-00000A000000}"/>
    <cellStyle name="20% - Accent1 3 2" xfId="35" xr:uid="{00000000-0005-0000-0000-00000B000000}"/>
    <cellStyle name="20% - Accent2 2" xfId="36" xr:uid="{00000000-0005-0000-0000-00000C000000}"/>
    <cellStyle name="20% - Accent2 2 2" xfId="37" xr:uid="{00000000-0005-0000-0000-00000D000000}"/>
    <cellStyle name="20% - Accent2 2 2 2" xfId="38" xr:uid="{00000000-0005-0000-0000-00000E000000}"/>
    <cellStyle name="20% - Accent2 2 2 3" xfId="39" xr:uid="{00000000-0005-0000-0000-00000F000000}"/>
    <cellStyle name="20% - Accent2 2 3" xfId="40" xr:uid="{00000000-0005-0000-0000-000010000000}"/>
    <cellStyle name="20% - Accent2 2 4" xfId="41" xr:uid="{00000000-0005-0000-0000-000011000000}"/>
    <cellStyle name="20% - Accent2 2 5" xfId="42" xr:uid="{00000000-0005-0000-0000-000012000000}"/>
    <cellStyle name="20% - Accent2 3" xfId="43" xr:uid="{00000000-0005-0000-0000-000013000000}"/>
    <cellStyle name="20% - Accent2 3 2" xfId="44" xr:uid="{00000000-0005-0000-0000-000014000000}"/>
    <cellStyle name="20% - Accent3 2" xfId="45" xr:uid="{00000000-0005-0000-0000-000015000000}"/>
    <cellStyle name="20% - Accent3 2 2" xfId="46" xr:uid="{00000000-0005-0000-0000-000016000000}"/>
    <cellStyle name="20% - Accent3 2 2 2" xfId="47" xr:uid="{00000000-0005-0000-0000-000017000000}"/>
    <cellStyle name="20% - Accent3 2 2 3" xfId="48" xr:uid="{00000000-0005-0000-0000-000018000000}"/>
    <cellStyle name="20% - Accent3 2 3" xfId="49" xr:uid="{00000000-0005-0000-0000-000019000000}"/>
    <cellStyle name="20% - Accent3 2 4" xfId="50" xr:uid="{00000000-0005-0000-0000-00001A000000}"/>
    <cellStyle name="20% - Accent3 2 5" xfId="51" xr:uid="{00000000-0005-0000-0000-00001B000000}"/>
    <cellStyle name="20% - Accent3 3" xfId="52" xr:uid="{00000000-0005-0000-0000-00001C000000}"/>
    <cellStyle name="20% - Accent3 3 2" xfId="53" xr:uid="{00000000-0005-0000-0000-00001D000000}"/>
    <cellStyle name="20% - Accent4 2" xfId="54" xr:uid="{00000000-0005-0000-0000-00001E000000}"/>
    <cellStyle name="20% - Accent4 2 2" xfId="55" xr:uid="{00000000-0005-0000-0000-00001F000000}"/>
    <cellStyle name="20% - Accent4 2 2 2" xfId="56" xr:uid="{00000000-0005-0000-0000-000020000000}"/>
    <cellStyle name="20% - Accent4 2 2 3" xfId="57" xr:uid="{00000000-0005-0000-0000-000021000000}"/>
    <cellStyle name="20% - Accent4 2 3" xfId="58" xr:uid="{00000000-0005-0000-0000-000022000000}"/>
    <cellStyle name="20% - Accent4 2 4" xfId="59" xr:uid="{00000000-0005-0000-0000-000023000000}"/>
    <cellStyle name="20% - Accent4 2 5" xfId="60" xr:uid="{00000000-0005-0000-0000-000024000000}"/>
    <cellStyle name="20% - Accent4 3" xfId="61" xr:uid="{00000000-0005-0000-0000-000025000000}"/>
    <cellStyle name="20% - Accent4 3 2" xfId="62" xr:uid="{00000000-0005-0000-0000-000026000000}"/>
    <cellStyle name="20% - Accent5 2" xfId="63" xr:uid="{00000000-0005-0000-0000-000027000000}"/>
    <cellStyle name="20% - Accent5 2 2" xfId="64" xr:uid="{00000000-0005-0000-0000-000028000000}"/>
    <cellStyle name="20% - Accent5 2 2 2" xfId="65" xr:uid="{00000000-0005-0000-0000-000029000000}"/>
    <cellStyle name="20% - Accent5 2 2 3" xfId="66" xr:uid="{00000000-0005-0000-0000-00002A000000}"/>
    <cellStyle name="20% - Accent5 2 3" xfId="67" xr:uid="{00000000-0005-0000-0000-00002B000000}"/>
    <cellStyle name="20% - Accent5 2 4" xfId="68" xr:uid="{00000000-0005-0000-0000-00002C000000}"/>
    <cellStyle name="20% - Accent5 2 5" xfId="69" xr:uid="{00000000-0005-0000-0000-00002D000000}"/>
    <cellStyle name="20% - Accent5 3" xfId="70" xr:uid="{00000000-0005-0000-0000-00002E000000}"/>
    <cellStyle name="20% - Accent5 3 2" xfId="71" xr:uid="{00000000-0005-0000-0000-00002F000000}"/>
    <cellStyle name="20% - Accent6 2" xfId="72" xr:uid="{00000000-0005-0000-0000-000030000000}"/>
    <cellStyle name="20% - Accent6 2 2" xfId="73" xr:uid="{00000000-0005-0000-0000-000031000000}"/>
    <cellStyle name="20% - Accent6 2 2 2" xfId="74" xr:uid="{00000000-0005-0000-0000-000032000000}"/>
    <cellStyle name="20% - Accent6 2 2 3" xfId="75" xr:uid="{00000000-0005-0000-0000-000033000000}"/>
    <cellStyle name="20% - Accent6 2 3" xfId="76" xr:uid="{00000000-0005-0000-0000-000034000000}"/>
    <cellStyle name="20% - Accent6 2 4" xfId="77" xr:uid="{00000000-0005-0000-0000-000035000000}"/>
    <cellStyle name="20% - Accent6 2 5" xfId="78" xr:uid="{00000000-0005-0000-0000-000036000000}"/>
    <cellStyle name="20% - Accent6 3" xfId="79" xr:uid="{00000000-0005-0000-0000-000037000000}"/>
    <cellStyle name="20% - Accent6 3 2" xfId="80" xr:uid="{00000000-0005-0000-0000-000038000000}"/>
    <cellStyle name="40% - Accent1 2" xfId="81" xr:uid="{00000000-0005-0000-0000-000039000000}"/>
    <cellStyle name="40% - Accent1 2 2" xfId="82" xr:uid="{00000000-0005-0000-0000-00003A000000}"/>
    <cellStyle name="40% - Accent1 2 2 2" xfId="83" xr:uid="{00000000-0005-0000-0000-00003B000000}"/>
    <cellStyle name="40% - Accent1 2 2 3" xfId="84" xr:uid="{00000000-0005-0000-0000-00003C000000}"/>
    <cellStyle name="40% - Accent1 2 3" xfId="85" xr:uid="{00000000-0005-0000-0000-00003D000000}"/>
    <cellStyle name="40% - Accent1 2 4" xfId="86" xr:uid="{00000000-0005-0000-0000-00003E000000}"/>
    <cellStyle name="40% - Accent1 2 5" xfId="87" xr:uid="{00000000-0005-0000-0000-00003F000000}"/>
    <cellStyle name="40% - Accent1 3" xfId="88" xr:uid="{00000000-0005-0000-0000-000040000000}"/>
    <cellStyle name="40% - Accent1 3 2" xfId="89" xr:uid="{00000000-0005-0000-0000-000041000000}"/>
    <cellStyle name="40% - Accent2 2" xfId="90" xr:uid="{00000000-0005-0000-0000-000042000000}"/>
    <cellStyle name="40% - Accent2 2 2" xfId="91" xr:uid="{00000000-0005-0000-0000-000043000000}"/>
    <cellStyle name="40% - Accent2 2 2 2" xfId="92" xr:uid="{00000000-0005-0000-0000-000044000000}"/>
    <cellStyle name="40% - Accent2 2 2 3" xfId="93" xr:uid="{00000000-0005-0000-0000-000045000000}"/>
    <cellStyle name="40% - Accent2 2 3" xfId="94" xr:uid="{00000000-0005-0000-0000-000046000000}"/>
    <cellStyle name="40% - Accent2 2 4" xfId="95" xr:uid="{00000000-0005-0000-0000-000047000000}"/>
    <cellStyle name="40% - Accent2 2 5" xfId="96" xr:uid="{00000000-0005-0000-0000-000048000000}"/>
    <cellStyle name="40% - Accent2 3" xfId="97" xr:uid="{00000000-0005-0000-0000-000049000000}"/>
    <cellStyle name="40% - Accent2 3 2" xfId="98" xr:uid="{00000000-0005-0000-0000-00004A000000}"/>
    <cellStyle name="40% - Accent3 2" xfId="99" xr:uid="{00000000-0005-0000-0000-00004B000000}"/>
    <cellStyle name="40% - Accent3 2 2" xfId="100" xr:uid="{00000000-0005-0000-0000-00004C000000}"/>
    <cellStyle name="40% - Accent3 2 2 2" xfId="101" xr:uid="{00000000-0005-0000-0000-00004D000000}"/>
    <cellStyle name="40% - Accent3 2 2 3" xfId="102" xr:uid="{00000000-0005-0000-0000-00004E000000}"/>
    <cellStyle name="40% - Accent3 2 3" xfId="103" xr:uid="{00000000-0005-0000-0000-00004F000000}"/>
    <cellStyle name="40% - Accent3 2 4" xfId="104" xr:uid="{00000000-0005-0000-0000-000050000000}"/>
    <cellStyle name="40% - Accent3 2 5" xfId="105" xr:uid="{00000000-0005-0000-0000-000051000000}"/>
    <cellStyle name="40% - Accent3 3" xfId="106" xr:uid="{00000000-0005-0000-0000-000052000000}"/>
    <cellStyle name="40% - Accent3 3 2" xfId="107" xr:uid="{00000000-0005-0000-0000-000053000000}"/>
    <cellStyle name="40% - Accent4 2" xfId="108" xr:uid="{00000000-0005-0000-0000-000054000000}"/>
    <cellStyle name="40% - Accent4 2 2" xfId="109" xr:uid="{00000000-0005-0000-0000-000055000000}"/>
    <cellStyle name="40% - Accent4 2 2 2" xfId="110" xr:uid="{00000000-0005-0000-0000-000056000000}"/>
    <cellStyle name="40% - Accent4 2 2 3" xfId="111" xr:uid="{00000000-0005-0000-0000-000057000000}"/>
    <cellStyle name="40% - Accent4 2 3" xfId="112" xr:uid="{00000000-0005-0000-0000-000058000000}"/>
    <cellStyle name="40% - Accent4 2 4" xfId="113" xr:uid="{00000000-0005-0000-0000-000059000000}"/>
    <cellStyle name="40% - Accent4 2 5" xfId="114" xr:uid="{00000000-0005-0000-0000-00005A000000}"/>
    <cellStyle name="40% - Accent4 3" xfId="115" xr:uid="{00000000-0005-0000-0000-00005B000000}"/>
    <cellStyle name="40% - Accent4 3 2" xfId="116" xr:uid="{00000000-0005-0000-0000-00005C000000}"/>
    <cellStyle name="40% - Accent5 2" xfId="117" xr:uid="{00000000-0005-0000-0000-00005D000000}"/>
    <cellStyle name="40% - Accent5 2 2" xfId="118" xr:uid="{00000000-0005-0000-0000-00005E000000}"/>
    <cellStyle name="40% - Accent5 2 2 2" xfId="119" xr:uid="{00000000-0005-0000-0000-00005F000000}"/>
    <cellStyle name="40% - Accent5 2 2 3" xfId="120" xr:uid="{00000000-0005-0000-0000-000060000000}"/>
    <cellStyle name="40% - Accent5 2 3" xfId="121" xr:uid="{00000000-0005-0000-0000-000061000000}"/>
    <cellStyle name="40% - Accent5 2 4" xfId="122" xr:uid="{00000000-0005-0000-0000-000062000000}"/>
    <cellStyle name="40% - Accent5 2 5" xfId="123" xr:uid="{00000000-0005-0000-0000-000063000000}"/>
    <cellStyle name="40% - Accent5 3" xfId="124" xr:uid="{00000000-0005-0000-0000-000064000000}"/>
    <cellStyle name="40% - Accent5 3 2" xfId="125" xr:uid="{00000000-0005-0000-0000-000065000000}"/>
    <cellStyle name="40% - Accent6 2" xfId="126" xr:uid="{00000000-0005-0000-0000-000066000000}"/>
    <cellStyle name="40% - Accent6 2 2" xfId="127" xr:uid="{00000000-0005-0000-0000-000067000000}"/>
    <cellStyle name="40% - Accent6 2 2 2" xfId="128" xr:uid="{00000000-0005-0000-0000-000068000000}"/>
    <cellStyle name="40% - Accent6 2 2 3" xfId="129" xr:uid="{00000000-0005-0000-0000-000069000000}"/>
    <cellStyle name="40% - Accent6 2 3" xfId="130" xr:uid="{00000000-0005-0000-0000-00006A000000}"/>
    <cellStyle name="40% - Accent6 2 4" xfId="131" xr:uid="{00000000-0005-0000-0000-00006B000000}"/>
    <cellStyle name="40% - Accent6 2 5" xfId="132" xr:uid="{00000000-0005-0000-0000-00006C000000}"/>
    <cellStyle name="40% - Accent6 3" xfId="133" xr:uid="{00000000-0005-0000-0000-00006D000000}"/>
    <cellStyle name="40% - Accent6 3 2" xfId="134" xr:uid="{00000000-0005-0000-0000-00006E000000}"/>
    <cellStyle name="60% - Accent1 2" xfId="135" xr:uid="{00000000-0005-0000-0000-00006F000000}"/>
    <cellStyle name="60% - Accent1 2 2" xfId="136" xr:uid="{00000000-0005-0000-0000-000070000000}"/>
    <cellStyle name="60% - Accent1 2 2 2" xfId="137" xr:uid="{00000000-0005-0000-0000-000071000000}"/>
    <cellStyle name="60% - Accent1 2 2 3" xfId="138" xr:uid="{00000000-0005-0000-0000-000072000000}"/>
    <cellStyle name="60% - Accent1 2 3" xfId="139" xr:uid="{00000000-0005-0000-0000-000073000000}"/>
    <cellStyle name="60% - Accent1 2 4" xfId="140" xr:uid="{00000000-0005-0000-0000-000074000000}"/>
    <cellStyle name="60% - Accent1 3" xfId="141" xr:uid="{00000000-0005-0000-0000-000075000000}"/>
    <cellStyle name="60% - Accent1 3 2" xfId="142" xr:uid="{00000000-0005-0000-0000-000076000000}"/>
    <cellStyle name="60% - Accent2 2" xfId="143" xr:uid="{00000000-0005-0000-0000-000077000000}"/>
    <cellStyle name="60% - Accent2 2 2" xfId="144" xr:uid="{00000000-0005-0000-0000-000078000000}"/>
    <cellStyle name="60% - Accent2 2 2 2" xfId="145" xr:uid="{00000000-0005-0000-0000-000079000000}"/>
    <cellStyle name="60% - Accent2 2 2 3" xfId="146" xr:uid="{00000000-0005-0000-0000-00007A000000}"/>
    <cellStyle name="60% - Accent2 2 3" xfId="147" xr:uid="{00000000-0005-0000-0000-00007B000000}"/>
    <cellStyle name="60% - Accent2 2 4" xfId="148" xr:uid="{00000000-0005-0000-0000-00007C000000}"/>
    <cellStyle name="60% - Accent2 3" xfId="149" xr:uid="{00000000-0005-0000-0000-00007D000000}"/>
    <cellStyle name="60% - Accent2 3 2" xfId="150" xr:uid="{00000000-0005-0000-0000-00007E000000}"/>
    <cellStyle name="60% - Accent3 2" xfId="151" xr:uid="{00000000-0005-0000-0000-00007F000000}"/>
    <cellStyle name="60% - Accent3 2 2" xfId="152" xr:uid="{00000000-0005-0000-0000-000080000000}"/>
    <cellStyle name="60% - Accent3 2 2 2" xfId="153" xr:uid="{00000000-0005-0000-0000-000081000000}"/>
    <cellStyle name="60% - Accent3 2 2 3" xfId="154" xr:uid="{00000000-0005-0000-0000-000082000000}"/>
    <cellStyle name="60% - Accent3 2 3" xfId="155" xr:uid="{00000000-0005-0000-0000-000083000000}"/>
    <cellStyle name="60% - Accent3 2 4" xfId="156" xr:uid="{00000000-0005-0000-0000-000084000000}"/>
    <cellStyle name="60% - Accent3 3" xfId="157" xr:uid="{00000000-0005-0000-0000-000085000000}"/>
    <cellStyle name="60% - Accent3 3 2" xfId="158" xr:uid="{00000000-0005-0000-0000-000086000000}"/>
    <cellStyle name="60% - Accent4 2" xfId="159" xr:uid="{00000000-0005-0000-0000-000087000000}"/>
    <cellStyle name="60% - Accent4 2 2" xfId="160" xr:uid="{00000000-0005-0000-0000-000088000000}"/>
    <cellStyle name="60% - Accent4 2 2 2" xfId="161" xr:uid="{00000000-0005-0000-0000-000089000000}"/>
    <cellStyle name="60% - Accent4 2 2 3" xfId="162" xr:uid="{00000000-0005-0000-0000-00008A000000}"/>
    <cellStyle name="60% - Accent4 2 3" xfId="163" xr:uid="{00000000-0005-0000-0000-00008B000000}"/>
    <cellStyle name="60% - Accent4 2 4" xfId="164" xr:uid="{00000000-0005-0000-0000-00008C000000}"/>
    <cellStyle name="60% - Accent4 3" xfId="165" xr:uid="{00000000-0005-0000-0000-00008D000000}"/>
    <cellStyle name="60% - Accent4 3 2" xfId="166" xr:uid="{00000000-0005-0000-0000-00008E000000}"/>
    <cellStyle name="60% - Accent5 2" xfId="167" xr:uid="{00000000-0005-0000-0000-00008F000000}"/>
    <cellStyle name="60% - Accent5 2 2" xfId="168" xr:uid="{00000000-0005-0000-0000-000090000000}"/>
    <cellStyle name="60% - Accent5 2 2 2" xfId="169" xr:uid="{00000000-0005-0000-0000-000091000000}"/>
    <cellStyle name="60% - Accent5 2 2 3" xfId="170" xr:uid="{00000000-0005-0000-0000-000092000000}"/>
    <cellStyle name="60% - Accent5 2 3" xfId="171" xr:uid="{00000000-0005-0000-0000-000093000000}"/>
    <cellStyle name="60% - Accent5 2 4" xfId="172" xr:uid="{00000000-0005-0000-0000-000094000000}"/>
    <cellStyle name="60% - Accent5 3" xfId="173" xr:uid="{00000000-0005-0000-0000-000095000000}"/>
    <cellStyle name="60% - Accent5 3 2" xfId="174" xr:uid="{00000000-0005-0000-0000-000096000000}"/>
    <cellStyle name="60% - Accent6 2" xfId="175" xr:uid="{00000000-0005-0000-0000-000097000000}"/>
    <cellStyle name="60% - Accent6 2 2" xfId="176" xr:uid="{00000000-0005-0000-0000-000098000000}"/>
    <cellStyle name="60% - Accent6 2 2 2" xfId="177" xr:uid="{00000000-0005-0000-0000-000099000000}"/>
    <cellStyle name="60% - Accent6 2 2 3" xfId="178" xr:uid="{00000000-0005-0000-0000-00009A000000}"/>
    <cellStyle name="60% - Accent6 2 3" xfId="179" xr:uid="{00000000-0005-0000-0000-00009B000000}"/>
    <cellStyle name="60% - Accent6 2 4" xfId="180" xr:uid="{00000000-0005-0000-0000-00009C000000}"/>
    <cellStyle name="60% - Accent6 3" xfId="181" xr:uid="{00000000-0005-0000-0000-00009D000000}"/>
    <cellStyle name="60% - Accent6 3 2" xfId="182" xr:uid="{00000000-0005-0000-0000-00009E000000}"/>
    <cellStyle name="Accent1 2" xfId="183" xr:uid="{00000000-0005-0000-0000-00009F000000}"/>
    <cellStyle name="Accent1 2 2" xfId="184" xr:uid="{00000000-0005-0000-0000-0000A0000000}"/>
    <cellStyle name="Accent1 2 2 2" xfId="185" xr:uid="{00000000-0005-0000-0000-0000A1000000}"/>
    <cellStyle name="Accent1 2 2 3" xfId="186" xr:uid="{00000000-0005-0000-0000-0000A2000000}"/>
    <cellStyle name="Accent1 2 3" xfId="187" xr:uid="{00000000-0005-0000-0000-0000A3000000}"/>
    <cellStyle name="Accent1 2 4" xfId="188" xr:uid="{00000000-0005-0000-0000-0000A4000000}"/>
    <cellStyle name="Accent1 3" xfId="189" xr:uid="{00000000-0005-0000-0000-0000A5000000}"/>
    <cellStyle name="Accent1 3 2" xfId="190" xr:uid="{00000000-0005-0000-0000-0000A6000000}"/>
    <cellStyle name="Accent2 2" xfId="191" xr:uid="{00000000-0005-0000-0000-0000A7000000}"/>
    <cellStyle name="Accent2 2 2" xfId="192" xr:uid="{00000000-0005-0000-0000-0000A8000000}"/>
    <cellStyle name="Accent2 2 2 2" xfId="193" xr:uid="{00000000-0005-0000-0000-0000A9000000}"/>
    <cellStyle name="Accent2 2 2 3" xfId="194" xr:uid="{00000000-0005-0000-0000-0000AA000000}"/>
    <cellStyle name="Accent2 2 3" xfId="195" xr:uid="{00000000-0005-0000-0000-0000AB000000}"/>
    <cellStyle name="Accent2 2 4" xfId="196" xr:uid="{00000000-0005-0000-0000-0000AC000000}"/>
    <cellStyle name="Accent2 3" xfId="197" xr:uid="{00000000-0005-0000-0000-0000AD000000}"/>
    <cellStyle name="Accent2 3 2" xfId="198" xr:uid="{00000000-0005-0000-0000-0000AE000000}"/>
    <cellStyle name="Accent3 2" xfId="199" xr:uid="{00000000-0005-0000-0000-0000AF000000}"/>
    <cellStyle name="Accent3 2 2" xfId="200" xr:uid="{00000000-0005-0000-0000-0000B0000000}"/>
    <cellStyle name="Accent3 2 2 2" xfId="201" xr:uid="{00000000-0005-0000-0000-0000B1000000}"/>
    <cellStyle name="Accent3 2 2 3" xfId="202" xr:uid="{00000000-0005-0000-0000-0000B2000000}"/>
    <cellStyle name="Accent3 2 3" xfId="203" xr:uid="{00000000-0005-0000-0000-0000B3000000}"/>
    <cellStyle name="Accent3 2 4" xfId="204" xr:uid="{00000000-0005-0000-0000-0000B4000000}"/>
    <cellStyle name="Accent3 3" xfId="205" xr:uid="{00000000-0005-0000-0000-0000B5000000}"/>
    <cellStyle name="Accent3 3 2" xfId="206" xr:uid="{00000000-0005-0000-0000-0000B6000000}"/>
    <cellStyle name="Accent4 2" xfId="207" xr:uid="{00000000-0005-0000-0000-0000B7000000}"/>
    <cellStyle name="Accent4 2 2" xfId="208" xr:uid="{00000000-0005-0000-0000-0000B8000000}"/>
    <cellStyle name="Accent4 2 2 2" xfId="209" xr:uid="{00000000-0005-0000-0000-0000B9000000}"/>
    <cellStyle name="Accent4 2 2 3" xfId="210" xr:uid="{00000000-0005-0000-0000-0000BA000000}"/>
    <cellStyle name="Accent4 2 3" xfId="211" xr:uid="{00000000-0005-0000-0000-0000BB000000}"/>
    <cellStyle name="Accent4 2 4" xfId="212" xr:uid="{00000000-0005-0000-0000-0000BC000000}"/>
    <cellStyle name="Accent4 3" xfId="213" xr:uid="{00000000-0005-0000-0000-0000BD000000}"/>
    <cellStyle name="Accent4 3 2" xfId="214" xr:uid="{00000000-0005-0000-0000-0000BE000000}"/>
    <cellStyle name="Accent5 2" xfId="215" xr:uid="{00000000-0005-0000-0000-0000BF000000}"/>
    <cellStyle name="Accent5 2 2" xfId="216" xr:uid="{00000000-0005-0000-0000-0000C0000000}"/>
    <cellStyle name="Accent5 2 2 2" xfId="217" xr:uid="{00000000-0005-0000-0000-0000C1000000}"/>
    <cellStyle name="Accent5 2 2 3" xfId="218" xr:uid="{00000000-0005-0000-0000-0000C2000000}"/>
    <cellStyle name="Accent5 2 3" xfId="219" xr:uid="{00000000-0005-0000-0000-0000C3000000}"/>
    <cellStyle name="Accent5 2 4" xfId="220" xr:uid="{00000000-0005-0000-0000-0000C4000000}"/>
    <cellStyle name="Accent5 3" xfId="221" xr:uid="{00000000-0005-0000-0000-0000C5000000}"/>
    <cellStyle name="Accent5 3 2" xfId="222" xr:uid="{00000000-0005-0000-0000-0000C6000000}"/>
    <cellStyle name="Accent6 2" xfId="223" xr:uid="{00000000-0005-0000-0000-0000C7000000}"/>
    <cellStyle name="Accent6 2 2" xfId="224" xr:uid="{00000000-0005-0000-0000-0000C8000000}"/>
    <cellStyle name="Accent6 2 2 2" xfId="225" xr:uid="{00000000-0005-0000-0000-0000C9000000}"/>
    <cellStyle name="Accent6 2 2 3" xfId="226" xr:uid="{00000000-0005-0000-0000-0000CA000000}"/>
    <cellStyle name="Accent6 2 3" xfId="227" xr:uid="{00000000-0005-0000-0000-0000CB000000}"/>
    <cellStyle name="Accent6 2 4" xfId="228" xr:uid="{00000000-0005-0000-0000-0000CC000000}"/>
    <cellStyle name="Accent6 3" xfId="229" xr:uid="{00000000-0005-0000-0000-0000CD000000}"/>
    <cellStyle name="Accent6 3 2" xfId="230" xr:uid="{00000000-0005-0000-0000-0000CE000000}"/>
    <cellStyle name="Bad 2" xfId="231" xr:uid="{00000000-0005-0000-0000-0000CF000000}"/>
    <cellStyle name="Bad 2 2" xfId="232" xr:uid="{00000000-0005-0000-0000-0000D0000000}"/>
    <cellStyle name="Bad 2 2 2" xfId="233" xr:uid="{00000000-0005-0000-0000-0000D1000000}"/>
    <cellStyle name="Bad 2 2 3" xfId="234" xr:uid="{00000000-0005-0000-0000-0000D2000000}"/>
    <cellStyle name="Bad 2 3" xfId="235" xr:uid="{00000000-0005-0000-0000-0000D3000000}"/>
    <cellStyle name="Bad 2 4" xfId="236" xr:uid="{00000000-0005-0000-0000-0000D4000000}"/>
    <cellStyle name="Bad 3" xfId="237" xr:uid="{00000000-0005-0000-0000-0000D5000000}"/>
    <cellStyle name="Bad 3 2" xfId="238" xr:uid="{00000000-0005-0000-0000-0000D6000000}"/>
    <cellStyle name="Calculation 2" xfId="239" xr:uid="{00000000-0005-0000-0000-0000D7000000}"/>
    <cellStyle name="Calculation 2 2" xfId="240" xr:uid="{00000000-0005-0000-0000-0000D8000000}"/>
    <cellStyle name="Calculation 2 2 2" xfId="241" xr:uid="{00000000-0005-0000-0000-0000D9000000}"/>
    <cellStyle name="Calculation 2 2 3" xfId="242" xr:uid="{00000000-0005-0000-0000-0000DA000000}"/>
    <cellStyle name="Calculation 2 3" xfId="243" xr:uid="{00000000-0005-0000-0000-0000DB000000}"/>
    <cellStyle name="Calculation 2 3 2" xfId="244" xr:uid="{00000000-0005-0000-0000-0000DC000000}"/>
    <cellStyle name="Calculation 2 3 2 2" xfId="245" xr:uid="{00000000-0005-0000-0000-0000DD000000}"/>
    <cellStyle name="Calculation 2 3 3" xfId="246" xr:uid="{00000000-0005-0000-0000-0000DE000000}"/>
    <cellStyle name="Calculation 2 3 4" xfId="247" xr:uid="{00000000-0005-0000-0000-0000DF000000}"/>
    <cellStyle name="Calculation 2 4" xfId="248" xr:uid="{00000000-0005-0000-0000-0000E0000000}"/>
    <cellStyle name="Calculation 2 4 2" xfId="249" xr:uid="{00000000-0005-0000-0000-0000E1000000}"/>
    <cellStyle name="Calculation 2 5" xfId="250" xr:uid="{00000000-0005-0000-0000-0000E2000000}"/>
    <cellStyle name="Calculation 2 6" xfId="251" xr:uid="{00000000-0005-0000-0000-0000E3000000}"/>
    <cellStyle name="Calculation 2 7" xfId="252" xr:uid="{00000000-0005-0000-0000-0000E4000000}"/>
    <cellStyle name="Calculation 2_ورقة1" xfId="253" xr:uid="{00000000-0005-0000-0000-0000E5000000}"/>
    <cellStyle name="Calculation 3" xfId="254" xr:uid="{00000000-0005-0000-0000-0000E6000000}"/>
    <cellStyle name="Calculation 3 2" xfId="255" xr:uid="{00000000-0005-0000-0000-0000E7000000}"/>
    <cellStyle name="Calculation 3 2 2" xfId="256" xr:uid="{00000000-0005-0000-0000-0000E8000000}"/>
    <cellStyle name="Calculation 3 2 2 2" xfId="257" xr:uid="{00000000-0005-0000-0000-0000E9000000}"/>
    <cellStyle name="Calculation 3 2 3" xfId="258" xr:uid="{00000000-0005-0000-0000-0000EA000000}"/>
    <cellStyle name="Calculation 3 3" xfId="259" xr:uid="{00000000-0005-0000-0000-0000EB000000}"/>
    <cellStyle name="Calculation 3 3 2" xfId="260" xr:uid="{00000000-0005-0000-0000-0000EC000000}"/>
    <cellStyle name="Calculation 3 4" xfId="261" xr:uid="{00000000-0005-0000-0000-0000ED000000}"/>
    <cellStyle name="Calculation 3 5" xfId="262" xr:uid="{00000000-0005-0000-0000-0000EE000000}"/>
    <cellStyle name="Calculation 3 6" xfId="263" xr:uid="{00000000-0005-0000-0000-0000EF000000}"/>
    <cellStyle name="Check Cell 2" xfId="264" xr:uid="{00000000-0005-0000-0000-0000F0000000}"/>
    <cellStyle name="Check Cell 2 2" xfId="265" xr:uid="{00000000-0005-0000-0000-0000F1000000}"/>
    <cellStyle name="Check Cell 2 2 2" xfId="266" xr:uid="{00000000-0005-0000-0000-0000F2000000}"/>
    <cellStyle name="Check Cell 2 2 3" xfId="267" xr:uid="{00000000-0005-0000-0000-0000F3000000}"/>
    <cellStyle name="Check Cell 2 3" xfId="268" xr:uid="{00000000-0005-0000-0000-0000F4000000}"/>
    <cellStyle name="Check Cell 2 4" xfId="269" xr:uid="{00000000-0005-0000-0000-0000F5000000}"/>
    <cellStyle name="Check Cell 2_ورقة1" xfId="270" xr:uid="{00000000-0005-0000-0000-0000F6000000}"/>
    <cellStyle name="Check Cell 3" xfId="271" xr:uid="{00000000-0005-0000-0000-0000F7000000}"/>
    <cellStyle name="Check Cell 3 2" xfId="272" xr:uid="{00000000-0005-0000-0000-0000F8000000}"/>
    <cellStyle name="clsReportHeader" xfId="273" xr:uid="{00000000-0005-0000-0000-0000F9000000}"/>
    <cellStyle name="Comma" xfId="1" builtinId="3"/>
    <cellStyle name="Comma 10" xfId="274" xr:uid="{00000000-0005-0000-0000-0000FB000000}"/>
    <cellStyle name="Comma 11" xfId="275" xr:uid="{00000000-0005-0000-0000-0000FC000000}"/>
    <cellStyle name="Comma 12" xfId="276" xr:uid="{00000000-0005-0000-0000-0000FD000000}"/>
    <cellStyle name="Comma 12 2" xfId="277" xr:uid="{00000000-0005-0000-0000-0000FE000000}"/>
    <cellStyle name="Comma 13" xfId="278" xr:uid="{00000000-0005-0000-0000-0000FF000000}"/>
    <cellStyle name="Comma 14" xfId="279" xr:uid="{00000000-0005-0000-0000-000000010000}"/>
    <cellStyle name="Comma 15" xfId="280" xr:uid="{00000000-0005-0000-0000-000001010000}"/>
    <cellStyle name="Comma 2" xfId="10" xr:uid="{00000000-0005-0000-0000-000002010000}"/>
    <cellStyle name="Comma 2 2" xfId="282" xr:uid="{00000000-0005-0000-0000-000003010000}"/>
    <cellStyle name="Comma 2 2 2" xfId="283" xr:uid="{00000000-0005-0000-0000-000004010000}"/>
    <cellStyle name="Comma 2 3" xfId="284" xr:uid="{00000000-0005-0000-0000-000005010000}"/>
    <cellStyle name="Comma 2 3 2" xfId="285" xr:uid="{00000000-0005-0000-0000-000006010000}"/>
    <cellStyle name="Comma 2 3 2 2" xfId="286" xr:uid="{00000000-0005-0000-0000-000007010000}"/>
    <cellStyle name="Comma 2 4" xfId="287" xr:uid="{00000000-0005-0000-0000-000008010000}"/>
    <cellStyle name="Comma 2 5" xfId="281" xr:uid="{00000000-0005-0000-0000-000009010000}"/>
    <cellStyle name="Comma 3" xfId="9" xr:uid="{00000000-0005-0000-0000-00000A010000}"/>
    <cellStyle name="Comma 3 2" xfId="289" xr:uid="{00000000-0005-0000-0000-00000B010000}"/>
    <cellStyle name="Comma 3 2 2" xfId="290" xr:uid="{00000000-0005-0000-0000-00000C010000}"/>
    <cellStyle name="Comma 3 3" xfId="291" xr:uid="{00000000-0005-0000-0000-00000D010000}"/>
    <cellStyle name="Comma 3 3 2" xfId="292" xr:uid="{00000000-0005-0000-0000-00000E010000}"/>
    <cellStyle name="Comma 3 4" xfId="293" xr:uid="{00000000-0005-0000-0000-00000F010000}"/>
    <cellStyle name="Comma 3 4 2" xfId="294" xr:uid="{00000000-0005-0000-0000-000010010000}"/>
    <cellStyle name="Comma 3 5" xfId="295" xr:uid="{00000000-0005-0000-0000-000011010000}"/>
    <cellStyle name="Comma 3 5 2" xfId="296" xr:uid="{00000000-0005-0000-0000-000012010000}"/>
    <cellStyle name="Comma 3 6" xfId="297" xr:uid="{00000000-0005-0000-0000-000013010000}"/>
    <cellStyle name="Comma 3 7" xfId="298" xr:uid="{00000000-0005-0000-0000-000014010000}"/>
    <cellStyle name="Comma 3 8" xfId="288" xr:uid="{00000000-0005-0000-0000-000015010000}"/>
    <cellStyle name="Comma 4" xfId="24" xr:uid="{00000000-0005-0000-0000-000016010000}"/>
    <cellStyle name="Comma 4 2" xfId="300" xr:uid="{00000000-0005-0000-0000-000017010000}"/>
    <cellStyle name="Comma 4 2 2" xfId="301" xr:uid="{00000000-0005-0000-0000-000018010000}"/>
    <cellStyle name="Comma 4 2 2 2" xfId="302" xr:uid="{00000000-0005-0000-0000-000019010000}"/>
    <cellStyle name="Comma 4 2 3" xfId="303" xr:uid="{00000000-0005-0000-0000-00001A010000}"/>
    <cellStyle name="Comma 4 3" xfId="304" xr:uid="{00000000-0005-0000-0000-00001B010000}"/>
    <cellStyle name="Comma 4 3 2" xfId="305" xr:uid="{00000000-0005-0000-0000-00001C010000}"/>
    <cellStyle name="Comma 4 4" xfId="306" xr:uid="{00000000-0005-0000-0000-00001D010000}"/>
    <cellStyle name="Comma 4 5" xfId="307" xr:uid="{00000000-0005-0000-0000-00001E010000}"/>
    <cellStyle name="Comma 4 6" xfId="299" xr:uid="{00000000-0005-0000-0000-00001F010000}"/>
    <cellStyle name="Comma 5" xfId="308" xr:uid="{00000000-0005-0000-0000-000020010000}"/>
    <cellStyle name="Comma 5 2" xfId="309" xr:uid="{00000000-0005-0000-0000-000021010000}"/>
    <cellStyle name="Comma 5 2 2" xfId="310" xr:uid="{00000000-0005-0000-0000-000022010000}"/>
    <cellStyle name="Comma 5 3" xfId="311" xr:uid="{00000000-0005-0000-0000-000023010000}"/>
    <cellStyle name="Comma 6" xfId="312" xr:uid="{00000000-0005-0000-0000-000024010000}"/>
    <cellStyle name="Comma 6 2" xfId="313" xr:uid="{00000000-0005-0000-0000-000025010000}"/>
    <cellStyle name="Comma 6 2 2" xfId="314" xr:uid="{00000000-0005-0000-0000-000026010000}"/>
    <cellStyle name="Comma 6 3" xfId="315" xr:uid="{00000000-0005-0000-0000-000027010000}"/>
    <cellStyle name="Comma 7" xfId="316" xr:uid="{00000000-0005-0000-0000-000028010000}"/>
    <cellStyle name="Comma 7 2" xfId="317" xr:uid="{00000000-0005-0000-0000-000029010000}"/>
    <cellStyle name="Comma 7 2 2" xfId="318" xr:uid="{00000000-0005-0000-0000-00002A010000}"/>
    <cellStyle name="Comma 7 3" xfId="319" xr:uid="{00000000-0005-0000-0000-00002B010000}"/>
    <cellStyle name="Comma 8" xfId="320" xr:uid="{00000000-0005-0000-0000-00002C010000}"/>
    <cellStyle name="Comma 8 2" xfId="321" xr:uid="{00000000-0005-0000-0000-00002D010000}"/>
    <cellStyle name="Comma 8 2 2" xfId="322" xr:uid="{00000000-0005-0000-0000-00002E010000}"/>
    <cellStyle name="Comma 8 3" xfId="323" xr:uid="{00000000-0005-0000-0000-00002F010000}"/>
    <cellStyle name="Comma 9" xfId="324" xr:uid="{00000000-0005-0000-0000-000030010000}"/>
    <cellStyle name="Comma 9 2" xfId="325" xr:uid="{00000000-0005-0000-0000-000031010000}"/>
    <cellStyle name="Comma䲠[0]_THESIS_COVER" xfId="22" xr:uid="{00000000-0005-0000-0000-000032010000}"/>
    <cellStyle name="Euro" xfId="23" xr:uid="{00000000-0005-0000-0000-000033010000}"/>
    <cellStyle name="Euro 2" xfId="326" xr:uid="{00000000-0005-0000-0000-000034010000}"/>
    <cellStyle name="Explanatory Text 2" xfId="327" xr:uid="{00000000-0005-0000-0000-000035010000}"/>
    <cellStyle name="Explanatory Text 2 2" xfId="328" xr:uid="{00000000-0005-0000-0000-000036010000}"/>
    <cellStyle name="Explanatory Text 2 2 2" xfId="329" xr:uid="{00000000-0005-0000-0000-000037010000}"/>
    <cellStyle name="Explanatory Text 2 2 3" xfId="330" xr:uid="{00000000-0005-0000-0000-000038010000}"/>
    <cellStyle name="Explanatory Text 2 3" xfId="331" xr:uid="{00000000-0005-0000-0000-000039010000}"/>
    <cellStyle name="Explanatory Text 2 4" xfId="332" xr:uid="{00000000-0005-0000-0000-00003A010000}"/>
    <cellStyle name="Explanatory Text 3" xfId="333" xr:uid="{00000000-0005-0000-0000-00003B010000}"/>
    <cellStyle name="Explanatory Text 3 2" xfId="334" xr:uid="{00000000-0005-0000-0000-00003C010000}"/>
    <cellStyle name="Good 2" xfId="335" xr:uid="{00000000-0005-0000-0000-00003D010000}"/>
    <cellStyle name="Good 2 2" xfId="336" xr:uid="{00000000-0005-0000-0000-00003E010000}"/>
    <cellStyle name="Good 2 2 2" xfId="337" xr:uid="{00000000-0005-0000-0000-00003F010000}"/>
    <cellStyle name="Good 2 2 3" xfId="338" xr:uid="{00000000-0005-0000-0000-000040010000}"/>
    <cellStyle name="Good 2 3" xfId="339" xr:uid="{00000000-0005-0000-0000-000041010000}"/>
    <cellStyle name="Good 2 4" xfId="340" xr:uid="{00000000-0005-0000-0000-000042010000}"/>
    <cellStyle name="Good 3" xfId="341" xr:uid="{00000000-0005-0000-0000-000043010000}"/>
    <cellStyle name="Good 3 2" xfId="342" xr:uid="{00000000-0005-0000-0000-000044010000}"/>
    <cellStyle name="Heading 1 2" xfId="343" xr:uid="{00000000-0005-0000-0000-000045010000}"/>
    <cellStyle name="Heading 1 2 2" xfId="344" xr:uid="{00000000-0005-0000-0000-000046010000}"/>
    <cellStyle name="Heading 1 2 2 2" xfId="345" xr:uid="{00000000-0005-0000-0000-000047010000}"/>
    <cellStyle name="Heading 1 2 2 3" xfId="346" xr:uid="{00000000-0005-0000-0000-000048010000}"/>
    <cellStyle name="Heading 1 2 3" xfId="347" xr:uid="{00000000-0005-0000-0000-000049010000}"/>
    <cellStyle name="Heading 1 2 4" xfId="348" xr:uid="{00000000-0005-0000-0000-00004A010000}"/>
    <cellStyle name="Heading 1 2_ورقة1" xfId="349" xr:uid="{00000000-0005-0000-0000-00004B010000}"/>
    <cellStyle name="Heading 1 3" xfId="350" xr:uid="{00000000-0005-0000-0000-00004C010000}"/>
    <cellStyle name="Heading 1 3 2" xfId="351" xr:uid="{00000000-0005-0000-0000-00004D010000}"/>
    <cellStyle name="Heading 2 2" xfId="352" xr:uid="{00000000-0005-0000-0000-00004E010000}"/>
    <cellStyle name="Heading 2 2 2" xfId="353" xr:uid="{00000000-0005-0000-0000-00004F010000}"/>
    <cellStyle name="Heading 2 2 2 2" xfId="354" xr:uid="{00000000-0005-0000-0000-000050010000}"/>
    <cellStyle name="Heading 2 2 2 3" xfId="355" xr:uid="{00000000-0005-0000-0000-000051010000}"/>
    <cellStyle name="Heading 2 2 3" xfId="356" xr:uid="{00000000-0005-0000-0000-000052010000}"/>
    <cellStyle name="Heading 2 2 4" xfId="357" xr:uid="{00000000-0005-0000-0000-000053010000}"/>
    <cellStyle name="Heading 2 2_ورقة1" xfId="358" xr:uid="{00000000-0005-0000-0000-000054010000}"/>
    <cellStyle name="Heading 2 3" xfId="359" xr:uid="{00000000-0005-0000-0000-000055010000}"/>
    <cellStyle name="Heading 2 3 2" xfId="360" xr:uid="{00000000-0005-0000-0000-000056010000}"/>
    <cellStyle name="Heading 3 2" xfId="361" xr:uid="{00000000-0005-0000-0000-000057010000}"/>
    <cellStyle name="Heading 3 2 2" xfId="362" xr:uid="{00000000-0005-0000-0000-000058010000}"/>
    <cellStyle name="Heading 3 2 2 2" xfId="363" xr:uid="{00000000-0005-0000-0000-000059010000}"/>
    <cellStyle name="Heading 3 2 2 3" xfId="364" xr:uid="{00000000-0005-0000-0000-00005A010000}"/>
    <cellStyle name="Heading 3 2 3" xfId="365" xr:uid="{00000000-0005-0000-0000-00005B010000}"/>
    <cellStyle name="Heading 3 2 3 2" xfId="366" xr:uid="{00000000-0005-0000-0000-00005C010000}"/>
    <cellStyle name="Heading 3 2 4" xfId="367" xr:uid="{00000000-0005-0000-0000-00005D010000}"/>
    <cellStyle name="Heading 3 2_ورقة1" xfId="368" xr:uid="{00000000-0005-0000-0000-00005E010000}"/>
    <cellStyle name="Heading 3 3" xfId="369" xr:uid="{00000000-0005-0000-0000-00005F010000}"/>
    <cellStyle name="Heading 3 3 2" xfId="370" xr:uid="{00000000-0005-0000-0000-000060010000}"/>
    <cellStyle name="Heading 3 3 3" xfId="371" xr:uid="{00000000-0005-0000-0000-000061010000}"/>
    <cellStyle name="Heading 3 4" xfId="372" xr:uid="{00000000-0005-0000-0000-000062010000}"/>
    <cellStyle name="Heading 3 4 2" xfId="373" xr:uid="{00000000-0005-0000-0000-000063010000}"/>
    <cellStyle name="Heading 3 4 2 2" xfId="374" xr:uid="{00000000-0005-0000-0000-000064010000}"/>
    <cellStyle name="Heading 4 2" xfId="375" xr:uid="{00000000-0005-0000-0000-000065010000}"/>
    <cellStyle name="Heading 4 2 2" xfId="376" xr:uid="{00000000-0005-0000-0000-000066010000}"/>
    <cellStyle name="Heading 4 2 2 2" xfId="377" xr:uid="{00000000-0005-0000-0000-000067010000}"/>
    <cellStyle name="Heading 4 2 2 3" xfId="378" xr:uid="{00000000-0005-0000-0000-000068010000}"/>
    <cellStyle name="Heading 4 2 3" xfId="379" xr:uid="{00000000-0005-0000-0000-000069010000}"/>
    <cellStyle name="Heading 4 2 4" xfId="380" xr:uid="{00000000-0005-0000-0000-00006A010000}"/>
    <cellStyle name="Heading 4 3" xfId="381" xr:uid="{00000000-0005-0000-0000-00006B010000}"/>
    <cellStyle name="Heading 4 3 2" xfId="382" xr:uid="{00000000-0005-0000-0000-00006C010000}"/>
    <cellStyle name="Input 2" xfId="383" xr:uid="{00000000-0005-0000-0000-00006D010000}"/>
    <cellStyle name="Input 2 2" xfId="384" xr:uid="{00000000-0005-0000-0000-00006E010000}"/>
    <cellStyle name="Input 2 2 2" xfId="385" xr:uid="{00000000-0005-0000-0000-00006F010000}"/>
    <cellStyle name="Input 2 2 3" xfId="386" xr:uid="{00000000-0005-0000-0000-000070010000}"/>
    <cellStyle name="Input 2 3" xfId="387" xr:uid="{00000000-0005-0000-0000-000071010000}"/>
    <cellStyle name="Input 2 3 2" xfId="388" xr:uid="{00000000-0005-0000-0000-000072010000}"/>
    <cellStyle name="Input 2 3 2 2" xfId="389" xr:uid="{00000000-0005-0000-0000-000073010000}"/>
    <cellStyle name="Input 2 3 3" xfId="390" xr:uid="{00000000-0005-0000-0000-000074010000}"/>
    <cellStyle name="Input 2 3 4" xfId="391" xr:uid="{00000000-0005-0000-0000-000075010000}"/>
    <cellStyle name="Input 2 4" xfId="392" xr:uid="{00000000-0005-0000-0000-000076010000}"/>
    <cellStyle name="Input 2 4 2" xfId="393" xr:uid="{00000000-0005-0000-0000-000077010000}"/>
    <cellStyle name="Input 2 5" xfId="394" xr:uid="{00000000-0005-0000-0000-000078010000}"/>
    <cellStyle name="Input 2 6" xfId="395" xr:uid="{00000000-0005-0000-0000-000079010000}"/>
    <cellStyle name="Input 2 7" xfId="396" xr:uid="{00000000-0005-0000-0000-00007A010000}"/>
    <cellStyle name="Input 2_ورقة1" xfId="397" xr:uid="{00000000-0005-0000-0000-00007B010000}"/>
    <cellStyle name="Input 3" xfId="398" xr:uid="{00000000-0005-0000-0000-00007C010000}"/>
    <cellStyle name="Input 3 2" xfId="399" xr:uid="{00000000-0005-0000-0000-00007D010000}"/>
    <cellStyle name="Input 3 2 2" xfId="400" xr:uid="{00000000-0005-0000-0000-00007E010000}"/>
    <cellStyle name="Input 3 2 2 2" xfId="401" xr:uid="{00000000-0005-0000-0000-00007F010000}"/>
    <cellStyle name="Input 3 2 3" xfId="402" xr:uid="{00000000-0005-0000-0000-000080010000}"/>
    <cellStyle name="Input 3 3" xfId="403" xr:uid="{00000000-0005-0000-0000-000081010000}"/>
    <cellStyle name="Input 3 3 2" xfId="404" xr:uid="{00000000-0005-0000-0000-000082010000}"/>
    <cellStyle name="Input 3 4" xfId="405" xr:uid="{00000000-0005-0000-0000-000083010000}"/>
    <cellStyle name="Input 3 5" xfId="406" xr:uid="{00000000-0005-0000-0000-000084010000}"/>
    <cellStyle name="Input 3 6" xfId="407" xr:uid="{00000000-0005-0000-0000-000085010000}"/>
    <cellStyle name="Linked Cell 2" xfId="408" xr:uid="{00000000-0005-0000-0000-000086010000}"/>
    <cellStyle name="Linked Cell 2 2" xfId="409" xr:uid="{00000000-0005-0000-0000-000087010000}"/>
    <cellStyle name="Linked Cell 2 2 2" xfId="410" xr:uid="{00000000-0005-0000-0000-000088010000}"/>
    <cellStyle name="Linked Cell 2 2 3" xfId="411" xr:uid="{00000000-0005-0000-0000-000089010000}"/>
    <cellStyle name="Linked Cell 2 3" xfId="412" xr:uid="{00000000-0005-0000-0000-00008A010000}"/>
    <cellStyle name="Linked Cell 2 3 2" xfId="413" xr:uid="{00000000-0005-0000-0000-00008B010000}"/>
    <cellStyle name="Linked Cell 2 4" xfId="414" xr:uid="{00000000-0005-0000-0000-00008C010000}"/>
    <cellStyle name="Linked Cell 2_ورقة1" xfId="415" xr:uid="{00000000-0005-0000-0000-00008D010000}"/>
    <cellStyle name="Linked Cell 3" xfId="416" xr:uid="{00000000-0005-0000-0000-00008E010000}"/>
    <cellStyle name="Linked Cell 3 2" xfId="417" xr:uid="{00000000-0005-0000-0000-00008F010000}"/>
    <cellStyle name="Linked Cell 3 3" xfId="418" xr:uid="{00000000-0005-0000-0000-000090010000}"/>
    <cellStyle name="Linked Cell 4" xfId="419" xr:uid="{00000000-0005-0000-0000-000091010000}"/>
    <cellStyle name="MS_Arabic" xfId="12" xr:uid="{00000000-0005-0000-0000-000092010000}"/>
    <cellStyle name="Neutral 2" xfId="420" xr:uid="{00000000-0005-0000-0000-000093010000}"/>
    <cellStyle name="Neutral 2 2" xfId="421" xr:uid="{00000000-0005-0000-0000-000094010000}"/>
    <cellStyle name="Neutral 2 2 2" xfId="422" xr:uid="{00000000-0005-0000-0000-000095010000}"/>
    <cellStyle name="Neutral 2 2 3" xfId="423" xr:uid="{00000000-0005-0000-0000-000096010000}"/>
    <cellStyle name="Neutral 2 3" xfId="424" xr:uid="{00000000-0005-0000-0000-000097010000}"/>
    <cellStyle name="Neutral 2 4" xfId="425" xr:uid="{00000000-0005-0000-0000-000098010000}"/>
    <cellStyle name="Neutral 3" xfId="426" xr:uid="{00000000-0005-0000-0000-000099010000}"/>
    <cellStyle name="Neutral 3 2" xfId="427" xr:uid="{00000000-0005-0000-0000-00009A010000}"/>
    <cellStyle name="Normal" xfId="0" builtinId="0"/>
    <cellStyle name="Normal 10" xfId="428" xr:uid="{00000000-0005-0000-0000-00009C010000}"/>
    <cellStyle name="Normal 10 2" xfId="429" xr:uid="{00000000-0005-0000-0000-00009D010000}"/>
    <cellStyle name="Normal 10 2 2" xfId="430" xr:uid="{00000000-0005-0000-0000-00009E010000}"/>
    <cellStyle name="Normal 10 3" xfId="431" xr:uid="{00000000-0005-0000-0000-00009F010000}"/>
    <cellStyle name="Normal 11" xfId="432" xr:uid="{00000000-0005-0000-0000-0000A0010000}"/>
    <cellStyle name="Normal 11 2" xfId="433" xr:uid="{00000000-0005-0000-0000-0000A1010000}"/>
    <cellStyle name="Normal 12" xfId="434" xr:uid="{00000000-0005-0000-0000-0000A2010000}"/>
    <cellStyle name="Normal 12 2" xfId="435" xr:uid="{00000000-0005-0000-0000-0000A3010000}"/>
    <cellStyle name="Normal 13" xfId="436" xr:uid="{00000000-0005-0000-0000-0000A4010000}"/>
    <cellStyle name="Normal 13 2" xfId="437" xr:uid="{00000000-0005-0000-0000-0000A5010000}"/>
    <cellStyle name="Normal 13 3" xfId="438" xr:uid="{00000000-0005-0000-0000-0000A6010000}"/>
    <cellStyle name="Normal 14" xfId="439" xr:uid="{00000000-0005-0000-0000-0000A7010000}"/>
    <cellStyle name="Normal 14 2" xfId="440" xr:uid="{00000000-0005-0000-0000-0000A8010000}"/>
    <cellStyle name="Normal 15" xfId="441" xr:uid="{00000000-0005-0000-0000-0000A9010000}"/>
    <cellStyle name="Normal 16" xfId="442" xr:uid="{00000000-0005-0000-0000-0000AA010000}"/>
    <cellStyle name="Normal 17" xfId="443" xr:uid="{00000000-0005-0000-0000-0000AB010000}"/>
    <cellStyle name="Normal 2" xfId="2" xr:uid="{00000000-0005-0000-0000-0000AC010000}"/>
    <cellStyle name="Normal 2 2" xfId="7" xr:uid="{00000000-0005-0000-0000-0000AD010000}"/>
    <cellStyle name="Normal 2 2 2" xfId="445" xr:uid="{00000000-0005-0000-0000-0000AE010000}"/>
    <cellStyle name="Normal 2 2 3" xfId="444" xr:uid="{00000000-0005-0000-0000-0000AF010000}"/>
    <cellStyle name="Normal 2 3" xfId="446" xr:uid="{00000000-0005-0000-0000-0000B0010000}"/>
    <cellStyle name="Normal 2 3 2" xfId="447" xr:uid="{00000000-0005-0000-0000-0000B1010000}"/>
    <cellStyle name="Normal 2 3 3" xfId="448" xr:uid="{00000000-0005-0000-0000-0000B2010000}"/>
    <cellStyle name="Normal 2 4" xfId="449" xr:uid="{00000000-0005-0000-0000-0000B3010000}"/>
    <cellStyle name="Normal 2 4 2" xfId="450" xr:uid="{00000000-0005-0000-0000-0000B4010000}"/>
    <cellStyle name="Normal 21" xfId="451" xr:uid="{00000000-0005-0000-0000-0000B5010000}"/>
    <cellStyle name="Normal 3" xfId="5" xr:uid="{00000000-0005-0000-0000-0000B6010000}"/>
    <cellStyle name="Normal 3 2" xfId="452" xr:uid="{00000000-0005-0000-0000-0000B7010000}"/>
    <cellStyle name="Normal 3 3" xfId="453" xr:uid="{00000000-0005-0000-0000-0000B8010000}"/>
    <cellStyle name="Normal 3 3 2" xfId="454" xr:uid="{00000000-0005-0000-0000-0000B9010000}"/>
    <cellStyle name="Normal 3_ورقة1" xfId="455" xr:uid="{00000000-0005-0000-0000-0000BA010000}"/>
    <cellStyle name="Normal 4" xfId="11" xr:uid="{00000000-0005-0000-0000-0000BB010000}"/>
    <cellStyle name="Normal 4 2" xfId="457" xr:uid="{00000000-0005-0000-0000-0000BC010000}"/>
    <cellStyle name="Normal 4 2 2" xfId="458" xr:uid="{00000000-0005-0000-0000-0000BD010000}"/>
    <cellStyle name="Normal 4 2 3" xfId="459" xr:uid="{00000000-0005-0000-0000-0000BE010000}"/>
    <cellStyle name="Normal 4 3" xfId="460" xr:uid="{00000000-0005-0000-0000-0000BF010000}"/>
    <cellStyle name="Normal 4 3 2" xfId="461" xr:uid="{00000000-0005-0000-0000-0000C0010000}"/>
    <cellStyle name="Normal 4 3 3" xfId="462" xr:uid="{00000000-0005-0000-0000-0000C1010000}"/>
    <cellStyle name="Normal 4 4" xfId="463" xr:uid="{00000000-0005-0000-0000-0000C2010000}"/>
    <cellStyle name="Normal 4 4 2" xfId="464" xr:uid="{00000000-0005-0000-0000-0000C3010000}"/>
    <cellStyle name="Normal 4 5" xfId="465" xr:uid="{00000000-0005-0000-0000-0000C4010000}"/>
    <cellStyle name="Normal 4 5 2" xfId="466" xr:uid="{00000000-0005-0000-0000-0000C5010000}"/>
    <cellStyle name="Normal 4 6" xfId="467" xr:uid="{00000000-0005-0000-0000-0000C6010000}"/>
    <cellStyle name="Normal 4 7" xfId="468" xr:uid="{00000000-0005-0000-0000-0000C7010000}"/>
    <cellStyle name="Normal 4 8" xfId="456" xr:uid="{00000000-0005-0000-0000-0000C8010000}"/>
    <cellStyle name="Normal 5" xfId="25" xr:uid="{00000000-0005-0000-0000-0000C9010000}"/>
    <cellStyle name="Normal 5 2" xfId="470" xr:uid="{00000000-0005-0000-0000-0000CA010000}"/>
    <cellStyle name="Normal 5 2 2" xfId="471" xr:uid="{00000000-0005-0000-0000-0000CB010000}"/>
    <cellStyle name="Normal 5 3" xfId="472" xr:uid="{00000000-0005-0000-0000-0000CC010000}"/>
    <cellStyle name="Normal 5 3 2" xfId="473" xr:uid="{00000000-0005-0000-0000-0000CD010000}"/>
    <cellStyle name="Normal 5 4" xfId="474" xr:uid="{00000000-0005-0000-0000-0000CE010000}"/>
    <cellStyle name="Normal 5 5" xfId="469" xr:uid="{00000000-0005-0000-0000-0000CF010000}"/>
    <cellStyle name="Normal 5_ورقة1" xfId="475" xr:uid="{00000000-0005-0000-0000-0000D0010000}"/>
    <cellStyle name="Normal 6" xfId="476" xr:uid="{00000000-0005-0000-0000-0000D1010000}"/>
    <cellStyle name="Normal 6 2" xfId="477" xr:uid="{00000000-0005-0000-0000-0000D2010000}"/>
    <cellStyle name="Normal 6 2 2" xfId="478" xr:uid="{00000000-0005-0000-0000-0000D3010000}"/>
    <cellStyle name="Normal 6 3" xfId="479" xr:uid="{00000000-0005-0000-0000-0000D4010000}"/>
    <cellStyle name="Normal 7" xfId="480" xr:uid="{00000000-0005-0000-0000-0000D5010000}"/>
    <cellStyle name="Normal 7 2" xfId="481" xr:uid="{00000000-0005-0000-0000-0000D6010000}"/>
    <cellStyle name="Normal 7 2 2" xfId="482" xr:uid="{00000000-0005-0000-0000-0000D7010000}"/>
    <cellStyle name="Normal 7 2 3" xfId="483" xr:uid="{00000000-0005-0000-0000-0000D8010000}"/>
    <cellStyle name="Normal 7 3" xfId="484" xr:uid="{00000000-0005-0000-0000-0000D9010000}"/>
    <cellStyle name="Normal 8" xfId="485" xr:uid="{00000000-0005-0000-0000-0000DA010000}"/>
    <cellStyle name="Normal 8 2" xfId="486" xr:uid="{00000000-0005-0000-0000-0000DB010000}"/>
    <cellStyle name="Normal 8 2 2" xfId="487" xr:uid="{00000000-0005-0000-0000-0000DC010000}"/>
    <cellStyle name="Normal 8 3" xfId="488" xr:uid="{00000000-0005-0000-0000-0000DD010000}"/>
    <cellStyle name="Normal 8 4" xfId="489" xr:uid="{00000000-0005-0000-0000-0000DE010000}"/>
    <cellStyle name="Normal 9" xfId="490" xr:uid="{00000000-0005-0000-0000-0000DF010000}"/>
    <cellStyle name="Normal 9 2" xfId="491" xr:uid="{00000000-0005-0000-0000-0000E0010000}"/>
    <cellStyle name="Normal 9 2 2" xfId="492" xr:uid="{00000000-0005-0000-0000-0000E1010000}"/>
    <cellStyle name="Normal 9 3" xfId="493" xr:uid="{00000000-0005-0000-0000-0000E2010000}"/>
    <cellStyle name="Normal_BOP_11_14-19_21" xfId="3" xr:uid="{00000000-0005-0000-0000-0000E3010000}"/>
    <cellStyle name="Normal_BOP_11_14-19_21 2" xfId="8" xr:uid="{00000000-0005-0000-0000-0000E4010000}"/>
    <cellStyle name="Normal_T 25- T20" xfId="4" xr:uid="{00000000-0005-0000-0000-0000E5010000}"/>
    <cellStyle name="Normal_T 25- T20 2" xfId="6" xr:uid="{00000000-0005-0000-0000-0000E6010000}"/>
    <cellStyle name="Note 2" xfId="494" xr:uid="{00000000-0005-0000-0000-0000E7010000}"/>
    <cellStyle name="Note 2 2" xfId="495" xr:uid="{00000000-0005-0000-0000-0000E8010000}"/>
    <cellStyle name="Note 2 2 2" xfId="496" xr:uid="{00000000-0005-0000-0000-0000E9010000}"/>
    <cellStyle name="Note 2 3" xfId="497" xr:uid="{00000000-0005-0000-0000-0000EA010000}"/>
    <cellStyle name="Note 2 3 2" xfId="498" xr:uid="{00000000-0005-0000-0000-0000EB010000}"/>
    <cellStyle name="Note 2 3 3" xfId="499" xr:uid="{00000000-0005-0000-0000-0000EC010000}"/>
    <cellStyle name="Note 2 4" xfId="500" xr:uid="{00000000-0005-0000-0000-0000ED010000}"/>
    <cellStyle name="Note 2 4 2" xfId="501" xr:uid="{00000000-0005-0000-0000-0000EE010000}"/>
    <cellStyle name="Note 2 5" xfId="502" xr:uid="{00000000-0005-0000-0000-0000EF010000}"/>
    <cellStyle name="Note 2 5 2" xfId="503" xr:uid="{00000000-0005-0000-0000-0000F0010000}"/>
    <cellStyle name="Note 2 6" xfId="504" xr:uid="{00000000-0005-0000-0000-0000F1010000}"/>
    <cellStyle name="Note 2 7" xfId="505" xr:uid="{00000000-0005-0000-0000-0000F2010000}"/>
    <cellStyle name="Note 2_ورقة1" xfId="506" xr:uid="{00000000-0005-0000-0000-0000F3010000}"/>
    <cellStyle name="Note 3" xfId="507" xr:uid="{00000000-0005-0000-0000-0000F4010000}"/>
    <cellStyle name="Note 3 2" xfId="508" xr:uid="{00000000-0005-0000-0000-0000F5010000}"/>
    <cellStyle name="Note 3 2 2" xfId="509" xr:uid="{00000000-0005-0000-0000-0000F6010000}"/>
    <cellStyle name="Note 3 2 3" xfId="510" xr:uid="{00000000-0005-0000-0000-0000F7010000}"/>
    <cellStyle name="Note 3 3" xfId="511" xr:uid="{00000000-0005-0000-0000-0000F8010000}"/>
    <cellStyle name="Note 3 3 2" xfId="512" xr:uid="{00000000-0005-0000-0000-0000F9010000}"/>
    <cellStyle name="Note 3 4" xfId="513" xr:uid="{00000000-0005-0000-0000-0000FA010000}"/>
    <cellStyle name="Note 3 5" xfId="514" xr:uid="{00000000-0005-0000-0000-0000FB010000}"/>
    <cellStyle name="Note 4" xfId="515" xr:uid="{00000000-0005-0000-0000-0000FC010000}"/>
    <cellStyle name="Note 4 2" xfId="516" xr:uid="{00000000-0005-0000-0000-0000FD010000}"/>
    <cellStyle name="Note 5" xfId="517" xr:uid="{00000000-0005-0000-0000-0000FE010000}"/>
    <cellStyle name="Note 6" xfId="518" xr:uid="{00000000-0005-0000-0000-0000FF010000}"/>
    <cellStyle name="Output 2" xfId="519" xr:uid="{00000000-0005-0000-0000-000000020000}"/>
    <cellStyle name="Output 2 2" xfId="520" xr:uid="{00000000-0005-0000-0000-000001020000}"/>
    <cellStyle name="Output 2 2 2" xfId="521" xr:uid="{00000000-0005-0000-0000-000002020000}"/>
    <cellStyle name="Output 2 2 3" xfId="522" xr:uid="{00000000-0005-0000-0000-000003020000}"/>
    <cellStyle name="Output 2 3" xfId="523" xr:uid="{00000000-0005-0000-0000-000004020000}"/>
    <cellStyle name="Output 2 3 2" xfId="524" xr:uid="{00000000-0005-0000-0000-000005020000}"/>
    <cellStyle name="Output 2 3 2 2" xfId="525" xr:uid="{00000000-0005-0000-0000-000006020000}"/>
    <cellStyle name="Output 2 3 3" xfId="526" xr:uid="{00000000-0005-0000-0000-000007020000}"/>
    <cellStyle name="Output 2 3 4" xfId="527" xr:uid="{00000000-0005-0000-0000-000008020000}"/>
    <cellStyle name="Output 2 4" xfId="528" xr:uid="{00000000-0005-0000-0000-000009020000}"/>
    <cellStyle name="Output 2 4 2" xfId="529" xr:uid="{00000000-0005-0000-0000-00000A020000}"/>
    <cellStyle name="Output 2 5" xfId="530" xr:uid="{00000000-0005-0000-0000-00000B020000}"/>
    <cellStyle name="Output 2 6" xfId="531" xr:uid="{00000000-0005-0000-0000-00000C020000}"/>
    <cellStyle name="Output 2 7" xfId="532" xr:uid="{00000000-0005-0000-0000-00000D020000}"/>
    <cellStyle name="Output 2_ورقة1" xfId="533" xr:uid="{00000000-0005-0000-0000-00000E020000}"/>
    <cellStyle name="Output 3" xfId="534" xr:uid="{00000000-0005-0000-0000-00000F020000}"/>
    <cellStyle name="Output 3 2" xfId="535" xr:uid="{00000000-0005-0000-0000-000010020000}"/>
    <cellStyle name="Output 3 2 2" xfId="536" xr:uid="{00000000-0005-0000-0000-000011020000}"/>
    <cellStyle name="Output 3 2 2 2" xfId="537" xr:uid="{00000000-0005-0000-0000-000012020000}"/>
    <cellStyle name="Output 3 2 3" xfId="538" xr:uid="{00000000-0005-0000-0000-000013020000}"/>
    <cellStyle name="Output 3 3" xfId="539" xr:uid="{00000000-0005-0000-0000-000014020000}"/>
    <cellStyle name="Output 3 3 2" xfId="540" xr:uid="{00000000-0005-0000-0000-000015020000}"/>
    <cellStyle name="Output 3 4" xfId="541" xr:uid="{00000000-0005-0000-0000-000016020000}"/>
    <cellStyle name="Output 3 5" xfId="542" xr:uid="{00000000-0005-0000-0000-000017020000}"/>
    <cellStyle name="Output 3 6" xfId="543" xr:uid="{00000000-0005-0000-0000-000018020000}"/>
    <cellStyle name="Percent 2" xfId="13" xr:uid="{00000000-0005-0000-0000-000019020000}"/>
    <cellStyle name="Percent 2 2" xfId="544" xr:uid="{00000000-0005-0000-0000-00001A020000}"/>
    <cellStyle name="Percent 2 2 2" xfId="545" xr:uid="{00000000-0005-0000-0000-00001B020000}"/>
    <cellStyle name="Percent 2 3" xfId="546" xr:uid="{00000000-0005-0000-0000-00001C020000}"/>
    <cellStyle name="Percent 3" xfId="547" xr:uid="{00000000-0005-0000-0000-00001D020000}"/>
    <cellStyle name="Percent 3 2" xfId="548" xr:uid="{00000000-0005-0000-0000-00001E020000}"/>
    <cellStyle name="Percent 3 2 2" xfId="549" xr:uid="{00000000-0005-0000-0000-00001F020000}"/>
    <cellStyle name="Percent 3 2 2 2" xfId="550" xr:uid="{00000000-0005-0000-0000-000020020000}"/>
    <cellStyle name="Percent 3 3" xfId="551" xr:uid="{00000000-0005-0000-0000-000021020000}"/>
    <cellStyle name="Percent 3 3 2" xfId="552" xr:uid="{00000000-0005-0000-0000-000022020000}"/>
    <cellStyle name="Percent 3 4" xfId="553" xr:uid="{00000000-0005-0000-0000-000023020000}"/>
    <cellStyle name="Percent 3 4 2" xfId="554" xr:uid="{00000000-0005-0000-0000-000024020000}"/>
    <cellStyle name="Percent 3 5" xfId="555" xr:uid="{00000000-0005-0000-0000-000025020000}"/>
    <cellStyle name="Percent 3 5 2" xfId="556" xr:uid="{00000000-0005-0000-0000-000026020000}"/>
    <cellStyle name="Percent 3 6" xfId="557" xr:uid="{00000000-0005-0000-0000-000027020000}"/>
    <cellStyle name="Percent 4" xfId="558" xr:uid="{00000000-0005-0000-0000-000028020000}"/>
    <cellStyle name="Percent 4 2" xfId="559" xr:uid="{00000000-0005-0000-0000-000029020000}"/>
    <cellStyle name="Percent 4 2 2" xfId="560" xr:uid="{00000000-0005-0000-0000-00002A020000}"/>
    <cellStyle name="Percent 4 3" xfId="561" xr:uid="{00000000-0005-0000-0000-00002B020000}"/>
    <cellStyle name="Percent 5" xfId="562" xr:uid="{00000000-0005-0000-0000-00002C020000}"/>
    <cellStyle name="Percent 5 2" xfId="563" xr:uid="{00000000-0005-0000-0000-00002D020000}"/>
    <cellStyle name="Percent 5 3" xfId="564" xr:uid="{00000000-0005-0000-0000-00002E020000}"/>
    <cellStyle name="Percent 6" xfId="565" xr:uid="{00000000-0005-0000-0000-00002F020000}"/>
    <cellStyle name="Percent 6 2" xfId="566" xr:uid="{00000000-0005-0000-0000-000030020000}"/>
    <cellStyle name="Percent 6 3" xfId="567" xr:uid="{00000000-0005-0000-0000-000031020000}"/>
    <cellStyle name="Percent 7" xfId="568" xr:uid="{00000000-0005-0000-0000-000032020000}"/>
    <cellStyle name="Percent 8" xfId="569" xr:uid="{00000000-0005-0000-0000-000033020000}"/>
    <cellStyle name="Style 1" xfId="19" xr:uid="{00000000-0005-0000-0000-000034020000}"/>
    <cellStyle name="Title 2" xfId="570" xr:uid="{00000000-0005-0000-0000-000035020000}"/>
    <cellStyle name="Title 2 2" xfId="571" xr:uid="{00000000-0005-0000-0000-000036020000}"/>
    <cellStyle name="Title 2 2 2" xfId="572" xr:uid="{00000000-0005-0000-0000-000037020000}"/>
    <cellStyle name="Title 2 2 3" xfId="573" xr:uid="{00000000-0005-0000-0000-000038020000}"/>
    <cellStyle name="Title 2 3" xfId="574" xr:uid="{00000000-0005-0000-0000-000039020000}"/>
    <cellStyle name="Title 2 4" xfId="575" xr:uid="{00000000-0005-0000-0000-00003A020000}"/>
    <cellStyle name="Title 3" xfId="576" xr:uid="{00000000-0005-0000-0000-00003B020000}"/>
    <cellStyle name="Title 3 2" xfId="577" xr:uid="{00000000-0005-0000-0000-00003C020000}"/>
    <cellStyle name="Total 2" xfId="578" xr:uid="{00000000-0005-0000-0000-00003D020000}"/>
    <cellStyle name="Total 2 2" xfId="579" xr:uid="{00000000-0005-0000-0000-00003E020000}"/>
    <cellStyle name="Total 2 2 2" xfId="580" xr:uid="{00000000-0005-0000-0000-00003F020000}"/>
    <cellStyle name="Total 2 2 3" xfId="581" xr:uid="{00000000-0005-0000-0000-000040020000}"/>
    <cellStyle name="Total 2 3" xfId="582" xr:uid="{00000000-0005-0000-0000-000041020000}"/>
    <cellStyle name="Total 2 3 2" xfId="583" xr:uid="{00000000-0005-0000-0000-000042020000}"/>
    <cellStyle name="Total 2 3 2 2" xfId="584" xr:uid="{00000000-0005-0000-0000-000043020000}"/>
    <cellStyle name="Total 2 3 3" xfId="585" xr:uid="{00000000-0005-0000-0000-000044020000}"/>
    <cellStyle name="Total 2 3 4" xfId="586" xr:uid="{00000000-0005-0000-0000-000045020000}"/>
    <cellStyle name="Total 2 4" xfId="587" xr:uid="{00000000-0005-0000-0000-000046020000}"/>
    <cellStyle name="Total 2 4 2" xfId="588" xr:uid="{00000000-0005-0000-0000-000047020000}"/>
    <cellStyle name="Total 2 5" xfId="589" xr:uid="{00000000-0005-0000-0000-000048020000}"/>
    <cellStyle name="Total 2 6" xfId="590" xr:uid="{00000000-0005-0000-0000-000049020000}"/>
    <cellStyle name="Total 2 7" xfId="591" xr:uid="{00000000-0005-0000-0000-00004A020000}"/>
    <cellStyle name="Total 2_ورقة1" xfId="592" xr:uid="{00000000-0005-0000-0000-00004B020000}"/>
    <cellStyle name="Total 3" xfId="593" xr:uid="{00000000-0005-0000-0000-00004C020000}"/>
    <cellStyle name="Total 3 2" xfId="594" xr:uid="{00000000-0005-0000-0000-00004D020000}"/>
    <cellStyle name="Total 3 2 2" xfId="595" xr:uid="{00000000-0005-0000-0000-00004E020000}"/>
    <cellStyle name="Total 3 2 2 2" xfId="596" xr:uid="{00000000-0005-0000-0000-00004F020000}"/>
    <cellStyle name="Total 3 2 3" xfId="597" xr:uid="{00000000-0005-0000-0000-000050020000}"/>
    <cellStyle name="Total 3 3" xfId="598" xr:uid="{00000000-0005-0000-0000-000051020000}"/>
    <cellStyle name="Total 3 3 2" xfId="599" xr:uid="{00000000-0005-0000-0000-000052020000}"/>
    <cellStyle name="Total 3 4" xfId="600" xr:uid="{00000000-0005-0000-0000-000053020000}"/>
    <cellStyle name="Total 3 5" xfId="601" xr:uid="{00000000-0005-0000-0000-000054020000}"/>
    <cellStyle name="Total 3 6" xfId="602" xr:uid="{00000000-0005-0000-0000-000055020000}"/>
    <cellStyle name="Warning Text 2" xfId="603" xr:uid="{00000000-0005-0000-0000-000056020000}"/>
    <cellStyle name="Warning Text 2 2" xfId="604" xr:uid="{00000000-0005-0000-0000-000057020000}"/>
    <cellStyle name="Warning Text 2 2 2" xfId="605" xr:uid="{00000000-0005-0000-0000-000058020000}"/>
    <cellStyle name="Warning Text 2 2 3" xfId="606" xr:uid="{00000000-0005-0000-0000-000059020000}"/>
    <cellStyle name="Warning Text 2 3" xfId="607" xr:uid="{00000000-0005-0000-0000-00005A020000}"/>
    <cellStyle name="Warning Text 2 4" xfId="608" xr:uid="{00000000-0005-0000-0000-00005B020000}"/>
    <cellStyle name="Warning Text 3" xfId="609" xr:uid="{00000000-0005-0000-0000-00005C020000}"/>
    <cellStyle name="Warning Text 3 2" xfId="610" xr:uid="{00000000-0005-0000-0000-00005D020000}"/>
    <cellStyle name="عادي_30_09_03up" xfId="14" xr:uid="{00000000-0005-0000-0000-00005E020000}"/>
    <cellStyle name="عملة [0]_30_09_03up" xfId="15" xr:uid="{00000000-0005-0000-0000-00005F020000}"/>
    <cellStyle name="عملة_30_09_03up" xfId="16" xr:uid="{00000000-0005-0000-0000-000060020000}"/>
    <cellStyle name="فاصلة [0]_30_09_03up" xfId="17" xr:uid="{00000000-0005-0000-0000-000061020000}"/>
    <cellStyle name="فاصلة_30_09_03up" xfId="18" xr:uid="{00000000-0005-0000-0000-000062020000}"/>
  </cellStyles>
  <dxfs count="0"/>
  <tableStyles count="0" defaultTableStyle="TableStyleMedium2" defaultPivotStyle="PivotStyleLight16"/>
  <colors>
    <mruColors>
      <color rgb="FF9933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4"/>
  <sheetViews>
    <sheetView view="pageBreakPreview" zoomScale="70" zoomScaleNormal="120" zoomScaleSheetLayoutView="70" workbookViewId="0">
      <selection activeCell="A2" sqref="A2:F2"/>
    </sheetView>
  </sheetViews>
  <sheetFormatPr defaultColWidth="9.140625" defaultRowHeight="18.75"/>
  <cols>
    <col min="1" max="1" width="57.42578125" style="7" customWidth="1"/>
    <col min="2" max="2" width="61.5703125" style="8" bestFit="1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45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11" t="s">
        <v>4</v>
      </c>
      <c r="C8" s="5">
        <f>+C9+C12+C15+C17+C18+C21+C16</f>
        <v>29473.9</v>
      </c>
      <c r="D8" s="5">
        <f t="shared" ref="D8:F8" si="0">+D9+D12+D15+D17+D18+D21+D16</f>
        <v>31099.3</v>
      </c>
      <c r="E8" s="5">
        <f t="shared" si="0"/>
        <v>30226.199999999997</v>
      </c>
      <c r="F8" s="5">
        <f t="shared" si="0"/>
        <v>28948.800000000003</v>
      </c>
    </row>
    <row r="9" spans="1:6" ht="21">
      <c r="A9" s="38" t="s">
        <v>5</v>
      </c>
      <c r="B9" s="14" t="s">
        <v>6</v>
      </c>
      <c r="C9" s="15">
        <v>16166.8</v>
      </c>
      <c r="D9" s="15">
        <v>17153.7</v>
      </c>
      <c r="E9" s="15">
        <v>16363.4</v>
      </c>
      <c r="F9" s="16">
        <v>15734.1</v>
      </c>
    </row>
    <row r="10" spans="1:6" ht="18">
      <c r="A10" s="17" t="s">
        <v>7</v>
      </c>
      <c r="B10" s="18" t="s">
        <v>8</v>
      </c>
      <c r="C10" s="19">
        <v>7958.7</v>
      </c>
      <c r="D10" s="19">
        <v>8302.5</v>
      </c>
      <c r="E10" s="19">
        <v>8047.6</v>
      </c>
      <c r="F10" s="20">
        <v>7836.4</v>
      </c>
    </row>
    <row r="11" spans="1:6" ht="18">
      <c r="A11" s="17" t="s">
        <v>9</v>
      </c>
      <c r="B11" s="18" t="s">
        <v>10</v>
      </c>
      <c r="C11" s="19">
        <v>8208.1</v>
      </c>
      <c r="D11" s="19">
        <v>8851.2000000000007</v>
      </c>
      <c r="E11" s="19">
        <v>8315.7999999999993</v>
      </c>
      <c r="F11" s="20">
        <v>7897.7</v>
      </c>
    </row>
    <row r="12" spans="1:6" ht="18">
      <c r="A12" s="38" t="s">
        <v>11</v>
      </c>
      <c r="B12" s="14" t="s">
        <v>12</v>
      </c>
      <c r="C12" s="15">
        <v>4404.6000000000004</v>
      </c>
      <c r="D12" s="15">
        <v>4621</v>
      </c>
      <c r="E12" s="15">
        <v>4501.5</v>
      </c>
      <c r="F12" s="16">
        <v>4291.3</v>
      </c>
    </row>
    <row r="13" spans="1:6" ht="18">
      <c r="A13" s="17" t="s">
        <v>13</v>
      </c>
      <c r="B13" s="21" t="s">
        <v>14</v>
      </c>
      <c r="C13" s="19">
        <v>3271.4</v>
      </c>
      <c r="D13" s="19">
        <v>3510.2</v>
      </c>
      <c r="E13" s="19">
        <v>3409</v>
      </c>
      <c r="F13" s="20">
        <v>3529.9</v>
      </c>
    </row>
    <row r="14" spans="1:6" ht="18">
      <c r="A14" s="17" t="s">
        <v>15</v>
      </c>
      <c r="B14" s="21" t="s">
        <v>16</v>
      </c>
      <c r="C14" s="19">
        <v>1133.2</v>
      </c>
      <c r="D14" s="19">
        <v>1110.8</v>
      </c>
      <c r="E14" s="19">
        <v>1092.5</v>
      </c>
      <c r="F14" s="20">
        <v>761.4</v>
      </c>
    </row>
    <row r="15" spans="1:6" ht="18">
      <c r="A15" s="39" t="s">
        <v>17</v>
      </c>
      <c r="B15" s="23" t="s">
        <v>18</v>
      </c>
      <c r="C15" s="15">
        <v>5018.8</v>
      </c>
      <c r="D15" s="15">
        <v>5208.8</v>
      </c>
      <c r="E15" s="15">
        <v>5354.6</v>
      </c>
      <c r="F15" s="16">
        <v>5058.2</v>
      </c>
    </row>
    <row r="16" spans="1:6" ht="18">
      <c r="A16" s="39"/>
      <c r="B16" s="23"/>
      <c r="C16" s="15">
        <v>1772.7</v>
      </c>
      <c r="D16" s="15">
        <v>1827.8</v>
      </c>
      <c r="E16" s="15">
        <v>1747.6</v>
      </c>
      <c r="F16" s="16">
        <v>1395.2</v>
      </c>
    </row>
    <row r="17" spans="1:6" ht="18">
      <c r="A17" s="38" t="s">
        <v>23</v>
      </c>
      <c r="B17" s="14" t="s">
        <v>24</v>
      </c>
      <c r="C17" s="15">
        <v>0</v>
      </c>
      <c r="D17" s="15">
        <v>500</v>
      </c>
      <c r="E17" s="15">
        <v>500</v>
      </c>
      <c r="F17" s="16">
        <v>500</v>
      </c>
    </row>
    <row r="18" spans="1:6" ht="18">
      <c r="A18" s="38" t="s">
        <v>25</v>
      </c>
      <c r="B18" s="23" t="s">
        <v>26</v>
      </c>
      <c r="C18" s="15">
        <v>2025.1</v>
      </c>
      <c r="D18" s="15">
        <v>1717.8</v>
      </c>
      <c r="E18" s="15">
        <v>1644</v>
      </c>
      <c r="F18" s="16">
        <v>1854.8</v>
      </c>
    </row>
    <row r="19" spans="1:6" ht="18">
      <c r="A19" s="17" t="s">
        <v>27</v>
      </c>
      <c r="B19" s="21" t="s">
        <v>28</v>
      </c>
      <c r="C19" s="19">
        <v>1254.9000000000001</v>
      </c>
      <c r="D19" s="19">
        <v>708</v>
      </c>
      <c r="E19" s="19">
        <v>622</v>
      </c>
      <c r="F19" s="20">
        <v>819.3</v>
      </c>
    </row>
    <row r="20" spans="1:6" ht="18">
      <c r="A20" s="17" t="s">
        <v>29</v>
      </c>
      <c r="B20" s="21" t="s">
        <v>30</v>
      </c>
      <c r="C20" s="19">
        <v>770.2</v>
      </c>
      <c r="D20" s="19">
        <v>1009.8</v>
      </c>
      <c r="E20" s="19">
        <v>1022</v>
      </c>
      <c r="F20" s="20">
        <v>1035.5</v>
      </c>
    </row>
    <row r="21" spans="1:6" ht="18">
      <c r="A21" s="39" t="s">
        <v>31</v>
      </c>
      <c r="B21" s="23" t="s">
        <v>32</v>
      </c>
      <c r="C21" s="15">
        <v>85.9</v>
      </c>
      <c r="D21" s="15">
        <v>70.2</v>
      </c>
      <c r="E21" s="15">
        <v>115.1</v>
      </c>
      <c r="F21" s="16">
        <v>115.2</v>
      </c>
    </row>
    <row r="22" spans="1:6" ht="18">
      <c r="A22" s="17"/>
      <c r="B22" s="18"/>
      <c r="C22" s="19"/>
      <c r="D22" s="19"/>
      <c r="E22" s="20"/>
      <c r="F22" s="20"/>
    </row>
    <row r="23" spans="1:6" ht="18">
      <c r="A23" s="2" t="s">
        <v>33</v>
      </c>
      <c r="B23" s="3" t="s">
        <v>34</v>
      </c>
      <c r="C23" s="4">
        <v>721.9</v>
      </c>
      <c r="D23" s="4">
        <v>471.5</v>
      </c>
      <c r="E23" s="6">
        <v>756.5</v>
      </c>
      <c r="F23" s="6">
        <v>751.9</v>
      </c>
    </row>
    <row r="24" spans="1:6" ht="21">
      <c r="A24" s="17" t="s">
        <v>35</v>
      </c>
      <c r="B24" s="21" t="s">
        <v>36</v>
      </c>
      <c r="C24" s="19">
        <v>200.1</v>
      </c>
      <c r="D24" s="19">
        <v>93.2</v>
      </c>
      <c r="E24" s="19">
        <v>196.2</v>
      </c>
      <c r="F24" s="20">
        <v>88.6</v>
      </c>
    </row>
    <row r="25" spans="1:6" ht="18">
      <c r="A25" s="17" t="s">
        <v>37</v>
      </c>
      <c r="B25" s="21" t="s">
        <v>38</v>
      </c>
      <c r="C25" s="19">
        <v>521.79999999999995</v>
      </c>
      <c r="D25" s="19">
        <v>378.3</v>
      </c>
      <c r="E25" s="19">
        <v>560.29999999999995</v>
      </c>
      <c r="F25" s="20">
        <v>663.3</v>
      </c>
    </row>
    <row r="26" spans="1:6" ht="18">
      <c r="A26" s="40"/>
      <c r="B26" s="24"/>
      <c r="C26" s="41"/>
      <c r="D26" s="41"/>
      <c r="E26" s="41"/>
      <c r="F26" s="42"/>
    </row>
    <row r="27" spans="1:6">
      <c r="A27" s="27" t="s">
        <v>39</v>
      </c>
    </row>
    <row r="28" spans="1:6">
      <c r="A28" s="28" t="s">
        <v>41</v>
      </c>
    </row>
    <row r="29" spans="1:6">
      <c r="A29" s="29" t="s">
        <v>42</v>
      </c>
    </row>
    <row r="30" spans="1:6">
      <c r="A30" s="29" t="s">
        <v>43</v>
      </c>
    </row>
    <row r="31" spans="1:6">
      <c r="A31" s="26"/>
      <c r="B31" s="30"/>
    </row>
    <row r="32" spans="1:6">
      <c r="A32" s="32"/>
      <c r="B32" s="12"/>
    </row>
    <row r="33" spans="1:1">
      <c r="A33" s="43"/>
    </row>
    <row r="34" spans="1:1">
      <c r="A34" s="31"/>
    </row>
    <row r="35" spans="1:1">
      <c r="A35" s="1"/>
    </row>
    <row r="36" spans="1:1">
      <c r="A36" s="32"/>
    </row>
    <row r="37" spans="1:1">
      <c r="A37" s="26"/>
    </row>
    <row r="38" spans="1:1">
      <c r="A38" s="32"/>
    </row>
    <row r="39" spans="1:1">
      <c r="A39" s="26"/>
    </row>
    <row r="40" spans="1:1">
      <c r="A40" s="32"/>
    </row>
    <row r="41" spans="1:1">
      <c r="A41" s="26"/>
    </row>
    <row r="42" spans="1:1">
      <c r="A42" s="26"/>
    </row>
    <row r="43" spans="1:1">
      <c r="A43" s="32"/>
    </row>
    <row r="44" spans="1:1">
      <c r="A44" s="32"/>
    </row>
    <row r="45" spans="1:1">
      <c r="A45" s="32"/>
    </row>
    <row r="46" spans="1:1">
      <c r="A46" s="3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5"/>
  <sheetViews>
    <sheetView view="pageBreakPreview" topLeftCell="A3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6.85546875" style="7" customWidth="1"/>
    <col min="2" max="2" width="61.5703125" style="8" bestFit="1" customWidth="1"/>
    <col min="3" max="6" width="1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54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29674.399999999998</v>
      </c>
      <c r="D8" s="4">
        <f t="shared" ref="D8:F8" si="0">+D9+D12+D15+D16+D17+D18+D19+D22</f>
        <v>29691.599999999999</v>
      </c>
      <c r="E8" s="4">
        <f t="shared" si="0"/>
        <v>28938.6</v>
      </c>
      <c r="F8" s="4">
        <f t="shared" si="0"/>
        <v>29592.600000000002</v>
      </c>
    </row>
    <row r="9" spans="1:6" ht="21">
      <c r="A9" s="38" t="s">
        <v>5</v>
      </c>
      <c r="B9" s="14" t="s">
        <v>6</v>
      </c>
      <c r="C9" s="15">
        <v>15373.3</v>
      </c>
      <c r="D9" s="15">
        <v>15118.1</v>
      </c>
      <c r="E9" s="15">
        <v>14923.2</v>
      </c>
      <c r="F9" s="16">
        <v>15229</v>
      </c>
    </row>
    <row r="10" spans="1:6" ht="18">
      <c r="A10" s="17" t="s">
        <v>7</v>
      </c>
      <c r="B10" s="18" t="s">
        <v>8</v>
      </c>
      <c r="C10" s="19">
        <v>7707</v>
      </c>
      <c r="D10" s="19">
        <v>7577.8</v>
      </c>
      <c r="E10" s="19">
        <v>7522.8</v>
      </c>
      <c r="F10" s="20">
        <v>7610.6</v>
      </c>
    </row>
    <row r="11" spans="1:6" ht="18">
      <c r="A11" s="17" t="s">
        <v>9</v>
      </c>
      <c r="B11" s="18" t="s">
        <v>10</v>
      </c>
      <c r="C11" s="19">
        <v>7666.3</v>
      </c>
      <c r="D11" s="19">
        <v>7540.3</v>
      </c>
      <c r="E11" s="19">
        <v>7400.4</v>
      </c>
      <c r="F11" s="20">
        <v>7618.4</v>
      </c>
    </row>
    <row r="12" spans="1:6" ht="18">
      <c r="A12" s="38" t="s">
        <v>11</v>
      </c>
      <c r="B12" s="14" t="s">
        <v>12</v>
      </c>
      <c r="C12" s="15">
        <v>4272.7</v>
      </c>
      <c r="D12" s="15">
        <v>4184.8</v>
      </c>
      <c r="E12" s="15">
        <v>4220.5</v>
      </c>
      <c r="F12" s="16">
        <v>4295.5</v>
      </c>
    </row>
    <row r="13" spans="1:6" ht="18">
      <c r="A13" s="17" t="s">
        <v>13</v>
      </c>
      <c r="B13" s="21" t="s">
        <v>14</v>
      </c>
      <c r="C13" s="19">
        <v>3528.6</v>
      </c>
      <c r="D13" s="19">
        <v>3431</v>
      </c>
      <c r="E13" s="19">
        <v>3637.9</v>
      </c>
      <c r="F13" s="20">
        <v>3590.4</v>
      </c>
    </row>
    <row r="14" spans="1:6" ht="18">
      <c r="A14" s="17" t="s">
        <v>15</v>
      </c>
      <c r="B14" s="21" t="s">
        <v>16</v>
      </c>
      <c r="C14" s="19">
        <v>744.1</v>
      </c>
      <c r="D14" s="19">
        <v>753.8</v>
      </c>
      <c r="E14" s="19">
        <v>582.6</v>
      </c>
      <c r="F14" s="20">
        <v>705.1</v>
      </c>
    </row>
    <row r="15" spans="1:6" ht="18">
      <c r="A15" s="39" t="s">
        <v>17</v>
      </c>
      <c r="B15" s="23" t="s">
        <v>18</v>
      </c>
      <c r="C15" s="15">
        <v>5088.1000000000004</v>
      </c>
      <c r="D15" s="15">
        <v>5173.8</v>
      </c>
      <c r="E15" s="15">
        <v>5156</v>
      </c>
      <c r="F15" s="16">
        <v>5205</v>
      </c>
    </row>
    <row r="16" spans="1:6" ht="18">
      <c r="A16" s="38" t="s">
        <v>19</v>
      </c>
      <c r="B16" s="14" t="s">
        <v>20</v>
      </c>
      <c r="C16" s="15">
        <v>747.4</v>
      </c>
      <c r="D16" s="15">
        <v>1238.9000000000001</v>
      </c>
      <c r="E16" s="15">
        <v>913.9</v>
      </c>
      <c r="F16" s="16">
        <v>979.5</v>
      </c>
    </row>
    <row r="17" spans="1:6" ht="18">
      <c r="A17" s="38" t="s">
        <v>21</v>
      </c>
      <c r="B17" s="23" t="s">
        <v>22</v>
      </c>
      <c r="C17" s="15">
        <v>1846.1</v>
      </c>
      <c r="D17" s="15">
        <v>1828.8</v>
      </c>
      <c r="E17" s="15">
        <v>1853.8</v>
      </c>
      <c r="F17" s="16">
        <v>1861.9</v>
      </c>
    </row>
    <row r="18" spans="1:6" ht="18">
      <c r="A18" s="38" t="s">
        <v>23</v>
      </c>
      <c r="B18" s="23" t="s">
        <v>24</v>
      </c>
      <c r="C18" s="15">
        <v>500</v>
      </c>
      <c r="D18" s="15">
        <v>400</v>
      </c>
      <c r="E18" s="15">
        <v>300</v>
      </c>
      <c r="F18" s="16">
        <v>300</v>
      </c>
    </row>
    <row r="19" spans="1:6" ht="18">
      <c r="A19" s="38" t="s">
        <v>25</v>
      </c>
      <c r="B19" s="14" t="s">
        <v>26</v>
      </c>
      <c r="C19" s="15">
        <v>1736.5</v>
      </c>
      <c r="D19" s="15">
        <v>1654.1</v>
      </c>
      <c r="E19" s="15">
        <v>1483.1</v>
      </c>
      <c r="F19" s="16">
        <v>1633</v>
      </c>
    </row>
    <row r="20" spans="1:6" ht="18">
      <c r="A20" s="17" t="s">
        <v>27</v>
      </c>
      <c r="B20" s="18" t="s">
        <v>28</v>
      </c>
      <c r="C20" s="19">
        <v>732.9</v>
      </c>
      <c r="D20" s="19">
        <v>690</v>
      </c>
      <c r="E20" s="19">
        <v>536.9</v>
      </c>
      <c r="F20" s="20">
        <v>633.1</v>
      </c>
    </row>
    <row r="21" spans="1:6" ht="18">
      <c r="A21" s="17" t="s">
        <v>29</v>
      </c>
      <c r="B21" s="18" t="s">
        <v>30</v>
      </c>
      <c r="C21" s="19">
        <v>1003.6</v>
      </c>
      <c r="D21" s="19">
        <v>964.1</v>
      </c>
      <c r="E21" s="19">
        <v>946.2</v>
      </c>
      <c r="F21" s="20">
        <v>999.9</v>
      </c>
    </row>
    <row r="22" spans="1:6" ht="18">
      <c r="A22" s="22" t="s">
        <v>31</v>
      </c>
      <c r="B22" s="14" t="s">
        <v>32</v>
      </c>
      <c r="C22" s="15">
        <v>110.3</v>
      </c>
      <c r="D22" s="44">
        <v>93.1</v>
      </c>
      <c r="E22" s="44">
        <v>88.1</v>
      </c>
      <c r="F22" s="45">
        <v>88.7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869</v>
      </c>
      <c r="D24" s="4">
        <v>712.1</v>
      </c>
      <c r="E24" s="6">
        <v>1022.6</v>
      </c>
      <c r="F24" s="6">
        <v>437</v>
      </c>
    </row>
    <row r="25" spans="1:6" ht="21">
      <c r="A25" s="17" t="s">
        <v>35</v>
      </c>
      <c r="B25" s="48" t="s">
        <v>36</v>
      </c>
      <c r="C25" s="49">
        <v>198.6</v>
      </c>
      <c r="D25" s="49">
        <v>80.599999999999994</v>
      </c>
      <c r="E25" s="49">
        <v>218.9</v>
      </c>
      <c r="F25" s="50">
        <v>92.9</v>
      </c>
    </row>
    <row r="26" spans="1:6" ht="18">
      <c r="A26" s="17" t="s">
        <v>37</v>
      </c>
      <c r="B26" s="48" t="s">
        <v>38</v>
      </c>
      <c r="C26" s="51">
        <v>670.4</v>
      </c>
      <c r="D26" s="49">
        <v>631.5</v>
      </c>
      <c r="E26" s="49">
        <v>803.7</v>
      </c>
      <c r="F26" s="50">
        <v>344.1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6.42578125" style="7" customWidth="1"/>
    <col min="2" max="2" width="60.85546875" style="8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4" customHeight="1">
      <c r="A5" s="184" t="s">
        <v>1</v>
      </c>
      <c r="B5" s="184" t="s">
        <v>2</v>
      </c>
      <c r="C5" s="181" t="s">
        <v>55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28950.899999999998</v>
      </c>
      <c r="D8" s="4">
        <f t="shared" ref="D8:F8" si="0">+D9+D12+D15+D16+D17+D18+D19+D22</f>
        <v>28957.699999999997</v>
      </c>
      <c r="E8" s="4">
        <f t="shared" si="0"/>
        <v>28743.499999999996</v>
      </c>
      <c r="F8" s="4">
        <f t="shared" si="0"/>
        <v>29898</v>
      </c>
    </row>
    <row r="9" spans="1:6" ht="21">
      <c r="A9" s="38" t="s">
        <v>5</v>
      </c>
      <c r="B9" s="14" t="s">
        <v>6</v>
      </c>
      <c r="C9" s="15">
        <v>14965.3</v>
      </c>
      <c r="D9" s="15">
        <v>15152.2</v>
      </c>
      <c r="E9" s="15">
        <v>14896.5</v>
      </c>
      <c r="F9" s="16">
        <v>14846.5</v>
      </c>
    </row>
    <row r="10" spans="1:6" ht="18">
      <c r="A10" s="17" t="s">
        <v>7</v>
      </c>
      <c r="B10" s="18" t="s">
        <v>8</v>
      </c>
      <c r="C10" s="19">
        <v>7524.4</v>
      </c>
      <c r="D10" s="19">
        <v>7554.1</v>
      </c>
      <c r="E10" s="19">
        <v>7475.7</v>
      </c>
      <c r="F10" s="20">
        <v>7396.5</v>
      </c>
    </row>
    <row r="11" spans="1:6" ht="18">
      <c r="A11" s="17" t="s">
        <v>9</v>
      </c>
      <c r="B11" s="18" t="s">
        <v>10</v>
      </c>
      <c r="C11" s="19">
        <v>7440.9</v>
      </c>
      <c r="D11" s="19">
        <v>7598.1</v>
      </c>
      <c r="E11" s="19">
        <v>7420.8</v>
      </c>
      <c r="F11" s="20">
        <v>7450</v>
      </c>
    </row>
    <row r="12" spans="1:6" ht="18">
      <c r="A12" s="38" t="s">
        <v>11</v>
      </c>
      <c r="B12" s="14" t="s">
        <v>12</v>
      </c>
      <c r="C12" s="15">
        <v>4298.8</v>
      </c>
      <c r="D12" s="15">
        <v>4337.8</v>
      </c>
      <c r="E12" s="15">
        <v>4399.8</v>
      </c>
      <c r="F12" s="16">
        <v>4346</v>
      </c>
    </row>
    <row r="13" spans="1:6" ht="18">
      <c r="A13" s="17" t="s">
        <v>13</v>
      </c>
      <c r="B13" s="21" t="s">
        <v>14</v>
      </c>
      <c r="C13" s="19">
        <v>3601.4</v>
      </c>
      <c r="D13" s="19">
        <v>3640.6</v>
      </c>
      <c r="E13" s="19">
        <v>3685.3</v>
      </c>
      <c r="F13" s="20">
        <v>3630.1</v>
      </c>
    </row>
    <row r="14" spans="1:6" ht="18">
      <c r="A14" s="17" t="s">
        <v>15</v>
      </c>
      <c r="B14" s="21" t="s">
        <v>16</v>
      </c>
      <c r="C14" s="19">
        <v>697.4</v>
      </c>
      <c r="D14" s="19">
        <v>697.2</v>
      </c>
      <c r="E14" s="19">
        <v>714.5</v>
      </c>
      <c r="F14" s="20">
        <v>715.9</v>
      </c>
    </row>
    <row r="15" spans="1:6" ht="18">
      <c r="A15" s="39" t="s">
        <v>17</v>
      </c>
      <c r="B15" s="23" t="s">
        <v>18</v>
      </c>
      <c r="C15" s="15">
        <v>5218.8999999999996</v>
      </c>
      <c r="D15" s="15">
        <v>5245.3</v>
      </c>
      <c r="E15" s="15">
        <v>5504.9</v>
      </c>
      <c r="F15" s="16">
        <v>6815.2</v>
      </c>
    </row>
    <row r="16" spans="1:6" ht="18">
      <c r="A16" s="38" t="s">
        <v>19</v>
      </c>
      <c r="B16" s="14" t="s">
        <v>20</v>
      </c>
      <c r="C16" s="15">
        <v>868.6</v>
      </c>
      <c r="D16" s="15">
        <v>843.9</v>
      </c>
      <c r="E16" s="15">
        <v>782.7</v>
      </c>
      <c r="F16" s="16">
        <v>791.6</v>
      </c>
    </row>
    <row r="17" spans="1:6" ht="18">
      <c r="A17" s="38" t="s">
        <v>21</v>
      </c>
      <c r="B17" s="23" t="s">
        <v>22</v>
      </c>
      <c r="C17" s="15">
        <v>1578.8</v>
      </c>
      <c r="D17" s="15">
        <v>1575.8</v>
      </c>
      <c r="E17" s="15">
        <v>1569.1</v>
      </c>
      <c r="F17" s="16">
        <v>1570.3</v>
      </c>
    </row>
    <row r="18" spans="1:6" ht="18">
      <c r="A18" s="38" t="s">
        <v>23</v>
      </c>
      <c r="B18" s="23" t="s">
        <v>24</v>
      </c>
      <c r="C18" s="15">
        <v>300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1636.7</v>
      </c>
      <c r="D19" s="15">
        <v>1719.1</v>
      </c>
      <c r="E19" s="15">
        <v>1511.5</v>
      </c>
      <c r="F19" s="16">
        <v>1449.5</v>
      </c>
    </row>
    <row r="20" spans="1:6" ht="18">
      <c r="A20" s="17" t="s">
        <v>27</v>
      </c>
      <c r="B20" s="18" t="s">
        <v>28</v>
      </c>
      <c r="C20" s="19">
        <v>611.29999999999995</v>
      </c>
      <c r="D20" s="19">
        <v>610.4</v>
      </c>
      <c r="E20" s="19">
        <v>480.6</v>
      </c>
      <c r="F20" s="20">
        <v>536</v>
      </c>
    </row>
    <row r="21" spans="1:6" ht="18">
      <c r="A21" s="17" t="s">
        <v>29</v>
      </c>
      <c r="B21" s="18" t="s">
        <v>30</v>
      </c>
      <c r="C21" s="19">
        <v>1025.4000000000001</v>
      </c>
      <c r="D21" s="19">
        <v>1108.7</v>
      </c>
      <c r="E21" s="19">
        <v>1030.9000000000001</v>
      </c>
      <c r="F21" s="20">
        <v>913.5</v>
      </c>
    </row>
    <row r="22" spans="1:6" ht="18">
      <c r="A22" s="22" t="s">
        <v>31</v>
      </c>
      <c r="B22" s="14" t="s">
        <v>32</v>
      </c>
      <c r="C22" s="15">
        <v>83.8</v>
      </c>
      <c r="D22" s="44">
        <v>83.6</v>
      </c>
      <c r="E22" s="44">
        <v>79</v>
      </c>
      <c r="F22" s="45">
        <v>78.900000000000006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1153.5999999999999</v>
      </c>
      <c r="D24" s="4">
        <v>643.1</v>
      </c>
      <c r="E24" s="6">
        <v>802.9</v>
      </c>
      <c r="F24" s="6">
        <v>336.8</v>
      </c>
    </row>
    <row r="25" spans="1:6" ht="21">
      <c r="A25" s="17" t="s">
        <v>35</v>
      </c>
      <c r="B25" s="48" t="s">
        <v>36</v>
      </c>
      <c r="C25" s="49">
        <v>230.2</v>
      </c>
      <c r="D25" s="49">
        <v>92.7</v>
      </c>
      <c r="E25" s="49">
        <v>226.9</v>
      </c>
      <c r="F25" s="50">
        <v>91.4</v>
      </c>
    </row>
    <row r="26" spans="1:6" ht="18">
      <c r="A26" s="17" t="s">
        <v>37</v>
      </c>
      <c r="B26" s="48" t="s">
        <v>38</v>
      </c>
      <c r="C26" s="51">
        <v>923.4</v>
      </c>
      <c r="D26" s="49">
        <v>550.4</v>
      </c>
      <c r="E26" s="49">
        <v>576</v>
      </c>
      <c r="F26" s="50">
        <v>245.4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25"/>
  <sheetViews>
    <sheetView view="pageBreakPreview" topLeftCell="A3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61.5703125" style="7" customWidth="1"/>
    <col min="2" max="2" width="60.85546875" style="8" customWidth="1"/>
    <col min="3" max="6" width="15.425781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3.25" customHeight="1">
      <c r="A5" s="184" t="s">
        <v>1</v>
      </c>
      <c r="B5" s="184" t="s">
        <v>2</v>
      </c>
      <c r="C5" s="181" t="s">
        <v>56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31923.900000000005</v>
      </c>
      <c r="D8" s="4">
        <f t="shared" ref="D8:F8" si="0">+D9+D12+D15+D16+D17+D18+D19+D22</f>
        <v>32840.199999999997</v>
      </c>
      <c r="E8" s="4">
        <f t="shared" si="0"/>
        <v>34516.199999999997</v>
      </c>
      <c r="F8" s="4">
        <f t="shared" si="0"/>
        <v>33892.799999999996</v>
      </c>
    </row>
    <row r="9" spans="1:6" ht="21">
      <c r="A9" s="38" t="s">
        <v>5</v>
      </c>
      <c r="B9" s="14" t="s">
        <v>6</v>
      </c>
      <c r="C9" s="15">
        <v>15068.8</v>
      </c>
      <c r="D9" s="15">
        <v>15299.6</v>
      </c>
      <c r="E9" s="15">
        <v>15768.3</v>
      </c>
      <c r="F9" s="16">
        <v>15606.4</v>
      </c>
    </row>
    <row r="10" spans="1:6" ht="18">
      <c r="A10" s="17" t="s">
        <v>7</v>
      </c>
      <c r="B10" s="18" t="s">
        <v>8</v>
      </c>
      <c r="C10" s="19">
        <v>7524.4</v>
      </c>
      <c r="D10" s="19">
        <v>7637.9</v>
      </c>
      <c r="E10" s="19">
        <v>7919.5</v>
      </c>
      <c r="F10" s="20">
        <v>7787.8</v>
      </c>
    </row>
    <row r="11" spans="1:6" ht="18">
      <c r="A11" s="17" t="s">
        <v>9</v>
      </c>
      <c r="B11" s="18" t="s">
        <v>10</v>
      </c>
      <c r="C11" s="19">
        <v>7544.4</v>
      </c>
      <c r="D11" s="19">
        <v>7661.7</v>
      </c>
      <c r="E11" s="19">
        <v>7848.8</v>
      </c>
      <c r="F11" s="20">
        <v>7818.6</v>
      </c>
    </row>
    <row r="12" spans="1:6" ht="18">
      <c r="A12" s="38" t="s">
        <v>11</v>
      </c>
      <c r="B12" s="14" t="s">
        <v>12</v>
      </c>
      <c r="C12" s="15">
        <v>4492.1000000000004</v>
      </c>
      <c r="D12" s="15">
        <v>4607.7</v>
      </c>
      <c r="E12" s="15">
        <v>4992.3</v>
      </c>
      <c r="F12" s="16">
        <v>4972.1000000000004</v>
      </c>
    </row>
    <row r="13" spans="1:6" ht="18">
      <c r="A13" s="17" t="s">
        <v>13</v>
      </c>
      <c r="B13" s="21" t="s">
        <v>14</v>
      </c>
      <c r="C13" s="19">
        <v>3754.2</v>
      </c>
      <c r="D13" s="19">
        <v>3833.5</v>
      </c>
      <c r="E13" s="19">
        <v>4184.7</v>
      </c>
      <c r="F13" s="20">
        <v>4130.3999999999996</v>
      </c>
    </row>
    <row r="14" spans="1:6" ht="18">
      <c r="A14" s="17" t="s">
        <v>15</v>
      </c>
      <c r="B14" s="21" t="s">
        <v>16</v>
      </c>
      <c r="C14" s="19">
        <v>737.9</v>
      </c>
      <c r="D14" s="19">
        <v>774.2</v>
      </c>
      <c r="E14" s="19">
        <v>807.6</v>
      </c>
      <c r="F14" s="20">
        <v>841.7</v>
      </c>
    </row>
    <row r="15" spans="1:6" ht="18">
      <c r="A15" s="39" t="s">
        <v>17</v>
      </c>
      <c r="B15" s="23" t="s">
        <v>18</v>
      </c>
      <c r="C15" s="15">
        <v>7084.2</v>
      </c>
      <c r="D15" s="15">
        <v>7244.9</v>
      </c>
      <c r="E15" s="15">
        <v>7466.5</v>
      </c>
      <c r="F15" s="16">
        <v>7361.5</v>
      </c>
    </row>
    <row r="16" spans="1:6" ht="18">
      <c r="A16" s="38" t="s">
        <v>19</v>
      </c>
      <c r="B16" s="14" t="s">
        <v>20</v>
      </c>
      <c r="C16" s="15">
        <v>794.8</v>
      </c>
      <c r="D16" s="15">
        <v>783.5</v>
      </c>
      <c r="E16" s="15">
        <v>802</v>
      </c>
      <c r="F16" s="16">
        <v>763.5</v>
      </c>
    </row>
    <row r="17" spans="1:6" ht="18">
      <c r="A17" s="38" t="s">
        <v>21</v>
      </c>
      <c r="B17" s="23" t="s">
        <v>22</v>
      </c>
      <c r="C17" s="15">
        <v>2633.2</v>
      </c>
      <c r="D17" s="15">
        <v>2646</v>
      </c>
      <c r="E17" s="15">
        <v>2642.7</v>
      </c>
      <c r="F17" s="16">
        <v>2651.8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1776.9</v>
      </c>
      <c r="D19" s="15">
        <v>2235</v>
      </c>
      <c r="E19" s="15">
        <v>2825.9</v>
      </c>
      <c r="F19" s="16">
        <v>2519.3000000000002</v>
      </c>
    </row>
    <row r="20" spans="1:6" ht="18">
      <c r="A20" s="17" t="s">
        <v>27</v>
      </c>
      <c r="B20" s="18" t="s">
        <v>28</v>
      </c>
      <c r="C20" s="19">
        <v>636.6</v>
      </c>
      <c r="D20" s="19">
        <v>1008.5</v>
      </c>
      <c r="E20" s="19">
        <v>883.6</v>
      </c>
      <c r="F20" s="20">
        <v>1048.3</v>
      </c>
    </row>
    <row r="21" spans="1:6" ht="18">
      <c r="A21" s="17" t="s">
        <v>29</v>
      </c>
      <c r="B21" s="18" t="s">
        <v>30</v>
      </c>
      <c r="C21" s="19">
        <v>1140.3</v>
      </c>
      <c r="D21" s="19">
        <v>1226.5</v>
      </c>
      <c r="E21" s="19">
        <v>1942.3</v>
      </c>
      <c r="F21" s="20">
        <v>1471</v>
      </c>
    </row>
    <row r="22" spans="1:6" ht="18">
      <c r="A22" s="22" t="s">
        <v>31</v>
      </c>
      <c r="B22" s="14" t="s">
        <v>32</v>
      </c>
      <c r="C22" s="15">
        <v>73.900000000000006</v>
      </c>
      <c r="D22" s="44">
        <v>23.5</v>
      </c>
      <c r="E22" s="44">
        <v>18.5</v>
      </c>
      <c r="F22" s="45">
        <v>18.2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833.1</v>
      </c>
      <c r="D24" s="4">
        <v>447</v>
      </c>
      <c r="E24" s="6">
        <v>928.6</v>
      </c>
      <c r="F24" s="6">
        <v>387.2</v>
      </c>
    </row>
    <row r="25" spans="1:6" ht="21">
      <c r="A25" s="17" t="s">
        <v>35</v>
      </c>
      <c r="B25" s="48" t="s">
        <v>36</v>
      </c>
      <c r="C25" s="49">
        <v>256.5</v>
      </c>
      <c r="D25" s="49">
        <v>94.9</v>
      </c>
      <c r="E25" s="49">
        <v>317.3</v>
      </c>
      <c r="F25" s="50">
        <v>97.1</v>
      </c>
    </row>
    <row r="26" spans="1:6" ht="18">
      <c r="A26" s="17" t="s">
        <v>37</v>
      </c>
      <c r="B26" s="48" t="s">
        <v>38</v>
      </c>
      <c r="C26" s="51">
        <v>576.6</v>
      </c>
      <c r="D26" s="49">
        <v>352.1</v>
      </c>
      <c r="E26" s="49">
        <v>611.29999999999995</v>
      </c>
      <c r="F26" s="50">
        <v>290.10000000000002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  <c r="D31" s="53"/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5703125" style="7" customWidth="1"/>
    <col min="2" max="2" width="61.28515625" style="8" customWidth="1"/>
    <col min="3" max="6" width="14.85546875" style="12" customWidth="1"/>
    <col min="7" max="17" width="9.28515625" style="12" customWidth="1"/>
    <col min="18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4.75" customHeight="1">
      <c r="A5" s="184" t="s">
        <v>1</v>
      </c>
      <c r="B5" s="184" t="s">
        <v>2</v>
      </c>
      <c r="C5" s="181" t="s">
        <v>57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32481.4</v>
      </c>
      <c r="D8" s="4">
        <f t="shared" ref="D8:F8" si="0">+D9+D12+D15+D16+D17+D18+D19+D22</f>
        <v>32123.200000000001</v>
      </c>
      <c r="E8" s="4">
        <f t="shared" si="0"/>
        <v>30879.8</v>
      </c>
      <c r="F8" s="4">
        <f t="shared" si="0"/>
        <v>31531.099999999995</v>
      </c>
    </row>
    <row r="9" spans="1:6" ht="21">
      <c r="A9" s="38" t="s">
        <v>5</v>
      </c>
      <c r="B9" s="14" t="s">
        <v>6</v>
      </c>
      <c r="C9" s="15">
        <v>14385.8</v>
      </c>
      <c r="D9" s="15">
        <v>14601.9</v>
      </c>
      <c r="E9" s="15">
        <v>13574.8</v>
      </c>
      <c r="F9" s="16">
        <v>14081.4</v>
      </c>
    </row>
    <row r="10" spans="1:6" ht="18">
      <c r="A10" s="17" t="s">
        <v>7</v>
      </c>
      <c r="B10" s="18" t="s">
        <v>8</v>
      </c>
      <c r="C10" s="19">
        <v>7410.1</v>
      </c>
      <c r="D10" s="19">
        <v>7724</v>
      </c>
      <c r="E10" s="19">
        <v>7265.6</v>
      </c>
      <c r="F10" s="20">
        <v>7448</v>
      </c>
    </row>
    <row r="11" spans="1:6" ht="18">
      <c r="A11" s="17" t="s">
        <v>9</v>
      </c>
      <c r="B11" s="18" t="s">
        <v>10</v>
      </c>
      <c r="C11" s="19">
        <v>6975.7</v>
      </c>
      <c r="D11" s="19">
        <v>6877.9</v>
      </c>
      <c r="E11" s="19">
        <v>6309.2</v>
      </c>
      <c r="F11" s="20">
        <v>6633.4</v>
      </c>
    </row>
    <row r="12" spans="1:6" ht="18">
      <c r="A12" s="38" t="s">
        <v>11</v>
      </c>
      <c r="B12" s="14" t="s">
        <v>12</v>
      </c>
      <c r="C12" s="15">
        <v>4719.8</v>
      </c>
      <c r="D12" s="15">
        <v>4737</v>
      </c>
      <c r="E12" s="15">
        <v>4670.8999999999996</v>
      </c>
      <c r="F12" s="16">
        <v>4824.2</v>
      </c>
    </row>
    <row r="13" spans="1:6" ht="18">
      <c r="A13" s="17" t="s">
        <v>13</v>
      </c>
      <c r="B13" s="21" t="s">
        <v>14</v>
      </c>
      <c r="C13" s="19">
        <v>3890.6</v>
      </c>
      <c r="D13" s="19">
        <v>3901.1</v>
      </c>
      <c r="E13" s="19">
        <v>3836.5</v>
      </c>
      <c r="F13" s="20">
        <v>3978.3</v>
      </c>
    </row>
    <row r="14" spans="1:6" ht="18">
      <c r="A14" s="17" t="s">
        <v>15</v>
      </c>
      <c r="B14" s="21" t="s">
        <v>16</v>
      </c>
      <c r="C14" s="19">
        <v>829.2</v>
      </c>
      <c r="D14" s="19">
        <v>835.9</v>
      </c>
      <c r="E14" s="19">
        <v>834.4</v>
      </c>
      <c r="F14" s="20">
        <v>845.9</v>
      </c>
    </row>
    <row r="15" spans="1:6" ht="18">
      <c r="A15" s="39" t="s">
        <v>17</v>
      </c>
      <c r="B15" s="23" t="s">
        <v>18</v>
      </c>
      <c r="C15" s="15">
        <v>7270.7</v>
      </c>
      <c r="D15" s="15">
        <v>7358.3</v>
      </c>
      <c r="E15" s="15">
        <v>7736.9</v>
      </c>
      <c r="F15" s="16">
        <v>8168.8</v>
      </c>
    </row>
    <row r="16" spans="1:6" ht="18">
      <c r="A16" s="38" t="s">
        <v>19</v>
      </c>
      <c r="B16" s="14" t="s">
        <v>20</v>
      </c>
      <c r="C16" s="15">
        <v>750.9</v>
      </c>
      <c r="D16" s="15">
        <v>327.10000000000002</v>
      </c>
      <c r="E16" s="15">
        <v>323.7</v>
      </c>
      <c r="F16" s="16">
        <v>323.60000000000002</v>
      </c>
    </row>
    <row r="17" spans="1:6" ht="18">
      <c r="A17" s="38" t="s">
        <v>21</v>
      </c>
      <c r="B17" s="23" t="s">
        <v>22</v>
      </c>
      <c r="C17" s="15">
        <v>2620.6</v>
      </c>
      <c r="D17" s="15">
        <v>2174.6999999999998</v>
      </c>
      <c r="E17" s="15">
        <v>2003.1</v>
      </c>
      <c r="F17" s="16">
        <v>1926.1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2650.7</v>
      </c>
      <c r="D19" s="15">
        <v>2842</v>
      </c>
      <c r="E19" s="15">
        <v>2493</v>
      </c>
      <c r="F19" s="16">
        <v>2124</v>
      </c>
    </row>
    <row r="20" spans="1:6" ht="18">
      <c r="A20" s="17" t="s">
        <v>27</v>
      </c>
      <c r="B20" s="18" t="s">
        <v>28</v>
      </c>
      <c r="C20" s="19">
        <v>983.5</v>
      </c>
      <c r="D20" s="19">
        <v>206.1</v>
      </c>
      <c r="E20" s="19">
        <v>1036.5999999999999</v>
      </c>
      <c r="F20" s="20">
        <v>1156.0999999999999</v>
      </c>
    </row>
    <row r="21" spans="1:6" ht="18">
      <c r="A21" s="17" t="s">
        <v>29</v>
      </c>
      <c r="B21" s="18" t="s">
        <v>30</v>
      </c>
      <c r="C21" s="19">
        <v>1667.2</v>
      </c>
      <c r="D21" s="19">
        <v>2635.9</v>
      </c>
      <c r="E21" s="19">
        <v>1456.4</v>
      </c>
      <c r="F21" s="20">
        <v>967.9</v>
      </c>
    </row>
    <row r="22" spans="1:6" ht="18">
      <c r="A22" s="22" t="s">
        <v>31</v>
      </c>
      <c r="B22" s="14" t="s">
        <v>32</v>
      </c>
      <c r="C22" s="15">
        <v>82.9</v>
      </c>
      <c r="D22" s="44">
        <v>82.2</v>
      </c>
      <c r="E22" s="44">
        <v>77.400000000000006</v>
      </c>
      <c r="F22" s="45">
        <v>83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1007</v>
      </c>
      <c r="D24" s="4">
        <v>780.6</v>
      </c>
      <c r="E24" s="6">
        <v>924.6</v>
      </c>
      <c r="F24" s="6">
        <v>407.6</v>
      </c>
    </row>
    <row r="25" spans="1:6" ht="21">
      <c r="A25" s="17" t="s">
        <v>35</v>
      </c>
      <c r="B25" s="48" t="s">
        <v>36</v>
      </c>
      <c r="C25" s="49">
        <v>300.8</v>
      </c>
      <c r="D25" s="49">
        <v>86.4</v>
      </c>
      <c r="E25" s="49">
        <v>276.60000000000002</v>
      </c>
      <c r="F25" s="50">
        <v>78.400000000000006</v>
      </c>
    </row>
    <row r="26" spans="1:6" ht="18">
      <c r="A26" s="17" t="s">
        <v>37</v>
      </c>
      <c r="B26" s="48" t="s">
        <v>38</v>
      </c>
      <c r="C26" s="51">
        <v>706.2</v>
      </c>
      <c r="D26" s="49">
        <v>694.2</v>
      </c>
      <c r="E26" s="49">
        <v>648</v>
      </c>
      <c r="F26" s="50">
        <v>329.2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140625" style="7" customWidth="1"/>
    <col min="2" max="2" width="61.5703125" style="8" customWidth="1"/>
    <col min="3" max="6" width="14.285156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2.5" customHeight="1">
      <c r="A5" s="184" t="s">
        <v>1</v>
      </c>
      <c r="B5" s="184" t="s">
        <v>2</v>
      </c>
      <c r="C5" s="181" t="s">
        <v>58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+C9+C12+C15+C16+C17+C19+C22</f>
        <v>32399.199999999997</v>
      </c>
      <c r="D8" s="4">
        <f t="shared" ref="D8:F8" si="0">+D9+D12+D15+D16+D17+D19+D22</f>
        <v>33287.299999999996</v>
      </c>
      <c r="E8" s="4">
        <f t="shared" si="0"/>
        <v>32277.100000000002</v>
      </c>
      <c r="F8" s="4">
        <f t="shared" si="0"/>
        <v>33694.199999999997</v>
      </c>
    </row>
    <row r="9" spans="1:6" ht="21">
      <c r="A9" s="38" t="s">
        <v>5</v>
      </c>
      <c r="B9" s="14" t="s">
        <v>6</v>
      </c>
      <c r="C9" s="15">
        <v>14067.8</v>
      </c>
      <c r="D9" s="15">
        <v>13875.1</v>
      </c>
      <c r="E9" s="15">
        <v>12976.6</v>
      </c>
      <c r="F9" s="16">
        <v>12599.3</v>
      </c>
    </row>
    <row r="10" spans="1:6" ht="18">
      <c r="A10" s="17" t="s">
        <v>7</v>
      </c>
      <c r="B10" s="18" t="s">
        <v>8</v>
      </c>
      <c r="C10" s="19">
        <v>7538</v>
      </c>
      <c r="D10" s="19">
        <v>7423.5</v>
      </c>
      <c r="E10" s="19">
        <v>7116.5</v>
      </c>
      <c r="F10" s="20">
        <v>7054.6</v>
      </c>
    </row>
    <row r="11" spans="1:6" ht="18">
      <c r="A11" s="17" t="s">
        <v>9</v>
      </c>
      <c r="B11" s="18" t="s">
        <v>10</v>
      </c>
      <c r="C11" s="19">
        <v>6529.8</v>
      </c>
      <c r="D11" s="19">
        <v>6451.6</v>
      </c>
      <c r="E11" s="19">
        <v>5860.1</v>
      </c>
      <c r="F11" s="20">
        <v>5544.7</v>
      </c>
    </row>
    <row r="12" spans="1:6" ht="18">
      <c r="A12" s="38" t="s">
        <v>11</v>
      </c>
      <c r="B12" s="14" t="s">
        <v>12</v>
      </c>
      <c r="C12" s="15">
        <v>5021.5</v>
      </c>
      <c r="D12" s="15">
        <v>4936.6000000000004</v>
      </c>
      <c r="E12" s="15">
        <v>4843.3</v>
      </c>
      <c r="F12" s="16">
        <v>4692.3999999999996</v>
      </c>
    </row>
    <row r="13" spans="1:6" ht="18">
      <c r="A13" s="17" t="s">
        <v>13</v>
      </c>
      <c r="B13" s="21" t="s">
        <v>14</v>
      </c>
      <c r="C13" s="19">
        <v>4152.8999999999996</v>
      </c>
      <c r="D13" s="19">
        <v>4041.5</v>
      </c>
      <c r="E13" s="19">
        <v>3945.6</v>
      </c>
      <c r="F13" s="20">
        <v>3774.7</v>
      </c>
    </row>
    <row r="14" spans="1:6" ht="18">
      <c r="A14" s="17" t="s">
        <v>15</v>
      </c>
      <c r="B14" s="21" t="s">
        <v>16</v>
      </c>
      <c r="C14" s="19">
        <v>868.6</v>
      </c>
      <c r="D14" s="19">
        <v>895.1</v>
      </c>
      <c r="E14" s="19">
        <v>897.7</v>
      </c>
      <c r="F14" s="20">
        <v>917.7</v>
      </c>
    </row>
    <row r="15" spans="1:6" ht="18">
      <c r="A15" s="39" t="s">
        <v>17</v>
      </c>
      <c r="B15" s="23" t="s">
        <v>18</v>
      </c>
      <c r="C15" s="15">
        <v>8513.2000000000007</v>
      </c>
      <c r="D15" s="15">
        <v>9593.9</v>
      </c>
      <c r="E15" s="15">
        <v>9511.7000000000007</v>
      </c>
      <c r="F15" s="16">
        <v>9977.5</v>
      </c>
    </row>
    <row r="16" spans="1:6" ht="18">
      <c r="A16" s="38" t="s">
        <v>78</v>
      </c>
      <c r="B16" s="14" t="s">
        <v>20</v>
      </c>
      <c r="C16" s="15">
        <v>367.6</v>
      </c>
      <c r="D16" s="15">
        <v>360.8</v>
      </c>
      <c r="E16" s="15">
        <v>363.9</v>
      </c>
      <c r="F16" s="16">
        <v>313.5</v>
      </c>
    </row>
    <row r="17" spans="1:6" ht="18">
      <c r="A17" s="38" t="s">
        <v>21</v>
      </c>
      <c r="B17" s="23" t="s">
        <v>22</v>
      </c>
      <c r="C17" s="15">
        <v>1916.6</v>
      </c>
      <c r="D17" s="15">
        <v>1883.3</v>
      </c>
      <c r="E17" s="15">
        <v>1905.1</v>
      </c>
      <c r="F17" s="16">
        <v>3079.5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2428.9</v>
      </c>
      <c r="D19" s="15">
        <v>2561</v>
      </c>
      <c r="E19" s="15">
        <v>2602.6</v>
      </c>
      <c r="F19" s="16">
        <v>2954.8</v>
      </c>
    </row>
    <row r="20" spans="1:6" ht="18">
      <c r="A20" s="17" t="s">
        <v>27</v>
      </c>
      <c r="B20" s="18" t="s">
        <v>28</v>
      </c>
      <c r="C20" s="19">
        <v>1326.6</v>
      </c>
      <c r="D20" s="19">
        <v>1262.3</v>
      </c>
      <c r="E20" s="19">
        <v>1200.4000000000001</v>
      </c>
      <c r="F20" s="20">
        <v>1359.5</v>
      </c>
    </row>
    <row r="21" spans="1:6" ht="18">
      <c r="A21" s="17" t="s">
        <v>29</v>
      </c>
      <c r="B21" s="18" t="s">
        <v>30</v>
      </c>
      <c r="C21" s="19">
        <v>1102.3</v>
      </c>
      <c r="D21" s="19">
        <v>1298.7</v>
      </c>
      <c r="E21" s="19">
        <v>1402.2</v>
      </c>
      <c r="F21" s="20">
        <v>1595.3</v>
      </c>
    </row>
    <row r="22" spans="1:6" ht="18">
      <c r="A22" s="22" t="s">
        <v>31</v>
      </c>
      <c r="B22" s="14" t="s">
        <v>32</v>
      </c>
      <c r="C22" s="15">
        <v>83.6</v>
      </c>
      <c r="D22" s="44">
        <v>76.599999999999994</v>
      </c>
      <c r="E22" s="44">
        <v>73.900000000000006</v>
      </c>
      <c r="F22" s="45">
        <v>77.2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932.8</v>
      </c>
      <c r="D24" s="4">
        <v>390.2</v>
      </c>
      <c r="E24" s="6">
        <v>939.7</v>
      </c>
      <c r="F24" s="6">
        <v>354.8</v>
      </c>
    </row>
    <row r="25" spans="1:6" ht="21">
      <c r="A25" s="17" t="s">
        <v>35</v>
      </c>
      <c r="B25" s="48" t="s">
        <v>36</v>
      </c>
      <c r="C25" s="49">
        <v>250.9</v>
      </c>
      <c r="D25" s="49">
        <v>85.5</v>
      </c>
      <c r="E25" s="49">
        <v>241</v>
      </c>
      <c r="F25" s="50">
        <v>75.099999999999994</v>
      </c>
    </row>
    <row r="26" spans="1:6" ht="18">
      <c r="A26" s="17" t="s">
        <v>37</v>
      </c>
      <c r="B26" s="48" t="s">
        <v>38</v>
      </c>
      <c r="C26" s="51">
        <v>681.9</v>
      </c>
      <c r="D26" s="49">
        <v>304.7</v>
      </c>
      <c r="E26" s="49">
        <v>698.7</v>
      </c>
      <c r="F26" s="50">
        <v>279.7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85546875" style="7" customWidth="1"/>
    <col min="2" max="2" width="61.42578125" style="8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59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34699.9</v>
      </c>
      <c r="D8" s="4">
        <f t="shared" ref="D8:F8" si="0">+D9+D12+D15+D16+D17+D18+D19+D22</f>
        <v>34992.5</v>
      </c>
      <c r="E8" s="4">
        <f t="shared" si="0"/>
        <v>34841.200000000004</v>
      </c>
      <c r="F8" s="4">
        <f t="shared" si="0"/>
        <v>34905.699999999997</v>
      </c>
    </row>
    <row r="9" spans="1:6" ht="21">
      <c r="A9" s="13" t="s">
        <v>5</v>
      </c>
      <c r="B9" s="14" t="s">
        <v>6</v>
      </c>
      <c r="C9" s="15">
        <v>12897.9</v>
      </c>
      <c r="D9" s="15">
        <v>12831.1</v>
      </c>
      <c r="E9" s="15">
        <v>12639.7</v>
      </c>
      <c r="F9" s="16">
        <v>12860.6</v>
      </c>
    </row>
    <row r="10" spans="1:6" ht="18">
      <c r="A10" s="17" t="s">
        <v>7</v>
      </c>
      <c r="B10" s="18" t="s">
        <v>8</v>
      </c>
      <c r="C10" s="19">
        <v>7235.6</v>
      </c>
      <c r="D10" s="19">
        <v>7235.7</v>
      </c>
      <c r="E10" s="19">
        <v>7161.7</v>
      </c>
      <c r="F10" s="20">
        <v>7271.6</v>
      </c>
    </row>
    <row r="11" spans="1:6" ht="18">
      <c r="A11" s="17" t="s">
        <v>9</v>
      </c>
      <c r="B11" s="18" t="s">
        <v>10</v>
      </c>
      <c r="C11" s="19">
        <v>5662.3</v>
      </c>
      <c r="D11" s="19">
        <v>5595.4</v>
      </c>
      <c r="E11" s="19">
        <v>5478</v>
      </c>
      <c r="F11" s="20">
        <v>5589</v>
      </c>
    </row>
    <row r="12" spans="1:6" ht="18">
      <c r="A12" s="38" t="s">
        <v>11</v>
      </c>
      <c r="B12" s="14" t="s">
        <v>12</v>
      </c>
      <c r="C12" s="15">
        <v>4976.5</v>
      </c>
      <c r="D12" s="15">
        <v>4948.3999999999996</v>
      </c>
      <c r="E12" s="15">
        <v>5166.1000000000004</v>
      </c>
      <c r="F12" s="16">
        <v>5214.5</v>
      </c>
    </row>
    <row r="13" spans="1:6" ht="18">
      <c r="A13" s="17" t="s">
        <v>13</v>
      </c>
      <c r="B13" s="21" t="s">
        <v>14</v>
      </c>
      <c r="C13" s="19">
        <v>4072.5</v>
      </c>
      <c r="D13" s="19">
        <v>4003.7</v>
      </c>
      <c r="E13" s="19">
        <v>4174.7</v>
      </c>
      <c r="F13" s="20">
        <v>4211.3</v>
      </c>
    </row>
    <row r="14" spans="1:6" ht="18">
      <c r="A14" s="17" t="s">
        <v>15</v>
      </c>
      <c r="B14" s="21" t="s">
        <v>16</v>
      </c>
      <c r="C14" s="19">
        <v>904</v>
      </c>
      <c r="D14" s="19">
        <v>944.7</v>
      </c>
      <c r="E14" s="19">
        <v>991.4</v>
      </c>
      <c r="F14" s="20">
        <v>1003.2</v>
      </c>
    </row>
    <row r="15" spans="1:6" ht="18">
      <c r="A15" s="39" t="s">
        <v>17</v>
      </c>
      <c r="B15" s="23" t="s">
        <v>18</v>
      </c>
      <c r="C15" s="15">
        <v>10405</v>
      </c>
      <c r="D15" s="15">
        <v>10528.5</v>
      </c>
      <c r="E15" s="15">
        <v>10652.9</v>
      </c>
      <c r="F15" s="16">
        <v>10808.6</v>
      </c>
    </row>
    <row r="16" spans="1:6" ht="18">
      <c r="A16" s="38" t="s">
        <v>78</v>
      </c>
      <c r="B16" s="14" t="s">
        <v>20</v>
      </c>
      <c r="C16" s="15">
        <v>404.3</v>
      </c>
      <c r="D16" s="15">
        <v>414.8</v>
      </c>
      <c r="E16" s="15">
        <v>436.6</v>
      </c>
      <c r="F16" s="16">
        <v>426</v>
      </c>
    </row>
    <row r="17" spans="1:6" ht="18">
      <c r="A17" s="38" t="s">
        <v>21</v>
      </c>
      <c r="B17" s="23" t="s">
        <v>22</v>
      </c>
      <c r="C17" s="15">
        <v>3087.9</v>
      </c>
      <c r="D17" s="15">
        <v>3067</v>
      </c>
      <c r="E17" s="15">
        <v>2865.6</v>
      </c>
      <c r="F17" s="16">
        <v>2821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2870.9</v>
      </c>
      <c r="D19" s="15">
        <v>3149</v>
      </c>
      <c r="E19" s="15">
        <v>3061.5</v>
      </c>
      <c r="F19" s="16">
        <v>2757.5</v>
      </c>
    </row>
    <row r="20" spans="1:6" ht="18">
      <c r="A20" s="17" t="s">
        <v>27</v>
      </c>
      <c r="B20" s="18" t="s">
        <v>28</v>
      </c>
      <c r="C20" s="19">
        <v>1121.4000000000001</v>
      </c>
      <c r="D20" s="19">
        <v>1279.5</v>
      </c>
      <c r="E20" s="19">
        <v>1188</v>
      </c>
      <c r="F20" s="20">
        <v>972.7</v>
      </c>
    </row>
    <row r="21" spans="1:6" ht="18">
      <c r="A21" s="17" t="s">
        <v>29</v>
      </c>
      <c r="B21" s="18" t="s">
        <v>30</v>
      </c>
      <c r="C21" s="19">
        <v>1749.5</v>
      </c>
      <c r="D21" s="19">
        <v>1869.5</v>
      </c>
      <c r="E21" s="19">
        <v>1873.5</v>
      </c>
      <c r="F21" s="20">
        <v>1784.8</v>
      </c>
    </row>
    <row r="22" spans="1:6" ht="18">
      <c r="A22" s="22" t="s">
        <v>31</v>
      </c>
      <c r="B22" s="14" t="s">
        <v>32</v>
      </c>
      <c r="C22" s="15">
        <v>57.4</v>
      </c>
      <c r="D22" s="44">
        <v>53.7</v>
      </c>
      <c r="E22" s="44">
        <v>18.8</v>
      </c>
      <c r="F22" s="45">
        <v>17.5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995.1</v>
      </c>
      <c r="D24" s="4">
        <v>409.2</v>
      </c>
      <c r="E24" s="6">
        <v>1013.7</v>
      </c>
      <c r="F24" s="6">
        <v>381.2</v>
      </c>
    </row>
    <row r="25" spans="1:6" ht="21">
      <c r="A25" s="17" t="s">
        <v>35</v>
      </c>
      <c r="B25" s="48" t="s">
        <v>36</v>
      </c>
      <c r="C25" s="49">
        <v>233.2</v>
      </c>
      <c r="D25" s="49" t="s">
        <v>60</v>
      </c>
      <c r="E25" s="49">
        <v>234.5</v>
      </c>
      <c r="F25" s="50">
        <v>81.3</v>
      </c>
    </row>
    <row r="26" spans="1:6" ht="18">
      <c r="A26" s="17" t="s">
        <v>37</v>
      </c>
      <c r="B26" s="48" t="s">
        <v>38</v>
      </c>
      <c r="C26" s="51">
        <v>761.9</v>
      </c>
      <c r="D26" s="49">
        <v>320.2</v>
      </c>
      <c r="E26" s="49">
        <v>779.2</v>
      </c>
      <c r="F26" s="50">
        <v>299.89999999999998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7.5703125" style="7" customWidth="1"/>
    <col min="2" max="2" width="60.85546875" style="8" customWidth="1"/>
    <col min="3" max="6" width="14.425781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61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33997.9</v>
      </c>
      <c r="D8" s="4">
        <f t="shared" ref="D8:F8" si="0">+D9+D12+D15+D16+D17+D18+D19+D22</f>
        <v>33692.700000000004</v>
      </c>
      <c r="E8" s="4">
        <f t="shared" si="0"/>
        <v>33422.1</v>
      </c>
      <c r="F8" s="4">
        <f t="shared" si="0"/>
        <v>34384.5</v>
      </c>
    </row>
    <row r="9" spans="1:6" ht="21">
      <c r="A9" s="38" t="s">
        <v>5</v>
      </c>
      <c r="B9" s="14" t="s">
        <v>6</v>
      </c>
      <c r="C9" s="15">
        <v>12086.7</v>
      </c>
      <c r="D9" s="15">
        <v>11758.4</v>
      </c>
      <c r="E9" s="15">
        <v>11201.7</v>
      </c>
      <c r="F9" s="16">
        <v>10983.3</v>
      </c>
    </row>
    <row r="10" spans="1:6" ht="18">
      <c r="A10" s="17" t="s">
        <v>7</v>
      </c>
      <c r="B10" s="18" t="s">
        <v>8</v>
      </c>
      <c r="C10" s="19">
        <v>7092.8</v>
      </c>
      <c r="D10" s="19">
        <v>6949.9</v>
      </c>
      <c r="E10" s="19">
        <v>6691.5</v>
      </c>
      <c r="F10" s="20">
        <v>6654.6</v>
      </c>
    </row>
    <row r="11" spans="1:6" ht="18">
      <c r="A11" s="17" t="s">
        <v>9</v>
      </c>
      <c r="B11" s="18" t="s">
        <v>10</v>
      </c>
      <c r="C11" s="19">
        <v>4993.8999999999996</v>
      </c>
      <c r="D11" s="19">
        <v>4808.5</v>
      </c>
      <c r="E11" s="19">
        <v>4510.2</v>
      </c>
      <c r="F11" s="20">
        <v>4328.7</v>
      </c>
    </row>
    <row r="12" spans="1:6" ht="18">
      <c r="A12" s="38" t="s">
        <v>11</v>
      </c>
      <c r="B12" s="14" t="s">
        <v>12</v>
      </c>
      <c r="C12" s="15">
        <v>5208.1000000000004</v>
      </c>
      <c r="D12" s="15">
        <v>5061.8999999999996</v>
      </c>
      <c r="E12" s="15">
        <v>5227.8999999999996</v>
      </c>
      <c r="F12" s="16">
        <v>5074.2</v>
      </c>
    </row>
    <row r="13" spans="1:6" ht="18">
      <c r="A13" s="17" t="s">
        <v>13</v>
      </c>
      <c r="B13" s="21" t="s">
        <v>14</v>
      </c>
      <c r="C13" s="19">
        <v>4155.3</v>
      </c>
      <c r="D13" s="19">
        <v>4010.4</v>
      </c>
      <c r="E13" s="19">
        <v>4121.7</v>
      </c>
      <c r="F13" s="20">
        <v>3960.7</v>
      </c>
    </row>
    <row r="14" spans="1:6" ht="18">
      <c r="A14" s="17" t="s">
        <v>15</v>
      </c>
      <c r="B14" s="21" t="s">
        <v>16</v>
      </c>
      <c r="C14" s="19">
        <v>1052.8</v>
      </c>
      <c r="D14" s="19">
        <v>1051.5</v>
      </c>
      <c r="E14" s="19">
        <v>1106.2</v>
      </c>
      <c r="F14" s="20">
        <v>1113.5</v>
      </c>
    </row>
    <row r="15" spans="1:6" ht="18">
      <c r="A15" s="39" t="s">
        <v>17</v>
      </c>
      <c r="B15" s="23" t="s">
        <v>18</v>
      </c>
      <c r="C15" s="15">
        <v>10794.6</v>
      </c>
      <c r="D15" s="15">
        <v>11009</v>
      </c>
      <c r="E15" s="15">
        <v>11177.7</v>
      </c>
      <c r="F15" s="16">
        <v>11068.1</v>
      </c>
    </row>
    <row r="16" spans="1:6" ht="18">
      <c r="A16" s="38" t="s">
        <v>78</v>
      </c>
      <c r="B16" s="14" t="s">
        <v>20</v>
      </c>
      <c r="C16" s="15">
        <v>409.5</v>
      </c>
      <c r="D16" s="15">
        <v>376.6</v>
      </c>
      <c r="E16" s="15">
        <v>389.3</v>
      </c>
      <c r="F16" s="16">
        <v>405</v>
      </c>
    </row>
    <row r="17" spans="1:6" ht="18">
      <c r="A17" s="38" t="s">
        <v>21</v>
      </c>
      <c r="B17" s="23" t="s">
        <v>22</v>
      </c>
      <c r="C17" s="15">
        <v>2495.6</v>
      </c>
      <c r="D17" s="15">
        <v>2444.9</v>
      </c>
      <c r="E17" s="15">
        <v>2424.5</v>
      </c>
      <c r="F17" s="16">
        <v>2900.7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1000</v>
      </c>
    </row>
    <row r="19" spans="1:6" ht="18">
      <c r="A19" s="38" t="s">
        <v>25</v>
      </c>
      <c r="B19" s="14" t="s">
        <v>26</v>
      </c>
      <c r="C19" s="15">
        <v>2985.9</v>
      </c>
      <c r="D19" s="15">
        <v>3025.6</v>
      </c>
      <c r="E19" s="15">
        <v>2959.2</v>
      </c>
      <c r="F19" s="16">
        <v>2901.9</v>
      </c>
    </row>
    <row r="20" spans="1:6" ht="18">
      <c r="A20" s="17" t="s">
        <v>27</v>
      </c>
      <c r="B20" s="18" t="s">
        <v>28</v>
      </c>
      <c r="C20" s="19">
        <v>947.4</v>
      </c>
      <c r="D20" s="19">
        <v>902.3</v>
      </c>
      <c r="E20" s="19">
        <v>894</v>
      </c>
      <c r="F20" s="20">
        <v>913.7</v>
      </c>
    </row>
    <row r="21" spans="1:6" ht="18">
      <c r="A21" s="17" t="s">
        <v>29</v>
      </c>
      <c r="B21" s="18" t="s">
        <v>30</v>
      </c>
      <c r="C21" s="19">
        <v>2038.5</v>
      </c>
      <c r="D21" s="19">
        <v>2123.3000000000002</v>
      </c>
      <c r="E21" s="19">
        <v>2065.1999999999998</v>
      </c>
      <c r="F21" s="20">
        <v>1988.2</v>
      </c>
    </row>
    <row r="22" spans="1:6" ht="18">
      <c r="A22" s="22" t="s">
        <v>31</v>
      </c>
      <c r="B22" s="14" t="s">
        <v>32</v>
      </c>
      <c r="C22" s="15">
        <v>17.5</v>
      </c>
      <c r="D22" s="44">
        <v>16.3</v>
      </c>
      <c r="E22" s="44">
        <v>41.8</v>
      </c>
      <c r="F22" s="45">
        <v>51.3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1214.7</v>
      </c>
      <c r="D24" s="4">
        <v>332.5</v>
      </c>
      <c r="E24" s="6">
        <v>1008.1</v>
      </c>
      <c r="F24" s="6">
        <v>348.5</v>
      </c>
    </row>
    <row r="25" spans="1:6" ht="21">
      <c r="A25" s="17" t="s">
        <v>35</v>
      </c>
      <c r="B25" s="48" t="s">
        <v>36</v>
      </c>
      <c r="C25" s="49">
        <v>235.1</v>
      </c>
      <c r="D25" s="49">
        <v>103.1</v>
      </c>
      <c r="E25" s="49">
        <v>214.6</v>
      </c>
      <c r="F25" s="50">
        <v>105.5</v>
      </c>
    </row>
    <row r="26" spans="1:6" ht="18">
      <c r="A26" s="17" t="s">
        <v>37</v>
      </c>
      <c r="B26" s="48" t="s">
        <v>38</v>
      </c>
      <c r="C26" s="51">
        <v>979.6</v>
      </c>
      <c r="D26" s="49">
        <v>229.4</v>
      </c>
      <c r="E26" s="49">
        <v>793.5</v>
      </c>
      <c r="F26" s="50">
        <v>243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62</v>
      </c>
      <c r="D5" s="182"/>
      <c r="E5" s="182"/>
      <c r="F5" s="183"/>
    </row>
    <row r="6" spans="1:6" ht="31.5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34719.9</v>
      </c>
      <c r="D8" s="4">
        <f t="shared" ref="D8:F8" si="0">+D9+D12+D15+D16+D17+D18+D19+D22</f>
        <v>38823.700000000004</v>
      </c>
      <c r="E8" s="4">
        <f t="shared" si="0"/>
        <v>38384.5</v>
      </c>
      <c r="F8" s="4">
        <f t="shared" si="0"/>
        <v>43233.4</v>
      </c>
    </row>
    <row r="9" spans="1:6" ht="21">
      <c r="A9" s="13" t="s">
        <v>5</v>
      </c>
      <c r="B9" s="14" t="s">
        <v>6</v>
      </c>
      <c r="C9" s="15">
        <v>10626.3</v>
      </c>
      <c r="D9" s="15">
        <v>10470.1</v>
      </c>
      <c r="E9" s="15">
        <v>9543.7000000000007</v>
      </c>
      <c r="F9" s="16">
        <v>9479.5</v>
      </c>
    </row>
    <row r="10" spans="1:6" ht="18">
      <c r="A10" s="17" t="s">
        <v>7</v>
      </c>
      <c r="B10" s="18" t="s">
        <v>8</v>
      </c>
      <c r="C10" s="19">
        <v>6576.4</v>
      </c>
      <c r="D10" s="19">
        <v>6393.5</v>
      </c>
      <c r="E10" s="19">
        <v>5984.4</v>
      </c>
      <c r="F10" s="20">
        <v>5915.1</v>
      </c>
    </row>
    <row r="11" spans="1:6" ht="18">
      <c r="A11" s="17" t="s">
        <v>9</v>
      </c>
      <c r="B11" s="18" t="s">
        <v>10</v>
      </c>
      <c r="C11" s="19">
        <v>4049.9</v>
      </c>
      <c r="D11" s="19">
        <v>4076.6</v>
      </c>
      <c r="E11" s="19">
        <v>3559.3</v>
      </c>
      <c r="F11" s="20">
        <v>3564.4</v>
      </c>
    </row>
    <row r="12" spans="1:6" ht="18">
      <c r="A12" s="38" t="s">
        <v>11</v>
      </c>
      <c r="B12" s="14" t="s">
        <v>12</v>
      </c>
      <c r="C12" s="15">
        <v>5239.8999999999996</v>
      </c>
      <c r="D12" s="15">
        <v>5624.9</v>
      </c>
      <c r="E12" s="15">
        <v>6045.1</v>
      </c>
      <c r="F12" s="16">
        <v>5982.2</v>
      </c>
    </row>
    <row r="13" spans="1:6" ht="18">
      <c r="A13" s="17" t="s">
        <v>13</v>
      </c>
      <c r="B13" s="21" t="s">
        <v>14</v>
      </c>
      <c r="C13" s="19">
        <v>4068</v>
      </c>
      <c r="D13" s="19">
        <v>3759.1</v>
      </c>
      <c r="E13" s="19">
        <v>3661</v>
      </c>
      <c r="F13" s="20">
        <v>3589.1</v>
      </c>
    </row>
    <row r="14" spans="1:6" ht="18">
      <c r="A14" s="17" t="s">
        <v>15</v>
      </c>
      <c r="B14" s="21" t="s">
        <v>16</v>
      </c>
      <c r="C14" s="19">
        <v>1171.9000000000001</v>
      </c>
      <c r="D14" s="19">
        <v>1865.8</v>
      </c>
      <c r="E14" s="19">
        <v>2384.1</v>
      </c>
      <c r="F14" s="20">
        <v>2393.1</v>
      </c>
    </row>
    <row r="15" spans="1:6" ht="18">
      <c r="A15" s="39" t="s">
        <v>17</v>
      </c>
      <c r="B15" s="23" t="s">
        <v>18</v>
      </c>
      <c r="C15" s="15">
        <v>11356.3</v>
      </c>
      <c r="D15" s="15">
        <v>11773.9</v>
      </c>
      <c r="E15" s="15">
        <v>11700.8</v>
      </c>
      <c r="F15" s="16">
        <v>11963.3</v>
      </c>
    </row>
    <row r="16" spans="1:6" ht="18">
      <c r="A16" s="38" t="s">
        <v>78</v>
      </c>
      <c r="B16" s="14" t="s">
        <v>20</v>
      </c>
      <c r="C16" s="15">
        <v>416.7</v>
      </c>
      <c r="D16" s="15">
        <v>613.4</v>
      </c>
      <c r="E16" s="15">
        <v>596.70000000000005</v>
      </c>
      <c r="F16" s="16">
        <v>586.4</v>
      </c>
    </row>
    <row r="17" spans="1:6" ht="18">
      <c r="A17" s="38" t="s">
        <v>21</v>
      </c>
      <c r="B17" s="23" t="s">
        <v>22</v>
      </c>
      <c r="C17" s="15">
        <v>2625.2</v>
      </c>
      <c r="D17" s="15">
        <v>2664.2</v>
      </c>
      <c r="E17" s="15">
        <v>2660.6</v>
      </c>
      <c r="F17" s="16">
        <v>5158.6000000000004</v>
      </c>
    </row>
    <row r="18" spans="1:6" ht="18">
      <c r="A18" s="38" t="s">
        <v>23</v>
      </c>
      <c r="B18" s="23" t="s">
        <v>24</v>
      </c>
      <c r="C18" s="15">
        <v>1500</v>
      </c>
      <c r="D18" s="15">
        <v>1000</v>
      </c>
      <c r="E18" s="15">
        <v>1000</v>
      </c>
      <c r="F18" s="16">
        <v>3000</v>
      </c>
    </row>
    <row r="19" spans="1:6" ht="18">
      <c r="A19" s="38" t="s">
        <v>25</v>
      </c>
      <c r="B19" s="14" t="s">
        <v>26</v>
      </c>
      <c r="C19" s="15">
        <v>2944.6</v>
      </c>
      <c r="D19" s="15">
        <v>6657.2</v>
      </c>
      <c r="E19" s="15">
        <v>6817.6</v>
      </c>
      <c r="F19" s="16">
        <v>7046.1</v>
      </c>
    </row>
    <row r="20" spans="1:6" ht="18">
      <c r="A20" s="17" t="s">
        <v>27</v>
      </c>
      <c r="B20" s="18" t="s">
        <v>28</v>
      </c>
      <c r="C20" s="19">
        <v>943</v>
      </c>
      <c r="D20" s="19">
        <v>4903.7</v>
      </c>
      <c r="E20" s="19">
        <v>4845.2</v>
      </c>
      <c r="F20" s="20">
        <v>5293.4</v>
      </c>
    </row>
    <row r="21" spans="1:6" ht="18">
      <c r="A21" s="17" t="s">
        <v>29</v>
      </c>
      <c r="B21" s="18" t="s">
        <v>30</v>
      </c>
      <c r="C21" s="19">
        <v>2001.6</v>
      </c>
      <c r="D21" s="19">
        <v>1753.5</v>
      </c>
      <c r="E21" s="19">
        <v>1972.4</v>
      </c>
      <c r="F21" s="20">
        <v>1752.7</v>
      </c>
    </row>
    <row r="22" spans="1:6" ht="18">
      <c r="A22" s="22" t="s">
        <v>31</v>
      </c>
      <c r="B22" s="14" t="s">
        <v>32</v>
      </c>
      <c r="C22" s="15">
        <v>10.9</v>
      </c>
      <c r="D22" s="44">
        <v>20</v>
      </c>
      <c r="E22" s="44">
        <v>20</v>
      </c>
      <c r="F22" s="45">
        <v>17.3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1294.3</v>
      </c>
      <c r="D24" s="4">
        <v>343</v>
      </c>
      <c r="E24" s="6">
        <v>986.9</v>
      </c>
      <c r="F24" s="6">
        <v>465.1</v>
      </c>
    </row>
    <row r="25" spans="1:6" ht="21">
      <c r="A25" s="17" t="s">
        <v>35</v>
      </c>
      <c r="B25" s="48" t="s">
        <v>36</v>
      </c>
      <c r="C25" s="49">
        <v>211.9</v>
      </c>
      <c r="D25" s="49">
        <v>120</v>
      </c>
      <c r="E25" s="49">
        <v>185.8</v>
      </c>
      <c r="F25" s="50">
        <v>125.6</v>
      </c>
    </row>
    <row r="26" spans="1:6" ht="18">
      <c r="A26" s="17" t="s">
        <v>37</v>
      </c>
      <c r="B26" s="48" t="s">
        <v>38</v>
      </c>
      <c r="C26" s="51">
        <v>1082.4000000000001</v>
      </c>
      <c r="D26" s="49">
        <v>223</v>
      </c>
      <c r="E26" s="49">
        <v>801.1</v>
      </c>
      <c r="F26" s="50">
        <v>339.5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25"/>
  <sheetViews>
    <sheetView view="pageBreakPreview" zoomScale="70" zoomScaleNormal="9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" customHeight="1">
      <c r="A5" s="184" t="s">
        <v>1</v>
      </c>
      <c r="B5" s="184" t="s">
        <v>2</v>
      </c>
      <c r="C5" s="181" t="s">
        <v>63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47017.100000000006</v>
      </c>
      <c r="D8" s="4">
        <f t="shared" ref="D8:F8" si="0">+D9+D12+D15+D16+D17+D18+D19+D22</f>
        <v>45752.240000000005</v>
      </c>
      <c r="E8" s="4">
        <f t="shared" si="0"/>
        <v>45288.91</v>
      </c>
      <c r="F8" s="4">
        <f t="shared" si="0"/>
        <v>46067.100000000006</v>
      </c>
    </row>
    <row r="9" spans="1:6" ht="18">
      <c r="A9" s="13" t="s">
        <v>5</v>
      </c>
      <c r="B9" s="14" t="s">
        <v>64</v>
      </c>
      <c r="C9" s="15">
        <v>9085.2000000000007</v>
      </c>
      <c r="D9" s="15">
        <v>9021</v>
      </c>
      <c r="E9" s="15">
        <v>8439.5</v>
      </c>
      <c r="F9" s="16">
        <v>8440.5</v>
      </c>
    </row>
    <row r="10" spans="1:6" ht="18">
      <c r="A10" s="17" t="s">
        <v>7</v>
      </c>
      <c r="B10" s="18" t="s">
        <v>8</v>
      </c>
      <c r="C10" s="19">
        <v>5843.6</v>
      </c>
      <c r="D10" s="19">
        <v>5756.09</v>
      </c>
      <c r="E10" s="19">
        <v>5613.1</v>
      </c>
      <c r="F10" s="20">
        <v>5624.7</v>
      </c>
    </row>
    <row r="11" spans="1:6" ht="18">
      <c r="A11" s="17" t="s">
        <v>9</v>
      </c>
      <c r="B11" s="18" t="s">
        <v>10</v>
      </c>
      <c r="C11" s="19">
        <v>3241.6</v>
      </c>
      <c r="D11" s="19">
        <v>3264.86</v>
      </c>
      <c r="E11" s="19">
        <v>2826.4</v>
      </c>
      <c r="F11" s="20">
        <v>2815.8</v>
      </c>
    </row>
    <row r="12" spans="1:6" ht="18">
      <c r="A12" s="38" t="s">
        <v>11</v>
      </c>
      <c r="B12" s="14" t="s">
        <v>12</v>
      </c>
      <c r="C12" s="15">
        <v>6169.6</v>
      </c>
      <c r="D12" s="15">
        <v>6084.3</v>
      </c>
      <c r="E12" s="15">
        <v>6175.21</v>
      </c>
      <c r="F12" s="16">
        <v>6104</v>
      </c>
    </row>
    <row r="13" spans="1:6" ht="18">
      <c r="A13" s="17" t="s">
        <v>13</v>
      </c>
      <c r="B13" s="21" t="s">
        <v>14</v>
      </c>
      <c r="C13" s="19">
        <v>3738.1</v>
      </c>
      <c r="D13" s="19">
        <v>3655.8</v>
      </c>
      <c r="E13" s="19">
        <v>3706.9</v>
      </c>
      <c r="F13" s="20">
        <v>3646.1</v>
      </c>
    </row>
    <row r="14" spans="1:6" ht="18">
      <c r="A14" s="17" t="s">
        <v>15</v>
      </c>
      <c r="B14" s="21" t="s">
        <v>16</v>
      </c>
      <c r="C14" s="19">
        <v>2431.5</v>
      </c>
      <c r="D14" s="19">
        <v>2428.48</v>
      </c>
      <c r="E14" s="19">
        <v>2468.3000000000002</v>
      </c>
      <c r="F14" s="20">
        <v>2457.9</v>
      </c>
    </row>
    <row r="15" spans="1:6" ht="18">
      <c r="A15" s="39" t="s">
        <v>17</v>
      </c>
      <c r="B15" s="23" t="s">
        <v>18</v>
      </c>
      <c r="C15" s="15">
        <v>12028.3</v>
      </c>
      <c r="D15" s="15">
        <v>12125.64</v>
      </c>
      <c r="E15" s="15">
        <v>12209.9</v>
      </c>
      <c r="F15" s="16">
        <v>12228.6</v>
      </c>
    </row>
    <row r="16" spans="1:6" ht="18">
      <c r="A16" s="38" t="s">
        <v>78</v>
      </c>
      <c r="B16" s="14" t="s">
        <v>20</v>
      </c>
      <c r="C16" s="15">
        <v>591.29999999999995</v>
      </c>
      <c r="D16" s="15">
        <v>577.1</v>
      </c>
      <c r="E16" s="15">
        <v>570</v>
      </c>
      <c r="F16" s="16">
        <v>546.4</v>
      </c>
    </row>
    <row r="17" spans="1:6" ht="18">
      <c r="A17" s="38" t="s">
        <v>21</v>
      </c>
      <c r="B17" s="23" t="s">
        <v>22</v>
      </c>
      <c r="C17" s="15">
        <v>6117.6</v>
      </c>
      <c r="D17" s="15">
        <v>6115.6</v>
      </c>
      <c r="E17" s="15">
        <v>6099.8</v>
      </c>
      <c r="F17" s="16">
        <v>6085.3</v>
      </c>
    </row>
    <row r="18" spans="1:6" ht="18">
      <c r="A18" s="38" t="s">
        <v>23</v>
      </c>
      <c r="B18" s="23" t="s">
        <v>24</v>
      </c>
      <c r="C18" s="15">
        <v>9000</v>
      </c>
      <c r="D18" s="15">
        <v>9000</v>
      </c>
      <c r="E18" s="15">
        <v>9000</v>
      </c>
      <c r="F18" s="16">
        <v>9000</v>
      </c>
    </row>
    <row r="19" spans="1:6" ht="18">
      <c r="A19" s="38" t="s">
        <v>25</v>
      </c>
      <c r="B19" s="14" t="s">
        <v>26</v>
      </c>
      <c r="C19" s="15">
        <v>4007.8</v>
      </c>
      <c r="D19" s="15">
        <v>2816.3</v>
      </c>
      <c r="E19" s="15">
        <v>2774.5</v>
      </c>
      <c r="F19" s="16">
        <v>3651</v>
      </c>
    </row>
    <row r="20" spans="1:6" ht="18">
      <c r="A20" s="17" t="s">
        <v>27</v>
      </c>
      <c r="B20" s="18" t="s">
        <v>28</v>
      </c>
      <c r="C20" s="19">
        <v>2371.8000000000002</v>
      </c>
      <c r="D20" s="19">
        <v>1415.49</v>
      </c>
      <c r="E20" s="19">
        <v>1365.7</v>
      </c>
      <c r="F20" s="20">
        <v>1392.5</v>
      </c>
    </row>
    <row r="21" spans="1:6" ht="18">
      <c r="A21" s="17" t="s">
        <v>29</v>
      </c>
      <c r="B21" s="18" t="s">
        <v>30</v>
      </c>
      <c r="C21" s="19">
        <v>1636</v>
      </c>
      <c r="D21" s="19">
        <v>1400.76</v>
      </c>
      <c r="E21" s="19">
        <v>1408.8</v>
      </c>
      <c r="F21" s="20">
        <v>2258.5</v>
      </c>
    </row>
    <row r="22" spans="1:6" ht="18">
      <c r="A22" s="22" t="s">
        <v>31</v>
      </c>
      <c r="B22" s="14" t="s">
        <v>32</v>
      </c>
      <c r="C22" s="15">
        <v>17.3</v>
      </c>
      <c r="D22" s="44">
        <v>12.3</v>
      </c>
      <c r="E22" s="44">
        <v>20</v>
      </c>
      <c r="F22" s="45">
        <v>11.3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1093.5999999999999</v>
      </c>
      <c r="D24" s="4">
        <v>529.9</v>
      </c>
      <c r="E24" s="6">
        <v>1045.5999999999999</v>
      </c>
      <c r="F24" s="6">
        <v>529.79999999999995</v>
      </c>
    </row>
    <row r="25" spans="1:6" ht="18">
      <c r="A25" s="17" t="s">
        <v>35</v>
      </c>
      <c r="B25" s="48" t="s">
        <v>65</v>
      </c>
      <c r="C25" s="49">
        <v>178.7</v>
      </c>
      <c r="D25" s="49">
        <v>178.9</v>
      </c>
      <c r="E25" s="49">
        <v>184.1</v>
      </c>
      <c r="F25" s="50">
        <v>174.3</v>
      </c>
    </row>
    <row r="26" spans="1:6" ht="18">
      <c r="A26" s="17" t="s">
        <v>37</v>
      </c>
      <c r="B26" s="48" t="s">
        <v>38</v>
      </c>
      <c r="C26" s="51">
        <v>914.9</v>
      </c>
      <c r="D26" s="49">
        <v>351</v>
      </c>
      <c r="E26" s="49">
        <v>861.5</v>
      </c>
      <c r="F26" s="50">
        <v>355.5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67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44854.200000000004</v>
      </c>
      <c r="D8" s="4">
        <f t="shared" ref="D8:F8" si="0">+D9+D12+D15+D16+D17+D18+D19+D22</f>
        <v>41324.100000000006</v>
      </c>
      <c r="E8" s="4">
        <f t="shared" si="0"/>
        <v>39853.1</v>
      </c>
      <c r="F8" s="56">
        <f t="shared" si="0"/>
        <v>48062.9</v>
      </c>
    </row>
    <row r="9" spans="1:6" ht="18">
      <c r="A9" s="13" t="s">
        <v>5</v>
      </c>
      <c r="B9" s="14" t="s">
        <v>64</v>
      </c>
      <c r="C9" s="15">
        <v>7375.2</v>
      </c>
      <c r="D9" s="15">
        <v>7123.1</v>
      </c>
      <c r="E9" s="15">
        <v>6179.7</v>
      </c>
      <c r="F9" s="16">
        <v>6242.9</v>
      </c>
    </row>
    <row r="10" spans="1:6" ht="18">
      <c r="A10" s="17" t="s">
        <v>7</v>
      </c>
      <c r="B10" s="18" t="s">
        <v>8</v>
      </c>
      <c r="C10" s="19">
        <v>5172.5</v>
      </c>
      <c r="D10" s="19">
        <v>4991.1000000000004</v>
      </c>
      <c r="E10" s="19">
        <v>4613.1000000000004</v>
      </c>
      <c r="F10" s="20">
        <v>4637.2</v>
      </c>
    </row>
    <row r="11" spans="1:6" ht="18">
      <c r="A11" s="17" t="s">
        <v>9</v>
      </c>
      <c r="B11" s="18" t="s">
        <v>10</v>
      </c>
      <c r="C11" s="19">
        <v>2202.6999999999998</v>
      </c>
      <c r="D11" s="19">
        <v>2132</v>
      </c>
      <c r="E11" s="19">
        <v>1566.6</v>
      </c>
      <c r="F11" s="20">
        <v>1605.7</v>
      </c>
    </row>
    <row r="12" spans="1:6" ht="18">
      <c r="A12" s="38" t="s">
        <v>11</v>
      </c>
      <c r="B12" s="14" t="s">
        <v>12</v>
      </c>
      <c r="C12" s="15">
        <v>5844.9</v>
      </c>
      <c r="D12" s="15">
        <v>5670.1</v>
      </c>
      <c r="E12" s="15">
        <v>5425.2</v>
      </c>
      <c r="F12" s="16">
        <v>5491.7</v>
      </c>
    </row>
    <row r="13" spans="1:6" ht="18">
      <c r="A13" s="17" t="s">
        <v>13</v>
      </c>
      <c r="B13" s="21" t="s">
        <v>14</v>
      </c>
      <c r="C13" s="19">
        <v>3420.7</v>
      </c>
      <c r="D13" s="19">
        <v>3253.9</v>
      </c>
      <c r="E13" s="19">
        <v>3030.2</v>
      </c>
      <c r="F13" s="20">
        <v>2200.9</v>
      </c>
    </row>
    <row r="14" spans="1:6" ht="18">
      <c r="A14" s="17" t="s">
        <v>15</v>
      </c>
      <c r="B14" s="21" t="s">
        <v>16</v>
      </c>
      <c r="C14" s="19">
        <v>2424.1999999999998</v>
      </c>
      <c r="D14" s="19">
        <v>2416.1999999999998</v>
      </c>
      <c r="E14" s="19">
        <v>2395</v>
      </c>
      <c r="F14" s="20">
        <v>3290.8</v>
      </c>
    </row>
    <row r="15" spans="1:6" ht="18">
      <c r="A15" s="39" t="s">
        <v>17</v>
      </c>
      <c r="B15" s="23" t="s">
        <v>18</v>
      </c>
      <c r="C15" s="15">
        <v>12116.4</v>
      </c>
      <c r="D15" s="15">
        <v>12117.3</v>
      </c>
      <c r="E15" s="15">
        <v>12051</v>
      </c>
      <c r="F15" s="16">
        <v>12246.3</v>
      </c>
    </row>
    <row r="16" spans="1:6" ht="18">
      <c r="A16" s="38" t="s">
        <v>78</v>
      </c>
      <c r="B16" s="14" t="s">
        <v>20</v>
      </c>
      <c r="C16" s="15">
        <v>513.4</v>
      </c>
      <c r="D16" s="15">
        <v>486.5</v>
      </c>
      <c r="E16" s="15">
        <v>629</v>
      </c>
      <c r="F16" s="16">
        <v>1546.5</v>
      </c>
    </row>
    <row r="17" spans="1:6" ht="18">
      <c r="A17" s="38" t="s">
        <v>21</v>
      </c>
      <c r="B17" s="23" t="s">
        <v>22</v>
      </c>
      <c r="C17" s="15">
        <v>6098.9</v>
      </c>
      <c r="D17" s="15">
        <v>3584.9</v>
      </c>
      <c r="E17" s="15">
        <v>3575.6</v>
      </c>
      <c r="F17" s="16">
        <v>4937.7</v>
      </c>
    </row>
    <row r="18" spans="1:6" ht="18">
      <c r="A18" s="38" t="s">
        <v>23</v>
      </c>
      <c r="B18" s="23" t="s">
        <v>24</v>
      </c>
      <c r="C18" s="15">
        <v>9000</v>
      </c>
      <c r="D18" s="15">
        <v>9000</v>
      </c>
      <c r="E18" s="15">
        <v>9000</v>
      </c>
      <c r="F18" s="16">
        <v>15000</v>
      </c>
    </row>
    <row r="19" spans="1:6" ht="18">
      <c r="A19" s="38" t="s">
        <v>25</v>
      </c>
      <c r="B19" s="14" t="s">
        <v>26</v>
      </c>
      <c r="C19" s="15">
        <v>3885.4</v>
      </c>
      <c r="D19" s="15">
        <v>3320.8</v>
      </c>
      <c r="E19" s="15">
        <v>2967.6</v>
      </c>
      <c r="F19" s="16">
        <v>2575.3000000000002</v>
      </c>
    </row>
    <row r="20" spans="1:6" ht="18">
      <c r="A20" s="17" t="s">
        <v>27</v>
      </c>
      <c r="B20" s="18" t="s">
        <v>28</v>
      </c>
      <c r="C20" s="19">
        <v>1453.3</v>
      </c>
      <c r="D20" s="19">
        <v>1112.9000000000001</v>
      </c>
      <c r="E20" s="19">
        <v>1238.7</v>
      </c>
      <c r="F20" s="20">
        <v>1295.3</v>
      </c>
    </row>
    <row r="21" spans="1:6" ht="18">
      <c r="A21" s="17" t="s">
        <v>29</v>
      </c>
      <c r="B21" s="18" t="s">
        <v>30</v>
      </c>
      <c r="C21" s="19">
        <v>2432.1</v>
      </c>
      <c r="D21" s="19">
        <v>2207.9</v>
      </c>
      <c r="E21" s="19">
        <v>1728.9</v>
      </c>
      <c r="F21" s="20">
        <v>1280</v>
      </c>
    </row>
    <row r="22" spans="1:6" ht="18">
      <c r="A22" s="22" t="s">
        <v>31</v>
      </c>
      <c r="B22" s="14" t="s">
        <v>32</v>
      </c>
      <c r="C22" s="15">
        <v>20</v>
      </c>
      <c r="D22" s="44">
        <v>21.4</v>
      </c>
      <c r="E22" s="44">
        <v>25</v>
      </c>
      <c r="F22" s="45">
        <v>22.5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1115.8</v>
      </c>
      <c r="D24" s="4">
        <v>3021.1</v>
      </c>
      <c r="E24" s="6">
        <v>1056.7</v>
      </c>
      <c r="F24" s="6">
        <v>415.5</v>
      </c>
    </row>
    <row r="25" spans="1:6" ht="18">
      <c r="A25" s="17" t="s">
        <v>35</v>
      </c>
      <c r="B25" s="48" t="s">
        <v>66</v>
      </c>
      <c r="C25" s="49">
        <v>195.3</v>
      </c>
      <c r="D25" s="49">
        <v>177.9</v>
      </c>
      <c r="E25" s="49">
        <v>177.6</v>
      </c>
      <c r="F25" s="50">
        <v>115.4</v>
      </c>
    </row>
    <row r="26" spans="1:6" ht="18">
      <c r="A26" s="17" t="s">
        <v>37</v>
      </c>
      <c r="B26" s="48" t="s">
        <v>38</v>
      </c>
      <c r="C26" s="51">
        <v>920.5</v>
      </c>
      <c r="D26" s="49">
        <v>2843.2</v>
      </c>
      <c r="E26" s="49">
        <v>879.1</v>
      </c>
      <c r="F26" s="50">
        <v>300.10000000000002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  <pageSetUpPr fitToPage="1"/>
  </sheetPr>
  <dimension ref="A1:F227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16384" width="9.140625" style="61"/>
  </cols>
  <sheetData>
    <row r="1" spans="1:6" s="60" customFormat="1">
      <c r="A1" s="58"/>
      <c r="B1" s="59"/>
      <c r="C1" s="59"/>
      <c r="D1" s="59"/>
    </row>
    <row r="2" spans="1:6" s="60" customFormat="1" ht="18">
      <c r="A2" s="187" t="s">
        <v>0</v>
      </c>
      <c r="B2" s="187"/>
      <c r="C2" s="187"/>
      <c r="D2" s="187"/>
      <c r="E2" s="187"/>
      <c r="F2" s="187"/>
    </row>
    <row r="3" spans="1:6" s="60" customFormat="1" ht="25.5" customHeight="1">
      <c r="A3" s="58"/>
      <c r="C3" s="188" t="s">
        <v>44</v>
      </c>
      <c r="D3" s="188"/>
      <c r="E3" s="188"/>
    </row>
    <row r="4" spans="1:6" ht="23.25" customHeight="1"/>
    <row r="5" spans="1:6" ht="31.5" customHeight="1">
      <c r="A5" s="189" t="s">
        <v>1</v>
      </c>
      <c r="B5" s="189" t="s">
        <v>2</v>
      </c>
      <c r="C5" s="192" t="s">
        <v>68</v>
      </c>
      <c r="D5" s="193"/>
      <c r="E5" s="193"/>
      <c r="F5" s="194"/>
    </row>
    <row r="6" spans="1:6" ht="21" customHeight="1">
      <c r="A6" s="190"/>
      <c r="B6" s="190"/>
      <c r="C6" s="62" t="s">
        <v>46</v>
      </c>
      <c r="D6" s="62" t="s">
        <v>47</v>
      </c>
      <c r="E6" s="62" t="s">
        <v>48</v>
      </c>
      <c r="F6" s="62" t="s">
        <v>49</v>
      </c>
    </row>
    <row r="7" spans="1:6" s="64" customFormat="1" ht="21.75" customHeight="1">
      <c r="A7" s="191"/>
      <c r="B7" s="191"/>
      <c r="C7" s="63" t="s">
        <v>50</v>
      </c>
      <c r="D7" s="63" t="s">
        <v>51</v>
      </c>
      <c r="E7" s="63" t="s">
        <v>52</v>
      </c>
      <c r="F7" s="63" t="s">
        <v>53</v>
      </c>
    </row>
    <row r="8" spans="1:6" ht="18">
      <c r="A8" s="65" t="s">
        <v>3</v>
      </c>
      <c r="B8" s="66" t="s">
        <v>4</v>
      </c>
      <c r="C8" s="67">
        <v>46148.1</v>
      </c>
      <c r="D8" s="68">
        <v>47792.3</v>
      </c>
      <c r="E8" s="68">
        <v>53444.9</v>
      </c>
      <c r="F8" s="69">
        <v>55764.4</v>
      </c>
    </row>
    <row r="9" spans="1:6" ht="18">
      <c r="A9" s="70" t="s">
        <v>5</v>
      </c>
      <c r="B9" s="71" t="s">
        <v>64</v>
      </c>
      <c r="C9" s="72">
        <v>5683.1</v>
      </c>
      <c r="D9" s="73">
        <v>5611</v>
      </c>
      <c r="E9" s="73">
        <v>5182.5</v>
      </c>
      <c r="F9" s="73">
        <v>5249.6</v>
      </c>
    </row>
    <row r="10" spans="1:6" ht="18">
      <c r="A10" s="74" t="s">
        <v>7</v>
      </c>
      <c r="B10" s="75" t="s">
        <v>8</v>
      </c>
      <c r="C10" s="76">
        <v>4509.8999999999996</v>
      </c>
      <c r="D10" s="77">
        <v>4460.8</v>
      </c>
      <c r="E10" s="77">
        <v>4446.8999999999996</v>
      </c>
      <c r="F10" s="77">
        <v>4524.5</v>
      </c>
    </row>
    <row r="11" spans="1:6" ht="18">
      <c r="A11" s="74" t="s">
        <v>9</v>
      </c>
      <c r="B11" s="75" t="s">
        <v>10</v>
      </c>
      <c r="C11" s="76">
        <v>1173.2</v>
      </c>
      <c r="D11" s="77">
        <v>1150.2</v>
      </c>
      <c r="E11" s="77">
        <v>735.6</v>
      </c>
      <c r="F11" s="77">
        <v>725.1</v>
      </c>
    </row>
    <row r="12" spans="1:6" ht="18">
      <c r="A12" s="78" t="s">
        <v>11</v>
      </c>
      <c r="B12" s="71" t="s">
        <v>12</v>
      </c>
      <c r="C12" s="72">
        <v>5572.9</v>
      </c>
      <c r="D12" s="73">
        <v>5277.8</v>
      </c>
      <c r="E12" s="73">
        <v>6509.9</v>
      </c>
      <c r="F12" s="73">
        <v>6299.9</v>
      </c>
    </row>
    <row r="13" spans="1:6" ht="18">
      <c r="A13" s="74" t="s">
        <v>13</v>
      </c>
      <c r="B13" s="79" t="s">
        <v>14</v>
      </c>
      <c r="C13" s="76">
        <v>2701.2</v>
      </c>
      <c r="D13" s="77">
        <v>2625.7</v>
      </c>
      <c r="E13" s="77">
        <v>3553.5</v>
      </c>
      <c r="F13" s="77">
        <v>3553.5</v>
      </c>
    </row>
    <row r="14" spans="1:6" ht="21">
      <c r="A14" s="74" t="s">
        <v>15</v>
      </c>
      <c r="B14" s="79" t="s">
        <v>16</v>
      </c>
      <c r="C14" s="76">
        <v>2871.7</v>
      </c>
      <c r="D14" s="77">
        <v>2652.1</v>
      </c>
      <c r="E14" s="77" t="s">
        <v>80</v>
      </c>
      <c r="F14" s="77" t="s">
        <v>81</v>
      </c>
    </row>
    <row r="15" spans="1:6" ht="18">
      <c r="A15" s="80" t="s">
        <v>17</v>
      </c>
      <c r="B15" s="81" t="s">
        <v>18</v>
      </c>
      <c r="C15" s="72">
        <v>12388.5</v>
      </c>
      <c r="D15" s="73">
        <v>12908.7</v>
      </c>
      <c r="E15" s="73">
        <v>13810.1</v>
      </c>
      <c r="F15" s="73">
        <v>14089.9</v>
      </c>
    </row>
    <row r="16" spans="1:6" ht="18">
      <c r="A16" s="38" t="s">
        <v>78</v>
      </c>
      <c r="B16" s="71" t="s">
        <v>20</v>
      </c>
      <c r="C16" s="72">
        <v>1135</v>
      </c>
      <c r="D16" s="73">
        <v>1137.5</v>
      </c>
      <c r="E16" s="73">
        <v>2666.8</v>
      </c>
      <c r="F16" s="73">
        <v>3118.9</v>
      </c>
    </row>
    <row r="17" spans="1:6" ht="18">
      <c r="A17" s="78" t="s">
        <v>21</v>
      </c>
      <c r="B17" s="81" t="s">
        <v>22</v>
      </c>
      <c r="C17" s="72">
        <v>3545.8</v>
      </c>
      <c r="D17" s="73">
        <v>3510.6</v>
      </c>
      <c r="E17" s="73">
        <v>3514</v>
      </c>
      <c r="F17" s="73">
        <v>3493</v>
      </c>
    </row>
    <row r="18" spans="1:6" ht="18">
      <c r="A18" s="78" t="s">
        <v>23</v>
      </c>
      <c r="B18" s="81" t="s">
        <v>24</v>
      </c>
      <c r="C18" s="72">
        <v>15000</v>
      </c>
      <c r="D18" s="73">
        <v>14900</v>
      </c>
      <c r="E18" s="73">
        <v>14900</v>
      </c>
      <c r="F18" s="73">
        <v>16300</v>
      </c>
    </row>
    <row r="19" spans="1:6" ht="18">
      <c r="A19" s="78" t="s">
        <v>25</v>
      </c>
      <c r="B19" s="71" t="s">
        <v>26</v>
      </c>
      <c r="C19" s="72">
        <v>2797.8</v>
      </c>
      <c r="D19" s="73">
        <v>4424.2</v>
      </c>
      <c r="E19" s="73">
        <v>6836.1</v>
      </c>
      <c r="F19" s="73">
        <v>7017.7</v>
      </c>
    </row>
    <row r="20" spans="1:6" ht="18">
      <c r="A20" s="74" t="s">
        <v>27</v>
      </c>
      <c r="B20" s="75" t="s">
        <v>28</v>
      </c>
      <c r="C20" s="76">
        <v>1464.5</v>
      </c>
      <c r="D20" s="77">
        <v>1286.8</v>
      </c>
      <c r="E20" s="77">
        <v>1345.4</v>
      </c>
      <c r="F20" s="77">
        <v>1478.3</v>
      </c>
    </row>
    <row r="21" spans="1:6" ht="21">
      <c r="A21" s="74" t="s">
        <v>69</v>
      </c>
      <c r="B21" s="75" t="s">
        <v>70</v>
      </c>
      <c r="C21" s="76">
        <v>1333.3</v>
      </c>
      <c r="D21" s="77">
        <v>3137.4</v>
      </c>
      <c r="E21" s="77">
        <v>5490.7</v>
      </c>
      <c r="F21" s="77">
        <v>5539.4</v>
      </c>
    </row>
    <row r="22" spans="1:6" ht="18">
      <c r="A22" s="82" t="s">
        <v>31</v>
      </c>
      <c r="B22" s="71" t="s">
        <v>32</v>
      </c>
      <c r="C22" s="83">
        <v>25</v>
      </c>
      <c r="D22" s="84">
        <v>22.5</v>
      </c>
      <c r="E22" s="84">
        <v>25.5</v>
      </c>
      <c r="F22" s="84">
        <v>195.4</v>
      </c>
    </row>
    <row r="23" spans="1:6" ht="18">
      <c r="A23" s="85"/>
      <c r="B23" s="86"/>
      <c r="C23" s="87"/>
      <c r="D23" s="88"/>
      <c r="E23" s="88"/>
      <c r="F23" s="88"/>
    </row>
    <row r="24" spans="1:6" ht="18">
      <c r="A24" s="65" t="s">
        <v>33</v>
      </c>
      <c r="B24" s="66" t="s">
        <v>34</v>
      </c>
      <c r="C24" s="89">
        <v>2324.6999999999998</v>
      </c>
      <c r="D24" s="89">
        <v>831.9</v>
      </c>
      <c r="E24" s="89">
        <v>1065.0999999999999</v>
      </c>
      <c r="F24" s="89">
        <v>863</v>
      </c>
    </row>
    <row r="25" spans="1:6" ht="18">
      <c r="A25" s="74" t="s">
        <v>35</v>
      </c>
      <c r="B25" s="90" t="s">
        <v>66</v>
      </c>
      <c r="C25" s="91">
        <v>188.5</v>
      </c>
      <c r="D25" s="92">
        <v>240.2</v>
      </c>
      <c r="E25" s="92">
        <v>148.5</v>
      </c>
      <c r="F25" s="92">
        <v>258.60000000000002</v>
      </c>
    </row>
    <row r="26" spans="1:6" ht="18">
      <c r="A26" s="74" t="s">
        <v>37</v>
      </c>
      <c r="B26" s="90" t="s">
        <v>38</v>
      </c>
      <c r="C26" s="91">
        <v>2136.1999999999998</v>
      </c>
      <c r="D26" s="92">
        <v>591.70000000000005</v>
      </c>
      <c r="E26" s="92">
        <v>916.6</v>
      </c>
      <c r="F26" s="92">
        <v>604.4</v>
      </c>
    </row>
    <row r="27" spans="1:6" ht="18">
      <c r="A27" s="93"/>
      <c r="B27" s="93"/>
      <c r="C27" s="94"/>
      <c r="D27" s="94"/>
      <c r="E27" s="94"/>
      <c r="F27" s="95"/>
    </row>
    <row r="28" spans="1:6">
      <c r="A28" s="96" t="s">
        <v>39</v>
      </c>
      <c r="E28" s="106"/>
      <c r="F28" s="106"/>
    </row>
    <row r="29" spans="1:6">
      <c r="A29" s="97" t="s">
        <v>41</v>
      </c>
    </row>
    <row r="30" spans="1:6">
      <c r="A30" s="98" t="s">
        <v>42</v>
      </c>
    </row>
    <row r="31" spans="1:6">
      <c r="A31" s="29" t="s">
        <v>77</v>
      </c>
      <c r="B31" s="8"/>
      <c r="C31" s="12"/>
      <c r="D31" s="12"/>
      <c r="E31" s="12"/>
    </row>
    <row r="32" spans="1:6" ht="18">
      <c r="A32" s="98" t="s">
        <v>71</v>
      </c>
      <c r="B32" s="98"/>
      <c r="C32" s="98"/>
      <c r="D32" s="98"/>
      <c r="E32" s="98"/>
    </row>
    <row r="33" spans="1:2">
      <c r="A33" s="98" t="s">
        <v>43</v>
      </c>
    </row>
    <row r="34" spans="1:2">
      <c r="A34" s="99"/>
      <c r="B34" s="100"/>
    </row>
    <row r="35" spans="1:2">
      <c r="A35" s="101"/>
      <c r="B35" s="61"/>
    </row>
    <row r="36" spans="1:2">
      <c r="A36" s="102"/>
    </row>
    <row r="37" spans="1:2">
      <c r="A37" s="103"/>
    </row>
    <row r="38" spans="1:2">
      <c r="A38" s="104"/>
    </row>
    <row r="39" spans="1:2">
      <c r="A39" s="101"/>
    </row>
    <row r="40" spans="1:2">
      <c r="A40" s="99"/>
    </row>
    <row r="41" spans="1:2">
      <c r="A41" s="101"/>
    </row>
    <row r="42" spans="1:2">
      <c r="A42" s="99"/>
    </row>
    <row r="43" spans="1:2">
      <c r="A43" s="101"/>
    </row>
    <row r="44" spans="1:2">
      <c r="A44" s="99"/>
    </row>
    <row r="45" spans="1:2">
      <c r="A45" s="99"/>
    </row>
    <row r="46" spans="1:2">
      <c r="A46" s="101"/>
    </row>
    <row r="47" spans="1:2">
      <c r="A47" s="101"/>
    </row>
    <row r="48" spans="1:2">
      <c r="A48" s="101"/>
    </row>
    <row r="49" spans="1:1">
      <c r="A49" s="10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  <row r="227" spans="1:1">
      <c r="A227" s="61"/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  <pageSetUpPr fitToPage="1"/>
  </sheetPr>
  <dimension ref="A1:F228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16384" width="9.140625" style="12"/>
  </cols>
  <sheetData>
    <row r="1" spans="1:6" s="9" customFormat="1">
      <c r="A1" s="7"/>
      <c r="B1" s="8"/>
      <c r="C1" s="8"/>
      <c r="D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25.5" customHeight="1">
      <c r="A3" s="7"/>
      <c r="C3" s="195" t="s">
        <v>44</v>
      </c>
      <c r="D3" s="195"/>
      <c r="E3" s="195"/>
      <c r="F3" s="195"/>
    </row>
    <row r="4" spans="1:6" ht="23.25" customHeight="1"/>
    <row r="5" spans="1:6" ht="31.5" customHeight="1">
      <c r="A5" s="184" t="s">
        <v>1</v>
      </c>
      <c r="B5" s="184" t="s">
        <v>2</v>
      </c>
      <c r="C5" s="181" t="s">
        <v>98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6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v>60152.6</v>
      </c>
      <c r="D8" s="6">
        <v>67322.600000000006</v>
      </c>
      <c r="E8" s="6">
        <v>73888.600000000006</v>
      </c>
      <c r="F8" s="69">
        <v>79032.800000000003</v>
      </c>
    </row>
    <row r="9" spans="1:6" ht="18">
      <c r="A9" s="13" t="s">
        <v>5</v>
      </c>
      <c r="B9" s="14" t="s">
        <v>64</v>
      </c>
      <c r="C9" s="15">
        <v>4636.3</v>
      </c>
      <c r="D9" s="16">
        <v>4330.2</v>
      </c>
      <c r="E9" s="16">
        <v>4167</v>
      </c>
      <c r="F9" s="73">
        <v>4252</v>
      </c>
    </row>
    <row r="10" spans="1:6" ht="18">
      <c r="A10" s="17" t="s">
        <v>7</v>
      </c>
      <c r="B10" s="18" t="s">
        <v>8</v>
      </c>
      <c r="C10" s="19">
        <v>4376.8999999999996</v>
      </c>
      <c r="D10" s="20">
        <v>4088.3</v>
      </c>
      <c r="E10" s="20">
        <v>3940.6</v>
      </c>
      <c r="F10" s="77">
        <v>4015</v>
      </c>
    </row>
    <row r="11" spans="1:6" ht="18">
      <c r="A11" s="17" t="s">
        <v>9</v>
      </c>
      <c r="B11" s="18" t="s">
        <v>10</v>
      </c>
      <c r="C11" s="19">
        <v>259.39999999999998</v>
      </c>
      <c r="D11" s="20">
        <v>241.9</v>
      </c>
      <c r="E11" s="20">
        <v>226.4</v>
      </c>
      <c r="F11" s="77">
        <v>237</v>
      </c>
    </row>
    <row r="12" spans="1:6" ht="18">
      <c r="A12" s="38" t="s">
        <v>11</v>
      </c>
      <c r="B12" s="14" t="s">
        <v>12</v>
      </c>
      <c r="C12" s="15">
        <v>6441.2</v>
      </c>
      <c r="D12" s="16">
        <v>5973.1</v>
      </c>
      <c r="E12" s="16">
        <v>6437.4</v>
      </c>
      <c r="F12" s="73">
        <v>6572.4</v>
      </c>
    </row>
    <row r="13" spans="1:6" ht="18">
      <c r="A13" s="17" t="s">
        <v>13</v>
      </c>
      <c r="B13" s="21" t="s">
        <v>14</v>
      </c>
      <c r="C13" s="19">
        <v>3655.4</v>
      </c>
      <c r="D13" s="20">
        <v>3423.9</v>
      </c>
      <c r="E13" s="20">
        <v>3571.1</v>
      </c>
      <c r="F13" s="77">
        <v>3710.8</v>
      </c>
    </row>
    <row r="14" spans="1:6" ht="21">
      <c r="A14" s="17" t="s">
        <v>15</v>
      </c>
      <c r="B14" s="21" t="s">
        <v>16</v>
      </c>
      <c r="C14" s="19" t="s">
        <v>73</v>
      </c>
      <c r="D14" s="20" t="s">
        <v>74</v>
      </c>
      <c r="E14" s="20" t="s">
        <v>75</v>
      </c>
      <c r="F14" s="77" t="s">
        <v>76</v>
      </c>
    </row>
    <row r="15" spans="1:6" ht="18">
      <c r="A15" s="39" t="s">
        <v>17</v>
      </c>
      <c r="B15" s="23" t="s">
        <v>18</v>
      </c>
      <c r="C15" s="15">
        <v>15586.2</v>
      </c>
      <c r="D15" s="16">
        <v>19481.099999999999</v>
      </c>
      <c r="E15" s="16">
        <v>21174.5</v>
      </c>
      <c r="F15" s="73">
        <v>21751.599999999999</v>
      </c>
    </row>
    <row r="16" spans="1:6" ht="18">
      <c r="A16" s="38" t="s">
        <v>78</v>
      </c>
      <c r="B16" s="14" t="s">
        <v>79</v>
      </c>
      <c r="C16" s="15">
        <v>4176</v>
      </c>
      <c r="D16" s="16">
        <v>4548.8999999999996</v>
      </c>
      <c r="E16" s="16">
        <v>4779.3</v>
      </c>
      <c r="F16" s="73">
        <v>6505.2</v>
      </c>
    </row>
    <row r="17" spans="1:6" ht="18">
      <c r="A17" s="38" t="s">
        <v>21</v>
      </c>
      <c r="B17" s="23" t="s">
        <v>22</v>
      </c>
      <c r="C17" s="15">
        <v>2660.4</v>
      </c>
      <c r="D17" s="16">
        <v>2687.4</v>
      </c>
      <c r="E17" s="16">
        <v>6683.2</v>
      </c>
      <c r="F17" s="73">
        <v>8984.5</v>
      </c>
    </row>
    <row r="18" spans="1:6" ht="18">
      <c r="A18" s="38" t="s">
        <v>23</v>
      </c>
      <c r="B18" s="23" t="s">
        <v>24</v>
      </c>
      <c r="C18" s="15">
        <v>18550</v>
      </c>
      <c r="D18" s="16">
        <v>18200</v>
      </c>
      <c r="E18" s="16">
        <v>17887.400000000001</v>
      </c>
      <c r="F18" s="73">
        <v>18537.400000000001</v>
      </c>
    </row>
    <row r="19" spans="1:6" ht="18">
      <c r="A19" s="38" t="s">
        <v>25</v>
      </c>
      <c r="B19" s="14" t="s">
        <v>26</v>
      </c>
      <c r="C19" s="15">
        <v>7965.8</v>
      </c>
      <c r="D19" s="16">
        <v>11945.3</v>
      </c>
      <c r="E19" s="16">
        <v>12604.3</v>
      </c>
      <c r="F19" s="73">
        <v>12274.4</v>
      </c>
    </row>
    <row r="20" spans="1:6" ht="18">
      <c r="A20" s="17" t="s">
        <v>27</v>
      </c>
      <c r="B20" s="18" t="s">
        <v>28</v>
      </c>
      <c r="C20" s="19">
        <v>2236.9</v>
      </c>
      <c r="D20" s="20">
        <v>4420.3999999999996</v>
      </c>
      <c r="E20" s="20">
        <v>4374.8</v>
      </c>
      <c r="F20" s="77">
        <v>3824.1</v>
      </c>
    </row>
    <row r="21" spans="1:6" ht="21">
      <c r="A21" s="17" t="s">
        <v>69</v>
      </c>
      <c r="B21" s="18" t="s">
        <v>70</v>
      </c>
      <c r="C21" s="19">
        <v>5728.9</v>
      </c>
      <c r="D21" s="20">
        <v>7524.9</v>
      </c>
      <c r="E21" s="20">
        <v>8229.5</v>
      </c>
      <c r="F21" s="77">
        <v>8450.2999999999993</v>
      </c>
    </row>
    <row r="22" spans="1:6" ht="18">
      <c r="A22" s="22" t="s">
        <v>31</v>
      </c>
      <c r="B22" s="14" t="s">
        <v>32</v>
      </c>
      <c r="C22" s="44">
        <v>136.69999999999999</v>
      </c>
      <c r="D22" s="45">
        <v>156.6</v>
      </c>
      <c r="E22" s="45">
        <v>155.5</v>
      </c>
      <c r="F22" s="84">
        <v>155.30000000000001</v>
      </c>
    </row>
    <row r="23" spans="1:6" ht="18">
      <c r="A23" s="46"/>
      <c r="B23" s="47"/>
      <c r="C23" s="54"/>
      <c r="D23" s="55"/>
      <c r="E23" s="55"/>
      <c r="F23" s="88"/>
    </row>
    <row r="24" spans="1:6" ht="18">
      <c r="A24" s="10" t="s">
        <v>33</v>
      </c>
      <c r="B24" s="3" t="s">
        <v>34</v>
      </c>
      <c r="C24" s="57">
        <v>2489.1</v>
      </c>
      <c r="D24" s="89">
        <v>1241</v>
      </c>
      <c r="E24" s="57">
        <v>1256.7</v>
      </c>
      <c r="F24" s="89">
        <v>2333.3000000000002</v>
      </c>
    </row>
    <row r="25" spans="1:6" ht="18">
      <c r="A25" s="17" t="s">
        <v>35</v>
      </c>
      <c r="B25" s="48" t="s">
        <v>66</v>
      </c>
      <c r="C25" s="50">
        <v>242.1</v>
      </c>
      <c r="D25" s="92">
        <v>323.2</v>
      </c>
      <c r="E25" s="50">
        <v>280</v>
      </c>
      <c r="F25" s="92">
        <v>370.3</v>
      </c>
    </row>
    <row r="26" spans="1:6" ht="18">
      <c r="A26" s="17" t="s">
        <v>37</v>
      </c>
      <c r="B26" s="48" t="s">
        <v>38</v>
      </c>
      <c r="C26" s="50">
        <v>2247</v>
      </c>
      <c r="D26" s="92">
        <v>917.8</v>
      </c>
      <c r="E26" s="50">
        <v>976.7</v>
      </c>
      <c r="F26" s="92">
        <v>1963</v>
      </c>
    </row>
    <row r="27" spans="1:6" ht="18">
      <c r="A27" s="24"/>
      <c r="B27" s="24"/>
      <c r="C27" s="25"/>
      <c r="D27" s="25"/>
      <c r="E27" s="25"/>
      <c r="F27" s="95"/>
    </row>
    <row r="28" spans="1:6">
      <c r="A28" s="27" t="s">
        <v>39</v>
      </c>
      <c r="C28" s="105"/>
      <c r="D28" s="105"/>
      <c r="E28" s="105"/>
      <c r="F28" s="105"/>
    </row>
    <row r="29" spans="1:6">
      <c r="A29" s="29" t="s">
        <v>40</v>
      </c>
    </row>
    <row r="30" spans="1:6">
      <c r="A30" s="28" t="s">
        <v>41</v>
      </c>
    </row>
    <row r="31" spans="1:6">
      <c r="A31" s="29" t="s">
        <v>42</v>
      </c>
    </row>
    <row r="32" spans="1:6" ht="18.75" customHeight="1">
      <c r="A32" s="29" t="s">
        <v>77</v>
      </c>
    </row>
    <row r="33" spans="1:2">
      <c r="A33" s="29" t="s">
        <v>72</v>
      </c>
    </row>
    <row r="34" spans="1:2">
      <c r="A34" s="29" t="s">
        <v>43</v>
      </c>
    </row>
    <row r="35" spans="1:2">
      <c r="A35" s="26"/>
      <c r="B35" s="30"/>
    </row>
    <row r="36" spans="1:2">
      <c r="A36" s="32"/>
      <c r="B36" s="12"/>
    </row>
    <row r="37" spans="1:2">
      <c r="A37" s="43"/>
    </row>
    <row r="38" spans="1:2">
      <c r="A38" s="31"/>
    </row>
    <row r="39" spans="1:2">
      <c r="A39" s="1"/>
    </row>
    <row r="40" spans="1:2">
      <c r="A40" s="32"/>
    </row>
    <row r="41" spans="1:2">
      <c r="A41" s="26"/>
    </row>
    <row r="42" spans="1:2">
      <c r="A42" s="32"/>
    </row>
    <row r="43" spans="1:2">
      <c r="A43" s="26"/>
    </row>
    <row r="44" spans="1:2">
      <c r="A44" s="32"/>
    </row>
    <row r="45" spans="1:2">
      <c r="A45" s="26"/>
    </row>
    <row r="46" spans="1:2">
      <c r="A46" s="26"/>
    </row>
    <row r="47" spans="1:2">
      <c r="A47" s="32"/>
    </row>
    <row r="48" spans="1:2">
      <c r="A48" s="32"/>
    </row>
    <row r="49" spans="1:1">
      <c r="A49" s="32"/>
    </row>
    <row r="50" spans="1:1">
      <c r="A50" s="3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16384" width="9.140625" style="12"/>
  </cols>
  <sheetData>
    <row r="1" spans="1:6" s="9" customFormat="1">
      <c r="A1" s="7"/>
      <c r="B1" s="8"/>
      <c r="C1" s="8"/>
      <c r="D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25.5" customHeight="1">
      <c r="A3" s="7"/>
      <c r="C3" s="195" t="s">
        <v>44</v>
      </c>
      <c r="D3" s="195"/>
      <c r="E3" s="195"/>
      <c r="F3" s="195"/>
    </row>
    <row r="4" spans="1:6" ht="23.25" customHeight="1"/>
    <row r="5" spans="1:6" ht="31.5" customHeight="1">
      <c r="A5" s="184" t="s">
        <v>1</v>
      </c>
      <c r="B5" s="184" t="s">
        <v>2</v>
      </c>
      <c r="C5" s="181" t="s">
        <v>97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6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6" ht="18">
      <c r="A8" s="10" t="s">
        <v>111</v>
      </c>
      <c r="B8" s="3" t="s">
        <v>112</v>
      </c>
      <c r="C8" s="6">
        <v>80831.899999999994</v>
      </c>
      <c r="D8" s="68">
        <v>82884.5</v>
      </c>
      <c r="E8" s="68">
        <v>88163.9</v>
      </c>
      <c r="F8" s="69">
        <v>92643.9</v>
      </c>
    </row>
    <row r="9" spans="1:6" ht="21">
      <c r="A9" s="13" t="s">
        <v>106</v>
      </c>
      <c r="B9" s="14" t="s">
        <v>6</v>
      </c>
      <c r="C9" s="16">
        <v>4031.4</v>
      </c>
      <c r="D9" s="73">
        <v>4059.4</v>
      </c>
      <c r="E9" s="73">
        <v>3870.8</v>
      </c>
      <c r="F9" s="73">
        <v>3727.9</v>
      </c>
    </row>
    <row r="10" spans="1:6" ht="18">
      <c r="A10" s="109" t="s">
        <v>7</v>
      </c>
      <c r="B10" s="18" t="s">
        <v>8</v>
      </c>
      <c r="C10" s="20">
        <v>3812.2</v>
      </c>
      <c r="D10" s="77">
        <v>3837</v>
      </c>
      <c r="E10" s="77">
        <v>3668.5</v>
      </c>
      <c r="F10" s="77">
        <v>3536.5</v>
      </c>
    </row>
    <row r="11" spans="1:6" ht="18">
      <c r="A11" s="110" t="s">
        <v>9</v>
      </c>
      <c r="B11" s="18" t="s">
        <v>10</v>
      </c>
      <c r="C11" s="20">
        <v>219.2</v>
      </c>
      <c r="D11" s="77">
        <v>222.4</v>
      </c>
      <c r="E11" s="77">
        <v>202.3</v>
      </c>
      <c r="F11" s="77">
        <v>191.4</v>
      </c>
    </row>
    <row r="12" spans="1:6" ht="18">
      <c r="A12" s="13" t="s">
        <v>105</v>
      </c>
      <c r="B12" s="14" t="s">
        <v>12</v>
      </c>
      <c r="C12" s="16">
        <v>6672.4</v>
      </c>
      <c r="D12" s="73">
        <v>6956.7</v>
      </c>
      <c r="E12" s="73">
        <v>7657.3</v>
      </c>
      <c r="F12" s="73">
        <v>7644</v>
      </c>
    </row>
    <row r="13" spans="1:6" ht="18">
      <c r="A13" s="107" t="s">
        <v>13</v>
      </c>
      <c r="B13" s="21" t="s">
        <v>14</v>
      </c>
      <c r="C13" s="20">
        <v>3813</v>
      </c>
      <c r="D13" s="77">
        <v>4105.1000000000004</v>
      </c>
      <c r="E13" s="77">
        <v>4629.2</v>
      </c>
      <c r="F13" s="77">
        <v>4430.5</v>
      </c>
    </row>
    <row r="14" spans="1:6" ht="21">
      <c r="A14" s="108" t="s">
        <v>15</v>
      </c>
      <c r="B14" s="21" t="s">
        <v>16</v>
      </c>
      <c r="C14" s="20" t="s">
        <v>82</v>
      </c>
      <c r="D14" s="77" t="s">
        <v>83</v>
      </c>
      <c r="E14" s="77" t="s">
        <v>84</v>
      </c>
      <c r="F14" s="77" t="s">
        <v>85</v>
      </c>
    </row>
    <row r="15" spans="1:6" ht="18">
      <c r="A15" s="113" t="s">
        <v>100</v>
      </c>
      <c r="B15" s="23" t="s">
        <v>87</v>
      </c>
      <c r="C15" s="16">
        <v>23412.1</v>
      </c>
      <c r="D15" s="73">
        <v>26036.9</v>
      </c>
      <c r="E15" s="73">
        <v>27020.7</v>
      </c>
      <c r="F15" s="73">
        <v>28416.799999999999</v>
      </c>
    </row>
    <row r="16" spans="1:6" ht="18">
      <c r="A16" s="112" t="s">
        <v>78</v>
      </c>
      <c r="B16" s="14" t="s">
        <v>79</v>
      </c>
      <c r="C16" s="16">
        <v>7204.8</v>
      </c>
      <c r="D16" s="73">
        <v>7509</v>
      </c>
      <c r="E16" s="73">
        <v>7883.6</v>
      </c>
      <c r="F16" s="73">
        <v>8433.9</v>
      </c>
    </row>
    <row r="17" spans="1:6" ht="18">
      <c r="A17" s="115" t="s">
        <v>95</v>
      </c>
      <c r="B17" s="23" t="s">
        <v>99</v>
      </c>
      <c r="C17" s="16">
        <v>8990.2999999999993</v>
      </c>
      <c r="D17" s="73">
        <v>8881.5</v>
      </c>
      <c r="E17" s="73">
        <v>12175.9</v>
      </c>
      <c r="F17" s="73">
        <v>14277.7</v>
      </c>
    </row>
    <row r="18" spans="1:6" ht="18">
      <c r="A18" s="116" t="s">
        <v>101</v>
      </c>
      <c r="B18" s="23" t="s">
        <v>89</v>
      </c>
      <c r="C18" s="16">
        <v>18287.400000000001</v>
      </c>
      <c r="D18" s="73">
        <v>17906.099999999999</v>
      </c>
      <c r="E18" s="73">
        <v>17650</v>
      </c>
      <c r="F18" s="73">
        <v>17400</v>
      </c>
    </row>
    <row r="19" spans="1:6" ht="18">
      <c r="A19" s="114" t="s">
        <v>25</v>
      </c>
      <c r="B19" s="14" t="s">
        <v>26</v>
      </c>
      <c r="C19" s="16">
        <v>12074.6</v>
      </c>
      <c r="D19" s="73">
        <v>11128.4</v>
      </c>
      <c r="E19" s="73">
        <v>11504.9</v>
      </c>
      <c r="F19" s="73">
        <v>12283.7</v>
      </c>
    </row>
    <row r="20" spans="1:6" ht="18">
      <c r="A20" s="111" t="s">
        <v>103</v>
      </c>
      <c r="B20" s="18" t="s">
        <v>91</v>
      </c>
      <c r="C20" s="20">
        <v>3619.2</v>
      </c>
      <c r="D20" s="77">
        <v>3918.8</v>
      </c>
      <c r="E20" s="77">
        <v>3947.1</v>
      </c>
      <c r="F20" s="77">
        <v>3783.9</v>
      </c>
    </row>
    <row r="21" spans="1:6" ht="18">
      <c r="A21" s="111" t="s">
        <v>104</v>
      </c>
      <c r="B21" s="18" t="s">
        <v>93</v>
      </c>
      <c r="C21" s="20">
        <v>8455.4</v>
      </c>
      <c r="D21" s="77">
        <v>7209.6</v>
      </c>
      <c r="E21" s="77">
        <v>7557.8</v>
      </c>
      <c r="F21" s="77">
        <v>8499.7999999999993</v>
      </c>
    </row>
    <row r="22" spans="1:6" ht="18">
      <c r="A22" s="22" t="s">
        <v>31</v>
      </c>
      <c r="B22" s="14" t="s">
        <v>32</v>
      </c>
      <c r="C22" s="45">
        <v>158.9</v>
      </c>
      <c r="D22" s="84">
        <v>406.5</v>
      </c>
      <c r="E22" s="84">
        <v>400.7</v>
      </c>
      <c r="F22" s="84">
        <v>459.9</v>
      </c>
    </row>
    <row r="23" spans="1:6" ht="18">
      <c r="A23" s="46"/>
      <c r="B23" s="47"/>
      <c r="C23" s="55"/>
      <c r="D23" s="88"/>
      <c r="E23" s="88"/>
      <c r="F23" s="88"/>
    </row>
    <row r="24" spans="1:6" ht="18">
      <c r="A24" s="10" t="s">
        <v>33</v>
      </c>
      <c r="B24" s="3" t="s">
        <v>34</v>
      </c>
      <c r="C24" s="57">
        <v>1814.2</v>
      </c>
      <c r="D24" s="89">
        <v>6805.7</v>
      </c>
      <c r="E24" s="89">
        <v>2369.5</v>
      </c>
      <c r="F24" s="89">
        <v>2264.1</v>
      </c>
    </row>
    <row r="25" spans="1:6" ht="21">
      <c r="A25" s="17" t="s">
        <v>108</v>
      </c>
      <c r="B25" s="48" t="s">
        <v>66</v>
      </c>
      <c r="C25" s="50">
        <v>642.5</v>
      </c>
      <c r="D25" s="92">
        <v>449.6</v>
      </c>
      <c r="E25" s="92">
        <v>635.6</v>
      </c>
      <c r="F25" s="92">
        <v>442.5</v>
      </c>
    </row>
    <row r="26" spans="1:6" ht="18">
      <c r="A26" s="17" t="s">
        <v>37</v>
      </c>
      <c r="B26" s="48" t="s">
        <v>38</v>
      </c>
      <c r="C26" s="50">
        <v>1171.7</v>
      </c>
      <c r="D26" s="92">
        <v>6356.1</v>
      </c>
      <c r="E26" s="92">
        <v>1733.9</v>
      </c>
      <c r="F26" s="92">
        <v>1821.6</v>
      </c>
    </row>
    <row r="27" spans="1:6" ht="18">
      <c r="A27" s="24"/>
      <c r="B27" s="24"/>
      <c r="C27" s="25"/>
      <c r="D27" s="25"/>
      <c r="E27" s="94"/>
      <c r="F27" s="95"/>
    </row>
    <row r="28" spans="1:6">
      <c r="A28" s="27" t="s">
        <v>39</v>
      </c>
      <c r="C28" s="105"/>
      <c r="D28" s="105"/>
      <c r="E28" s="105"/>
      <c r="F28" s="105"/>
    </row>
    <row r="29" spans="1:6">
      <c r="A29" s="29" t="s">
        <v>102</v>
      </c>
    </row>
    <row r="30" spans="1:6" s="61" customFormat="1">
      <c r="A30" s="98" t="s">
        <v>86</v>
      </c>
      <c r="B30" s="59"/>
    </row>
    <row r="31" spans="1:6">
      <c r="A31" s="98" t="s">
        <v>94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  <pageSetUpPr fitToPage="1"/>
  </sheetPr>
  <dimension ref="A1:O226"/>
  <sheetViews>
    <sheetView view="pageBreakPreview" zoomScale="90" zoomScaleNormal="100" zoomScaleSheetLayoutView="9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7" width="9.140625" style="12"/>
    <col min="8" max="8" width="13.42578125" style="12" customWidth="1"/>
    <col min="9" max="16384" width="9.140625" style="12"/>
  </cols>
  <sheetData>
    <row r="1" spans="1:15" s="9" customFormat="1">
      <c r="A1" s="7"/>
      <c r="B1" s="8"/>
      <c r="C1" s="8"/>
      <c r="D1" s="8"/>
    </row>
    <row r="2" spans="1:15" s="9" customFormat="1" ht="18">
      <c r="A2" s="180" t="s">
        <v>0</v>
      </c>
      <c r="B2" s="180"/>
      <c r="C2" s="180"/>
      <c r="D2" s="180"/>
      <c r="E2" s="180"/>
      <c r="F2" s="180"/>
    </row>
    <row r="3" spans="1:15" s="9" customFormat="1" ht="25.5" customHeight="1">
      <c r="A3" s="7"/>
      <c r="C3" s="195" t="s">
        <v>44</v>
      </c>
      <c r="D3" s="195"/>
      <c r="E3" s="195"/>
      <c r="F3" s="195"/>
    </row>
    <row r="4" spans="1:15" ht="23.25" customHeight="1"/>
    <row r="5" spans="1:15" ht="31.5" customHeight="1">
      <c r="A5" s="184" t="s">
        <v>1</v>
      </c>
      <c r="B5" s="184" t="s">
        <v>2</v>
      </c>
      <c r="C5" s="181" t="s">
        <v>133</v>
      </c>
      <c r="D5" s="182"/>
      <c r="E5" s="182"/>
      <c r="F5" s="183"/>
    </row>
    <row r="6" spans="1:15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15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15" ht="18">
      <c r="A8" s="10" t="s">
        <v>111</v>
      </c>
      <c r="B8" s="3" t="s">
        <v>112</v>
      </c>
      <c r="C8" s="6">
        <v>93130.7</v>
      </c>
      <c r="D8" s="68">
        <v>96612.1</v>
      </c>
      <c r="E8" s="68">
        <v>106220.8</v>
      </c>
      <c r="F8" s="69">
        <v>108699.1</v>
      </c>
      <c r="K8" s="105"/>
      <c r="L8" s="105"/>
      <c r="M8" s="105"/>
      <c r="N8" s="105"/>
      <c r="O8" s="105"/>
    </row>
    <row r="9" spans="1:15" ht="21">
      <c r="A9" s="13" t="s">
        <v>106</v>
      </c>
      <c r="B9" s="117" t="s">
        <v>117</v>
      </c>
      <c r="C9" s="16">
        <v>3406.7000000000003</v>
      </c>
      <c r="D9" s="73">
        <v>3413.9</v>
      </c>
      <c r="E9" s="73">
        <v>3084.7</v>
      </c>
      <c r="F9" s="73">
        <v>3126.6</v>
      </c>
      <c r="K9" s="105"/>
      <c r="L9" s="105"/>
      <c r="M9" s="105"/>
      <c r="N9" s="105"/>
      <c r="O9" s="105"/>
    </row>
    <row r="10" spans="1:15" ht="18">
      <c r="A10" s="111" t="s">
        <v>7</v>
      </c>
      <c r="B10" s="18" t="s">
        <v>8</v>
      </c>
      <c r="C10" s="20">
        <v>3240.9</v>
      </c>
      <c r="D10" s="77">
        <v>3249.8</v>
      </c>
      <c r="E10" s="77">
        <v>2948.7</v>
      </c>
      <c r="F10" s="77">
        <v>2989.1</v>
      </c>
      <c r="K10" s="105"/>
      <c r="L10" s="105"/>
      <c r="M10" s="105"/>
      <c r="N10" s="105"/>
      <c r="O10" s="105"/>
    </row>
    <row r="11" spans="1:15" ht="18">
      <c r="A11" s="111" t="s">
        <v>9</v>
      </c>
      <c r="B11" s="18" t="s">
        <v>10</v>
      </c>
      <c r="C11" s="20">
        <v>165.8</v>
      </c>
      <c r="D11" s="77">
        <v>164.1</v>
      </c>
      <c r="E11" s="77">
        <v>136</v>
      </c>
      <c r="F11" s="77">
        <v>137.5</v>
      </c>
      <c r="K11" s="105"/>
      <c r="L11" s="105"/>
      <c r="M11" s="105"/>
      <c r="N11" s="105"/>
      <c r="O11" s="105"/>
    </row>
    <row r="12" spans="1:15" ht="18">
      <c r="A12" s="38" t="s">
        <v>105</v>
      </c>
      <c r="B12" s="117" t="s">
        <v>12</v>
      </c>
      <c r="C12" s="16">
        <v>8699.2000000000007</v>
      </c>
      <c r="D12" s="73">
        <v>8989.4</v>
      </c>
      <c r="E12" s="73">
        <v>9250</v>
      </c>
      <c r="F12" s="73">
        <v>9632.5</v>
      </c>
      <c r="K12" s="105"/>
      <c r="L12" s="105"/>
      <c r="M12" s="105"/>
      <c r="N12" s="105"/>
      <c r="O12" s="105"/>
    </row>
    <row r="13" spans="1:15" ht="18">
      <c r="A13" s="111" t="s">
        <v>13</v>
      </c>
      <c r="B13" s="21" t="s">
        <v>14</v>
      </c>
      <c r="C13" s="20">
        <v>4441.3999999999996</v>
      </c>
      <c r="D13" s="77">
        <v>4526.8999999999996</v>
      </c>
      <c r="E13" s="77">
        <v>4706.8999999999996</v>
      </c>
      <c r="F13" s="77">
        <v>5021.2</v>
      </c>
      <c r="K13" s="105"/>
      <c r="L13" s="105"/>
      <c r="M13" s="105"/>
      <c r="N13" s="105"/>
      <c r="O13" s="105"/>
    </row>
    <row r="14" spans="1:15" ht="21">
      <c r="A14" s="111" t="s">
        <v>15</v>
      </c>
      <c r="B14" s="21" t="s">
        <v>16</v>
      </c>
      <c r="C14" s="20" t="s">
        <v>107</v>
      </c>
      <c r="D14" s="77" t="s">
        <v>115</v>
      </c>
      <c r="E14" s="77" t="s">
        <v>118</v>
      </c>
      <c r="F14" s="77" t="s">
        <v>119</v>
      </c>
      <c r="K14" s="105"/>
      <c r="L14" s="105"/>
      <c r="M14" s="105"/>
      <c r="N14" s="105"/>
      <c r="O14" s="105"/>
    </row>
    <row r="15" spans="1:15" ht="18">
      <c r="A15" s="39" t="s">
        <v>109</v>
      </c>
      <c r="B15" s="118" t="s">
        <v>87</v>
      </c>
      <c r="C15" s="16">
        <v>28176.5</v>
      </c>
      <c r="D15" s="73">
        <v>28999</v>
      </c>
      <c r="E15" s="73">
        <v>31929.8</v>
      </c>
      <c r="F15" s="73">
        <v>32808.5</v>
      </c>
      <c r="K15" s="105"/>
      <c r="L15" s="105"/>
      <c r="M15" s="105"/>
      <c r="N15" s="105"/>
      <c r="O15" s="105"/>
    </row>
    <row r="16" spans="1:15" ht="18">
      <c r="A16" s="38" t="s">
        <v>78</v>
      </c>
      <c r="B16" s="117" t="s">
        <v>79</v>
      </c>
      <c r="C16" s="16">
        <v>9357.2999999999993</v>
      </c>
      <c r="D16" s="73">
        <v>9240.4</v>
      </c>
      <c r="E16" s="73">
        <v>10727.1</v>
      </c>
      <c r="F16" s="73">
        <v>11283.6</v>
      </c>
      <c r="K16" s="105"/>
      <c r="L16" s="105"/>
      <c r="M16" s="105"/>
      <c r="N16" s="105"/>
      <c r="O16" s="105"/>
    </row>
    <row r="17" spans="1:15" ht="18">
      <c r="A17" s="38" t="s">
        <v>95</v>
      </c>
      <c r="B17" s="118" t="s">
        <v>96</v>
      </c>
      <c r="C17" s="16">
        <v>14156.4</v>
      </c>
      <c r="D17" s="73">
        <v>13974</v>
      </c>
      <c r="E17" s="73">
        <v>17321.599999999999</v>
      </c>
      <c r="F17" s="73">
        <v>19371.900000000001</v>
      </c>
      <c r="K17" s="105"/>
      <c r="L17" s="105"/>
      <c r="M17" s="105"/>
      <c r="N17" s="105"/>
      <c r="O17" s="105"/>
    </row>
    <row r="18" spans="1:15" ht="18">
      <c r="A18" s="38" t="s">
        <v>113</v>
      </c>
      <c r="B18" s="119" t="s">
        <v>114</v>
      </c>
      <c r="C18" s="16">
        <v>0</v>
      </c>
      <c r="D18" s="73">
        <v>3808.7</v>
      </c>
      <c r="E18" s="73">
        <v>3808.7</v>
      </c>
      <c r="F18" s="73">
        <v>3808.7</v>
      </c>
      <c r="K18" s="105"/>
      <c r="L18" s="105"/>
      <c r="M18" s="105"/>
      <c r="N18" s="105"/>
      <c r="O18" s="105"/>
    </row>
    <row r="19" spans="1:15" ht="18">
      <c r="A19" s="38" t="s">
        <v>88</v>
      </c>
      <c r="B19" s="118" t="s">
        <v>89</v>
      </c>
      <c r="C19" s="16">
        <v>17400</v>
      </c>
      <c r="D19" s="73">
        <v>17400</v>
      </c>
      <c r="E19" s="73">
        <v>17269</v>
      </c>
      <c r="F19" s="73">
        <v>17203.3</v>
      </c>
      <c r="K19" s="105"/>
      <c r="L19" s="105"/>
      <c r="M19" s="105"/>
      <c r="N19" s="105"/>
      <c r="O19" s="105"/>
    </row>
    <row r="20" spans="1:15" ht="18">
      <c r="A20" s="38" t="s">
        <v>25</v>
      </c>
      <c r="B20" s="117" t="s">
        <v>26</v>
      </c>
      <c r="C20" s="16">
        <v>11494.2</v>
      </c>
      <c r="D20" s="73">
        <v>10341</v>
      </c>
      <c r="E20" s="73">
        <v>12396</v>
      </c>
      <c r="F20" s="73">
        <v>11055.4</v>
      </c>
      <c r="K20" s="105"/>
      <c r="L20" s="105"/>
      <c r="M20" s="105"/>
      <c r="N20" s="105"/>
      <c r="O20" s="105"/>
    </row>
    <row r="21" spans="1:15" ht="18">
      <c r="A21" s="111" t="s">
        <v>90</v>
      </c>
      <c r="B21" s="18" t="s">
        <v>91</v>
      </c>
      <c r="C21" s="20">
        <v>3717.7</v>
      </c>
      <c r="D21" s="77">
        <v>3687.3</v>
      </c>
      <c r="E21" s="77">
        <v>4191</v>
      </c>
      <c r="F21" s="77">
        <v>3706.9</v>
      </c>
      <c r="K21" s="105"/>
      <c r="L21" s="105"/>
      <c r="M21" s="105"/>
      <c r="N21" s="105"/>
      <c r="O21" s="105"/>
    </row>
    <row r="22" spans="1:15" ht="18">
      <c r="A22" s="111" t="s">
        <v>92</v>
      </c>
      <c r="B22" s="18" t="s">
        <v>93</v>
      </c>
      <c r="C22" s="20">
        <v>7776.5</v>
      </c>
      <c r="D22" s="77">
        <v>6653.7</v>
      </c>
      <c r="E22" s="77">
        <v>8205</v>
      </c>
      <c r="F22" s="77">
        <v>7348.5</v>
      </c>
      <c r="K22" s="105"/>
      <c r="L22" s="105"/>
      <c r="M22" s="105"/>
      <c r="N22" s="105"/>
      <c r="O22" s="105"/>
    </row>
    <row r="23" spans="1:15" ht="18">
      <c r="A23" s="22" t="s">
        <v>31</v>
      </c>
      <c r="B23" s="117" t="s">
        <v>32</v>
      </c>
      <c r="C23" s="45">
        <v>440.4</v>
      </c>
      <c r="D23" s="84">
        <v>445.7</v>
      </c>
      <c r="E23" s="84">
        <v>433.9</v>
      </c>
      <c r="F23" s="84">
        <v>408.6</v>
      </c>
      <c r="K23" s="105"/>
      <c r="L23" s="105"/>
      <c r="M23" s="105"/>
      <c r="N23" s="105"/>
      <c r="O23" s="105"/>
    </row>
    <row r="24" spans="1:15" ht="18">
      <c r="A24" s="46"/>
      <c r="B24" s="47"/>
      <c r="C24" s="55"/>
      <c r="D24" s="88"/>
      <c r="E24" s="88"/>
      <c r="F24" s="88"/>
      <c r="K24" s="105"/>
      <c r="L24" s="105"/>
      <c r="M24" s="105"/>
      <c r="N24" s="105"/>
      <c r="O24" s="105"/>
    </row>
    <row r="25" spans="1:15" ht="18">
      <c r="A25" s="10" t="s">
        <v>33</v>
      </c>
      <c r="B25" s="3" t="s">
        <v>34</v>
      </c>
      <c r="C25" s="6">
        <v>2249.4</v>
      </c>
      <c r="D25" s="68">
        <v>5079.3999999999996</v>
      </c>
      <c r="E25" s="68">
        <v>3058.2</v>
      </c>
      <c r="F25" s="68">
        <v>3085.2</v>
      </c>
      <c r="H25" s="105"/>
      <c r="K25" s="105"/>
      <c r="L25" s="105"/>
      <c r="M25" s="105"/>
      <c r="N25" s="105"/>
      <c r="O25" s="105"/>
    </row>
    <row r="26" spans="1:15" ht="21">
      <c r="A26" s="111" t="s">
        <v>110</v>
      </c>
      <c r="B26" s="48" t="s">
        <v>66</v>
      </c>
      <c r="C26" s="50">
        <v>871.4</v>
      </c>
      <c r="D26" s="92">
        <v>594.29999999999995</v>
      </c>
      <c r="E26" s="92">
        <v>957.9</v>
      </c>
      <c r="F26" s="92">
        <v>833.4</v>
      </c>
      <c r="H26" s="105"/>
      <c r="K26" s="105"/>
      <c r="L26" s="105"/>
      <c r="M26" s="105"/>
      <c r="N26" s="105"/>
      <c r="O26" s="105"/>
    </row>
    <row r="27" spans="1:15" ht="18">
      <c r="A27" s="111" t="s">
        <v>37</v>
      </c>
      <c r="B27" s="48" t="s">
        <v>38</v>
      </c>
      <c r="C27" s="50">
        <v>1378</v>
      </c>
      <c r="D27" s="92">
        <v>4485.1000000000004</v>
      </c>
      <c r="E27" s="92">
        <v>2100.3000000000002</v>
      </c>
      <c r="F27" s="92">
        <v>2251.8000000000002</v>
      </c>
      <c r="H27" s="105"/>
      <c r="K27" s="105"/>
      <c r="L27" s="105"/>
      <c r="M27" s="105"/>
      <c r="N27" s="105"/>
      <c r="O27" s="105"/>
    </row>
    <row r="28" spans="1:15" ht="18">
      <c r="A28" s="24"/>
      <c r="B28" s="24"/>
      <c r="C28" s="25"/>
      <c r="D28" s="25"/>
      <c r="E28" s="94"/>
      <c r="F28" s="95"/>
    </row>
    <row r="29" spans="1:15" s="61" customFormat="1">
      <c r="A29" s="96" t="s">
        <v>39</v>
      </c>
      <c r="B29" s="59"/>
      <c r="C29" s="106"/>
      <c r="D29" s="106"/>
      <c r="E29" s="106"/>
      <c r="F29" s="106"/>
    </row>
    <row r="30" spans="1:15" s="61" customFormat="1">
      <c r="A30" s="98" t="s">
        <v>42</v>
      </c>
      <c r="B30" s="59"/>
    </row>
    <row r="31" spans="1:15" s="61" customFormat="1">
      <c r="A31" s="98" t="s">
        <v>86</v>
      </c>
      <c r="B31" s="59"/>
    </row>
    <row r="32" spans="1:15" s="61" customFormat="1">
      <c r="A32" s="98" t="s">
        <v>116</v>
      </c>
      <c r="B32" s="59"/>
    </row>
    <row r="33" spans="1:2">
      <c r="A33" s="26"/>
      <c r="B33" s="30"/>
    </row>
    <row r="34" spans="1:2">
      <c r="A34" s="32"/>
      <c r="B34" s="12"/>
    </row>
    <row r="35" spans="1:2">
      <c r="A35" s="43"/>
    </row>
    <row r="36" spans="1:2">
      <c r="A36" s="31"/>
    </row>
    <row r="37" spans="1:2">
      <c r="A37" s="1"/>
    </row>
    <row r="38" spans="1:2">
      <c r="A38" s="32"/>
    </row>
    <row r="39" spans="1:2">
      <c r="A39" s="26"/>
    </row>
    <row r="40" spans="1:2">
      <c r="A40" s="32"/>
    </row>
    <row r="41" spans="1:2">
      <c r="A41" s="26"/>
    </row>
    <row r="42" spans="1:2">
      <c r="A42" s="32"/>
    </row>
    <row r="43" spans="1:2">
      <c r="A43" s="26"/>
    </row>
    <row r="44" spans="1:2">
      <c r="A44" s="26"/>
    </row>
    <row r="45" spans="1:2">
      <c r="A45" s="32"/>
    </row>
    <row r="46" spans="1:2">
      <c r="A46" s="32"/>
    </row>
    <row r="47" spans="1:2">
      <c r="A47" s="32"/>
    </row>
    <row r="48" spans="1:2">
      <c r="A48" s="3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  <pageSetUpPr fitToPage="1"/>
  </sheetPr>
  <dimension ref="A1:K226"/>
  <sheetViews>
    <sheetView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9" width="9.140625" style="61"/>
    <col min="10" max="11" width="11.42578125" style="61" bestFit="1" customWidth="1"/>
    <col min="12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6" t="s">
        <v>44</v>
      </c>
      <c r="D3" s="196"/>
      <c r="E3" s="196"/>
      <c r="F3" s="196"/>
    </row>
    <row r="4" spans="1:9" ht="23.25" customHeight="1"/>
    <row r="5" spans="1:9" ht="31.5" customHeight="1">
      <c r="A5" s="189" t="s">
        <v>1</v>
      </c>
      <c r="B5" s="189" t="s">
        <v>2</v>
      </c>
      <c r="C5" s="192" t="s">
        <v>132</v>
      </c>
      <c r="D5" s="193"/>
      <c r="E5" s="193"/>
      <c r="F5" s="194"/>
    </row>
    <row r="6" spans="1:9" ht="21" customHeight="1">
      <c r="A6" s="190"/>
      <c r="B6" s="190"/>
      <c r="C6" s="62" t="s">
        <v>46</v>
      </c>
      <c r="D6" s="62" t="s">
        <v>47</v>
      </c>
      <c r="E6" s="62" t="s">
        <v>48</v>
      </c>
      <c r="F6" s="62" t="s">
        <v>49</v>
      </c>
    </row>
    <row r="7" spans="1:9" s="64" customFormat="1" ht="21.75" customHeight="1">
      <c r="A7" s="191"/>
      <c r="B7" s="191"/>
      <c r="C7" s="63" t="s">
        <v>50</v>
      </c>
      <c r="D7" s="63" t="s">
        <v>51</v>
      </c>
      <c r="E7" s="63" t="s">
        <v>52</v>
      </c>
      <c r="F7" s="63" t="s">
        <v>53</v>
      </c>
    </row>
    <row r="8" spans="1:9" ht="18">
      <c r="A8" s="65" t="s">
        <v>111</v>
      </c>
      <c r="B8" s="66" t="s">
        <v>112</v>
      </c>
      <c r="C8" s="68">
        <v>109362.6</v>
      </c>
      <c r="D8" s="68">
        <v>112670.6</v>
      </c>
      <c r="E8" s="68">
        <v>111292.2</v>
      </c>
      <c r="F8" s="69">
        <v>123490.5</v>
      </c>
      <c r="I8" s="106"/>
    </row>
    <row r="9" spans="1:9">
      <c r="A9" s="70" t="s">
        <v>5</v>
      </c>
      <c r="B9" s="120" t="s">
        <v>120</v>
      </c>
      <c r="C9" s="73">
        <v>2774</v>
      </c>
      <c r="D9" s="73">
        <v>2802.1</v>
      </c>
      <c r="E9" s="73">
        <v>2472.1999999999998</v>
      </c>
      <c r="F9" s="73">
        <v>2499.6999999999998</v>
      </c>
      <c r="I9" s="106"/>
    </row>
    <row r="10" spans="1:9" ht="18">
      <c r="A10" s="121" t="s">
        <v>7</v>
      </c>
      <c r="B10" s="75" t="s">
        <v>8</v>
      </c>
      <c r="C10" s="77">
        <v>2667.3</v>
      </c>
      <c r="D10" s="77">
        <v>2692.4</v>
      </c>
      <c r="E10" s="77">
        <v>2392.1</v>
      </c>
      <c r="F10" s="77">
        <v>2418.3000000000002</v>
      </c>
      <c r="I10" s="106"/>
    </row>
    <row r="11" spans="1:9" ht="18">
      <c r="A11" s="121" t="s">
        <v>9</v>
      </c>
      <c r="B11" s="75" t="s">
        <v>10</v>
      </c>
      <c r="C11" s="77">
        <v>106.7</v>
      </c>
      <c r="D11" s="77">
        <v>109.7</v>
      </c>
      <c r="E11" s="77">
        <v>80.099999999999994</v>
      </c>
      <c r="F11" s="77">
        <v>81.400000000000006</v>
      </c>
      <c r="I11" s="106"/>
    </row>
    <row r="12" spans="1:9" ht="18">
      <c r="A12" s="78" t="s">
        <v>121</v>
      </c>
      <c r="B12" s="120" t="s">
        <v>12</v>
      </c>
      <c r="C12" s="73">
        <v>10023.5</v>
      </c>
      <c r="D12" s="73">
        <v>10257.6</v>
      </c>
      <c r="E12" s="73">
        <v>10155.6</v>
      </c>
      <c r="F12" s="73">
        <v>10292.299999999999</v>
      </c>
      <c r="I12" s="106"/>
    </row>
    <row r="13" spans="1:9" ht="18">
      <c r="A13" s="121" t="s">
        <v>13</v>
      </c>
      <c r="B13" s="79" t="s">
        <v>14</v>
      </c>
      <c r="C13" s="77">
        <v>5360.7</v>
      </c>
      <c r="D13" s="77">
        <v>5548.4</v>
      </c>
      <c r="E13" s="77">
        <v>5595.2</v>
      </c>
      <c r="F13" s="77">
        <v>5702.5</v>
      </c>
      <c r="I13" s="106"/>
    </row>
    <row r="14" spans="1:9" ht="18">
      <c r="A14" s="121" t="s">
        <v>125</v>
      </c>
      <c r="B14" s="79" t="s">
        <v>124</v>
      </c>
      <c r="C14" s="77">
        <v>4662.8</v>
      </c>
      <c r="D14" s="77">
        <v>4709.2</v>
      </c>
      <c r="E14" s="77">
        <v>4560.3999999999996</v>
      </c>
      <c r="F14" s="77">
        <v>4589.8</v>
      </c>
      <c r="H14" s="106"/>
      <c r="I14" s="106"/>
    </row>
    <row r="15" spans="1:9" ht="18">
      <c r="A15" s="80" t="s">
        <v>100</v>
      </c>
      <c r="B15" s="119" t="s">
        <v>87</v>
      </c>
      <c r="C15" s="73">
        <v>34487.599999999999</v>
      </c>
      <c r="D15" s="73">
        <v>34727.599999999999</v>
      </c>
      <c r="E15" s="73">
        <v>34967.800000000003</v>
      </c>
      <c r="F15" s="73">
        <v>43007.1</v>
      </c>
      <c r="I15" s="106"/>
    </row>
    <row r="16" spans="1:9" ht="18">
      <c r="A16" s="78" t="s">
        <v>78</v>
      </c>
      <c r="B16" s="120" t="s">
        <v>20</v>
      </c>
      <c r="C16" s="73">
        <v>10750.6</v>
      </c>
      <c r="D16" s="73">
        <v>11369</v>
      </c>
      <c r="E16" s="73">
        <v>11363.4</v>
      </c>
      <c r="F16" s="73">
        <v>11387.7</v>
      </c>
      <c r="I16" s="106"/>
    </row>
    <row r="17" spans="1:11" ht="18">
      <c r="A17" s="78" t="s">
        <v>95</v>
      </c>
      <c r="B17" s="119" t="s">
        <v>96</v>
      </c>
      <c r="C17" s="73">
        <v>18894.7</v>
      </c>
      <c r="D17" s="73">
        <v>20862.5</v>
      </c>
      <c r="E17" s="73">
        <v>20070.099999999999</v>
      </c>
      <c r="F17" s="73">
        <v>23899.3</v>
      </c>
      <c r="I17" s="106"/>
    </row>
    <row r="18" spans="1:11" ht="18">
      <c r="A18" s="78" t="s">
        <v>113</v>
      </c>
      <c r="B18" s="119" t="s">
        <v>114</v>
      </c>
      <c r="C18" s="73">
        <v>3808.7</v>
      </c>
      <c r="D18" s="73">
        <v>3808.7</v>
      </c>
      <c r="E18" s="73">
        <v>4428.7</v>
      </c>
      <c r="F18" s="73">
        <v>3928.2</v>
      </c>
      <c r="I18" s="106"/>
    </row>
    <row r="19" spans="1:11" ht="18">
      <c r="A19" s="78" t="s">
        <v>88</v>
      </c>
      <c r="B19" s="119" t="s">
        <v>89</v>
      </c>
      <c r="C19" s="73">
        <v>17203.2</v>
      </c>
      <c r="D19" s="73">
        <v>17198.7</v>
      </c>
      <c r="E19" s="73">
        <v>17193.8</v>
      </c>
      <c r="F19" s="73">
        <v>17188.400000000001</v>
      </c>
      <c r="I19" s="106"/>
    </row>
    <row r="20" spans="1:11" ht="18">
      <c r="A20" s="78" t="s">
        <v>122</v>
      </c>
      <c r="B20" s="120" t="s">
        <v>26</v>
      </c>
      <c r="C20" s="73">
        <v>11033.4</v>
      </c>
      <c r="D20" s="73">
        <v>11284.2</v>
      </c>
      <c r="E20" s="73">
        <v>10316.5</v>
      </c>
      <c r="F20" s="73">
        <v>10866</v>
      </c>
      <c r="I20" s="106"/>
    </row>
    <row r="21" spans="1:11" ht="18">
      <c r="A21" s="121" t="s">
        <v>90</v>
      </c>
      <c r="B21" s="75" t="s">
        <v>91</v>
      </c>
      <c r="C21" s="77">
        <v>3449</v>
      </c>
      <c r="D21" s="77">
        <v>3410.4</v>
      </c>
      <c r="E21" s="77">
        <v>3626.3</v>
      </c>
      <c r="F21" s="77">
        <v>3567.7</v>
      </c>
      <c r="I21" s="106"/>
    </row>
    <row r="22" spans="1:11" ht="18">
      <c r="A22" s="121" t="s">
        <v>92</v>
      </c>
      <c r="B22" s="122" t="s">
        <v>123</v>
      </c>
      <c r="C22" s="77">
        <v>7584.4</v>
      </c>
      <c r="D22" s="77">
        <v>7873.8</v>
      </c>
      <c r="E22" s="77">
        <v>6690.2</v>
      </c>
      <c r="F22" s="77">
        <v>7298.3</v>
      </c>
      <c r="I22" s="106"/>
    </row>
    <row r="23" spans="1:11" ht="18">
      <c r="A23" s="123" t="s">
        <v>31</v>
      </c>
      <c r="B23" s="120" t="s">
        <v>32</v>
      </c>
      <c r="C23" s="84">
        <v>386.9</v>
      </c>
      <c r="D23" s="84">
        <v>360.2</v>
      </c>
      <c r="E23" s="84">
        <v>324.10000000000002</v>
      </c>
      <c r="F23" s="84">
        <v>421.8</v>
      </c>
      <c r="I23" s="106"/>
    </row>
    <row r="24" spans="1:11" ht="18">
      <c r="A24" s="85"/>
      <c r="B24" s="86"/>
      <c r="C24" s="88"/>
      <c r="D24" s="88"/>
      <c r="E24" s="88"/>
      <c r="F24" s="88"/>
      <c r="I24" s="106"/>
    </row>
    <row r="25" spans="1:11" ht="18">
      <c r="A25" s="65" t="s">
        <v>33</v>
      </c>
      <c r="B25" s="66" t="s">
        <v>34</v>
      </c>
      <c r="C25" s="68">
        <v>2946.8</v>
      </c>
      <c r="D25" s="68">
        <v>3955.9</v>
      </c>
      <c r="E25" s="68">
        <v>6813.1</v>
      </c>
      <c r="F25" s="68">
        <v>3475</v>
      </c>
      <c r="I25" s="106"/>
    </row>
    <row r="26" spans="1:11" ht="21">
      <c r="A26" s="121" t="s">
        <v>110</v>
      </c>
      <c r="B26" s="90" t="s">
        <v>66</v>
      </c>
      <c r="C26" s="127">
        <v>1248.7</v>
      </c>
      <c r="D26" s="127">
        <v>748.6</v>
      </c>
      <c r="E26" s="127">
        <v>1149.3</v>
      </c>
      <c r="F26" s="128">
        <v>875.5</v>
      </c>
      <c r="I26" s="106"/>
    </row>
    <row r="27" spans="1:11" ht="18">
      <c r="A27" s="121" t="s">
        <v>37</v>
      </c>
      <c r="B27" s="90" t="s">
        <v>38</v>
      </c>
      <c r="C27" s="127">
        <v>1698.1</v>
      </c>
      <c r="D27" s="127">
        <v>3207.3</v>
      </c>
      <c r="E27" s="127">
        <v>5663.8</v>
      </c>
      <c r="F27" s="128">
        <v>2599.5</v>
      </c>
      <c r="I27" s="106"/>
      <c r="J27" s="163"/>
      <c r="K27" s="163"/>
    </row>
    <row r="28" spans="1:11" ht="18">
      <c r="A28" s="93"/>
      <c r="B28" s="93"/>
      <c r="C28" s="94"/>
      <c r="D28" s="94"/>
      <c r="E28" s="94"/>
      <c r="F28" s="95"/>
      <c r="I28" s="106"/>
    </row>
    <row r="29" spans="1:11">
      <c r="A29" s="96" t="s">
        <v>39</v>
      </c>
      <c r="C29" s="106"/>
      <c r="D29" s="106"/>
      <c r="E29" s="106"/>
      <c r="F29" s="106"/>
    </row>
    <row r="30" spans="1:11">
      <c r="A30" s="98" t="s">
        <v>42</v>
      </c>
    </row>
    <row r="31" spans="1:11">
      <c r="A31" s="98" t="s">
        <v>86</v>
      </c>
    </row>
    <row r="32" spans="1:11">
      <c r="A32" s="98" t="s">
        <v>116</v>
      </c>
    </row>
    <row r="33" spans="1:2">
      <c r="A33" s="124"/>
      <c r="B33" s="100"/>
    </row>
    <row r="34" spans="1:2">
      <c r="A34" s="125"/>
      <c r="B34" s="61"/>
    </row>
    <row r="35" spans="1:2">
      <c r="A35" s="126"/>
    </row>
    <row r="36" spans="1:2">
      <c r="A36" s="103"/>
    </row>
    <row r="37" spans="1:2">
      <c r="A37" s="104"/>
    </row>
    <row r="38" spans="1:2">
      <c r="A38" s="101"/>
    </row>
    <row r="39" spans="1:2">
      <c r="A39" s="99"/>
    </row>
    <row r="40" spans="1:2">
      <c r="A40" s="101"/>
    </row>
    <row r="41" spans="1:2">
      <c r="A41" s="99"/>
    </row>
    <row r="42" spans="1:2">
      <c r="A42" s="101"/>
    </row>
    <row r="43" spans="1:2">
      <c r="A43" s="99"/>
    </row>
    <row r="44" spans="1:2">
      <c r="A44" s="99"/>
    </row>
    <row r="45" spans="1:2">
      <c r="A45" s="101"/>
    </row>
    <row r="46" spans="1:2">
      <c r="A46" s="101"/>
    </row>
    <row r="47" spans="1:2">
      <c r="A47" s="101"/>
    </row>
    <row r="48" spans="1:2">
      <c r="A48" s="10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  <pageSetUpPr fitToPage="1"/>
  </sheetPr>
  <dimension ref="A1:I226"/>
  <sheetViews>
    <sheetView topLeftCell="A16"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198" t="s">
        <v>1</v>
      </c>
      <c r="B5" s="198" t="s">
        <v>2</v>
      </c>
      <c r="C5" s="201" t="s">
        <v>134</v>
      </c>
      <c r="D5" s="202"/>
      <c r="E5" s="202"/>
      <c r="F5" s="203"/>
    </row>
    <row r="6" spans="1:9" s="129" customFormat="1" ht="21" customHeight="1">
      <c r="A6" s="199"/>
      <c r="B6" s="199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0"/>
      <c r="B7" s="200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125337.8</v>
      </c>
      <c r="D8" s="137">
        <v>129195.7</v>
      </c>
      <c r="E8" s="137">
        <v>134841.20000000001</v>
      </c>
      <c r="F8" s="138">
        <v>137859.6</v>
      </c>
      <c r="I8" s="140"/>
    </row>
    <row r="9" spans="1:9" s="144" customFormat="1">
      <c r="A9" s="141" t="s">
        <v>130</v>
      </c>
      <c r="B9" s="142" t="s">
        <v>120</v>
      </c>
      <c r="C9" s="143">
        <v>2260.6999999999998</v>
      </c>
      <c r="D9" s="143">
        <v>2332.4</v>
      </c>
      <c r="E9" s="143">
        <v>1914.7</v>
      </c>
      <c r="F9" s="143">
        <v>1926.2</v>
      </c>
      <c r="I9" s="145"/>
    </row>
    <row r="10" spans="1:9" s="144" customFormat="1" ht="15">
      <c r="A10" s="146" t="s">
        <v>7</v>
      </c>
      <c r="B10" s="147" t="s">
        <v>8</v>
      </c>
      <c r="C10" s="143">
        <v>2205.6</v>
      </c>
      <c r="D10" s="143">
        <v>2274.6999999999998</v>
      </c>
      <c r="E10" s="143">
        <v>1890</v>
      </c>
      <c r="F10" s="143">
        <v>1901.2</v>
      </c>
      <c r="I10" s="145"/>
    </row>
    <row r="11" spans="1:9" s="144" customFormat="1" ht="15">
      <c r="A11" s="146" t="s">
        <v>9</v>
      </c>
      <c r="B11" s="147" t="s">
        <v>10</v>
      </c>
      <c r="C11" s="143">
        <v>55.1</v>
      </c>
      <c r="D11" s="143">
        <v>57.7</v>
      </c>
      <c r="E11" s="143">
        <v>24.7</v>
      </c>
      <c r="F11" s="143">
        <v>25</v>
      </c>
      <c r="I11" s="145"/>
    </row>
    <row r="12" spans="1:9" s="144" customFormat="1" ht="15.75">
      <c r="A12" s="148" t="s">
        <v>121</v>
      </c>
      <c r="B12" s="142" t="s">
        <v>12</v>
      </c>
      <c r="C12" s="143">
        <v>10753.3</v>
      </c>
      <c r="D12" s="143">
        <v>11351.1</v>
      </c>
      <c r="E12" s="143">
        <v>11239.6</v>
      </c>
      <c r="F12" s="143">
        <v>11377</v>
      </c>
      <c r="I12" s="145"/>
    </row>
    <row r="13" spans="1:9" s="144" customFormat="1" ht="15">
      <c r="A13" s="146" t="s">
        <v>13</v>
      </c>
      <c r="B13" s="149" t="s">
        <v>14</v>
      </c>
      <c r="C13" s="143">
        <v>6167.6</v>
      </c>
      <c r="D13" s="143">
        <v>6456.9</v>
      </c>
      <c r="E13" s="143">
        <v>6460</v>
      </c>
      <c r="F13" s="143">
        <v>6577.8</v>
      </c>
      <c r="I13" s="145"/>
    </row>
    <row r="14" spans="1:9" s="144" customFormat="1" ht="15">
      <c r="A14" s="146" t="s">
        <v>125</v>
      </c>
      <c r="B14" s="149" t="s">
        <v>124</v>
      </c>
      <c r="C14" s="143" t="s">
        <v>126</v>
      </c>
      <c r="D14" s="143" t="s">
        <v>127</v>
      </c>
      <c r="E14" s="143" t="s">
        <v>128</v>
      </c>
      <c r="F14" s="143" t="s">
        <v>129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43">
        <v>44298.2</v>
      </c>
      <c r="D15" s="143">
        <v>46619</v>
      </c>
      <c r="E15" s="143">
        <v>47994.9</v>
      </c>
      <c r="F15" s="143">
        <v>49947.4</v>
      </c>
      <c r="I15" s="145"/>
    </row>
    <row r="16" spans="1:9" s="144" customFormat="1" ht="15.75">
      <c r="A16" s="148" t="s">
        <v>78</v>
      </c>
      <c r="B16" s="142" t="s">
        <v>20</v>
      </c>
      <c r="C16" s="143">
        <v>11995.1</v>
      </c>
      <c r="D16" s="143">
        <v>12292.3</v>
      </c>
      <c r="E16" s="143">
        <v>12144.6</v>
      </c>
      <c r="F16" s="143">
        <v>12800.7</v>
      </c>
      <c r="I16" s="145"/>
    </row>
    <row r="17" spans="1:9" s="144" customFormat="1" ht="15.75">
      <c r="A17" s="148" t="s">
        <v>95</v>
      </c>
      <c r="B17" s="151" t="s">
        <v>96</v>
      </c>
      <c r="C17" s="143">
        <v>24121.5</v>
      </c>
      <c r="D17" s="143">
        <v>25045.5</v>
      </c>
      <c r="E17" s="143">
        <v>28684.3</v>
      </c>
      <c r="F17" s="143">
        <v>28709.3</v>
      </c>
      <c r="I17" s="145"/>
    </row>
    <row r="18" spans="1:9" s="144" customFormat="1" ht="15.75">
      <c r="A18" s="148" t="s">
        <v>113</v>
      </c>
      <c r="B18" s="151" t="s">
        <v>114</v>
      </c>
      <c r="C18" s="143">
        <v>4014.6</v>
      </c>
      <c r="D18" s="143">
        <v>4014.6</v>
      </c>
      <c r="E18" s="143">
        <v>4014.6</v>
      </c>
      <c r="F18" s="143">
        <v>4014.6</v>
      </c>
      <c r="I18" s="145"/>
    </row>
    <row r="19" spans="1:9" s="144" customFormat="1" ht="15.75">
      <c r="A19" s="148" t="s">
        <v>88</v>
      </c>
      <c r="B19" s="151" t="s">
        <v>89</v>
      </c>
      <c r="C19" s="143">
        <v>15183.6</v>
      </c>
      <c r="D19" s="143">
        <v>15179.8</v>
      </c>
      <c r="E19" s="143">
        <v>15176.6</v>
      </c>
      <c r="F19" s="143">
        <v>14976.5</v>
      </c>
      <c r="I19" s="145"/>
    </row>
    <row r="20" spans="1:9" s="144" customFormat="1" ht="15.75">
      <c r="A20" s="148" t="s">
        <v>122</v>
      </c>
      <c r="B20" s="142" t="s">
        <v>26</v>
      </c>
      <c r="C20" s="143">
        <v>12323.8</v>
      </c>
      <c r="D20" s="143">
        <v>11958.7</v>
      </c>
      <c r="E20" s="143">
        <v>13261.7</v>
      </c>
      <c r="F20" s="143">
        <v>13716</v>
      </c>
      <c r="I20" s="145"/>
    </row>
    <row r="21" spans="1:9" s="144" customFormat="1" ht="15">
      <c r="A21" s="146" t="s">
        <v>90</v>
      </c>
      <c r="B21" s="147" t="s">
        <v>91</v>
      </c>
      <c r="C21" s="143">
        <v>3702</v>
      </c>
      <c r="D21" s="143">
        <v>3811.2</v>
      </c>
      <c r="E21" s="143">
        <v>3890.5</v>
      </c>
      <c r="F21" s="143">
        <v>4034.7</v>
      </c>
      <c r="I21" s="145"/>
    </row>
    <row r="22" spans="1:9" s="144" customFormat="1" ht="15">
      <c r="A22" s="146" t="s">
        <v>92</v>
      </c>
      <c r="B22" s="152" t="s">
        <v>123</v>
      </c>
      <c r="C22" s="143">
        <v>8621.7999999999993</v>
      </c>
      <c r="D22" s="143">
        <v>8147.5</v>
      </c>
      <c r="E22" s="143">
        <v>9371.2000000000007</v>
      </c>
      <c r="F22" s="143">
        <v>9681.2999999999993</v>
      </c>
      <c r="I22" s="145"/>
    </row>
    <row r="23" spans="1:9" s="144" customFormat="1" ht="15.75">
      <c r="A23" s="148" t="s">
        <v>31</v>
      </c>
      <c r="B23" s="142" t="s">
        <v>32</v>
      </c>
      <c r="C23" s="128">
        <v>387</v>
      </c>
      <c r="D23" s="128">
        <v>402.3</v>
      </c>
      <c r="E23" s="128">
        <v>410.2</v>
      </c>
      <c r="F23" s="128">
        <v>391.9</v>
      </c>
      <c r="I23" s="145"/>
    </row>
    <row r="24" spans="1:9" s="144" customFormat="1" ht="15.75">
      <c r="A24" s="153"/>
      <c r="B24" s="154"/>
      <c r="C24" s="155"/>
      <c r="D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4871.7</v>
      </c>
      <c r="D25" s="137">
        <v>2943.5</v>
      </c>
      <c r="E25" s="137">
        <v>3058.1</v>
      </c>
      <c r="F25" s="137">
        <v>4990.6000000000004</v>
      </c>
      <c r="I25" s="140"/>
    </row>
    <row r="26" spans="1:9" s="144" customFormat="1" ht="18">
      <c r="A26" s="146" t="s">
        <v>131</v>
      </c>
      <c r="B26" s="147" t="s">
        <v>65</v>
      </c>
      <c r="C26" s="128">
        <v>1187.9000000000001</v>
      </c>
      <c r="D26" s="128">
        <v>855.7</v>
      </c>
      <c r="E26" s="128">
        <v>1047.8</v>
      </c>
      <c r="F26" s="128">
        <v>1083.8</v>
      </c>
      <c r="I26" s="145"/>
    </row>
    <row r="27" spans="1:9" s="144" customFormat="1" ht="15">
      <c r="A27" s="146" t="s">
        <v>37</v>
      </c>
      <c r="B27" s="147" t="s">
        <v>38</v>
      </c>
      <c r="C27" s="128">
        <v>3683.8</v>
      </c>
      <c r="D27" s="128">
        <v>2087.8000000000002</v>
      </c>
      <c r="E27" s="128">
        <v>2010.3</v>
      </c>
      <c r="F27" s="128">
        <v>3906.8</v>
      </c>
      <c r="I27" s="145"/>
    </row>
    <row r="28" spans="1:9" s="144" customFormat="1" ht="15">
      <c r="A28" s="156"/>
      <c r="B28" s="156"/>
      <c r="C28" s="157"/>
      <c r="D28" s="157"/>
      <c r="E28" s="157"/>
      <c r="F28" s="158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34" t="s">
        <v>116</v>
      </c>
      <c r="B32" s="131"/>
    </row>
    <row r="33" spans="1:2">
      <c r="A33" s="124"/>
      <c r="B33" s="100"/>
    </row>
    <row r="34" spans="1:2">
      <c r="A34" s="125"/>
      <c r="B34" s="61"/>
    </row>
    <row r="35" spans="1:2">
      <c r="A35" s="126"/>
    </row>
    <row r="36" spans="1:2">
      <c r="A36" s="103"/>
    </row>
    <row r="37" spans="1:2">
      <c r="A37" s="104"/>
    </row>
    <row r="38" spans="1:2">
      <c r="A38" s="101"/>
    </row>
    <row r="39" spans="1:2">
      <c r="A39" s="99"/>
    </row>
    <row r="40" spans="1:2">
      <c r="A40" s="101"/>
    </row>
    <row r="41" spans="1:2">
      <c r="A41" s="99"/>
    </row>
    <row r="42" spans="1:2">
      <c r="A42" s="101"/>
    </row>
    <row r="43" spans="1:2">
      <c r="A43" s="99"/>
    </row>
    <row r="44" spans="1:2">
      <c r="A44" s="99"/>
    </row>
    <row r="45" spans="1:2">
      <c r="A45" s="101"/>
    </row>
    <row r="46" spans="1:2">
      <c r="A46" s="101"/>
    </row>
    <row r="47" spans="1:2">
      <c r="A47" s="101"/>
    </row>
    <row r="48" spans="1:2">
      <c r="A48" s="10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  <headerFooter>
    <oddFooter>&amp;L&amp;F&amp;A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  <pageSetUpPr fitToPage="1"/>
  </sheetPr>
  <dimension ref="A1:I213"/>
  <sheetViews>
    <sheetView topLeftCell="A15"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198" t="s">
        <v>1</v>
      </c>
      <c r="B5" s="198" t="s">
        <v>2</v>
      </c>
      <c r="C5" s="201" t="s">
        <v>149</v>
      </c>
      <c r="D5" s="202"/>
      <c r="E5" s="202"/>
      <c r="F5" s="203"/>
    </row>
    <row r="6" spans="1:9" s="129" customFormat="1" ht="21" customHeight="1">
      <c r="A6" s="199"/>
      <c r="B6" s="199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0"/>
      <c r="B7" s="200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137420.1</v>
      </c>
      <c r="D8" s="137">
        <v>145529.29999999999</v>
      </c>
      <c r="E8" s="137">
        <v>157801</v>
      </c>
      <c r="F8" s="138">
        <v>155708.9</v>
      </c>
      <c r="I8" s="140"/>
    </row>
    <row r="9" spans="1:9" s="144" customFormat="1">
      <c r="A9" s="141" t="s">
        <v>130</v>
      </c>
      <c r="B9" s="142" t="s">
        <v>120</v>
      </c>
      <c r="C9" s="143">
        <v>1607.2</v>
      </c>
      <c r="D9" s="143">
        <v>1567.6</v>
      </c>
      <c r="E9" s="143">
        <v>1375.9</v>
      </c>
      <c r="F9" s="143">
        <v>1275.3</v>
      </c>
      <c r="I9" s="145"/>
    </row>
    <row r="10" spans="1:9" s="144" customFormat="1" ht="15">
      <c r="A10" s="146" t="s">
        <v>7</v>
      </c>
      <c r="B10" s="147" t="s">
        <v>8</v>
      </c>
      <c r="C10" s="143">
        <v>1586.6</v>
      </c>
      <c r="D10" s="143">
        <v>1547.4</v>
      </c>
      <c r="E10" s="143">
        <v>1359.9</v>
      </c>
      <c r="F10" s="143">
        <v>1260.0999999999999</v>
      </c>
      <c r="I10" s="145"/>
    </row>
    <row r="11" spans="1:9" s="144" customFormat="1" ht="15">
      <c r="A11" s="146" t="s">
        <v>9</v>
      </c>
      <c r="B11" s="147" t="s">
        <v>10</v>
      </c>
      <c r="C11" s="143">
        <v>20.6</v>
      </c>
      <c r="D11" s="143">
        <v>20.2</v>
      </c>
      <c r="E11" s="143">
        <v>16</v>
      </c>
      <c r="F11" s="143">
        <v>15.2</v>
      </c>
      <c r="I11" s="145"/>
    </row>
    <row r="12" spans="1:9" s="144" customFormat="1" ht="15.75">
      <c r="A12" s="148" t="s">
        <v>121</v>
      </c>
      <c r="B12" s="142" t="s">
        <v>12</v>
      </c>
      <c r="C12" s="143">
        <v>11182.7</v>
      </c>
      <c r="D12" s="143">
        <v>11357.6</v>
      </c>
      <c r="E12" s="143">
        <v>11457</v>
      </c>
      <c r="F12" s="143">
        <v>11143.7</v>
      </c>
      <c r="I12" s="145"/>
    </row>
    <row r="13" spans="1:9" s="144" customFormat="1" ht="15">
      <c r="A13" s="146" t="s">
        <v>13</v>
      </c>
      <c r="B13" s="149" t="s">
        <v>14</v>
      </c>
      <c r="C13" s="143">
        <v>6570.2</v>
      </c>
      <c r="D13" s="143">
        <v>6672.6</v>
      </c>
      <c r="E13" s="143">
        <v>6952.7</v>
      </c>
      <c r="F13" s="143">
        <v>6696.3</v>
      </c>
      <c r="I13" s="145"/>
    </row>
    <row r="14" spans="1:9" s="144" customFormat="1" ht="18">
      <c r="A14" s="146" t="s">
        <v>141</v>
      </c>
      <c r="B14" s="149" t="s">
        <v>140</v>
      </c>
      <c r="C14" s="143">
        <v>4612.5</v>
      </c>
      <c r="D14" s="143">
        <v>4685</v>
      </c>
      <c r="E14" s="143">
        <v>4504.3</v>
      </c>
      <c r="F14" s="143">
        <v>4447.3999999999996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43">
        <v>52666.8</v>
      </c>
      <c r="D15" s="143">
        <v>52391.9</v>
      </c>
      <c r="E15" s="143">
        <v>52043.8</v>
      </c>
      <c r="F15" s="143">
        <v>51275.4</v>
      </c>
      <c r="I15" s="145"/>
    </row>
    <row r="16" spans="1:9" s="144" customFormat="1" ht="15.75">
      <c r="A16" s="148" t="s">
        <v>136</v>
      </c>
      <c r="B16" s="142" t="s">
        <v>137</v>
      </c>
      <c r="C16" s="143">
        <v>12448.6</v>
      </c>
      <c r="D16" s="143">
        <v>16148.7</v>
      </c>
      <c r="E16" s="143">
        <v>16620.2</v>
      </c>
      <c r="F16" s="143">
        <v>16365.1</v>
      </c>
      <c r="I16" s="145"/>
    </row>
    <row r="17" spans="1:9" s="144" customFormat="1" ht="15.75">
      <c r="A17" s="148" t="s">
        <v>95</v>
      </c>
      <c r="B17" s="151" t="s">
        <v>142</v>
      </c>
      <c r="C17" s="143">
        <v>31585.200000000001</v>
      </c>
      <c r="D17" s="143">
        <v>31446.5</v>
      </c>
      <c r="E17" s="143">
        <v>29370.2</v>
      </c>
      <c r="F17" s="143">
        <v>29013.5</v>
      </c>
      <c r="I17" s="145"/>
    </row>
    <row r="18" spans="1:9" s="144" customFormat="1" ht="15.75">
      <c r="A18" s="148" t="s">
        <v>113</v>
      </c>
      <c r="B18" s="151" t="s">
        <v>143</v>
      </c>
      <c r="C18" s="143">
        <v>4014.6</v>
      </c>
      <c r="D18" s="143">
        <v>4014.6</v>
      </c>
      <c r="E18" s="143">
        <v>4764.6000000000004</v>
      </c>
      <c r="F18" s="143">
        <v>4220.5</v>
      </c>
      <c r="I18" s="145"/>
    </row>
    <row r="19" spans="1:9" s="144" customFormat="1" ht="15.75">
      <c r="A19" s="148" t="s">
        <v>88</v>
      </c>
      <c r="B19" s="151" t="s">
        <v>144</v>
      </c>
      <c r="C19" s="143">
        <v>11976.5</v>
      </c>
      <c r="D19" s="143">
        <v>14976.6</v>
      </c>
      <c r="E19" s="143">
        <v>14963.1</v>
      </c>
      <c r="F19" s="143">
        <v>14961.7</v>
      </c>
      <c r="I19" s="145"/>
    </row>
    <row r="20" spans="1:9" s="144" customFormat="1" ht="15.75">
      <c r="A20" s="148" t="s">
        <v>122</v>
      </c>
      <c r="B20" s="142" t="s">
        <v>26</v>
      </c>
      <c r="C20" s="143">
        <v>11480.6</v>
      </c>
      <c r="D20" s="143">
        <v>12842.2</v>
      </c>
      <c r="E20" s="143">
        <v>26441.7</v>
      </c>
      <c r="F20" s="143">
        <v>26619.7</v>
      </c>
      <c r="I20" s="145"/>
    </row>
    <row r="21" spans="1:9" s="144" customFormat="1" ht="18">
      <c r="A21" s="146" t="s">
        <v>138</v>
      </c>
      <c r="B21" s="152" t="s">
        <v>139</v>
      </c>
      <c r="C21" s="143">
        <v>3687.8</v>
      </c>
      <c r="D21" s="143">
        <v>3860.8</v>
      </c>
      <c r="E21" s="143">
        <v>16798.7</v>
      </c>
      <c r="F21" s="143">
        <v>16858.5</v>
      </c>
      <c r="I21" s="145"/>
    </row>
    <row r="22" spans="1:9" s="144" customFormat="1" ht="15">
      <c r="A22" s="146" t="s">
        <v>92</v>
      </c>
      <c r="B22" s="152" t="s">
        <v>135</v>
      </c>
      <c r="C22" s="143">
        <v>7792.8</v>
      </c>
      <c r="D22" s="143">
        <v>8981.4</v>
      </c>
      <c r="E22" s="143">
        <v>9643</v>
      </c>
      <c r="F22" s="143">
        <v>9761.2000000000007</v>
      </c>
      <c r="I22" s="145"/>
    </row>
    <row r="23" spans="1:9" s="144" customFormat="1" ht="15.75">
      <c r="A23" s="148" t="s">
        <v>31</v>
      </c>
      <c r="B23" s="142" t="s">
        <v>32</v>
      </c>
      <c r="C23" s="128">
        <v>457.9</v>
      </c>
      <c r="D23" s="143">
        <v>783.6</v>
      </c>
      <c r="E23" s="128">
        <v>764.5</v>
      </c>
      <c r="F23" s="128">
        <v>834</v>
      </c>
      <c r="I23" s="145"/>
    </row>
    <row r="24" spans="1:9" s="144" customFormat="1" ht="15.75">
      <c r="A24" s="153"/>
      <c r="B24" s="154"/>
      <c r="C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9450.4</v>
      </c>
      <c r="D25" s="137">
        <v>4270.3</v>
      </c>
      <c r="E25" s="137">
        <v>6303.5</v>
      </c>
      <c r="F25" s="137">
        <v>6264.1</v>
      </c>
      <c r="I25" s="140"/>
    </row>
    <row r="26" spans="1:9" s="144" customFormat="1" ht="18">
      <c r="A26" s="146" t="s">
        <v>131</v>
      </c>
      <c r="B26" s="164" t="s">
        <v>65</v>
      </c>
      <c r="C26" s="128">
        <v>1189.2</v>
      </c>
      <c r="D26" s="127">
        <v>846.2</v>
      </c>
      <c r="E26" s="128">
        <v>1324.9</v>
      </c>
      <c r="F26" s="128">
        <v>1211.3</v>
      </c>
      <c r="I26" s="145"/>
    </row>
    <row r="27" spans="1:9" s="144" customFormat="1" ht="15">
      <c r="A27" s="146" t="s">
        <v>37</v>
      </c>
      <c r="B27" s="164" t="s">
        <v>38</v>
      </c>
      <c r="C27" s="128">
        <v>8261.2000000000007</v>
      </c>
      <c r="D27" s="127">
        <v>3424.1</v>
      </c>
      <c r="E27" s="128">
        <v>4978.6000000000004</v>
      </c>
      <c r="F27" s="128">
        <v>5052.8</v>
      </c>
      <c r="I27" s="145"/>
    </row>
    <row r="28" spans="1:9" s="144" customFormat="1" ht="15">
      <c r="A28" s="156"/>
      <c r="B28" s="156"/>
      <c r="C28" s="157"/>
      <c r="D28" s="157"/>
      <c r="E28" s="157"/>
      <c r="F28" s="158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62" t="s">
        <v>145</v>
      </c>
      <c r="B32" s="131"/>
    </row>
    <row r="33" spans="1:2" s="133" customFormat="1" ht="12.75">
      <c r="A33" s="134" t="s">
        <v>116</v>
      </c>
      <c r="B33" s="131"/>
    </row>
    <row r="34" spans="1:2">
      <c r="A34" s="101"/>
    </row>
    <row r="35" spans="1:2">
      <c r="A35" s="101"/>
    </row>
    <row r="42" spans="1:2">
      <c r="A42" s="61"/>
    </row>
    <row r="43" spans="1:2">
      <c r="A43" s="61"/>
    </row>
    <row r="44" spans="1:2">
      <c r="A44" s="61"/>
    </row>
    <row r="45" spans="1:2">
      <c r="A45" s="61"/>
    </row>
    <row r="46" spans="1:2">
      <c r="A46" s="61"/>
    </row>
    <row r="47" spans="1:2">
      <c r="A47" s="61"/>
    </row>
    <row r="48" spans="1:2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99" right="0.39370078740157499" top="0.39370078740157499" bottom="0.39370078740157499" header="0.39370078740157499" footer="0.39370078740157499"/>
  <pageSetup paperSize="9" scale="7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AA7C-A008-4D17-B85B-60FC69DBA1B8}">
  <sheetPr>
    <tabColor theme="0"/>
    <pageSetUpPr fitToPage="1"/>
  </sheetPr>
  <dimension ref="A1:I213"/>
  <sheetViews>
    <sheetView topLeftCell="A18" zoomScale="85" zoomScaleNormal="85" zoomScaleSheetLayoutView="70" workbookViewId="0">
      <selection activeCell="G8" sqref="G8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85546875" style="61" bestFit="1" customWidth="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204" t="s">
        <v>1</v>
      </c>
      <c r="B5" s="204" t="s">
        <v>2</v>
      </c>
      <c r="C5" s="207" t="s">
        <v>151</v>
      </c>
      <c r="D5" s="208"/>
      <c r="E5" s="208"/>
      <c r="F5" s="209"/>
    </row>
    <row r="6" spans="1:9" s="129" customFormat="1" ht="21" customHeight="1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154980.4</v>
      </c>
      <c r="D8" s="137">
        <v>162927.9</v>
      </c>
      <c r="E8" s="137">
        <v>165361.1</v>
      </c>
      <c r="F8" s="137">
        <v>164727.6</v>
      </c>
      <c r="I8" s="140"/>
    </row>
    <row r="9" spans="1:9" s="144" customFormat="1">
      <c r="A9" s="141" t="s">
        <v>130</v>
      </c>
      <c r="B9" s="142" t="s">
        <v>120</v>
      </c>
      <c r="C9" s="166">
        <v>1066.0999999999999</v>
      </c>
      <c r="D9" s="166">
        <v>1153.7</v>
      </c>
      <c r="E9" s="166">
        <v>1032.5</v>
      </c>
      <c r="F9" s="166">
        <v>1004.8</v>
      </c>
      <c r="I9" s="145"/>
    </row>
    <row r="10" spans="1:9" s="144" customFormat="1" ht="15">
      <c r="A10" s="146" t="s">
        <v>7</v>
      </c>
      <c r="B10" s="147" t="s">
        <v>8</v>
      </c>
      <c r="C10" s="167">
        <v>1055.4000000000001</v>
      </c>
      <c r="D10" s="167">
        <v>1142</v>
      </c>
      <c r="E10" s="167">
        <v>1024.5</v>
      </c>
      <c r="F10" s="167">
        <v>996.7</v>
      </c>
      <c r="I10" s="145"/>
    </row>
    <row r="11" spans="1:9" s="144" customFormat="1" ht="15">
      <c r="A11" s="146" t="s">
        <v>9</v>
      </c>
      <c r="B11" s="147" t="s">
        <v>10</v>
      </c>
      <c r="C11" s="167">
        <v>10.7</v>
      </c>
      <c r="D11" s="167">
        <v>11.7</v>
      </c>
      <c r="E11" s="167">
        <v>8</v>
      </c>
      <c r="F11" s="167">
        <v>8.1</v>
      </c>
      <c r="I11" s="145"/>
    </row>
    <row r="12" spans="1:9" s="144" customFormat="1" ht="15.75">
      <c r="A12" s="148" t="s">
        <v>121</v>
      </c>
      <c r="B12" s="142" t="s">
        <v>12</v>
      </c>
      <c r="C12" s="166">
        <v>10637.6</v>
      </c>
      <c r="D12" s="166">
        <v>11798.1</v>
      </c>
      <c r="E12" s="166">
        <v>11832.7</v>
      </c>
      <c r="F12" s="166">
        <v>12039.4</v>
      </c>
      <c r="I12" s="145"/>
    </row>
    <row r="13" spans="1:9" s="144" customFormat="1" ht="15">
      <c r="A13" s="146" t="s">
        <v>13</v>
      </c>
      <c r="B13" s="149" t="s">
        <v>14</v>
      </c>
      <c r="C13" s="167">
        <v>6453.5</v>
      </c>
      <c r="D13" s="167">
        <v>7648.8</v>
      </c>
      <c r="E13" s="167">
        <v>7946.1</v>
      </c>
      <c r="F13" s="167">
        <v>8212.5</v>
      </c>
      <c r="I13" s="145"/>
    </row>
    <row r="14" spans="1:9" s="144" customFormat="1" ht="18">
      <c r="A14" s="146" t="s">
        <v>141</v>
      </c>
      <c r="B14" s="149" t="s">
        <v>140</v>
      </c>
      <c r="C14" s="167">
        <v>4184.1000000000004</v>
      </c>
      <c r="D14" s="167">
        <v>4149.3</v>
      </c>
      <c r="E14" s="167">
        <v>3886.6</v>
      </c>
      <c r="F14" s="167">
        <v>3826.9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66">
        <v>49677.4</v>
      </c>
      <c r="D15" s="166">
        <v>52158.6</v>
      </c>
      <c r="E15" s="166">
        <v>52727.6</v>
      </c>
      <c r="F15" s="166">
        <v>52946.9</v>
      </c>
      <c r="I15" s="145"/>
    </row>
    <row r="16" spans="1:9" s="144" customFormat="1" ht="15.75">
      <c r="A16" s="148" t="s">
        <v>136</v>
      </c>
      <c r="B16" s="142" t="s">
        <v>137</v>
      </c>
      <c r="C16" s="166">
        <v>16795.2</v>
      </c>
      <c r="D16" s="166">
        <v>18485.3</v>
      </c>
      <c r="E16" s="166">
        <v>19126.5</v>
      </c>
      <c r="F16" s="166">
        <v>19898.5</v>
      </c>
      <c r="I16" s="145"/>
    </row>
    <row r="17" spans="1:9" s="144" customFormat="1" ht="15.75">
      <c r="A17" s="148" t="s">
        <v>95</v>
      </c>
      <c r="B17" s="151" t="s">
        <v>142</v>
      </c>
      <c r="C17" s="166">
        <v>28683.5</v>
      </c>
      <c r="D17" s="166">
        <v>29053.7</v>
      </c>
      <c r="E17" s="166">
        <v>29607.4</v>
      </c>
      <c r="F17" s="166">
        <v>29479.200000000001</v>
      </c>
      <c r="I17" s="145"/>
    </row>
    <row r="18" spans="1:9" s="144" customFormat="1" ht="15.75">
      <c r="A18" s="148" t="s">
        <v>113</v>
      </c>
      <c r="B18" s="151" t="s">
        <v>143</v>
      </c>
      <c r="C18" s="166">
        <v>4970.5</v>
      </c>
      <c r="D18" s="166">
        <v>4276.3999999999996</v>
      </c>
      <c r="E18" s="166">
        <v>5526.4</v>
      </c>
      <c r="F18" s="166">
        <v>4668.7</v>
      </c>
      <c r="I18" s="145"/>
    </row>
    <row r="19" spans="1:9" s="144" customFormat="1" ht="15.75">
      <c r="A19" s="148" t="s">
        <v>88</v>
      </c>
      <c r="B19" s="151" t="s">
        <v>144</v>
      </c>
      <c r="C19" s="166">
        <v>14958.3</v>
      </c>
      <c r="D19" s="166">
        <v>14956.7</v>
      </c>
      <c r="E19" s="166">
        <v>14953.6</v>
      </c>
      <c r="F19" s="166">
        <v>14953</v>
      </c>
      <c r="I19" s="145"/>
    </row>
    <row r="20" spans="1:9" s="144" customFormat="1" ht="15.75">
      <c r="A20" s="148" t="s">
        <v>122</v>
      </c>
      <c r="B20" s="142" t="s">
        <v>26</v>
      </c>
      <c r="C20" s="166">
        <v>27408</v>
      </c>
      <c r="D20" s="166">
        <v>30246.5</v>
      </c>
      <c r="E20" s="166">
        <v>28950.799999999999</v>
      </c>
      <c r="F20" s="166">
        <v>28150.6</v>
      </c>
      <c r="I20" s="145"/>
    </row>
    <row r="21" spans="1:9" s="144" customFormat="1" ht="18">
      <c r="A21" s="146" t="s">
        <v>146</v>
      </c>
      <c r="B21" s="152" t="s">
        <v>139</v>
      </c>
      <c r="C21" s="167">
        <v>16871</v>
      </c>
      <c r="D21" s="167">
        <v>18430</v>
      </c>
      <c r="E21" s="167">
        <v>18532.599999999999</v>
      </c>
      <c r="F21" s="167">
        <v>18685.900000000001</v>
      </c>
      <c r="I21" s="145"/>
    </row>
    <row r="22" spans="1:9" s="144" customFormat="1" ht="15">
      <c r="A22" s="146" t="s">
        <v>104</v>
      </c>
      <c r="B22" s="152" t="s">
        <v>135</v>
      </c>
      <c r="C22" s="167">
        <v>10537</v>
      </c>
      <c r="D22" s="167">
        <v>11816.5</v>
      </c>
      <c r="E22" s="167">
        <v>10418.200000000001</v>
      </c>
      <c r="F22" s="167">
        <v>9464.7000000000007</v>
      </c>
      <c r="I22" s="145"/>
    </row>
    <row r="23" spans="1:9" s="144" customFormat="1" ht="15.75">
      <c r="A23" s="148" t="s">
        <v>31</v>
      </c>
      <c r="B23" s="142" t="s">
        <v>32</v>
      </c>
      <c r="C23" s="168">
        <v>783.8</v>
      </c>
      <c r="D23" s="166">
        <v>798.9</v>
      </c>
      <c r="E23" s="166">
        <v>1603.6</v>
      </c>
      <c r="F23" s="166">
        <v>1586.5</v>
      </c>
      <c r="I23" s="145"/>
    </row>
    <row r="24" spans="1:9" s="144" customFormat="1" ht="15.75">
      <c r="A24" s="153"/>
      <c r="B24" s="154"/>
      <c r="C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4785.6000000000004</v>
      </c>
      <c r="D25" s="137">
        <v>7161.2</v>
      </c>
      <c r="E25" s="137">
        <v>5836.8</v>
      </c>
      <c r="F25" s="137">
        <v>7645</v>
      </c>
      <c r="G25" s="140"/>
      <c r="I25" s="140"/>
    </row>
    <row r="26" spans="1:9" s="144" customFormat="1" ht="18">
      <c r="A26" s="146" t="s">
        <v>148</v>
      </c>
      <c r="B26" s="164" t="s">
        <v>65</v>
      </c>
      <c r="C26" s="128">
        <v>1556.6</v>
      </c>
      <c r="D26" s="127">
        <v>1315.8</v>
      </c>
      <c r="E26" s="127">
        <v>2102.3000000000002</v>
      </c>
      <c r="F26" s="128">
        <v>1998.5</v>
      </c>
      <c r="G26" s="140"/>
      <c r="I26" s="145"/>
    </row>
    <row r="27" spans="1:9" s="144" customFormat="1" ht="15">
      <c r="A27" s="146" t="s">
        <v>147</v>
      </c>
      <c r="B27" s="164" t="s">
        <v>38</v>
      </c>
      <c r="C27" s="128">
        <v>3229</v>
      </c>
      <c r="D27" s="127">
        <v>5845.4</v>
      </c>
      <c r="E27" s="127">
        <v>3734.5</v>
      </c>
      <c r="F27" s="128">
        <v>5646.5</v>
      </c>
      <c r="G27" s="140"/>
      <c r="I27" s="145"/>
    </row>
    <row r="28" spans="1:9" s="144" customFormat="1" ht="15">
      <c r="A28" s="156"/>
      <c r="B28" s="156"/>
      <c r="C28" s="157"/>
      <c r="D28" s="157"/>
      <c r="E28" s="157"/>
      <c r="F28" s="157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62" t="s">
        <v>150</v>
      </c>
      <c r="B32" s="131"/>
    </row>
    <row r="33" spans="1:2" s="133" customFormat="1" ht="12.75">
      <c r="A33" s="134" t="s">
        <v>116</v>
      </c>
      <c r="B33" s="131"/>
    </row>
    <row r="34" spans="1:2">
      <c r="A34" s="165"/>
    </row>
    <row r="35" spans="1:2">
      <c r="A35" s="101"/>
    </row>
    <row r="42" spans="1:2">
      <c r="A42" s="61"/>
    </row>
    <row r="43" spans="1:2">
      <c r="A43" s="61"/>
    </row>
    <row r="44" spans="1:2">
      <c r="A44" s="61"/>
    </row>
    <row r="45" spans="1:2">
      <c r="A45" s="61"/>
    </row>
    <row r="46" spans="1:2">
      <c r="A46" s="61"/>
    </row>
    <row r="47" spans="1:2">
      <c r="A47" s="61"/>
    </row>
    <row r="48" spans="1:2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  <headerFooter>
    <oddHeader>&amp;LExternal_Debt_Quarters.xls</oddHead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BD93-1D37-446B-ACE8-C646DC5D1201}">
  <sheetPr>
    <pageSetUpPr fitToPage="1"/>
  </sheetPr>
  <dimension ref="A1:I213"/>
  <sheetViews>
    <sheetView view="pageBreakPreview" topLeftCell="A15" zoomScale="80" zoomScaleNormal="70" zoomScaleSheetLayoutView="80" workbookViewId="0">
      <selection activeCell="A33" sqref="A33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85546875" style="61" bestFit="1" customWidth="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204" t="s">
        <v>1</v>
      </c>
      <c r="B5" s="204" t="s">
        <v>2</v>
      </c>
      <c r="C5" s="207" t="s">
        <v>157</v>
      </c>
      <c r="D5" s="208"/>
      <c r="E5" s="208"/>
      <c r="F5" s="209"/>
    </row>
    <row r="6" spans="1:9" s="129" customFormat="1" ht="21" customHeight="1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164521.60000000001</v>
      </c>
      <c r="D8" s="169">
        <v>168034.2</v>
      </c>
      <c r="E8" s="137">
        <v>160607.41</v>
      </c>
      <c r="F8" s="137">
        <v>152885.20000000001</v>
      </c>
      <c r="I8" s="140"/>
    </row>
    <row r="9" spans="1:9" s="144" customFormat="1">
      <c r="A9" s="141" t="s">
        <v>130</v>
      </c>
      <c r="B9" s="142" t="s">
        <v>120</v>
      </c>
      <c r="C9" s="166">
        <v>837.8</v>
      </c>
      <c r="D9" s="166">
        <v>874.7</v>
      </c>
      <c r="E9" s="166">
        <v>706.31</v>
      </c>
      <c r="F9" s="166">
        <v>685.6</v>
      </c>
      <c r="I9" s="145"/>
    </row>
    <row r="10" spans="1:9" s="144" customFormat="1" ht="15">
      <c r="A10" s="146" t="s">
        <v>7</v>
      </c>
      <c r="B10" s="147" t="s">
        <v>8</v>
      </c>
      <c r="C10" s="167">
        <v>833.8</v>
      </c>
      <c r="D10" s="170">
        <v>870.5</v>
      </c>
      <c r="E10" s="167">
        <v>706.31</v>
      </c>
      <c r="F10" s="167">
        <v>685.6</v>
      </c>
      <c r="I10" s="145"/>
    </row>
    <row r="11" spans="1:9" s="144" customFormat="1" ht="15">
      <c r="A11" s="146" t="s">
        <v>9</v>
      </c>
      <c r="B11" s="147" t="s">
        <v>10</v>
      </c>
      <c r="C11" s="167">
        <v>4</v>
      </c>
      <c r="D11" s="170">
        <v>4.2</v>
      </c>
      <c r="E11" s="167">
        <v>0</v>
      </c>
      <c r="F11" s="167">
        <v>0</v>
      </c>
      <c r="I11" s="145"/>
    </row>
    <row r="12" spans="1:9" s="144" customFormat="1" ht="15.75">
      <c r="A12" s="148" t="s">
        <v>121</v>
      </c>
      <c r="B12" s="142" t="s">
        <v>12</v>
      </c>
      <c r="C12" s="166">
        <v>11981.2</v>
      </c>
      <c r="D12" s="166">
        <v>14276.7</v>
      </c>
      <c r="E12" s="166">
        <v>14086</v>
      </c>
      <c r="F12" s="166">
        <v>14049.1</v>
      </c>
      <c r="I12" s="145"/>
    </row>
    <row r="13" spans="1:9" s="144" customFormat="1" ht="15">
      <c r="A13" s="146" t="s">
        <v>13</v>
      </c>
      <c r="B13" s="149" t="s">
        <v>14</v>
      </c>
      <c r="C13" s="167">
        <v>8425</v>
      </c>
      <c r="D13" s="170">
        <v>9781.1</v>
      </c>
      <c r="E13" s="167">
        <v>9756.4</v>
      </c>
      <c r="F13" s="167">
        <v>9789.5</v>
      </c>
      <c r="I13" s="145"/>
    </row>
    <row r="14" spans="1:9" s="144" customFormat="1" ht="18">
      <c r="A14" s="146" t="s">
        <v>141</v>
      </c>
      <c r="B14" s="149" t="s">
        <v>140</v>
      </c>
      <c r="C14" s="167">
        <v>3556.2</v>
      </c>
      <c r="D14" s="170">
        <v>4495.6000000000004</v>
      </c>
      <c r="E14" s="167">
        <v>4329.5999999999995</v>
      </c>
      <c r="F14" s="167">
        <v>4259.6000000000004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66">
        <v>51528.3</v>
      </c>
      <c r="D15" s="166">
        <v>51679.199999999997</v>
      </c>
      <c r="E15" s="166">
        <v>49940.2</v>
      </c>
      <c r="F15" s="166">
        <v>48904.3</v>
      </c>
      <c r="I15" s="145"/>
    </row>
    <row r="16" spans="1:9" s="144" customFormat="1" ht="15.75">
      <c r="A16" s="148" t="s">
        <v>153</v>
      </c>
      <c r="B16" s="142" t="s">
        <v>152</v>
      </c>
      <c r="C16" s="166">
        <v>19612.900000000001</v>
      </c>
      <c r="D16" s="166">
        <v>20697.2</v>
      </c>
      <c r="E16" s="166">
        <v>20426.099999999999</v>
      </c>
      <c r="F16" s="166">
        <v>20118</v>
      </c>
      <c r="I16" s="145"/>
    </row>
    <row r="17" spans="1:9" s="144" customFormat="1" ht="15.75">
      <c r="A17" s="148" t="s">
        <v>95</v>
      </c>
      <c r="B17" s="151" t="s">
        <v>142</v>
      </c>
      <c r="C17" s="166">
        <v>28994.6</v>
      </c>
      <c r="D17" s="166">
        <v>29779.599999999999</v>
      </c>
      <c r="E17" s="166">
        <v>28902.799999999999</v>
      </c>
      <c r="F17" s="166">
        <v>27694.9</v>
      </c>
      <c r="I17" s="145"/>
    </row>
    <row r="18" spans="1:9" s="144" customFormat="1" ht="15.75">
      <c r="A18" s="148" t="s">
        <v>113</v>
      </c>
      <c r="B18" s="151" t="s">
        <v>143</v>
      </c>
      <c r="C18" s="166">
        <v>4668.7</v>
      </c>
      <c r="D18" s="166">
        <v>4515.1000000000004</v>
      </c>
      <c r="E18" s="166">
        <v>4515.1000000000022</v>
      </c>
      <c r="F18" s="166">
        <v>4361.5</v>
      </c>
      <c r="I18" s="145"/>
    </row>
    <row r="19" spans="1:9" s="144" customFormat="1" ht="15.75">
      <c r="A19" s="148" t="s">
        <v>88</v>
      </c>
      <c r="B19" s="151" t="s">
        <v>144</v>
      </c>
      <c r="C19" s="166">
        <v>14949.3</v>
      </c>
      <c r="D19" s="166">
        <v>14949.4</v>
      </c>
      <c r="E19" s="166">
        <v>14949.4</v>
      </c>
      <c r="F19" s="166">
        <v>9300</v>
      </c>
      <c r="I19" s="145"/>
    </row>
    <row r="20" spans="1:9" s="144" customFormat="1" ht="15.75">
      <c r="A20" s="148" t="s">
        <v>122</v>
      </c>
      <c r="B20" s="142" t="s">
        <v>26</v>
      </c>
      <c r="C20" s="166">
        <v>30268.7</v>
      </c>
      <c r="D20" s="166">
        <v>29482.9</v>
      </c>
      <c r="E20" s="166">
        <v>25350.300000000003</v>
      </c>
      <c r="F20" s="166">
        <v>26024.799999999999</v>
      </c>
      <c r="I20" s="145"/>
    </row>
    <row r="21" spans="1:9" s="144" customFormat="1" ht="18">
      <c r="A21" s="146" t="s">
        <v>146</v>
      </c>
      <c r="B21" s="152" t="s">
        <v>139</v>
      </c>
      <c r="C21" s="167">
        <v>20691.8</v>
      </c>
      <c r="D21" s="170">
        <v>20625</v>
      </c>
      <c r="E21" s="167">
        <v>16543.900000000001</v>
      </c>
      <c r="F21" s="167">
        <v>16026.7</v>
      </c>
      <c r="I21" s="145"/>
    </row>
    <row r="22" spans="1:9" s="144" customFormat="1" ht="15">
      <c r="A22" s="146" t="s">
        <v>104</v>
      </c>
      <c r="B22" s="152" t="s">
        <v>135</v>
      </c>
      <c r="C22" s="167">
        <v>9576.9</v>
      </c>
      <c r="D22" s="170">
        <v>8857.9</v>
      </c>
      <c r="E22" s="167">
        <v>8806.4</v>
      </c>
      <c r="F22" s="167">
        <v>9998.1</v>
      </c>
      <c r="I22" s="145"/>
    </row>
    <row r="23" spans="1:9" s="144" customFormat="1" ht="15.75">
      <c r="A23" s="148" t="s">
        <v>31</v>
      </c>
      <c r="B23" s="142" t="s">
        <v>32</v>
      </c>
      <c r="C23" s="168">
        <v>1680.1</v>
      </c>
      <c r="D23" s="166">
        <v>1779.4</v>
      </c>
      <c r="E23" s="166">
        <v>1731.1999999999998</v>
      </c>
      <c r="F23" s="166">
        <v>1747</v>
      </c>
      <c r="I23" s="145"/>
    </row>
    <row r="24" spans="1:9" s="144" customFormat="1" ht="18">
      <c r="A24" s="153"/>
      <c r="B24" s="154"/>
      <c r="C24" s="155"/>
      <c r="D24" s="88"/>
      <c r="E24" s="155"/>
      <c r="F24" s="166"/>
      <c r="I24" s="145"/>
    </row>
    <row r="25" spans="1:9" s="139" customFormat="1" ht="15.75">
      <c r="A25" s="135" t="s">
        <v>33</v>
      </c>
      <c r="B25" s="136" t="s">
        <v>34</v>
      </c>
      <c r="C25" s="137">
        <v>8168.6</v>
      </c>
      <c r="D25" s="169">
        <v>7384.8</v>
      </c>
      <c r="E25" s="137">
        <v>8255.2999999999993</v>
      </c>
      <c r="F25" s="137">
        <v>9091.7999999999993</v>
      </c>
      <c r="G25" s="140"/>
      <c r="I25" s="140"/>
    </row>
    <row r="26" spans="1:9" s="144" customFormat="1" ht="18">
      <c r="A26" s="146" t="s">
        <v>148</v>
      </c>
      <c r="B26" s="164" t="s">
        <v>65</v>
      </c>
      <c r="C26" s="128">
        <v>2358.8000000000002</v>
      </c>
      <c r="D26" s="127">
        <v>2249.3000000000002</v>
      </c>
      <c r="E26" s="127">
        <v>2542.8000000000002</v>
      </c>
      <c r="F26" s="143">
        <v>2110.3000000000002</v>
      </c>
      <c r="G26" s="140"/>
      <c r="I26" s="145"/>
    </row>
    <row r="27" spans="1:9" s="144" customFormat="1" ht="15">
      <c r="A27" s="146" t="s">
        <v>147</v>
      </c>
      <c r="B27" s="164" t="s">
        <v>38</v>
      </c>
      <c r="C27" s="128">
        <v>5809.8</v>
      </c>
      <c r="D27" s="127">
        <v>5135.5</v>
      </c>
      <c r="E27" s="127">
        <v>5712.5</v>
      </c>
      <c r="F27" s="143">
        <v>6981.5</v>
      </c>
      <c r="G27" s="140"/>
      <c r="I27" s="145"/>
    </row>
    <row r="28" spans="1:9" s="144" customFormat="1" ht="15">
      <c r="A28" s="156"/>
      <c r="B28" s="156"/>
      <c r="C28" s="157"/>
      <c r="D28" s="157"/>
      <c r="E28" s="157"/>
      <c r="F28" s="157"/>
      <c r="I28" s="145"/>
    </row>
    <row r="29" spans="1:9" s="133" customFormat="1" ht="16.5" customHeight="1">
      <c r="A29" s="171" t="s">
        <v>39</v>
      </c>
      <c r="B29" s="172"/>
      <c r="C29" s="173"/>
      <c r="D29" s="173"/>
      <c r="E29" s="173"/>
      <c r="F29" s="173"/>
    </row>
    <row r="30" spans="1:9" s="133" customFormat="1" ht="19.5" customHeight="1">
      <c r="A30" s="174" t="s">
        <v>42</v>
      </c>
      <c r="B30" s="172"/>
      <c r="C30" s="175"/>
      <c r="D30" s="175"/>
      <c r="E30" s="175"/>
      <c r="F30" s="175"/>
    </row>
    <row r="31" spans="1:9" s="133" customFormat="1" ht="16.5" customHeight="1">
      <c r="A31" s="174" t="s">
        <v>86</v>
      </c>
      <c r="B31" s="172"/>
      <c r="C31" s="175"/>
      <c r="D31" s="175"/>
      <c r="E31" s="175"/>
      <c r="F31" s="175"/>
    </row>
    <row r="32" spans="1:9" s="133" customFormat="1" ht="18.75" customHeight="1">
      <c r="A32" s="210" t="s">
        <v>154</v>
      </c>
      <c r="B32" s="210"/>
      <c r="C32" s="176"/>
      <c r="D32" s="176"/>
      <c r="E32" s="176"/>
      <c r="F32" s="176"/>
    </row>
    <row r="33" spans="1:6" s="133" customFormat="1" ht="16.5" customHeight="1">
      <c r="A33" s="174" t="s">
        <v>116</v>
      </c>
      <c r="B33" s="172"/>
      <c r="C33" s="175"/>
      <c r="D33" s="175"/>
      <c r="E33" s="175"/>
      <c r="F33" s="175"/>
    </row>
    <row r="42" spans="1:6">
      <c r="A42" s="61"/>
    </row>
    <row r="43" spans="1:6">
      <c r="A43" s="61"/>
    </row>
    <row r="44" spans="1:6">
      <c r="A44" s="61"/>
    </row>
    <row r="45" spans="1:6">
      <c r="A45" s="61"/>
    </row>
    <row r="46" spans="1:6">
      <c r="A46" s="61"/>
    </row>
    <row r="47" spans="1:6">
      <c r="A47" s="61"/>
    </row>
    <row r="48" spans="1:6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6">
    <mergeCell ref="A32:B32"/>
    <mergeCell ref="A2:F2"/>
    <mergeCell ref="C3:F3"/>
    <mergeCell ref="A5:A7"/>
    <mergeCell ref="B5:B7"/>
    <mergeCell ref="C5:F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Header>&amp;LExternal_Debt_Quarters.xls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3F2-9C93-4F53-BBDC-6B1AB2E53E9B}">
  <sheetPr>
    <pageSetUpPr fitToPage="1"/>
  </sheetPr>
  <dimension ref="A1:H34"/>
  <sheetViews>
    <sheetView tabSelected="1" zoomScale="70" zoomScaleNormal="70" zoomScaleSheetLayoutView="70" workbookViewId="0">
      <selection activeCell="A2" sqref="A2:F2"/>
    </sheetView>
  </sheetViews>
  <sheetFormatPr defaultRowHeight="12.75"/>
  <cols>
    <col min="1" max="2" width="58.28515625" customWidth="1"/>
    <col min="3" max="6" width="15.7109375" customWidth="1"/>
    <col min="7" max="7" width="2.7109375" customWidth="1"/>
  </cols>
  <sheetData>
    <row r="1" spans="1:6" ht="18.75">
      <c r="A1" s="58"/>
      <c r="B1" s="59"/>
      <c r="C1" s="59"/>
      <c r="D1" s="59"/>
      <c r="E1" s="60"/>
      <c r="F1" s="60"/>
    </row>
    <row r="2" spans="1:6" ht="23.25" customHeight="1">
      <c r="A2" s="187" t="s">
        <v>0</v>
      </c>
      <c r="B2" s="187"/>
      <c r="C2" s="187"/>
      <c r="D2" s="187"/>
      <c r="E2" s="187"/>
      <c r="F2" s="187"/>
    </row>
    <row r="3" spans="1:6" ht="18">
      <c r="A3" s="58"/>
      <c r="B3" s="60"/>
      <c r="C3" s="197" t="s">
        <v>44</v>
      </c>
      <c r="D3" s="197"/>
      <c r="E3" s="197"/>
      <c r="F3" s="197"/>
    </row>
    <row r="4" spans="1:6" ht="18.75">
      <c r="A4" s="58"/>
      <c r="B4" s="59"/>
      <c r="C4" s="61"/>
      <c r="D4" s="61"/>
      <c r="E4" s="61"/>
      <c r="F4" s="61"/>
    </row>
    <row r="5" spans="1:6" ht="21" customHeight="1">
      <c r="A5" s="204" t="s">
        <v>156</v>
      </c>
      <c r="B5" s="204" t="s">
        <v>2</v>
      </c>
      <c r="C5" s="207" t="s">
        <v>161</v>
      </c>
      <c r="D5" s="208"/>
      <c r="E5" s="208"/>
      <c r="F5" s="209"/>
    </row>
    <row r="6" spans="1:6" ht="15.75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6" ht="15.75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6" ht="15.75">
      <c r="A8" s="135" t="s">
        <v>111</v>
      </c>
      <c r="B8" s="136" t="s">
        <v>112</v>
      </c>
      <c r="C8" s="137">
        <v>155204.33800000002</v>
      </c>
      <c r="D8" s="169">
        <v>155093.39999999997</v>
      </c>
      <c r="E8" s="137">
        <v>156689.20000000001</v>
      </c>
      <c r="F8" s="137">
        <v>161230.09999999998</v>
      </c>
    </row>
    <row r="9" spans="1:6" ht="18.75">
      <c r="A9" s="141" t="s">
        <v>130</v>
      </c>
      <c r="B9" s="142" t="s">
        <v>120</v>
      </c>
      <c r="C9" s="166">
        <v>594.1</v>
      </c>
      <c r="D9" s="166">
        <v>546.6</v>
      </c>
      <c r="E9" s="166">
        <v>430.3</v>
      </c>
      <c r="F9" s="166">
        <v>456.5</v>
      </c>
    </row>
    <row r="10" spans="1:6" ht="15">
      <c r="A10" s="146" t="s">
        <v>7</v>
      </c>
      <c r="B10" s="147" t="s">
        <v>8</v>
      </c>
      <c r="C10" s="167">
        <v>594.1</v>
      </c>
      <c r="D10" s="170">
        <v>546.6</v>
      </c>
      <c r="E10" s="167">
        <v>430.3</v>
      </c>
      <c r="F10" s="167">
        <v>456.5</v>
      </c>
    </row>
    <row r="11" spans="1:6" ht="15">
      <c r="A11" s="146" t="s">
        <v>9</v>
      </c>
      <c r="B11" s="147" t="s">
        <v>10</v>
      </c>
      <c r="C11" s="167">
        <v>0</v>
      </c>
      <c r="D11" s="170">
        <v>0</v>
      </c>
      <c r="E11" s="167">
        <v>0</v>
      </c>
      <c r="F11" s="167">
        <v>0</v>
      </c>
    </row>
    <row r="12" spans="1:6" ht="15.75">
      <c r="A12" s="148" t="s">
        <v>121</v>
      </c>
      <c r="B12" s="142" t="s">
        <v>12</v>
      </c>
      <c r="C12" s="166">
        <v>14551.900000000001</v>
      </c>
      <c r="D12" s="166">
        <v>15800.1</v>
      </c>
      <c r="E12" s="166">
        <v>16811.8</v>
      </c>
      <c r="F12" s="166">
        <v>18646.2</v>
      </c>
    </row>
    <row r="13" spans="1:6" ht="15">
      <c r="A13" s="146" t="s">
        <v>13</v>
      </c>
      <c r="B13" s="149" t="s">
        <v>14</v>
      </c>
      <c r="C13" s="167">
        <v>10245.1</v>
      </c>
      <c r="D13" s="170">
        <v>10579</v>
      </c>
      <c r="E13" s="167">
        <v>11588.9</v>
      </c>
      <c r="F13" s="167">
        <v>12375.6</v>
      </c>
    </row>
    <row r="14" spans="1:6" ht="18">
      <c r="A14" s="146" t="s">
        <v>141</v>
      </c>
      <c r="B14" s="149" t="s">
        <v>140</v>
      </c>
      <c r="C14" s="167">
        <v>4306.8</v>
      </c>
      <c r="D14" s="170">
        <v>5221.1000000000004</v>
      </c>
      <c r="E14" s="167">
        <v>5222.8999999999996</v>
      </c>
      <c r="F14" s="167">
        <v>6270.6</v>
      </c>
    </row>
    <row r="15" spans="1:6" ht="15.75">
      <c r="A15" s="150" t="s">
        <v>100</v>
      </c>
      <c r="B15" s="151" t="s">
        <v>87</v>
      </c>
      <c r="C15" s="166">
        <v>48646.1</v>
      </c>
      <c r="D15" s="166">
        <v>46126.7</v>
      </c>
      <c r="E15" s="166">
        <v>45329</v>
      </c>
      <c r="F15" s="166">
        <v>44783.7</v>
      </c>
    </row>
    <row r="16" spans="1:6" ht="15.75">
      <c r="A16" s="148" t="s">
        <v>153</v>
      </c>
      <c r="B16" s="142" t="s">
        <v>152</v>
      </c>
      <c r="C16" s="166">
        <v>20472</v>
      </c>
      <c r="D16" s="166">
        <v>18197.7</v>
      </c>
      <c r="E16" s="166">
        <v>18594.5</v>
      </c>
      <c r="F16" s="166">
        <v>19233.5</v>
      </c>
    </row>
    <row r="17" spans="1:8" ht="15.75">
      <c r="A17" s="148" t="s">
        <v>158</v>
      </c>
      <c r="B17" s="151" t="s">
        <v>155</v>
      </c>
      <c r="C17" s="166">
        <v>27913.199999999997</v>
      </c>
      <c r="D17" s="166">
        <v>27293.1</v>
      </c>
      <c r="E17" s="166">
        <v>29406.400000000001</v>
      </c>
      <c r="F17" s="166">
        <v>28739.9</v>
      </c>
    </row>
    <row r="18" spans="1:8" ht="15.75">
      <c r="A18" s="148" t="s">
        <v>113</v>
      </c>
      <c r="B18" s="151" t="s">
        <v>143</v>
      </c>
      <c r="C18" s="166">
        <v>4361.6000000000004</v>
      </c>
      <c r="D18" s="166">
        <v>4500</v>
      </c>
      <c r="E18" s="166">
        <v>4500</v>
      </c>
      <c r="F18" s="166">
        <v>6699.9</v>
      </c>
    </row>
    <row r="19" spans="1:8" ht="15.75">
      <c r="A19" s="148" t="s">
        <v>88</v>
      </c>
      <c r="B19" s="151" t="s">
        <v>144</v>
      </c>
      <c r="C19" s="166">
        <v>9300</v>
      </c>
      <c r="D19" s="166">
        <v>9300</v>
      </c>
      <c r="E19" s="166">
        <v>9300</v>
      </c>
      <c r="F19" s="166">
        <v>9300</v>
      </c>
    </row>
    <row r="20" spans="1:8" ht="15.75">
      <c r="A20" s="148" t="s">
        <v>122</v>
      </c>
      <c r="B20" s="142" t="s">
        <v>26</v>
      </c>
      <c r="C20" s="166">
        <v>27665.800000000003</v>
      </c>
      <c r="D20" s="166">
        <v>30995.3</v>
      </c>
      <c r="E20" s="166">
        <v>30034.9</v>
      </c>
      <c r="F20" s="166">
        <v>30914.9</v>
      </c>
    </row>
    <row r="21" spans="1:8" ht="18">
      <c r="A21" s="146" t="s">
        <v>146</v>
      </c>
      <c r="B21" s="152" t="s">
        <v>139</v>
      </c>
      <c r="C21" s="167">
        <v>16132.7</v>
      </c>
      <c r="D21" s="170">
        <v>16514.3</v>
      </c>
      <c r="E21" s="167">
        <v>16040.3</v>
      </c>
      <c r="F21" s="167">
        <v>16129.1</v>
      </c>
    </row>
    <row r="22" spans="1:8" ht="15">
      <c r="A22" s="146" t="s">
        <v>104</v>
      </c>
      <c r="B22" s="152" t="s">
        <v>135</v>
      </c>
      <c r="C22" s="167">
        <v>11533.1</v>
      </c>
      <c r="D22" s="170">
        <v>14481</v>
      </c>
      <c r="E22" s="167">
        <v>13994.6</v>
      </c>
      <c r="F22" s="167">
        <v>14785.8</v>
      </c>
    </row>
    <row r="23" spans="1:8" ht="15.75">
      <c r="A23" s="148" t="s">
        <v>31</v>
      </c>
      <c r="B23" s="142" t="s">
        <v>32</v>
      </c>
      <c r="C23" s="168">
        <v>1699.6380000000001</v>
      </c>
      <c r="D23" s="166">
        <v>2333.9</v>
      </c>
      <c r="E23" s="166">
        <v>2282.3000000000002</v>
      </c>
      <c r="F23" s="166">
        <v>2455.5</v>
      </c>
    </row>
    <row r="24" spans="1:8" ht="18">
      <c r="A24" s="153"/>
      <c r="B24" s="154"/>
      <c r="C24" s="155"/>
      <c r="D24" s="88"/>
      <c r="E24" s="155"/>
      <c r="F24" s="166"/>
    </row>
    <row r="25" spans="1:8" ht="15.75">
      <c r="A25" s="135" t="s">
        <v>33</v>
      </c>
      <c r="B25" s="136" t="s">
        <v>34</v>
      </c>
      <c r="C25" s="137">
        <v>7952.9</v>
      </c>
      <c r="D25" s="169">
        <v>13353.9</v>
      </c>
      <c r="E25" s="137">
        <v>8784.2000000000007</v>
      </c>
      <c r="F25" s="137">
        <v>8645.4000000000015</v>
      </c>
      <c r="H25" s="177"/>
    </row>
    <row r="26" spans="1:8" ht="18">
      <c r="A26" s="146" t="s">
        <v>148</v>
      </c>
      <c r="B26" s="164" t="s">
        <v>65</v>
      </c>
      <c r="C26" s="128">
        <v>2343.6999999999998</v>
      </c>
      <c r="D26" s="127">
        <v>1861.4999999999998</v>
      </c>
      <c r="E26" s="127">
        <v>2410.4</v>
      </c>
      <c r="F26" s="143">
        <v>1896.3000000000002</v>
      </c>
      <c r="H26" s="177"/>
    </row>
    <row r="27" spans="1:8" ht="15">
      <c r="A27" s="146" t="s">
        <v>147</v>
      </c>
      <c r="B27" s="164" t="s">
        <v>38</v>
      </c>
      <c r="C27" s="128">
        <v>5609.2</v>
      </c>
      <c r="D27" s="127">
        <v>11492.4</v>
      </c>
      <c r="E27" s="127">
        <v>6373.8</v>
      </c>
      <c r="F27" s="143">
        <v>6749.1</v>
      </c>
      <c r="H27" s="177"/>
    </row>
    <row r="28" spans="1:8" ht="15">
      <c r="A28" s="156"/>
      <c r="B28" s="156"/>
      <c r="C28" s="157"/>
      <c r="D28" s="157"/>
      <c r="E28" s="157"/>
      <c r="F28" s="157"/>
      <c r="H28" s="177"/>
    </row>
    <row r="29" spans="1:8" ht="15.75" customHeight="1">
      <c r="A29" s="171" t="s">
        <v>39</v>
      </c>
      <c r="B29" s="172"/>
      <c r="C29" s="173"/>
      <c r="D29" s="173"/>
      <c r="E29" s="173"/>
      <c r="F29" s="173"/>
    </row>
    <row r="30" spans="1:8">
      <c r="A30" s="174" t="s">
        <v>42</v>
      </c>
      <c r="B30" s="172"/>
      <c r="C30" s="175"/>
      <c r="D30" s="175"/>
      <c r="E30" s="175"/>
      <c r="F30" s="175"/>
    </row>
    <row r="31" spans="1:8" ht="16.5" customHeight="1">
      <c r="A31" s="174" t="s">
        <v>86</v>
      </c>
      <c r="B31" s="172"/>
      <c r="C31" s="175"/>
      <c r="D31" s="175"/>
      <c r="E31" s="175"/>
      <c r="F31" s="175"/>
    </row>
    <row r="32" spans="1:8" ht="15" customHeight="1">
      <c r="A32" s="211" t="s">
        <v>160</v>
      </c>
      <c r="B32" s="211"/>
      <c r="C32" s="176"/>
      <c r="D32" s="176"/>
      <c r="E32" s="176"/>
      <c r="F32" s="176"/>
    </row>
    <row r="33" spans="1:6" ht="17.25" customHeight="1">
      <c r="A33" s="174" t="s">
        <v>116</v>
      </c>
      <c r="B33" s="172"/>
      <c r="C33" s="175"/>
      <c r="D33" s="175"/>
      <c r="E33" s="175"/>
      <c r="F33" s="175"/>
    </row>
    <row r="34" spans="1:6" ht="18.75">
      <c r="A34" s="58"/>
      <c r="B34" s="59"/>
      <c r="C34" s="61"/>
      <c r="D34" s="61"/>
      <c r="E34" s="61"/>
      <c r="F34" s="61"/>
    </row>
  </sheetData>
  <mergeCells count="6">
    <mergeCell ref="A32:B32"/>
    <mergeCell ref="A2:F2"/>
    <mergeCell ref="C3:F3"/>
    <mergeCell ref="A5:A7"/>
    <mergeCell ref="B5:B7"/>
    <mergeCell ref="C5:F5"/>
  </mergeCells>
  <pageMargins left="0.7" right="0.7" top="0.75" bottom="0.75" header="0.3" footer="0.3"/>
  <pageSetup paperSize="9" scale="7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4EAC-470A-4F70-AA48-998E33D14EF2}">
  <sheetPr>
    <pageSetUpPr fitToPage="1"/>
  </sheetPr>
  <dimension ref="A1:H35"/>
  <sheetViews>
    <sheetView zoomScale="70" zoomScaleNormal="70" zoomScaleSheetLayoutView="80" workbookViewId="0">
      <selection activeCell="E24" sqref="E24"/>
    </sheetView>
  </sheetViews>
  <sheetFormatPr defaultRowHeight="12.75"/>
  <cols>
    <col min="1" max="2" width="58.28515625" customWidth="1"/>
    <col min="3" max="6" width="15.7109375" customWidth="1"/>
    <col min="7" max="7" width="2.7109375" customWidth="1"/>
  </cols>
  <sheetData>
    <row r="1" spans="1:6" ht="18.75">
      <c r="A1" s="58"/>
      <c r="B1" s="59"/>
      <c r="C1" s="59"/>
      <c r="D1" s="59"/>
      <c r="E1" s="60"/>
      <c r="F1" s="60"/>
    </row>
    <row r="2" spans="1:6" ht="23.25" customHeight="1">
      <c r="A2" s="187" t="s">
        <v>0</v>
      </c>
      <c r="B2" s="187"/>
      <c r="C2" s="187"/>
      <c r="D2" s="187"/>
      <c r="E2" s="187"/>
      <c r="F2" s="187"/>
    </row>
    <row r="3" spans="1:6" ht="18">
      <c r="A3" s="58"/>
      <c r="B3" s="60"/>
      <c r="C3" s="197" t="s">
        <v>44</v>
      </c>
      <c r="D3" s="197"/>
      <c r="E3" s="197"/>
      <c r="F3" s="197"/>
    </row>
    <row r="4" spans="1:6" ht="18.75">
      <c r="A4" s="58"/>
      <c r="B4" s="59"/>
      <c r="C4" s="61"/>
      <c r="D4" s="61"/>
      <c r="E4" s="61"/>
      <c r="F4" s="61"/>
    </row>
    <row r="5" spans="1:6" ht="21" customHeight="1">
      <c r="A5" s="204" t="s">
        <v>156</v>
      </c>
      <c r="B5" s="204" t="s">
        <v>2</v>
      </c>
      <c r="C5" s="207" t="s">
        <v>159</v>
      </c>
      <c r="D5" s="208"/>
      <c r="E5" s="208"/>
      <c r="F5" s="209"/>
    </row>
    <row r="6" spans="1:6" ht="15.75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6" ht="15.75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6" ht="15.75">
      <c r="A8" s="135" t="s">
        <v>111</v>
      </c>
      <c r="B8" s="136" t="s">
        <v>112</v>
      </c>
      <c r="C8" s="137">
        <v>163713.49999999997</v>
      </c>
      <c r="D8" s="169">
        <v>163911.12906885298</v>
      </c>
      <c r="E8" s="137">
        <v>164776.4</v>
      </c>
      <c r="F8" s="137"/>
    </row>
    <row r="9" spans="1:6" ht="18.75">
      <c r="A9" s="141" t="s">
        <v>130</v>
      </c>
      <c r="B9" s="142" t="s">
        <v>120</v>
      </c>
      <c r="C9" s="166">
        <v>307</v>
      </c>
      <c r="D9" s="166">
        <v>297.62906885300004</v>
      </c>
      <c r="E9" s="166">
        <v>149.30000000000001</v>
      </c>
      <c r="F9" s="166"/>
    </row>
    <row r="10" spans="1:6" ht="15">
      <c r="A10" s="146" t="s">
        <v>7</v>
      </c>
      <c r="B10" s="147" t="s">
        <v>8</v>
      </c>
      <c r="C10" s="167">
        <v>307</v>
      </c>
      <c r="D10" s="170">
        <v>297.62906885300004</v>
      </c>
      <c r="E10" s="167">
        <v>149.30000000000001</v>
      </c>
      <c r="F10" s="167"/>
    </row>
    <row r="11" spans="1:6" ht="15">
      <c r="A11" s="146" t="s">
        <v>9</v>
      </c>
      <c r="B11" s="147" t="s">
        <v>10</v>
      </c>
      <c r="C11" s="167">
        <v>0</v>
      </c>
      <c r="D11" s="170">
        <v>0</v>
      </c>
      <c r="E11" s="167">
        <v>0</v>
      </c>
      <c r="F11" s="167"/>
    </row>
    <row r="12" spans="1:6" ht="15.75">
      <c r="A12" s="148" t="s">
        <v>121</v>
      </c>
      <c r="B12" s="142" t="s">
        <v>12</v>
      </c>
      <c r="C12" s="166">
        <v>18774.8</v>
      </c>
      <c r="D12" s="166">
        <v>20255.099999999999</v>
      </c>
      <c r="E12" s="166">
        <v>22642.7</v>
      </c>
      <c r="F12" s="166"/>
    </row>
    <row r="13" spans="1:6" ht="15">
      <c r="A13" s="146" t="s">
        <v>13</v>
      </c>
      <c r="B13" s="149" t="s">
        <v>14</v>
      </c>
      <c r="C13" s="167">
        <v>12536.5</v>
      </c>
      <c r="D13" s="170">
        <v>14210.7</v>
      </c>
      <c r="E13" s="167">
        <v>14967.7</v>
      </c>
      <c r="F13" s="167"/>
    </row>
    <row r="14" spans="1:6" ht="18">
      <c r="A14" s="146" t="s">
        <v>141</v>
      </c>
      <c r="B14" s="149" t="s">
        <v>140</v>
      </c>
      <c r="C14" s="167">
        <v>6238.3</v>
      </c>
      <c r="D14" s="170">
        <v>6044.4</v>
      </c>
      <c r="E14" s="167">
        <v>7675</v>
      </c>
      <c r="F14" s="167"/>
    </row>
    <row r="15" spans="1:6" ht="15.75">
      <c r="A15" s="150" t="s">
        <v>100</v>
      </c>
      <c r="B15" s="151" t="s">
        <v>87</v>
      </c>
      <c r="C15" s="166">
        <v>43895.199999999997</v>
      </c>
      <c r="D15" s="166">
        <v>43168.5</v>
      </c>
      <c r="E15" s="166">
        <v>43485.3</v>
      </c>
      <c r="F15" s="166"/>
    </row>
    <row r="16" spans="1:6" ht="15.75">
      <c r="A16" s="148" t="s">
        <v>153</v>
      </c>
      <c r="B16" s="142" t="s">
        <v>152</v>
      </c>
      <c r="C16" s="166">
        <v>19180.400000000001</v>
      </c>
      <c r="D16" s="166">
        <v>18881.5</v>
      </c>
      <c r="E16" s="166">
        <v>19590.599999999999</v>
      </c>
      <c r="F16" s="166"/>
    </row>
    <row r="17" spans="1:8" ht="15.75">
      <c r="A17" s="148" t="s">
        <v>158</v>
      </c>
      <c r="B17" s="151" t="s">
        <v>155</v>
      </c>
      <c r="C17" s="166">
        <v>28450.699999999997</v>
      </c>
      <c r="D17" s="166">
        <v>28803.9</v>
      </c>
      <c r="E17" s="166">
        <v>26780.400000000001</v>
      </c>
      <c r="F17" s="166"/>
    </row>
    <row r="18" spans="1:8" ht="15.75">
      <c r="A18" s="148" t="s">
        <v>113</v>
      </c>
      <c r="B18" s="151" t="s">
        <v>143</v>
      </c>
      <c r="C18" s="166">
        <v>6700</v>
      </c>
      <c r="D18" s="166">
        <v>6512.5</v>
      </c>
      <c r="E18" s="166">
        <v>5075</v>
      </c>
      <c r="F18" s="166"/>
    </row>
    <row r="19" spans="1:8" ht="15.75">
      <c r="A19" s="148" t="s">
        <v>88</v>
      </c>
      <c r="B19" s="151" t="s">
        <v>144</v>
      </c>
      <c r="C19" s="166">
        <v>9300</v>
      </c>
      <c r="D19" s="166">
        <v>9300</v>
      </c>
      <c r="E19" s="166">
        <v>14300</v>
      </c>
      <c r="F19" s="166"/>
    </row>
    <row r="20" spans="1:8" ht="15.75">
      <c r="A20" s="148" t="s">
        <v>122</v>
      </c>
      <c r="B20" s="142" t="s">
        <v>26</v>
      </c>
      <c r="C20" s="166">
        <v>34763.1</v>
      </c>
      <c r="D20" s="166">
        <v>34421.100000000006</v>
      </c>
      <c r="E20" s="166">
        <v>30525.1</v>
      </c>
      <c r="F20" s="166"/>
    </row>
    <row r="21" spans="1:8" ht="18">
      <c r="A21" s="146" t="s">
        <v>146</v>
      </c>
      <c r="B21" s="152" t="s">
        <v>139</v>
      </c>
      <c r="C21" s="167">
        <v>16448.599999999999</v>
      </c>
      <c r="D21" s="170">
        <v>16614.400000000001</v>
      </c>
      <c r="E21" s="167">
        <v>11936.4</v>
      </c>
      <c r="F21" s="167"/>
    </row>
    <row r="22" spans="1:8" ht="15">
      <c r="A22" s="146" t="s">
        <v>104</v>
      </c>
      <c r="B22" s="152" t="s">
        <v>135</v>
      </c>
      <c r="C22" s="167">
        <v>18314.5</v>
      </c>
      <c r="D22" s="170">
        <v>17806.7</v>
      </c>
      <c r="E22" s="167">
        <v>18588.7</v>
      </c>
      <c r="F22" s="167"/>
    </row>
    <row r="23" spans="1:8" ht="15.75">
      <c r="A23" s="148" t="s">
        <v>31</v>
      </c>
      <c r="B23" s="142" t="s">
        <v>32</v>
      </c>
      <c r="C23" s="168">
        <v>2342.3000000000002</v>
      </c>
      <c r="D23" s="166">
        <v>2270.9</v>
      </c>
      <c r="E23" s="166">
        <v>2228</v>
      </c>
      <c r="F23" s="166"/>
    </row>
    <row r="24" spans="1:8" ht="18">
      <c r="A24" s="153"/>
      <c r="B24" s="154"/>
      <c r="C24" s="155"/>
      <c r="D24" s="88"/>
      <c r="E24" s="155"/>
      <c r="F24" s="166"/>
    </row>
    <row r="25" spans="1:8" ht="15.75">
      <c r="A25" s="135" t="s">
        <v>33</v>
      </c>
      <c r="B25" s="136" t="s">
        <v>34</v>
      </c>
      <c r="C25" s="137">
        <v>6442.0999999999995</v>
      </c>
      <c r="D25" s="169">
        <v>9553</v>
      </c>
      <c r="E25" s="137">
        <v>12300.9</v>
      </c>
      <c r="F25" s="137"/>
      <c r="H25" s="177"/>
    </row>
    <row r="26" spans="1:8" ht="18">
      <c r="A26" s="146" t="s">
        <v>148</v>
      </c>
      <c r="B26" s="164" t="s">
        <v>65</v>
      </c>
      <c r="C26" s="128">
        <v>2078.3000000000002</v>
      </c>
      <c r="D26" s="127">
        <v>1675.2</v>
      </c>
      <c r="E26" s="127">
        <v>2241.1</v>
      </c>
      <c r="F26" s="143"/>
      <c r="H26" s="177"/>
    </row>
    <row r="27" spans="1:8" ht="15">
      <c r="A27" s="146" t="s">
        <v>147</v>
      </c>
      <c r="B27" s="164" t="s">
        <v>38</v>
      </c>
      <c r="C27" s="128">
        <v>4363.7999999999993</v>
      </c>
      <c r="D27" s="127">
        <v>7877.8</v>
      </c>
      <c r="E27" s="127">
        <v>10059.799999999999</v>
      </c>
      <c r="F27" s="143"/>
      <c r="H27" s="177"/>
    </row>
    <row r="28" spans="1:8" ht="15">
      <c r="A28" s="156"/>
      <c r="B28" s="156"/>
      <c r="C28" s="157"/>
      <c r="D28" s="157"/>
      <c r="E28" s="157"/>
      <c r="F28" s="157"/>
      <c r="H28" s="177"/>
    </row>
    <row r="29" spans="1:8" ht="15.75" customHeight="1">
      <c r="A29" s="171" t="s">
        <v>39</v>
      </c>
      <c r="B29" s="172"/>
      <c r="C29" s="173"/>
      <c r="D29" s="173"/>
      <c r="E29" s="173"/>
      <c r="F29" s="173"/>
    </row>
    <row r="30" spans="1:8">
      <c r="A30" s="174" t="s">
        <v>40</v>
      </c>
      <c r="B30" s="172"/>
      <c r="C30" s="175"/>
      <c r="D30" s="175"/>
      <c r="E30" s="175"/>
      <c r="F30" s="175"/>
    </row>
    <row r="31" spans="1:8">
      <c r="A31" s="174" t="s">
        <v>42</v>
      </c>
      <c r="B31" s="172"/>
      <c r="C31" s="175"/>
      <c r="D31" s="175"/>
      <c r="E31" s="175"/>
      <c r="F31" s="175"/>
    </row>
    <row r="32" spans="1:8" ht="16.5" customHeight="1">
      <c r="A32" s="174" t="s">
        <v>86</v>
      </c>
      <c r="B32" s="172"/>
      <c r="C32" s="175"/>
      <c r="D32" s="175"/>
      <c r="E32" s="175"/>
      <c r="F32" s="175"/>
    </row>
    <row r="33" spans="1:6" s="179" customFormat="1" ht="15" customHeight="1">
      <c r="A33" s="211" t="s">
        <v>160</v>
      </c>
      <c r="B33" s="211"/>
      <c r="C33" s="178"/>
      <c r="D33" s="178"/>
      <c r="E33" s="178"/>
      <c r="F33" s="178"/>
    </row>
    <row r="34" spans="1:6" ht="17.25" customHeight="1">
      <c r="A34" s="174" t="s">
        <v>116</v>
      </c>
      <c r="B34" s="172"/>
      <c r="C34" s="175"/>
      <c r="D34" s="175"/>
      <c r="E34" s="175"/>
      <c r="F34" s="175"/>
    </row>
    <row r="35" spans="1:6" ht="18.75">
      <c r="A35" s="58"/>
      <c r="B35" s="59"/>
      <c r="C35" s="61"/>
      <c r="D35" s="61"/>
      <c r="E35" s="61"/>
      <c r="F35" s="61"/>
    </row>
  </sheetData>
  <mergeCells count="6">
    <mergeCell ref="A33:B33"/>
    <mergeCell ref="A2:F2"/>
    <mergeCell ref="C3:F3"/>
    <mergeCell ref="A5:A7"/>
    <mergeCell ref="B5:B7"/>
    <mergeCell ref="C5:F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headerFooter>
    <oddHeader>&amp;LExternal_Debt_Quarters.xls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  <_dlc_Exempt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DC7AD00-167E-40F7-9FC0-6CF5B34113C2}">
  <ds:schemaRefs>
    <ds:schemaRef ds:uri="4a1cef21-950b-48ce-bef3-2690db20137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806035d9-ad3b-44db-92a1-1ed4b9daec3e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 </vt:lpstr>
      <vt:lpstr>2016-2017</vt:lpstr>
      <vt:lpstr>2017-2018</vt:lpstr>
      <vt:lpstr>2018-2019</vt:lpstr>
      <vt:lpstr>2019-2020</vt:lpstr>
      <vt:lpstr>2020-2021</vt:lpstr>
      <vt:lpstr>2021-2022</vt:lpstr>
      <vt:lpstr>2022-2023 </vt:lpstr>
      <vt:lpstr>2023-2024 </vt:lpstr>
      <vt:lpstr>2024-2025 </vt:lpstr>
      <vt:lpstr>2025-2026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 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 '!Print_Area</vt:lpstr>
      <vt:lpstr>'2024-2025 '!Print_Area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Taghreed Magdy</cp:lastModifiedBy>
  <cp:lastPrinted>2026-03-30T10:08:45Z</cp:lastPrinted>
  <dcterms:created xsi:type="dcterms:W3CDTF">2008-03-10T08:32:40Z</dcterms:created>
  <dcterms:modified xsi:type="dcterms:W3CDTF">2026-09-03T07:57:25Z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