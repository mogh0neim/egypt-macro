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ميزان المدفوعات\ميزان المدفوعات\BOP(1)\Bop(2)\Time Series\2016-2017 + updates\"/>
    </mc:Choice>
  </mc:AlternateContent>
  <xr:revisionPtr revIDLastSave="0" documentId="13_ncr:1_{96F2E90E-ED49-4DBF-8338-FF61CB8AF8F1}" xr6:coauthVersionLast="36" xr6:coauthVersionMax="36" xr10:uidLastSave="{00000000-0000-0000-0000-000000000000}"/>
  <bookViews>
    <workbookView xWindow="0" yWindow="0" windowWidth="21600" windowHeight="9521" xr2:uid="{0A52E617-D98C-44B5-9EA6-FD246C027755}"/>
  </bookViews>
  <sheets>
    <sheet name="2023-2024" sheetId="1" r:id="rId1"/>
  </sheets>
  <definedNames>
    <definedName name="_xlnm.Print_Area" localSheetId="0">'2023-2024'!$A$1:$F$70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1" l="1"/>
  <c r="F41" i="1"/>
  <c r="E42" i="1" l="1"/>
  <c r="E41" i="1"/>
  <c r="D42" i="1" l="1"/>
  <c r="D41" i="1"/>
</calcChain>
</file>

<file path=xl/sharedStrings.xml><?xml version="1.0" encoding="utf-8"?>
<sst xmlns="http://schemas.openxmlformats.org/spreadsheetml/2006/main" count="128" uniqueCount="118">
  <si>
    <t xml:space="preserve">Balance of Payments  </t>
  </si>
  <si>
    <t>(US.$mn)</t>
  </si>
  <si>
    <t>Q1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</si>
  <si>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</si>
  <si>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</si>
  <si>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</si>
  <si>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</si>
  <si>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</si>
  <si>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</si>
  <si>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</si>
  <si>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</si>
  <si>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</si>
  <si>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</si>
  <si>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</si>
  <si>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</si>
  <si>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</si>
  <si>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</si>
  <si>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</si>
  <si>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</si>
  <si>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</si>
  <si>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</si>
  <si>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النقل </t>
  </si>
  <si>
    <t xml:space="preserve">   Transportation </t>
  </si>
  <si>
    <t xml:space="preserve">   منها،  رسوم المرور فى قناة السويس              </t>
  </si>
  <si>
    <t xml:space="preserve">     Of which,  Suez Canal dues</t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</si>
  <si>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</si>
  <si>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</si>
  <si>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</si>
  <si>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</si>
  <si>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</si>
  <si>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</si>
  <si>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</si>
  <si>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</si>
  <si>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</si>
  <si>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</si>
  <si>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</si>
  <si>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</si>
  <si>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</si>
  <si>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</si>
  <si>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</si>
  <si>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</si>
  <si>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</si>
  <si>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</si>
  <si>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 xml:space="preserve">   منها،  فوائد مدفوعة</t>
  </si>
  <si>
    <t xml:space="preserve">       Of which,  Interest Paid</t>
  </si>
  <si>
    <t>التحويلات</t>
  </si>
  <si>
    <t>Transfers</t>
  </si>
  <si>
    <t xml:space="preserve">  الخاصة (صافى) </t>
  </si>
  <si>
    <t xml:space="preserve">Private (net) </t>
  </si>
  <si>
    <t xml:space="preserve">   منها،  تحويلات المصريين العاملين بالخارج </t>
  </si>
  <si>
    <t xml:space="preserve"> Of which, Remittanes of Egyptians working abroad 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</si>
  <si>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</si>
  <si>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</si>
  <si>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</si>
  <si>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</si>
  <si>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*بيانات مبدئية</t>
  </si>
  <si>
    <t>* Preliminary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</si>
  <si>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</si>
  <si>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</si>
  <si>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</si>
  <si>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</si>
  <si>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</si>
  <si>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</si>
  <si>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</si>
  <si>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</si>
  <si>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</si>
  <si>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</si>
  <si>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</si>
  <si>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</si>
  <si>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</si>
  <si>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</si>
  <si>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</si>
  <si>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</si>
  <si>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>المستخدم</t>
  </si>
  <si>
    <t>المسدد</t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</si>
  <si>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</si>
  <si>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</si>
  <si>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</si>
  <si>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</si>
  <si>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</si>
  <si>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</si>
  <si>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</si>
  <si>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</si>
  <si>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</si>
  <si>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</si>
  <si>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</si>
  <si>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</si>
  <si>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</si>
  <si>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</si>
  <si>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</si>
  <si>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</si>
  <si>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</si>
  <si>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</si>
  <si>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</si>
  <si>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 xml:space="preserve">Direct Investment In Egypt (net) </t>
  </si>
  <si>
    <t>الاستثمار المباشر في  مصر  (صافى)</t>
  </si>
  <si>
    <t xml:space="preserve">   Investment Income Payments </t>
  </si>
  <si>
    <t>مدفوعات دخل الاستثمار</t>
  </si>
  <si>
    <t>M&amp;L Term Loans</t>
  </si>
  <si>
    <t xml:space="preserve">          Drawings</t>
  </si>
  <si>
    <t xml:space="preserve">          Repayments</t>
  </si>
  <si>
    <t>تسهيلات الموردين والمشترين قصيرة الأجل  (صافى)</t>
  </si>
  <si>
    <t xml:space="preserve">         Drawings</t>
  </si>
  <si>
    <t xml:space="preserve">         Repayments</t>
  </si>
  <si>
    <t xml:space="preserve"> تسهيلات الموردين والمشترين متوسطة وطويلة الاجل</t>
  </si>
  <si>
    <t>Short Term buyers' and suppliers' credit (net)</t>
  </si>
  <si>
    <t xml:space="preserve">M&amp; L Term buyers' and suppliers' credit </t>
  </si>
  <si>
    <t>July/Sep 2023*</t>
  </si>
  <si>
    <t>Q2</t>
  </si>
  <si>
    <t>Oct./Dec. 2023*</t>
  </si>
  <si>
    <t>Q3</t>
  </si>
  <si>
    <t>Jan./March 2024*</t>
  </si>
  <si>
    <t xml:space="preserve">Direct Investment Abroad (net) </t>
  </si>
  <si>
    <t xml:space="preserve">Portfolio Investment Abroad (net) </t>
  </si>
  <si>
    <t>الاستثمار المباشر في الخارج (صافى)</t>
  </si>
  <si>
    <t xml:space="preserve">استثمار الحافظة فى الخارج (صافى) </t>
  </si>
  <si>
    <t>Q4</t>
  </si>
  <si>
    <t>Apr./June 2024*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</si>
</sst>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>
    <font>
      <sz val="10"/>
      <name val="Arial"/>
      <charset val="178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u/>
      <sz val="13"/>
      <name val="Times New (W1)"/>
      <family val="1"/>
    </font>
    <font>
      <sz val="14"/>
      <name val="Times New (W1)"/>
      <family val="1"/>
    </font>
    <font>
      <sz val="13"/>
      <name val="Times New (W1)"/>
      <family val="1"/>
    </font>
    <font>
      <sz val="14"/>
      <name val="Arial"/>
      <family val="2"/>
    </font>
    <font>
      <i/>
      <sz val="13"/>
      <name val="Times New (W1)"/>
      <charset val="178"/>
    </font>
    <font>
      <i/>
      <sz val="13"/>
      <name val="Times New (W1)"/>
      <family val="1"/>
    </font>
    <font>
      <i/>
      <sz val="13"/>
      <name val="Arial"/>
      <family val="2"/>
    </font>
    <font>
      <b/>
      <sz val="14"/>
      <name val="Times New (W1)"/>
      <family val="1"/>
    </font>
    <font>
      <sz val="12"/>
      <name val="Times New (W1)"/>
      <family val="1"/>
    </font>
    <font>
      <i/>
      <sz val="12"/>
      <name val="Times New (W1)"/>
      <family val="1"/>
    </font>
    <font>
      <i/>
      <sz val="14"/>
      <name val="Times New (W1)"/>
      <family val="1"/>
    </font>
    <font>
      <i/>
      <sz val="12"/>
      <name val="Arial"/>
      <family val="2"/>
    </font>
    <font>
      <sz val="12"/>
      <name val="Arial"/>
      <family val="2"/>
    </font>
    <font>
      <i/>
      <sz val="12"/>
      <name val="Times New (W1)"/>
      <charset val="178"/>
    </font>
    <font>
      <sz val="10"/>
      <name val="Arial"/>
      <family val="2"/>
    </font>
    <font>
      <sz val="12"/>
      <name val="Akhbar MT"/>
      <charset val="178"/>
    </font>
    <font>
      <sz val="10"/>
      <name val="Arial"/>
      <family val="2"/>
      <charset val="178"/>
    </font>
    <font>
      <b/>
      <sz val="12"/>
      <name val="Times New (W1)"/>
      <charset val="178"/>
    </font>
    <font>
      <b/>
      <sz val="13"/>
      <name val="Times New (W1)"/>
      <family val="1"/>
    </font>
    <font>
      <sz val="13"/>
      <name val="Arial"/>
      <family val="2"/>
    </font>
    <font>
      <u/>
      <sz val="12"/>
      <name val="Times New (W1)"/>
      <charset val="178"/>
    </font>
    <font>
      <u/>
      <sz val="13"/>
      <name val="Times New (W1)"/>
      <family val="1"/>
    </font>
    <font>
      <u/>
      <sz val="12"/>
      <name val="Times New (W1)"/>
      <family val="1"/>
    </font>
    <font>
      <u/>
      <sz val="12"/>
      <name val="Arial"/>
      <family val="2"/>
    </font>
    <font>
      <u/>
      <sz val="12"/>
      <name val="Times New (W1)"/>
    </font>
    <font>
      <b/>
      <sz val="9"/>
      <name val="Times New (W1)"/>
      <family val="1"/>
    </font>
    <font>
      <b/>
      <sz val="14"/>
      <name val="Arial"/>
      <family val="2"/>
    </font>
    <font>
      <sz val="10"/>
      <name val="Arabic Transparent"/>
      <charset val="178"/>
    </font>
    <font>
      <u/>
      <sz val="14"/>
      <name val="Times New (W1)"/>
    </font>
    <font>
      <i/>
      <sz val="14"/>
      <name val="Times New (W1)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9" fillId="0" borderId="0"/>
    <xf numFmtId="0" fontId="19" fillId="0" borderId="0"/>
    <xf numFmtId="0" fontId="19" fillId="0" borderId="0"/>
    <xf numFmtId="0" fontId="32" fillId="0" borderId="0" applyNumberFormat="0">
      <alignment horizontal="right"/>
    </xf>
  </cellStyleXfs>
  <cellXfs count="116">
    <xf numFmtId="0" fontId="0" fillId="0" borderId="0" xfId="0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readingOrder="1"/>
    </xf>
    <xf numFmtId="164" fontId="2" fillId="0" borderId="1" xfId="0" applyNumberFormat="1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0" xfId="0" applyBorder="1"/>
    <xf numFmtId="0" fontId="0" fillId="3" borderId="3" xfId="0" applyFill="1" applyBorder="1" applyAlignment="1">
      <alignment readingOrder="2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readingOrder="2"/>
    </xf>
    <xf numFmtId="0" fontId="4" fillId="3" borderId="4" xfId="0" applyFont="1" applyFill="1" applyBorder="1" applyAlignment="1">
      <alignment readingOrder="1"/>
    </xf>
    <xf numFmtId="164" fontId="5" fillId="0" borderId="0" xfId="0" applyNumberFormat="1" applyFont="1" applyFill="1" applyAlignment="1">
      <alignment horizontal="center" readingOrder="1"/>
    </xf>
    <xf numFmtId="164" fontId="7" fillId="0" borderId="0" xfId="0" applyNumberFormat="1" applyFont="1" applyFill="1" applyAlignment="1">
      <alignment horizontal="center" readingOrder="1"/>
    </xf>
    <xf numFmtId="0" fontId="8" fillId="0" borderId="0" xfId="0" applyFont="1" applyBorder="1"/>
    <xf numFmtId="0" fontId="8" fillId="0" borderId="0" xfId="0" applyFont="1"/>
    <xf numFmtId="0" fontId="9" fillId="3" borderId="4" xfId="0" applyFont="1" applyFill="1" applyBorder="1" applyAlignment="1">
      <alignment horizontal="right" readingOrder="2"/>
    </xf>
    <xf numFmtId="0" fontId="10" fillId="3" borderId="4" xfId="0" quotePrefix="1" applyFont="1" applyFill="1" applyBorder="1" applyAlignment="1">
      <alignment horizontal="justify" readingOrder="1"/>
    </xf>
    <xf numFmtId="0" fontId="11" fillId="0" borderId="0" xfId="0" applyFont="1" applyBorder="1"/>
    <xf numFmtId="0" fontId="11" fillId="0" borderId="0" xfId="0" applyFont="1"/>
    <xf numFmtId="0" fontId="6" fillId="3" borderId="4" xfId="0" quotePrefix="1" applyFont="1" applyFill="1" applyBorder="1" applyAlignment="1">
      <alignment horizontal="left" readingOrder="1"/>
    </xf>
    <xf numFmtId="0" fontId="10" fillId="3" borderId="4" xfId="0" quotePrefix="1" applyFont="1" applyFill="1" applyBorder="1" applyAlignment="1">
      <alignment horizontal="left" readingOrder="1"/>
    </xf>
    <xf numFmtId="0" fontId="4" fillId="3" borderId="4" xfId="0" quotePrefix="1" applyFont="1" applyFill="1" applyBorder="1" applyAlignment="1">
      <alignment horizontal="left" readingOrder="1"/>
    </xf>
    <xf numFmtId="0" fontId="13" fillId="3" borderId="4" xfId="0" quotePrefix="1" applyFont="1" applyFill="1" applyBorder="1" applyAlignment="1">
      <alignment horizontal="right" readingOrder="2"/>
    </xf>
    <xf numFmtId="0" fontId="14" fillId="3" borderId="4" xfId="0" quotePrefix="1" applyFont="1" applyFill="1" applyBorder="1" applyAlignment="1">
      <alignment horizontal="right" readingOrder="2"/>
    </xf>
    <xf numFmtId="0" fontId="15" fillId="3" borderId="4" xfId="0" quotePrefix="1" applyFont="1" applyFill="1" applyBorder="1" applyAlignment="1">
      <alignment horizontal="left" readingOrder="1"/>
    </xf>
    <xf numFmtId="0" fontId="16" fillId="0" borderId="0" xfId="0" applyFont="1" applyBorder="1"/>
    <xf numFmtId="0" fontId="16" fillId="0" borderId="0" xfId="0" applyFont="1"/>
    <xf numFmtId="0" fontId="7" fillId="3" borderId="4" xfId="0" quotePrefix="1" applyFont="1" applyFill="1" applyBorder="1" applyAlignment="1">
      <alignment horizontal="right" readingOrder="2"/>
    </xf>
    <xf numFmtId="164" fontId="2" fillId="0" borderId="0" xfId="0" applyNumberFormat="1" applyFont="1" applyFill="1" applyAlignment="1">
      <alignment horizontal="center" readingOrder="1"/>
    </xf>
    <xf numFmtId="0" fontId="17" fillId="0" borderId="0" xfId="0" applyFont="1" applyBorder="1"/>
    <xf numFmtId="0" fontId="17" fillId="0" borderId="0" xfId="0" applyFont="1"/>
    <xf numFmtId="0" fontId="4" fillId="3" borderId="4" xfId="0" applyFont="1" applyFill="1" applyBorder="1" applyAlignment="1">
      <alignment horizontal="left" readingOrder="1"/>
    </xf>
    <xf numFmtId="0" fontId="6" fillId="3" borderId="4" xfId="0" quotePrefix="1" applyFont="1" applyFill="1" applyBorder="1" applyAlignment="1">
      <alignment horizontal="left" indent="1" readingOrder="1"/>
    </xf>
    <xf numFmtId="0" fontId="18" fillId="3" borderId="4" xfId="0" quotePrefix="1" applyFont="1" applyFill="1" applyBorder="1" applyAlignment="1">
      <alignment horizontal="right" readingOrder="2"/>
    </xf>
    <xf numFmtId="0" fontId="4" fillId="3" borderId="5" xfId="0" applyFont="1" applyFill="1" applyBorder="1" applyAlignment="1">
      <alignment readingOrder="2"/>
    </xf>
    <xf numFmtId="0" fontId="4" fillId="3" borderId="5" xfId="0" applyFont="1" applyFill="1" applyBorder="1" applyAlignment="1">
      <alignment readingOrder="1"/>
    </xf>
    <xf numFmtId="164" fontId="5" fillId="0" borderId="6" xfId="0" applyNumberFormat="1" applyFont="1" applyFill="1" applyBorder="1" applyAlignment="1">
      <alignment horizontal="center" readingOrder="1"/>
    </xf>
    <xf numFmtId="0" fontId="0" fillId="0" borderId="6" xfId="0" applyBorder="1"/>
    <xf numFmtId="0" fontId="17" fillId="0" borderId="0" xfId="0" applyFont="1" applyAlignment="1">
      <alignment horizontal="right" readingOrder="2"/>
    </xf>
    <xf numFmtId="0" fontId="17" fillId="0" borderId="0" xfId="0" applyFont="1" applyFill="1" applyAlignment="1">
      <alignment readingOrder="1"/>
    </xf>
    <xf numFmtId="164" fontId="2" fillId="0" borderId="0" xfId="0" applyNumberFormat="1" applyFont="1" applyFill="1" applyBorder="1" applyAlignment="1">
      <alignment horizontal="center" readingOrder="1"/>
    </xf>
    <xf numFmtId="49" fontId="19" fillId="0" borderId="0" xfId="2" applyNumberFormat="1" applyFont="1" applyFill="1" applyAlignment="1">
      <alignment vertical="center" wrapText="1" readingOrder="1"/>
    </xf>
    <xf numFmtId="0" fontId="17" fillId="0" borderId="0" xfId="3" applyFont="1" applyFill="1" applyAlignment="1">
      <alignment horizontal="left" vertical="center" readingOrder="2"/>
    </xf>
    <xf numFmtId="0" fontId="20" fillId="0" borderId="0" xfId="3" applyFont="1" applyFill="1" applyAlignment="1">
      <alignment vertical="center" readingOrder="2"/>
    </xf>
    <xf numFmtId="0" fontId="17" fillId="0" borderId="0" xfId="3" applyFont="1" applyFill="1" applyAlignment="1">
      <alignment horizontal="center" vertical="center" readingOrder="2"/>
    </xf>
    <xf numFmtId="0" fontId="21" fillId="0" borderId="0" xfId="0" applyFont="1" applyFill="1" applyAlignment="1">
      <alignment readingOrder="1"/>
    </xf>
    <xf numFmtId="0" fontId="3" fillId="0" borderId="0" xfId="0" applyFont="1" applyFill="1" applyAlignment="1">
      <alignment horizontal="center"/>
    </xf>
    <xf numFmtId="0" fontId="4" fillId="3" borderId="3" xfId="0" applyFont="1" applyFill="1" applyBorder="1" applyAlignment="1">
      <alignment readingOrder="1"/>
    </xf>
    <xf numFmtId="0" fontId="12" fillId="3" borderId="3" xfId="0" applyFont="1" applyFill="1" applyBorder="1" applyAlignment="1">
      <alignment horizontal="left"/>
    </xf>
    <xf numFmtId="164" fontId="2" fillId="0" borderId="0" xfId="0" applyNumberFormat="1" applyFont="1" applyFill="1" applyAlignment="1">
      <alignment horizontal="center"/>
    </xf>
    <xf numFmtId="0" fontId="12" fillId="3" borderId="4" xfId="0" quotePrefix="1" applyFont="1" applyFill="1" applyBorder="1" applyAlignment="1">
      <alignment horizontal="left"/>
    </xf>
    <xf numFmtId="0" fontId="12" fillId="3" borderId="4" xfId="0" applyFont="1" applyFill="1" applyBorder="1" applyAlignment="1">
      <alignment horizontal="left"/>
    </xf>
    <xf numFmtId="0" fontId="22" fillId="3" borderId="4" xfId="0" quotePrefix="1" applyFont="1" applyFill="1" applyBorder="1" applyAlignment="1">
      <alignment horizontal="right" indent="1"/>
    </xf>
    <xf numFmtId="0" fontId="23" fillId="3" borderId="4" xfId="0" applyFont="1" applyFill="1" applyBorder="1" applyAlignment="1">
      <alignment horizontal="left" indent="2"/>
    </xf>
    <xf numFmtId="164" fontId="23" fillId="0" borderId="0" xfId="0" applyNumberFormat="1" applyFont="1" applyFill="1" applyAlignment="1">
      <alignment horizontal="center"/>
    </xf>
    <xf numFmtId="0" fontId="24" fillId="0" borderId="0" xfId="0" applyFont="1" applyBorder="1"/>
    <xf numFmtId="0" fontId="24" fillId="0" borderId="0" xfId="0" applyFont="1"/>
    <xf numFmtId="0" fontId="23" fillId="3" borderId="4" xfId="0" quotePrefix="1" applyFont="1" applyFill="1" applyBorder="1" applyAlignment="1">
      <alignment horizontal="left" indent="2"/>
    </xf>
    <xf numFmtId="0" fontId="13" fillId="3" borderId="4" xfId="0" quotePrefix="1" applyFont="1" applyFill="1" applyBorder="1" applyAlignment="1">
      <alignment horizontal="right" indent="3" readingOrder="2"/>
    </xf>
    <xf numFmtId="0" fontId="18" fillId="3" borderId="4" xfId="0" quotePrefix="1" applyFont="1" applyFill="1" applyBorder="1" applyAlignment="1">
      <alignment horizontal="left"/>
    </xf>
    <xf numFmtId="164" fontId="18" fillId="0" borderId="0" xfId="0" applyNumberFormat="1" applyFont="1" applyFill="1" applyAlignment="1">
      <alignment horizontal="center"/>
    </xf>
    <xf numFmtId="0" fontId="22" fillId="3" borderId="4" xfId="0" applyFont="1" applyFill="1" applyBorder="1" applyAlignment="1">
      <alignment horizontal="right" indent="1" readingOrder="2"/>
    </xf>
    <xf numFmtId="164" fontId="23" fillId="0" borderId="0" xfId="0" quotePrefix="1" applyNumberFormat="1" applyFont="1" applyFill="1" applyAlignment="1">
      <alignment horizontal="center"/>
    </xf>
    <xf numFmtId="0" fontId="25" fillId="3" borderId="4" xfId="0" applyFont="1" applyFill="1" applyBorder="1" applyAlignment="1">
      <alignment horizontal="right" indent="2" readingOrder="1"/>
    </xf>
    <xf numFmtId="0" fontId="26" fillId="3" borderId="4" xfId="0" quotePrefix="1" applyFont="1" applyFill="1" applyBorder="1" applyAlignment="1">
      <alignment horizontal="left" indent="2"/>
    </xf>
    <xf numFmtId="164" fontId="26" fillId="0" borderId="0" xfId="0" quotePrefix="1" applyNumberFormat="1" applyFont="1" applyFill="1" applyAlignment="1">
      <alignment horizontal="center"/>
    </xf>
    <xf numFmtId="0" fontId="27" fillId="3" borderId="4" xfId="0" quotePrefix="1" applyFont="1" applyFill="1" applyBorder="1" applyAlignment="1">
      <alignment horizontal="right" indent="3"/>
    </xf>
    <xf numFmtId="0" fontId="27" fillId="3" borderId="4" xfId="0" quotePrefix="1" applyFont="1" applyFill="1" applyBorder="1" applyAlignment="1">
      <alignment horizontal="left" indent="2"/>
    </xf>
    <xf numFmtId="164" fontId="27" fillId="0" borderId="0" xfId="0" quotePrefix="1" applyNumberFormat="1" applyFont="1" applyFill="1" applyAlignment="1">
      <alignment horizontal="center"/>
    </xf>
    <xf numFmtId="0" fontId="28" fillId="0" borderId="0" xfId="0" applyFont="1" applyBorder="1"/>
    <xf numFmtId="0" fontId="28" fillId="0" borderId="0" xfId="0" applyFont="1"/>
    <xf numFmtId="0" fontId="13" fillId="3" borderId="4" xfId="0" quotePrefix="1" applyFont="1" applyFill="1" applyBorder="1" applyAlignment="1">
      <alignment horizontal="right" indent="3"/>
    </xf>
    <xf numFmtId="0" fontId="14" fillId="3" borderId="4" xfId="0" quotePrefix="1" applyFont="1" applyFill="1" applyBorder="1" applyAlignment="1">
      <alignment horizontal="left" indent="2"/>
    </xf>
    <xf numFmtId="164" fontId="14" fillId="0" borderId="0" xfId="0" applyNumberFormat="1" applyFont="1" applyFill="1" applyAlignment="1">
      <alignment horizontal="center"/>
    </xf>
    <xf numFmtId="0" fontId="16" fillId="0" borderId="0" xfId="0" applyFont="1" applyFill="1" applyBorder="1"/>
    <xf numFmtId="0" fontId="16" fillId="0" borderId="0" xfId="0" applyFont="1" applyFill="1"/>
    <xf numFmtId="0" fontId="25" fillId="3" borderId="4" xfId="0" quotePrefix="1" applyFont="1" applyFill="1" applyBorder="1" applyAlignment="1">
      <alignment horizontal="left" indent="2"/>
    </xf>
    <xf numFmtId="0" fontId="28" fillId="0" borderId="0" xfId="0" applyFont="1" applyFill="1" applyBorder="1"/>
    <xf numFmtId="0" fontId="28" fillId="0" borderId="0" xfId="0" applyFont="1" applyFill="1"/>
    <xf numFmtId="0" fontId="29" fillId="3" borderId="4" xfId="0" applyFont="1" applyFill="1" applyBorder="1" applyAlignment="1">
      <alignment horizontal="right" indent="2" readingOrder="1"/>
    </xf>
    <xf numFmtId="0" fontId="26" fillId="3" borderId="4" xfId="0" applyFont="1" applyFill="1" applyBorder="1" applyAlignment="1">
      <alignment horizontal="left" indent="2"/>
    </xf>
    <xf numFmtId="0" fontId="14" fillId="3" borderId="4" xfId="0" quotePrefix="1" applyFont="1" applyFill="1" applyBorder="1" applyAlignment="1">
      <alignment horizontal="left"/>
    </xf>
    <xf numFmtId="0" fontId="4" fillId="3" borderId="4" xfId="0" applyFont="1" applyFill="1" applyBorder="1" applyAlignment="1"/>
    <xf numFmtId="0" fontId="2" fillId="3" borderId="5" xfId="0" applyFont="1" applyFill="1" applyBorder="1" applyAlignment="1"/>
    <xf numFmtId="0" fontId="30" fillId="0" borderId="7" xfId="0" quotePrefix="1" applyFont="1" applyFill="1" applyBorder="1" applyAlignment="1">
      <alignment vertical="center" readingOrder="1"/>
    </xf>
    <xf numFmtId="0" fontId="17" fillId="0" borderId="0" xfId="0" applyFont="1" applyBorder="1" applyAlignment="1">
      <alignment horizontal="left" wrapText="1"/>
    </xf>
    <xf numFmtId="164" fontId="31" fillId="0" borderId="0" xfId="0" applyNumberFormat="1" applyFont="1"/>
    <xf numFmtId="0" fontId="17" fillId="0" borderId="0" xfId="1" applyFont="1" applyAlignment="1">
      <alignment vertical="center" wrapText="1" readingOrder="2"/>
    </xf>
    <xf numFmtId="0" fontId="19" fillId="0" borderId="0" xfId="1" applyFill="1"/>
    <xf numFmtId="0" fontId="2" fillId="2" borderId="2" xfId="1" applyFont="1" applyFill="1" applyBorder="1" applyAlignment="1">
      <alignment horizontal="center" vertical="center" wrapText="1" readingOrder="1"/>
    </xf>
    <xf numFmtId="164" fontId="5" fillId="0" borderId="0" xfId="1" applyNumberFormat="1" applyFont="1" applyFill="1" applyAlignment="1">
      <alignment horizontal="center" readingOrder="1"/>
    </xf>
    <xf numFmtId="164" fontId="7" fillId="0" borderId="0" xfId="1" applyNumberFormat="1" applyFont="1" applyFill="1" applyAlignment="1">
      <alignment horizontal="center" readingOrder="1"/>
    </xf>
    <xf numFmtId="164" fontId="2" fillId="0" borderId="0" xfId="1" applyNumberFormat="1" applyFont="1" applyFill="1" applyAlignment="1">
      <alignment horizontal="center" readingOrder="1"/>
    </xf>
    <xf numFmtId="164" fontId="5" fillId="0" borderId="6" xfId="1" applyNumberFormat="1" applyFont="1" applyFill="1" applyBorder="1" applyAlignment="1">
      <alignment horizontal="center" readingOrder="1"/>
    </xf>
    <xf numFmtId="164" fontId="2" fillId="0" borderId="0" xfId="1" applyNumberFormat="1" applyFont="1" applyFill="1" applyBorder="1" applyAlignment="1">
      <alignment horizontal="center" readingOrder="1"/>
    </xf>
    <xf numFmtId="164" fontId="2" fillId="0" borderId="0" xfId="1" applyNumberFormat="1" applyFont="1" applyFill="1" applyAlignment="1">
      <alignment horizontal="center"/>
    </xf>
    <xf numFmtId="164" fontId="23" fillId="0" borderId="0" xfId="1" applyNumberFormat="1" applyFont="1" applyFill="1" applyAlignment="1">
      <alignment horizontal="center"/>
    </xf>
    <xf numFmtId="164" fontId="18" fillId="0" borderId="0" xfId="1" applyNumberFormat="1" applyFont="1" applyFill="1" applyAlignment="1">
      <alignment horizontal="center"/>
    </xf>
    <xf numFmtId="164" fontId="23" fillId="0" borderId="0" xfId="1" quotePrefix="1" applyNumberFormat="1" applyFont="1" applyFill="1" applyAlignment="1">
      <alignment horizontal="center"/>
    </xf>
    <xf numFmtId="164" fontId="26" fillId="0" borderId="0" xfId="1" quotePrefix="1" applyNumberFormat="1" applyFont="1" applyFill="1" applyAlignment="1">
      <alignment horizontal="center"/>
    </xf>
    <xf numFmtId="164" fontId="27" fillId="0" borderId="0" xfId="1" quotePrefix="1" applyNumberFormat="1" applyFont="1" applyFill="1" applyAlignment="1">
      <alignment horizontal="center"/>
    </xf>
    <xf numFmtId="164" fontId="14" fillId="0" borderId="0" xfId="1" applyNumberFormat="1" applyFont="1" applyFill="1" applyAlignment="1">
      <alignment horizontal="center"/>
    </xf>
    <xf numFmtId="0" fontId="30" fillId="0" borderId="7" xfId="1" quotePrefix="1" applyFont="1" applyFill="1" applyBorder="1" applyAlignment="1">
      <alignment vertical="center" readingOrder="1"/>
    </xf>
    <xf numFmtId="0" fontId="17" fillId="0" borderId="0" xfId="1" applyFont="1" applyBorder="1" applyAlignment="1">
      <alignment horizontal="left" wrapText="1"/>
    </xf>
    <xf numFmtId="164" fontId="31" fillId="0" borderId="0" xfId="1" applyNumberFormat="1" applyFont="1"/>
    <xf numFmtId="0" fontId="19" fillId="0" borderId="0" xfId="1"/>
    <xf numFmtId="164" fontId="0" fillId="0" borderId="0" xfId="0" applyNumberFormat="1" applyBorder="1"/>
    <xf numFmtId="0" fontId="33" fillId="3" borderId="4" xfId="0" quotePrefix="1" applyFont="1" applyFill="1" applyBorder="1" applyAlignment="1">
      <alignment horizontal="right" readingOrder="2"/>
    </xf>
    <xf numFmtId="0" fontId="33" fillId="3" borderId="4" xfId="0" quotePrefix="1" applyFont="1" applyFill="1" applyBorder="1" applyAlignment="1">
      <alignment horizontal="left" readingOrder="1"/>
    </xf>
    <xf numFmtId="0" fontId="33" fillId="3" borderId="4" xfId="0" applyFont="1" applyFill="1" applyBorder="1" applyAlignment="1">
      <alignment horizontal="left" readingOrder="1"/>
    </xf>
    <xf numFmtId="164" fontId="9" fillId="0" borderId="0" xfId="0" applyNumberFormat="1" applyFont="1" applyFill="1" applyAlignment="1">
      <alignment horizontal="center" readingOrder="1"/>
    </xf>
    <xf numFmtId="164" fontId="9" fillId="0" borderId="0" xfId="1" applyNumberFormat="1" applyFont="1" applyFill="1" applyAlignment="1">
      <alignment horizontal="center" readingOrder="1"/>
    </xf>
    <xf numFmtId="0" fontId="34" fillId="3" borderId="4" xfId="0" quotePrefix="1" applyFont="1" applyFill="1" applyBorder="1" applyAlignment="1">
      <alignment horizontal="left" indent="1" readingOrder="1"/>
    </xf>
    <xf numFmtId="0" fontId="1" fillId="0" borderId="0" xfId="0" applyFont="1" applyFill="1" applyBorder="1" applyAlignment="1">
      <alignment horizontal="left" vertical="center" readingOrder="1"/>
    </xf>
    <xf numFmtId="164" fontId="26" fillId="0" borderId="0" xfId="0" applyNumberFormat="1" applyFont="1" applyFill="1" applyAlignment="1">
      <alignment horizontal="center" readingOrder="1"/>
    </xf>
    <xf numFmtId="164" fontId="26" fillId="0" borderId="0" xfId="1" applyNumberFormat="1" applyFont="1" applyFill="1" applyAlignment="1">
      <alignment horizontal="center" readingOrder="1"/>
    </xf>
  </cellXfs>
  <cellStyles count="5">
    <cellStyle name="MS_Arabic" xfId="4" xr:uid="{00000000-0005-0000-0000-000000000000}"/>
    <cellStyle name="Normal" xfId="0" builtinId="0"/>
    <cellStyle name="Normal 2" xfId="1" xr:uid="{68010B29-6C7B-4A5F-9A95-F657E91B25D6}"/>
    <cellStyle name="Normal 2 3" xfId="2" xr:uid="{9EA7A619-52B8-4D48-82DF-B867DBD2092F}"/>
    <cellStyle name="Normal_BOP_11_14-19_21" xfId="3" xr:uid="{4A879652-025D-401A-80E0-2E84545354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976D-3941-4D84-B0BC-E5A6BB3BE956}">
  <sheetPr>
    <pageSetUpPr fitToPage="1"/>
  </sheetPr>
  <dimension ref="A2:AY79"/>
  <sheetViews>
    <sheetView tabSelected="1" view="pageBreakPreview" zoomScale="70" zoomScaleNormal="90" zoomScaleSheetLayoutView="70" workbookViewId="0">
      <selection activeCell="B11" sqref="B11"/>
    </sheetView>
  </sheetViews>
  <sheetFormatPr defaultColWidth="9.1796875" defaultRowHeight="12.9"/>
  <cols>
    <col min="1" max="1" width="53.54296875" customWidth="1"/>
    <col min="2" max="2" width="65.54296875" style="45" customWidth="1"/>
    <col min="3" max="3" width="19.26953125" customWidth="1"/>
    <col min="4" max="4" width="19.26953125" style="105" customWidth="1"/>
    <col min="5" max="5" width="20.453125" style="105" customWidth="1"/>
    <col min="6" max="6" width="19.26953125" style="105" customWidth="1"/>
    <col min="7" max="51" width="9.1796875" style="6"/>
  </cols>
  <sheetData>
    <row r="2" spans="1:51" s="1" customFormat="1" ht="45.15" customHeight="1">
      <c r="A2" s="113" t="s">
        <v>0</v>
      </c>
      <c r="B2" s="113"/>
      <c r="D2" s="88"/>
      <c r="E2" s="88"/>
      <c r="F2" s="8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s="1" customFormat="1" ht="45.15" customHeight="1" thickBot="1">
      <c r="A3" s="3"/>
      <c r="B3" s="3"/>
      <c r="C3" s="4"/>
      <c r="D3" s="4"/>
      <c r="E3" s="4"/>
      <c r="F3" s="4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ht="25.55" customHeight="1" thickTop="1" thickBot="1">
      <c r="B4"/>
      <c r="C4" s="5" t="s">
        <v>2</v>
      </c>
      <c r="D4" s="89" t="s">
        <v>108</v>
      </c>
      <c r="E4" s="89" t="s">
        <v>110</v>
      </c>
      <c r="F4" s="89" t="s">
        <v>116</v>
      </c>
    </row>
    <row r="5" spans="1:51" ht="36" customHeight="1" thickTop="1" thickBot="1">
      <c r="A5" s="7"/>
      <c r="B5" s="8"/>
      <c r="C5" s="5" t="s">
        <v>107</v>
      </c>
      <c r="D5" s="89" t="s">
        <v>109</v>
      </c>
      <c r="E5" s="5" t="s">
        <v>111</v>
      </c>
      <c r="F5" s="5" t="s">
        <v>117</v>
      </c>
    </row>
    <row r="6" spans="1:51" ht="20.149999999999999" customHeight="1" thickTop="1">
      <c r="A6" s="9" t="s">
        <v>3</v>
      </c>
      <c r="B6" s="10" t="s">
        <v>4</v>
      </c>
      <c r="C6" s="11">
        <v>-7944.6</v>
      </c>
      <c r="D6" s="90">
        <v>-10712.1</v>
      </c>
      <c r="E6" s="90">
        <v>-10143.799999999999</v>
      </c>
      <c r="F6" s="90">
        <v>-10773.2</v>
      </c>
      <c r="G6" s="106"/>
      <c r="H6" s="106"/>
      <c r="K6" s="106"/>
      <c r="L6" s="106"/>
      <c r="M6" s="106"/>
      <c r="N6" s="106"/>
    </row>
    <row r="7" spans="1:51" s="14" customFormat="1" ht="20.149999999999999" customHeight="1">
      <c r="A7" s="107" t="s">
        <v>5</v>
      </c>
      <c r="B7" s="109" t="s">
        <v>6</v>
      </c>
      <c r="C7" s="114">
        <v>8325.2000000000007</v>
      </c>
      <c r="D7" s="115">
        <v>8124.4</v>
      </c>
      <c r="E7" s="115">
        <v>7670</v>
      </c>
      <c r="F7" s="115">
        <v>8441.4</v>
      </c>
      <c r="G7" s="106"/>
      <c r="H7" s="106"/>
      <c r="I7" s="13"/>
      <c r="J7" s="13"/>
      <c r="K7" s="106"/>
      <c r="L7" s="106"/>
      <c r="M7" s="106"/>
      <c r="N7" s="106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</row>
    <row r="8" spans="1:51" s="18" customFormat="1" ht="20.149999999999999" customHeight="1">
      <c r="A8" s="15" t="s">
        <v>7</v>
      </c>
      <c r="B8" s="16" t="s">
        <v>8</v>
      </c>
      <c r="C8" s="110">
        <v>1609.4</v>
      </c>
      <c r="D8" s="111">
        <v>1608</v>
      </c>
      <c r="E8" s="111">
        <v>1388</v>
      </c>
      <c r="F8" s="111">
        <v>1117.0999999999999</v>
      </c>
      <c r="G8" s="106"/>
      <c r="H8" s="106"/>
      <c r="I8" s="17"/>
      <c r="J8" s="17"/>
      <c r="K8" s="106"/>
      <c r="L8" s="106"/>
      <c r="M8" s="106"/>
      <c r="N8" s="106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</row>
    <row r="9" spans="1:51" s="18" customFormat="1" ht="20.149999999999999" customHeight="1">
      <c r="A9" s="15" t="s">
        <v>9</v>
      </c>
      <c r="B9" s="16" t="s">
        <v>10</v>
      </c>
      <c r="C9" s="110">
        <v>6715.8</v>
      </c>
      <c r="D9" s="111">
        <v>6516.4</v>
      </c>
      <c r="E9" s="111">
        <v>6282</v>
      </c>
      <c r="F9" s="111">
        <v>7324.3</v>
      </c>
      <c r="G9" s="106"/>
      <c r="H9" s="106"/>
      <c r="I9" s="17"/>
      <c r="J9" s="17"/>
      <c r="K9" s="106"/>
      <c r="L9" s="106"/>
      <c r="M9" s="106"/>
      <c r="N9" s="106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</row>
    <row r="10" spans="1:51" s="14" customFormat="1" ht="20.149999999999999" customHeight="1">
      <c r="A10" s="107" t="s">
        <v>11</v>
      </c>
      <c r="B10" s="108" t="s">
        <v>12</v>
      </c>
      <c r="C10" s="114">
        <v>-16269.8</v>
      </c>
      <c r="D10" s="115">
        <v>-18836.5</v>
      </c>
      <c r="E10" s="115">
        <v>-17813.8</v>
      </c>
      <c r="F10" s="115">
        <v>-19214.599999999999</v>
      </c>
      <c r="G10" s="106"/>
      <c r="H10" s="106"/>
      <c r="I10" s="13"/>
      <c r="J10" s="13"/>
      <c r="K10" s="106"/>
      <c r="L10" s="106"/>
      <c r="M10" s="106"/>
      <c r="N10" s="10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spans="1:51" s="18" customFormat="1" ht="20.149999999999999" customHeight="1">
      <c r="A11" s="15" t="s">
        <v>13</v>
      </c>
      <c r="B11" s="20" t="s">
        <v>14</v>
      </c>
      <c r="C11" s="110">
        <v>-2923.2</v>
      </c>
      <c r="D11" s="111">
        <v>-3380.2</v>
      </c>
      <c r="E11" s="111">
        <v>-3381.5</v>
      </c>
      <c r="F11" s="111">
        <v>-3686.9</v>
      </c>
      <c r="G11" s="106"/>
      <c r="H11" s="106"/>
      <c r="I11" s="17"/>
      <c r="J11" s="17"/>
      <c r="K11" s="106"/>
      <c r="L11" s="106"/>
      <c r="M11" s="106"/>
      <c r="N11" s="10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</row>
    <row r="12" spans="1:51" s="18" customFormat="1" ht="20.149999999999999" customHeight="1">
      <c r="A12" s="15" t="s">
        <v>15</v>
      </c>
      <c r="B12" s="20" t="s">
        <v>16</v>
      </c>
      <c r="C12" s="110">
        <v>-13346.6</v>
      </c>
      <c r="D12" s="111">
        <v>-15456.3</v>
      </c>
      <c r="E12" s="111">
        <v>-14432.3</v>
      </c>
      <c r="F12" s="111">
        <v>-15527.7</v>
      </c>
      <c r="G12" s="106"/>
      <c r="H12" s="106"/>
      <c r="I12" s="17"/>
      <c r="J12" s="17"/>
      <c r="K12" s="106"/>
      <c r="L12" s="106"/>
      <c r="M12" s="106"/>
      <c r="N12" s="106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</row>
    <row r="13" spans="1:51" ht="20.149999999999999" customHeight="1">
      <c r="A13" s="9" t="s">
        <v>17</v>
      </c>
      <c r="B13" s="10" t="s">
        <v>18</v>
      </c>
      <c r="C13" s="11">
        <v>5199.7</v>
      </c>
      <c r="D13" s="90">
        <v>3961.7</v>
      </c>
      <c r="E13" s="90">
        <v>2103.6999999999998</v>
      </c>
      <c r="F13" s="90">
        <v>3090</v>
      </c>
      <c r="G13" s="106"/>
      <c r="H13" s="106"/>
      <c r="K13" s="106"/>
      <c r="L13" s="106"/>
      <c r="M13" s="106"/>
      <c r="N13" s="106"/>
    </row>
    <row r="14" spans="1:51" ht="20.149999999999999" customHeight="1">
      <c r="A14" s="9" t="s">
        <v>19</v>
      </c>
      <c r="B14" s="21" t="s">
        <v>20</v>
      </c>
      <c r="C14" s="11">
        <v>8963.2000000000007</v>
      </c>
      <c r="D14" s="90">
        <v>7897.5</v>
      </c>
      <c r="E14" s="90">
        <v>6377.1</v>
      </c>
      <c r="F14" s="90">
        <v>7009.4</v>
      </c>
      <c r="G14" s="106"/>
      <c r="H14" s="106"/>
      <c r="K14" s="106"/>
      <c r="L14" s="106"/>
      <c r="M14" s="106"/>
      <c r="N14" s="106"/>
    </row>
    <row r="15" spans="1:51" ht="20.149999999999999" customHeight="1">
      <c r="A15" s="22" t="s">
        <v>21</v>
      </c>
      <c r="B15" s="19" t="s">
        <v>22</v>
      </c>
      <c r="C15" s="12">
        <v>3453.8</v>
      </c>
      <c r="D15" s="91">
        <v>3343.6</v>
      </c>
      <c r="E15" s="91">
        <v>1948.7</v>
      </c>
      <c r="F15" s="91">
        <v>1971</v>
      </c>
      <c r="G15" s="106"/>
      <c r="H15" s="106"/>
      <c r="K15" s="106"/>
      <c r="L15" s="106"/>
      <c r="M15" s="106"/>
      <c r="N15" s="106"/>
    </row>
    <row r="16" spans="1:51" s="26" customFormat="1" ht="20.149999999999999" customHeight="1">
      <c r="A16" s="23" t="s">
        <v>23</v>
      </c>
      <c r="B16" s="24" t="s">
        <v>24</v>
      </c>
      <c r="C16" s="110">
        <v>2399.3000000000002</v>
      </c>
      <c r="D16" s="111">
        <v>2403.4</v>
      </c>
      <c r="E16" s="111">
        <v>959.3</v>
      </c>
      <c r="F16" s="111">
        <v>870.4</v>
      </c>
      <c r="G16" s="106"/>
      <c r="H16" s="106"/>
      <c r="I16" s="25"/>
      <c r="J16" s="25"/>
      <c r="K16" s="106"/>
      <c r="L16" s="106"/>
      <c r="M16" s="106"/>
      <c r="N16" s="106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</row>
    <row r="17" spans="1:51" ht="20.149999999999999" customHeight="1">
      <c r="A17" s="22" t="s">
        <v>25</v>
      </c>
      <c r="B17" s="19" t="s">
        <v>26</v>
      </c>
      <c r="C17" s="12">
        <v>4451</v>
      </c>
      <c r="D17" s="91">
        <v>3315</v>
      </c>
      <c r="E17" s="91">
        <v>3095</v>
      </c>
      <c r="F17" s="91">
        <v>3515</v>
      </c>
      <c r="G17" s="106"/>
      <c r="H17" s="106"/>
      <c r="K17" s="106"/>
      <c r="L17" s="106"/>
      <c r="M17" s="106"/>
      <c r="N17" s="106"/>
    </row>
    <row r="18" spans="1:51" ht="20.149999999999999" customHeight="1">
      <c r="A18" s="22" t="s">
        <v>27</v>
      </c>
      <c r="B18" s="19" t="s">
        <v>28</v>
      </c>
      <c r="C18" s="12">
        <v>64.2</v>
      </c>
      <c r="D18" s="91">
        <v>320.60000000000002</v>
      </c>
      <c r="E18" s="91">
        <v>316</v>
      </c>
      <c r="F18" s="91">
        <v>434.3</v>
      </c>
      <c r="G18" s="106"/>
      <c r="H18" s="106"/>
      <c r="K18" s="106"/>
      <c r="L18" s="106"/>
      <c r="M18" s="106"/>
      <c r="N18" s="106"/>
    </row>
    <row r="19" spans="1:51" ht="20.149999999999999" customHeight="1">
      <c r="A19" s="22" t="s">
        <v>29</v>
      </c>
      <c r="B19" s="19" t="s">
        <v>30</v>
      </c>
      <c r="C19" s="12">
        <v>994.2</v>
      </c>
      <c r="D19" s="91">
        <v>918.3</v>
      </c>
      <c r="E19" s="91">
        <v>1017.4</v>
      </c>
      <c r="F19" s="91">
        <v>1089.0999999999999</v>
      </c>
      <c r="G19" s="106"/>
      <c r="H19" s="106"/>
      <c r="K19" s="106"/>
      <c r="L19" s="106"/>
      <c r="M19" s="106"/>
      <c r="N19" s="106"/>
    </row>
    <row r="20" spans="1:51" ht="20.149999999999999" customHeight="1">
      <c r="A20" s="9" t="s">
        <v>31</v>
      </c>
      <c r="B20" s="21" t="s">
        <v>32</v>
      </c>
      <c r="C20" s="11">
        <v>3763.5</v>
      </c>
      <c r="D20" s="90">
        <v>3935.8</v>
      </c>
      <c r="E20" s="90">
        <v>4273.3999999999996</v>
      </c>
      <c r="F20" s="90">
        <v>3919.4</v>
      </c>
      <c r="G20" s="106"/>
      <c r="H20" s="106"/>
      <c r="K20" s="106"/>
      <c r="L20" s="106"/>
      <c r="M20" s="106"/>
      <c r="N20" s="106"/>
    </row>
    <row r="21" spans="1:51" ht="20.149999999999999" customHeight="1">
      <c r="A21" s="27" t="s">
        <v>33</v>
      </c>
      <c r="B21" s="19" t="s">
        <v>22</v>
      </c>
      <c r="C21" s="12">
        <v>823.5</v>
      </c>
      <c r="D21" s="91">
        <v>784.4</v>
      </c>
      <c r="E21" s="91">
        <v>782.6</v>
      </c>
      <c r="F21" s="91">
        <v>871.6</v>
      </c>
      <c r="G21" s="106"/>
      <c r="H21" s="106"/>
      <c r="K21" s="106"/>
      <c r="L21" s="106"/>
      <c r="M21" s="106"/>
      <c r="N21" s="106"/>
    </row>
    <row r="22" spans="1:51" ht="20.149999999999999" customHeight="1">
      <c r="A22" s="22" t="s">
        <v>34</v>
      </c>
      <c r="B22" s="19" t="s">
        <v>35</v>
      </c>
      <c r="C22" s="12">
        <v>1494.4</v>
      </c>
      <c r="D22" s="91">
        <v>1513.8</v>
      </c>
      <c r="E22" s="91">
        <v>1314.5</v>
      </c>
      <c r="F22" s="91">
        <v>789.7</v>
      </c>
      <c r="G22" s="106"/>
      <c r="H22" s="106"/>
      <c r="K22" s="106"/>
      <c r="L22" s="106"/>
      <c r="M22" s="106"/>
      <c r="N22" s="106"/>
    </row>
    <row r="23" spans="1:51" ht="20.149999999999999" customHeight="1">
      <c r="A23" s="22" t="s">
        <v>36</v>
      </c>
      <c r="B23" s="19" t="s">
        <v>37</v>
      </c>
      <c r="C23" s="12">
        <v>289.89999999999998</v>
      </c>
      <c r="D23" s="91">
        <v>438.4</v>
      </c>
      <c r="E23" s="91">
        <v>419.3</v>
      </c>
      <c r="F23" s="91">
        <v>679.6</v>
      </c>
      <c r="G23" s="106"/>
      <c r="H23" s="106"/>
      <c r="K23" s="106"/>
      <c r="L23" s="106"/>
      <c r="M23" s="106"/>
      <c r="N23" s="106"/>
    </row>
    <row r="24" spans="1:51" ht="20.149999999999999" customHeight="1">
      <c r="A24" s="22" t="s">
        <v>38</v>
      </c>
      <c r="B24" s="19" t="s">
        <v>30</v>
      </c>
      <c r="C24" s="12">
        <v>1155.7</v>
      </c>
      <c r="D24" s="91">
        <v>1199.2</v>
      </c>
      <c r="E24" s="91">
        <v>1757</v>
      </c>
      <c r="F24" s="91">
        <v>1578.5</v>
      </c>
      <c r="G24" s="106"/>
      <c r="H24" s="106"/>
      <c r="K24" s="106"/>
      <c r="L24" s="106"/>
      <c r="M24" s="106"/>
      <c r="N24" s="106"/>
    </row>
    <row r="25" spans="1:51" ht="20.149999999999999" customHeight="1">
      <c r="A25" s="9" t="s">
        <v>39</v>
      </c>
      <c r="B25" s="21" t="s">
        <v>40</v>
      </c>
      <c r="C25" s="28">
        <v>-4585.3</v>
      </c>
      <c r="D25" s="92">
        <v>-4983.6000000000004</v>
      </c>
      <c r="E25" s="92">
        <v>-4459.8</v>
      </c>
      <c r="F25" s="92">
        <v>-3508.5</v>
      </c>
      <c r="G25" s="106"/>
      <c r="H25" s="106"/>
      <c r="K25" s="106"/>
      <c r="L25" s="106"/>
      <c r="M25" s="106"/>
      <c r="N25" s="106"/>
    </row>
    <row r="26" spans="1:51" ht="20.149999999999999" customHeight="1">
      <c r="A26" s="22" t="s">
        <v>41</v>
      </c>
      <c r="B26" s="19" t="s">
        <v>42</v>
      </c>
      <c r="C26" s="12">
        <v>413</v>
      </c>
      <c r="D26" s="91">
        <v>352.9</v>
      </c>
      <c r="E26" s="91">
        <v>349.8</v>
      </c>
      <c r="F26" s="91">
        <v>815.8</v>
      </c>
      <c r="G26" s="106"/>
      <c r="H26" s="106"/>
      <c r="K26" s="106"/>
      <c r="L26" s="106"/>
      <c r="M26" s="106"/>
      <c r="N26" s="106"/>
    </row>
    <row r="27" spans="1:51" s="30" customFormat="1" ht="20.149999999999999" customHeight="1">
      <c r="A27" s="27" t="s">
        <v>97</v>
      </c>
      <c r="B27" s="19" t="s">
        <v>96</v>
      </c>
      <c r="C27" s="12">
        <v>4998.3</v>
      </c>
      <c r="D27" s="91">
        <v>5336.5</v>
      </c>
      <c r="E27" s="91">
        <v>4809.6000000000004</v>
      </c>
      <c r="F27" s="91">
        <v>4324.3</v>
      </c>
      <c r="G27" s="106"/>
      <c r="H27" s="106"/>
      <c r="I27" s="29"/>
      <c r="J27" s="29"/>
      <c r="K27" s="106"/>
      <c r="L27" s="106"/>
      <c r="M27" s="106"/>
      <c r="N27" s="106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</row>
    <row r="28" spans="1:51" ht="20.149999999999999" customHeight="1">
      <c r="A28" s="23" t="s">
        <v>43</v>
      </c>
      <c r="B28" s="24" t="s">
        <v>44</v>
      </c>
      <c r="C28" s="110">
        <v>1961.2</v>
      </c>
      <c r="D28" s="111">
        <v>2089.1999999999998</v>
      </c>
      <c r="E28" s="111">
        <v>2032.7</v>
      </c>
      <c r="F28" s="111">
        <v>1822.8</v>
      </c>
      <c r="G28" s="106"/>
      <c r="H28" s="106"/>
      <c r="K28" s="106"/>
      <c r="L28" s="106"/>
      <c r="M28" s="106"/>
      <c r="N28" s="106"/>
    </row>
    <row r="29" spans="1:51" ht="20.149999999999999" customHeight="1">
      <c r="A29" s="9" t="s">
        <v>45</v>
      </c>
      <c r="B29" s="31" t="s">
        <v>46</v>
      </c>
      <c r="C29" s="11">
        <v>4523.2</v>
      </c>
      <c r="D29" s="90">
        <v>4908.6000000000004</v>
      </c>
      <c r="E29" s="90">
        <v>5036.8</v>
      </c>
      <c r="F29" s="90">
        <v>7480.6</v>
      </c>
      <c r="G29" s="106"/>
      <c r="H29" s="106"/>
      <c r="K29" s="106"/>
      <c r="L29" s="106"/>
      <c r="M29" s="106"/>
      <c r="N29" s="106"/>
    </row>
    <row r="30" spans="1:51" ht="20.149999999999999" customHeight="1">
      <c r="A30" s="22" t="s">
        <v>47</v>
      </c>
      <c r="B30" s="32" t="s">
        <v>48</v>
      </c>
      <c r="C30" s="12">
        <v>4491.1000000000004</v>
      </c>
      <c r="D30" s="91">
        <v>4911.2</v>
      </c>
      <c r="E30" s="91">
        <v>5046.5</v>
      </c>
      <c r="F30" s="91">
        <v>7463.4</v>
      </c>
      <c r="G30" s="106"/>
      <c r="H30" s="106"/>
      <c r="K30" s="106"/>
      <c r="L30" s="106"/>
      <c r="M30" s="106"/>
      <c r="N30" s="106"/>
    </row>
    <row r="31" spans="1:51" ht="20.149999999999999" customHeight="1">
      <c r="A31" s="33" t="s">
        <v>49</v>
      </c>
      <c r="B31" s="112" t="s">
        <v>50</v>
      </c>
      <c r="C31" s="110">
        <v>4516.3</v>
      </c>
      <c r="D31" s="111">
        <v>4931.8</v>
      </c>
      <c r="E31" s="111">
        <v>5022.3999999999996</v>
      </c>
      <c r="F31" s="111">
        <v>7467.3</v>
      </c>
      <c r="G31" s="106"/>
      <c r="H31" s="106"/>
      <c r="K31" s="106"/>
      <c r="L31" s="106"/>
      <c r="M31" s="106"/>
      <c r="N31" s="106"/>
    </row>
    <row r="32" spans="1:51" ht="20.149999999999999" customHeight="1">
      <c r="A32" s="22" t="s">
        <v>51</v>
      </c>
      <c r="B32" s="32" t="s">
        <v>52</v>
      </c>
      <c r="C32" s="12">
        <v>32.1</v>
      </c>
      <c r="D32" s="91">
        <v>-2.6</v>
      </c>
      <c r="E32" s="91">
        <v>-9.6999999999999993</v>
      </c>
      <c r="F32" s="91">
        <v>17.2</v>
      </c>
      <c r="G32" s="106"/>
      <c r="H32" s="106"/>
      <c r="K32" s="106"/>
      <c r="L32" s="106"/>
      <c r="M32" s="106"/>
      <c r="N32" s="106"/>
    </row>
    <row r="33" spans="1:51" s="37" customFormat="1" ht="20.149999999999999" customHeight="1">
      <c r="A33" s="34" t="s">
        <v>53</v>
      </c>
      <c r="B33" s="35" t="s">
        <v>54</v>
      </c>
      <c r="C33" s="36">
        <v>-2807</v>
      </c>
      <c r="D33" s="93">
        <v>-6825.4</v>
      </c>
      <c r="E33" s="93">
        <v>-7463.1</v>
      </c>
      <c r="F33" s="93">
        <v>-3711.1</v>
      </c>
      <c r="G33" s="106"/>
      <c r="H33" s="106"/>
      <c r="I33" s="6"/>
      <c r="J33" s="6"/>
      <c r="K33" s="106"/>
      <c r="L33" s="106"/>
      <c r="M33" s="106"/>
      <c r="N33" s="10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</row>
    <row r="34" spans="1:51" ht="20.149999999999999" customHeight="1">
      <c r="A34" s="38" t="s">
        <v>55</v>
      </c>
      <c r="B34" s="39" t="s">
        <v>56</v>
      </c>
      <c r="C34" s="40"/>
      <c r="D34" s="94"/>
      <c r="E34" s="94"/>
      <c r="F34" s="94"/>
      <c r="G34" s="106"/>
      <c r="H34" s="106"/>
      <c r="K34" s="106"/>
      <c r="L34" s="106"/>
      <c r="M34" s="106"/>
      <c r="N34" s="106"/>
    </row>
    <row r="35" spans="1:51" ht="27.8" customHeight="1">
      <c r="A35" s="87"/>
      <c r="B35" s="41"/>
      <c r="C35" s="41"/>
      <c r="D35" s="41"/>
      <c r="E35" s="41"/>
      <c r="F35" s="41"/>
    </row>
    <row r="36" spans="1:51" ht="32.25" customHeight="1">
      <c r="A36" s="87"/>
      <c r="B36" s="41"/>
      <c r="C36" s="41"/>
      <c r="D36" s="41"/>
      <c r="E36" s="41"/>
      <c r="F36" s="41"/>
    </row>
    <row r="37" spans="1:51" ht="30.8" customHeight="1">
      <c r="A37" s="38"/>
      <c r="B37" s="42"/>
      <c r="C37" s="43"/>
      <c r="D37" s="43"/>
      <c r="E37" s="43"/>
      <c r="F37" s="43"/>
    </row>
    <row r="38" spans="1:51" ht="30.8" customHeight="1">
      <c r="A38" s="38"/>
      <c r="B38" s="44"/>
      <c r="C38" s="43"/>
      <c r="D38" s="43"/>
      <c r="E38" s="43"/>
      <c r="F38" s="43"/>
    </row>
    <row r="39" spans="1:51" s="1" customFormat="1" ht="45.15" customHeight="1">
      <c r="A39" s="113" t="s">
        <v>57</v>
      </c>
      <c r="B39" s="113"/>
      <c r="C39" s="40"/>
      <c r="D39" s="94"/>
      <c r="E39" s="94"/>
      <c r="F39" s="9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s="1" customFormat="1" ht="45.15" customHeight="1" thickBot="1">
      <c r="B40" s="3"/>
      <c r="C40" s="4"/>
      <c r="D40" s="4"/>
      <c r="E40" s="4"/>
      <c r="F40" s="4" t="s">
        <v>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ht="25.55" customHeight="1" thickTop="1" thickBot="1">
      <c r="C41" s="5" t="s">
        <v>2</v>
      </c>
      <c r="D41" s="89" t="str">
        <f t="shared" ref="D41:F42" si="0">D4</f>
        <v>Q2</v>
      </c>
      <c r="E41" s="89" t="str">
        <f t="shared" si="0"/>
        <v>Q3</v>
      </c>
      <c r="F41" s="89" t="str">
        <f t="shared" si="0"/>
        <v>Q4</v>
      </c>
    </row>
    <row r="42" spans="1:51" ht="35.200000000000003" customHeight="1" thickTop="1" thickBot="1">
      <c r="B42" s="46"/>
      <c r="C42" s="5" t="s">
        <v>107</v>
      </c>
      <c r="D42" s="89" t="str">
        <f t="shared" si="0"/>
        <v>Oct./Dec. 2023*</v>
      </c>
      <c r="E42" s="89" t="str">
        <f t="shared" si="0"/>
        <v>Jan./March 2024*</v>
      </c>
      <c r="F42" s="89" t="str">
        <f t="shared" si="0"/>
        <v>Apr./June 2024*</v>
      </c>
    </row>
    <row r="43" spans="1:51" ht="20.149999999999999" customHeight="1" thickTop="1">
      <c r="A43" s="47" t="s">
        <v>58</v>
      </c>
      <c r="B43" s="48" t="s">
        <v>59</v>
      </c>
      <c r="C43" s="49">
        <v>1769.2</v>
      </c>
      <c r="D43" s="95">
        <v>6594.3</v>
      </c>
      <c r="E43" s="95">
        <v>11666.1</v>
      </c>
      <c r="F43" s="95">
        <v>9849.6</v>
      </c>
      <c r="G43" s="106"/>
      <c r="H43" s="106"/>
      <c r="K43" s="106"/>
      <c r="L43" s="106"/>
      <c r="M43" s="106"/>
      <c r="N43" s="106"/>
    </row>
    <row r="44" spans="1:51" ht="17.75">
      <c r="A44" s="10" t="s">
        <v>60</v>
      </c>
      <c r="B44" s="50" t="s">
        <v>61</v>
      </c>
      <c r="C44" s="49">
        <v>1.6</v>
      </c>
      <c r="D44" s="95">
        <v>-27.4</v>
      </c>
      <c r="E44" s="95">
        <v>-53.8</v>
      </c>
      <c r="F44" s="95">
        <v>-61.2</v>
      </c>
      <c r="G44" s="106"/>
      <c r="H44" s="106"/>
      <c r="K44" s="106"/>
      <c r="L44" s="106"/>
      <c r="M44" s="106"/>
      <c r="N44" s="106"/>
    </row>
    <row r="45" spans="1:51" ht="20.149999999999999" customHeight="1">
      <c r="A45" s="10" t="s">
        <v>62</v>
      </c>
      <c r="B45" s="51" t="s">
        <v>63</v>
      </c>
      <c r="C45" s="49">
        <v>1767.6</v>
      </c>
      <c r="D45" s="95">
        <v>6621.7</v>
      </c>
      <c r="E45" s="95">
        <v>11719.9</v>
      </c>
      <c r="F45" s="95">
        <v>9910.7999999999993</v>
      </c>
      <c r="G45" s="106"/>
      <c r="H45" s="106"/>
      <c r="K45" s="106"/>
      <c r="L45" s="106"/>
      <c r="M45" s="106"/>
      <c r="N45" s="106"/>
    </row>
    <row r="46" spans="1:51" s="56" customFormat="1" ht="20.149999999999999" customHeight="1">
      <c r="A46" s="52" t="s">
        <v>114</v>
      </c>
      <c r="B46" s="53" t="s">
        <v>112</v>
      </c>
      <c r="C46" s="54">
        <v>-112.8</v>
      </c>
      <c r="D46" s="96">
        <v>-113.8</v>
      </c>
      <c r="E46" s="96">
        <v>-155.4</v>
      </c>
      <c r="F46" s="96">
        <v>-120</v>
      </c>
      <c r="G46" s="106"/>
      <c r="H46" s="106"/>
      <c r="I46" s="55"/>
      <c r="J46" s="55"/>
      <c r="K46" s="106"/>
      <c r="L46" s="106"/>
      <c r="M46" s="106"/>
      <c r="N46" s="106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</row>
    <row r="47" spans="1:51" s="56" customFormat="1" ht="20.149999999999999" customHeight="1">
      <c r="A47" s="52" t="s">
        <v>95</v>
      </c>
      <c r="B47" s="53" t="s">
        <v>94</v>
      </c>
      <c r="C47" s="54">
        <v>2321.6999999999998</v>
      </c>
      <c r="D47" s="96">
        <v>3208.2</v>
      </c>
      <c r="E47" s="96">
        <v>18182.400000000001</v>
      </c>
      <c r="F47" s="96">
        <v>22352.2</v>
      </c>
      <c r="G47" s="106"/>
      <c r="H47" s="106"/>
      <c r="I47" s="55"/>
      <c r="J47" s="55"/>
      <c r="K47" s="106"/>
      <c r="L47" s="106"/>
      <c r="M47" s="106"/>
      <c r="N47" s="106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</row>
    <row r="48" spans="1:51" s="56" customFormat="1" ht="20.149999999999999" customHeight="1">
      <c r="A48" s="52" t="s">
        <v>115</v>
      </c>
      <c r="B48" s="53" t="s">
        <v>113</v>
      </c>
      <c r="C48" s="54">
        <v>-54.9</v>
      </c>
      <c r="D48" s="96">
        <v>-112.9</v>
      </c>
      <c r="E48" s="96">
        <v>-8.6999999999999993</v>
      </c>
      <c r="F48" s="96">
        <v>-73.900000000000006</v>
      </c>
      <c r="G48" s="106"/>
      <c r="H48" s="106"/>
      <c r="I48" s="55"/>
      <c r="J48" s="55"/>
      <c r="K48" s="106"/>
      <c r="L48" s="106"/>
      <c r="M48" s="106"/>
      <c r="N48" s="106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</row>
    <row r="49" spans="1:51" s="56" customFormat="1" ht="20.149999999999999" customHeight="1">
      <c r="A49" s="52" t="s">
        <v>64</v>
      </c>
      <c r="B49" s="57" t="s">
        <v>65</v>
      </c>
      <c r="C49" s="54">
        <v>-523.4</v>
      </c>
      <c r="D49" s="96">
        <v>776.2</v>
      </c>
      <c r="E49" s="96">
        <v>14383.6</v>
      </c>
      <c r="F49" s="96">
        <v>-104.5</v>
      </c>
      <c r="G49" s="106"/>
      <c r="H49" s="106"/>
      <c r="I49" s="55"/>
      <c r="J49" s="55"/>
      <c r="K49" s="106"/>
      <c r="L49" s="106"/>
      <c r="M49" s="106"/>
      <c r="N49" s="106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</row>
    <row r="50" spans="1:51" ht="20.149999999999999" customHeight="1">
      <c r="A50" s="58" t="s">
        <v>66</v>
      </c>
      <c r="B50" s="59" t="s">
        <v>67</v>
      </c>
      <c r="C50" s="60">
        <v>-335.7</v>
      </c>
      <c r="D50" s="97">
        <v>564.5</v>
      </c>
      <c r="E50" s="97">
        <v>-713.3</v>
      </c>
      <c r="F50" s="97">
        <v>-1120.2</v>
      </c>
      <c r="G50" s="106"/>
      <c r="H50" s="106"/>
      <c r="K50" s="106"/>
      <c r="L50" s="106"/>
      <c r="M50" s="106"/>
      <c r="N50" s="106"/>
    </row>
    <row r="51" spans="1:51" s="56" customFormat="1" ht="20.149999999999999" customHeight="1">
      <c r="A51" s="61" t="s">
        <v>68</v>
      </c>
      <c r="B51" s="57" t="s">
        <v>69</v>
      </c>
      <c r="C51" s="62">
        <v>137</v>
      </c>
      <c r="D51" s="98">
        <v>2864</v>
      </c>
      <c r="E51" s="98">
        <v>-20682</v>
      </c>
      <c r="F51" s="98">
        <v>-12143</v>
      </c>
      <c r="G51" s="106"/>
      <c r="H51" s="106"/>
      <c r="I51" s="55"/>
      <c r="J51" s="55"/>
      <c r="K51" s="106"/>
      <c r="L51" s="106"/>
      <c r="M51" s="106"/>
      <c r="N51" s="106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</row>
    <row r="52" spans="1:51" s="56" customFormat="1" ht="20.149999999999999" customHeight="1">
      <c r="A52" s="63" t="s">
        <v>70</v>
      </c>
      <c r="B52" s="64" t="s">
        <v>71</v>
      </c>
      <c r="C52" s="65">
        <v>1540.1</v>
      </c>
      <c r="D52" s="99">
        <v>4034.8</v>
      </c>
      <c r="E52" s="99">
        <v>-1571.7</v>
      </c>
      <c r="F52" s="99">
        <v>847.1</v>
      </c>
      <c r="G52" s="106"/>
      <c r="H52" s="106"/>
      <c r="I52" s="55"/>
      <c r="J52" s="55"/>
      <c r="K52" s="106"/>
      <c r="L52" s="106"/>
      <c r="M52" s="106"/>
      <c r="N52" s="106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</row>
    <row r="53" spans="1:51" s="70" customFormat="1" ht="20.149999999999999" customHeight="1">
      <c r="A53" s="66" t="s">
        <v>72</v>
      </c>
      <c r="B53" s="67" t="s">
        <v>98</v>
      </c>
      <c r="C53" s="65">
        <v>-726.4</v>
      </c>
      <c r="D53" s="100">
        <v>-60.4</v>
      </c>
      <c r="E53" s="100">
        <v>-1565.5</v>
      </c>
      <c r="F53" s="100">
        <v>-407.8</v>
      </c>
      <c r="G53" s="106"/>
      <c r="H53" s="106"/>
      <c r="I53" s="69"/>
      <c r="J53" s="69"/>
      <c r="K53" s="106"/>
      <c r="L53" s="106"/>
      <c r="M53" s="106"/>
      <c r="N53" s="106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</row>
    <row r="54" spans="1:51" s="75" customFormat="1" ht="20.149999999999999" customHeight="1">
      <c r="A54" s="71" t="s">
        <v>73</v>
      </c>
      <c r="B54" s="72" t="s">
        <v>102</v>
      </c>
      <c r="C54" s="73">
        <v>796.8</v>
      </c>
      <c r="D54" s="101">
        <v>1568.3</v>
      </c>
      <c r="E54" s="101">
        <v>306.39999999999998</v>
      </c>
      <c r="F54" s="101">
        <v>1446.7</v>
      </c>
      <c r="G54" s="106"/>
      <c r="H54" s="106"/>
      <c r="I54" s="74"/>
      <c r="J54" s="74"/>
      <c r="K54" s="106"/>
      <c r="L54" s="106"/>
      <c r="M54" s="106"/>
      <c r="N54" s="106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</row>
    <row r="55" spans="1:51" s="75" customFormat="1" ht="20.149999999999999" customHeight="1">
      <c r="A55" s="71" t="s">
        <v>74</v>
      </c>
      <c r="B55" s="72" t="s">
        <v>103</v>
      </c>
      <c r="C55" s="73">
        <v>-1523.2</v>
      </c>
      <c r="D55" s="101">
        <v>-1628.7</v>
      </c>
      <c r="E55" s="101">
        <v>-1871.9</v>
      </c>
      <c r="F55" s="101">
        <v>-1854.5</v>
      </c>
      <c r="G55" s="106"/>
      <c r="H55" s="106"/>
      <c r="I55" s="74"/>
      <c r="J55" s="74"/>
      <c r="K55" s="106"/>
      <c r="L55" s="106"/>
      <c r="M55" s="106"/>
      <c r="N55" s="106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</row>
    <row r="56" spans="1:51" s="78" customFormat="1" ht="20.149999999999999" customHeight="1">
      <c r="A56" s="66" t="s">
        <v>104</v>
      </c>
      <c r="B56" s="76" t="s">
        <v>106</v>
      </c>
      <c r="C56" s="68">
        <v>-133</v>
      </c>
      <c r="D56" s="100">
        <v>702.8</v>
      </c>
      <c r="E56" s="100">
        <v>-90.3</v>
      </c>
      <c r="F56" s="100">
        <v>-96.5</v>
      </c>
      <c r="G56" s="106"/>
      <c r="H56" s="106"/>
      <c r="I56" s="77"/>
      <c r="J56" s="77"/>
      <c r="K56" s="106"/>
      <c r="L56" s="106"/>
      <c r="M56" s="106"/>
      <c r="N56" s="106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</row>
    <row r="57" spans="1:51" s="75" customFormat="1" ht="19.75" customHeight="1">
      <c r="A57" s="71" t="s">
        <v>73</v>
      </c>
      <c r="B57" s="72" t="s">
        <v>99</v>
      </c>
      <c r="C57" s="73">
        <v>186.6</v>
      </c>
      <c r="D57" s="101">
        <v>924.8</v>
      </c>
      <c r="E57" s="101">
        <v>220.2</v>
      </c>
      <c r="F57" s="101">
        <v>113.7</v>
      </c>
      <c r="G57" s="106"/>
      <c r="H57" s="106"/>
      <c r="I57" s="74"/>
      <c r="J57" s="74"/>
      <c r="K57" s="106"/>
      <c r="L57" s="106"/>
      <c r="M57" s="106"/>
      <c r="N57" s="106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</row>
    <row r="58" spans="1:51" s="26" customFormat="1" ht="20.149999999999999" customHeight="1">
      <c r="A58" s="71" t="s">
        <v>74</v>
      </c>
      <c r="B58" s="72" t="s">
        <v>100</v>
      </c>
      <c r="C58" s="73">
        <v>-319.60000000000002</v>
      </c>
      <c r="D58" s="101">
        <v>-222</v>
      </c>
      <c r="E58" s="101">
        <v>-310.5</v>
      </c>
      <c r="F58" s="101">
        <v>-210.2</v>
      </c>
      <c r="G58" s="106"/>
      <c r="H58" s="106"/>
      <c r="I58" s="25"/>
      <c r="J58" s="25"/>
      <c r="K58" s="106"/>
      <c r="L58" s="106"/>
      <c r="M58" s="106"/>
      <c r="N58" s="106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</row>
    <row r="59" spans="1:51" s="70" customFormat="1" ht="19.75" customHeight="1">
      <c r="A59" s="66" t="s">
        <v>101</v>
      </c>
      <c r="B59" s="67" t="s">
        <v>105</v>
      </c>
      <c r="C59" s="68">
        <v>2399.5</v>
      </c>
      <c r="D59" s="100">
        <v>3392.4</v>
      </c>
      <c r="E59" s="100">
        <v>84.1</v>
      </c>
      <c r="F59" s="100">
        <v>1351.4</v>
      </c>
      <c r="G59" s="106"/>
      <c r="H59" s="106"/>
      <c r="I59" s="69"/>
      <c r="J59" s="69"/>
      <c r="K59" s="106"/>
      <c r="L59" s="106"/>
      <c r="M59" s="106"/>
      <c r="N59" s="106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</row>
    <row r="60" spans="1:51" s="56" customFormat="1" ht="20.149999999999999" customHeight="1">
      <c r="A60" s="79" t="s">
        <v>75</v>
      </c>
      <c r="B60" s="80" t="s">
        <v>76</v>
      </c>
      <c r="C60" s="65">
        <v>-3180.6</v>
      </c>
      <c r="D60" s="99">
        <v>-1979</v>
      </c>
      <c r="E60" s="99">
        <v>-12345.4</v>
      </c>
      <c r="F60" s="99">
        <v>-7363.9</v>
      </c>
      <c r="G60" s="106"/>
      <c r="H60" s="106"/>
      <c r="I60" s="55"/>
      <c r="J60" s="55"/>
      <c r="K60" s="106"/>
      <c r="L60" s="106"/>
      <c r="M60" s="106"/>
      <c r="N60" s="106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</row>
    <row r="61" spans="1:51" s="26" customFormat="1" ht="20.149999999999999" customHeight="1">
      <c r="A61" s="71" t="s">
        <v>77</v>
      </c>
      <c r="B61" s="81" t="s">
        <v>78</v>
      </c>
      <c r="C61" s="73">
        <v>-18.3</v>
      </c>
      <c r="D61" s="101">
        <v>-80.2</v>
      </c>
      <c r="E61" s="101">
        <v>-41.3</v>
      </c>
      <c r="F61" s="101">
        <v>10.199999999999999</v>
      </c>
      <c r="G61" s="106"/>
      <c r="H61" s="106"/>
      <c r="I61" s="25"/>
      <c r="J61" s="25"/>
      <c r="K61" s="106"/>
      <c r="L61" s="106"/>
      <c r="M61" s="106"/>
      <c r="N61" s="106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</row>
    <row r="62" spans="1:51" s="26" customFormat="1" ht="20.149999999999999" customHeight="1">
      <c r="A62" s="71" t="s">
        <v>79</v>
      </c>
      <c r="B62" s="81" t="s">
        <v>80</v>
      </c>
      <c r="C62" s="73">
        <v>-731</v>
      </c>
      <c r="D62" s="101">
        <v>-462.3</v>
      </c>
      <c r="E62" s="101">
        <v>-10909.9</v>
      </c>
      <c r="F62" s="101">
        <v>-6306.3</v>
      </c>
      <c r="G62" s="106"/>
      <c r="H62" s="106"/>
      <c r="I62" s="25"/>
      <c r="J62" s="25"/>
      <c r="K62" s="106"/>
      <c r="L62" s="106"/>
      <c r="M62" s="106"/>
      <c r="N62" s="106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</row>
    <row r="63" spans="1:51" s="26" customFormat="1" ht="20.149999999999999" customHeight="1">
      <c r="A63" s="71" t="s">
        <v>81</v>
      </c>
      <c r="B63" s="81" t="s">
        <v>82</v>
      </c>
      <c r="C63" s="73">
        <v>-2431.3000000000002</v>
      </c>
      <c r="D63" s="101">
        <v>-1436.5</v>
      </c>
      <c r="E63" s="101">
        <v>-1394.2</v>
      </c>
      <c r="F63" s="101">
        <v>-1067.8</v>
      </c>
      <c r="G63" s="106"/>
      <c r="H63" s="106"/>
      <c r="I63" s="25"/>
      <c r="J63" s="25"/>
      <c r="K63" s="106"/>
      <c r="L63" s="106"/>
      <c r="M63" s="106"/>
      <c r="N63" s="106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</row>
    <row r="64" spans="1:51" s="56" customFormat="1" ht="20.149999999999999" customHeight="1">
      <c r="A64" s="79" t="s">
        <v>83</v>
      </c>
      <c r="B64" s="80" t="s">
        <v>84</v>
      </c>
      <c r="C64" s="65">
        <v>1777.5</v>
      </c>
      <c r="D64" s="99">
        <v>808.2</v>
      </c>
      <c r="E64" s="99">
        <v>-6764.9</v>
      </c>
      <c r="F64" s="99">
        <v>-5626.2</v>
      </c>
      <c r="G64" s="106"/>
      <c r="H64" s="106"/>
      <c r="I64" s="55"/>
      <c r="J64" s="55"/>
      <c r="K64" s="106"/>
      <c r="L64" s="106"/>
      <c r="M64" s="106"/>
      <c r="N64" s="106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</row>
    <row r="65" spans="1:51" s="75" customFormat="1" ht="20.149999999999999" customHeight="1">
      <c r="A65" s="71" t="s">
        <v>85</v>
      </c>
      <c r="B65" s="81" t="s">
        <v>78</v>
      </c>
      <c r="C65" s="73">
        <v>1964.7</v>
      </c>
      <c r="D65" s="101">
        <v>741.9</v>
      </c>
      <c r="E65" s="101">
        <v>-4140.8</v>
      </c>
      <c r="F65" s="101">
        <v>-6353.7</v>
      </c>
      <c r="G65" s="106"/>
      <c r="H65" s="106"/>
      <c r="I65" s="74"/>
      <c r="J65" s="74"/>
      <c r="K65" s="106"/>
      <c r="L65" s="106"/>
      <c r="M65" s="106"/>
      <c r="N65" s="106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</row>
    <row r="66" spans="1:51" s="26" customFormat="1" ht="20.149999999999999" customHeight="1">
      <c r="A66" s="71" t="s">
        <v>86</v>
      </c>
      <c r="B66" s="81" t="s">
        <v>87</v>
      </c>
      <c r="C66" s="73">
        <v>-187.2</v>
      </c>
      <c r="D66" s="101">
        <v>66.3</v>
      </c>
      <c r="E66" s="101">
        <v>-2624.1</v>
      </c>
      <c r="F66" s="101">
        <v>727.5</v>
      </c>
      <c r="G66" s="106"/>
      <c r="H66" s="106"/>
      <c r="I66" s="25"/>
      <c r="J66" s="25"/>
      <c r="K66" s="106"/>
      <c r="L66" s="106"/>
      <c r="M66" s="106"/>
      <c r="N66" s="106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</row>
    <row r="67" spans="1:51" ht="20.149999999999999" customHeight="1">
      <c r="A67" s="10" t="s">
        <v>88</v>
      </c>
      <c r="B67" s="82" t="s">
        <v>89</v>
      </c>
      <c r="C67" s="49">
        <v>1266.5999999999999</v>
      </c>
      <c r="D67" s="95">
        <v>-407.3</v>
      </c>
      <c r="E67" s="95">
        <v>339.5</v>
      </c>
      <c r="F67" s="95">
        <v>-584.79999999999995</v>
      </c>
      <c r="G67" s="106"/>
      <c r="H67" s="106"/>
      <c r="K67" s="106"/>
      <c r="L67" s="106"/>
      <c r="M67" s="106"/>
      <c r="N67" s="106"/>
    </row>
    <row r="68" spans="1:51" ht="20.149999999999999" customHeight="1">
      <c r="A68" s="10" t="s">
        <v>90</v>
      </c>
      <c r="B68" s="82" t="s">
        <v>91</v>
      </c>
      <c r="C68" s="49">
        <v>228.8</v>
      </c>
      <c r="D68" s="95">
        <v>-638.4</v>
      </c>
      <c r="E68" s="95">
        <v>4542.5</v>
      </c>
      <c r="F68" s="95">
        <v>5553.7</v>
      </c>
      <c r="G68" s="106"/>
      <c r="H68" s="106"/>
      <c r="K68" s="106"/>
      <c r="L68" s="106"/>
      <c r="M68" s="106"/>
      <c r="N68" s="106"/>
    </row>
    <row r="69" spans="1:51" ht="20.149999999999999" customHeight="1">
      <c r="A69" s="34" t="s">
        <v>92</v>
      </c>
      <c r="B69" s="83" t="s">
        <v>93</v>
      </c>
      <c r="C69" s="49">
        <v>-228.8</v>
      </c>
      <c r="D69" s="95">
        <v>638.4</v>
      </c>
      <c r="E69" s="95">
        <v>-4542.5</v>
      </c>
      <c r="F69" s="95">
        <v>-5553.7</v>
      </c>
      <c r="G69" s="106"/>
      <c r="H69" s="106"/>
      <c r="K69" s="106"/>
      <c r="L69" s="106"/>
      <c r="M69" s="106"/>
      <c r="N69" s="106"/>
    </row>
    <row r="70" spans="1:51" ht="20.149999999999999" customHeight="1">
      <c r="A70" s="38" t="s">
        <v>55</v>
      </c>
      <c r="B70" s="39" t="s">
        <v>56</v>
      </c>
      <c r="C70" s="84"/>
      <c r="D70" s="102"/>
      <c r="E70" s="102"/>
      <c r="F70" s="102"/>
      <c r="G70" s="106"/>
      <c r="H70" s="106"/>
      <c r="K70" s="106"/>
      <c r="L70" s="106"/>
      <c r="M70" s="106"/>
      <c r="N70" s="106"/>
    </row>
    <row r="71" spans="1:51" ht="15.05">
      <c r="B71" s="39"/>
      <c r="C71" s="40"/>
      <c r="D71" s="94"/>
      <c r="E71" s="94"/>
      <c r="F71" s="94"/>
    </row>
    <row r="72" spans="1:51" ht="15.05">
      <c r="C72" s="85"/>
      <c r="D72" s="103"/>
      <c r="E72" s="103"/>
      <c r="F72" s="103"/>
    </row>
    <row r="73" spans="1:51" ht="17.75">
      <c r="C73" s="86"/>
      <c r="D73" s="104"/>
      <c r="E73" s="104"/>
      <c r="F73" s="104"/>
    </row>
    <row r="74" spans="1:51" ht="17.75">
      <c r="C74" s="86"/>
      <c r="D74" s="104"/>
      <c r="E74" s="104"/>
      <c r="F74" s="104"/>
    </row>
    <row r="75" spans="1:51" ht="17.75">
      <c r="C75" s="86"/>
      <c r="D75" s="104"/>
      <c r="E75" s="104"/>
      <c r="F75" s="104"/>
    </row>
    <row r="76" spans="1:51" ht="17.75">
      <c r="C76" s="86"/>
      <c r="D76" s="104"/>
      <c r="E76" s="104"/>
      <c r="F76" s="104"/>
    </row>
    <row r="77" spans="1:51" ht="17.75">
      <c r="C77" s="86"/>
      <c r="D77" s="104"/>
      <c r="E77" s="104"/>
      <c r="F77" s="104"/>
    </row>
    <row r="78" spans="1:51" ht="17.75">
      <c r="C78" s="86"/>
      <c r="D78" s="104"/>
      <c r="E78" s="104"/>
      <c r="F78" s="104"/>
    </row>
    <row r="79" spans="1:51" ht="17.75">
      <c r="C79" s="86"/>
      <c r="D79" s="104"/>
      <c r="E79" s="104"/>
      <c r="F79" s="104"/>
    </row>
  </sheetData>
  <protectedRanges>
    <protectedRange sqref="D35:F36" name="annual_2_1"/>
  </protectedRanges>
  <mergeCells count="2">
    <mergeCell ref="A2:B2"/>
    <mergeCell ref="A39:B39"/>
  </mergeCells>
  <pageMargins left="0.70866141732283472" right="0" top="1.1417322834645669" bottom="0.74803149606299213" header="0.31496062992125984" footer="0.31496062992125984"/>
  <pageSetup paperSize="9" scale="59" fitToWidth="2" fitToHeight="2" orientation="landscape" r:id="rId1"/>
  <rowBreaks count="1" manualBreakCount="1">
    <brk id="37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2023-2024</vt:lpstr>
      <vt:lpstr>'2023-2024'!Print_Area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Tarek</dc:creator>
  <cp:lastModifiedBy>Alaa Kassem</cp:lastModifiedBy>
  <cp:lastPrinted>2024-10-08T11:01:15Z</cp:lastPrinted>
  <dcterms:created xsi:type="dcterms:W3CDTF">2021-03-01T11:50:08Z</dcterms:created>
  <dcterms:modified xsi:type="dcterms:W3CDTF">2024-10-08T11:01:25Z</dcterms:modified>
</cp:coreProperties>
</file>