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1355" windowHeight="5895"/>
  </bookViews>
  <sheets>
    <sheet name="Number of Tourist  Nights  (By " sheetId="1" r:id="rId1"/>
  </sheets>
  <definedNames>
    <definedName name="_xlnm.Print_Area" localSheetId="0">'Number of Tourist  Nights  (By '!$A$1:$R$42</definedName>
  </definedNames>
  <calcPr calcId="145621"/>
</workbook>
</file>

<file path=xl/calcChain.xml><?xml version="1.0" encoding="utf-8"?>
<calcChain xmlns="http://schemas.openxmlformats.org/spreadsheetml/2006/main">
  <c r="AF11" i="1" l="1"/>
  <c r="Y11" i="1"/>
  <c r="Z11" i="1"/>
  <c r="AA11" i="1"/>
  <c r="AB11" i="1"/>
  <c r="AC11" i="1"/>
  <c r="AD11" i="1"/>
  <c r="AE11" i="1"/>
  <c r="X11" i="1"/>
  <c r="T5" i="1"/>
  <c r="S33" i="1"/>
  <c r="S29" i="1"/>
  <c r="S23" i="1"/>
  <c r="S16" i="1"/>
  <c r="S8" i="1"/>
  <c r="S6" i="1"/>
  <c r="S5" i="1"/>
  <c r="R33" i="1"/>
  <c r="R29" i="1"/>
  <c r="R23" i="1"/>
  <c r="R16" i="1"/>
  <c r="R8" i="1"/>
  <c r="R6" i="1"/>
  <c r="R5" i="1"/>
  <c r="B8" i="1"/>
  <c r="B6" i="1"/>
  <c r="B5" i="1"/>
  <c r="B16" i="1"/>
  <c r="B23" i="1"/>
  <c r="B29" i="1"/>
  <c r="B33" i="1"/>
  <c r="E8" i="1"/>
  <c r="E6" i="1"/>
  <c r="E5" i="1"/>
  <c r="E16" i="1"/>
  <c r="E23" i="1"/>
  <c r="E29" i="1"/>
  <c r="E33" i="1"/>
  <c r="F8" i="1"/>
  <c r="F6" i="1"/>
  <c r="F16" i="1"/>
  <c r="F23" i="1"/>
  <c r="F5" i="1"/>
  <c r="F29" i="1"/>
  <c r="F33" i="1"/>
  <c r="G8" i="1"/>
  <c r="G6" i="1"/>
  <c r="G5" i="1"/>
  <c r="G16" i="1"/>
  <c r="G23" i="1"/>
  <c r="G29" i="1"/>
  <c r="G33" i="1"/>
  <c r="H8" i="1"/>
  <c r="H6" i="1"/>
  <c r="H5" i="1"/>
  <c r="H16" i="1"/>
  <c r="H23" i="1"/>
  <c r="H29" i="1"/>
  <c r="H33" i="1"/>
  <c r="I8" i="1"/>
  <c r="I6" i="1"/>
  <c r="I16" i="1"/>
  <c r="I23" i="1"/>
  <c r="I29" i="1"/>
  <c r="I33" i="1"/>
  <c r="I5" i="1"/>
  <c r="J8" i="1"/>
  <c r="J6" i="1"/>
  <c r="J16" i="1"/>
  <c r="J23" i="1"/>
  <c r="J5" i="1"/>
  <c r="J29" i="1"/>
  <c r="J33" i="1"/>
  <c r="K8" i="1"/>
  <c r="K6" i="1"/>
  <c r="K5" i="1"/>
  <c r="K16" i="1"/>
  <c r="K23" i="1"/>
  <c r="K29" i="1"/>
  <c r="K33" i="1"/>
  <c r="L8" i="1"/>
  <c r="L6" i="1"/>
  <c r="L5" i="1"/>
  <c r="L16" i="1"/>
  <c r="L23" i="1"/>
  <c r="L29" i="1"/>
  <c r="L33" i="1"/>
  <c r="M8" i="1"/>
  <c r="M6" i="1"/>
  <c r="M16" i="1"/>
  <c r="M23" i="1"/>
  <c r="M29" i="1"/>
  <c r="M33" i="1"/>
  <c r="M5" i="1"/>
  <c r="N8" i="1"/>
  <c r="N6" i="1"/>
  <c r="N16" i="1"/>
  <c r="N23" i="1"/>
  <c r="N5" i="1"/>
  <c r="N29" i="1"/>
  <c r="N33" i="1"/>
  <c r="O8" i="1"/>
  <c r="O6" i="1"/>
  <c r="O5" i="1"/>
  <c r="O16" i="1"/>
  <c r="O23" i="1"/>
  <c r="O29" i="1"/>
  <c r="O33" i="1"/>
  <c r="P8" i="1"/>
  <c r="P6" i="1"/>
  <c r="P5" i="1"/>
  <c r="P16" i="1"/>
  <c r="P23" i="1"/>
  <c r="P29" i="1"/>
  <c r="P33" i="1"/>
  <c r="C8" i="1"/>
  <c r="C6" i="1"/>
  <c r="D8" i="1"/>
  <c r="D6" i="1"/>
  <c r="C16" i="1"/>
  <c r="C23" i="1"/>
  <c r="D23" i="1"/>
  <c r="C29" i="1"/>
  <c r="D29" i="1"/>
  <c r="C33" i="1"/>
  <c r="D33" i="1"/>
</calcChain>
</file>

<file path=xl/sharedStrings.xml><?xml version="1.0" encoding="utf-8"?>
<sst xmlns="http://schemas.openxmlformats.org/spreadsheetml/2006/main" count="101" uniqueCount="80">
  <si>
    <t xml:space="preserve">              (Thousands)</t>
  </si>
  <si>
    <t>1989/90</t>
  </si>
  <si>
    <t>1990/91</t>
  </si>
  <si>
    <t>1991/92</t>
  </si>
  <si>
    <t>1992/93</t>
  </si>
  <si>
    <t>1993/94</t>
  </si>
  <si>
    <t>1994/95</t>
  </si>
  <si>
    <t>1995/96</t>
  </si>
  <si>
    <t>1996/97</t>
  </si>
  <si>
    <t>1997/98</t>
  </si>
  <si>
    <t>1998/99</t>
  </si>
  <si>
    <t>1999/2000</t>
  </si>
  <si>
    <t>2000/2001</t>
  </si>
  <si>
    <t>2001/2002</t>
  </si>
  <si>
    <t>2002/2003</t>
  </si>
  <si>
    <t>2003/2004</t>
  </si>
  <si>
    <t>Total</t>
  </si>
  <si>
    <t>European Countries</t>
  </si>
  <si>
    <t>Eastern Europe</t>
  </si>
  <si>
    <t>Western Europe</t>
  </si>
  <si>
    <t>France</t>
  </si>
  <si>
    <t>Germany</t>
  </si>
  <si>
    <t>Italy</t>
  </si>
  <si>
    <t>Spain</t>
  </si>
  <si>
    <t>Switzerland</t>
  </si>
  <si>
    <t>United Kingdom</t>
  </si>
  <si>
    <t>Others</t>
  </si>
  <si>
    <t>The Middle East Countries</t>
  </si>
  <si>
    <t>Jordan</t>
  </si>
  <si>
    <t>Kuwait</t>
  </si>
  <si>
    <t>Palestine</t>
  </si>
  <si>
    <t>Saudi Arabia</t>
  </si>
  <si>
    <t>Syria</t>
  </si>
  <si>
    <t>Other</t>
  </si>
  <si>
    <t>African Countries</t>
  </si>
  <si>
    <t>South Africa</t>
  </si>
  <si>
    <t>..</t>
  </si>
  <si>
    <t>Morocco</t>
  </si>
  <si>
    <t>Sudan</t>
  </si>
  <si>
    <t>Tunisia</t>
  </si>
  <si>
    <t xml:space="preserve">Other </t>
  </si>
  <si>
    <t>Americas</t>
  </si>
  <si>
    <t>Canada</t>
  </si>
  <si>
    <t>United States</t>
  </si>
  <si>
    <t>Latin America</t>
  </si>
  <si>
    <t>Asia &amp; Pacific</t>
  </si>
  <si>
    <t>Australia</t>
  </si>
  <si>
    <t>Japan</t>
  </si>
  <si>
    <t>South Korea</t>
  </si>
  <si>
    <t>China</t>
  </si>
  <si>
    <t>India</t>
  </si>
  <si>
    <t>Other Countries</t>
  </si>
  <si>
    <t>.. Not available.</t>
  </si>
  <si>
    <t xml:space="preserve">  Number of Tourist  Nights  (By Group)</t>
  </si>
  <si>
    <t>2004/2005</t>
  </si>
  <si>
    <t>2005/2006</t>
  </si>
  <si>
    <t xml:space="preserve">                           Central Bank of Egypt</t>
  </si>
  <si>
    <t>Source : Ministry of Tourism and Central Agency for Puplic Mobilization and Statistics as from 1/7/1997.</t>
  </si>
  <si>
    <t>2006/2007</t>
  </si>
  <si>
    <t>2007/2008</t>
  </si>
  <si>
    <t>2008/2009</t>
  </si>
  <si>
    <t>2009/2010</t>
  </si>
  <si>
    <t>2010/2011</t>
  </si>
  <si>
    <t>2011/2012</t>
  </si>
  <si>
    <t>2012/2013</t>
  </si>
  <si>
    <t>Middle East Countries</t>
  </si>
  <si>
    <t>The Americas</t>
  </si>
  <si>
    <t>Asian &amp; Pacific Countries</t>
  </si>
  <si>
    <t xml:space="preserve">Source :Ministry of Tourism &amp; CAPMAS. </t>
  </si>
  <si>
    <t>الدول الأوروبية</t>
  </si>
  <si>
    <t>دول الشرق الأوسط</t>
  </si>
  <si>
    <t>الدول الأفريقية</t>
  </si>
  <si>
    <t>دول الأمريكتين</t>
  </si>
  <si>
    <t>اسيا والباسيفيك</t>
  </si>
  <si>
    <t>دول أخرى</t>
  </si>
  <si>
    <t>إجمالى عدد الليالى السياحية</t>
  </si>
  <si>
    <t>2013/2014</t>
  </si>
  <si>
    <t>2014/2015</t>
  </si>
  <si>
    <t>2015/2016</t>
  </si>
  <si>
    <t xml:space="preserve">2016/2017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</si>
</sst>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0"/>
      <name val="Arial"/>
    </font>
    <font>
      <b/>
      <u/>
      <sz val="11"/>
      <color indexed="8"/>
      <name val="Arial"/>
      <family val="2"/>
    </font>
    <font>
      <b/>
      <u/>
      <sz val="12"/>
      <color indexed="8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b/>
      <sz val="16"/>
      <color indexed="8"/>
      <name val="Arial"/>
      <family val="2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1"/>
      <color indexed="8"/>
      <name val="Arial"/>
      <family val="2"/>
    </font>
    <font>
      <sz val="9"/>
      <color indexed="8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b/>
      <sz val="12"/>
      <name val="Akhbar MT"/>
      <charset val="178"/>
    </font>
    <font>
      <b/>
      <sz val="11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1" fontId="1" fillId="2" borderId="0" xfId="0" applyNumberFormat="1" applyFont="1" applyFill="1" applyBorder="1" applyAlignment="1">
      <alignment horizontal="center" vertical="center" readingOrder="2"/>
    </xf>
    <xf numFmtId="0" fontId="2" fillId="2" borderId="0" xfId="0" applyFont="1" applyFill="1" applyBorder="1" applyAlignment="1">
      <alignment horizontal="right" vertical="center" readingOrder="2"/>
    </xf>
    <xf numFmtId="0" fontId="3" fillId="2" borderId="0" xfId="0" applyFont="1" applyFill="1" applyBorder="1" applyAlignment="1">
      <alignment horizontal="right" vertical="center" indent="1" readingOrder="2"/>
    </xf>
    <xf numFmtId="0" fontId="2" fillId="2" borderId="0" xfId="0" applyFont="1" applyFill="1" applyBorder="1" applyAlignment="1">
      <alignment vertical="center" readingOrder="2"/>
    </xf>
    <xf numFmtId="0" fontId="5" fillId="3" borderId="0" xfId="0" applyFont="1" applyFill="1" applyBorder="1" applyAlignment="1"/>
    <xf numFmtId="0" fontId="6" fillId="3" borderId="0" xfId="0" applyFont="1" applyFill="1" applyBorder="1" applyAlignment="1">
      <alignment horizontal="left"/>
    </xf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/>
    <xf numFmtId="0" fontId="7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center" vertical="center"/>
    </xf>
    <xf numFmtId="0" fontId="7" fillId="2" borderId="0" xfId="0" applyFont="1" applyFill="1" applyBorder="1"/>
    <xf numFmtId="0" fontId="4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vertical="center"/>
    </xf>
    <xf numFmtId="1" fontId="9" fillId="2" borderId="0" xfId="0" applyNumberFormat="1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left" vertical="center"/>
    </xf>
    <xf numFmtId="1" fontId="2" fillId="3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1" fontId="2" fillId="2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left" vertical="center"/>
    </xf>
    <xf numFmtId="1" fontId="10" fillId="2" borderId="0" xfId="0" applyNumberFormat="1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/>
    </xf>
    <xf numFmtId="0" fontId="10" fillId="3" borderId="0" xfId="0" applyFont="1" applyFill="1" applyBorder="1" applyAlignment="1">
      <alignment horizontal="left" vertical="center"/>
    </xf>
    <xf numFmtId="1" fontId="10" fillId="3" borderId="0" xfId="0" applyNumberFormat="1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3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/>
    </xf>
    <xf numFmtId="0" fontId="7" fillId="2" borderId="0" xfId="0" applyFont="1" applyFill="1" applyBorder="1" applyAlignment="1"/>
    <xf numFmtId="0" fontId="6" fillId="0" borderId="0" xfId="0" applyFont="1" applyBorder="1" applyAlignment="1">
      <alignment horizontal="left" vertical="center"/>
    </xf>
    <xf numFmtId="0" fontId="8" fillId="2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8" fillId="2" borderId="0" xfId="0" applyFont="1" applyFill="1" applyAlignment="1">
      <alignment horizontal="left"/>
    </xf>
    <xf numFmtId="0" fontId="3" fillId="2" borderId="0" xfId="0" applyFont="1" applyFill="1" applyBorder="1" applyAlignment="1">
      <alignment vertical="center"/>
    </xf>
    <xf numFmtId="0" fontId="6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12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/>
    <xf numFmtId="0" fontId="13" fillId="2" borderId="0" xfId="0" applyFont="1" applyFill="1" applyBorder="1"/>
    <xf numFmtId="0" fontId="14" fillId="2" borderId="0" xfId="0" applyFont="1" applyFill="1" applyBorder="1" applyAlignment="1">
      <alignment horizontal="center" vertical="center" readingOrder="2"/>
    </xf>
    <xf numFmtId="0" fontId="15" fillId="2" borderId="0" xfId="0" applyFont="1" applyFill="1" applyBorder="1" applyAlignment="1">
      <alignment horizontal="center"/>
    </xf>
    <xf numFmtId="0" fontId="16" fillId="3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left" vertical="center" readingOrder="2"/>
    </xf>
    <xf numFmtId="0" fontId="17" fillId="2" borderId="0" xfId="0" applyFont="1" applyFill="1" applyBorder="1" applyAlignment="1">
      <alignment horizontal="center" wrapText="1" readingOrder="1"/>
    </xf>
    <xf numFmtId="0" fontId="15" fillId="3" borderId="0" xfId="0" applyFont="1" applyFill="1" applyBorder="1" applyAlignment="1">
      <alignment horizontal="left" vertical="center" readingOrder="2"/>
    </xf>
    <xf numFmtId="0" fontId="17" fillId="3" borderId="0" xfId="0" applyFont="1" applyFill="1" applyBorder="1" applyAlignment="1">
      <alignment horizontal="center" wrapText="1" readingOrder="1"/>
    </xf>
    <xf numFmtId="0" fontId="18" fillId="2" borderId="0" xfId="0" applyFont="1" applyFill="1" applyBorder="1" applyAlignment="1">
      <alignment horizontal="right" vertical="center"/>
    </xf>
    <xf numFmtId="0" fontId="16" fillId="3" borderId="0" xfId="0" applyFont="1" applyFill="1" applyBorder="1" applyAlignment="1">
      <alignment horizontal="center" vertical="center" readingOrder="1"/>
    </xf>
    <xf numFmtId="0" fontId="2" fillId="3" borderId="0" xfId="0" applyFont="1" applyFill="1" applyBorder="1" applyAlignment="1"/>
    <xf numFmtId="0" fontId="15" fillId="2" borderId="1" xfId="0" applyFont="1" applyFill="1" applyBorder="1" applyAlignment="1">
      <alignment horizontal="left" vertical="center" readingOrder="2"/>
    </xf>
    <xf numFmtId="0" fontId="4" fillId="0" borderId="0" xfId="0" applyFont="1" applyFill="1" applyBorder="1" applyAlignment="1">
      <alignment vertical="center"/>
    </xf>
    <xf numFmtId="1" fontId="17" fillId="2" borderId="0" xfId="0" applyNumberFormat="1" applyFont="1" applyFill="1" applyBorder="1" applyAlignment="1">
      <alignment horizontal="center" wrapText="1" readingOrder="1"/>
    </xf>
    <xf numFmtId="1" fontId="17" fillId="3" borderId="0" xfId="0" applyNumberFormat="1" applyFont="1" applyFill="1" applyBorder="1" applyAlignment="1">
      <alignment horizontal="center" wrapText="1" readingOrder="1"/>
    </xf>
    <xf numFmtId="1" fontId="17" fillId="0" borderId="0" xfId="0" applyNumberFormat="1" applyFont="1" applyFill="1" applyBorder="1" applyAlignment="1">
      <alignment horizontal="center" wrapText="1" readingOrder="1"/>
    </xf>
    <xf numFmtId="0" fontId="17" fillId="0" borderId="0" xfId="0" applyFont="1" applyFill="1" applyBorder="1" applyAlignment="1">
      <alignment horizontal="center" wrapText="1" readingOrder="1"/>
    </xf>
    <xf numFmtId="1" fontId="10" fillId="2" borderId="0" xfId="0" applyNumberFormat="1" applyFont="1" applyFill="1" applyBorder="1" applyAlignment="1">
      <alignment horizontal="center"/>
    </xf>
    <xf numFmtId="1" fontId="17" fillId="2" borderId="1" xfId="0" applyNumberFormat="1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DDDDD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0</xdr:rowOff>
    </xdr:from>
    <xdr:to>
      <xdr:col>0</xdr:col>
      <xdr:colOff>771525</xdr:colOff>
      <xdr:row>0</xdr:row>
      <xdr:rowOff>533400</xdr:rowOff>
    </xdr:to>
    <xdr:pic>
      <xdr:nvPicPr>
        <xdr:cNvPr id="1047" name="Picture 1" descr="all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0"/>
          <a:ext cx="6000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3"/>
  <sheetViews>
    <sheetView tabSelected="1" topLeftCell="T1" zoomScale="75" zoomScaleNormal="75" workbookViewId="0">
      <selection activeCell="Y16" sqref="Y16"/>
    </sheetView>
  </sheetViews>
  <sheetFormatPr defaultRowHeight="12.75" x14ac:dyDescent="0.2"/>
  <cols>
    <col min="1" max="1" width="37" style="39" customWidth="1"/>
    <col min="2" max="11" width="10.7109375" style="11" customWidth="1"/>
    <col min="12" max="12" width="14.28515625" style="11" customWidth="1"/>
    <col min="13" max="13" width="16.42578125" style="11" customWidth="1"/>
    <col min="14" max="14" width="13.5703125" style="11" customWidth="1"/>
    <col min="15" max="15" width="15" style="11" customWidth="1"/>
    <col min="16" max="16" width="14.28515625" style="11" customWidth="1"/>
    <col min="17" max="17" width="14.7109375" style="11" customWidth="1"/>
    <col min="18" max="18" width="15.7109375" style="11" customWidth="1"/>
    <col min="19" max="19" width="16" style="11" customWidth="1"/>
    <col min="20" max="20" width="19.140625" style="11" customWidth="1"/>
    <col min="21" max="21" width="9.140625" style="11"/>
    <col min="22" max="23" width="31.28515625" style="11" customWidth="1"/>
    <col min="24" max="28" width="15.7109375" style="11" customWidth="1"/>
    <col min="29" max="29" width="11.42578125" style="11" customWidth="1"/>
    <col min="30" max="30" width="13.28515625" style="11" customWidth="1"/>
    <col min="31" max="31" width="16.140625" style="11" bestFit="1" customWidth="1"/>
    <col min="32" max="32" width="25.28515625" style="11" bestFit="1" customWidth="1"/>
    <col min="33" max="16384" width="9.140625" style="11"/>
  </cols>
  <sheetData>
    <row r="1" spans="1:34" s="43" customFormat="1" ht="65.25" customHeight="1" x14ac:dyDescent="0.25">
      <c r="A1" s="40" t="s">
        <v>56</v>
      </c>
      <c r="B1" s="41"/>
      <c r="C1" s="41"/>
      <c r="D1" s="41"/>
      <c r="E1" s="41"/>
      <c r="F1" s="41"/>
      <c r="G1" s="41"/>
      <c r="H1" s="42"/>
      <c r="I1" s="41"/>
      <c r="J1" s="41"/>
      <c r="K1" s="41"/>
      <c r="L1" s="41"/>
      <c r="M1" s="41"/>
      <c r="N1" s="41"/>
      <c r="O1" s="41"/>
      <c r="P1" s="41"/>
      <c r="Q1" s="41"/>
      <c r="R1" s="41"/>
    </row>
    <row r="2" spans="1:34" s="45" customFormat="1" ht="20.25" x14ac:dyDescent="0.3">
      <c r="A2" s="5" t="s">
        <v>53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8"/>
      <c r="O2" s="8"/>
      <c r="P2" s="8"/>
      <c r="Q2" s="8"/>
      <c r="R2" s="8"/>
      <c r="S2" s="8"/>
      <c r="T2" s="1"/>
    </row>
    <row r="3" spans="1:34" ht="18" x14ac:dyDescent="0.2">
      <c r="A3" s="9"/>
      <c r="B3" s="9"/>
      <c r="C3" s="10"/>
      <c r="D3" s="10"/>
      <c r="E3" s="10"/>
      <c r="F3" s="10"/>
      <c r="G3" s="10"/>
      <c r="H3" s="10"/>
      <c r="I3" s="10"/>
      <c r="J3" s="9"/>
      <c r="K3" s="10"/>
      <c r="M3" s="9"/>
      <c r="P3" s="12" t="s">
        <v>0</v>
      </c>
      <c r="T3" s="1"/>
      <c r="V3" s="58" t="s">
        <v>0</v>
      </c>
      <c r="AB3" s="58"/>
    </row>
    <row r="4" spans="1:34" s="46" customFormat="1" ht="35.25" customHeight="1" x14ac:dyDescent="0.25">
      <c r="A4" s="13"/>
      <c r="B4" s="14" t="s">
        <v>1</v>
      </c>
      <c r="C4" s="14" t="s">
        <v>2</v>
      </c>
      <c r="D4" s="14" t="s">
        <v>3</v>
      </c>
      <c r="E4" s="14" t="s">
        <v>4</v>
      </c>
      <c r="F4" s="14" t="s">
        <v>5</v>
      </c>
      <c r="G4" s="14" t="s">
        <v>6</v>
      </c>
      <c r="H4" s="14" t="s">
        <v>7</v>
      </c>
      <c r="I4" s="14" t="s">
        <v>8</v>
      </c>
      <c r="J4" s="14" t="s">
        <v>9</v>
      </c>
      <c r="K4" s="14" t="s">
        <v>10</v>
      </c>
      <c r="L4" s="14" t="s">
        <v>11</v>
      </c>
      <c r="M4" s="14" t="s">
        <v>12</v>
      </c>
      <c r="N4" s="14" t="s">
        <v>13</v>
      </c>
      <c r="O4" s="14" t="s">
        <v>14</v>
      </c>
      <c r="P4" s="14" t="s">
        <v>15</v>
      </c>
      <c r="Q4" s="14" t="s">
        <v>54</v>
      </c>
      <c r="R4" s="14" t="s">
        <v>55</v>
      </c>
      <c r="S4" s="14" t="s">
        <v>58</v>
      </c>
      <c r="T4" s="14" t="s">
        <v>59</v>
      </c>
      <c r="V4" s="60"/>
      <c r="W4" s="60"/>
      <c r="X4" s="53" t="s">
        <v>60</v>
      </c>
      <c r="Y4" s="59" t="s">
        <v>61</v>
      </c>
      <c r="Z4" s="53" t="s">
        <v>62</v>
      </c>
      <c r="AA4" s="53" t="s">
        <v>63</v>
      </c>
      <c r="AB4" s="53" t="s">
        <v>64</v>
      </c>
      <c r="AC4" s="53" t="s">
        <v>76</v>
      </c>
      <c r="AD4" s="53" t="s">
        <v>77</v>
      </c>
      <c r="AE4" s="53" t="s">
        <v>78</v>
      </c>
      <c r="AF4" s="53" t="s">
        <v>79</v>
      </c>
    </row>
    <row r="5" spans="1:34" s="17" customFormat="1" ht="27.75" customHeight="1" x14ac:dyDescent="0.7">
      <c r="A5" s="15" t="s">
        <v>16</v>
      </c>
      <c r="B5" s="16">
        <f>SUM(B6+B16+B23+B29+B33+B40)</f>
        <v>22118</v>
      </c>
      <c r="C5" s="16">
        <v>16462</v>
      </c>
      <c r="D5" s="16">
        <v>20240</v>
      </c>
      <c r="E5" s="16">
        <f t="shared" ref="E5:P5" si="0">SUM(E6+E16+E23+E29+E33+E40)</f>
        <v>18997</v>
      </c>
      <c r="F5" s="16">
        <f t="shared" si="0"/>
        <v>13687</v>
      </c>
      <c r="G5" s="16">
        <f t="shared" si="0"/>
        <v>17684</v>
      </c>
      <c r="H5" s="16">
        <f t="shared" si="0"/>
        <v>22796</v>
      </c>
      <c r="I5" s="16">
        <f t="shared" si="0"/>
        <v>25990</v>
      </c>
      <c r="J5" s="16">
        <f t="shared" si="0"/>
        <v>21462</v>
      </c>
      <c r="K5" s="16">
        <f t="shared" si="0"/>
        <v>25692</v>
      </c>
      <c r="L5" s="16">
        <f t="shared" si="0"/>
        <v>34045</v>
      </c>
      <c r="M5" s="16">
        <f t="shared" si="0"/>
        <v>32702</v>
      </c>
      <c r="N5" s="16">
        <f t="shared" si="0"/>
        <v>28542</v>
      </c>
      <c r="O5" s="16">
        <f t="shared" si="0"/>
        <v>33011</v>
      </c>
      <c r="P5" s="16">
        <f t="shared" si="0"/>
        <v>73002</v>
      </c>
      <c r="Q5" s="16">
        <v>85730</v>
      </c>
      <c r="R5" s="16">
        <f>R6+R16+R23+R29+R33+R40</f>
        <v>85113</v>
      </c>
      <c r="S5" s="16">
        <f>S6+S16+S23+S29+S33+S40</f>
        <v>96270</v>
      </c>
      <c r="T5" s="16">
        <f>T6+T16+T23+T29+T33+T40</f>
        <v>127371</v>
      </c>
      <c r="U5" s="2"/>
      <c r="V5" s="54" t="s">
        <v>17</v>
      </c>
      <c r="W5" s="54" t="s">
        <v>69</v>
      </c>
      <c r="X5" s="55">
        <v>85599</v>
      </c>
      <c r="Y5" s="55">
        <v>97305</v>
      </c>
      <c r="Z5" s="55">
        <v>83934</v>
      </c>
      <c r="AA5" s="55">
        <v>86805</v>
      </c>
      <c r="AB5" s="55">
        <v>97827</v>
      </c>
      <c r="AC5" s="55">
        <v>51562</v>
      </c>
      <c r="AD5" s="55">
        <v>76358</v>
      </c>
      <c r="AE5" s="63">
        <v>33759.603000000003</v>
      </c>
      <c r="AF5" s="63">
        <v>25416.726999999995</v>
      </c>
    </row>
    <row r="6" spans="1:34" s="23" customFormat="1" ht="24" x14ac:dyDescent="0.7">
      <c r="A6" s="18" t="s">
        <v>17</v>
      </c>
      <c r="B6" s="19">
        <f t="shared" ref="B6:P6" si="1">SUM(B7:B8)</f>
        <v>8151</v>
      </c>
      <c r="C6" s="19">
        <f t="shared" si="1"/>
        <v>4293</v>
      </c>
      <c r="D6" s="19">
        <f t="shared" si="1"/>
        <v>9030</v>
      </c>
      <c r="E6" s="19">
        <f t="shared" si="1"/>
        <v>8642</v>
      </c>
      <c r="F6" s="19">
        <f t="shared" si="1"/>
        <v>5844</v>
      </c>
      <c r="G6" s="19">
        <f t="shared" si="1"/>
        <v>7278</v>
      </c>
      <c r="H6" s="19">
        <f t="shared" si="1"/>
        <v>12244</v>
      </c>
      <c r="I6" s="19">
        <f t="shared" si="1"/>
        <v>14872</v>
      </c>
      <c r="J6" s="19">
        <f t="shared" si="1"/>
        <v>11136</v>
      </c>
      <c r="K6" s="19">
        <f t="shared" si="1"/>
        <v>15426</v>
      </c>
      <c r="L6" s="19">
        <f t="shared" si="1"/>
        <v>23056</v>
      </c>
      <c r="M6" s="19">
        <f t="shared" si="1"/>
        <v>22627</v>
      </c>
      <c r="N6" s="19">
        <f t="shared" si="1"/>
        <v>19021</v>
      </c>
      <c r="O6" s="19">
        <f t="shared" si="1"/>
        <v>22399</v>
      </c>
      <c r="P6" s="19">
        <f t="shared" si="1"/>
        <v>46182</v>
      </c>
      <c r="Q6" s="19">
        <v>55631</v>
      </c>
      <c r="R6" s="19">
        <f>R7+R8</f>
        <v>52987</v>
      </c>
      <c r="S6" s="19">
        <f>S7+S8</f>
        <v>59641</v>
      </c>
      <c r="T6" s="19">
        <v>87764</v>
      </c>
      <c r="U6" s="2"/>
      <c r="V6" s="56" t="s">
        <v>65</v>
      </c>
      <c r="W6" s="56" t="s">
        <v>70</v>
      </c>
      <c r="X6" s="57">
        <v>21463</v>
      </c>
      <c r="Y6" s="57">
        <v>21514</v>
      </c>
      <c r="Z6" s="57">
        <v>23737</v>
      </c>
      <c r="AA6" s="57">
        <v>30121</v>
      </c>
      <c r="AB6" s="57">
        <v>31615</v>
      </c>
      <c r="AC6" s="57">
        <v>14560</v>
      </c>
      <c r="AD6" s="57">
        <v>15366</v>
      </c>
      <c r="AE6" s="64">
        <v>11151.558999999999</v>
      </c>
      <c r="AF6" s="63">
        <v>15087.805</v>
      </c>
    </row>
    <row r="7" spans="1:34" s="23" customFormat="1" ht="24" x14ac:dyDescent="0.7">
      <c r="A7" s="20" t="s">
        <v>18</v>
      </c>
      <c r="B7" s="21">
        <v>326</v>
      </c>
      <c r="C7" s="21">
        <v>261</v>
      </c>
      <c r="D7" s="21">
        <v>258</v>
      </c>
      <c r="E7" s="21">
        <v>337</v>
      </c>
      <c r="F7" s="21">
        <v>325</v>
      </c>
      <c r="G7" s="21">
        <v>614</v>
      </c>
      <c r="H7" s="21">
        <v>1031</v>
      </c>
      <c r="I7" s="22">
        <v>986</v>
      </c>
      <c r="J7" s="22">
        <v>925</v>
      </c>
      <c r="K7" s="22">
        <v>1285</v>
      </c>
      <c r="L7" s="21">
        <v>1496</v>
      </c>
      <c r="M7" s="21">
        <v>1717</v>
      </c>
      <c r="N7" s="21">
        <v>2461</v>
      </c>
      <c r="O7" s="21">
        <v>4022</v>
      </c>
      <c r="P7" s="21">
        <v>11266</v>
      </c>
      <c r="Q7" s="21">
        <v>13333</v>
      </c>
      <c r="R7" s="21">
        <v>14727</v>
      </c>
      <c r="S7" s="21">
        <v>19427</v>
      </c>
      <c r="T7" s="21" t="s">
        <v>36</v>
      </c>
      <c r="U7" s="4"/>
      <c r="V7" s="54" t="s">
        <v>34</v>
      </c>
      <c r="W7" s="54" t="s">
        <v>71</v>
      </c>
      <c r="X7" s="55">
        <v>5144</v>
      </c>
      <c r="Y7" s="55">
        <v>5538</v>
      </c>
      <c r="Z7" s="55">
        <v>5920</v>
      </c>
      <c r="AA7" s="55">
        <v>6289</v>
      </c>
      <c r="AB7" s="55">
        <v>5277</v>
      </c>
      <c r="AC7" s="55">
        <v>3167</v>
      </c>
      <c r="AD7" s="55">
        <v>3001</v>
      </c>
      <c r="AE7" s="63">
        <v>2795.1890000000003</v>
      </c>
      <c r="AF7" s="63">
        <v>4315.9169999999995</v>
      </c>
    </row>
    <row r="8" spans="1:34" s="23" customFormat="1" ht="24" x14ac:dyDescent="0.7">
      <c r="A8" s="18" t="s">
        <v>19</v>
      </c>
      <c r="B8" s="19">
        <f t="shared" ref="B8:P8" si="2">SUM(B9:B15)</f>
        <v>7825</v>
      </c>
      <c r="C8" s="19">
        <f t="shared" si="2"/>
        <v>4032</v>
      </c>
      <c r="D8" s="19">
        <f t="shared" si="2"/>
        <v>8772</v>
      </c>
      <c r="E8" s="19">
        <f t="shared" si="2"/>
        <v>8305</v>
      </c>
      <c r="F8" s="19">
        <f t="shared" si="2"/>
        <v>5519</v>
      </c>
      <c r="G8" s="19">
        <f t="shared" si="2"/>
        <v>6664</v>
      </c>
      <c r="H8" s="19">
        <f t="shared" si="2"/>
        <v>11213</v>
      </c>
      <c r="I8" s="19">
        <f t="shared" si="2"/>
        <v>13886</v>
      </c>
      <c r="J8" s="19">
        <f t="shared" si="2"/>
        <v>10211</v>
      </c>
      <c r="K8" s="19">
        <f t="shared" si="2"/>
        <v>14141</v>
      </c>
      <c r="L8" s="19">
        <f t="shared" si="2"/>
        <v>21560</v>
      </c>
      <c r="M8" s="19">
        <f t="shared" si="2"/>
        <v>20910</v>
      </c>
      <c r="N8" s="19">
        <f t="shared" si="2"/>
        <v>16560</v>
      </c>
      <c r="O8" s="19">
        <f t="shared" si="2"/>
        <v>18377</v>
      </c>
      <c r="P8" s="19">
        <f t="shared" si="2"/>
        <v>34916</v>
      </c>
      <c r="Q8" s="19">
        <v>42298</v>
      </c>
      <c r="R8" s="19">
        <f>SUM(R9:R15)</f>
        <v>38260</v>
      </c>
      <c r="S8" s="19">
        <f>SUM(S9:S15)</f>
        <v>40214</v>
      </c>
      <c r="T8" s="19" t="s">
        <v>36</v>
      </c>
      <c r="U8" s="4"/>
      <c r="V8" s="56" t="s">
        <v>66</v>
      </c>
      <c r="W8" s="56" t="s">
        <v>72</v>
      </c>
      <c r="X8" s="57">
        <v>5718</v>
      </c>
      <c r="Y8" s="57">
        <v>6219</v>
      </c>
      <c r="Z8" s="57">
        <v>5581</v>
      </c>
      <c r="AA8" s="57">
        <v>4337</v>
      </c>
      <c r="AB8" s="57">
        <v>3662</v>
      </c>
      <c r="AC8" s="57">
        <v>1931</v>
      </c>
      <c r="AD8" s="57">
        <v>2453</v>
      </c>
      <c r="AE8" s="64">
        <v>1963.626</v>
      </c>
      <c r="AF8" s="63">
        <v>2821.529</v>
      </c>
    </row>
    <row r="9" spans="1:34" s="27" customFormat="1" ht="24" x14ac:dyDescent="0.7">
      <c r="A9" s="24" t="s">
        <v>20</v>
      </c>
      <c r="B9" s="25">
        <v>1457</v>
      </c>
      <c r="C9" s="25">
        <v>551</v>
      </c>
      <c r="D9" s="25">
        <v>1322</v>
      </c>
      <c r="E9" s="25">
        <v>1271</v>
      </c>
      <c r="F9" s="25">
        <v>505</v>
      </c>
      <c r="G9" s="25">
        <v>632</v>
      </c>
      <c r="H9" s="25">
        <v>1443</v>
      </c>
      <c r="I9" s="26">
        <v>2002</v>
      </c>
      <c r="J9" s="26">
        <v>1252</v>
      </c>
      <c r="K9" s="26">
        <v>1982</v>
      </c>
      <c r="L9" s="25">
        <v>2817</v>
      </c>
      <c r="M9" s="25">
        <v>2482</v>
      </c>
      <c r="N9" s="25">
        <v>1981</v>
      </c>
      <c r="O9" s="25">
        <v>1965</v>
      </c>
      <c r="P9" s="25">
        <v>3952</v>
      </c>
      <c r="Q9" s="25">
        <v>4805</v>
      </c>
      <c r="R9" s="25">
        <v>3593</v>
      </c>
      <c r="S9" s="25">
        <v>3574</v>
      </c>
      <c r="T9" s="25">
        <v>5174</v>
      </c>
      <c r="U9" s="3"/>
      <c r="V9" s="54" t="s">
        <v>67</v>
      </c>
      <c r="W9" s="54" t="s">
        <v>73</v>
      </c>
      <c r="X9" s="55">
        <v>4801</v>
      </c>
      <c r="Y9" s="55">
        <v>5462</v>
      </c>
      <c r="Z9" s="55">
        <v>5136</v>
      </c>
      <c r="AA9" s="55">
        <v>3893</v>
      </c>
      <c r="AB9" s="55">
        <v>3893</v>
      </c>
      <c r="AC9" s="55">
        <v>1613</v>
      </c>
      <c r="AD9" s="55">
        <v>1978</v>
      </c>
      <c r="AE9" s="63">
        <v>2061.9429999999998</v>
      </c>
      <c r="AF9" s="63">
        <v>3208.1909999999998</v>
      </c>
    </row>
    <row r="10" spans="1:34" s="27" customFormat="1" ht="24" x14ac:dyDescent="0.7">
      <c r="A10" s="28" t="s">
        <v>21</v>
      </c>
      <c r="B10" s="29">
        <v>1928</v>
      </c>
      <c r="C10" s="29">
        <v>1011</v>
      </c>
      <c r="D10" s="29">
        <v>2633</v>
      </c>
      <c r="E10" s="29">
        <v>2517</v>
      </c>
      <c r="F10" s="29">
        <v>1991</v>
      </c>
      <c r="G10" s="29">
        <v>1897</v>
      </c>
      <c r="H10" s="29">
        <v>3000</v>
      </c>
      <c r="I10" s="30">
        <v>3693</v>
      </c>
      <c r="J10" s="30">
        <v>2298</v>
      </c>
      <c r="K10" s="30">
        <v>3329</v>
      </c>
      <c r="L10" s="29">
        <v>5469</v>
      </c>
      <c r="M10" s="29">
        <v>5942</v>
      </c>
      <c r="N10" s="29">
        <v>5129</v>
      </c>
      <c r="O10" s="29">
        <v>4809</v>
      </c>
      <c r="P10" s="29">
        <v>9452</v>
      </c>
      <c r="Q10" s="29">
        <v>11015</v>
      </c>
      <c r="R10" s="29">
        <v>9712</v>
      </c>
      <c r="S10" s="29">
        <v>10063</v>
      </c>
      <c r="T10" s="29">
        <v>13414</v>
      </c>
      <c r="U10" s="3"/>
      <c r="V10" s="56" t="s">
        <v>26</v>
      </c>
      <c r="W10" s="56" t="s">
        <v>74</v>
      </c>
      <c r="X10" s="57">
        <v>658</v>
      </c>
      <c r="Y10" s="57">
        <v>332</v>
      </c>
      <c r="Z10" s="57">
        <v>263</v>
      </c>
      <c r="AA10" s="57">
        <v>324</v>
      </c>
      <c r="AB10" s="57">
        <v>158</v>
      </c>
      <c r="AC10" s="57">
        <v>86</v>
      </c>
      <c r="AD10" s="57">
        <v>90</v>
      </c>
      <c r="AE10" s="64">
        <v>44.673999999999999</v>
      </c>
      <c r="AF10" s="63">
        <v>48.692999999999998</v>
      </c>
    </row>
    <row r="11" spans="1:34" s="27" customFormat="1" ht="24" x14ac:dyDescent="0.7">
      <c r="A11" s="24" t="s">
        <v>22</v>
      </c>
      <c r="B11" s="25">
        <v>880</v>
      </c>
      <c r="C11" s="25">
        <v>443</v>
      </c>
      <c r="D11" s="25">
        <v>1044</v>
      </c>
      <c r="E11" s="25">
        <v>926</v>
      </c>
      <c r="F11" s="25">
        <v>766</v>
      </c>
      <c r="G11" s="25">
        <v>1296</v>
      </c>
      <c r="H11" s="25">
        <v>2383</v>
      </c>
      <c r="I11" s="26">
        <v>2838</v>
      </c>
      <c r="J11" s="26">
        <v>2686</v>
      </c>
      <c r="K11" s="26">
        <v>4217</v>
      </c>
      <c r="L11" s="25">
        <v>5920</v>
      </c>
      <c r="M11" s="25">
        <v>5047</v>
      </c>
      <c r="N11" s="25">
        <v>3698</v>
      </c>
      <c r="O11" s="25">
        <v>4855</v>
      </c>
      <c r="P11" s="25">
        <v>8337</v>
      </c>
      <c r="Q11" s="25">
        <v>8123</v>
      </c>
      <c r="R11" s="25">
        <v>5914</v>
      </c>
      <c r="S11" s="25">
        <v>6486</v>
      </c>
      <c r="T11" s="25">
        <v>9250</v>
      </c>
      <c r="U11" s="3"/>
      <c r="V11" s="61" t="s">
        <v>16</v>
      </c>
      <c r="W11" s="61" t="s">
        <v>75</v>
      </c>
      <c r="X11" s="68">
        <f>SUM(X5:X10)</f>
        <v>123383</v>
      </c>
      <c r="Y11" s="68">
        <f t="shared" ref="Y11:AE11" si="3">SUM(Y5:Y10)</f>
        <v>136370</v>
      </c>
      <c r="Z11" s="68">
        <f t="shared" si="3"/>
        <v>124571</v>
      </c>
      <c r="AA11" s="68">
        <f t="shared" si="3"/>
        <v>131769</v>
      </c>
      <c r="AB11" s="68">
        <f t="shared" si="3"/>
        <v>142432</v>
      </c>
      <c r="AC11" s="68">
        <f t="shared" si="3"/>
        <v>72919</v>
      </c>
      <c r="AD11" s="68">
        <f t="shared" si="3"/>
        <v>99246</v>
      </c>
      <c r="AE11" s="68">
        <f t="shared" si="3"/>
        <v>51776.593999999997</v>
      </c>
      <c r="AF11" s="68">
        <f>SUM(AF5:AF10)</f>
        <v>50898.861999999994</v>
      </c>
      <c r="AG11" s="67"/>
      <c r="AH11" s="67"/>
    </row>
    <row r="12" spans="1:34" s="27" customFormat="1" ht="15.75" x14ac:dyDescent="0.2">
      <c r="A12" s="28" t="s">
        <v>23</v>
      </c>
      <c r="B12" s="29">
        <v>0</v>
      </c>
      <c r="C12" s="29">
        <v>220</v>
      </c>
      <c r="D12" s="29">
        <v>622</v>
      </c>
      <c r="E12" s="29">
        <v>549</v>
      </c>
      <c r="F12" s="29">
        <v>91</v>
      </c>
      <c r="G12" s="29">
        <v>102</v>
      </c>
      <c r="H12" s="29">
        <v>249</v>
      </c>
      <c r="I12" s="30">
        <v>271</v>
      </c>
      <c r="J12" s="30">
        <v>326</v>
      </c>
      <c r="K12" s="30">
        <v>384</v>
      </c>
      <c r="L12" s="29">
        <v>898</v>
      </c>
      <c r="M12" s="29">
        <v>779</v>
      </c>
      <c r="N12" s="29">
        <v>531</v>
      </c>
      <c r="O12" s="29">
        <v>630</v>
      </c>
      <c r="P12" s="29">
        <v>1387</v>
      </c>
      <c r="Q12" s="29">
        <v>1456</v>
      </c>
      <c r="R12" s="29">
        <v>1259</v>
      </c>
      <c r="S12" s="29">
        <v>1822</v>
      </c>
      <c r="T12" s="29" t="s">
        <v>36</v>
      </c>
      <c r="U12" s="3"/>
      <c r="V12" s="62" t="s">
        <v>68</v>
      </c>
      <c r="W12" s="62"/>
      <c r="X12" s="67"/>
      <c r="Y12" s="67"/>
      <c r="Z12" s="67"/>
      <c r="AA12" s="67"/>
      <c r="AB12" s="67"/>
      <c r="AC12" s="67"/>
      <c r="AD12" s="67"/>
      <c r="AE12" s="67"/>
      <c r="AF12" s="67"/>
    </row>
    <row r="13" spans="1:34" s="27" customFormat="1" ht="24" x14ac:dyDescent="0.7">
      <c r="A13" s="24" t="s">
        <v>24</v>
      </c>
      <c r="B13" s="25">
        <v>0</v>
      </c>
      <c r="C13" s="25">
        <v>144</v>
      </c>
      <c r="D13" s="25">
        <v>338</v>
      </c>
      <c r="E13" s="25">
        <v>297</v>
      </c>
      <c r="F13" s="25">
        <v>197</v>
      </c>
      <c r="G13" s="25">
        <v>346</v>
      </c>
      <c r="H13" s="25">
        <v>620</v>
      </c>
      <c r="I13" s="26">
        <v>840</v>
      </c>
      <c r="J13" s="26">
        <v>475</v>
      </c>
      <c r="K13" s="26">
        <v>342</v>
      </c>
      <c r="L13" s="25">
        <v>690</v>
      </c>
      <c r="M13" s="25">
        <v>734</v>
      </c>
      <c r="N13" s="25">
        <v>619</v>
      </c>
      <c r="O13" s="25">
        <v>626</v>
      </c>
      <c r="P13" s="25">
        <v>1067</v>
      </c>
      <c r="Q13" s="25">
        <v>1383</v>
      </c>
      <c r="R13" s="25">
        <v>1125</v>
      </c>
      <c r="S13" s="25">
        <v>1168</v>
      </c>
      <c r="T13" s="25" t="s">
        <v>36</v>
      </c>
      <c r="U13" s="3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6"/>
    </row>
    <row r="14" spans="1:34" s="27" customFormat="1" ht="15.75" x14ac:dyDescent="0.2">
      <c r="A14" s="28" t="s">
        <v>25</v>
      </c>
      <c r="B14" s="29">
        <v>1203</v>
      </c>
      <c r="C14" s="29">
        <v>794</v>
      </c>
      <c r="D14" s="29">
        <v>1230</v>
      </c>
      <c r="E14" s="29">
        <v>1514</v>
      </c>
      <c r="F14" s="29">
        <v>1216</v>
      </c>
      <c r="G14" s="29">
        <v>1295</v>
      </c>
      <c r="H14" s="29">
        <v>1816</v>
      </c>
      <c r="I14" s="30">
        <v>2095</v>
      </c>
      <c r="J14" s="30">
        <v>1581</v>
      </c>
      <c r="K14" s="30">
        <v>1548</v>
      </c>
      <c r="L14" s="29">
        <v>2064</v>
      </c>
      <c r="M14" s="29">
        <v>2160</v>
      </c>
      <c r="N14" s="29">
        <v>1989</v>
      </c>
      <c r="O14" s="29">
        <v>2204</v>
      </c>
      <c r="P14" s="29">
        <v>3886</v>
      </c>
      <c r="Q14" s="29">
        <v>6121</v>
      </c>
      <c r="R14" s="29">
        <v>8581</v>
      </c>
      <c r="S14" s="29">
        <v>9154</v>
      </c>
      <c r="T14" s="29">
        <v>11254</v>
      </c>
      <c r="U14" s="3"/>
    </row>
    <row r="15" spans="1:34" s="27" customFormat="1" ht="15.75" x14ac:dyDescent="0.2">
      <c r="A15" s="24" t="s">
        <v>26</v>
      </c>
      <c r="B15" s="25">
        <v>2357</v>
      </c>
      <c r="C15" s="25">
        <v>869</v>
      </c>
      <c r="D15" s="25">
        <v>1583</v>
      </c>
      <c r="E15" s="25">
        <v>1231</v>
      </c>
      <c r="F15" s="25">
        <v>753</v>
      </c>
      <c r="G15" s="25">
        <v>1096</v>
      </c>
      <c r="H15" s="25">
        <v>1702</v>
      </c>
      <c r="I15" s="26">
        <v>2147</v>
      </c>
      <c r="J15" s="26">
        <v>1593</v>
      </c>
      <c r="K15" s="26">
        <v>2339</v>
      </c>
      <c r="L15" s="25">
        <v>3702</v>
      </c>
      <c r="M15" s="25">
        <v>3766</v>
      </c>
      <c r="N15" s="25">
        <v>2613</v>
      </c>
      <c r="O15" s="25">
        <v>3288</v>
      </c>
      <c r="P15" s="25">
        <v>6835</v>
      </c>
      <c r="Q15" s="25">
        <v>9395</v>
      </c>
      <c r="R15" s="25">
        <v>8076</v>
      </c>
      <c r="S15" s="25">
        <v>7947</v>
      </c>
      <c r="T15" s="25" t="s">
        <v>36</v>
      </c>
      <c r="U15" s="3"/>
    </row>
    <row r="16" spans="1:34" s="23" customFormat="1" ht="31.5" customHeight="1" x14ac:dyDescent="0.25">
      <c r="A16" s="31" t="s">
        <v>27</v>
      </c>
      <c r="B16" s="19">
        <f>SUM(B17:B22)</f>
        <v>9184</v>
      </c>
      <c r="C16" s="19">
        <f>SUM(C17:C22)</f>
        <v>8357</v>
      </c>
      <c r="D16" s="19">
        <v>7756</v>
      </c>
      <c r="E16" s="19">
        <f t="shared" ref="E16:P16" si="4">SUM(E17:E22)</f>
        <v>6849</v>
      </c>
      <c r="F16" s="19">
        <f t="shared" si="4"/>
        <v>5176</v>
      </c>
      <c r="G16" s="19">
        <f t="shared" si="4"/>
        <v>6932</v>
      </c>
      <c r="H16" s="19">
        <f t="shared" si="4"/>
        <v>6493</v>
      </c>
      <c r="I16" s="19">
        <f t="shared" si="4"/>
        <v>7136</v>
      </c>
      <c r="J16" s="19">
        <f t="shared" si="4"/>
        <v>6895</v>
      </c>
      <c r="K16" s="19">
        <f t="shared" si="4"/>
        <v>7017</v>
      </c>
      <c r="L16" s="19">
        <f t="shared" si="4"/>
        <v>6760</v>
      </c>
      <c r="M16" s="19">
        <f t="shared" si="4"/>
        <v>5709</v>
      </c>
      <c r="N16" s="19">
        <f t="shared" si="4"/>
        <v>6080</v>
      </c>
      <c r="O16" s="19">
        <f t="shared" si="4"/>
        <v>7213</v>
      </c>
      <c r="P16" s="19">
        <f t="shared" si="4"/>
        <v>18297</v>
      </c>
      <c r="Q16" s="19">
        <v>20249</v>
      </c>
      <c r="R16" s="19">
        <f>SUM(R17:R22)</f>
        <v>21223</v>
      </c>
      <c r="S16" s="19">
        <f>SUM(S17:S22)</f>
        <v>23396</v>
      </c>
      <c r="T16" s="19">
        <v>21833</v>
      </c>
      <c r="U16" s="2"/>
    </row>
    <row r="17" spans="1:21" s="27" customFormat="1" ht="15.75" x14ac:dyDescent="0.2">
      <c r="A17" s="24" t="s">
        <v>28</v>
      </c>
      <c r="B17" s="25">
        <v>610</v>
      </c>
      <c r="C17" s="25">
        <v>410</v>
      </c>
      <c r="D17" s="25">
        <v>275</v>
      </c>
      <c r="E17" s="25">
        <v>248</v>
      </c>
      <c r="F17" s="25">
        <v>253</v>
      </c>
      <c r="G17" s="25">
        <v>338</v>
      </c>
      <c r="H17" s="25">
        <v>349</v>
      </c>
      <c r="I17" s="26">
        <v>360</v>
      </c>
      <c r="J17" s="26">
        <v>384</v>
      </c>
      <c r="K17" s="26">
        <v>409</v>
      </c>
      <c r="L17" s="25">
        <v>386</v>
      </c>
      <c r="M17" s="25">
        <v>364</v>
      </c>
      <c r="N17" s="25">
        <v>434</v>
      </c>
      <c r="O17" s="25">
        <v>480</v>
      </c>
      <c r="P17" s="25">
        <v>1129</v>
      </c>
      <c r="Q17" s="25">
        <v>1221</v>
      </c>
      <c r="R17" s="25">
        <v>1254</v>
      </c>
      <c r="S17" s="25">
        <v>1549</v>
      </c>
      <c r="T17" s="25">
        <v>1706</v>
      </c>
      <c r="U17" s="3"/>
    </row>
    <row r="18" spans="1:21" s="27" customFormat="1" ht="15.75" x14ac:dyDescent="0.2">
      <c r="A18" s="28" t="s">
        <v>29</v>
      </c>
      <c r="B18" s="29">
        <v>689</v>
      </c>
      <c r="C18" s="29">
        <v>1588</v>
      </c>
      <c r="D18" s="29">
        <v>1015</v>
      </c>
      <c r="E18" s="29">
        <v>789</v>
      </c>
      <c r="F18" s="29">
        <v>430</v>
      </c>
      <c r="G18" s="29">
        <v>691</v>
      </c>
      <c r="H18" s="29">
        <v>716</v>
      </c>
      <c r="I18" s="30">
        <v>633</v>
      </c>
      <c r="J18" s="30">
        <v>613</v>
      </c>
      <c r="K18" s="30">
        <v>515</v>
      </c>
      <c r="L18" s="29">
        <v>513</v>
      </c>
      <c r="M18" s="29">
        <v>553</v>
      </c>
      <c r="N18" s="29">
        <v>544</v>
      </c>
      <c r="O18" s="29">
        <v>574</v>
      </c>
      <c r="P18" s="29">
        <v>1268</v>
      </c>
      <c r="Q18" s="29">
        <v>1461</v>
      </c>
      <c r="R18" s="29">
        <v>1683</v>
      </c>
      <c r="S18" s="29">
        <v>2080</v>
      </c>
      <c r="T18" s="29">
        <v>2160</v>
      </c>
      <c r="U18" s="3"/>
    </row>
    <row r="19" spans="1:21" s="27" customFormat="1" ht="15.75" x14ac:dyDescent="0.2">
      <c r="A19" s="24" t="s">
        <v>30</v>
      </c>
      <c r="B19" s="25">
        <v>1423</v>
      </c>
      <c r="C19" s="25">
        <v>745</v>
      </c>
      <c r="D19" s="25">
        <v>296</v>
      </c>
      <c r="E19" s="25">
        <v>343</v>
      </c>
      <c r="F19" s="25">
        <v>612</v>
      </c>
      <c r="G19" s="25">
        <v>621</v>
      </c>
      <c r="H19" s="25">
        <v>296</v>
      </c>
      <c r="I19" s="26">
        <v>450</v>
      </c>
      <c r="J19" s="26">
        <v>515</v>
      </c>
      <c r="K19" s="26">
        <v>535</v>
      </c>
      <c r="L19" s="25">
        <v>563</v>
      </c>
      <c r="M19" s="25">
        <v>411</v>
      </c>
      <c r="N19" s="25">
        <v>568</v>
      </c>
      <c r="O19" s="25">
        <v>623</v>
      </c>
      <c r="P19" s="25">
        <v>2133</v>
      </c>
      <c r="Q19" s="25">
        <v>2054</v>
      </c>
      <c r="R19" s="25">
        <v>2487</v>
      </c>
      <c r="S19" s="25">
        <v>2104</v>
      </c>
      <c r="T19" s="25" t="s">
        <v>36</v>
      </c>
      <c r="U19" s="3"/>
    </row>
    <row r="20" spans="1:21" s="27" customFormat="1" ht="15.75" x14ac:dyDescent="0.2">
      <c r="A20" s="28" t="s">
        <v>31</v>
      </c>
      <c r="B20" s="29">
        <v>1645</v>
      </c>
      <c r="C20" s="29">
        <v>1709</v>
      </c>
      <c r="D20" s="29">
        <v>1798</v>
      </c>
      <c r="E20" s="29">
        <v>1947</v>
      </c>
      <c r="F20" s="29">
        <v>1666</v>
      </c>
      <c r="G20" s="29">
        <v>2151</v>
      </c>
      <c r="H20" s="29">
        <v>1711</v>
      </c>
      <c r="I20" s="30">
        <v>1825</v>
      </c>
      <c r="J20" s="30">
        <v>1755</v>
      </c>
      <c r="K20" s="30">
        <v>1813</v>
      </c>
      <c r="L20" s="29">
        <v>1858</v>
      </c>
      <c r="M20" s="29">
        <v>1773</v>
      </c>
      <c r="N20" s="29">
        <v>1788</v>
      </c>
      <c r="O20" s="29">
        <v>1967</v>
      </c>
      <c r="P20" s="29">
        <v>3982</v>
      </c>
      <c r="Q20" s="29">
        <v>5161</v>
      </c>
      <c r="R20" s="29">
        <v>5417</v>
      </c>
      <c r="S20" s="29">
        <v>5907</v>
      </c>
      <c r="T20" s="29">
        <v>5562</v>
      </c>
      <c r="U20" s="3"/>
    </row>
    <row r="21" spans="1:21" s="27" customFormat="1" ht="15.75" x14ac:dyDescent="0.2">
      <c r="A21" s="24" t="s">
        <v>32</v>
      </c>
      <c r="B21" s="25">
        <v>0</v>
      </c>
      <c r="C21" s="25">
        <v>365</v>
      </c>
      <c r="D21" s="25">
        <v>382</v>
      </c>
      <c r="E21" s="25">
        <v>296</v>
      </c>
      <c r="F21" s="25">
        <v>259</v>
      </c>
      <c r="G21" s="25">
        <v>397</v>
      </c>
      <c r="H21" s="25">
        <v>371</v>
      </c>
      <c r="I21" s="26">
        <v>388</v>
      </c>
      <c r="J21" s="26">
        <v>390</v>
      </c>
      <c r="K21" s="26">
        <v>361</v>
      </c>
      <c r="L21" s="25">
        <v>295</v>
      </c>
      <c r="M21" s="25">
        <v>328</v>
      </c>
      <c r="N21" s="25">
        <v>404</v>
      </c>
      <c r="O21" s="25">
        <v>420</v>
      </c>
      <c r="P21" s="25">
        <v>841</v>
      </c>
      <c r="Q21" s="25">
        <v>884</v>
      </c>
      <c r="R21" s="25">
        <v>938</v>
      </c>
      <c r="S21" s="25">
        <v>1125</v>
      </c>
      <c r="T21" s="25" t="s">
        <v>36</v>
      </c>
      <c r="U21" s="3"/>
    </row>
    <row r="22" spans="1:21" s="27" customFormat="1" ht="15.75" x14ac:dyDescent="0.2">
      <c r="A22" s="28" t="s">
        <v>33</v>
      </c>
      <c r="B22" s="29">
        <v>4817</v>
      </c>
      <c r="C22" s="29">
        <v>3540</v>
      </c>
      <c r="D22" s="29">
        <v>3990</v>
      </c>
      <c r="E22" s="29">
        <v>3226</v>
      </c>
      <c r="F22" s="29">
        <v>1956</v>
      </c>
      <c r="G22" s="29">
        <v>2734</v>
      </c>
      <c r="H22" s="29">
        <v>3050</v>
      </c>
      <c r="I22" s="30">
        <v>3480</v>
      </c>
      <c r="J22" s="30">
        <v>3238</v>
      </c>
      <c r="K22" s="30">
        <v>3384</v>
      </c>
      <c r="L22" s="29">
        <v>3145</v>
      </c>
      <c r="M22" s="29">
        <v>2280</v>
      </c>
      <c r="N22" s="29">
        <v>2342</v>
      </c>
      <c r="O22" s="29">
        <v>3149</v>
      </c>
      <c r="P22" s="29">
        <v>8944</v>
      </c>
      <c r="Q22" s="29">
        <v>9468</v>
      </c>
      <c r="R22" s="29">
        <v>9444</v>
      </c>
      <c r="S22" s="29">
        <v>10631</v>
      </c>
      <c r="T22" s="29">
        <v>12405</v>
      </c>
      <c r="U22" s="3"/>
    </row>
    <row r="23" spans="1:21" s="23" customFormat="1" ht="15.75" x14ac:dyDescent="0.25">
      <c r="A23" s="20" t="s">
        <v>34</v>
      </c>
      <c r="B23" s="21">
        <f t="shared" ref="B23:P23" si="5">SUM(B24:B28)</f>
        <v>2404</v>
      </c>
      <c r="C23" s="21">
        <f t="shared" si="5"/>
        <v>2098</v>
      </c>
      <c r="D23" s="21">
        <f t="shared" si="5"/>
        <v>1442</v>
      </c>
      <c r="E23" s="21">
        <f t="shared" si="5"/>
        <v>1282</v>
      </c>
      <c r="F23" s="21">
        <f t="shared" si="5"/>
        <v>966</v>
      </c>
      <c r="G23" s="21">
        <f t="shared" si="5"/>
        <v>1116</v>
      </c>
      <c r="H23" s="21">
        <f t="shared" si="5"/>
        <v>953</v>
      </c>
      <c r="I23" s="21">
        <f t="shared" si="5"/>
        <v>839</v>
      </c>
      <c r="J23" s="21">
        <f t="shared" si="5"/>
        <v>844</v>
      </c>
      <c r="K23" s="21">
        <f t="shared" si="5"/>
        <v>874</v>
      </c>
      <c r="L23" s="21">
        <f t="shared" si="5"/>
        <v>966</v>
      </c>
      <c r="M23" s="21">
        <f t="shared" si="5"/>
        <v>934</v>
      </c>
      <c r="N23" s="21">
        <f t="shared" si="5"/>
        <v>1003</v>
      </c>
      <c r="O23" s="21">
        <f t="shared" si="5"/>
        <v>1106</v>
      </c>
      <c r="P23" s="21">
        <f t="shared" si="5"/>
        <v>2553</v>
      </c>
      <c r="Q23" s="21">
        <v>3101</v>
      </c>
      <c r="R23" s="21">
        <f>SUM(R24:R28)</f>
        <v>3434</v>
      </c>
      <c r="S23" s="21">
        <f>SUM(S24:S28)</f>
        <v>4418</v>
      </c>
      <c r="T23" s="21">
        <v>5434</v>
      </c>
      <c r="U23" s="2"/>
    </row>
    <row r="24" spans="1:21" s="27" customFormat="1" ht="15.75" x14ac:dyDescent="0.2">
      <c r="A24" s="28" t="s">
        <v>35</v>
      </c>
      <c r="B24" s="29">
        <v>0</v>
      </c>
      <c r="C24" s="29" t="s">
        <v>36</v>
      </c>
      <c r="D24" s="29" t="s">
        <v>36</v>
      </c>
      <c r="E24" s="29" t="s">
        <v>36</v>
      </c>
      <c r="F24" s="29">
        <v>28</v>
      </c>
      <c r="G24" s="29">
        <v>85</v>
      </c>
      <c r="H24" s="29">
        <v>121</v>
      </c>
      <c r="I24" s="30">
        <v>100</v>
      </c>
      <c r="J24" s="30">
        <v>85</v>
      </c>
      <c r="K24" s="30">
        <v>79</v>
      </c>
      <c r="L24" s="29">
        <v>82</v>
      </c>
      <c r="M24" s="29">
        <v>72</v>
      </c>
      <c r="N24" s="29">
        <v>60</v>
      </c>
      <c r="O24" s="29">
        <v>52</v>
      </c>
      <c r="P24" s="29">
        <v>116</v>
      </c>
      <c r="Q24" s="29">
        <v>137</v>
      </c>
      <c r="R24" s="29">
        <v>154</v>
      </c>
      <c r="S24" s="29">
        <v>188</v>
      </c>
      <c r="T24" s="29" t="s">
        <v>36</v>
      </c>
      <c r="U24" s="3"/>
    </row>
    <row r="25" spans="1:21" s="27" customFormat="1" ht="15.75" x14ac:dyDescent="0.2">
      <c r="A25" s="24" t="s">
        <v>37</v>
      </c>
      <c r="B25" s="25">
        <v>0</v>
      </c>
      <c r="C25" s="25">
        <v>53</v>
      </c>
      <c r="D25" s="25">
        <v>54</v>
      </c>
      <c r="E25" s="25">
        <v>45</v>
      </c>
      <c r="F25" s="25">
        <v>42</v>
      </c>
      <c r="G25" s="25">
        <v>51</v>
      </c>
      <c r="H25" s="25">
        <v>55</v>
      </c>
      <c r="I25" s="26">
        <v>75</v>
      </c>
      <c r="J25" s="26">
        <v>78</v>
      </c>
      <c r="K25" s="26">
        <v>93</v>
      </c>
      <c r="L25" s="25">
        <v>92</v>
      </c>
      <c r="M25" s="25">
        <v>98</v>
      </c>
      <c r="N25" s="25">
        <v>126</v>
      </c>
      <c r="O25" s="25">
        <v>117</v>
      </c>
      <c r="P25" s="25">
        <v>220</v>
      </c>
      <c r="Q25" s="25">
        <v>229</v>
      </c>
      <c r="R25" s="25">
        <v>241</v>
      </c>
      <c r="S25" s="25">
        <v>273</v>
      </c>
      <c r="T25" s="25">
        <v>379</v>
      </c>
      <c r="U25" s="3"/>
    </row>
    <row r="26" spans="1:21" s="27" customFormat="1" ht="15.75" x14ac:dyDescent="0.2">
      <c r="A26" s="28" t="s">
        <v>38</v>
      </c>
      <c r="B26" s="29">
        <v>1778</v>
      </c>
      <c r="C26" s="29">
        <v>1559</v>
      </c>
      <c r="D26" s="29">
        <v>956</v>
      </c>
      <c r="E26" s="29">
        <v>847</v>
      </c>
      <c r="F26" s="29">
        <v>647</v>
      </c>
      <c r="G26" s="29">
        <v>657</v>
      </c>
      <c r="H26" s="29">
        <v>450</v>
      </c>
      <c r="I26" s="30">
        <v>322</v>
      </c>
      <c r="J26" s="30">
        <v>368</v>
      </c>
      <c r="K26" s="30">
        <v>426</v>
      </c>
      <c r="L26" s="29">
        <v>522</v>
      </c>
      <c r="M26" s="29">
        <v>502</v>
      </c>
      <c r="N26" s="29">
        <v>493</v>
      </c>
      <c r="O26" s="29">
        <v>608</v>
      </c>
      <c r="P26" s="29">
        <v>1430</v>
      </c>
      <c r="Q26" s="29">
        <v>1900</v>
      </c>
      <c r="R26" s="29">
        <v>2062</v>
      </c>
      <c r="S26" s="29">
        <v>2800</v>
      </c>
      <c r="T26" s="29">
        <v>3163</v>
      </c>
      <c r="U26" s="3"/>
    </row>
    <row r="27" spans="1:21" s="27" customFormat="1" ht="15.75" x14ac:dyDescent="0.2">
      <c r="A27" s="24" t="s">
        <v>39</v>
      </c>
      <c r="B27" s="25">
        <v>0</v>
      </c>
      <c r="C27" s="25">
        <v>108</v>
      </c>
      <c r="D27" s="25">
        <v>77</v>
      </c>
      <c r="E27" s="25">
        <v>66</v>
      </c>
      <c r="F27" s="25">
        <v>43</v>
      </c>
      <c r="G27" s="25">
        <v>83</v>
      </c>
      <c r="H27" s="25">
        <v>82</v>
      </c>
      <c r="I27" s="26">
        <v>102</v>
      </c>
      <c r="J27" s="26">
        <v>80</v>
      </c>
      <c r="K27" s="26">
        <v>89</v>
      </c>
      <c r="L27" s="25">
        <v>93</v>
      </c>
      <c r="M27" s="25">
        <v>81</v>
      </c>
      <c r="N27" s="25">
        <v>94</v>
      </c>
      <c r="O27" s="25">
        <v>105</v>
      </c>
      <c r="P27" s="25">
        <v>255</v>
      </c>
      <c r="Q27" s="25">
        <v>252</v>
      </c>
      <c r="R27" s="25">
        <v>280</v>
      </c>
      <c r="S27" s="25">
        <v>319</v>
      </c>
      <c r="T27" s="25">
        <v>382</v>
      </c>
      <c r="U27" s="3"/>
    </row>
    <row r="28" spans="1:21" s="27" customFormat="1" ht="15.75" x14ac:dyDescent="0.2">
      <c r="A28" s="28" t="s">
        <v>40</v>
      </c>
      <c r="B28" s="29">
        <v>626</v>
      </c>
      <c r="C28" s="29">
        <v>378</v>
      </c>
      <c r="D28" s="29">
        <v>355</v>
      </c>
      <c r="E28" s="29">
        <v>324</v>
      </c>
      <c r="F28" s="29">
        <v>206</v>
      </c>
      <c r="G28" s="29">
        <v>240</v>
      </c>
      <c r="H28" s="29">
        <v>245</v>
      </c>
      <c r="I28" s="30">
        <v>240</v>
      </c>
      <c r="J28" s="30">
        <v>233</v>
      </c>
      <c r="K28" s="30">
        <v>187</v>
      </c>
      <c r="L28" s="29">
        <v>177</v>
      </c>
      <c r="M28" s="29">
        <v>181</v>
      </c>
      <c r="N28" s="29">
        <v>230</v>
      </c>
      <c r="O28" s="29">
        <v>224</v>
      </c>
      <c r="P28" s="29">
        <v>532</v>
      </c>
      <c r="Q28" s="29">
        <v>583</v>
      </c>
      <c r="R28" s="29">
        <v>697</v>
      </c>
      <c r="S28" s="29">
        <v>838</v>
      </c>
      <c r="T28" s="29">
        <v>1510</v>
      </c>
      <c r="U28" s="3"/>
    </row>
    <row r="29" spans="1:21" s="23" customFormat="1" ht="15.75" x14ac:dyDescent="0.25">
      <c r="A29" s="20" t="s">
        <v>41</v>
      </c>
      <c r="B29" s="21">
        <f t="shared" ref="B29:P29" si="6">SUM(B30:B32)</f>
        <v>1330</v>
      </c>
      <c r="C29" s="21">
        <f t="shared" si="6"/>
        <v>755</v>
      </c>
      <c r="D29" s="21">
        <f t="shared" si="6"/>
        <v>1104</v>
      </c>
      <c r="E29" s="21">
        <f t="shared" si="6"/>
        <v>1203</v>
      </c>
      <c r="F29" s="21">
        <f t="shared" si="6"/>
        <v>898</v>
      </c>
      <c r="G29" s="21">
        <f t="shared" si="6"/>
        <v>1226</v>
      </c>
      <c r="H29" s="21">
        <f t="shared" si="6"/>
        <v>1557</v>
      </c>
      <c r="I29" s="21">
        <f t="shared" si="6"/>
        <v>1585</v>
      </c>
      <c r="J29" s="21">
        <f t="shared" si="6"/>
        <v>1446</v>
      </c>
      <c r="K29" s="21">
        <f t="shared" si="6"/>
        <v>1422</v>
      </c>
      <c r="L29" s="21">
        <f t="shared" si="6"/>
        <v>1926</v>
      </c>
      <c r="M29" s="21">
        <f t="shared" si="6"/>
        <v>1979</v>
      </c>
      <c r="N29" s="21">
        <f t="shared" si="6"/>
        <v>1294</v>
      </c>
      <c r="O29" s="21">
        <f t="shared" si="6"/>
        <v>1164</v>
      </c>
      <c r="P29" s="21">
        <f t="shared" si="6"/>
        <v>3149</v>
      </c>
      <c r="Q29" s="21">
        <v>3605</v>
      </c>
      <c r="R29" s="21">
        <f>SUM(R30:R32)</f>
        <v>4046</v>
      </c>
      <c r="S29" s="21">
        <f>SUM(S30:S32)</f>
        <v>4591</v>
      </c>
      <c r="T29" s="21">
        <v>6117</v>
      </c>
      <c r="U29" s="2"/>
    </row>
    <row r="30" spans="1:21" s="27" customFormat="1" ht="15.75" x14ac:dyDescent="0.2">
      <c r="A30" s="28" t="s">
        <v>42</v>
      </c>
      <c r="B30" s="29">
        <v>171</v>
      </c>
      <c r="C30" s="29">
        <v>123</v>
      </c>
      <c r="D30" s="29">
        <v>141</v>
      </c>
      <c r="E30" s="29">
        <v>154</v>
      </c>
      <c r="F30" s="29">
        <v>107</v>
      </c>
      <c r="G30" s="29">
        <v>146</v>
      </c>
      <c r="H30" s="29">
        <v>194</v>
      </c>
      <c r="I30" s="30">
        <v>183</v>
      </c>
      <c r="J30" s="30">
        <v>179</v>
      </c>
      <c r="K30" s="30">
        <v>188</v>
      </c>
      <c r="L30" s="29">
        <v>235</v>
      </c>
      <c r="M30" s="29">
        <v>277</v>
      </c>
      <c r="N30" s="29">
        <v>218</v>
      </c>
      <c r="O30" s="29">
        <v>220</v>
      </c>
      <c r="P30" s="29">
        <v>603</v>
      </c>
      <c r="Q30" s="29">
        <v>687</v>
      </c>
      <c r="R30" s="29">
        <v>763</v>
      </c>
      <c r="S30" s="29">
        <v>880</v>
      </c>
      <c r="T30" s="29">
        <v>1261</v>
      </c>
      <c r="U30" s="3"/>
    </row>
    <row r="31" spans="1:21" s="27" customFormat="1" ht="15.75" x14ac:dyDescent="0.2">
      <c r="A31" s="24" t="s">
        <v>43</v>
      </c>
      <c r="B31" s="25">
        <v>1022</v>
      </c>
      <c r="C31" s="25">
        <v>555</v>
      </c>
      <c r="D31" s="25">
        <v>844</v>
      </c>
      <c r="E31" s="25">
        <v>914</v>
      </c>
      <c r="F31" s="25">
        <v>658</v>
      </c>
      <c r="G31" s="25">
        <v>880</v>
      </c>
      <c r="H31" s="25">
        <v>1095</v>
      </c>
      <c r="I31" s="26">
        <v>1176</v>
      </c>
      <c r="J31" s="26">
        <v>1059</v>
      </c>
      <c r="K31" s="26">
        <v>1060</v>
      </c>
      <c r="L31" s="25">
        <v>1461</v>
      </c>
      <c r="M31" s="25">
        <v>1479</v>
      </c>
      <c r="N31" s="25">
        <v>953</v>
      </c>
      <c r="O31" s="25">
        <v>836</v>
      </c>
      <c r="P31" s="25">
        <v>2246</v>
      </c>
      <c r="Q31" s="25">
        <v>2544</v>
      </c>
      <c r="R31" s="25">
        <v>2844</v>
      </c>
      <c r="S31" s="25">
        <v>3213</v>
      </c>
      <c r="T31" s="25">
        <v>3993</v>
      </c>
      <c r="U31" s="3"/>
    </row>
    <row r="32" spans="1:21" s="27" customFormat="1" ht="15.75" x14ac:dyDescent="0.2">
      <c r="A32" s="28" t="s">
        <v>44</v>
      </c>
      <c r="B32" s="29">
        <v>137</v>
      </c>
      <c r="C32" s="29">
        <v>77</v>
      </c>
      <c r="D32" s="29">
        <v>119</v>
      </c>
      <c r="E32" s="29">
        <v>135</v>
      </c>
      <c r="F32" s="29">
        <v>133</v>
      </c>
      <c r="G32" s="29">
        <v>200</v>
      </c>
      <c r="H32" s="29">
        <v>268</v>
      </c>
      <c r="I32" s="30">
        <v>226</v>
      </c>
      <c r="J32" s="30">
        <v>208</v>
      </c>
      <c r="K32" s="30">
        <v>174</v>
      </c>
      <c r="L32" s="29">
        <v>230</v>
      </c>
      <c r="M32" s="29">
        <v>223</v>
      </c>
      <c r="N32" s="29">
        <v>123</v>
      </c>
      <c r="O32" s="29">
        <v>108</v>
      </c>
      <c r="P32" s="29">
        <v>300</v>
      </c>
      <c r="Q32" s="29">
        <v>374</v>
      </c>
      <c r="R32" s="29">
        <v>439</v>
      </c>
      <c r="S32" s="29">
        <v>498</v>
      </c>
      <c r="T32" s="29"/>
      <c r="U32" s="3"/>
    </row>
    <row r="33" spans="1:21" s="23" customFormat="1" ht="15.75" x14ac:dyDescent="0.25">
      <c r="A33" s="20" t="s">
        <v>45</v>
      </c>
      <c r="B33" s="21">
        <f t="shared" ref="B33:P33" si="7">SUM(B34:B39)</f>
        <v>1041</v>
      </c>
      <c r="C33" s="21">
        <f t="shared" si="7"/>
        <v>951</v>
      </c>
      <c r="D33" s="21">
        <f t="shared" si="7"/>
        <v>897</v>
      </c>
      <c r="E33" s="21">
        <f t="shared" si="7"/>
        <v>1012</v>
      </c>
      <c r="F33" s="21">
        <f t="shared" si="7"/>
        <v>788</v>
      </c>
      <c r="G33" s="21">
        <f t="shared" si="7"/>
        <v>1107</v>
      </c>
      <c r="H33" s="21">
        <f t="shared" si="7"/>
        <v>1525</v>
      </c>
      <c r="I33" s="21">
        <f t="shared" si="7"/>
        <v>1537</v>
      </c>
      <c r="J33" s="21">
        <f t="shared" si="7"/>
        <v>1123</v>
      </c>
      <c r="K33" s="21">
        <f t="shared" si="7"/>
        <v>939</v>
      </c>
      <c r="L33" s="21">
        <f t="shared" si="7"/>
        <v>1320</v>
      </c>
      <c r="M33" s="21">
        <f t="shared" si="7"/>
        <v>1441</v>
      </c>
      <c r="N33" s="21">
        <f t="shared" si="7"/>
        <v>1130</v>
      </c>
      <c r="O33" s="21">
        <f t="shared" si="7"/>
        <v>1117</v>
      </c>
      <c r="P33" s="21">
        <f t="shared" si="7"/>
        <v>2762</v>
      </c>
      <c r="Q33" s="21">
        <v>3088</v>
      </c>
      <c r="R33" s="21">
        <f>SUM(R34:R39)</f>
        <v>3357</v>
      </c>
      <c r="S33" s="21">
        <f>SUM(S34:S39)</f>
        <v>4154</v>
      </c>
      <c r="T33" s="21">
        <v>5762</v>
      </c>
      <c r="U33" s="2"/>
    </row>
    <row r="34" spans="1:21" s="27" customFormat="1" ht="15.75" x14ac:dyDescent="0.2">
      <c r="A34" s="28" t="s">
        <v>46</v>
      </c>
      <c r="B34" s="29">
        <v>287</v>
      </c>
      <c r="C34" s="29">
        <v>175</v>
      </c>
      <c r="D34" s="29">
        <v>203</v>
      </c>
      <c r="E34" s="29">
        <v>221</v>
      </c>
      <c r="F34" s="29">
        <v>153</v>
      </c>
      <c r="G34" s="29">
        <v>191</v>
      </c>
      <c r="H34" s="29">
        <v>256</v>
      </c>
      <c r="I34" s="29">
        <v>296</v>
      </c>
      <c r="J34" s="29">
        <v>263</v>
      </c>
      <c r="K34" s="30">
        <v>234</v>
      </c>
      <c r="L34" s="29">
        <v>316</v>
      </c>
      <c r="M34" s="29">
        <v>337</v>
      </c>
      <c r="N34" s="29">
        <v>256</v>
      </c>
      <c r="O34" s="29">
        <v>209</v>
      </c>
      <c r="P34" s="29">
        <v>585</v>
      </c>
      <c r="Q34" s="29">
        <v>688</v>
      </c>
      <c r="R34" s="29">
        <v>716</v>
      </c>
      <c r="S34" s="29">
        <v>741</v>
      </c>
      <c r="T34" s="29">
        <v>1075</v>
      </c>
      <c r="U34" s="3"/>
    </row>
    <row r="35" spans="1:21" s="27" customFormat="1" ht="15.75" x14ac:dyDescent="0.2">
      <c r="A35" s="24" t="s">
        <v>47</v>
      </c>
      <c r="B35" s="25">
        <v>220</v>
      </c>
      <c r="C35" s="25">
        <v>109</v>
      </c>
      <c r="D35" s="25">
        <v>231</v>
      </c>
      <c r="E35" s="25">
        <v>243</v>
      </c>
      <c r="F35" s="25">
        <v>199</v>
      </c>
      <c r="G35" s="25">
        <v>316</v>
      </c>
      <c r="H35" s="25">
        <v>422</v>
      </c>
      <c r="I35" s="26">
        <v>519</v>
      </c>
      <c r="J35" s="26">
        <v>231</v>
      </c>
      <c r="K35" s="26">
        <v>145</v>
      </c>
      <c r="L35" s="25">
        <v>357</v>
      </c>
      <c r="M35" s="25">
        <v>440</v>
      </c>
      <c r="N35" s="25">
        <v>217</v>
      </c>
      <c r="O35" s="25">
        <v>242</v>
      </c>
      <c r="P35" s="25">
        <v>529</v>
      </c>
      <c r="Q35" s="25">
        <v>478</v>
      </c>
      <c r="R35" s="25">
        <v>500</v>
      </c>
      <c r="S35" s="25">
        <v>692</v>
      </c>
      <c r="T35" s="25">
        <v>878</v>
      </c>
      <c r="U35" s="3"/>
    </row>
    <row r="36" spans="1:21" s="27" customFormat="1" ht="15.75" x14ac:dyDescent="0.2">
      <c r="A36" s="28" t="s">
        <v>48</v>
      </c>
      <c r="B36" s="29">
        <v>0</v>
      </c>
      <c r="C36" s="29" t="s">
        <v>36</v>
      </c>
      <c r="D36" s="29" t="s">
        <v>36</v>
      </c>
      <c r="E36" s="29" t="s">
        <v>36</v>
      </c>
      <c r="F36" s="29" t="s">
        <v>36</v>
      </c>
      <c r="G36" s="29">
        <v>61</v>
      </c>
      <c r="H36" s="29">
        <v>79</v>
      </c>
      <c r="I36" s="30">
        <v>91</v>
      </c>
      <c r="J36" s="30">
        <v>44</v>
      </c>
      <c r="K36" s="30">
        <v>45</v>
      </c>
      <c r="L36" s="29">
        <v>83</v>
      </c>
      <c r="M36" s="29">
        <v>86</v>
      </c>
      <c r="N36" s="29">
        <v>61</v>
      </c>
      <c r="O36" s="29">
        <v>75</v>
      </c>
      <c r="P36" s="29">
        <v>185</v>
      </c>
      <c r="Q36" s="29">
        <v>201</v>
      </c>
      <c r="R36" s="29">
        <v>250</v>
      </c>
      <c r="S36" s="29">
        <v>299</v>
      </c>
      <c r="T36" s="29" t="s">
        <v>36</v>
      </c>
      <c r="U36" s="3"/>
    </row>
    <row r="37" spans="1:21" s="27" customFormat="1" ht="15.75" x14ac:dyDescent="0.2">
      <c r="A37" s="24" t="s">
        <v>49</v>
      </c>
      <c r="B37" s="25">
        <v>0</v>
      </c>
      <c r="C37" s="25">
        <v>14</v>
      </c>
      <c r="D37" s="25">
        <v>10</v>
      </c>
      <c r="E37" s="25">
        <v>19</v>
      </c>
      <c r="F37" s="25">
        <v>19</v>
      </c>
      <c r="G37" s="25">
        <v>26</v>
      </c>
      <c r="H37" s="25">
        <v>41</v>
      </c>
      <c r="I37" s="26">
        <v>38</v>
      </c>
      <c r="J37" s="26">
        <v>43</v>
      </c>
      <c r="K37" s="26">
        <v>47</v>
      </c>
      <c r="L37" s="25">
        <v>65</v>
      </c>
      <c r="M37" s="25">
        <v>67</v>
      </c>
      <c r="N37" s="25">
        <v>75</v>
      </c>
      <c r="O37" s="25">
        <v>111</v>
      </c>
      <c r="P37" s="25">
        <v>216</v>
      </c>
      <c r="Q37" s="25">
        <v>245</v>
      </c>
      <c r="R37" s="25">
        <v>297</v>
      </c>
      <c r="S37" s="25">
        <v>461</v>
      </c>
      <c r="T37" s="25">
        <v>634</v>
      </c>
      <c r="U37" s="3"/>
    </row>
    <row r="38" spans="1:21" s="27" customFormat="1" ht="14.25" x14ac:dyDescent="0.2">
      <c r="A38" s="28" t="s">
        <v>50</v>
      </c>
      <c r="B38" s="29">
        <v>0</v>
      </c>
      <c r="C38" s="29">
        <v>76</v>
      </c>
      <c r="D38" s="29">
        <v>61</v>
      </c>
      <c r="E38" s="29">
        <v>72</v>
      </c>
      <c r="F38" s="29">
        <v>62</v>
      </c>
      <c r="G38" s="29">
        <v>87</v>
      </c>
      <c r="H38" s="29">
        <v>100</v>
      </c>
      <c r="I38" s="30">
        <v>116</v>
      </c>
      <c r="J38" s="30">
        <v>130</v>
      </c>
      <c r="K38" s="30">
        <v>118</v>
      </c>
      <c r="L38" s="29">
        <v>137</v>
      </c>
      <c r="M38" s="29">
        <v>138</v>
      </c>
      <c r="N38" s="29">
        <v>141</v>
      </c>
      <c r="O38" s="29">
        <v>127</v>
      </c>
      <c r="P38" s="29">
        <v>328</v>
      </c>
      <c r="Q38" s="29">
        <v>334</v>
      </c>
      <c r="R38" s="29">
        <v>419</v>
      </c>
      <c r="S38" s="29">
        <v>539</v>
      </c>
      <c r="T38" s="29">
        <v>789</v>
      </c>
    </row>
    <row r="39" spans="1:21" s="27" customFormat="1" ht="14.25" x14ac:dyDescent="0.2">
      <c r="A39" s="24" t="s">
        <v>40</v>
      </c>
      <c r="B39" s="25">
        <v>534</v>
      </c>
      <c r="C39" s="25">
        <v>577</v>
      </c>
      <c r="D39" s="25">
        <v>392</v>
      </c>
      <c r="E39" s="25">
        <v>457</v>
      </c>
      <c r="F39" s="25">
        <v>355</v>
      </c>
      <c r="G39" s="25">
        <v>426</v>
      </c>
      <c r="H39" s="25">
        <v>627</v>
      </c>
      <c r="I39" s="26">
        <v>477</v>
      </c>
      <c r="J39" s="26">
        <v>412</v>
      </c>
      <c r="K39" s="26">
        <v>350</v>
      </c>
      <c r="L39" s="25">
        <v>362</v>
      </c>
      <c r="M39" s="25">
        <v>373</v>
      </c>
      <c r="N39" s="25">
        <v>380</v>
      </c>
      <c r="O39" s="25">
        <v>353</v>
      </c>
      <c r="P39" s="25">
        <v>919</v>
      </c>
      <c r="Q39" s="25">
        <v>1142</v>
      </c>
      <c r="R39" s="25">
        <v>1175</v>
      </c>
      <c r="S39" s="25">
        <v>1422</v>
      </c>
      <c r="T39" s="25">
        <v>2386</v>
      </c>
    </row>
    <row r="40" spans="1:21" s="23" customFormat="1" ht="21.75" customHeight="1" x14ac:dyDescent="0.25">
      <c r="A40" s="18" t="s">
        <v>51</v>
      </c>
      <c r="B40" s="19">
        <v>8</v>
      </c>
      <c r="C40" s="19">
        <v>8</v>
      </c>
      <c r="D40" s="19">
        <v>11</v>
      </c>
      <c r="E40" s="19">
        <v>9</v>
      </c>
      <c r="F40" s="19">
        <v>15</v>
      </c>
      <c r="G40" s="19">
        <v>25</v>
      </c>
      <c r="H40" s="19">
        <v>24</v>
      </c>
      <c r="I40" s="32">
        <v>21</v>
      </c>
      <c r="J40" s="32">
        <v>18</v>
      </c>
      <c r="K40" s="32">
        <v>14</v>
      </c>
      <c r="L40" s="19">
        <v>17</v>
      </c>
      <c r="M40" s="19">
        <v>12</v>
      </c>
      <c r="N40" s="19">
        <v>14</v>
      </c>
      <c r="O40" s="19">
        <v>12</v>
      </c>
      <c r="P40" s="19">
        <v>59</v>
      </c>
      <c r="Q40" s="19">
        <v>56</v>
      </c>
      <c r="R40" s="19">
        <v>66</v>
      </c>
      <c r="S40" s="19">
        <v>70</v>
      </c>
      <c r="T40" s="19">
        <v>461</v>
      </c>
    </row>
    <row r="41" spans="1:21" s="36" customFormat="1" ht="23.25" customHeight="1" x14ac:dyDescent="0.2">
      <c r="A41" s="44" t="s">
        <v>57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4"/>
      <c r="M41" s="33"/>
      <c r="N41" s="35"/>
      <c r="S41" s="3"/>
      <c r="T41" s="3"/>
    </row>
    <row r="42" spans="1:21" s="36" customFormat="1" ht="15.75" x14ac:dyDescent="0.2">
      <c r="A42" s="13" t="s">
        <v>52</v>
      </c>
      <c r="B42" s="37"/>
      <c r="C42" s="30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8"/>
      <c r="P42" s="38"/>
      <c r="Q42" s="38"/>
      <c r="R42" s="38"/>
    </row>
    <row r="43" spans="1:21" s="36" customFormat="1" x14ac:dyDescent="0.2"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</row>
    <row r="44" spans="1:21" s="36" customFormat="1" ht="18" x14ac:dyDescent="0.2">
      <c r="A44" s="47"/>
      <c r="B44" s="48"/>
      <c r="C44" s="48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</row>
    <row r="45" spans="1:21" x14ac:dyDescent="0.2">
      <c r="A45" s="49"/>
      <c r="B45" s="50"/>
      <c r="C45" s="50"/>
    </row>
    <row r="46" spans="1:21" ht="20.25" x14ac:dyDescent="0.3">
      <c r="A46" s="5"/>
      <c r="B46" s="6"/>
      <c r="C46" s="7"/>
    </row>
    <row r="47" spans="1:21" ht="15" x14ac:dyDescent="0.2">
      <c r="A47" s="51"/>
      <c r="B47" s="50"/>
      <c r="C47" s="50"/>
    </row>
    <row r="48" spans="1:21" ht="15" x14ac:dyDescent="0.2">
      <c r="A48" s="51"/>
      <c r="B48" s="50"/>
      <c r="C48" s="50"/>
    </row>
    <row r="49" spans="1:3" ht="15" x14ac:dyDescent="0.2">
      <c r="A49" s="51"/>
      <c r="B49" s="50"/>
      <c r="C49" s="50"/>
    </row>
    <row r="50" spans="1:3" ht="15" x14ac:dyDescent="0.2">
      <c r="A50" s="51"/>
      <c r="B50" s="50"/>
      <c r="C50" s="50"/>
    </row>
    <row r="51" spans="1:3" ht="15" x14ac:dyDescent="0.2">
      <c r="A51" s="51"/>
      <c r="B51" s="50"/>
      <c r="C51" s="50"/>
    </row>
    <row r="52" spans="1:3" ht="15" x14ac:dyDescent="0.2">
      <c r="A52" s="51"/>
      <c r="B52" s="50"/>
      <c r="C52" s="50"/>
    </row>
    <row r="53" spans="1:3" ht="15.75" x14ac:dyDescent="0.25">
      <c r="A53" s="52"/>
      <c r="B53" s="50"/>
      <c r="C53" s="50"/>
    </row>
  </sheetData>
  <phoneticPr fontId="0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scale="70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22</FiscalYear>
    <Frequency xmlns="4a1cef21-950b-48ce-bef3-2690db201377">Annual</Frequency>
    <_dlc_DocId xmlns="806035d9-ad3b-44db-92a1-1ed4b9daec3e">7NQWTN4WQ7WA-971242747-94</_dlc_DocId>
    <_dlc_DocIdUrl xmlns="806035d9-ad3b-44db-92a1-1ed4b9daec3e">
      <Url>http://cbe-test-spsql:4050/_layouts/15/DocIdRedir.aspx?ID=7NQWTN4WQ7WA-971242747-94</Url>
      <Description>7NQWTN4WQ7WA-971242747-94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04D353-C7EC-43E7-8E95-80621FBBE67E}"/>
</file>

<file path=customXml/itemProps2.xml><?xml version="1.0" encoding="utf-8"?>
<ds:datastoreItem xmlns:ds="http://schemas.openxmlformats.org/officeDocument/2006/customXml" ds:itemID="{AD61B3A8-6405-4F12-8859-D0389D0A3BD7}"/>
</file>

<file path=customXml/itemProps3.xml><?xml version="1.0" encoding="utf-8"?>
<ds:datastoreItem xmlns:ds="http://schemas.openxmlformats.org/officeDocument/2006/customXml" ds:itemID="{4BB88FED-E059-4FD5-9EC7-F8DF6631003E}"/>
</file>

<file path=customXml/itemProps4.xml><?xml version="1.0" encoding="utf-8"?>
<ds:datastoreItem xmlns:ds="http://schemas.openxmlformats.org/officeDocument/2006/customXml" ds:itemID="{CA3D8CB3-0615-4590-84B2-C3335B17A7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Number of Tourist  Nights  (By </vt:lpstr>
      <vt:lpstr>'Number of Tourist  Nights  (By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Number_of_Tourist__Nights__(By_Group)</dc:title>
  <dc:creator>Internet Library</dc:creator>
  <cp:lastModifiedBy>Internet Library</cp:lastModifiedBy>
  <cp:lastPrinted>2007-08-08T10:21:14Z</cp:lastPrinted>
  <dcterms:created xsi:type="dcterms:W3CDTF">2017-11-05T11:05:30Z</dcterms:created>
  <dcterms:modified xsi:type="dcterms:W3CDTF">2017-11-05T11:06:18Z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9400</vt:r8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ContentTypeId">
    <vt:lpwstr>0x0101000F4E389F7C5D8E45A95A9ACBCB8FEC82</vt:lpwstr>
  </property>
  <property fmtid="{D5CDD505-2E9C-101B-9397-08002B2CF9AE}" pid="6" name="_dlc_Exempt">
    <vt:lpwstr>false</vt:lpwstr>
  </property>
  <property fmtid="{D5CDD505-2E9C-101B-9397-08002B2CF9AE}" pid="7" name="_SharedFileIndex">
    <vt:lpwstr/>
  </property>
  <property fmtid="{D5CDD505-2E9C-101B-9397-08002B2CF9AE}" pid="8" name="_SourceUrl">
    <vt:lpwstr/>
  </property>
  <property fmtid="{D5CDD505-2E9C-101B-9397-08002B2CF9AE}" pid="9" name="TemplateUrl">
    <vt:lpwstr/>
  </property>
  <property fmtid="{D5CDD505-2E9C-101B-9397-08002B2CF9AE}" pid="10" name="_dlc_DocIdItemGuid">
    <vt:lpwstr>a98cb380-b900-46ec-b9e8-f1c2c7def2a2</vt:lpwstr>
  </property>
</Properties>
</file>