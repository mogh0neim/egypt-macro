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ميزان المدفوعات\ميزان المدفوعات\BOP(1)\Bop(2)\Time Series\2016-2017 + updates\"/>
    </mc:Choice>
  </mc:AlternateContent>
  <xr:revisionPtr revIDLastSave="0" documentId="13_ncr:1_{123AD13E-7CBD-4B92-B5C2-15D1520459A5}" xr6:coauthVersionLast="47" xr6:coauthVersionMax="47" xr10:uidLastSave="{00000000-0000-0000-0000-000000000000}"/>
  <bookViews>
    <workbookView xWindow="-120" yWindow="-120" windowWidth="29040" windowHeight="15720" xr2:uid="{0A52E617-D98C-44B5-9EA6-FD246C027755}"/>
  </bookViews>
  <sheets>
    <sheet name="2024-2025" sheetId="1" r:id="rId1"/>
  </sheets>
  <definedNames>
    <definedName name="_xlnm.Print_Area" localSheetId="0">'2024-2025'!$A$2:$F$70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41" i="1"/>
</calcChain>
</file>

<file path=xl/sharedStrings.xml><?xml version="1.0" encoding="utf-8"?>
<sst xmlns="http://schemas.openxmlformats.org/spreadsheetml/2006/main" count="132" uniqueCount="113">
  <si>
    <t xml:space="preserve">Balance of Payments  </t>
  </si>
  <si>
    <t>(US.$mn)</t>
  </si>
  <si>
    <t>Q1</t>
  </si>
  <si>
    <t>الميزان التجارى</t>
  </si>
  <si>
    <t>Trade Balance</t>
  </si>
  <si>
    <t>حصيلة الصادرات</t>
  </si>
  <si>
    <t xml:space="preserve">  صادرات بترولية</t>
  </si>
  <si>
    <t xml:space="preserve">  صادرات  اخرى                                                      </t>
  </si>
  <si>
    <t xml:space="preserve">مدفوعات عن الواردات </t>
  </si>
  <si>
    <t xml:space="preserve">  ورادات بترولية</t>
  </si>
  <si>
    <t xml:space="preserve">  واردات  اخرى                                                        </t>
  </si>
  <si>
    <t>ميزان الخدمات</t>
  </si>
  <si>
    <t>المتحصلات</t>
  </si>
  <si>
    <t xml:space="preserve">   Transportation </t>
  </si>
  <si>
    <t>متحصلات حكومية</t>
  </si>
  <si>
    <t xml:space="preserve">   Government Receipts</t>
  </si>
  <si>
    <t>متحصلات اخرى</t>
  </si>
  <si>
    <t>المدفوعات</t>
  </si>
  <si>
    <t>النقل</t>
  </si>
  <si>
    <t>السفر</t>
  </si>
  <si>
    <t xml:space="preserve">   Travel</t>
  </si>
  <si>
    <t xml:space="preserve">   Government Expenditures</t>
  </si>
  <si>
    <t>مدفوعات اخرى</t>
  </si>
  <si>
    <t>ميزان دخل الاستثمار (صافى)</t>
  </si>
  <si>
    <t>متحصلات دخل الاستثمار</t>
  </si>
  <si>
    <t>التحويلات</t>
  </si>
  <si>
    <t>Transfers</t>
  </si>
  <si>
    <t>*بيانات مبدئية</t>
  </si>
  <si>
    <t>* Preliminary</t>
  </si>
  <si>
    <t>Balance of Payments (cont.)</t>
  </si>
  <si>
    <t>الحساب الرأسمالى والمالي</t>
  </si>
  <si>
    <t>الحساب الرأسمالى</t>
  </si>
  <si>
    <t xml:space="preserve"> الحساب المالي</t>
  </si>
  <si>
    <t>Portfolio Investment in Egypt (net)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</si>
  <si>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</si>
  <si>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</si>
  <si>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</si>
  <si>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</si>
  <si>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المستخدم</t>
  </si>
  <si>
    <t>المسدد</t>
  </si>
  <si>
    <t>Other Assets</t>
  </si>
  <si>
    <t xml:space="preserve">              Banks</t>
  </si>
  <si>
    <t xml:space="preserve">              Other </t>
  </si>
  <si>
    <t>Other Liabilities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</si>
  <si>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</si>
  <si>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</si>
  <si>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</si>
  <si>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</si>
  <si>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</si>
  <si>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 xml:space="preserve">Direct Investment In Egypt (net) </t>
  </si>
  <si>
    <t>July/Sep 2024*</t>
  </si>
  <si>
    <t>Q2</t>
  </si>
  <si>
    <t>Oct./Dec. 2024*</t>
  </si>
  <si>
    <t xml:space="preserve">النقل  </t>
  </si>
  <si>
    <t xml:space="preserve">    منها: رسوم المرور فى قناة السويس           </t>
  </si>
  <si>
    <t xml:space="preserve"> السفر</t>
  </si>
  <si>
    <t>مصروفات حكومية</t>
  </si>
  <si>
    <t xml:space="preserve">مدفوعات دخل الاستثمار </t>
  </si>
  <si>
    <t xml:space="preserve">     منها: فوائد مدفوعة</t>
  </si>
  <si>
    <t>التحويلات الخاصة (صافى)</t>
  </si>
  <si>
    <t xml:space="preserve">     منها: تحويلات العاملين</t>
  </si>
  <si>
    <t>التحويلات الرسمية (صافى)</t>
  </si>
  <si>
    <t>حساب المعاملات الجارية</t>
  </si>
  <si>
    <t xml:space="preserve"> منها: سندات </t>
  </si>
  <si>
    <t xml:space="preserve">قروض متوسطة وطويلة الاجل  </t>
  </si>
  <si>
    <t xml:space="preserve"> تسهيلات موردين ومشترين متوسطة وطويلة الاجل  </t>
  </si>
  <si>
    <t>تسهيلات موردين ومشترين قصيرة الاجل (صافى)‏</t>
  </si>
  <si>
    <t xml:space="preserve"> اصول اخرى</t>
  </si>
  <si>
    <t xml:space="preserve">البنك المركزى                                         </t>
  </si>
  <si>
    <t xml:space="preserve">اخرى                                                      </t>
  </si>
  <si>
    <t>خصوم اخرى</t>
  </si>
  <si>
    <t xml:space="preserve">البنك المركزى                                           </t>
  </si>
  <si>
    <t xml:space="preserve">البنوك                                                     </t>
  </si>
  <si>
    <t>التغير فى الاصول الاحتياطية للبنك المركزى، الزيادة(-)</t>
  </si>
  <si>
    <t xml:space="preserve">   Exports</t>
  </si>
  <si>
    <t xml:space="preserve">         Petroleum   </t>
  </si>
  <si>
    <t xml:space="preserve">        Other Exports</t>
  </si>
  <si>
    <t xml:space="preserve">   Imports</t>
  </si>
  <si>
    <t>Services Balance (net)</t>
  </si>
  <si>
    <t xml:space="preserve">Receipts  </t>
  </si>
  <si>
    <t xml:space="preserve">          of which: Suez Canal dues</t>
  </si>
  <si>
    <t xml:space="preserve">   Other</t>
  </si>
  <si>
    <t xml:space="preserve">Payments </t>
  </si>
  <si>
    <t>Income Balance (net)</t>
  </si>
  <si>
    <t xml:space="preserve">    Income receipts</t>
  </si>
  <si>
    <t xml:space="preserve">    Income payments </t>
  </si>
  <si>
    <t xml:space="preserve">        of which:  Interest Paid</t>
  </si>
  <si>
    <t>Private Transfers (net)</t>
  </si>
  <si>
    <t>Official Transfers (net)</t>
  </si>
  <si>
    <t>Current Account Balance</t>
  </si>
  <si>
    <t xml:space="preserve">  Capital &amp; Financial Account</t>
  </si>
  <si>
    <t xml:space="preserve">  Capital Account</t>
  </si>
  <si>
    <t xml:space="preserve">  Financial Account</t>
  </si>
  <si>
    <t>Direct Investment Abroad (net)</t>
  </si>
  <si>
    <t>Portfolio Investment Abroad(net)</t>
  </si>
  <si>
    <t xml:space="preserve">         of which: Bonds</t>
  </si>
  <si>
    <t xml:space="preserve">       M&amp;L Term Loans</t>
  </si>
  <si>
    <t xml:space="preserve">              Drawings</t>
  </si>
  <si>
    <t xml:space="preserve">              Repayments</t>
  </si>
  <si>
    <t xml:space="preserve">        M&amp; L Term buyers' and suppliers' Credit </t>
  </si>
  <si>
    <t xml:space="preserve">        Short Term buyers' and suppliers'  Credit (net)</t>
  </si>
  <si>
    <t xml:space="preserve">              Central Bank </t>
  </si>
  <si>
    <t xml:space="preserve">             Central Bank </t>
  </si>
  <si>
    <t>Change in CBE's reserve assets (increase = -)</t>
  </si>
  <si>
    <t xml:space="preserve">        of which:  Workers' Remittances</t>
  </si>
  <si>
    <t>Q3</t>
  </si>
  <si>
    <t>Jan/March 2025*</t>
  </si>
  <si>
    <t>Q4</t>
  </si>
  <si>
    <t>Apr./June 2025*</t>
  </si>
  <si>
    <t>الاستثمار المباشر في الخارج (صافى )</t>
  </si>
  <si>
    <t xml:space="preserve">الاستثمار المباشر في  مصر (صافى ) </t>
  </si>
  <si>
    <t>استثمارات محفظة الاوراق المالية  فى الخارج (صافى )</t>
  </si>
  <si>
    <t>استثمارات محفظة الاوراق المالية  فى  مصر (صافى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</si>
</sst>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u/>
      <sz val="13"/>
      <name val="Times New (W1)"/>
      <family val="1"/>
    </font>
    <font>
      <sz val="14"/>
      <name val="Times New (W1)"/>
      <family val="1"/>
    </font>
    <font>
      <sz val="13"/>
      <name val="Times New (W1)"/>
      <family val="1"/>
    </font>
    <font>
      <sz val="14"/>
      <name val="Arial"/>
      <family val="2"/>
    </font>
    <font>
      <i/>
      <sz val="13"/>
      <name val="Times New (W1)"/>
      <charset val="178"/>
    </font>
    <font>
      <i/>
      <sz val="13"/>
      <name val="Times New (W1)"/>
      <family val="1"/>
    </font>
    <font>
      <i/>
      <sz val="13"/>
      <name val="Arial"/>
      <family val="2"/>
    </font>
    <font>
      <i/>
      <sz val="12"/>
      <name val="Times New (W1)"/>
      <family val="1"/>
    </font>
    <font>
      <i/>
      <sz val="14"/>
      <name val="Times New (W1)"/>
      <family val="1"/>
    </font>
    <font>
      <i/>
      <sz val="12"/>
      <name val="Arial"/>
      <family val="2"/>
    </font>
    <font>
      <sz val="12"/>
      <name val="Arial"/>
      <family val="2"/>
    </font>
    <font>
      <i/>
      <sz val="12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sz val="10"/>
      <name val="Arial"/>
      <family val="2"/>
      <charset val="178"/>
    </font>
    <font>
      <b/>
      <sz val="13"/>
      <name val="Times New (W1)"/>
      <family val="1"/>
    </font>
    <font>
      <sz val="13"/>
      <name val="Arial"/>
      <family val="2"/>
    </font>
    <font>
      <u/>
      <sz val="12"/>
      <name val="Times New (W1)"/>
      <charset val="178"/>
    </font>
    <font>
      <u/>
      <sz val="13"/>
      <name val="Times New (W1)"/>
      <family val="1"/>
    </font>
    <font>
      <u/>
      <sz val="12"/>
      <name val="Times New (W1)"/>
      <family val="1"/>
    </font>
    <font>
      <u/>
      <sz val="12"/>
      <name val="Arial"/>
      <family val="2"/>
    </font>
    <font>
      <b/>
      <sz val="9"/>
      <name val="Times New (W1)"/>
      <family val="1"/>
    </font>
    <font>
      <b/>
      <sz val="14"/>
      <name val="Arial"/>
      <family val="2"/>
    </font>
    <font>
      <sz val="10"/>
      <name val="Arabic Transparent"/>
      <charset val="178"/>
    </font>
    <font>
      <u/>
      <sz val="14"/>
      <name val="Times New (W1)"/>
    </font>
    <font>
      <i/>
      <sz val="14"/>
      <name val="Times New (W1)"/>
      <charset val="178"/>
    </font>
    <font>
      <b/>
      <u/>
      <sz val="14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7" fillId="0" borderId="0"/>
    <xf numFmtId="0" fontId="17" fillId="0" borderId="0"/>
    <xf numFmtId="0" fontId="17" fillId="0" borderId="0"/>
    <xf numFmtId="0" fontId="28" fillId="0" borderId="0" applyNumberFormat="0">
      <alignment horizontal="right"/>
    </xf>
  </cellStyleXfs>
  <cellXfs count="105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Border="1"/>
    <xf numFmtId="164" fontId="5" fillId="0" borderId="0" xfId="0" applyNumberFormat="1" applyFont="1" applyFill="1" applyAlignment="1">
      <alignment horizontal="center" readingOrder="1"/>
    </xf>
    <xf numFmtId="164" fontId="7" fillId="0" borderId="0" xfId="0" applyNumberFormat="1" applyFont="1" applyFill="1" applyAlignment="1">
      <alignment horizontal="center" readingOrder="1"/>
    </xf>
    <xf numFmtId="0" fontId="8" fillId="0" borderId="0" xfId="0" applyFont="1" applyBorder="1"/>
    <xf numFmtId="0" fontId="8" fillId="0" borderId="0" xfId="0" applyFont="1"/>
    <xf numFmtId="0" fontId="11" fillId="0" borderId="0" xfId="0" applyFont="1" applyBorder="1"/>
    <xf numFmtId="0" fontId="11" fillId="0" borderId="0" xfId="0" applyFont="1"/>
    <xf numFmtId="0" fontId="14" fillId="0" borderId="0" xfId="0" applyFont="1" applyBorder="1"/>
    <xf numFmtId="0" fontId="14" fillId="0" borderId="0" xfId="0" applyFont="1"/>
    <xf numFmtId="164" fontId="2" fillId="0" borderId="0" xfId="0" applyNumberFormat="1" applyFont="1" applyFill="1" applyAlignment="1">
      <alignment horizontal="center" readingOrder="1"/>
    </xf>
    <xf numFmtId="0" fontId="15" fillId="0" borderId="0" xfId="0" applyFont="1" applyBorder="1"/>
    <xf numFmtId="0" fontId="15" fillId="0" borderId="0" xfId="0" applyFont="1"/>
    <xf numFmtId="164" fontId="5" fillId="0" borderId="6" xfId="0" applyNumberFormat="1" applyFont="1" applyFill="1" applyBorder="1" applyAlignment="1">
      <alignment horizontal="center" readingOrder="1"/>
    </xf>
    <xf numFmtId="0" fontId="0" fillId="0" borderId="6" xfId="0" applyBorder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164" fontId="2" fillId="0" borderId="0" xfId="0" applyNumberFormat="1" applyFont="1" applyFill="1" applyBorder="1" applyAlignment="1">
      <alignment horizontal="center" readingOrder="1"/>
    </xf>
    <xf numFmtId="49" fontId="17" fillId="0" borderId="0" xfId="2" applyNumberFormat="1" applyFont="1" applyFill="1" applyAlignment="1">
      <alignment vertical="center" wrapText="1" readingOrder="1"/>
    </xf>
    <xf numFmtId="0" fontId="15" fillId="0" borderId="0" xfId="3" applyFont="1" applyFill="1" applyAlignment="1">
      <alignment horizontal="left" vertical="center" readingOrder="2"/>
    </xf>
    <xf numFmtId="0" fontId="18" fillId="0" borderId="0" xfId="3" applyFont="1" applyFill="1" applyAlignment="1">
      <alignment vertical="center" readingOrder="2"/>
    </xf>
    <xf numFmtId="0" fontId="15" fillId="0" borderId="0" xfId="3" applyFont="1" applyFill="1" applyAlignment="1">
      <alignment horizontal="center" vertical="center" readingOrder="2"/>
    </xf>
    <xf numFmtId="0" fontId="19" fillId="0" borderId="0" xfId="0" applyFont="1" applyFill="1" applyAlignment="1">
      <alignment readingOrder="1"/>
    </xf>
    <xf numFmtId="0" fontId="3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0" fillId="0" borderId="0" xfId="0" applyNumberFormat="1" applyFont="1" applyFill="1" applyAlignment="1">
      <alignment horizontal="center"/>
    </xf>
    <xf numFmtId="0" fontId="21" fillId="0" borderId="0" xfId="0" applyFont="1" applyBorder="1"/>
    <xf numFmtId="0" fontId="21" fillId="0" borderId="0" xfId="0" applyFont="1"/>
    <xf numFmtId="164" fontId="16" fillId="0" borderId="0" xfId="0" applyNumberFormat="1" applyFont="1" applyFill="1" applyAlignment="1">
      <alignment horizontal="center"/>
    </xf>
    <xf numFmtId="164" fontId="20" fillId="0" borderId="0" xfId="0" quotePrefix="1" applyNumberFormat="1" applyFont="1" applyFill="1" applyAlignment="1">
      <alignment horizontal="center"/>
    </xf>
    <xf numFmtId="164" fontId="23" fillId="0" borderId="0" xfId="0" quotePrefix="1" applyNumberFormat="1" applyFont="1" applyFill="1" applyAlignment="1">
      <alignment horizontal="center"/>
    </xf>
    <xf numFmtId="164" fontId="24" fillId="0" borderId="0" xfId="0" quotePrefix="1" applyNumberFormat="1" applyFont="1" applyFill="1" applyAlignment="1">
      <alignment horizontal="center"/>
    </xf>
    <xf numFmtId="0" fontId="25" fillId="0" borderId="0" xfId="0" applyFont="1" applyBorder="1"/>
    <xf numFmtId="0" fontId="25" fillId="0" borderId="0" xfId="0" applyFont="1"/>
    <xf numFmtId="164" fontId="12" fillId="0" borderId="0" xfId="0" applyNumberFormat="1" applyFont="1" applyFill="1" applyAlignment="1">
      <alignment horizontal="center"/>
    </xf>
    <xf numFmtId="0" fontId="14" fillId="0" borderId="0" xfId="0" applyFont="1" applyFill="1" applyBorder="1"/>
    <xf numFmtId="0" fontId="14" fillId="0" borderId="0" xfId="0" applyFont="1" applyFill="1"/>
    <xf numFmtId="0" fontId="25" fillId="0" borderId="0" xfId="0" applyFont="1" applyFill="1" applyBorder="1"/>
    <xf numFmtId="0" fontId="25" fillId="0" borderId="0" xfId="0" applyFont="1" applyFill="1"/>
    <xf numFmtId="0" fontId="15" fillId="0" borderId="0" xfId="0" applyFont="1" applyBorder="1" applyAlignment="1">
      <alignment horizontal="left" wrapText="1"/>
    </xf>
    <xf numFmtId="164" fontId="27" fillId="0" borderId="0" xfId="0" applyNumberFormat="1" applyFont="1"/>
    <xf numFmtId="0" fontId="15" fillId="0" borderId="0" xfId="1" applyFont="1" applyAlignment="1">
      <alignment vertical="center" wrapText="1" readingOrder="2"/>
    </xf>
    <xf numFmtId="164" fontId="0" fillId="0" borderId="0" xfId="0" applyNumberFormat="1" applyBorder="1"/>
    <xf numFmtId="164" fontId="9" fillId="0" borderId="0" xfId="0" applyNumberFormat="1" applyFont="1" applyFill="1" applyAlignment="1">
      <alignment horizontal="center" readingOrder="1"/>
    </xf>
    <xf numFmtId="164" fontId="23" fillId="0" borderId="0" xfId="0" applyNumberFormat="1" applyFont="1" applyFill="1" applyAlignment="1">
      <alignment horizontal="center" readingOrder="1"/>
    </xf>
    <xf numFmtId="0" fontId="2" fillId="2" borderId="2" xfId="1" applyFont="1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readingOrder="2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readingOrder="2"/>
    </xf>
    <xf numFmtId="0" fontId="4" fillId="3" borderId="4" xfId="0" applyFont="1" applyFill="1" applyBorder="1" applyAlignment="1">
      <alignment readingOrder="1"/>
    </xf>
    <xf numFmtId="0" fontId="29" fillId="3" borderId="4" xfId="0" quotePrefix="1" applyFont="1" applyFill="1" applyBorder="1" applyAlignment="1">
      <alignment horizontal="right" readingOrder="2"/>
    </xf>
    <xf numFmtId="0" fontId="29" fillId="3" borderId="4" xfId="0" applyFont="1" applyFill="1" applyBorder="1" applyAlignment="1">
      <alignment horizontal="left" readingOrder="1"/>
    </xf>
    <xf numFmtId="0" fontId="9" fillId="3" borderId="4" xfId="0" applyFont="1" applyFill="1" applyBorder="1" applyAlignment="1">
      <alignment horizontal="right" readingOrder="2"/>
    </xf>
    <xf numFmtId="0" fontId="10" fillId="3" borderId="4" xfId="0" quotePrefix="1" applyFont="1" applyFill="1" applyBorder="1" applyAlignment="1">
      <alignment horizontal="justify" readingOrder="1"/>
    </xf>
    <xf numFmtId="0" fontId="29" fillId="3" borderId="4" xfId="0" quotePrefix="1" applyFont="1" applyFill="1" applyBorder="1" applyAlignment="1">
      <alignment horizontal="left" readingOrder="1"/>
    </xf>
    <xf numFmtId="0" fontId="10" fillId="3" borderId="4" xfId="0" quotePrefix="1" applyFont="1" applyFill="1" applyBorder="1" applyAlignment="1">
      <alignment horizontal="left" readingOrder="1"/>
    </xf>
    <xf numFmtId="0" fontId="4" fillId="3" borderId="4" xfId="0" quotePrefix="1" applyFont="1" applyFill="1" applyBorder="1" applyAlignment="1">
      <alignment horizontal="left" readingOrder="1"/>
    </xf>
    <xf numFmtId="0" fontId="6" fillId="3" borderId="4" xfId="0" quotePrefix="1" applyFont="1" applyFill="1" applyBorder="1" applyAlignment="1">
      <alignment horizontal="left" readingOrder="1"/>
    </xf>
    <xf numFmtId="0" fontId="13" fillId="3" borderId="4" xfId="0" quotePrefix="1" applyFont="1" applyFill="1" applyBorder="1" applyAlignment="1">
      <alignment horizontal="left" readingOrder="1"/>
    </xf>
    <xf numFmtId="0" fontId="4" fillId="3" borderId="4" xfId="0" applyFont="1" applyFill="1" applyBorder="1" applyAlignment="1">
      <alignment horizontal="left" readingOrder="1"/>
    </xf>
    <xf numFmtId="0" fontId="6" fillId="3" borderId="4" xfId="0" quotePrefix="1" applyFont="1" applyFill="1" applyBorder="1" applyAlignment="1">
      <alignment horizontal="left" indent="1" readingOrder="1"/>
    </xf>
    <xf numFmtId="0" fontId="30" fillId="3" borderId="4" xfId="0" quotePrefix="1" applyFont="1" applyFill="1" applyBorder="1" applyAlignment="1">
      <alignment horizontal="left" indent="1" readingOrder="1"/>
    </xf>
    <xf numFmtId="0" fontId="4" fillId="3" borderId="5" xfId="0" applyFont="1" applyFill="1" applyBorder="1" applyAlignment="1">
      <alignment readingOrder="1"/>
    </xf>
    <xf numFmtId="0" fontId="20" fillId="3" borderId="4" xfId="0" applyFont="1" applyFill="1" applyBorder="1" applyAlignment="1">
      <alignment horizontal="left" indent="2"/>
    </xf>
    <xf numFmtId="0" fontId="20" fillId="3" borderId="4" xfId="0" quotePrefix="1" applyFont="1" applyFill="1" applyBorder="1" applyAlignment="1">
      <alignment horizontal="left" indent="2"/>
    </xf>
    <xf numFmtId="0" fontId="16" fillId="3" borderId="4" xfId="0" quotePrefix="1" applyFont="1" applyFill="1" applyBorder="1" applyAlignment="1">
      <alignment horizontal="left"/>
    </xf>
    <xf numFmtId="0" fontId="23" fillId="3" borderId="4" xfId="0" quotePrefix="1" applyFont="1" applyFill="1" applyBorder="1" applyAlignment="1">
      <alignment horizontal="left" indent="2"/>
    </xf>
    <xf numFmtId="0" fontId="24" fillId="3" borderId="4" xfId="0" quotePrefix="1" applyFont="1" applyFill="1" applyBorder="1" applyAlignment="1">
      <alignment horizontal="left" indent="2"/>
    </xf>
    <xf numFmtId="0" fontId="12" fillId="3" borderId="4" xfId="0" quotePrefix="1" applyFont="1" applyFill="1" applyBorder="1" applyAlignment="1">
      <alignment horizontal="left" indent="2"/>
    </xf>
    <xf numFmtId="0" fontId="22" fillId="3" borderId="4" xfId="0" quotePrefix="1" applyFont="1" applyFill="1" applyBorder="1" applyAlignment="1">
      <alignment horizontal="left" indent="2"/>
    </xf>
    <xf numFmtId="0" fontId="23" fillId="3" borderId="4" xfId="0" applyFont="1" applyFill="1" applyBorder="1" applyAlignment="1">
      <alignment horizontal="left" indent="2"/>
    </xf>
    <xf numFmtId="0" fontId="12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/>
    <xf numFmtId="0" fontId="2" fillId="3" borderId="5" xfId="0" applyFont="1" applyFill="1" applyBorder="1" applyAlignment="1"/>
    <xf numFmtId="0" fontId="2" fillId="2" borderId="7" xfId="0" applyFont="1" applyFill="1" applyBorder="1" applyAlignment="1">
      <alignment horizontal="center" vertical="center" wrapText="1" readingOrder="1"/>
    </xf>
    <xf numFmtId="0" fontId="31" fillId="3" borderId="8" xfId="0" applyFont="1" applyFill="1" applyBorder="1" applyAlignment="1">
      <alignment readingOrder="1"/>
    </xf>
    <xf numFmtId="0" fontId="32" fillId="3" borderId="8" xfId="0" quotePrefix="1" applyFont="1" applyFill="1" applyBorder="1" applyAlignment="1">
      <alignment horizontal="right" indent="1"/>
    </xf>
    <xf numFmtId="0" fontId="33" fillId="3" borderId="8" xfId="0" quotePrefix="1" applyFont="1" applyFill="1" applyBorder="1" applyAlignment="1">
      <alignment horizontal="right" indent="2" readingOrder="2"/>
    </xf>
    <xf numFmtId="0" fontId="34" fillId="3" borderId="8" xfId="0" quotePrefix="1" applyFont="1" applyFill="1" applyBorder="1" applyAlignment="1">
      <alignment horizontal="right" indent="1"/>
    </xf>
    <xf numFmtId="0" fontId="31" fillId="3" borderId="8" xfId="0" applyFont="1" applyFill="1" applyBorder="1" applyAlignment="1"/>
    <xf numFmtId="0" fontId="35" fillId="3" borderId="8" xfId="0" quotePrefix="1" applyFont="1" applyFill="1" applyBorder="1" applyAlignment="1">
      <alignment horizontal="right" indent="2"/>
    </xf>
    <xf numFmtId="0" fontId="35" fillId="3" borderId="8" xfId="0" quotePrefix="1" applyFont="1" applyFill="1" applyBorder="1" applyAlignment="1">
      <alignment horizontal="right" indent="1"/>
    </xf>
    <xf numFmtId="0" fontId="33" fillId="3" borderId="8" xfId="0" quotePrefix="1" applyFont="1" applyFill="1" applyBorder="1" applyAlignment="1">
      <alignment horizontal="right" indent="2"/>
    </xf>
    <xf numFmtId="0" fontId="31" fillId="3" borderId="9" xfId="0" applyFont="1" applyFill="1" applyBorder="1" applyAlignment="1">
      <alignment readingOrder="1"/>
    </xf>
    <xf numFmtId="0" fontId="31" fillId="3" borderId="10" xfId="0" applyFont="1" applyFill="1" applyBorder="1" applyAlignment="1">
      <alignment readingOrder="1"/>
    </xf>
    <xf numFmtId="0" fontId="36" fillId="3" borderId="8" xfId="0" quotePrefix="1" applyFont="1" applyFill="1" applyBorder="1" applyAlignment="1">
      <alignment horizontal="right" indent="1" readingOrder="2"/>
    </xf>
    <xf numFmtId="0" fontId="36" fillId="3" borderId="8" xfId="0" quotePrefix="1" applyFont="1" applyFill="1" applyBorder="1" applyAlignment="1">
      <alignment horizontal="right" indent="1"/>
    </xf>
    <xf numFmtId="0" fontId="33" fillId="3" borderId="8" xfId="0" quotePrefix="1" applyFont="1" applyFill="1" applyBorder="1" applyAlignment="1">
      <alignment horizontal="right" indent="3"/>
    </xf>
    <xf numFmtId="0" fontId="36" fillId="3" borderId="8" xfId="0" applyFont="1" applyFill="1" applyBorder="1" applyAlignment="1">
      <alignment horizontal="right" indent="1" readingOrder="2"/>
    </xf>
    <xf numFmtId="0" fontId="37" fillId="3" borderId="8" xfId="0" applyFont="1" applyFill="1" applyBorder="1" applyAlignment="1">
      <alignment horizontal="right" indent="2" readingOrder="1"/>
    </xf>
    <xf numFmtId="0" fontId="37" fillId="3" borderId="8" xfId="0" quotePrefix="1" applyFont="1" applyFill="1" applyBorder="1" applyAlignment="1">
      <alignment horizontal="right" indent="3"/>
    </xf>
    <xf numFmtId="0" fontId="33" fillId="3" borderId="8" xfId="0" quotePrefix="1" applyFont="1" applyFill="1" applyBorder="1" applyAlignment="1">
      <alignment horizontal="right" indent="5"/>
    </xf>
    <xf numFmtId="0" fontId="31" fillId="3" borderId="9" xfId="0" applyFont="1" applyFill="1" applyBorder="1" applyAlignment="1">
      <alignment readingOrder="2"/>
    </xf>
    <xf numFmtId="0" fontId="26" fillId="0" borderId="0" xfId="0" quotePrefix="1" applyFont="1" applyFill="1" applyBorder="1" applyAlignment="1">
      <alignment vertical="center" readingOrder="1"/>
    </xf>
    <xf numFmtId="164" fontId="2" fillId="0" borderId="9" xfId="0" applyNumberFormat="1" applyFont="1" applyFill="1" applyBorder="1" applyAlignment="1">
      <alignment horizontal="center"/>
    </xf>
    <xf numFmtId="164" fontId="2" fillId="0" borderId="6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 readingOrder="1"/>
    </xf>
    <xf numFmtId="0" fontId="4" fillId="3" borderId="3" xfId="0" applyFont="1" applyFill="1" applyBorder="1" applyAlignment="1">
      <alignment horizontal="left"/>
    </xf>
    <xf numFmtId="0" fontId="4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</cellXfs>
  <cellStyles count="5">
    <cellStyle name="MS_Arabic" xfId="4" xr:uid="{00000000-0005-0000-0000-000000000000}"/>
    <cellStyle name="Normal" xfId="0" builtinId="0"/>
    <cellStyle name="Normal 2" xfId="1" xr:uid="{68010B29-6C7B-4A5F-9A95-F657E91B25D6}"/>
    <cellStyle name="Normal 2 3" xfId="2" xr:uid="{9EA7A619-52B8-4D48-82DF-B867DBD2092F}"/>
    <cellStyle name="Normal_BOP_11_14-19_21" xfId="3" xr:uid="{4A879652-025D-401A-80E0-2E8454535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6D-3941-4D84-B0BC-E5A6BB3BE956}">
  <sheetPr>
    <pageSetUpPr fitToPage="1"/>
  </sheetPr>
  <dimension ref="A2:AN79"/>
  <sheetViews>
    <sheetView tabSelected="1" view="pageBreakPreview" zoomScale="70" zoomScaleNormal="90" zoomScaleSheetLayoutView="70" workbookViewId="0">
      <selection activeCell="A46" sqref="A46"/>
    </sheetView>
  </sheetViews>
  <sheetFormatPr defaultColWidth="9.140625" defaultRowHeight="12.75"/>
  <cols>
    <col min="1" max="1" width="53.5703125" customWidth="1"/>
    <col min="2" max="2" width="65.5703125" style="27" customWidth="1"/>
    <col min="3" max="4" width="19.28515625" customWidth="1"/>
    <col min="5" max="5" width="24.28515625" style="6" customWidth="1"/>
    <col min="6" max="6" width="22.7109375" style="6" customWidth="1"/>
    <col min="7" max="40" width="9.140625" style="6"/>
  </cols>
  <sheetData>
    <row r="2" spans="1:40" s="1" customFormat="1" ht="45.2" customHeight="1">
      <c r="A2" s="101" t="s">
        <v>0</v>
      </c>
      <c r="B2" s="10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s="1" customFormat="1" ht="45.2" customHeight="1" thickBot="1">
      <c r="A3" s="3"/>
      <c r="B3" s="3"/>
      <c r="C3" s="4"/>
      <c r="F3" s="4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25.5" customHeight="1" thickTop="1" thickBot="1">
      <c r="B4"/>
      <c r="C4" s="5" t="s">
        <v>2</v>
      </c>
      <c r="D4" s="50" t="s">
        <v>51</v>
      </c>
      <c r="E4" s="50" t="s">
        <v>105</v>
      </c>
      <c r="F4" s="50" t="s">
        <v>107</v>
      </c>
    </row>
    <row r="5" spans="1:40" ht="36" customHeight="1" thickTop="1" thickBot="1">
      <c r="A5" s="51"/>
      <c r="B5" s="52"/>
      <c r="C5" s="79" t="s">
        <v>50</v>
      </c>
      <c r="D5" s="50" t="s">
        <v>52</v>
      </c>
      <c r="E5" s="50" t="s">
        <v>106</v>
      </c>
      <c r="F5" s="50" t="s">
        <v>108</v>
      </c>
    </row>
    <row r="6" spans="1:40" ht="20.25" customHeight="1" thickTop="1">
      <c r="A6" s="53" t="s">
        <v>3</v>
      </c>
      <c r="B6" s="54" t="s">
        <v>4</v>
      </c>
      <c r="C6" s="7">
        <v>-14060.4</v>
      </c>
      <c r="D6" s="7">
        <v>-13440.6</v>
      </c>
      <c r="E6" s="7">
        <v>-10832.6</v>
      </c>
      <c r="F6" s="7">
        <v>-12675.6</v>
      </c>
    </row>
    <row r="7" spans="1:40" s="10" customFormat="1" ht="20.25" customHeight="1">
      <c r="A7" s="55" t="s">
        <v>5</v>
      </c>
      <c r="B7" s="56" t="s">
        <v>74</v>
      </c>
      <c r="C7" s="49">
        <v>9088.7999999999993</v>
      </c>
      <c r="D7" s="49">
        <v>9622.5</v>
      </c>
      <c r="E7" s="49">
        <v>11038.9</v>
      </c>
      <c r="F7" s="49">
        <v>10455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s="12" customFormat="1" ht="20.25" customHeight="1">
      <c r="A8" s="57" t="s">
        <v>6</v>
      </c>
      <c r="B8" s="58" t="s">
        <v>75</v>
      </c>
      <c r="C8" s="48">
        <v>1193.5999999999999</v>
      </c>
      <c r="D8" s="48">
        <v>1799.2</v>
      </c>
      <c r="E8" s="48">
        <v>1182.0999999999999</v>
      </c>
      <c r="F8" s="48">
        <v>1419.4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s="12" customFormat="1" ht="20.25" customHeight="1">
      <c r="A9" s="57" t="s">
        <v>7</v>
      </c>
      <c r="B9" s="58" t="s">
        <v>76</v>
      </c>
      <c r="C9" s="48">
        <v>7895.2</v>
      </c>
      <c r="D9" s="48">
        <v>7823.3</v>
      </c>
      <c r="E9" s="48">
        <v>9856.7999999999993</v>
      </c>
      <c r="F9" s="48">
        <v>9035.6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s="10" customFormat="1" ht="20.25" customHeight="1">
      <c r="A10" s="55" t="s">
        <v>8</v>
      </c>
      <c r="B10" s="59" t="s">
        <v>77</v>
      </c>
      <c r="C10" s="49">
        <v>-23149.200000000001</v>
      </c>
      <c r="D10" s="49">
        <v>-23063.1</v>
      </c>
      <c r="E10" s="49">
        <v>-21871.5</v>
      </c>
      <c r="F10" s="49">
        <v>-23130.6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s="12" customFormat="1" ht="20.25" customHeight="1">
      <c r="A11" s="57" t="s">
        <v>9</v>
      </c>
      <c r="B11" s="60" t="s">
        <v>75</v>
      </c>
      <c r="C11" s="48">
        <v>-5412.7</v>
      </c>
      <c r="D11" s="48">
        <v>-4248.2</v>
      </c>
      <c r="E11" s="48">
        <v>-4841.8999999999996</v>
      </c>
      <c r="F11" s="48">
        <v>-4986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s="12" customFormat="1" ht="20.25" customHeight="1">
      <c r="A12" s="57" t="s">
        <v>10</v>
      </c>
      <c r="B12" s="60" t="s">
        <v>76</v>
      </c>
      <c r="C12" s="48">
        <v>-17736.5</v>
      </c>
      <c r="D12" s="48">
        <v>-18814.900000000001</v>
      </c>
      <c r="E12" s="48">
        <v>-17029.599999999999</v>
      </c>
      <c r="F12" s="48">
        <v>-18144.599999999999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 customHeight="1">
      <c r="A13" s="80" t="s">
        <v>11</v>
      </c>
      <c r="B13" s="54" t="s">
        <v>78</v>
      </c>
      <c r="C13" s="7">
        <v>4051.5</v>
      </c>
      <c r="D13" s="7">
        <v>3303</v>
      </c>
      <c r="E13" s="7">
        <v>3453.4</v>
      </c>
      <c r="F13" s="7">
        <v>4318.3</v>
      </c>
    </row>
    <row r="14" spans="1:40" ht="20.25" customHeight="1">
      <c r="A14" s="80" t="s">
        <v>12</v>
      </c>
      <c r="B14" s="61" t="s">
        <v>79</v>
      </c>
      <c r="C14" s="7">
        <v>8384.5</v>
      </c>
      <c r="D14" s="7">
        <v>7913.8</v>
      </c>
      <c r="E14" s="7">
        <v>7626.4</v>
      </c>
      <c r="F14" s="7">
        <v>8162.5</v>
      </c>
    </row>
    <row r="15" spans="1:40" ht="20.25" customHeight="1">
      <c r="A15" s="81" t="s">
        <v>53</v>
      </c>
      <c r="B15" s="62" t="s">
        <v>13</v>
      </c>
      <c r="C15" s="8">
        <v>2165.1</v>
      </c>
      <c r="D15" s="8">
        <v>2535.1</v>
      </c>
      <c r="E15" s="8">
        <v>2240.9</v>
      </c>
      <c r="F15" s="8">
        <v>2434.9</v>
      </c>
    </row>
    <row r="16" spans="1:40" s="14" customFormat="1" ht="20.25" customHeight="1">
      <c r="A16" s="82" t="s">
        <v>54</v>
      </c>
      <c r="B16" s="63" t="s">
        <v>80</v>
      </c>
      <c r="C16" s="48">
        <v>931.2</v>
      </c>
      <c r="D16" s="48">
        <v>880.9</v>
      </c>
      <c r="E16" s="48">
        <v>830.1</v>
      </c>
      <c r="F16" s="48">
        <v>973.8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20.25" customHeight="1">
      <c r="A17" s="81" t="s">
        <v>55</v>
      </c>
      <c r="B17" s="62" t="s">
        <v>20</v>
      </c>
      <c r="C17" s="8">
        <v>4815</v>
      </c>
      <c r="D17" s="8">
        <v>3910.9</v>
      </c>
      <c r="E17" s="8">
        <v>3805.7</v>
      </c>
      <c r="F17" s="8">
        <v>4193.7</v>
      </c>
    </row>
    <row r="18" spans="1:40" ht="20.25" customHeight="1">
      <c r="A18" s="81" t="s">
        <v>14</v>
      </c>
      <c r="B18" s="62" t="s">
        <v>15</v>
      </c>
      <c r="C18" s="8">
        <v>263.39999999999998</v>
      </c>
      <c r="D18" s="8">
        <v>231</v>
      </c>
      <c r="E18" s="8">
        <v>221.4</v>
      </c>
      <c r="F18" s="8">
        <v>105.7</v>
      </c>
    </row>
    <row r="19" spans="1:40" ht="20.25" customHeight="1">
      <c r="A19" s="81" t="s">
        <v>16</v>
      </c>
      <c r="B19" s="62" t="s">
        <v>81</v>
      </c>
      <c r="C19" s="8">
        <v>1141</v>
      </c>
      <c r="D19" s="8">
        <v>1236.8</v>
      </c>
      <c r="E19" s="8">
        <v>1358.4</v>
      </c>
      <c r="F19" s="8">
        <v>1428.2</v>
      </c>
    </row>
    <row r="20" spans="1:40" ht="20.25" customHeight="1">
      <c r="A20" s="80" t="s">
        <v>17</v>
      </c>
      <c r="B20" s="61" t="s">
        <v>82</v>
      </c>
      <c r="C20" s="7">
        <v>4333</v>
      </c>
      <c r="D20" s="7">
        <v>4610.8</v>
      </c>
      <c r="E20" s="7">
        <v>4173</v>
      </c>
      <c r="F20" s="7">
        <v>3844.2</v>
      </c>
    </row>
    <row r="21" spans="1:40" ht="20.25" customHeight="1">
      <c r="A21" s="83" t="s">
        <v>18</v>
      </c>
      <c r="B21" s="62" t="s">
        <v>13</v>
      </c>
      <c r="C21" s="8">
        <v>993.2</v>
      </c>
      <c r="D21" s="8">
        <v>916.8</v>
      </c>
      <c r="E21" s="8">
        <v>812.3</v>
      </c>
      <c r="F21" s="8">
        <v>833</v>
      </c>
    </row>
    <row r="22" spans="1:40" ht="20.25" customHeight="1">
      <c r="A22" s="83" t="s">
        <v>19</v>
      </c>
      <c r="B22" s="62" t="s">
        <v>20</v>
      </c>
      <c r="C22" s="8">
        <v>827.9</v>
      </c>
      <c r="D22" s="8">
        <v>1131.8</v>
      </c>
      <c r="E22" s="8">
        <v>1049.4000000000001</v>
      </c>
      <c r="F22" s="8">
        <v>875.7</v>
      </c>
    </row>
    <row r="23" spans="1:40" ht="20.25" customHeight="1">
      <c r="A23" s="83" t="s">
        <v>56</v>
      </c>
      <c r="B23" s="62" t="s">
        <v>21</v>
      </c>
      <c r="C23" s="8">
        <v>751.5</v>
      </c>
      <c r="D23" s="8">
        <v>441.5</v>
      </c>
      <c r="E23" s="8">
        <v>623.79999999999995</v>
      </c>
      <c r="F23" s="8">
        <v>471.2</v>
      </c>
    </row>
    <row r="24" spans="1:40" ht="20.25" customHeight="1">
      <c r="A24" s="83" t="s">
        <v>22</v>
      </c>
      <c r="B24" s="62" t="s">
        <v>81</v>
      </c>
      <c r="C24" s="8">
        <v>1760.4</v>
      </c>
      <c r="D24" s="8">
        <v>2120.6999999999998</v>
      </c>
      <c r="E24" s="8">
        <v>1687.5</v>
      </c>
      <c r="F24" s="8">
        <v>1664.3</v>
      </c>
    </row>
    <row r="25" spans="1:40" ht="20.25" customHeight="1">
      <c r="A25" s="84" t="s">
        <v>23</v>
      </c>
      <c r="B25" s="61" t="s">
        <v>83</v>
      </c>
      <c r="C25" s="15">
        <v>-4257</v>
      </c>
      <c r="D25" s="15">
        <v>-3667.9</v>
      </c>
      <c r="E25" s="15">
        <v>-4227</v>
      </c>
      <c r="F25" s="15">
        <v>-3693.8</v>
      </c>
    </row>
    <row r="26" spans="1:40" ht="20.25" customHeight="1">
      <c r="A26" s="81" t="s">
        <v>24</v>
      </c>
      <c r="B26" s="62" t="s">
        <v>84</v>
      </c>
      <c r="C26" s="8">
        <v>660.6</v>
      </c>
      <c r="D26" s="8">
        <v>648.4</v>
      </c>
      <c r="E26" s="8">
        <v>631.9</v>
      </c>
      <c r="F26" s="8">
        <v>958.7</v>
      </c>
    </row>
    <row r="27" spans="1:40" s="17" customFormat="1" ht="20.25" customHeight="1">
      <c r="A27" s="83" t="s">
        <v>57</v>
      </c>
      <c r="B27" s="62" t="s">
        <v>85</v>
      </c>
      <c r="C27" s="8">
        <v>4917.6000000000004</v>
      </c>
      <c r="D27" s="8">
        <v>4316.3</v>
      </c>
      <c r="E27" s="8">
        <v>4858.8999999999996</v>
      </c>
      <c r="F27" s="8">
        <v>4652.5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ht="20.25" customHeight="1">
      <c r="A28" s="85" t="s">
        <v>58</v>
      </c>
      <c r="B28" s="63" t="s">
        <v>86</v>
      </c>
      <c r="C28" s="48">
        <v>1947</v>
      </c>
      <c r="D28" s="48">
        <v>1854.4</v>
      </c>
      <c r="E28" s="48">
        <v>1912.3</v>
      </c>
      <c r="F28" s="48">
        <v>1601.9</v>
      </c>
    </row>
    <row r="29" spans="1:40" ht="20.25" customHeight="1">
      <c r="A29" s="80" t="s">
        <v>25</v>
      </c>
      <c r="B29" s="64" t="s">
        <v>26</v>
      </c>
      <c r="C29" s="7">
        <v>8356.2999999999993</v>
      </c>
      <c r="D29" s="7">
        <v>8770.1</v>
      </c>
      <c r="E29" s="7">
        <v>9317</v>
      </c>
      <c r="F29" s="7">
        <v>9860.7000000000007</v>
      </c>
    </row>
    <row r="30" spans="1:40" ht="20.25" customHeight="1">
      <c r="A30" s="86" t="s">
        <v>59</v>
      </c>
      <c r="B30" s="65" t="s">
        <v>87</v>
      </c>
      <c r="C30" s="8">
        <v>8307.1</v>
      </c>
      <c r="D30" s="8">
        <v>8718.7999999999993</v>
      </c>
      <c r="E30" s="8">
        <v>9294.4</v>
      </c>
      <c r="F30" s="8">
        <v>9871.7000000000007</v>
      </c>
    </row>
    <row r="31" spans="1:40" ht="20.25" customHeight="1">
      <c r="A31" s="87" t="s">
        <v>60</v>
      </c>
      <c r="B31" s="66" t="s">
        <v>104</v>
      </c>
      <c r="C31" s="48">
        <v>8325.9</v>
      </c>
      <c r="D31" s="48">
        <v>8743.5</v>
      </c>
      <c r="E31" s="48">
        <v>9373.5</v>
      </c>
      <c r="F31" s="48">
        <v>10017.4</v>
      </c>
    </row>
    <row r="32" spans="1:40" ht="20.25" customHeight="1">
      <c r="A32" s="86" t="s">
        <v>61</v>
      </c>
      <c r="B32" s="65" t="s">
        <v>88</v>
      </c>
      <c r="C32" s="8">
        <v>49.2</v>
      </c>
      <c r="D32" s="8">
        <v>51.3</v>
      </c>
      <c r="E32" s="8">
        <v>22.6</v>
      </c>
      <c r="F32" s="8">
        <v>-11</v>
      </c>
    </row>
    <row r="33" spans="1:40" s="19" customFormat="1" ht="20.25" customHeight="1">
      <c r="A33" s="88" t="s">
        <v>62</v>
      </c>
      <c r="B33" s="67" t="s">
        <v>89</v>
      </c>
      <c r="C33" s="18">
        <v>-5909.6</v>
      </c>
      <c r="D33" s="18">
        <v>-5035.3999999999996</v>
      </c>
      <c r="E33" s="18">
        <v>-2289.1999999999998</v>
      </c>
      <c r="F33" s="18">
        <v>-2190.4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ht="20.25" customHeight="1">
      <c r="A34" s="20" t="s">
        <v>27</v>
      </c>
      <c r="B34" s="21" t="s">
        <v>28</v>
      </c>
      <c r="C34" s="22"/>
      <c r="D34" s="22"/>
      <c r="E34" s="47"/>
    </row>
    <row r="35" spans="1:40" ht="27.75" customHeight="1">
      <c r="A35" s="46"/>
      <c r="B35" s="23"/>
      <c r="C35" s="23"/>
      <c r="D35" s="23"/>
    </row>
    <row r="36" spans="1:40" ht="32.25" customHeight="1">
      <c r="A36" s="46"/>
      <c r="B36" s="23"/>
      <c r="C36" s="23"/>
      <c r="D36" s="23"/>
    </row>
    <row r="37" spans="1:40" ht="30.95" customHeight="1">
      <c r="A37" s="20"/>
      <c r="B37" s="24"/>
      <c r="C37" s="25"/>
      <c r="D37" s="25"/>
    </row>
    <row r="38" spans="1:40" ht="30.95" customHeight="1">
      <c r="A38" s="20"/>
      <c r="B38" s="26"/>
      <c r="C38" s="25"/>
      <c r="D38" s="25"/>
    </row>
    <row r="39" spans="1:40" s="1" customFormat="1" ht="45.2" customHeight="1">
      <c r="A39" s="101" t="s">
        <v>29</v>
      </c>
      <c r="B39" s="101"/>
      <c r="C39" s="22"/>
      <c r="D39" s="2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s="1" customFormat="1" ht="45.2" customHeight="1" thickBot="1">
      <c r="B40" s="3"/>
      <c r="C40" s="4"/>
      <c r="F40" s="4" t="s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25.5" customHeight="1" thickTop="1" thickBot="1">
      <c r="C41" s="5" t="s">
        <v>2</v>
      </c>
      <c r="D41" s="50" t="s">
        <v>51</v>
      </c>
      <c r="E41" s="50" t="str">
        <f>E4</f>
        <v>Q3</v>
      </c>
      <c r="F41" s="50" t="s">
        <v>107</v>
      </c>
    </row>
    <row r="42" spans="1:40" ht="35.25" customHeight="1" thickTop="1" thickBot="1">
      <c r="B42" s="28"/>
      <c r="C42" s="5" t="s">
        <v>50</v>
      </c>
      <c r="D42" s="50" t="s">
        <v>52</v>
      </c>
      <c r="E42" s="50" t="str">
        <f>E5</f>
        <v>Jan/March 2025*</v>
      </c>
      <c r="F42" s="50" t="s">
        <v>108</v>
      </c>
    </row>
    <row r="43" spans="1:40" ht="20.25" customHeight="1" thickTop="1">
      <c r="A43" s="89" t="s">
        <v>30</v>
      </c>
      <c r="B43" s="102" t="s">
        <v>90</v>
      </c>
      <c r="C43" s="29">
        <v>3779.4</v>
      </c>
      <c r="D43" s="29">
        <v>5096.8</v>
      </c>
      <c r="E43" s="29">
        <v>-1214.8</v>
      </c>
      <c r="F43" s="29">
        <v>2543.1999999999998</v>
      </c>
    </row>
    <row r="44" spans="1:40" ht="18.75">
      <c r="A44" s="80" t="s">
        <v>31</v>
      </c>
      <c r="B44" s="103" t="s">
        <v>91</v>
      </c>
      <c r="C44" s="29">
        <v>-18.100000000000001</v>
      </c>
      <c r="D44" s="29">
        <v>-72.5</v>
      </c>
      <c r="E44" s="29">
        <v>-60.1</v>
      </c>
      <c r="F44" s="29">
        <v>-52.4</v>
      </c>
    </row>
    <row r="45" spans="1:40" ht="20.25" customHeight="1">
      <c r="A45" s="80" t="s">
        <v>32</v>
      </c>
      <c r="B45" s="104" t="s">
        <v>92</v>
      </c>
      <c r="C45" s="29">
        <v>3797.5</v>
      </c>
      <c r="D45" s="29">
        <v>5169.3</v>
      </c>
      <c r="E45" s="29">
        <v>-1154.7</v>
      </c>
      <c r="F45" s="29">
        <v>2595.6</v>
      </c>
    </row>
    <row r="46" spans="1:40" s="32" customFormat="1" ht="20.25" customHeight="1">
      <c r="A46" s="90" t="s">
        <v>109</v>
      </c>
      <c r="B46" s="68" t="s">
        <v>93</v>
      </c>
      <c r="C46" s="30">
        <v>-91.4</v>
      </c>
      <c r="D46" s="30">
        <v>-141.4</v>
      </c>
      <c r="E46" s="30">
        <v>-169.6</v>
      </c>
      <c r="F46" s="30">
        <v>-121.7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 s="32" customFormat="1" ht="20.25" customHeight="1">
      <c r="A47" s="91" t="s">
        <v>110</v>
      </c>
      <c r="B47" s="68" t="s">
        <v>49</v>
      </c>
      <c r="C47" s="30">
        <v>2717.1</v>
      </c>
      <c r="D47" s="30">
        <v>3326.3</v>
      </c>
      <c r="E47" s="30">
        <v>3769.7</v>
      </c>
      <c r="F47" s="30">
        <v>2411.1999999999998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 s="32" customFormat="1" ht="20.25" customHeight="1">
      <c r="A48" s="91" t="s">
        <v>111</v>
      </c>
      <c r="B48" s="68" t="s">
        <v>94</v>
      </c>
      <c r="C48" s="30">
        <v>-49.3</v>
      </c>
      <c r="D48" s="30">
        <v>-37.9</v>
      </c>
      <c r="E48" s="30">
        <v>-26.8</v>
      </c>
      <c r="F48" s="30">
        <v>21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 s="32" customFormat="1" ht="20.25" customHeight="1">
      <c r="A49" s="91" t="s">
        <v>112</v>
      </c>
      <c r="B49" s="69" t="s">
        <v>33</v>
      </c>
      <c r="C49" s="30">
        <v>-384.7</v>
      </c>
      <c r="D49" s="30">
        <v>-2808</v>
      </c>
      <c r="E49" s="30">
        <v>5336</v>
      </c>
      <c r="F49" s="30">
        <v>-514.70000000000005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 ht="20.25" customHeight="1">
      <c r="A50" s="92" t="s">
        <v>63</v>
      </c>
      <c r="B50" s="70" t="s">
        <v>95</v>
      </c>
      <c r="C50" s="33">
        <v>-86.2</v>
      </c>
      <c r="D50" s="33">
        <v>273.8</v>
      </c>
      <c r="E50" s="33">
        <v>1940.1</v>
      </c>
      <c r="F50" s="33">
        <v>-992.6</v>
      </c>
    </row>
    <row r="51" spans="1:40" s="32" customFormat="1" ht="20.25" customHeight="1">
      <c r="A51" s="93" t="s">
        <v>34</v>
      </c>
      <c r="B51" s="69" t="s">
        <v>35</v>
      </c>
      <c r="C51" s="34">
        <v>1605.8</v>
      </c>
      <c r="D51" s="34">
        <v>4830.3</v>
      </c>
      <c r="E51" s="34">
        <v>-10064</v>
      </c>
      <c r="F51" s="34">
        <v>799.8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 s="32" customFormat="1" ht="20.25" customHeight="1">
      <c r="A52" s="94" t="s">
        <v>36</v>
      </c>
      <c r="B52" s="71" t="s">
        <v>37</v>
      </c>
      <c r="C52" s="35">
        <v>748.7</v>
      </c>
      <c r="D52" s="35">
        <v>-1316.3</v>
      </c>
      <c r="E52" s="35">
        <v>-234.5</v>
      </c>
      <c r="F52" s="35">
        <v>130.9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 s="38" customFormat="1" ht="20.25" customHeight="1">
      <c r="A53" s="95" t="s">
        <v>64</v>
      </c>
      <c r="B53" s="72" t="s">
        <v>96</v>
      </c>
      <c r="C53" s="35">
        <v>-1064</v>
      </c>
      <c r="D53" s="35">
        <v>13.8</v>
      </c>
      <c r="E53" s="35">
        <v>-404.2</v>
      </c>
      <c r="F53" s="35">
        <v>-855.3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spans="1:40" s="41" customFormat="1" ht="20.25" customHeight="1">
      <c r="A54" s="96" t="s">
        <v>38</v>
      </c>
      <c r="B54" s="73" t="s">
        <v>97</v>
      </c>
      <c r="C54" s="39">
        <v>1039.8</v>
      </c>
      <c r="D54" s="39">
        <v>2039.3</v>
      </c>
      <c r="E54" s="39">
        <v>1611.6</v>
      </c>
      <c r="F54" s="39">
        <v>1249.5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</row>
    <row r="55" spans="1:40" s="41" customFormat="1" ht="20.25" customHeight="1">
      <c r="A55" s="96" t="s">
        <v>39</v>
      </c>
      <c r="B55" s="73" t="s">
        <v>98</v>
      </c>
      <c r="C55" s="39">
        <v>-2103.8000000000002</v>
      </c>
      <c r="D55" s="39">
        <v>-2025.5</v>
      </c>
      <c r="E55" s="39">
        <v>-2015.8</v>
      </c>
      <c r="F55" s="39">
        <v>-2104.8000000000002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</row>
    <row r="56" spans="1:40" s="43" customFormat="1" ht="20.25" customHeight="1">
      <c r="A56" s="95" t="s">
        <v>65</v>
      </c>
      <c r="B56" s="74" t="s">
        <v>99</v>
      </c>
      <c r="C56" s="36">
        <v>23.6</v>
      </c>
      <c r="D56" s="36">
        <v>-947.8</v>
      </c>
      <c r="E56" s="36">
        <v>-180.6</v>
      </c>
      <c r="F56" s="36">
        <v>-106.5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</row>
    <row r="57" spans="1:40" s="41" customFormat="1" ht="19.7" customHeight="1">
      <c r="A57" s="96" t="s">
        <v>38</v>
      </c>
      <c r="B57" s="73" t="s">
        <v>97</v>
      </c>
      <c r="C57" s="39">
        <v>358.4</v>
      </c>
      <c r="D57" s="39">
        <v>2302.6</v>
      </c>
      <c r="E57" s="39">
        <v>177.9</v>
      </c>
      <c r="F57" s="39">
        <v>130.6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</row>
    <row r="58" spans="1:40" s="14" customFormat="1" ht="20.25" customHeight="1">
      <c r="A58" s="96" t="s">
        <v>39</v>
      </c>
      <c r="B58" s="73" t="s">
        <v>98</v>
      </c>
      <c r="C58" s="39">
        <v>-334.8</v>
      </c>
      <c r="D58" s="39">
        <v>-3250.4</v>
      </c>
      <c r="E58" s="39">
        <v>-358.5</v>
      </c>
      <c r="F58" s="39">
        <v>-237.1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s="38" customFormat="1" ht="19.7" customHeight="1">
      <c r="A59" s="95" t="s">
        <v>66</v>
      </c>
      <c r="B59" s="72" t="s">
        <v>100</v>
      </c>
      <c r="C59" s="36">
        <v>1789.1</v>
      </c>
      <c r="D59" s="36">
        <v>-382.3</v>
      </c>
      <c r="E59" s="36">
        <v>350.3</v>
      </c>
      <c r="F59" s="36">
        <v>1092.7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spans="1:40" s="32" customFormat="1" ht="20.25" customHeight="1">
      <c r="A60" s="94" t="s">
        <v>67</v>
      </c>
      <c r="B60" s="75" t="s">
        <v>40</v>
      </c>
      <c r="C60" s="35">
        <v>12.1</v>
      </c>
      <c r="D60" s="35">
        <v>4564.6000000000004</v>
      </c>
      <c r="E60" s="35">
        <v>-8025.9</v>
      </c>
      <c r="F60" s="35">
        <v>-5686.6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 s="14" customFormat="1" ht="20.25" customHeight="1">
      <c r="A61" s="92" t="s">
        <v>68</v>
      </c>
      <c r="B61" s="76" t="s">
        <v>101</v>
      </c>
      <c r="C61" s="39">
        <v>-89.5</v>
      </c>
      <c r="D61" s="39">
        <v>17.2</v>
      </c>
      <c r="E61" s="39">
        <v>-55.7</v>
      </c>
      <c r="F61" s="39">
        <v>-52.6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s="14" customFormat="1" ht="20.25" customHeight="1">
      <c r="A62" s="92" t="s">
        <v>72</v>
      </c>
      <c r="B62" s="76" t="s">
        <v>41</v>
      </c>
      <c r="C62" s="39">
        <v>2115.9</v>
      </c>
      <c r="D62" s="39">
        <v>5251.5</v>
      </c>
      <c r="E62" s="39">
        <v>-7395.6</v>
      </c>
      <c r="F62" s="39">
        <v>-5398.4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s="14" customFormat="1" ht="20.25" customHeight="1">
      <c r="A63" s="92" t="s">
        <v>69</v>
      </c>
      <c r="B63" s="76" t="s">
        <v>42</v>
      </c>
      <c r="C63" s="39">
        <v>-2014.3</v>
      </c>
      <c r="D63" s="39">
        <v>-704.1</v>
      </c>
      <c r="E63" s="39">
        <v>-574.6</v>
      </c>
      <c r="F63" s="39">
        <v>-235.6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s="32" customFormat="1" ht="20.25" customHeight="1">
      <c r="A64" s="94" t="s">
        <v>70</v>
      </c>
      <c r="B64" s="75" t="s">
        <v>43</v>
      </c>
      <c r="C64" s="35">
        <v>845</v>
      </c>
      <c r="D64" s="35">
        <v>1582</v>
      </c>
      <c r="E64" s="35">
        <v>-1803.6</v>
      </c>
      <c r="F64" s="35">
        <v>6355.5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 s="41" customFormat="1" ht="20.25" customHeight="1">
      <c r="A65" s="92" t="s">
        <v>71</v>
      </c>
      <c r="B65" s="76" t="s">
        <v>102</v>
      </c>
      <c r="C65" s="39">
        <v>115.2</v>
      </c>
      <c r="D65" s="39">
        <v>589.29999999999995</v>
      </c>
      <c r="E65" s="39">
        <v>-274.60000000000002</v>
      </c>
      <c r="F65" s="39">
        <v>3139.8</v>
      </c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</row>
    <row r="66" spans="1:40" s="14" customFormat="1" ht="20.25" customHeight="1">
      <c r="A66" s="92" t="s">
        <v>72</v>
      </c>
      <c r="B66" s="76" t="s">
        <v>44</v>
      </c>
      <c r="C66" s="39">
        <v>729.8</v>
      </c>
      <c r="D66" s="39">
        <v>992.7</v>
      </c>
      <c r="E66" s="39">
        <v>-1529</v>
      </c>
      <c r="F66" s="39">
        <v>3215.7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 customHeight="1">
      <c r="A67" s="80" t="s">
        <v>45</v>
      </c>
      <c r="B67" s="77" t="s">
        <v>46</v>
      </c>
      <c r="C67" s="29">
        <v>1139</v>
      </c>
      <c r="D67" s="29">
        <v>427.2</v>
      </c>
      <c r="E67" s="29">
        <v>2128.6999999999998</v>
      </c>
      <c r="F67" s="29">
        <v>-549.20000000000005</v>
      </c>
    </row>
    <row r="68" spans="1:40" ht="20.25" customHeight="1">
      <c r="A68" s="80" t="s">
        <v>47</v>
      </c>
      <c r="B68" s="77" t="s">
        <v>48</v>
      </c>
      <c r="C68" s="29">
        <v>-991.2</v>
      </c>
      <c r="D68" s="29">
        <v>488.6</v>
      </c>
      <c r="E68" s="29">
        <v>-1375.3</v>
      </c>
      <c r="F68" s="29">
        <v>-196.4</v>
      </c>
    </row>
    <row r="69" spans="1:40" ht="20.25" customHeight="1">
      <c r="A69" s="97" t="s">
        <v>73</v>
      </c>
      <c r="B69" s="78" t="s">
        <v>103</v>
      </c>
      <c r="C69" s="99">
        <v>991.2</v>
      </c>
      <c r="D69" s="100">
        <v>-488.6</v>
      </c>
      <c r="E69" s="100">
        <v>1375.3</v>
      </c>
      <c r="F69" s="100">
        <v>196.4</v>
      </c>
    </row>
    <row r="70" spans="1:40" ht="20.25" customHeight="1">
      <c r="A70" s="20" t="s">
        <v>27</v>
      </c>
      <c r="B70" s="21" t="s">
        <v>28</v>
      </c>
      <c r="C70" s="98"/>
      <c r="D70" s="98"/>
      <c r="E70" s="98"/>
    </row>
    <row r="71" spans="1:40" ht="15.75">
      <c r="B71" s="21"/>
      <c r="C71" s="22"/>
      <c r="D71" s="22"/>
    </row>
    <row r="72" spans="1:40" ht="15">
      <c r="C72" s="44"/>
      <c r="D72" s="44"/>
    </row>
    <row r="73" spans="1:40" ht="18">
      <c r="C73" s="45"/>
      <c r="D73" s="45"/>
    </row>
    <row r="74" spans="1:40" ht="18">
      <c r="C74" s="45"/>
      <c r="D74" s="45"/>
    </row>
    <row r="75" spans="1:40" ht="18">
      <c r="C75" s="45"/>
      <c r="D75" s="45"/>
    </row>
    <row r="76" spans="1:40" ht="18">
      <c r="C76" s="45"/>
      <c r="D76" s="45"/>
    </row>
    <row r="77" spans="1:40" ht="18">
      <c r="C77" s="45"/>
      <c r="D77" s="45"/>
    </row>
    <row r="78" spans="1:40" ht="18">
      <c r="C78" s="45"/>
      <c r="D78" s="45"/>
    </row>
    <row r="79" spans="1:40" ht="18">
      <c r="C79" s="45"/>
      <c r="D79" s="45"/>
    </row>
  </sheetData>
  <mergeCells count="2">
    <mergeCell ref="A2:B2"/>
    <mergeCell ref="A39:B39"/>
  </mergeCells>
  <printOptions horizontalCentered="1" verticalCentered="1"/>
  <pageMargins left="0" right="0" top="0" bottom="0" header="0" footer="0"/>
  <pageSetup paperSize="9" scale="72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Tarek</dc:creator>
  <cp:lastModifiedBy>Irinie Youssef</cp:lastModifiedBy>
  <cp:lastPrinted>2025-10-15T09:57:45Z</cp:lastPrinted>
  <dcterms:created xsi:type="dcterms:W3CDTF">2021-03-01T11:50:08Z</dcterms:created>
  <dcterms:modified xsi:type="dcterms:W3CDTF">2025-10-15T10:01:04Z</dcterms:modified>
</cp:coreProperties>
</file>