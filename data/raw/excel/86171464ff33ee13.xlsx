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Y:\Time Series\2026\Debt\TBs\"/>
    </mc:Choice>
  </mc:AlternateContent>
  <xr:revisionPtr revIDLastSave="0" documentId="13_ncr:1_{BEBDBDD2-473A-4349-A85C-91270C2AFD26}" xr6:coauthVersionLast="47" xr6:coauthVersionMax="47" xr10:uidLastSave="{00000000-0000-0000-0000-000000000000}"/>
  <bookViews>
    <workbookView xWindow="-108" yWindow="-108" windowWidth="17496" windowHeight="10416" tabRatio="722" firstSheet="15" activeTab="21" xr2:uid="{00000000-000D-0000-FFFF-FFFF00000000}"/>
  </bookViews>
  <sheets>
    <sheet name="2004 -2005" sheetId="13" r:id="rId1"/>
    <sheet name="2005-2006 " sheetId="22" r:id="rId2"/>
    <sheet name="2006-2007" sheetId="23" r:id="rId3"/>
    <sheet name="2007-2008" sheetId="24" r:id="rId4"/>
    <sheet name="2008-2009" sheetId="25" r:id="rId5"/>
    <sheet name="2009-2010" sheetId="26" r:id="rId6"/>
    <sheet name="2010-2011" sheetId="27" r:id="rId7"/>
    <sheet name="2011-2012" sheetId="28" r:id="rId8"/>
    <sheet name="2012-2013" sheetId="29" r:id="rId9"/>
    <sheet name="2013-2014" sheetId="30" r:id="rId10"/>
    <sheet name="2014-2015" sheetId="31" r:id="rId11"/>
    <sheet name="2015-2016" sheetId="32" r:id="rId12"/>
    <sheet name="2016-2017" sheetId="33" r:id="rId13"/>
    <sheet name="2017-2018" sheetId="34" r:id="rId14"/>
    <sheet name="2018-2019" sheetId="35" r:id="rId15"/>
    <sheet name="2019-2020" sheetId="36" r:id="rId16"/>
    <sheet name="2020-2021 " sheetId="37" r:id="rId17"/>
    <sheet name="2021-2022  " sheetId="38" r:id="rId18"/>
    <sheet name="2022-2023   " sheetId="39" r:id="rId19"/>
    <sheet name="2023-2024   " sheetId="47" r:id="rId20"/>
    <sheet name="2024-2025   " sheetId="48" r:id="rId21"/>
    <sheet name="2025-2026   " sheetId="49" r:id="rId22"/>
  </sheets>
  <definedNames>
    <definedName name="_xlnm.Print_Area" localSheetId="0">'2004 -2005'!$A$4:$F$21</definedName>
    <definedName name="_xlnm.Print_Area" localSheetId="1">'2005-2006 '!$A$4:$F$21</definedName>
    <definedName name="_xlnm.Print_Area" localSheetId="2">'2006-2007'!$A$4:$F$21</definedName>
    <definedName name="_xlnm.Print_Area" localSheetId="3">'2007-2008'!$A$4:$F$21</definedName>
    <definedName name="_xlnm.Print_Area" localSheetId="4">'2008-2009'!$A$4:$F$21</definedName>
    <definedName name="_xlnm.Print_Area" localSheetId="5">'2009-2010'!$A$4:$F$21</definedName>
    <definedName name="_xlnm.Print_Area" localSheetId="6">'2010-2011'!$A$4:$F$21</definedName>
    <definedName name="_xlnm.Print_Area" localSheetId="7">'2011-2012'!$A$4:$F$21</definedName>
    <definedName name="_xlnm.Print_Area" localSheetId="8">'2012-2013'!$A$4:$F$21</definedName>
    <definedName name="_xlnm.Print_Area" localSheetId="9">'2013-2014'!$A$4:$F$21</definedName>
    <definedName name="_xlnm.Print_Area" localSheetId="10">'2014-2015'!$A$4:$F$15</definedName>
    <definedName name="_xlnm.Print_Area" localSheetId="11">'2015-2016'!$A$4:$F$15</definedName>
    <definedName name="_xlnm.Print_Area" localSheetId="12">'2016-2017'!$A$4:$F$15</definedName>
    <definedName name="_xlnm.Print_Area" localSheetId="13">'2017-2018'!$A$4:$F$17</definedName>
    <definedName name="_xlnm.Print_Area" localSheetId="14">'2018-2019'!$A$4:$F$18</definedName>
    <definedName name="_xlnm.Print_Area" localSheetId="15">'2019-2020'!$A$4:$F$16</definedName>
    <definedName name="_xlnm.Print_Area" localSheetId="16">'2020-2021 '!$A$4:$F$17</definedName>
    <definedName name="_xlnm.Print_Area" localSheetId="17">'2021-2022  '!$A$4:$F$15</definedName>
    <definedName name="_xlnm.Print_Area" localSheetId="18">'2022-2023   '!$A$4:$F$17</definedName>
    <definedName name="_xlnm.Print_Area" localSheetId="19">'2023-2024   '!$A$4:$F$30</definedName>
    <definedName name="_xlnm.Print_Area" localSheetId="20">'2024-2025   '!$A$4:$F$61</definedName>
    <definedName name="_xlnm.Print_Area" localSheetId="21">'2025-2026   '!$A$4:$C$27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49" l="1"/>
  <c r="F60" i="48"/>
  <c r="E60" i="48"/>
  <c r="D60" i="48"/>
  <c r="C60" i="48"/>
  <c r="F29" i="47"/>
  <c r="E29" i="47"/>
  <c r="D29" i="47"/>
  <c r="C29" i="47"/>
  <c r="E16" i="39" l="1"/>
  <c r="F16" i="39"/>
  <c r="D16" i="39" l="1"/>
  <c r="C16" i="39"/>
  <c r="F14" i="38"/>
  <c r="E14" i="38"/>
  <c r="D14" i="38"/>
  <c r="C14" i="38"/>
  <c r="F16" i="37"/>
  <c r="E16" i="37"/>
  <c r="D16" i="37"/>
  <c r="C16" i="37"/>
  <c r="F15" i="36" l="1"/>
  <c r="E15" i="36"/>
  <c r="D15" i="36"/>
  <c r="C15" i="36"/>
  <c r="F17" i="35" l="1"/>
  <c r="E17" i="35"/>
  <c r="D17" i="35"/>
  <c r="C17" i="35"/>
  <c r="F16" i="34" l="1"/>
  <c r="E16" i="34" l="1"/>
  <c r="D16" i="34"/>
  <c r="C16" i="34"/>
  <c r="F14" i="33" l="1"/>
  <c r="E14" i="33"/>
  <c r="D14" i="33"/>
  <c r="C14" i="33"/>
  <c r="F14" i="32"/>
  <c r="E14" i="32" l="1"/>
  <c r="D14" i="32" l="1"/>
  <c r="C14" i="32" l="1"/>
  <c r="F21" i="30" l="1"/>
  <c r="E21" i="30"/>
  <c r="D21" i="30"/>
  <c r="C21" i="30"/>
  <c r="E21" i="29" l="1"/>
  <c r="F21" i="29"/>
  <c r="E21" i="28"/>
  <c r="F21" i="28"/>
  <c r="E21" i="27"/>
  <c r="F21" i="27"/>
  <c r="E21" i="26"/>
  <c r="F21" i="26"/>
  <c r="E21" i="25"/>
  <c r="F21" i="25"/>
  <c r="E21" i="24"/>
  <c r="F21" i="24"/>
  <c r="E21" i="23"/>
  <c r="F21" i="23"/>
  <c r="E21" i="22"/>
  <c r="F21" i="22"/>
  <c r="E21" i="13"/>
  <c r="F21" i="13"/>
  <c r="D21" i="29" l="1"/>
  <c r="C21" i="29"/>
  <c r="D21" i="28"/>
  <c r="C21" i="28"/>
  <c r="D21" i="27"/>
  <c r="C21" i="27"/>
  <c r="D21" i="26"/>
  <c r="C21" i="26"/>
  <c r="D21" i="25"/>
  <c r="C21" i="25"/>
  <c r="D21" i="24"/>
  <c r="C21" i="24"/>
  <c r="D21" i="23"/>
  <c r="C21" i="23"/>
  <c r="D21" i="22"/>
  <c r="C21" i="22"/>
  <c r="D21" i="13"/>
  <c r="C21" i="13"/>
</calcChain>
</file>

<file path=xl/sharedStrings.xml><?xml version="1.0" encoding="utf-8"?>
<sst xmlns="http://schemas.openxmlformats.org/spreadsheetml/2006/main" count="1135" uniqueCount="217">
  <si>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</si>
  <si>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</si>
  <si>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</si>
  <si>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</si>
  <si>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</si>
  <si>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</si>
  <si>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</si>
  <si>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 xml:space="preserve"> The Outstanding Balance of Treasury Bills (Quarterly)</t>
  </si>
  <si>
    <t>89 days</t>
  </si>
  <si>
    <t>91 days</t>
  </si>
  <si>
    <t>182 days</t>
  </si>
  <si>
    <t>252 days</t>
  </si>
  <si>
    <t>259 days</t>
  </si>
  <si>
    <t>266 days</t>
  </si>
  <si>
    <t>273 days</t>
  </si>
  <si>
    <t>280 days</t>
  </si>
  <si>
    <t>343 days</t>
  </si>
  <si>
    <t>350 days</t>
  </si>
  <si>
    <t>357 days</t>
  </si>
  <si>
    <t>364 days</t>
  </si>
  <si>
    <t>371 days</t>
  </si>
  <si>
    <t>Total</t>
  </si>
  <si>
    <t xml:space="preserve"> 89 يوم</t>
  </si>
  <si>
    <t xml:space="preserve"> 91 يوم</t>
  </si>
  <si>
    <t xml:space="preserve"> 182 يوم</t>
  </si>
  <si>
    <t xml:space="preserve"> 252 يوم</t>
  </si>
  <si>
    <t xml:space="preserve"> 259 يوم</t>
  </si>
  <si>
    <t xml:space="preserve"> 266 يوم</t>
  </si>
  <si>
    <t xml:space="preserve"> 273 يوم</t>
  </si>
  <si>
    <t>280 يوم</t>
  </si>
  <si>
    <t xml:space="preserve"> 343 يوم</t>
  </si>
  <si>
    <t xml:space="preserve"> 350 يوم</t>
  </si>
  <si>
    <t xml:space="preserve"> 357 يوم</t>
  </si>
  <si>
    <t>364 يوم</t>
  </si>
  <si>
    <t>371 يوم</t>
  </si>
  <si>
    <t xml:space="preserve"> March 2005</t>
  </si>
  <si>
    <t xml:space="preserve"> March 2006</t>
  </si>
  <si>
    <t xml:space="preserve"> March 2007</t>
  </si>
  <si>
    <t xml:space="preserve"> Sept. 2004</t>
  </si>
  <si>
    <t xml:space="preserve"> Dec. 2004</t>
  </si>
  <si>
    <t>-</t>
  </si>
  <si>
    <t xml:space="preserve"> June 2005</t>
  </si>
  <si>
    <t xml:space="preserve"> Sept. 2005</t>
  </si>
  <si>
    <t xml:space="preserve"> Dec. 2005</t>
  </si>
  <si>
    <t xml:space="preserve"> June 2006</t>
  </si>
  <si>
    <t xml:space="preserve"> Sept. 2006</t>
  </si>
  <si>
    <t xml:space="preserve"> Dec. 2006</t>
  </si>
  <si>
    <t xml:space="preserve"> June 2007</t>
  </si>
  <si>
    <t xml:space="preserve"> Sept. 2007</t>
  </si>
  <si>
    <t xml:space="preserve"> Dec. 2007</t>
  </si>
  <si>
    <t xml:space="preserve"> March 2008</t>
  </si>
  <si>
    <t xml:space="preserve"> June 2008</t>
  </si>
  <si>
    <t xml:space="preserve"> Sept. 2008</t>
  </si>
  <si>
    <t xml:space="preserve"> Dec. 2008</t>
  </si>
  <si>
    <t xml:space="preserve"> March 2009</t>
  </si>
  <si>
    <t xml:space="preserve"> June 2009</t>
  </si>
  <si>
    <t xml:space="preserve"> Sept. 2009</t>
  </si>
  <si>
    <t xml:space="preserve"> Dec. 2009</t>
  </si>
  <si>
    <t xml:space="preserve"> March 2010</t>
  </si>
  <si>
    <t xml:space="preserve"> June 2010</t>
  </si>
  <si>
    <t xml:space="preserve"> Sept. 2010</t>
  </si>
  <si>
    <t xml:space="preserve"> Dec. 2010</t>
  </si>
  <si>
    <t xml:space="preserve"> March 2011</t>
  </si>
  <si>
    <t xml:space="preserve"> June 2011</t>
  </si>
  <si>
    <t xml:space="preserve"> Sept. 2011</t>
  </si>
  <si>
    <t xml:space="preserve"> Dec. 2011</t>
  </si>
  <si>
    <t xml:space="preserve"> March 2012</t>
  </si>
  <si>
    <t xml:space="preserve"> June 2012</t>
  </si>
  <si>
    <t xml:space="preserve"> Sept. 2012</t>
  </si>
  <si>
    <t xml:space="preserve"> Dec. 2012</t>
  </si>
  <si>
    <t xml:space="preserve"> March 2013</t>
  </si>
  <si>
    <t xml:space="preserve"> June 2013</t>
  </si>
  <si>
    <t xml:space="preserve"> Sept. 2013</t>
  </si>
  <si>
    <t xml:space="preserve"> Dec. 2013</t>
  </si>
  <si>
    <t xml:space="preserve"> March 2014</t>
  </si>
  <si>
    <t xml:space="preserve"> June 2014</t>
  </si>
  <si>
    <t xml:space="preserve"> Sept. 2014</t>
  </si>
  <si>
    <t xml:space="preserve"> Dec. 2014</t>
  </si>
  <si>
    <t xml:space="preserve"> March 2015</t>
  </si>
  <si>
    <t xml:space="preserve"> June 2015</t>
  </si>
  <si>
    <t xml:space="preserve"> Sept. 2015</t>
  </si>
  <si>
    <t xml:space="preserve"> Dec. 2015</t>
  </si>
  <si>
    <t xml:space="preserve"> March 2016</t>
  </si>
  <si>
    <t xml:space="preserve"> June 2016</t>
  </si>
  <si>
    <t xml:space="preserve"> Sept. 2016</t>
  </si>
  <si>
    <t xml:space="preserve"> Dec. 2016</t>
  </si>
  <si>
    <t xml:space="preserve"> March 2017</t>
  </si>
  <si>
    <t xml:space="preserve"> June 2017</t>
  </si>
  <si>
    <t>. Source : Central Bank of Egypt</t>
  </si>
  <si>
    <t xml:space="preserve">. Source : Central Bank of Egypt  </t>
  </si>
  <si>
    <t xml:space="preserve"> Sept. 2017</t>
  </si>
  <si>
    <t xml:space="preserve"> Dec. 2017</t>
  </si>
  <si>
    <t xml:space="preserve"> March 2018</t>
  </si>
  <si>
    <t xml:space="preserve"> June 2018</t>
  </si>
  <si>
    <t xml:space="preserve"> 271 يوم</t>
  </si>
  <si>
    <t>271 days</t>
  </si>
  <si>
    <t xml:space="preserve"> 96 يوم</t>
  </si>
  <si>
    <t>96 days</t>
  </si>
  <si>
    <t xml:space="preserve"> Sept. 2018</t>
  </si>
  <si>
    <t xml:space="preserve"> Dec. 2018</t>
  </si>
  <si>
    <t xml:space="preserve"> March 2019</t>
  </si>
  <si>
    <t xml:space="preserve"> June 2019</t>
  </si>
  <si>
    <t>272 days</t>
  </si>
  <si>
    <t xml:space="preserve"> 272 يوم</t>
  </si>
  <si>
    <t xml:space="preserve"> Sept. 2019</t>
  </si>
  <si>
    <t xml:space="preserve"> Dec. 2019</t>
  </si>
  <si>
    <t xml:space="preserve"> March 2020</t>
  </si>
  <si>
    <t xml:space="preserve"> June 2020</t>
  </si>
  <si>
    <t xml:space="preserve"> 356 يوم</t>
  </si>
  <si>
    <t>356 days</t>
  </si>
  <si>
    <t xml:space="preserve"> Sept. 2020</t>
  </si>
  <si>
    <t xml:space="preserve"> Dec. 2020</t>
  </si>
  <si>
    <t xml:space="preserve"> March 2021</t>
  </si>
  <si>
    <t xml:space="preserve"> June 2022</t>
  </si>
  <si>
    <t xml:space="preserve"> June 2021</t>
  </si>
  <si>
    <t xml:space="preserve"> Sept. 2021</t>
  </si>
  <si>
    <t xml:space="preserve"> Dec. 2021</t>
  </si>
  <si>
    <t xml:space="preserve"> March 2022</t>
  </si>
  <si>
    <t xml:space="preserve"> Sept. 2022</t>
  </si>
  <si>
    <t xml:space="preserve"> Dec. 2022</t>
  </si>
  <si>
    <t xml:space="preserve"> 265 يوم</t>
  </si>
  <si>
    <t>265 days</t>
  </si>
  <si>
    <t xml:space="preserve"> March 2023</t>
  </si>
  <si>
    <t xml:space="preserve"> June 2023</t>
  </si>
  <si>
    <t xml:space="preserve"> 313 يوم</t>
  </si>
  <si>
    <t>313 days</t>
  </si>
  <si>
    <t>363 days</t>
  </si>
  <si>
    <t>362 days</t>
  </si>
  <si>
    <t>362 يوم</t>
  </si>
  <si>
    <t xml:space="preserve"> Sept. 2023</t>
  </si>
  <si>
    <t xml:space="preserve"> Dec. 2023</t>
  </si>
  <si>
    <t xml:space="preserve"> 203 يوم</t>
  </si>
  <si>
    <t>203 days</t>
  </si>
  <si>
    <t xml:space="preserve"> 245 يوم</t>
  </si>
  <si>
    <t>245 days</t>
  </si>
  <si>
    <t xml:space="preserve"> 362 يوم</t>
  </si>
  <si>
    <t xml:space="preserve"> 363 يوم</t>
  </si>
  <si>
    <t xml:space="preserve"> March 2024</t>
  </si>
  <si>
    <t xml:space="preserve"> 69 يوم</t>
  </si>
  <si>
    <t>69 days</t>
  </si>
  <si>
    <t xml:space="preserve"> 181 يوم</t>
  </si>
  <si>
    <t>181 days</t>
  </si>
  <si>
    <t>260 days</t>
  </si>
  <si>
    <t xml:space="preserve"> 260 يوم</t>
  </si>
  <si>
    <t xml:space="preserve"> 279 يوم</t>
  </si>
  <si>
    <t xml:space="preserve"> 341 يوم</t>
  </si>
  <si>
    <t>341 days</t>
  </si>
  <si>
    <t xml:space="preserve"> 342 يوم</t>
  </si>
  <si>
    <t>342 days</t>
  </si>
  <si>
    <t>344 days</t>
  </si>
  <si>
    <t xml:space="preserve"> 344 يوم</t>
  </si>
  <si>
    <t xml:space="preserve"> 358 يوم</t>
  </si>
  <si>
    <t>358 days</t>
  </si>
  <si>
    <t xml:space="preserve"> June 2024</t>
  </si>
  <si>
    <t xml:space="preserve"> 267 يوم</t>
  </si>
  <si>
    <t>267 days</t>
  </si>
  <si>
    <t>275 days</t>
  </si>
  <si>
    <t xml:space="preserve"> Sept. 2024</t>
  </si>
  <si>
    <t xml:space="preserve"> Dec. 2024</t>
  </si>
  <si>
    <t xml:space="preserve"> March 2025</t>
  </si>
  <si>
    <t xml:space="preserve"> June 2025</t>
  </si>
  <si>
    <t xml:space="preserve"> 84 يوم</t>
  </si>
  <si>
    <t>84 days</t>
  </si>
  <si>
    <t xml:space="preserve"> 86 يوم</t>
  </si>
  <si>
    <t>86 days</t>
  </si>
  <si>
    <t>93  يوم</t>
  </si>
  <si>
    <t>93 days</t>
  </si>
  <si>
    <t>105  يوم</t>
  </si>
  <si>
    <t>105 days</t>
  </si>
  <si>
    <t xml:space="preserve"> 180 يوم</t>
  </si>
  <si>
    <t>180 days</t>
  </si>
  <si>
    <t xml:space="preserve"> 189 يوم</t>
  </si>
  <si>
    <t>189 days</t>
  </si>
  <si>
    <t xml:space="preserve"> 224 يوم</t>
  </si>
  <si>
    <t>224 days</t>
  </si>
  <si>
    <t xml:space="preserve"> 238 يوم</t>
  </si>
  <si>
    <t>238 days</t>
  </si>
  <si>
    <t xml:space="preserve"> 243 يوم</t>
  </si>
  <si>
    <t>243 days</t>
  </si>
  <si>
    <t xml:space="preserve"> 257 يوم</t>
  </si>
  <si>
    <t>257 days</t>
  </si>
  <si>
    <t xml:space="preserve"> 264 يوم</t>
  </si>
  <si>
    <t>264 days</t>
  </si>
  <si>
    <t xml:space="preserve"> 275 يوم</t>
  </si>
  <si>
    <t xml:space="preserve"> 280 يوم</t>
  </si>
  <si>
    <t xml:space="preserve"> 285 يوم</t>
  </si>
  <si>
    <t>285 days</t>
  </si>
  <si>
    <t xml:space="preserve"> 292 يوم</t>
  </si>
  <si>
    <t>292 days</t>
  </si>
  <si>
    <t xml:space="preserve"> 294 يوم</t>
  </si>
  <si>
    <t>294 days</t>
  </si>
  <si>
    <t xml:space="preserve"> 299 يوم</t>
  </si>
  <si>
    <t>299 days</t>
  </si>
  <si>
    <t xml:space="preserve"> 306 يوم</t>
  </si>
  <si>
    <t>306 days</t>
  </si>
  <si>
    <t xml:space="preserve"> 307 يوم</t>
  </si>
  <si>
    <t>307 days</t>
  </si>
  <si>
    <t xml:space="preserve"> 308 يوم</t>
  </si>
  <si>
    <t>308 days</t>
  </si>
  <si>
    <t xml:space="preserve"> 314 يوم</t>
  </si>
  <si>
    <t>314 days</t>
  </si>
  <si>
    <t xml:space="preserve"> 320 يوم</t>
  </si>
  <si>
    <t>320 days</t>
  </si>
  <si>
    <t xml:space="preserve"> 322 يوم</t>
  </si>
  <si>
    <t>322 days</t>
  </si>
  <si>
    <t xml:space="preserve"> 323 يوم</t>
  </si>
  <si>
    <t>323 days</t>
  </si>
  <si>
    <t xml:space="preserve"> 327 يوم</t>
  </si>
  <si>
    <t>327 days</t>
  </si>
  <si>
    <t xml:space="preserve"> 329 يوم</t>
  </si>
  <si>
    <t>329 days</t>
  </si>
  <si>
    <t xml:space="preserve"> 334 يوم</t>
  </si>
  <si>
    <t>334 days</t>
  </si>
  <si>
    <t xml:space="preserve"> 355 يوم</t>
  </si>
  <si>
    <t>355 days</t>
  </si>
  <si>
    <t xml:space="preserve"> Sept. 2025</t>
  </si>
  <si>
    <t>279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</si>
</sst>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-&quot;ج.م.‏&quot;\ * #,##0_-;_-&quot;ج.م.‏&quot;\ * #,##0\-;_-&quot;ج.م.‏&quot;\ * &quot;-&quot;_-;_-@_-"/>
    <numFmt numFmtId="166" formatCode="_-* #,##0_-;_-* #,##0\-;_-* &quot;-&quot;_-;_-@_-"/>
    <numFmt numFmtId="167" formatCode="_-&quot;ج.م.‏&quot;\ * #,##0.00_-;_-&quot;ج.م.‏&quot;\ * #,##0.00\-;_-&quot;ج.م.‏&quot;\ * &quot;-&quot;??_-;_-@_-"/>
    <numFmt numFmtId="168" formatCode="_-* #,##0.00_-;_-* #,##0.00\-;_-* &quot;-&quot;??_-;_-@_-"/>
    <numFmt numFmtId="169" formatCode="0.0"/>
    <numFmt numFmtId="170" formatCode="B1mmm\-yy"/>
  </numFmts>
  <fonts count="24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sz val="13"/>
      <name val="Times New (W1)"/>
      <family val="1"/>
    </font>
    <font>
      <i/>
      <sz val="13"/>
      <name val="Arial"/>
      <family val="2"/>
    </font>
    <font>
      <sz val="10"/>
      <name val="Arial"/>
      <family val="2"/>
    </font>
    <font>
      <b/>
      <sz val="12"/>
      <name val="Arial"/>
      <family val="2"/>
      <charset val="178"/>
    </font>
    <font>
      <b/>
      <i/>
      <sz val="16"/>
      <name val="Times New (W1)"/>
      <charset val="178"/>
    </font>
    <font>
      <b/>
      <sz val="16"/>
      <name val="Times New (W1)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</font>
    <font>
      <b/>
      <sz val="12"/>
      <name val="Times New (W1)"/>
      <charset val="178"/>
    </font>
    <font>
      <sz val="10"/>
      <name val="Arial"/>
      <charset val="178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/>
      <right/>
      <top/>
      <bottom style="double">
        <color indexed="41"/>
      </bottom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  <border>
      <left/>
      <right/>
      <top style="double">
        <color rgb="FF00E5F0"/>
      </top>
      <bottom/>
      <diagonal/>
    </border>
    <border>
      <left style="double">
        <color indexed="41"/>
      </left>
      <right style="thin">
        <color auto="1"/>
      </right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rgb="FF00E5F0"/>
      </bottom>
      <diagonal/>
    </border>
    <border>
      <left style="double">
        <color rgb="FF00E5F0"/>
      </left>
      <right style="thin">
        <color auto="1"/>
      </right>
      <top style="double">
        <color rgb="FF00E5F0"/>
      </top>
      <bottom style="double">
        <color rgb="FF00E5F0"/>
      </bottom>
      <diagonal/>
    </border>
  </borders>
  <cellStyleXfs count="13">
    <xf numFmtId="0" fontId="0" fillId="0" borderId="0"/>
    <xf numFmtId="0" fontId="11" fillId="0" borderId="0" applyNumberFormat="0">
      <alignment horizontal="right"/>
    </xf>
    <xf numFmtId="0" fontId="14" fillId="0" borderId="0"/>
    <xf numFmtId="0" fontId="14" fillId="0" borderId="0"/>
    <xf numFmtId="0" fontId="14" fillId="0" borderId="0"/>
    <xf numFmtId="0" fontId="18" fillId="0" borderId="0"/>
    <xf numFmtId="165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2" fillId="0" borderId="0"/>
  </cellStyleXfs>
  <cellXfs count="88">
    <xf numFmtId="0" fontId="0" fillId="0" borderId="0" xfId="0"/>
    <xf numFmtId="0" fontId="1" fillId="0" borderId="0" xfId="0" applyFont="1" applyFill="1" applyAlignment="1">
      <alignment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9" fillId="0" borderId="0" xfId="0" applyFont="1"/>
    <xf numFmtId="169" fontId="0" fillId="0" borderId="0" xfId="0" applyNumberFormat="1"/>
    <xf numFmtId="0" fontId="0" fillId="0" borderId="0" xfId="0" applyFill="1"/>
    <xf numFmtId="0" fontId="5" fillId="2" borderId="2" xfId="0" applyFont="1" applyFill="1" applyBorder="1" applyAlignment="1">
      <alignment horizontal="center" vertical="center" wrapText="1" readingOrder="1"/>
    </xf>
    <xf numFmtId="169" fontId="13" fillId="0" borderId="0" xfId="0" applyNumberFormat="1" applyFont="1"/>
    <xf numFmtId="0" fontId="13" fillId="0" borderId="0" xfId="0" applyFont="1"/>
    <xf numFmtId="0" fontId="7" fillId="0" borderId="0" xfId="0" applyFont="1"/>
    <xf numFmtId="169" fontId="7" fillId="0" borderId="0" xfId="0" applyNumberFormat="1" applyFont="1"/>
    <xf numFmtId="0" fontId="0" fillId="3" borderId="3" xfId="0" applyFill="1" applyBorder="1" applyAlignment="1">
      <alignment readingOrder="2"/>
    </xf>
    <xf numFmtId="0" fontId="6" fillId="0" borderId="0" xfId="0" applyFont="1" applyFill="1" applyBorder="1" applyAlignment="1">
      <alignment horizontal="center" vertical="center" readingOrder="1"/>
    </xf>
    <xf numFmtId="0" fontId="2" fillId="3" borderId="5" xfId="0" applyFont="1" applyFill="1" applyBorder="1" applyAlignment="1">
      <alignment horizontal="center"/>
    </xf>
    <xf numFmtId="1" fontId="4" fillId="0" borderId="0" xfId="0" applyNumberFormat="1" applyFont="1" applyFill="1" applyAlignment="1">
      <alignment horizontal="center" readingOrder="1"/>
    </xf>
    <xf numFmtId="0" fontId="0" fillId="0" borderId="0" xfId="0" applyBorder="1"/>
    <xf numFmtId="0" fontId="0" fillId="0" borderId="0" xfId="0" applyFill="1" applyBorder="1"/>
    <xf numFmtId="0" fontId="15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9" fontId="0" fillId="0" borderId="0" xfId="0" applyNumberFormat="1" applyBorder="1"/>
    <xf numFmtId="169" fontId="7" fillId="0" borderId="0" xfId="0" applyNumberFormat="1" applyFont="1" applyBorder="1"/>
    <xf numFmtId="0" fontId="7" fillId="0" borderId="0" xfId="0" applyFont="1" applyBorder="1"/>
    <xf numFmtId="169" fontId="13" fillId="0" borderId="0" xfId="0" applyNumberFormat="1" applyFont="1" applyBorder="1"/>
    <xf numFmtId="0" fontId="13" fillId="0" borderId="0" xfId="0" applyFont="1" applyBorder="1"/>
    <xf numFmtId="0" fontId="9" fillId="0" borderId="0" xfId="0" applyFont="1" applyBorder="1"/>
    <xf numFmtId="169" fontId="9" fillId="0" borderId="0" xfId="0" applyNumberFormat="1" applyFont="1" applyBorder="1"/>
    <xf numFmtId="169" fontId="0" fillId="0" borderId="0" xfId="0" applyNumberFormat="1" applyBorder="1" applyAlignment="1">
      <alignment horizontal="center"/>
    </xf>
    <xf numFmtId="0" fontId="15" fillId="0" borderId="6" xfId="2" quotePrefix="1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readingOrder="1"/>
    </xf>
    <xf numFmtId="0" fontId="16" fillId="3" borderId="4" xfId="0" applyFont="1" applyFill="1" applyBorder="1" applyAlignment="1">
      <alignment horizontal="left" readingOrder="1"/>
    </xf>
    <xf numFmtId="0" fontId="16" fillId="3" borderId="4" xfId="0" quotePrefix="1" applyFont="1" applyFill="1" applyBorder="1" applyAlignment="1">
      <alignment horizontal="left" readingOrder="1"/>
    </xf>
    <xf numFmtId="0" fontId="12" fillId="4" borderId="7" xfId="0" quotePrefix="1" applyFont="1" applyFill="1" applyBorder="1" applyAlignment="1">
      <alignment horizontal="right" readingOrder="2"/>
    </xf>
    <xf numFmtId="0" fontId="16" fillId="4" borderId="7" xfId="0" quotePrefix="1" applyFont="1" applyFill="1" applyBorder="1" applyAlignment="1">
      <alignment horizontal="left" readingOrder="1"/>
    </xf>
    <xf numFmtId="0" fontId="16" fillId="3" borderId="4" xfId="0" applyFont="1" applyFill="1" applyBorder="1" applyAlignment="1">
      <alignment horizontal="right" readingOrder="2"/>
    </xf>
    <xf numFmtId="1" fontId="17" fillId="4" borderId="7" xfId="0" applyNumberFormat="1" applyFont="1" applyFill="1" applyBorder="1" applyAlignment="1">
      <alignment horizontal="center" readingOrder="1"/>
    </xf>
    <xf numFmtId="170" fontId="3" fillId="2" borderId="1" xfId="0" applyNumberFormat="1" applyFont="1" applyFill="1" applyBorder="1" applyAlignment="1">
      <alignment horizontal="center" vertical="center" wrapText="1" readingOrder="1"/>
    </xf>
    <xf numFmtId="0" fontId="6" fillId="0" borderId="0" xfId="0" applyFont="1" applyFill="1" applyBorder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  <xf numFmtId="0" fontId="0" fillId="0" borderId="0" xfId="0" applyBorder="1" applyAlignment="1">
      <alignment readingOrder="1"/>
    </xf>
    <xf numFmtId="0" fontId="0" fillId="0" borderId="0" xfId="0" applyAlignment="1">
      <alignment readingOrder="1"/>
    </xf>
    <xf numFmtId="0" fontId="16" fillId="0" borderId="8" xfId="0" applyFont="1" applyFill="1" applyBorder="1" applyAlignment="1">
      <alignment readingOrder="2"/>
    </xf>
    <xf numFmtId="0" fontId="21" fillId="0" borderId="8" xfId="0" applyFont="1" applyFill="1" applyBorder="1" applyAlignment="1">
      <alignment vertical="center" readingOrder="2"/>
    </xf>
    <xf numFmtId="0" fontId="16" fillId="0" borderId="8" xfId="0" applyFont="1" applyFill="1" applyBorder="1" applyAlignment="1">
      <alignment vertical="center" readingOrder="2"/>
    </xf>
    <xf numFmtId="0" fontId="6" fillId="0" borderId="0" xfId="0" applyFont="1" applyFill="1" applyBorder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  <xf numFmtId="0" fontId="22" fillId="0" borderId="0" xfId="12"/>
    <xf numFmtId="0" fontId="1" fillId="0" borderId="0" xfId="12" applyFont="1" applyAlignment="1">
      <alignment readingOrder="1"/>
    </xf>
    <xf numFmtId="0" fontId="23" fillId="0" borderId="6" xfId="2" quotePrefix="1" applyFont="1" applyBorder="1" applyAlignment="1">
      <alignment horizontal="center" vertical="center"/>
    </xf>
    <xf numFmtId="0" fontId="15" fillId="0" borderId="0" xfId="2" quotePrefix="1" applyFont="1" applyAlignment="1">
      <alignment horizontal="center" vertical="center"/>
    </xf>
    <xf numFmtId="0" fontId="5" fillId="2" borderId="1" xfId="12" applyFont="1" applyFill="1" applyBorder="1" applyAlignment="1">
      <alignment horizontal="center" vertical="center" wrapText="1" readingOrder="1"/>
    </xf>
    <xf numFmtId="0" fontId="5" fillId="2" borderId="9" xfId="12" applyFont="1" applyFill="1" applyBorder="1" applyAlignment="1">
      <alignment horizontal="center" vertical="center" wrapText="1" readingOrder="1"/>
    </xf>
    <xf numFmtId="0" fontId="22" fillId="3" borderId="3" xfId="12" applyFill="1" applyBorder="1" applyAlignment="1">
      <alignment readingOrder="2"/>
    </xf>
    <xf numFmtId="0" fontId="2" fillId="3" borderId="5" xfId="12" applyFont="1" applyFill="1" applyBorder="1" applyAlignment="1">
      <alignment horizontal="center"/>
    </xf>
    <xf numFmtId="170" fontId="3" fillId="2" borderId="1" xfId="12" applyNumberFormat="1" applyFont="1" applyFill="1" applyBorder="1" applyAlignment="1">
      <alignment horizontal="center" vertical="center" wrapText="1" readingOrder="1"/>
    </xf>
    <xf numFmtId="170" fontId="3" fillId="2" borderId="9" xfId="12" applyNumberFormat="1" applyFont="1" applyFill="1" applyBorder="1" applyAlignment="1">
      <alignment horizontal="center" vertical="center" wrapText="1" readingOrder="1"/>
    </xf>
    <xf numFmtId="0" fontId="16" fillId="3" borderId="4" xfId="12" applyFont="1" applyFill="1" applyBorder="1" applyAlignment="1">
      <alignment horizontal="right" readingOrder="2"/>
    </xf>
    <xf numFmtId="0" fontId="16" fillId="3" borderId="4" xfId="12" quotePrefix="1" applyFont="1" applyFill="1" applyBorder="1" applyAlignment="1">
      <alignment horizontal="left" readingOrder="1"/>
    </xf>
    <xf numFmtId="1" fontId="4" fillId="0" borderId="0" xfId="12" applyNumberFormat="1" applyFont="1" applyAlignment="1">
      <alignment horizontal="center" readingOrder="1"/>
    </xf>
    <xf numFmtId="1" fontId="4" fillId="0" borderId="10" xfId="12" applyNumberFormat="1" applyFont="1" applyBorder="1" applyAlignment="1">
      <alignment horizontal="center" readingOrder="1"/>
    </xf>
    <xf numFmtId="1" fontId="4" fillId="0" borderId="11" xfId="12" applyNumberFormat="1" applyFont="1" applyBorder="1" applyAlignment="1">
      <alignment horizontal="center" readingOrder="1"/>
    </xf>
    <xf numFmtId="0" fontId="7" fillId="0" borderId="0" xfId="12" applyFont="1"/>
    <xf numFmtId="169" fontId="7" fillId="0" borderId="0" xfId="12" applyNumberFormat="1" applyFont="1"/>
    <xf numFmtId="0" fontId="16" fillId="3" borderId="4" xfId="12" applyFont="1" applyFill="1" applyBorder="1" applyAlignment="1">
      <alignment horizontal="left" readingOrder="1"/>
    </xf>
    <xf numFmtId="0" fontId="13" fillId="0" borderId="0" xfId="12" applyFont="1"/>
    <xf numFmtId="169" fontId="13" fillId="0" borderId="0" xfId="12" applyNumberFormat="1" applyFont="1"/>
    <xf numFmtId="0" fontId="9" fillId="0" borderId="0" xfId="12" applyFont="1"/>
    <xf numFmtId="169" fontId="22" fillId="0" borderId="0" xfId="12" applyNumberFormat="1"/>
    <xf numFmtId="1" fontId="4" fillId="0" borderId="12" xfId="12" applyNumberFormat="1" applyFont="1" applyBorder="1" applyAlignment="1">
      <alignment horizontal="center" readingOrder="1"/>
    </xf>
    <xf numFmtId="0" fontId="12" fillId="4" borderId="7" xfId="12" quotePrefix="1" applyFont="1" applyFill="1" applyBorder="1" applyAlignment="1">
      <alignment horizontal="right" readingOrder="2"/>
    </xf>
    <xf numFmtId="0" fontId="16" fillId="4" borderId="7" xfId="12" quotePrefix="1" applyFont="1" applyFill="1" applyBorder="1" applyAlignment="1">
      <alignment horizontal="left" readingOrder="1"/>
    </xf>
    <xf numFmtId="1" fontId="17" fillId="4" borderId="7" xfId="12" applyNumberFormat="1" applyFont="1" applyFill="1" applyBorder="1" applyAlignment="1">
      <alignment horizontal="center" readingOrder="1"/>
    </xf>
    <xf numFmtId="1" fontId="17" fillId="4" borderId="13" xfId="12" applyNumberFormat="1" applyFont="1" applyFill="1" applyBorder="1" applyAlignment="1">
      <alignment horizontal="center" readingOrder="1"/>
    </xf>
    <xf numFmtId="0" fontId="21" fillId="0" borderId="8" xfId="12" applyFont="1" applyBorder="1" applyAlignment="1">
      <alignment vertical="center" readingOrder="2"/>
    </xf>
    <xf numFmtId="0" fontId="16" fillId="0" borderId="8" xfId="12" applyFont="1" applyBorder="1" applyAlignment="1">
      <alignment vertical="center" readingOrder="2"/>
    </xf>
    <xf numFmtId="0" fontId="16" fillId="3" borderId="4" xfId="12" applyFont="1" applyFill="1" applyBorder="1" applyAlignment="1">
      <alignment horizontal="right" vertical="center" readingOrder="2"/>
    </xf>
    <xf numFmtId="0" fontId="16" fillId="3" borderId="4" xfId="12" quotePrefix="1" applyFont="1" applyFill="1" applyBorder="1" applyAlignment="1">
      <alignment horizontal="left" vertical="center" readingOrder="1"/>
    </xf>
    <xf numFmtId="0" fontId="6" fillId="0" borderId="0" xfId="12" applyFont="1" applyAlignment="1">
      <alignment vertical="center" readingOrder="1"/>
    </xf>
    <xf numFmtId="0" fontId="6" fillId="0" borderId="0" xfId="12" applyFont="1" applyAlignment="1">
      <alignment horizontal="center" vertical="center" readingOrder="1"/>
    </xf>
    <xf numFmtId="0" fontId="8" fillId="0" borderId="0" xfId="0" applyFont="1" applyFill="1" applyBorder="1" applyAlignment="1">
      <alignment horizontal="center" vertical="center" readingOrder="1"/>
    </xf>
    <xf numFmtId="0" fontId="10" fillId="0" borderId="0" xfId="0" applyFont="1" applyFill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  <xf numFmtId="0" fontId="8" fillId="0" borderId="0" xfId="12" applyFont="1" applyAlignment="1">
      <alignment horizontal="center" vertical="center" readingOrder="1"/>
    </xf>
    <xf numFmtId="0" fontId="10" fillId="0" borderId="0" xfId="12" applyFont="1" applyAlignment="1">
      <alignment horizontal="center" vertical="center" readingOrder="1"/>
    </xf>
    <xf numFmtId="0" fontId="6" fillId="0" borderId="0" xfId="12" applyFont="1" applyAlignment="1">
      <alignment horizontal="center" vertical="center" readingOrder="1"/>
    </xf>
  </cellXfs>
  <cellStyles count="13">
    <cellStyle name="Comma 2" xfId="11" xr:uid="{00000000-0005-0000-0000-000000000000}"/>
    <cellStyle name="MS_Arabic" xfId="1" xr:uid="{00000000-0005-0000-0000-000001000000}"/>
    <cellStyle name="Normal" xfId="0" builtinId="0"/>
    <cellStyle name="Normal 2" xfId="4" xr:uid="{00000000-0005-0000-0000-000003000000}"/>
    <cellStyle name="Normal 2 2" xfId="12" xr:uid="{E6367CD7-7B98-4CC0-85C5-9DABD117C376}"/>
    <cellStyle name="Normal 3" xfId="3" xr:uid="{00000000-0005-0000-0000-000004000000}"/>
    <cellStyle name="Normal 4" xfId="10" xr:uid="{00000000-0005-0000-0000-000005000000}"/>
    <cellStyle name="Normal_wafaa file_12_22-24_26-34" xfId="2" xr:uid="{00000000-0005-0000-0000-000006000000}"/>
    <cellStyle name="عادي_artim" xfId="5" xr:uid="{00000000-0005-0000-0000-000007000000}"/>
    <cellStyle name="عملة [0]_رسم" xfId="6" xr:uid="{00000000-0005-0000-0000-000008000000}"/>
    <cellStyle name="عملة_رسم" xfId="7" xr:uid="{00000000-0005-0000-0000-000009000000}"/>
    <cellStyle name="فاصلة [0]_رسم" xfId="8" xr:uid="{00000000-0005-0000-0000-00000A000000}"/>
    <cellStyle name="فاصلة_رسم" xfId="9" xr:uid="{00000000-0005-0000-0000-00000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E5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2"/>
  <sheetViews>
    <sheetView view="pageBreakPreview" topLeftCell="A4" zoomScale="88" zoomScaleNormal="75" zoomScaleSheetLayoutView="88" workbookViewId="0">
      <selection activeCell="A4" sqref="A4:F21"/>
    </sheetView>
  </sheetViews>
  <sheetFormatPr defaultRowHeight="13.2"/>
  <cols>
    <col min="1" max="1" width="17.5546875" customWidth="1"/>
    <col min="2" max="2" width="29.44140625" style="1" customWidth="1"/>
    <col min="3" max="6" width="18.44140625" customWidth="1"/>
    <col min="7" max="7" width="11.6640625" style="15" customWidth="1"/>
    <col min="8" max="8" width="12.88671875" style="15" bestFit="1" customWidth="1"/>
    <col min="9" max="9" width="11.109375" style="15" bestFit="1" customWidth="1"/>
    <col min="10" max="10" width="10.6640625" style="15" bestFit="1" customWidth="1"/>
    <col min="11" max="19" width="9.109375" style="15"/>
    <col min="25" max="25" width="9.33203125" bestFit="1" customWidth="1"/>
  </cols>
  <sheetData>
    <row r="1" spans="1:25" ht="15" hidden="1" customHeight="1"/>
    <row r="2" spans="1:25" ht="22.8" hidden="1">
      <c r="B2" s="82" t="s">
        <v>5</v>
      </c>
      <c r="C2" s="82"/>
      <c r="D2" s="82"/>
      <c r="E2" s="82"/>
      <c r="F2" s="82"/>
    </row>
    <row r="3" spans="1:25" ht="22.8" hidden="1">
      <c r="B3" s="83" t="s">
        <v>4</v>
      </c>
      <c r="C3" s="83"/>
      <c r="D3" s="83"/>
      <c r="E3" s="83"/>
      <c r="F3" s="83"/>
    </row>
    <row r="4" spans="1:25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25" s="5" customFormat="1" ht="45" customHeight="1" thickBot="1">
      <c r="A5" s="12"/>
      <c r="B5" s="12"/>
      <c r="C5" s="12"/>
      <c r="D5" s="12"/>
      <c r="E5" s="12"/>
      <c r="F5" s="27" t="s">
        <v>6</v>
      </c>
      <c r="G5" s="17"/>
      <c r="H5" s="17"/>
      <c r="I5" s="17"/>
      <c r="J5" s="17"/>
      <c r="K5" s="17"/>
      <c r="L5" s="16"/>
      <c r="M5" s="16"/>
      <c r="N5" s="16"/>
      <c r="O5" s="16"/>
      <c r="P5" s="16"/>
      <c r="Q5" s="16"/>
      <c r="R5" s="16"/>
      <c r="S5" s="16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8"/>
    </row>
    <row r="7" spans="1:25" ht="36" customHeight="1" thickTop="1" thickBot="1">
      <c r="A7" s="11"/>
      <c r="B7" s="13"/>
      <c r="C7" s="35" t="s">
        <v>38</v>
      </c>
      <c r="D7" s="35" t="s">
        <v>39</v>
      </c>
      <c r="E7" s="35" t="s">
        <v>35</v>
      </c>
      <c r="F7" s="35" t="s">
        <v>41</v>
      </c>
    </row>
    <row r="8" spans="1:25" ht="27.9" customHeight="1" thickTop="1">
      <c r="A8" s="33" t="s">
        <v>22</v>
      </c>
      <c r="B8" s="29" t="s">
        <v>8</v>
      </c>
      <c r="C8" s="14" t="s">
        <v>40</v>
      </c>
      <c r="D8" s="14" t="s">
        <v>40</v>
      </c>
      <c r="E8" s="14" t="s">
        <v>40</v>
      </c>
      <c r="F8" s="14" t="s">
        <v>40</v>
      </c>
      <c r="G8" s="19"/>
      <c r="P8" s="19"/>
      <c r="Q8" s="19"/>
      <c r="R8" s="19"/>
      <c r="S8" s="19"/>
      <c r="T8" s="4"/>
      <c r="U8" s="4"/>
      <c r="V8" s="4"/>
      <c r="W8" s="4"/>
      <c r="X8" s="4"/>
      <c r="Y8" s="4"/>
    </row>
    <row r="9" spans="1:25" s="9" customFormat="1" ht="27.9" customHeight="1">
      <c r="A9" s="33" t="s">
        <v>23</v>
      </c>
      <c r="B9" s="30" t="s">
        <v>9</v>
      </c>
      <c r="C9" s="14">
        <v>11000</v>
      </c>
      <c r="D9" s="14">
        <v>8600</v>
      </c>
      <c r="E9" s="14">
        <v>0</v>
      </c>
      <c r="F9" s="14">
        <v>2750</v>
      </c>
      <c r="G9" s="20"/>
      <c r="H9" s="20"/>
      <c r="I9" s="21"/>
      <c r="J9" s="21"/>
      <c r="K9" s="21"/>
      <c r="L9" s="21"/>
      <c r="M9" s="21"/>
      <c r="N9" s="21"/>
      <c r="O9" s="21"/>
      <c r="P9" s="20"/>
      <c r="Q9" s="20"/>
      <c r="R9" s="20"/>
      <c r="S9" s="20"/>
      <c r="T9" s="10"/>
      <c r="U9" s="10"/>
      <c r="V9" s="10"/>
      <c r="W9" s="10"/>
      <c r="X9" s="10"/>
      <c r="Y9" s="10"/>
    </row>
    <row r="10" spans="1:25" s="8" customFormat="1" ht="27.9" customHeight="1">
      <c r="A10" s="33" t="s">
        <v>24</v>
      </c>
      <c r="B10" s="29" t="s">
        <v>10</v>
      </c>
      <c r="C10" s="14">
        <v>48196.3</v>
      </c>
      <c r="D10" s="14">
        <v>45466.8</v>
      </c>
      <c r="E10" s="14">
        <v>34550</v>
      </c>
      <c r="F10" s="14">
        <v>23900</v>
      </c>
      <c r="G10" s="22"/>
      <c r="H10" s="23"/>
      <c r="I10" s="23"/>
      <c r="J10" s="23"/>
      <c r="K10" s="23"/>
      <c r="L10" s="23"/>
      <c r="M10" s="23"/>
      <c r="N10" s="23"/>
      <c r="O10" s="23"/>
      <c r="P10" s="22"/>
      <c r="Q10" s="22"/>
      <c r="R10" s="22"/>
      <c r="S10" s="22"/>
      <c r="T10" s="7"/>
      <c r="U10" s="7"/>
      <c r="V10" s="7"/>
      <c r="W10" s="7"/>
      <c r="X10" s="7"/>
      <c r="Y10" s="7"/>
    </row>
    <row r="11" spans="1:25" s="8" customFormat="1" ht="27.9" customHeight="1">
      <c r="A11" s="33" t="s">
        <v>25</v>
      </c>
      <c r="B11" s="29" t="s">
        <v>11</v>
      </c>
      <c r="C11" s="14" t="s">
        <v>40</v>
      </c>
      <c r="D11" s="14" t="s">
        <v>40</v>
      </c>
      <c r="E11" s="14" t="s">
        <v>40</v>
      </c>
      <c r="F11" s="14" t="s">
        <v>40</v>
      </c>
      <c r="G11" s="23"/>
      <c r="H11" s="22"/>
      <c r="I11" s="23"/>
      <c r="J11" s="23"/>
      <c r="K11" s="23"/>
      <c r="L11" s="23"/>
      <c r="M11" s="23"/>
      <c r="N11" s="23"/>
      <c r="O11" s="23"/>
      <c r="P11" s="22"/>
      <c r="Q11" s="22"/>
      <c r="R11" s="22"/>
      <c r="S11" s="22"/>
      <c r="T11" s="7"/>
      <c r="U11" s="7"/>
      <c r="V11" s="7"/>
      <c r="W11" s="7"/>
      <c r="X11" s="7"/>
      <c r="Y11" s="7"/>
    </row>
    <row r="12" spans="1:25" s="9" customFormat="1" ht="27.9" customHeight="1">
      <c r="A12" s="33" t="s">
        <v>26</v>
      </c>
      <c r="B12" s="30" t="s">
        <v>12</v>
      </c>
      <c r="C12" s="14" t="s">
        <v>40</v>
      </c>
      <c r="D12" s="14" t="s">
        <v>40</v>
      </c>
      <c r="E12" s="14" t="s">
        <v>40</v>
      </c>
      <c r="F12" s="14" t="s">
        <v>40</v>
      </c>
      <c r="G12" s="21"/>
      <c r="H12" s="20"/>
      <c r="I12" s="21"/>
      <c r="J12" s="21"/>
      <c r="K12" s="21"/>
      <c r="L12" s="21"/>
      <c r="M12" s="21"/>
      <c r="N12" s="21"/>
      <c r="O12" s="21"/>
      <c r="P12" s="20"/>
      <c r="Q12" s="20"/>
      <c r="R12" s="20"/>
      <c r="S12" s="20"/>
      <c r="T12" s="10"/>
      <c r="U12" s="10"/>
      <c r="V12" s="10"/>
      <c r="W12" s="10"/>
      <c r="X12" s="10"/>
      <c r="Y12" s="10"/>
    </row>
    <row r="13" spans="1:25" s="8" customFormat="1" ht="27.9" customHeight="1">
      <c r="A13" s="33" t="s">
        <v>27</v>
      </c>
      <c r="B13" s="29" t="s">
        <v>13</v>
      </c>
      <c r="C13" s="14" t="s">
        <v>40</v>
      </c>
      <c r="D13" s="14" t="s">
        <v>40</v>
      </c>
      <c r="E13" s="14" t="s">
        <v>40</v>
      </c>
      <c r="F13" s="14" t="s">
        <v>40</v>
      </c>
      <c r="G13" s="23"/>
      <c r="H13" s="20"/>
      <c r="I13" s="23"/>
      <c r="J13" s="23"/>
      <c r="K13" s="23"/>
      <c r="L13" s="23"/>
      <c r="M13" s="23"/>
      <c r="N13" s="23"/>
      <c r="O13" s="23"/>
      <c r="P13" s="22"/>
      <c r="Q13" s="22"/>
      <c r="R13" s="22"/>
      <c r="S13" s="22"/>
      <c r="T13" s="7"/>
      <c r="U13" s="7"/>
      <c r="V13" s="7"/>
      <c r="W13" s="7"/>
      <c r="X13" s="7"/>
      <c r="Y13" s="7"/>
    </row>
    <row r="14" spans="1:25" s="8" customFormat="1" ht="27.9" customHeight="1">
      <c r="A14" s="33" t="s">
        <v>28</v>
      </c>
      <c r="B14" s="29" t="s">
        <v>14</v>
      </c>
      <c r="C14" s="14" t="s">
        <v>40</v>
      </c>
      <c r="D14" s="14" t="s">
        <v>40</v>
      </c>
      <c r="E14" s="14" t="s">
        <v>40</v>
      </c>
      <c r="F14" s="14" t="s">
        <v>40</v>
      </c>
      <c r="G14" s="23"/>
      <c r="H14" s="20"/>
      <c r="I14" s="23"/>
      <c r="J14" s="23"/>
      <c r="K14" s="23"/>
      <c r="L14" s="23"/>
      <c r="M14" s="23"/>
      <c r="N14" s="23"/>
      <c r="O14" s="23"/>
      <c r="P14" s="22"/>
      <c r="Q14" s="22"/>
      <c r="R14" s="22"/>
      <c r="S14" s="22"/>
      <c r="T14" s="7"/>
      <c r="U14" s="7"/>
      <c r="V14" s="7"/>
      <c r="W14" s="7"/>
      <c r="X14" s="7"/>
      <c r="Y14" s="7"/>
    </row>
    <row r="15" spans="1:25" ht="27.9" customHeight="1">
      <c r="A15" s="33" t="s">
        <v>29</v>
      </c>
      <c r="B15" s="29" t="s">
        <v>15</v>
      </c>
      <c r="C15" s="14" t="s">
        <v>40</v>
      </c>
      <c r="D15" s="14" t="s">
        <v>40</v>
      </c>
      <c r="E15" s="14" t="s">
        <v>40</v>
      </c>
      <c r="F15" s="14" t="s">
        <v>40</v>
      </c>
      <c r="P15" s="19"/>
      <c r="Q15" s="19"/>
      <c r="R15" s="19"/>
      <c r="S15" s="19"/>
      <c r="T15" s="4"/>
      <c r="U15" s="4"/>
      <c r="V15" s="4"/>
      <c r="W15" s="4"/>
      <c r="X15" s="4"/>
      <c r="Y15" s="4"/>
    </row>
    <row r="16" spans="1:25" ht="27.9" customHeight="1">
      <c r="A16" s="33" t="s">
        <v>30</v>
      </c>
      <c r="B16" s="30" t="s">
        <v>16</v>
      </c>
      <c r="C16" s="14" t="s">
        <v>40</v>
      </c>
      <c r="D16" s="14" t="s">
        <v>40</v>
      </c>
      <c r="E16" s="14" t="s">
        <v>40</v>
      </c>
      <c r="F16" s="14" t="s">
        <v>40</v>
      </c>
      <c r="P16" s="19"/>
      <c r="Q16" s="19"/>
      <c r="R16" s="19"/>
      <c r="S16" s="19"/>
      <c r="T16" s="4"/>
      <c r="U16" s="4"/>
      <c r="V16" s="4"/>
      <c r="W16" s="4"/>
      <c r="X16" s="4"/>
      <c r="Y16" s="4"/>
    </row>
    <row r="17" spans="1:25" ht="27.9" customHeight="1">
      <c r="A17" s="33" t="s">
        <v>31</v>
      </c>
      <c r="B17" s="30" t="s">
        <v>17</v>
      </c>
      <c r="C17" s="14" t="s">
        <v>40</v>
      </c>
      <c r="D17" s="14" t="s">
        <v>40</v>
      </c>
      <c r="E17" s="14" t="s">
        <v>40</v>
      </c>
      <c r="F17" s="14" t="s">
        <v>40</v>
      </c>
      <c r="I17" s="19"/>
      <c r="P17" s="19"/>
      <c r="Q17" s="19"/>
      <c r="R17" s="19"/>
      <c r="S17" s="19"/>
      <c r="T17" s="4"/>
      <c r="U17" s="4"/>
      <c r="V17" s="4"/>
      <c r="W17" s="4"/>
      <c r="X17" s="4"/>
      <c r="Y17" s="4"/>
    </row>
    <row r="18" spans="1:25" s="3" customFormat="1" ht="27.9" customHeight="1">
      <c r="A18" s="33" t="s">
        <v>32</v>
      </c>
      <c r="B18" s="30" t="s">
        <v>18</v>
      </c>
      <c r="C18" s="14" t="s">
        <v>40</v>
      </c>
      <c r="D18" s="14" t="s">
        <v>40</v>
      </c>
      <c r="E18" s="14" t="s">
        <v>40</v>
      </c>
      <c r="F18" s="14" t="s">
        <v>40</v>
      </c>
      <c r="G18" s="24"/>
      <c r="H18" s="24"/>
      <c r="I18" s="25"/>
      <c r="J18" s="25"/>
      <c r="K18" s="24"/>
      <c r="L18" s="24"/>
      <c r="M18" s="24"/>
      <c r="N18" s="24"/>
      <c r="O18" s="24"/>
      <c r="P18" s="19"/>
      <c r="Q18" s="19"/>
      <c r="R18" s="19"/>
      <c r="S18" s="19"/>
      <c r="T18" s="4"/>
      <c r="U18" s="4"/>
      <c r="V18" s="4"/>
      <c r="W18" s="4"/>
      <c r="X18" s="4"/>
      <c r="Y18" s="4"/>
    </row>
    <row r="19" spans="1:25" ht="27.9" customHeight="1">
      <c r="A19" s="33" t="s">
        <v>33</v>
      </c>
      <c r="B19" s="30" t="s">
        <v>19</v>
      </c>
      <c r="C19" s="14">
        <v>48958.2</v>
      </c>
      <c r="D19" s="14">
        <v>66558.2</v>
      </c>
      <c r="E19" s="14">
        <v>82358.2</v>
      </c>
      <c r="F19" s="14">
        <v>98257.4</v>
      </c>
      <c r="H19" s="26"/>
      <c r="I19" s="19"/>
      <c r="P19" s="19"/>
      <c r="Q19" s="19"/>
      <c r="R19" s="19"/>
      <c r="S19" s="19"/>
      <c r="T19" s="4"/>
      <c r="U19" s="4"/>
      <c r="V19" s="4"/>
      <c r="W19" s="4"/>
      <c r="X19" s="4"/>
      <c r="Y19" s="4"/>
    </row>
    <row r="20" spans="1:25" ht="27.9" customHeight="1" thickBot="1">
      <c r="A20" s="33" t="s">
        <v>34</v>
      </c>
      <c r="B20" s="30" t="s">
        <v>20</v>
      </c>
      <c r="C20" s="14" t="s">
        <v>40</v>
      </c>
      <c r="D20" s="14" t="s">
        <v>40</v>
      </c>
      <c r="E20" s="14" t="s">
        <v>40</v>
      </c>
      <c r="F20" s="14" t="s">
        <v>40</v>
      </c>
      <c r="J20" s="19"/>
      <c r="P20" s="19"/>
      <c r="Q20" s="19"/>
      <c r="R20" s="19"/>
      <c r="S20" s="19"/>
      <c r="T20" s="4"/>
      <c r="U20" s="4"/>
      <c r="V20" s="4"/>
      <c r="W20" s="4"/>
      <c r="X20" s="4"/>
      <c r="Y20" s="4"/>
    </row>
    <row r="21" spans="1:25" ht="27.9" customHeight="1" thickTop="1" thickBot="1">
      <c r="A21" s="31"/>
      <c r="B21" s="32" t="s">
        <v>21</v>
      </c>
      <c r="C21" s="34">
        <f>SUM(C7:C20)</f>
        <v>108155</v>
      </c>
      <c r="D21" s="34">
        <f>SUM(D7:D20)</f>
        <v>120625</v>
      </c>
      <c r="E21" s="34">
        <f>SUM(E7:E20)</f>
        <v>116908</v>
      </c>
      <c r="F21" s="34">
        <f>SUM(F7:F20)</f>
        <v>124907</v>
      </c>
      <c r="H21" s="19"/>
      <c r="P21" s="19"/>
      <c r="Q21" s="19"/>
      <c r="R21" s="19"/>
      <c r="S21" s="19"/>
      <c r="T21" s="4"/>
      <c r="U21" s="4"/>
      <c r="V21" s="4"/>
      <c r="W21" s="4"/>
      <c r="X21" s="4"/>
      <c r="Y21" s="4"/>
    </row>
    <row r="22" spans="1:25" ht="13.8" thickTop="1"/>
  </sheetData>
  <mergeCells count="3">
    <mergeCell ref="B2:F2"/>
    <mergeCell ref="B3:F3"/>
    <mergeCell ref="A4:F4"/>
  </mergeCells>
  <conditionalFormatting sqref="A4:A5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22"/>
  <sheetViews>
    <sheetView view="pageBreakPreview" topLeftCell="A10" zoomScale="88" zoomScaleNormal="75" zoomScaleSheetLayoutView="88" workbookViewId="0">
      <selection activeCell="A4" sqref="A4:F21"/>
    </sheetView>
  </sheetViews>
  <sheetFormatPr defaultRowHeight="13.2"/>
  <cols>
    <col min="1" max="1" width="17.5546875" customWidth="1"/>
    <col min="2" max="2" width="29.44140625" style="1" customWidth="1"/>
    <col min="3" max="6" width="18.44140625" customWidth="1"/>
    <col min="7" max="7" width="11.6640625" style="15" customWidth="1"/>
    <col min="8" max="8" width="12.88671875" style="15" bestFit="1" customWidth="1"/>
    <col min="9" max="9" width="11.109375" style="15" bestFit="1" customWidth="1"/>
    <col min="10" max="10" width="10.6640625" style="15" bestFit="1" customWidth="1"/>
    <col min="11" max="19" width="9.109375" style="15"/>
    <col min="25" max="25" width="9.33203125" bestFit="1" customWidth="1"/>
  </cols>
  <sheetData>
    <row r="1" spans="1:25" ht="15" hidden="1" customHeight="1"/>
    <row r="2" spans="1:25" ht="22.8" hidden="1">
      <c r="B2" s="82" t="s">
        <v>5</v>
      </c>
      <c r="C2" s="82"/>
      <c r="D2" s="82"/>
      <c r="E2" s="82"/>
      <c r="F2" s="82"/>
    </row>
    <row r="3" spans="1:25" ht="22.8" hidden="1">
      <c r="B3" s="83" t="s">
        <v>4</v>
      </c>
      <c r="C3" s="83"/>
      <c r="D3" s="83"/>
      <c r="E3" s="83"/>
      <c r="F3" s="83"/>
    </row>
    <row r="4" spans="1:25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25" s="5" customFormat="1" ht="45" customHeight="1" thickBot="1">
      <c r="A5" s="28"/>
      <c r="B5" s="28"/>
      <c r="C5" s="28"/>
      <c r="D5" s="28"/>
      <c r="E5" s="28"/>
      <c r="F5" s="27" t="s">
        <v>6</v>
      </c>
      <c r="G5" s="17"/>
      <c r="H5" s="17"/>
      <c r="I5" s="17"/>
      <c r="J5" s="17"/>
      <c r="K5" s="17"/>
      <c r="L5" s="16"/>
      <c r="M5" s="16"/>
      <c r="N5" s="16"/>
      <c r="O5" s="16"/>
      <c r="P5" s="16"/>
      <c r="Q5" s="16"/>
      <c r="R5" s="16"/>
      <c r="S5" s="16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8"/>
    </row>
    <row r="7" spans="1:25" ht="36" customHeight="1" thickTop="1" thickBot="1">
      <c r="A7" s="11"/>
      <c r="B7" s="13"/>
      <c r="C7" s="35" t="s">
        <v>42</v>
      </c>
      <c r="D7" s="35" t="s">
        <v>43</v>
      </c>
      <c r="E7" s="35" t="s">
        <v>36</v>
      </c>
      <c r="F7" s="35" t="s">
        <v>44</v>
      </c>
    </row>
    <row r="8" spans="1:25" ht="27.9" customHeight="1" thickTop="1">
      <c r="A8" s="33" t="s">
        <v>22</v>
      </c>
      <c r="B8" s="29" t="s">
        <v>8</v>
      </c>
      <c r="C8" s="14" t="s">
        <v>40</v>
      </c>
      <c r="D8" s="14" t="s">
        <v>40</v>
      </c>
      <c r="E8" s="14" t="s">
        <v>40</v>
      </c>
      <c r="F8" s="14" t="s">
        <v>40</v>
      </c>
      <c r="G8" s="19"/>
      <c r="P8" s="19"/>
      <c r="Q8" s="19"/>
      <c r="R8" s="19"/>
      <c r="S8" s="19"/>
      <c r="T8" s="4"/>
      <c r="U8" s="4"/>
      <c r="V8" s="4"/>
      <c r="W8" s="4"/>
      <c r="X8" s="4"/>
      <c r="Y8" s="4"/>
    </row>
    <row r="9" spans="1:25" s="9" customFormat="1" ht="27.9" customHeight="1">
      <c r="A9" s="33" t="s">
        <v>23</v>
      </c>
      <c r="B9" s="30" t="s">
        <v>9</v>
      </c>
      <c r="C9" s="14">
        <v>8900</v>
      </c>
      <c r="D9" s="14">
        <v>5500</v>
      </c>
      <c r="E9" s="14">
        <v>6000</v>
      </c>
      <c r="F9" s="14">
        <v>7100</v>
      </c>
      <c r="G9" s="20"/>
      <c r="H9" s="20"/>
      <c r="I9" s="21"/>
      <c r="J9" s="21"/>
      <c r="K9" s="21"/>
      <c r="L9" s="21"/>
      <c r="M9" s="21"/>
      <c r="N9" s="21"/>
      <c r="O9" s="21"/>
      <c r="P9" s="20"/>
      <c r="Q9" s="20"/>
      <c r="R9" s="20"/>
      <c r="S9" s="20"/>
      <c r="T9" s="10"/>
      <c r="U9" s="10"/>
      <c r="V9" s="10"/>
      <c r="W9" s="10"/>
      <c r="X9" s="10"/>
      <c r="Y9" s="10"/>
    </row>
    <row r="10" spans="1:25" s="8" customFormat="1" ht="27.9" customHeight="1">
      <c r="A10" s="33" t="s">
        <v>24</v>
      </c>
      <c r="B10" s="29" t="s">
        <v>10</v>
      </c>
      <c r="C10" s="14">
        <v>22350</v>
      </c>
      <c r="D10" s="14">
        <v>22600</v>
      </c>
      <c r="E10" s="14">
        <v>24100</v>
      </c>
      <c r="F10" s="14">
        <v>26500</v>
      </c>
      <c r="G10" s="22"/>
      <c r="H10" s="23"/>
      <c r="I10" s="23"/>
      <c r="J10" s="23"/>
      <c r="K10" s="23"/>
      <c r="L10" s="23"/>
      <c r="M10" s="23"/>
      <c r="N10" s="23"/>
      <c r="O10" s="23"/>
      <c r="P10" s="22"/>
      <c r="Q10" s="22"/>
      <c r="R10" s="22"/>
      <c r="S10" s="22"/>
      <c r="T10" s="7"/>
      <c r="U10" s="7"/>
      <c r="V10" s="7"/>
      <c r="W10" s="7"/>
      <c r="X10" s="7"/>
      <c r="Y10" s="7"/>
    </row>
    <row r="11" spans="1:25" s="8" customFormat="1" ht="27.9" customHeight="1">
      <c r="A11" s="33" t="s">
        <v>25</v>
      </c>
      <c r="B11" s="29" t="s">
        <v>11</v>
      </c>
      <c r="C11" s="14" t="s">
        <v>40</v>
      </c>
      <c r="D11" s="14" t="s">
        <v>40</v>
      </c>
      <c r="E11" s="14" t="s">
        <v>40</v>
      </c>
      <c r="F11" s="14" t="s">
        <v>40</v>
      </c>
      <c r="G11" s="23"/>
      <c r="H11" s="22"/>
      <c r="I11" s="23"/>
      <c r="J11" s="23"/>
      <c r="K11" s="23"/>
      <c r="L11" s="23"/>
      <c r="M11" s="23"/>
      <c r="N11" s="23"/>
      <c r="O11" s="23"/>
      <c r="P11" s="22"/>
      <c r="Q11" s="22"/>
      <c r="R11" s="22"/>
      <c r="S11" s="22"/>
      <c r="T11" s="7"/>
      <c r="U11" s="7"/>
      <c r="V11" s="7"/>
      <c r="W11" s="7"/>
      <c r="X11" s="7"/>
      <c r="Y11" s="7"/>
    </row>
    <row r="12" spans="1:25" s="9" customFormat="1" ht="27.9" customHeight="1">
      <c r="A12" s="33" t="s">
        <v>26</v>
      </c>
      <c r="B12" s="30" t="s">
        <v>12</v>
      </c>
      <c r="C12" s="14" t="s">
        <v>40</v>
      </c>
      <c r="D12" s="14" t="s">
        <v>40</v>
      </c>
      <c r="E12" s="14" t="s">
        <v>40</v>
      </c>
      <c r="F12" s="14" t="s">
        <v>40</v>
      </c>
      <c r="G12" s="21"/>
      <c r="H12" s="20"/>
      <c r="I12" s="21"/>
      <c r="J12" s="21"/>
      <c r="K12" s="21"/>
      <c r="L12" s="21"/>
      <c r="M12" s="21"/>
      <c r="N12" s="21"/>
      <c r="O12" s="21"/>
      <c r="P12" s="20"/>
      <c r="Q12" s="20"/>
      <c r="R12" s="20"/>
      <c r="S12" s="20"/>
      <c r="T12" s="10"/>
      <c r="U12" s="10"/>
      <c r="V12" s="10"/>
      <c r="W12" s="10"/>
      <c r="X12" s="10"/>
      <c r="Y12" s="10"/>
    </row>
    <row r="13" spans="1:25" s="8" customFormat="1" ht="27.9" customHeight="1">
      <c r="A13" s="33" t="s">
        <v>27</v>
      </c>
      <c r="B13" s="29" t="s">
        <v>13</v>
      </c>
      <c r="C13" s="14" t="s">
        <v>40</v>
      </c>
      <c r="D13" s="14" t="s">
        <v>40</v>
      </c>
      <c r="E13" s="14" t="s">
        <v>40</v>
      </c>
      <c r="F13" s="14" t="s">
        <v>40</v>
      </c>
      <c r="G13" s="23"/>
      <c r="H13" s="20"/>
      <c r="I13" s="23"/>
      <c r="J13" s="23"/>
      <c r="K13" s="23"/>
      <c r="L13" s="23"/>
      <c r="M13" s="23"/>
      <c r="N13" s="23"/>
      <c r="O13" s="23"/>
      <c r="P13" s="22"/>
      <c r="Q13" s="22"/>
      <c r="R13" s="22"/>
      <c r="S13" s="22"/>
      <c r="T13" s="7"/>
      <c r="U13" s="7"/>
      <c r="V13" s="7"/>
      <c r="W13" s="7"/>
      <c r="X13" s="7"/>
      <c r="Y13" s="7"/>
    </row>
    <row r="14" spans="1:25" s="8" customFormat="1" ht="27.9" customHeight="1">
      <c r="A14" s="33" t="s">
        <v>28</v>
      </c>
      <c r="B14" s="29" t="s">
        <v>14</v>
      </c>
      <c r="C14" s="14" t="s">
        <v>40</v>
      </c>
      <c r="D14" s="14" t="s">
        <v>40</v>
      </c>
      <c r="E14" s="14" t="s">
        <v>40</v>
      </c>
      <c r="F14" s="14" t="s">
        <v>40</v>
      </c>
      <c r="G14" s="23"/>
      <c r="H14" s="20"/>
      <c r="I14" s="23"/>
      <c r="J14" s="23"/>
      <c r="K14" s="23"/>
      <c r="L14" s="23"/>
      <c r="M14" s="23"/>
      <c r="N14" s="23"/>
      <c r="O14" s="23"/>
      <c r="P14" s="22"/>
      <c r="Q14" s="22"/>
      <c r="R14" s="22"/>
      <c r="S14" s="22"/>
      <c r="T14" s="7"/>
      <c r="U14" s="7"/>
      <c r="V14" s="7"/>
      <c r="W14" s="7"/>
      <c r="X14" s="7"/>
      <c r="Y14" s="7"/>
    </row>
    <row r="15" spans="1:25" ht="27.9" customHeight="1">
      <c r="A15" s="33" t="s">
        <v>29</v>
      </c>
      <c r="B15" s="29" t="s">
        <v>15</v>
      </c>
      <c r="C15" s="14" t="s">
        <v>40</v>
      </c>
      <c r="D15" s="14" t="s">
        <v>40</v>
      </c>
      <c r="E15" s="14" t="s">
        <v>40</v>
      </c>
      <c r="F15" s="14" t="s">
        <v>40</v>
      </c>
      <c r="P15" s="19"/>
      <c r="Q15" s="19"/>
      <c r="R15" s="19"/>
      <c r="S15" s="19"/>
      <c r="T15" s="4"/>
      <c r="U15" s="4"/>
      <c r="V15" s="4"/>
      <c r="W15" s="4"/>
      <c r="X15" s="4"/>
      <c r="Y15" s="4"/>
    </row>
    <row r="16" spans="1:25" ht="27.9" customHeight="1">
      <c r="A16" s="33" t="s">
        <v>30</v>
      </c>
      <c r="B16" s="30" t="s">
        <v>16</v>
      </c>
      <c r="C16" s="14" t="s">
        <v>40</v>
      </c>
      <c r="D16" s="14" t="s">
        <v>40</v>
      </c>
      <c r="E16" s="14" t="s">
        <v>40</v>
      </c>
      <c r="F16" s="14" t="s">
        <v>40</v>
      </c>
      <c r="P16" s="19"/>
      <c r="Q16" s="19"/>
      <c r="R16" s="19"/>
      <c r="S16" s="19"/>
      <c r="T16" s="4"/>
      <c r="U16" s="4"/>
      <c r="V16" s="4"/>
      <c r="W16" s="4"/>
      <c r="X16" s="4"/>
      <c r="Y16" s="4"/>
    </row>
    <row r="17" spans="1:25" ht="27.9" customHeight="1">
      <c r="A17" s="33" t="s">
        <v>31</v>
      </c>
      <c r="B17" s="30" t="s">
        <v>17</v>
      </c>
      <c r="C17" s="14" t="s">
        <v>40</v>
      </c>
      <c r="D17" s="14" t="s">
        <v>40</v>
      </c>
      <c r="E17" s="14" t="s">
        <v>40</v>
      </c>
      <c r="F17" s="14" t="s">
        <v>40</v>
      </c>
      <c r="I17" s="19"/>
      <c r="P17" s="19"/>
      <c r="Q17" s="19"/>
      <c r="R17" s="19"/>
      <c r="S17" s="19"/>
      <c r="T17" s="4"/>
      <c r="U17" s="4"/>
      <c r="V17" s="4"/>
      <c r="W17" s="4"/>
      <c r="X17" s="4"/>
      <c r="Y17" s="4"/>
    </row>
    <row r="18" spans="1:25" s="3" customFormat="1" ht="27.9" customHeight="1">
      <c r="A18" s="33" t="s">
        <v>32</v>
      </c>
      <c r="B18" s="30" t="s">
        <v>18</v>
      </c>
      <c r="C18" s="14" t="s">
        <v>40</v>
      </c>
      <c r="D18" s="14" t="s">
        <v>40</v>
      </c>
      <c r="E18" s="14" t="s">
        <v>40</v>
      </c>
      <c r="F18" s="14" t="s">
        <v>40</v>
      </c>
      <c r="G18" s="24"/>
      <c r="H18" s="24"/>
      <c r="I18" s="25"/>
      <c r="J18" s="25"/>
      <c r="K18" s="24"/>
      <c r="L18" s="24"/>
      <c r="M18" s="24"/>
      <c r="N18" s="24"/>
      <c r="O18" s="24"/>
      <c r="P18" s="19"/>
      <c r="Q18" s="19"/>
      <c r="R18" s="19"/>
      <c r="S18" s="19"/>
      <c r="T18" s="4"/>
      <c r="U18" s="4"/>
      <c r="V18" s="4"/>
      <c r="W18" s="4"/>
      <c r="X18" s="4"/>
      <c r="Y18" s="4"/>
    </row>
    <row r="19" spans="1:25" ht="27.9" customHeight="1">
      <c r="A19" s="33" t="s">
        <v>33</v>
      </c>
      <c r="B19" s="30" t="s">
        <v>19</v>
      </c>
      <c r="C19" s="14">
        <v>71726</v>
      </c>
      <c r="D19" s="14">
        <v>67816</v>
      </c>
      <c r="E19" s="14">
        <v>69016</v>
      </c>
      <c r="F19" s="14">
        <v>69544</v>
      </c>
      <c r="H19" s="26"/>
      <c r="I19" s="19"/>
      <c r="P19" s="19"/>
      <c r="Q19" s="19"/>
      <c r="R19" s="19"/>
      <c r="S19" s="19"/>
      <c r="T19" s="4"/>
      <c r="U19" s="4"/>
      <c r="V19" s="4"/>
      <c r="W19" s="4"/>
      <c r="X19" s="4"/>
      <c r="Y19" s="4"/>
    </row>
    <row r="20" spans="1:25" ht="27.9" customHeight="1" thickBot="1">
      <c r="A20" s="33" t="s">
        <v>34</v>
      </c>
      <c r="B20" s="30" t="s">
        <v>20</v>
      </c>
      <c r="C20" s="14" t="s">
        <v>40</v>
      </c>
      <c r="D20" s="14" t="s">
        <v>40</v>
      </c>
      <c r="E20" s="14" t="s">
        <v>40</v>
      </c>
      <c r="F20" s="14" t="s">
        <v>40</v>
      </c>
      <c r="J20" s="19"/>
      <c r="P20" s="19"/>
      <c r="Q20" s="19"/>
      <c r="R20" s="19"/>
      <c r="S20" s="19"/>
      <c r="T20" s="4"/>
      <c r="U20" s="4"/>
      <c r="V20" s="4"/>
      <c r="W20" s="4"/>
      <c r="X20" s="4"/>
      <c r="Y20" s="4"/>
    </row>
    <row r="21" spans="1:25" ht="27.9" customHeight="1" thickTop="1" thickBot="1">
      <c r="A21" s="31"/>
      <c r="B21" s="32" t="s">
        <v>21</v>
      </c>
      <c r="C21" s="34">
        <f>SUM(C7:C20)</f>
        <v>102976</v>
      </c>
      <c r="D21" s="34">
        <f>SUM(D7:D20)</f>
        <v>95916</v>
      </c>
      <c r="E21" s="34">
        <f>SUM(E7:E20)</f>
        <v>99116</v>
      </c>
      <c r="F21" s="34">
        <f>SUM(F7:F20)</f>
        <v>103144</v>
      </c>
      <c r="H21" s="19"/>
      <c r="P21" s="19"/>
      <c r="Q21" s="19"/>
      <c r="R21" s="19"/>
      <c r="S21" s="19"/>
      <c r="T21" s="4"/>
      <c r="U21" s="4"/>
      <c r="V21" s="4"/>
      <c r="W21" s="4"/>
      <c r="X21" s="4"/>
      <c r="Y21" s="4"/>
    </row>
    <row r="22" spans="1:25" ht="13.8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22"/>
  <sheetViews>
    <sheetView view="pageBreakPreview" topLeftCell="A10" zoomScale="88" zoomScaleNormal="75" zoomScaleSheetLayoutView="88" workbookViewId="0">
      <selection activeCell="A4" sqref="A4:F21"/>
    </sheetView>
  </sheetViews>
  <sheetFormatPr defaultRowHeight="13.2"/>
  <cols>
    <col min="1" max="1" width="17.5546875" customWidth="1"/>
    <col min="2" max="2" width="29.44140625" style="1" customWidth="1"/>
    <col min="3" max="6" width="18.44140625" customWidth="1"/>
    <col min="7" max="7" width="11.6640625" style="15" customWidth="1"/>
    <col min="8" max="8" width="12.88671875" style="15" bestFit="1" customWidth="1"/>
    <col min="9" max="9" width="11.109375" style="15" bestFit="1" customWidth="1"/>
    <col min="10" max="10" width="10.6640625" style="15" bestFit="1" customWidth="1"/>
    <col min="11" max="19" width="9.109375" style="15"/>
    <col min="25" max="25" width="9.33203125" bestFit="1" customWidth="1"/>
  </cols>
  <sheetData>
    <row r="1" spans="1:25" ht="15" hidden="1" customHeight="1"/>
    <row r="2" spans="1:25" ht="22.8" hidden="1">
      <c r="B2" s="82" t="s">
        <v>5</v>
      </c>
      <c r="C2" s="82"/>
      <c r="D2" s="82"/>
      <c r="E2" s="82"/>
      <c r="F2" s="82"/>
    </row>
    <row r="3" spans="1:25" ht="22.8" hidden="1">
      <c r="B3" s="83" t="s">
        <v>4</v>
      </c>
      <c r="C3" s="83"/>
      <c r="D3" s="83"/>
      <c r="E3" s="83"/>
      <c r="F3" s="83"/>
    </row>
    <row r="4" spans="1:25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25" s="5" customFormat="1" ht="45" customHeight="1" thickBot="1">
      <c r="A5" s="28"/>
      <c r="B5" s="28"/>
      <c r="C5" s="28"/>
      <c r="D5" s="28"/>
      <c r="E5" s="28"/>
      <c r="F5" s="27" t="s">
        <v>6</v>
      </c>
      <c r="G5" s="17"/>
      <c r="H5" s="17"/>
      <c r="I5" s="17"/>
      <c r="J5" s="17"/>
      <c r="K5" s="17"/>
      <c r="L5" s="16"/>
      <c r="M5" s="16"/>
      <c r="N5" s="16"/>
      <c r="O5" s="16"/>
      <c r="P5" s="16"/>
      <c r="Q5" s="16"/>
      <c r="R5" s="16"/>
      <c r="S5" s="16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8"/>
    </row>
    <row r="7" spans="1:25" ht="36" customHeight="1" thickTop="1" thickBot="1">
      <c r="A7" s="11"/>
      <c r="B7" s="13"/>
      <c r="C7" s="35" t="s">
        <v>45</v>
      </c>
      <c r="D7" s="35" t="s">
        <v>46</v>
      </c>
      <c r="E7" s="35" t="s">
        <v>37</v>
      </c>
      <c r="F7" s="35" t="s">
        <v>47</v>
      </c>
    </row>
    <row r="8" spans="1:25" ht="27.9" customHeight="1" thickTop="1">
      <c r="A8" s="33" t="s">
        <v>22</v>
      </c>
      <c r="B8" s="29" t="s">
        <v>8</v>
      </c>
      <c r="C8" s="14" t="s">
        <v>40</v>
      </c>
      <c r="D8" s="14" t="s">
        <v>40</v>
      </c>
      <c r="E8" s="14" t="s">
        <v>40</v>
      </c>
      <c r="F8" s="14" t="s">
        <v>40</v>
      </c>
      <c r="G8" s="19"/>
      <c r="P8" s="19"/>
      <c r="Q8" s="19"/>
      <c r="R8" s="19"/>
      <c r="S8" s="19"/>
      <c r="T8" s="4"/>
      <c r="U8" s="4"/>
      <c r="V8" s="4"/>
      <c r="W8" s="4"/>
      <c r="X8" s="4"/>
      <c r="Y8" s="4"/>
    </row>
    <row r="9" spans="1:25" s="9" customFormat="1" ht="27.9" customHeight="1">
      <c r="A9" s="33" t="s">
        <v>23</v>
      </c>
      <c r="B9" s="30" t="s">
        <v>9</v>
      </c>
      <c r="C9" s="14">
        <v>9900</v>
      </c>
      <c r="D9" s="14">
        <v>8200</v>
      </c>
      <c r="E9" s="14">
        <v>11000</v>
      </c>
      <c r="F9" s="14">
        <v>9000</v>
      </c>
      <c r="G9" s="20"/>
      <c r="H9" s="20"/>
      <c r="I9" s="21"/>
      <c r="J9" s="21"/>
      <c r="K9" s="21"/>
      <c r="L9" s="21"/>
      <c r="M9" s="21"/>
      <c r="N9" s="21"/>
      <c r="O9" s="21"/>
      <c r="P9" s="20"/>
      <c r="Q9" s="20"/>
      <c r="R9" s="20"/>
      <c r="S9" s="20"/>
      <c r="T9" s="10"/>
      <c r="U9" s="10"/>
      <c r="V9" s="10"/>
      <c r="W9" s="10"/>
      <c r="X9" s="10"/>
      <c r="Y9" s="10"/>
    </row>
    <row r="10" spans="1:25" s="8" customFormat="1" ht="27.9" customHeight="1">
      <c r="A10" s="33" t="s">
        <v>24</v>
      </c>
      <c r="B10" s="29" t="s">
        <v>10</v>
      </c>
      <c r="C10" s="14">
        <v>27500</v>
      </c>
      <c r="D10" s="14">
        <v>27000</v>
      </c>
      <c r="E10" s="14">
        <v>26000</v>
      </c>
      <c r="F10" s="14">
        <v>27500</v>
      </c>
      <c r="G10" s="22"/>
      <c r="H10" s="23"/>
      <c r="I10" s="23"/>
      <c r="J10" s="23"/>
      <c r="K10" s="23"/>
      <c r="L10" s="23"/>
      <c r="M10" s="23"/>
      <c r="N10" s="23"/>
      <c r="O10" s="23"/>
      <c r="P10" s="22"/>
      <c r="Q10" s="22"/>
      <c r="R10" s="22"/>
      <c r="S10" s="22"/>
      <c r="T10" s="7"/>
      <c r="U10" s="7"/>
      <c r="V10" s="7"/>
      <c r="W10" s="7"/>
      <c r="X10" s="7"/>
      <c r="Y10" s="7"/>
    </row>
    <row r="11" spans="1:25" s="8" customFormat="1" ht="27.9" customHeight="1">
      <c r="A11" s="33" t="s">
        <v>25</v>
      </c>
      <c r="B11" s="29" t="s">
        <v>11</v>
      </c>
      <c r="C11" s="14" t="s">
        <v>40</v>
      </c>
      <c r="D11" s="14" t="s">
        <v>40</v>
      </c>
      <c r="E11" s="14" t="s">
        <v>40</v>
      </c>
      <c r="F11" s="14" t="s">
        <v>40</v>
      </c>
      <c r="G11" s="23"/>
      <c r="H11" s="22"/>
      <c r="I11" s="23"/>
      <c r="J11" s="23"/>
      <c r="K11" s="23"/>
      <c r="L11" s="23"/>
      <c r="M11" s="23"/>
      <c r="N11" s="23"/>
      <c r="O11" s="23"/>
      <c r="P11" s="22"/>
      <c r="Q11" s="22"/>
      <c r="R11" s="22"/>
      <c r="S11" s="22"/>
      <c r="T11" s="7"/>
      <c r="U11" s="7"/>
      <c r="V11" s="7"/>
      <c r="W11" s="7"/>
      <c r="X11" s="7"/>
      <c r="Y11" s="7"/>
    </row>
    <row r="12" spans="1:25" s="9" customFormat="1" ht="27.9" customHeight="1">
      <c r="A12" s="33" t="s">
        <v>26</v>
      </c>
      <c r="B12" s="30" t="s">
        <v>12</v>
      </c>
      <c r="C12" s="14" t="s">
        <v>40</v>
      </c>
      <c r="D12" s="14" t="s">
        <v>40</v>
      </c>
      <c r="E12" s="14" t="s">
        <v>40</v>
      </c>
      <c r="F12" s="14" t="s">
        <v>40</v>
      </c>
      <c r="G12" s="21"/>
      <c r="H12" s="20"/>
      <c r="I12" s="21"/>
      <c r="J12" s="21"/>
      <c r="K12" s="21"/>
      <c r="L12" s="21"/>
      <c r="M12" s="21"/>
      <c r="N12" s="21"/>
      <c r="O12" s="21"/>
      <c r="P12" s="20"/>
      <c r="Q12" s="20"/>
      <c r="R12" s="20"/>
      <c r="S12" s="20"/>
      <c r="T12" s="10"/>
      <c r="U12" s="10"/>
      <c r="V12" s="10"/>
      <c r="W12" s="10"/>
      <c r="X12" s="10"/>
      <c r="Y12" s="10"/>
    </row>
    <row r="13" spans="1:25" s="8" customFormat="1" ht="27.9" customHeight="1">
      <c r="A13" s="33" t="s">
        <v>27</v>
      </c>
      <c r="B13" s="29" t="s">
        <v>13</v>
      </c>
      <c r="C13" s="14" t="s">
        <v>40</v>
      </c>
      <c r="D13" s="14" t="s">
        <v>40</v>
      </c>
      <c r="E13" s="14" t="s">
        <v>40</v>
      </c>
      <c r="F13" s="14" t="s">
        <v>40</v>
      </c>
      <c r="G13" s="23"/>
      <c r="H13" s="20"/>
      <c r="I13" s="23"/>
      <c r="J13" s="23"/>
      <c r="K13" s="23"/>
      <c r="L13" s="23"/>
      <c r="M13" s="23"/>
      <c r="N13" s="23"/>
      <c r="O13" s="23"/>
      <c r="P13" s="22"/>
      <c r="Q13" s="22"/>
      <c r="R13" s="22"/>
      <c r="S13" s="22"/>
      <c r="T13" s="7"/>
      <c r="U13" s="7"/>
      <c r="V13" s="7"/>
      <c r="W13" s="7"/>
      <c r="X13" s="7"/>
      <c r="Y13" s="7"/>
    </row>
    <row r="14" spans="1:25" s="8" customFormat="1" ht="27.9" customHeight="1">
      <c r="A14" s="33" t="s">
        <v>28</v>
      </c>
      <c r="B14" s="29" t="s">
        <v>14</v>
      </c>
      <c r="C14" s="14" t="s">
        <v>40</v>
      </c>
      <c r="D14" s="14" t="s">
        <v>40</v>
      </c>
      <c r="E14" s="14" t="s">
        <v>40</v>
      </c>
      <c r="F14" s="14" t="s">
        <v>40</v>
      </c>
      <c r="G14" s="23"/>
      <c r="H14" s="20"/>
      <c r="I14" s="23"/>
      <c r="J14" s="23"/>
      <c r="K14" s="23"/>
      <c r="L14" s="23"/>
      <c r="M14" s="23"/>
      <c r="N14" s="23"/>
      <c r="O14" s="23"/>
      <c r="P14" s="22"/>
      <c r="Q14" s="22"/>
      <c r="R14" s="22"/>
      <c r="S14" s="22"/>
      <c r="T14" s="7"/>
      <c r="U14" s="7"/>
      <c r="V14" s="7"/>
      <c r="W14" s="7"/>
      <c r="X14" s="7"/>
      <c r="Y14" s="7"/>
    </row>
    <row r="15" spans="1:25" ht="27.9" customHeight="1">
      <c r="A15" s="33" t="s">
        <v>29</v>
      </c>
      <c r="B15" s="29" t="s">
        <v>15</v>
      </c>
      <c r="C15" s="14" t="s">
        <v>40</v>
      </c>
      <c r="D15" s="14" t="s">
        <v>40</v>
      </c>
      <c r="E15" s="14" t="s">
        <v>40</v>
      </c>
      <c r="F15" s="14" t="s">
        <v>40</v>
      </c>
      <c r="P15" s="19"/>
      <c r="Q15" s="19"/>
      <c r="R15" s="19"/>
      <c r="S15" s="19"/>
      <c r="T15" s="4"/>
      <c r="U15" s="4"/>
      <c r="V15" s="4"/>
      <c r="W15" s="4"/>
      <c r="X15" s="4"/>
      <c r="Y15" s="4"/>
    </row>
    <row r="16" spans="1:25" ht="27.9" customHeight="1">
      <c r="A16" s="33" t="s">
        <v>30</v>
      </c>
      <c r="B16" s="30" t="s">
        <v>16</v>
      </c>
      <c r="C16" s="14" t="s">
        <v>40</v>
      </c>
      <c r="D16" s="14" t="s">
        <v>40</v>
      </c>
      <c r="E16" s="14" t="s">
        <v>40</v>
      </c>
      <c r="F16" s="14" t="s">
        <v>40</v>
      </c>
      <c r="P16" s="19"/>
      <c r="Q16" s="19"/>
      <c r="R16" s="19"/>
      <c r="S16" s="19"/>
      <c r="T16" s="4"/>
      <c r="U16" s="4"/>
      <c r="V16" s="4"/>
      <c r="W16" s="4"/>
      <c r="X16" s="4"/>
      <c r="Y16" s="4"/>
    </row>
    <row r="17" spans="1:25" ht="27.9" customHeight="1">
      <c r="A17" s="33" t="s">
        <v>31</v>
      </c>
      <c r="B17" s="30" t="s">
        <v>17</v>
      </c>
      <c r="C17" s="14" t="s">
        <v>40</v>
      </c>
      <c r="D17" s="14" t="s">
        <v>40</v>
      </c>
      <c r="E17" s="14" t="s">
        <v>40</v>
      </c>
      <c r="F17" s="14" t="s">
        <v>40</v>
      </c>
      <c r="I17" s="19"/>
      <c r="P17" s="19"/>
      <c r="Q17" s="19"/>
      <c r="R17" s="19"/>
      <c r="S17" s="19"/>
      <c r="T17" s="4"/>
      <c r="U17" s="4"/>
      <c r="V17" s="4"/>
      <c r="W17" s="4"/>
      <c r="X17" s="4"/>
      <c r="Y17" s="4"/>
    </row>
    <row r="18" spans="1:25" s="3" customFormat="1" ht="27.9" customHeight="1">
      <c r="A18" s="33" t="s">
        <v>32</v>
      </c>
      <c r="B18" s="30" t="s">
        <v>18</v>
      </c>
      <c r="C18" s="14" t="s">
        <v>40</v>
      </c>
      <c r="D18" s="14" t="s">
        <v>40</v>
      </c>
      <c r="E18" s="14" t="s">
        <v>40</v>
      </c>
      <c r="F18" s="14" t="s">
        <v>40</v>
      </c>
      <c r="G18" s="24"/>
      <c r="H18" s="24"/>
      <c r="I18" s="25"/>
      <c r="J18" s="25"/>
      <c r="K18" s="24"/>
      <c r="L18" s="24"/>
      <c r="M18" s="24"/>
      <c r="N18" s="24"/>
      <c r="O18" s="24"/>
      <c r="P18" s="19"/>
      <c r="Q18" s="19"/>
      <c r="R18" s="19"/>
      <c r="S18" s="19"/>
      <c r="T18" s="4"/>
      <c r="U18" s="4"/>
      <c r="V18" s="4"/>
      <c r="W18" s="4"/>
      <c r="X18" s="4"/>
      <c r="Y18" s="4"/>
    </row>
    <row r="19" spans="1:25" ht="27.9" customHeight="1">
      <c r="A19" s="33" t="s">
        <v>33</v>
      </c>
      <c r="B19" s="30" t="s">
        <v>19</v>
      </c>
      <c r="C19" s="14">
        <v>69957</v>
      </c>
      <c r="D19" s="14">
        <v>71157</v>
      </c>
      <c r="E19" s="14">
        <v>73657</v>
      </c>
      <c r="F19" s="14">
        <v>82157</v>
      </c>
      <c r="H19" s="26"/>
      <c r="I19" s="19"/>
      <c r="P19" s="19"/>
      <c r="Q19" s="19"/>
      <c r="R19" s="19"/>
      <c r="S19" s="19"/>
      <c r="T19" s="4"/>
      <c r="U19" s="4"/>
      <c r="V19" s="4"/>
      <c r="W19" s="4"/>
      <c r="X19" s="4"/>
      <c r="Y19" s="4"/>
    </row>
    <row r="20" spans="1:25" ht="27.9" customHeight="1" thickBot="1">
      <c r="A20" s="33" t="s">
        <v>34</v>
      </c>
      <c r="B20" s="30" t="s">
        <v>20</v>
      </c>
      <c r="C20" s="14" t="s">
        <v>40</v>
      </c>
      <c r="D20" s="14" t="s">
        <v>40</v>
      </c>
      <c r="E20" s="14" t="s">
        <v>40</v>
      </c>
      <c r="F20" s="14" t="s">
        <v>40</v>
      </c>
      <c r="J20" s="19"/>
      <c r="P20" s="19"/>
      <c r="Q20" s="19"/>
      <c r="R20" s="19"/>
      <c r="S20" s="19"/>
      <c r="T20" s="4"/>
      <c r="U20" s="4"/>
      <c r="V20" s="4"/>
      <c r="W20" s="4"/>
      <c r="X20" s="4"/>
      <c r="Y20" s="4"/>
    </row>
    <row r="21" spans="1:25" ht="27.9" customHeight="1" thickTop="1" thickBot="1">
      <c r="A21" s="31"/>
      <c r="B21" s="32" t="s">
        <v>21</v>
      </c>
      <c r="C21" s="34">
        <f>SUM(C7:C20)</f>
        <v>107357</v>
      </c>
      <c r="D21" s="34">
        <f>SUM(D7:D20)</f>
        <v>106357</v>
      </c>
      <c r="E21" s="34">
        <f>SUM(E7:E20)</f>
        <v>110657</v>
      </c>
      <c r="F21" s="34">
        <f>SUM(F7:F20)</f>
        <v>118657</v>
      </c>
      <c r="H21" s="19"/>
      <c r="P21" s="19"/>
      <c r="Q21" s="19"/>
      <c r="R21" s="19"/>
      <c r="S21" s="19"/>
      <c r="T21" s="4"/>
      <c r="U21" s="4"/>
      <c r="V21" s="4"/>
      <c r="W21" s="4"/>
      <c r="X21" s="4"/>
      <c r="Y21" s="4"/>
    </row>
    <row r="22" spans="1:25" ht="13.8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22"/>
  <sheetViews>
    <sheetView view="pageBreakPreview" topLeftCell="A10" zoomScale="88" zoomScaleNormal="75" zoomScaleSheetLayoutView="88" workbookViewId="0">
      <selection activeCell="A4" sqref="A4:F21"/>
    </sheetView>
  </sheetViews>
  <sheetFormatPr defaultRowHeight="13.2"/>
  <cols>
    <col min="1" max="1" width="17.5546875" customWidth="1"/>
    <col min="2" max="2" width="29.44140625" style="1" customWidth="1"/>
    <col min="3" max="6" width="18.44140625" customWidth="1"/>
    <col min="7" max="7" width="11.6640625" style="15" customWidth="1"/>
    <col min="8" max="8" width="12.88671875" style="15" bestFit="1" customWidth="1"/>
    <col min="9" max="9" width="11.109375" style="15" bestFit="1" customWidth="1"/>
    <col min="10" max="10" width="10.6640625" style="15" bestFit="1" customWidth="1"/>
    <col min="11" max="19" width="9.109375" style="15"/>
    <col min="25" max="25" width="9.33203125" bestFit="1" customWidth="1"/>
  </cols>
  <sheetData>
    <row r="1" spans="1:25" ht="15" hidden="1" customHeight="1"/>
    <row r="2" spans="1:25" ht="22.8" hidden="1">
      <c r="B2" s="82" t="s">
        <v>5</v>
      </c>
      <c r="C2" s="82"/>
      <c r="D2" s="82"/>
      <c r="E2" s="82"/>
      <c r="F2" s="82"/>
    </row>
    <row r="3" spans="1:25" ht="22.8" hidden="1">
      <c r="B3" s="83" t="s">
        <v>4</v>
      </c>
      <c r="C3" s="83"/>
      <c r="D3" s="83"/>
      <c r="E3" s="83"/>
      <c r="F3" s="83"/>
    </row>
    <row r="4" spans="1:25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25" s="5" customFormat="1" ht="45" customHeight="1" thickBot="1">
      <c r="A5" s="28"/>
      <c r="B5" s="28"/>
      <c r="C5" s="28"/>
      <c r="D5" s="28"/>
      <c r="E5" s="28"/>
      <c r="F5" s="27" t="s">
        <v>6</v>
      </c>
      <c r="G5" s="17"/>
      <c r="H5" s="17"/>
      <c r="I5" s="17"/>
      <c r="J5" s="17"/>
      <c r="K5" s="17"/>
      <c r="L5" s="16"/>
      <c r="M5" s="16"/>
      <c r="N5" s="16"/>
      <c r="O5" s="16"/>
      <c r="P5" s="16"/>
      <c r="Q5" s="16"/>
      <c r="R5" s="16"/>
      <c r="S5" s="16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8"/>
    </row>
    <row r="7" spans="1:25" ht="36" customHeight="1" thickTop="1" thickBot="1">
      <c r="A7" s="11"/>
      <c r="B7" s="13"/>
      <c r="C7" s="35" t="s">
        <v>48</v>
      </c>
      <c r="D7" s="35" t="s">
        <v>49</v>
      </c>
      <c r="E7" s="35" t="s">
        <v>50</v>
      </c>
      <c r="F7" s="35" t="s">
        <v>51</v>
      </c>
    </row>
    <row r="8" spans="1:25" ht="27.9" customHeight="1" thickTop="1">
      <c r="A8" s="33" t="s">
        <v>22</v>
      </c>
      <c r="B8" s="29" t="s">
        <v>8</v>
      </c>
      <c r="C8" s="14" t="s">
        <v>40</v>
      </c>
      <c r="D8" s="14" t="s">
        <v>40</v>
      </c>
      <c r="E8" s="14" t="s">
        <v>40</v>
      </c>
      <c r="F8" s="14" t="s">
        <v>40</v>
      </c>
      <c r="G8" s="19"/>
      <c r="P8" s="19"/>
      <c r="Q8" s="19"/>
      <c r="R8" s="19"/>
      <c r="S8" s="19"/>
      <c r="T8" s="4"/>
      <c r="U8" s="4"/>
      <c r="V8" s="4"/>
      <c r="W8" s="4"/>
      <c r="X8" s="4"/>
      <c r="Y8" s="4"/>
    </row>
    <row r="9" spans="1:25" s="9" customFormat="1" ht="27.9" customHeight="1">
      <c r="A9" s="33" t="s">
        <v>23</v>
      </c>
      <c r="B9" s="30" t="s">
        <v>9</v>
      </c>
      <c r="C9" s="14">
        <v>8500</v>
      </c>
      <c r="D9" s="14">
        <v>12000</v>
      </c>
      <c r="E9" s="14">
        <v>10500</v>
      </c>
      <c r="F9" s="14">
        <v>6800</v>
      </c>
      <c r="G9" s="20"/>
      <c r="H9" s="20"/>
      <c r="I9" s="21"/>
      <c r="J9" s="21"/>
      <c r="K9" s="21"/>
      <c r="L9" s="21"/>
      <c r="M9" s="21"/>
      <c r="N9" s="21"/>
      <c r="O9" s="21"/>
      <c r="P9" s="20"/>
      <c r="Q9" s="20"/>
      <c r="R9" s="20"/>
      <c r="S9" s="20"/>
      <c r="T9" s="10"/>
      <c r="U9" s="10"/>
      <c r="V9" s="10"/>
      <c r="W9" s="10"/>
      <c r="X9" s="10"/>
      <c r="Y9" s="10"/>
    </row>
    <row r="10" spans="1:25" s="8" customFormat="1" ht="27.9" customHeight="1">
      <c r="A10" s="33" t="s">
        <v>24</v>
      </c>
      <c r="B10" s="29" t="s">
        <v>10</v>
      </c>
      <c r="C10" s="14">
        <v>31500</v>
      </c>
      <c r="D10" s="14">
        <v>33000</v>
      </c>
      <c r="E10" s="14">
        <v>32500</v>
      </c>
      <c r="F10" s="14">
        <v>33000</v>
      </c>
      <c r="G10" s="22"/>
      <c r="H10" s="23"/>
      <c r="I10" s="23"/>
      <c r="J10" s="23"/>
      <c r="K10" s="23"/>
      <c r="L10" s="23"/>
      <c r="M10" s="23"/>
      <c r="N10" s="23"/>
      <c r="O10" s="23"/>
      <c r="P10" s="22"/>
      <c r="Q10" s="22"/>
      <c r="R10" s="22"/>
      <c r="S10" s="22"/>
      <c r="T10" s="7"/>
      <c r="U10" s="7"/>
      <c r="V10" s="7"/>
      <c r="W10" s="7"/>
      <c r="X10" s="7"/>
      <c r="Y10" s="7"/>
    </row>
    <row r="11" spans="1:25" s="8" customFormat="1" ht="27.9" customHeight="1">
      <c r="A11" s="33" t="s">
        <v>25</v>
      </c>
      <c r="B11" s="29" t="s">
        <v>11</v>
      </c>
      <c r="C11" s="14" t="s">
        <v>40</v>
      </c>
      <c r="D11" s="14" t="s">
        <v>40</v>
      </c>
      <c r="E11" s="14" t="s">
        <v>40</v>
      </c>
      <c r="F11" s="14" t="s">
        <v>40</v>
      </c>
      <c r="G11" s="23"/>
      <c r="H11" s="22"/>
      <c r="I11" s="23"/>
      <c r="J11" s="23"/>
      <c r="K11" s="23"/>
      <c r="L11" s="23"/>
      <c r="M11" s="23"/>
      <c r="N11" s="23"/>
      <c r="O11" s="23"/>
      <c r="P11" s="22"/>
      <c r="Q11" s="22"/>
      <c r="R11" s="22"/>
      <c r="S11" s="22"/>
      <c r="T11" s="7"/>
      <c r="U11" s="7"/>
      <c r="V11" s="7"/>
      <c r="W11" s="7"/>
      <c r="X11" s="7"/>
      <c r="Y11" s="7"/>
    </row>
    <row r="12" spans="1:25" s="9" customFormat="1" ht="27.9" customHeight="1">
      <c r="A12" s="33" t="s">
        <v>26</v>
      </c>
      <c r="B12" s="30" t="s">
        <v>12</v>
      </c>
      <c r="C12" s="14" t="s">
        <v>40</v>
      </c>
      <c r="D12" s="14" t="s">
        <v>40</v>
      </c>
      <c r="E12" s="14" t="s">
        <v>40</v>
      </c>
      <c r="F12" s="14" t="s">
        <v>40</v>
      </c>
      <c r="G12" s="21"/>
      <c r="H12" s="20"/>
      <c r="I12" s="21"/>
      <c r="J12" s="21"/>
      <c r="K12" s="21"/>
      <c r="L12" s="21"/>
      <c r="M12" s="21"/>
      <c r="N12" s="21"/>
      <c r="O12" s="21"/>
      <c r="P12" s="20"/>
      <c r="Q12" s="20"/>
      <c r="R12" s="20"/>
      <c r="S12" s="20"/>
      <c r="T12" s="10"/>
      <c r="U12" s="10"/>
      <c r="V12" s="10"/>
      <c r="W12" s="10"/>
      <c r="X12" s="10"/>
      <c r="Y12" s="10"/>
    </row>
    <row r="13" spans="1:25" s="8" customFormat="1" ht="27.9" customHeight="1">
      <c r="A13" s="33" t="s">
        <v>27</v>
      </c>
      <c r="B13" s="29" t="s">
        <v>13</v>
      </c>
      <c r="C13" s="14" t="s">
        <v>40</v>
      </c>
      <c r="D13" s="14" t="s">
        <v>40</v>
      </c>
      <c r="E13" s="14" t="s">
        <v>40</v>
      </c>
      <c r="F13" s="14" t="s">
        <v>40</v>
      </c>
      <c r="G13" s="23"/>
      <c r="H13" s="20"/>
      <c r="I13" s="23"/>
      <c r="J13" s="23"/>
      <c r="K13" s="23"/>
      <c r="L13" s="23"/>
      <c r="M13" s="23"/>
      <c r="N13" s="23"/>
      <c r="O13" s="23"/>
      <c r="P13" s="22"/>
      <c r="Q13" s="22"/>
      <c r="R13" s="22"/>
      <c r="S13" s="22"/>
      <c r="T13" s="7"/>
      <c r="U13" s="7"/>
      <c r="V13" s="7"/>
      <c r="W13" s="7"/>
      <c r="X13" s="7"/>
      <c r="Y13" s="7"/>
    </row>
    <row r="14" spans="1:25" s="8" customFormat="1" ht="27.9" customHeight="1">
      <c r="A14" s="33" t="s">
        <v>28</v>
      </c>
      <c r="B14" s="29" t="s">
        <v>14</v>
      </c>
      <c r="C14" s="14" t="s">
        <v>40</v>
      </c>
      <c r="D14" s="14" t="s">
        <v>40</v>
      </c>
      <c r="E14" s="14" t="s">
        <v>40</v>
      </c>
      <c r="F14" s="14" t="s">
        <v>40</v>
      </c>
      <c r="G14" s="23"/>
      <c r="H14" s="20"/>
      <c r="I14" s="23"/>
      <c r="J14" s="23"/>
      <c r="K14" s="23"/>
      <c r="L14" s="23"/>
      <c r="M14" s="23"/>
      <c r="N14" s="23"/>
      <c r="O14" s="23"/>
      <c r="P14" s="22"/>
      <c r="Q14" s="22"/>
      <c r="R14" s="22"/>
      <c r="S14" s="22"/>
      <c r="T14" s="7"/>
      <c r="U14" s="7"/>
      <c r="V14" s="7"/>
      <c r="W14" s="7"/>
      <c r="X14" s="7"/>
      <c r="Y14" s="7"/>
    </row>
    <row r="15" spans="1:25" ht="27.9" customHeight="1">
      <c r="A15" s="33" t="s">
        <v>29</v>
      </c>
      <c r="B15" s="29" t="s">
        <v>15</v>
      </c>
      <c r="C15" s="14" t="s">
        <v>40</v>
      </c>
      <c r="D15" s="14" t="s">
        <v>40</v>
      </c>
      <c r="E15" s="14" t="s">
        <v>40</v>
      </c>
      <c r="F15" s="14" t="s">
        <v>40</v>
      </c>
      <c r="P15" s="19"/>
      <c r="Q15" s="19"/>
      <c r="R15" s="19"/>
      <c r="S15" s="19"/>
      <c r="T15" s="4"/>
      <c r="U15" s="4"/>
      <c r="V15" s="4"/>
      <c r="W15" s="4"/>
      <c r="X15" s="4"/>
      <c r="Y15" s="4"/>
    </row>
    <row r="16" spans="1:25" ht="27.9" customHeight="1">
      <c r="A16" s="33" t="s">
        <v>30</v>
      </c>
      <c r="B16" s="30" t="s">
        <v>16</v>
      </c>
      <c r="C16" s="14" t="s">
        <v>40</v>
      </c>
      <c r="D16" s="14" t="s">
        <v>40</v>
      </c>
      <c r="E16" s="14" t="s">
        <v>40</v>
      </c>
      <c r="F16" s="14" t="s">
        <v>40</v>
      </c>
      <c r="P16" s="19"/>
      <c r="Q16" s="19"/>
      <c r="R16" s="19"/>
      <c r="S16" s="19"/>
      <c r="T16" s="4"/>
      <c r="U16" s="4"/>
      <c r="V16" s="4"/>
      <c r="W16" s="4"/>
      <c r="X16" s="4"/>
      <c r="Y16" s="4"/>
    </row>
    <row r="17" spans="1:25" ht="27.9" customHeight="1">
      <c r="A17" s="33" t="s">
        <v>31</v>
      </c>
      <c r="B17" s="30" t="s">
        <v>17</v>
      </c>
      <c r="C17" s="14" t="s">
        <v>40</v>
      </c>
      <c r="D17" s="14" t="s">
        <v>40</v>
      </c>
      <c r="E17" s="14" t="s">
        <v>40</v>
      </c>
      <c r="F17" s="14" t="s">
        <v>40</v>
      </c>
      <c r="I17" s="19"/>
      <c r="P17" s="19"/>
      <c r="Q17" s="19"/>
      <c r="R17" s="19"/>
      <c r="S17" s="19"/>
      <c r="T17" s="4"/>
      <c r="U17" s="4"/>
      <c r="V17" s="4"/>
      <c r="W17" s="4"/>
      <c r="X17" s="4"/>
      <c r="Y17" s="4"/>
    </row>
    <row r="18" spans="1:25" s="3" customFormat="1" ht="27.9" customHeight="1">
      <c r="A18" s="33" t="s">
        <v>32</v>
      </c>
      <c r="B18" s="30" t="s">
        <v>18</v>
      </c>
      <c r="C18" s="14" t="s">
        <v>40</v>
      </c>
      <c r="D18" s="14" t="s">
        <v>40</v>
      </c>
      <c r="E18" s="14" t="s">
        <v>40</v>
      </c>
      <c r="F18" s="14" t="s">
        <v>40</v>
      </c>
      <c r="G18" s="24"/>
      <c r="H18" s="24"/>
      <c r="I18" s="25"/>
      <c r="J18" s="25"/>
      <c r="K18" s="24"/>
      <c r="L18" s="24"/>
      <c r="M18" s="24"/>
      <c r="N18" s="24"/>
      <c r="O18" s="24"/>
      <c r="P18" s="19"/>
      <c r="Q18" s="19"/>
      <c r="R18" s="19"/>
      <c r="S18" s="19"/>
      <c r="T18" s="4"/>
      <c r="U18" s="4"/>
      <c r="V18" s="4"/>
      <c r="W18" s="4"/>
      <c r="X18" s="4"/>
      <c r="Y18" s="4"/>
    </row>
    <row r="19" spans="1:25" ht="27.9" customHeight="1">
      <c r="A19" s="33" t="s">
        <v>33</v>
      </c>
      <c r="B19" s="30" t="s">
        <v>19</v>
      </c>
      <c r="C19" s="14">
        <v>90657.4</v>
      </c>
      <c r="D19" s="14">
        <v>100957.4</v>
      </c>
      <c r="E19" s="14">
        <v>106457</v>
      </c>
      <c r="F19" s="14">
        <v>106639.1</v>
      </c>
      <c r="H19" s="26"/>
      <c r="I19" s="19"/>
      <c r="P19" s="19"/>
      <c r="Q19" s="19"/>
      <c r="R19" s="19"/>
      <c r="S19" s="19"/>
      <c r="T19" s="4"/>
      <c r="U19" s="4"/>
      <c r="V19" s="4"/>
      <c r="W19" s="4"/>
      <c r="X19" s="4"/>
      <c r="Y19" s="4"/>
    </row>
    <row r="20" spans="1:25" ht="27.9" customHeight="1" thickBot="1">
      <c r="A20" s="33" t="s">
        <v>34</v>
      </c>
      <c r="B20" s="30" t="s">
        <v>20</v>
      </c>
      <c r="C20" s="14" t="s">
        <v>40</v>
      </c>
      <c r="D20" s="14" t="s">
        <v>40</v>
      </c>
      <c r="E20" s="14" t="s">
        <v>40</v>
      </c>
      <c r="F20" s="14" t="s">
        <v>40</v>
      </c>
      <c r="J20" s="19"/>
      <c r="P20" s="19"/>
      <c r="Q20" s="19"/>
      <c r="R20" s="19"/>
      <c r="S20" s="19"/>
      <c r="T20" s="4"/>
      <c r="U20" s="4"/>
      <c r="V20" s="4"/>
      <c r="W20" s="4"/>
      <c r="X20" s="4"/>
      <c r="Y20" s="4"/>
    </row>
    <row r="21" spans="1:25" ht="27.9" customHeight="1" thickTop="1" thickBot="1">
      <c r="A21" s="31"/>
      <c r="B21" s="32" t="s">
        <v>21</v>
      </c>
      <c r="C21" s="34">
        <f>SUM(C7:C20)</f>
        <v>130657</v>
      </c>
      <c r="D21" s="34">
        <f>SUM(D7:D20)</f>
        <v>145957</v>
      </c>
      <c r="E21" s="34">
        <f>SUM(E7:E20)</f>
        <v>149457</v>
      </c>
      <c r="F21" s="34">
        <f>SUM(F7:F20)</f>
        <v>146439</v>
      </c>
      <c r="H21" s="19"/>
      <c r="P21" s="19"/>
      <c r="Q21" s="19"/>
      <c r="R21" s="19"/>
      <c r="S21" s="19"/>
      <c r="T21" s="4"/>
      <c r="U21" s="4"/>
      <c r="V21" s="4"/>
      <c r="W21" s="4"/>
      <c r="X21" s="4"/>
      <c r="Y21" s="4"/>
    </row>
    <row r="22" spans="1:25" ht="13.8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22"/>
  <sheetViews>
    <sheetView view="pageBreakPreview" topLeftCell="A10" zoomScale="88" zoomScaleNormal="75" zoomScaleSheetLayoutView="88" workbookViewId="0">
      <selection activeCell="A4" sqref="A4:F21"/>
    </sheetView>
  </sheetViews>
  <sheetFormatPr defaultRowHeight="13.2"/>
  <cols>
    <col min="1" max="1" width="17.5546875" customWidth="1"/>
    <col min="2" max="2" width="29.44140625" style="1" customWidth="1"/>
    <col min="3" max="6" width="18.44140625" customWidth="1"/>
    <col min="7" max="7" width="11.6640625" style="15" customWidth="1"/>
    <col min="8" max="8" width="12.88671875" style="15" bestFit="1" customWidth="1"/>
    <col min="9" max="9" width="11.109375" style="15" bestFit="1" customWidth="1"/>
    <col min="10" max="10" width="10.6640625" style="15" bestFit="1" customWidth="1"/>
    <col min="11" max="19" width="9.109375" style="15"/>
    <col min="25" max="25" width="9.33203125" bestFit="1" customWidth="1"/>
  </cols>
  <sheetData>
    <row r="1" spans="1:25" ht="15" hidden="1" customHeight="1"/>
    <row r="2" spans="1:25" ht="22.8" hidden="1">
      <c r="B2" s="82" t="s">
        <v>5</v>
      </c>
      <c r="C2" s="82"/>
      <c r="D2" s="82"/>
      <c r="E2" s="82"/>
      <c r="F2" s="82"/>
    </row>
    <row r="3" spans="1:25" ht="22.8" hidden="1">
      <c r="B3" s="83" t="s">
        <v>4</v>
      </c>
      <c r="C3" s="83"/>
      <c r="D3" s="83"/>
      <c r="E3" s="83"/>
      <c r="F3" s="83"/>
    </row>
    <row r="4" spans="1:25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25" s="5" customFormat="1" ht="45" customHeight="1" thickBot="1">
      <c r="A5" s="28"/>
      <c r="B5" s="28"/>
      <c r="C5" s="28"/>
      <c r="D5" s="28"/>
      <c r="E5" s="28"/>
      <c r="F5" s="27" t="s">
        <v>6</v>
      </c>
      <c r="G5" s="17"/>
      <c r="H5" s="17"/>
      <c r="I5" s="17"/>
      <c r="J5" s="17"/>
      <c r="K5" s="17"/>
      <c r="L5" s="16"/>
      <c r="M5" s="16"/>
      <c r="N5" s="16"/>
      <c r="O5" s="16"/>
      <c r="P5" s="16"/>
      <c r="Q5" s="16"/>
      <c r="R5" s="16"/>
      <c r="S5" s="16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8"/>
    </row>
    <row r="7" spans="1:25" ht="36" customHeight="1" thickTop="1" thickBot="1">
      <c r="A7" s="11"/>
      <c r="B7" s="13"/>
      <c r="C7" s="35" t="s">
        <v>52</v>
      </c>
      <c r="D7" s="35" t="s">
        <v>53</v>
      </c>
      <c r="E7" s="35" t="s">
        <v>54</v>
      </c>
      <c r="F7" s="35" t="s">
        <v>55</v>
      </c>
    </row>
    <row r="8" spans="1:25" ht="27.9" customHeight="1" thickTop="1">
      <c r="A8" s="33" t="s">
        <v>22</v>
      </c>
      <c r="B8" s="29" t="s">
        <v>8</v>
      </c>
      <c r="C8" s="14" t="s">
        <v>40</v>
      </c>
      <c r="D8" s="14" t="s">
        <v>40</v>
      </c>
      <c r="E8" s="14" t="s">
        <v>40</v>
      </c>
      <c r="F8" s="14" t="s">
        <v>40</v>
      </c>
      <c r="G8" s="19"/>
      <c r="P8" s="19"/>
      <c r="Q8" s="19"/>
      <c r="R8" s="19"/>
      <c r="S8" s="19"/>
      <c r="T8" s="4"/>
      <c r="U8" s="4"/>
      <c r="V8" s="4"/>
      <c r="W8" s="4"/>
      <c r="X8" s="4"/>
      <c r="Y8" s="4"/>
    </row>
    <row r="9" spans="1:25" s="9" customFormat="1" ht="27.9" customHeight="1">
      <c r="A9" s="33" t="s">
        <v>23</v>
      </c>
      <c r="B9" s="30" t="s">
        <v>9</v>
      </c>
      <c r="C9" s="14">
        <v>17000</v>
      </c>
      <c r="D9" s="14">
        <v>14500</v>
      </c>
      <c r="E9" s="14">
        <v>9500</v>
      </c>
      <c r="F9" s="14">
        <v>6020.7</v>
      </c>
      <c r="G9" s="20"/>
      <c r="H9" s="20"/>
      <c r="I9" s="21"/>
      <c r="J9" s="21"/>
      <c r="K9" s="21"/>
      <c r="L9" s="21"/>
      <c r="M9" s="21"/>
      <c r="N9" s="21"/>
      <c r="O9" s="21"/>
      <c r="P9" s="20"/>
      <c r="Q9" s="20"/>
      <c r="R9" s="20"/>
      <c r="S9" s="20"/>
      <c r="T9" s="10"/>
      <c r="U9" s="10"/>
      <c r="V9" s="10"/>
      <c r="W9" s="10"/>
      <c r="X9" s="10"/>
      <c r="Y9" s="10"/>
    </row>
    <row r="10" spans="1:25" s="8" customFormat="1" ht="27.9" customHeight="1">
      <c r="A10" s="33" t="s">
        <v>24</v>
      </c>
      <c r="B10" s="29" t="s">
        <v>10</v>
      </c>
      <c r="C10" s="14">
        <v>42500.03</v>
      </c>
      <c r="D10" s="14">
        <v>48500</v>
      </c>
      <c r="E10" s="14">
        <v>51500</v>
      </c>
      <c r="F10" s="14">
        <v>43119.199999999997</v>
      </c>
      <c r="G10" s="22"/>
      <c r="H10" s="23"/>
      <c r="I10" s="23"/>
      <c r="J10" s="23"/>
      <c r="K10" s="23"/>
      <c r="L10" s="23"/>
      <c r="M10" s="23"/>
      <c r="N10" s="23"/>
      <c r="O10" s="23"/>
      <c r="P10" s="22"/>
      <c r="Q10" s="22"/>
      <c r="R10" s="22"/>
      <c r="S10" s="22"/>
      <c r="T10" s="7"/>
      <c r="U10" s="7"/>
      <c r="V10" s="7"/>
      <c r="W10" s="7"/>
      <c r="X10" s="7"/>
      <c r="Y10" s="7"/>
    </row>
    <row r="11" spans="1:25" s="8" customFormat="1" ht="27.9" customHeight="1">
      <c r="A11" s="33" t="s">
        <v>25</v>
      </c>
      <c r="B11" s="29" t="s">
        <v>11</v>
      </c>
      <c r="C11" s="14" t="s">
        <v>40</v>
      </c>
      <c r="D11" s="14" t="s">
        <v>40</v>
      </c>
      <c r="E11" s="14" t="s">
        <v>40</v>
      </c>
      <c r="F11" s="14" t="s">
        <v>40</v>
      </c>
      <c r="G11" s="23"/>
      <c r="H11" s="22"/>
      <c r="I11" s="23"/>
      <c r="J11" s="23"/>
      <c r="K11" s="23"/>
      <c r="L11" s="23"/>
      <c r="M11" s="23"/>
      <c r="N11" s="23"/>
      <c r="O11" s="23"/>
      <c r="P11" s="22"/>
      <c r="Q11" s="22"/>
      <c r="R11" s="22"/>
      <c r="S11" s="22"/>
      <c r="T11" s="7"/>
      <c r="U11" s="7"/>
      <c r="V11" s="7"/>
      <c r="W11" s="7"/>
      <c r="X11" s="7"/>
      <c r="Y11" s="7"/>
    </row>
    <row r="12" spans="1:25" s="9" customFormat="1" ht="27.9" customHeight="1">
      <c r="A12" s="33" t="s">
        <v>26</v>
      </c>
      <c r="B12" s="30" t="s">
        <v>12</v>
      </c>
      <c r="C12" s="14" t="s">
        <v>40</v>
      </c>
      <c r="D12" s="14" t="s">
        <v>40</v>
      </c>
      <c r="E12" s="14" t="s">
        <v>40</v>
      </c>
      <c r="F12" s="14">
        <v>6000</v>
      </c>
      <c r="G12" s="21"/>
      <c r="H12" s="20"/>
      <c r="I12" s="21"/>
      <c r="J12" s="21"/>
      <c r="K12" s="21"/>
      <c r="L12" s="21"/>
      <c r="M12" s="21"/>
      <c r="N12" s="21"/>
      <c r="O12" s="21"/>
      <c r="P12" s="20"/>
      <c r="Q12" s="20"/>
      <c r="R12" s="20"/>
      <c r="S12" s="20"/>
      <c r="T12" s="10"/>
      <c r="U12" s="10"/>
      <c r="V12" s="10"/>
      <c r="W12" s="10"/>
      <c r="X12" s="10"/>
      <c r="Y12" s="10"/>
    </row>
    <row r="13" spans="1:25" s="8" customFormat="1" ht="27.9" customHeight="1">
      <c r="A13" s="33" t="s">
        <v>27</v>
      </c>
      <c r="B13" s="29" t="s">
        <v>13</v>
      </c>
      <c r="C13" s="14" t="s">
        <v>40</v>
      </c>
      <c r="D13" s="14" t="s">
        <v>40</v>
      </c>
      <c r="E13" s="14" t="s">
        <v>40</v>
      </c>
      <c r="F13" s="14" t="s">
        <v>40</v>
      </c>
      <c r="G13" s="23"/>
      <c r="H13" s="20"/>
      <c r="I13" s="23"/>
      <c r="J13" s="23"/>
      <c r="K13" s="23"/>
      <c r="L13" s="23"/>
      <c r="M13" s="23"/>
      <c r="N13" s="23"/>
      <c r="O13" s="23"/>
      <c r="P13" s="22"/>
      <c r="Q13" s="22"/>
      <c r="R13" s="22"/>
      <c r="S13" s="22"/>
      <c r="T13" s="7"/>
      <c r="U13" s="7"/>
      <c r="V13" s="7"/>
      <c r="W13" s="7"/>
      <c r="X13" s="7"/>
      <c r="Y13" s="7"/>
    </row>
    <row r="14" spans="1:25" s="8" customFormat="1" ht="27.9" customHeight="1">
      <c r="A14" s="33" t="s">
        <v>28</v>
      </c>
      <c r="B14" s="29" t="s">
        <v>14</v>
      </c>
      <c r="C14" s="14" t="s">
        <v>40</v>
      </c>
      <c r="D14" s="14">
        <v>28000</v>
      </c>
      <c r="E14" s="14">
        <v>55500</v>
      </c>
      <c r="F14" s="14">
        <v>77500</v>
      </c>
      <c r="G14" s="23"/>
      <c r="H14" s="20"/>
      <c r="I14" s="23"/>
      <c r="J14" s="23"/>
      <c r="K14" s="23"/>
      <c r="L14" s="23"/>
      <c r="M14" s="23"/>
      <c r="N14" s="23"/>
      <c r="O14" s="23"/>
      <c r="P14" s="22"/>
      <c r="Q14" s="22"/>
      <c r="R14" s="22"/>
      <c r="S14" s="22"/>
      <c r="T14" s="7"/>
      <c r="U14" s="7"/>
      <c r="V14" s="7"/>
      <c r="W14" s="7"/>
      <c r="X14" s="7"/>
      <c r="Y14" s="7"/>
    </row>
    <row r="15" spans="1:25" ht="27.9" customHeight="1">
      <c r="A15" s="33" t="s">
        <v>29</v>
      </c>
      <c r="B15" s="29" t="s">
        <v>15</v>
      </c>
      <c r="C15" s="14" t="s">
        <v>40</v>
      </c>
      <c r="D15" s="14" t="s">
        <v>40</v>
      </c>
      <c r="E15" s="14" t="s">
        <v>40</v>
      </c>
      <c r="F15" s="14" t="s">
        <v>40</v>
      </c>
      <c r="P15" s="19"/>
      <c r="Q15" s="19"/>
      <c r="R15" s="19"/>
      <c r="S15" s="19"/>
      <c r="T15" s="4"/>
      <c r="U15" s="4"/>
      <c r="V15" s="4"/>
      <c r="W15" s="4"/>
      <c r="X15" s="4"/>
      <c r="Y15" s="4"/>
    </row>
    <row r="16" spans="1:25" ht="27.9" customHeight="1">
      <c r="A16" s="33" t="s">
        <v>30</v>
      </c>
      <c r="B16" s="30" t="s">
        <v>16</v>
      </c>
      <c r="C16" s="14" t="s">
        <v>40</v>
      </c>
      <c r="D16" s="14" t="s">
        <v>40</v>
      </c>
      <c r="E16" s="14" t="s">
        <v>40</v>
      </c>
      <c r="F16" s="14" t="s">
        <v>40</v>
      </c>
      <c r="P16" s="19"/>
      <c r="Q16" s="19"/>
      <c r="R16" s="19"/>
      <c r="S16" s="19"/>
      <c r="T16" s="4"/>
      <c r="U16" s="4"/>
      <c r="V16" s="4"/>
      <c r="W16" s="4"/>
      <c r="X16" s="4"/>
      <c r="Y16" s="4"/>
    </row>
    <row r="17" spans="1:25" ht="27.9" customHeight="1">
      <c r="A17" s="33" t="s">
        <v>31</v>
      </c>
      <c r="B17" s="30" t="s">
        <v>17</v>
      </c>
      <c r="C17" s="14" t="s">
        <v>40</v>
      </c>
      <c r="D17" s="14" t="s">
        <v>40</v>
      </c>
      <c r="E17" s="14">
        <v>6000</v>
      </c>
      <c r="F17" s="14">
        <v>15000</v>
      </c>
      <c r="I17" s="19"/>
      <c r="P17" s="19"/>
      <c r="Q17" s="19"/>
      <c r="R17" s="19"/>
      <c r="S17" s="19"/>
      <c r="T17" s="4"/>
      <c r="U17" s="4"/>
      <c r="V17" s="4"/>
      <c r="W17" s="4"/>
      <c r="X17" s="4"/>
      <c r="Y17" s="4"/>
    </row>
    <row r="18" spans="1:25" s="3" customFormat="1" ht="27.9" customHeight="1">
      <c r="A18" s="33" t="s">
        <v>32</v>
      </c>
      <c r="B18" s="30" t="s">
        <v>18</v>
      </c>
      <c r="C18" s="14" t="s">
        <v>40</v>
      </c>
      <c r="D18" s="14" t="s">
        <v>40</v>
      </c>
      <c r="E18" s="14" t="s">
        <v>40</v>
      </c>
      <c r="F18" s="14">
        <v>3000</v>
      </c>
      <c r="G18" s="24"/>
      <c r="H18" s="24"/>
      <c r="I18" s="25"/>
      <c r="J18" s="25"/>
      <c r="K18" s="24"/>
      <c r="L18" s="24"/>
      <c r="M18" s="24"/>
      <c r="N18" s="24"/>
      <c r="O18" s="24"/>
      <c r="P18" s="19"/>
      <c r="Q18" s="19"/>
      <c r="R18" s="19"/>
      <c r="S18" s="19"/>
      <c r="T18" s="4"/>
      <c r="U18" s="4"/>
      <c r="V18" s="4"/>
      <c r="W18" s="4"/>
      <c r="X18" s="4"/>
      <c r="Y18" s="4"/>
    </row>
    <row r="19" spans="1:25" ht="27.9" customHeight="1">
      <c r="A19" s="33" t="s">
        <v>33</v>
      </c>
      <c r="B19" s="30" t="s">
        <v>19</v>
      </c>
      <c r="C19" s="14">
        <v>105939.83</v>
      </c>
      <c r="D19" s="14">
        <v>114940</v>
      </c>
      <c r="E19" s="14">
        <v>97939.8</v>
      </c>
      <c r="F19" s="14">
        <v>88439.8</v>
      </c>
      <c r="H19" s="26"/>
      <c r="I19" s="19"/>
      <c r="P19" s="19"/>
      <c r="Q19" s="19"/>
      <c r="R19" s="19"/>
      <c r="S19" s="19"/>
      <c r="T19" s="4"/>
      <c r="U19" s="4"/>
      <c r="V19" s="4"/>
      <c r="W19" s="4"/>
      <c r="X19" s="4"/>
      <c r="Y19" s="4"/>
    </row>
    <row r="20" spans="1:25" ht="27.9" customHeight="1" thickBot="1">
      <c r="A20" s="33" t="s">
        <v>34</v>
      </c>
      <c r="B20" s="30" t="s">
        <v>20</v>
      </c>
      <c r="C20" s="14" t="s">
        <v>40</v>
      </c>
      <c r="D20" s="14" t="s">
        <v>40</v>
      </c>
      <c r="E20" s="14" t="s">
        <v>40</v>
      </c>
      <c r="F20" s="14" t="s">
        <v>40</v>
      </c>
      <c r="J20" s="19"/>
      <c r="P20" s="19"/>
      <c r="Q20" s="19"/>
      <c r="R20" s="19"/>
      <c r="S20" s="19"/>
      <c r="T20" s="4"/>
      <c r="U20" s="4"/>
      <c r="V20" s="4"/>
      <c r="W20" s="4"/>
      <c r="X20" s="4"/>
      <c r="Y20" s="4"/>
    </row>
    <row r="21" spans="1:25" ht="27.9" customHeight="1" thickTop="1" thickBot="1">
      <c r="A21" s="31"/>
      <c r="B21" s="32" t="s">
        <v>21</v>
      </c>
      <c r="C21" s="34">
        <f>SUM(C7:C20)</f>
        <v>165440</v>
      </c>
      <c r="D21" s="34">
        <f>SUM(D7:D20)</f>
        <v>205940</v>
      </c>
      <c r="E21" s="34">
        <f>SUM(E7:E20)</f>
        <v>220440</v>
      </c>
      <c r="F21" s="34">
        <f>SUM(F7:F20)</f>
        <v>239080</v>
      </c>
      <c r="H21" s="19"/>
      <c r="P21" s="19"/>
      <c r="Q21" s="19"/>
      <c r="R21" s="19"/>
      <c r="S21" s="19"/>
      <c r="T21" s="4"/>
      <c r="U21" s="4"/>
      <c r="V21" s="4"/>
      <c r="W21" s="4"/>
      <c r="X21" s="4"/>
      <c r="Y21" s="4"/>
    </row>
    <row r="22" spans="1:25" ht="13.8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Y22"/>
  <sheetViews>
    <sheetView view="pageBreakPreview" topLeftCell="A10" zoomScale="88" zoomScaleNormal="75" zoomScaleSheetLayoutView="88" workbookViewId="0">
      <selection activeCell="A4" sqref="A4:F21"/>
    </sheetView>
  </sheetViews>
  <sheetFormatPr defaultRowHeight="13.2"/>
  <cols>
    <col min="1" max="1" width="17.5546875" customWidth="1"/>
    <col min="2" max="2" width="29.44140625" style="1" customWidth="1"/>
    <col min="3" max="6" width="18.44140625" customWidth="1"/>
    <col min="7" max="7" width="11.6640625" style="15" customWidth="1"/>
    <col min="8" max="8" width="12.88671875" style="15" bestFit="1" customWidth="1"/>
    <col min="9" max="9" width="11.109375" style="15" bestFit="1" customWidth="1"/>
    <col min="10" max="10" width="10.6640625" style="15" bestFit="1" customWidth="1"/>
    <col min="11" max="19" width="9.109375" style="15"/>
    <col min="25" max="25" width="9.33203125" bestFit="1" customWidth="1"/>
  </cols>
  <sheetData>
    <row r="1" spans="1:25" ht="15" hidden="1" customHeight="1"/>
    <row r="2" spans="1:25" ht="22.8" hidden="1">
      <c r="B2" s="82" t="s">
        <v>5</v>
      </c>
      <c r="C2" s="82"/>
      <c r="D2" s="82"/>
      <c r="E2" s="82"/>
      <c r="F2" s="82"/>
    </row>
    <row r="3" spans="1:25" ht="22.8" hidden="1">
      <c r="B3" s="83" t="s">
        <v>4</v>
      </c>
      <c r="C3" s="83"/>
      <c r="D3" s="83"/>
      <c r="E3" s="83"/>
      <c r="F3" s="83"/>
    </row>
    <row r="4" spans="1:25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25" s="5" customFormat="1" ht="45" customHeight="1" thickBot="1">
      <c r="A5" s="28"/>
      <c r="B5" s="28"/>
      <c r="C5" s="28"/>
      <c r="D5" s="28"/>
      <c r="E5" s="28"/>
      <c r="F5" s="27" t="s">
        <v>6</v>
      </c>
      <c r="G5" s="17"/>
      <c r="H5" s="17"/>
      <c r="I5" s="17"/>
      <c r="J5" s="17"/>
      <c r="K5" s="17"/>
      <c r="L5" s="16"/>
      <c r="M5" s="16"/>
      <c r="N5" s="16"/>
      <c r="O5" s="16"/>
      <c r="P5" s="16"/>
      <c r="Q5" s="16"/>
      <c r="R5" s="16"/>
      <c r="S5" s="16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8"/>
    </row>
    <row r="7" spans="1:25" ht="36" customHeight="1" thickTop="1" thickBot="1">
      <c r="A7" s="11"/>
      <c r="B7" s="13"/>
      <c r="C7" s="35" t="s">
        <v>56</v>
      </c>
      <c r="D7" s="35" t="s">
        <v>57</v>
      </c>
      <c r="E7" s="35" t="s">
        <v>58</v>
      </c>
      <c r="F7" s="35" t="s">
        <v>59</v>
      </c>
    </row>
    <row r="8" spans="1:25" ht="27.9" customHeight="1" thickTop="1">
      <c r="A8" s="33" t="s">
        <v>22</v>
      </c>
      <c r="B8" s="29" t="s">
        <v>8</v>
      </c>
      <c r="C8" s="14" t="s">
        <v>40</v>
      </c>
      <c r="D8" s="14" t="s">
        <v>40</v>
      </c>
      <c r="E8" s="14" t="s">
        <v>40</v>
      </c>
      <c r="F8" s="14" t="s">
        <v>40</v>
      </c>
      <c r="G8" s="19"/>
      <c r="P8" s="19"/>
      <c r="Q8" s="19"/>
      <c r="R8" s="19"/>
      <c r="S8" s="19"/>
      <c r="T8" s="4"/>
      <c r="U8" s="4"/>
      <c r="V8" s="4"/>
      <c r="W8" s="4"/>
      <c r="X8" s="4"/>
      <c r="Y8" s="4"/>
    </row>
    <row r="9" spans="1:25" s="9" customFormat="1" ht="27.9" customHeight="1">
      <c r="A9" s="33" t="s">
        <v>23</v>
      </c>
      <c r="B9" s="30" t="s">
        <v>9</v>
      </c>
      <c r="C9" s="14">
        <v>11000</v>
      </c>
      <c r="D9" s="14">
        <v>8480</v>
      </c>
      <c r="E9" s="14">
        <v>20000</v>
      </c>
      <c r="F9" s="14">
        <v>13000</v>
      </c>
      <c r="G9" s="20"/>
      <c r="H9" s="20"/>
      <c r="I9" s="21"/>
      <c r="J9" s="21"/>
      <c r="K9" s="21"/>
      <c r="L9" s="21"/>
      <c r="M9" s="21"/>
      <c r="N9" s="21"/>
      <c r="O9" s="21"/>
      <c r="P9" s="20"/>
      <c r="Q9" s="20"/>
      <c r="R9" s="20"/>
      <c r="S9" s="20"/>
      <c r="T9" s="10"/>
      <c r="U9" s="10"/>
      <c r="V9" s="10"/>
      <c r="W9" s="10"/>
      <c r="X9" s="10"/>
      <c r="Y9" s="10"/>
    </row>
    <row r="10" spans="1:25" s="8" customFormat="1" ht="27.9" customHeight="1">
      <c r="A10" s="33" t="s">
        <v>24</v>
      </c>
      <c r="B10" s="29" t="s">
        <v>10</v>
      </c>
      <c r="C10" s="14">
        <v>28989.9</v>
      </c>
      <c r="D10" s="14">
        <v>32767</v>
      </c>
      <c r="E10" s="14">
        <v>47264</v>
      </c>
      <c r="F10" s="14">
        <v>46867</v>
      </c>
      <c r="G10" s="22"/>
      <c r="H10" s="23"/>
      <c r="I10" s="23"/>
      <c r="J10" s="23"/>
      <c r="K10" s="23"/>
      <c r="L10" s="23"/>
      <c r="M10" s="23"/>
      <c r="N10" s="23"/>
      <c r="O10" s="23"/>
      <c r="P10" s="22"/>
      <c r="Q10" s="22"/>
      <c r="R10" s="22"/>
      <c r="S10" s="22"/>
      <c r="T10" s="7"/>
      <c r="U10" s="7"/>
      <c r="V10" s="7"/>
      <c r="W10" s="7"/>
      <c r="X10" s="7"/>
      <c r="Y10" s="7"/>
    </row>
    <row r="11" spans="1:25" s="8" customFormat="1" ht="27.9" customHeight="1">
      <c r="A11" s="33" t="s">
        <v>25</v>
      </c>
      <c r="B11" s="29" t="s">
        <v>11</v>
      </c>
      <c r="C11" s="14" t="s">
        <v>40</v>
      </c>
      <c r="D11" s="14" t="s">
        <v>40</v>
      </c>
      <c r="E11" s="14">
        <v>6000</v>
      </c>
      <c r="F11" s="14">
        <v>6000</v>
      </c>
      <c r="G11" s="23"/>
      <c r="H11" s="22"/>
      <c r="I11" s="23"/>
      <c r="J11" s="23"/>
      <c r="K11" s="23"/>
      <c r="L11" s="23"/>
      <c r="M11" s="23"/>
      <c r="N11" s="23"/>
      <c r="O11" s="23"/>
      <c r="P11" s="22"/>
      <c r="Q11" s="22"/>
      <c r="R11" s="22"/>
      <c r="S11" s="22"/>
      <c r="T11" s="7"/>
      <c r="U11" s="7"/>
      <c r="V11" s="7"/>
      <c r="W11" s="7"/>
      <c r="X11" s="7"/>
      <c r="Y11" s="7"/>
    </row>
    <row r="12" spans="1:25" s="9" customFormat="1" ht="27.9" customHeight="1">
      <c r="A12" s="33" t="s">
        <v>26</v>
      </c>
      <c r="B12" s="30" t="s">
        <v>12</v>
      </c>
      <c r="C12" s="14">
        <v>6000</v>
      </c>
      <c r="D12" s="14">
        <v>6000</v>
      </c>
      <c r="E12" s="14" t="s">
        <v>40</v>
      </c>
      <c r="F12" s="14">
        <v>3000</v>
      </c>
      <c r="G12" s="21"/>
      <c r="H12" s="20"/>
      <c r="I12" s="21"/>
      <c r="J12" s="21"/>
      <c r="K12" s="21"/>
      <c r="L12" s="21"/>
      <c r="M12" s="21"/>
      <c r="N12" s="21"/>
      <c r="O12" s="21"/>
      <c r="P12" s="20"/>
      <c r="Q12" s="20"/>
      <c r="R12" s="20"/>
      <c r="S12" s="20"/>
      <c r="T12" s="10"/>
      <c r="U12" s="10"/>
      <c r="V12" s="10"/>
      <c r="W12" s="10"/>
      <c r="X12" s="10"/>
      <c r="Y12" s="10"/>
    </row>
    <row r="13" spans="1:25" s="8" customFormat="1" ht="27.9" customHeight="1">
      <c r="A13" s="33" t="s">
        <v>27</v>
      </c>
      <c r="B13" s="29" t="s">
        <v>13</v>
      </c>
      <c r="C13" s="14" t="s">
        <v>40</v>
      </c>
      <c r="D13" s="14">
        <v>10025</v>
      </c>
      <c r="E13" s="14">
        <v>16025</v>
      </c>
      <c r="F13" s="14">
        <v>27025</v>
      </c>
      <c r="G13" s="23"/>
      <c r="H13" s="20"/>
      <c r="I13" s="23"/>
      <c r="J13" s="23"/>
      <c r="K13" s="23"/>
      <c r="L13" s="23"/>
      <c r="M13" s="23"/>
      <c r="N13" s="23"/>
      <c r="O13" s="23"/>
      <c r="P13" s="22"/>
      <c r="Q13" s="22"/>
      <c r="R13" s="22"/>
      <c r="S13" s="22"/>
      <c r="T13" s="7"/>
      <c r="U13" s="7"/>
      <c r="V13" s="7"/>
      <c r="W13" s="7"/>
      <c r="X13" s="7"/>
      <c r="Y13" s="7"/>
    </row>
    <row r="14" spans="1:25" s="8" customFormat="1" ht="27.9" customHeight="1">
      <c r="A14" s="33" t="s">
        <v>28</v>
      </c>
      <c r="B14" s="29" t="s">
        <v>14</v>
      </c>
      <c r="C14" s="14">
        <v>88500</v>
      </c>
      <c r="D14" s="14">
        <v>79442</v>
      </c>
      <c r="E14" s="14">
        <v>69442</v>
      </c>
      <c r="F14" s="14">
        <v>45442</v>
      </c>
      <c r="G14" s="23"/>
      <c r="H14" s="20"/>
      <c r="I14" s="23"/>
      <c r="J14" s="23"/>
      <c r="K14" s="23"/>
      <c r="L14" s="23"/>
      <c r="M14" s="23"/>
      <c r="N14" s="23"/>
      <c r="O14" s="23"/>
      <c r="P14" s="22"/>
      <c r="Q14" s="22"/>
      <c r="R14" s="22"/>
      <c r="S14" s="22"/>
      <c r="T14" s="7"/>
      <c r="U14" s="7"/>
      <c r="V14" s="7"/>
      <c r="W14" s="7"/>
      <c r="X14" s="7"/>
      <c r="Y14" s="7"/>
    </row>
    <row r="15" spans="1:25" ht="27.9" customHeight="1">
      <c r="A15" s="33" t="s">
        <v>29</v>
      </c>
      <c r="B15" s="29" t="s">
        <v>15</v>
      </c>
      <c r="C15" s="14" t="s">
        <v>40</v>
      </c>
      <c r="D15" s="14" t="s">
        <v>40</v>
      </c>
      <c r="E15" s="14" t="s">
        <v>40</v>
      </c>
      <c r="F15" s="14" t="s">
        <v>40</v>
      </c>
      <c r="P15" s="19"/>
      <c r="Q15" s="19"/>
      <c r="R15" s="19"/>
      <c r="S15" s="19"/>
      <c r="T15" s="4"/>
      <c r="U15" s="4"/>
      <c r="V15" s="4"/>
      <c r="W15" s="4"/>
      <c r="X15" s="4"/>
      <c r="Y15" s="4"/>
    </row>
    <row r="16" spans="1:25" ht="27.9" customHeight="1">
      <c r="A16" s="33" t="s">
        <v>30</v>
      </c>
      <c r="B16" s="30" t="s">
        <v>16</v>
      </c>
      <c r="C16" s="14" t="s">
        <v>40</v>
      </c>
      <c r="D16" s="14" t="s">
        <v>40</v>
      </c>
      <c r="E16" s="14" t="s">
        <v>40</v>
      </c>
      <c r="F16" s="14" t="s">
        <v>40</v>
      </c>
      <c r="P16" s="19"/>
      <c r="Q16" s="19"/>
      <c r="R16" s="19"/>
      <c r="S16" s="19"/>
      <c r="T16" s="4"/>
      <c r="U16" s="4"/>
      <c r="V16" s="4"/>
      <c r="W16" s="4"/>
      <c r="X16" s="4"/>
      <c r="Y16" s="4"/>
    </row>
    <row r="17" spans="1:25" ht="27.9" customHeight="1">
      <c r="A17" s="33" t="s">
        <v>31</v>
      </c>
      <c r="B17" s="30" t="s">
        <v>17</v>
      </c>
      <c r="C17" s="14">
        <v>18000</v>
      </c>
      <c r="D17" s="14">
        <v>18000</v>
      </c>
      <c r="E17" s="14">
        <v>19000</v>
      </c>
      <c r="F17" s="14">
        <v>15000</v>
      </c>
      <c r="I17" s="19"/>
      <c r="P17" s="19"/>
      <c r="Q17" s="19"/>
      <c r="R17" s="19"/>
      <c r="S17" s="19"/>
      <c r="T17" s="4"/>
      <c r="U17" s="4"/>
      <c r="V17" s="4"/>
      <c r="W17" s="4"/>
      <c r="X17" s="4"/>
      <c r="Y17" s="4"/>
    </row>
    <row r="18" spans="1:25" s="3" customFormat="1" ht="27.9" customHeight="1">
      <c r="A18" s="33" t="s">
        <v>32</v>
      </c>
      <c r="B18" s="30" t="s">
        <v>18</v>
      </c>
      <c r="C18" s="14">
        <v>15000</v>
      </c>
      <c r="D18" s="14">
        <v>32419</v>
      </c>
      <c r="E18" s="14">
        <v>39419</v>
      </c>
      <c r="F18" s="14">
        <v>45169</v>
      </c>
      <c r="G18" s="24"/>
      <c r="H18" s="24"/>
      <c r="I18" s="25"/>
      <c r="J18" s="25"/>
      <c r="K18" s="24"/>
      <c r="L18" s="24"/>
      <c r="M18" s="24"/>
      <c r="N18" s="24"/>
      <c r="O18" s="24"/>
      <c r="P18" s="19"/>
      <c r="Q18" s="19"/>
      <c r="R18" s="19"/>
      <c r="S18" s="19"/>
      <c r="T18" s="4"/>
      <c r="U18" s="4"/>
      <c r="V18" s="4"/>
      <c r="W18" s="4"/>
      <c r="X18" s="4"/>
      <c r="Y18" s="4"/>
    </row>
    <row r="19" spans="1:25" ht="27.9" customHeight="1">
      <c r="A19" s="33" t="s">
        <v>33</v>
      </c>
      <c r="B19" s="30" t="s">
        <v>19</v>
      </c>
      <c r="C19" s="14">
        <v>82889.8</v>
      </c>
      <c r="D19" s="14">
        <v>64618</v>
      </c>
      <c r="E19" s="14">
        <v>68118</v>
      </c>
      <c r="F19" s="14">
        <v>64618</v>
      </c>
      <c r="H19" s="26"/>
      <c r="I19" s="19"/>
      <c r="P19" s="19"/>
      <c r="Q19" s="19"/>
      <c r="R19" s="19"/>
      <c r="S19" s="19"/>
      <c r="T19" s="4"/>
      <c r="U19" s="4"/>
      <c r="V19" s="4"/>
      <c r="W19" s="4"/>
      <c r="X19" s="4"/>
      <c r="Y19" s="4"/>
    </row>
    <row r="20" spans="1:25" ht="27.9" customHeight="1" thickBot="1">
      <c r="A20" s="33" t="s">
        <v>34</v>
      </c>
      <c r="B20" s="30" t="s">
        <v>20</v>
      </c>
      <c r="C20" s="14" t="s">
        <v>40</v>
      </c>
      <c r="D20" s="14" t="s">
        <v>40</v>
      </c>
      <c r="E20" s="14" t="s">
        <v>40</v>
      </c>
      <c r="F20" s="14" t="s">
        <v>40</v>
      </c>
      <c r="J20" s="19"/>
      <c r="P20" s="19"/>
      <c r="Q20" s="19"/>
      <c r="R20" s="19"/>
      <c r="S20" s="19"/>
      <c r="T20" s="4"/>
      <c r="U20" s="4"/>
      <c r="V20" s="4"/>
      <c r="W20" s="4"/>
      <c r="X20" s="4"/>
      <c r="Y20" s="4"/>
    </row>
    <row r="21" spans="1:25" ht="27.9" customHeight="1" thickTop="1" thickBot="1">
      <c r="A21" s="31"/>
      <c r="B21" s="32" t="s">
        <v>21</v>
      </c>
      <c r="C21" s="34">
        <f>SUM(C7:C20)</f>
        <v>250380</v>
      </c>
      <c r="D21" s="34">
        <f>SUM(D7:D20)</f>
        <v>251751</v>
      </c>
      <c r="E21" s="34">
        <f>SUM(E7:E20)</f>
        <v>285268</v>
      </c>
      <c r="F21" s="34">
        <f>SUM(F7:F20)</f>
        <v>266121</v>
      </c>
      <c r="H21" s="19"/>
      <c r="P21" s="19"/>
      <c r="Q21" s="19"/>
      <c r="R21" s="19"/>
      <c r="S21" s="19"/>
      <c r="T21" s="4"/>
      <c r="U21" s="4"/>
      <c r="V21" s="4"/>
      <c r="W21" s="4"/>
      <c r="X21" s="4"/>
      <c r="Y21" s="4"/>
    </row>
    <row r="22" spans="1:25" ht="13.8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Y22"/>
  <sheetViews>
    <sheetView view="pageBreakPreview" topLeftCell="A10" zoomScale="88" zoomScaleNormal="75" zoomScaleSheetLayoutView="88" workbookViewId="0">
      <selection activeCell="A4" sqref="A4:F21"/>
    </sheetView>
  </sheetViews>
  <sheetFormatPr defaultRowHeight="13.2"/>
  <cols>
    <col min="1" max="1" width="17.5546875" customWidth="1"/>
    <col min="2" max="2" width="29.44140625" style="1" customWidth="1"/>
    <col min="3" max="6" width="18.44140625" customWidth="1"/>
    <col min="7" max="7" width="11.6640625" style="15" customWidth="1"/>
    <col min="8" max="8" width="12.88671875" style="15" bestFit="1" customWidth="1"/>
    <col min="9" max="9" width="11.109375" style="15" bestFit="1" customWidth="1"/>
    <col min="10" max="10" width="10.6640625" style="15" bestFit="1" customWidth="1"/>
    <col min="11" max="19" width="9.109375" style="15"/>
    <col min="25" max="25" width="9.33203125" bestFit="1" customWidth="1"/>
  </cols>
  <sheetData>
    <row r="1" spans="1:25" ht="15" hidden="1" customHeight="1"/>
    <row r="2" spans="1:25" ht="22.8" hidden="1">
      <c r="B2" s="82" t="s">
        <v>5</v>
      </c>
      <c r="C2" s="82"/>
      <c r="D2" s="82"/>
      <c r="E2" s="82"/>
      <c r="F2" s="82"/>
    </row>
    <row r="3" spans="1:25" ht="22.8" hidden="1">
      <c r="B3" s="83" t="s">
        <v>4</v>
      </c>
      <c r="C3" s="83"/>
      <c r="D3" s="83"/>
      <c r="E3" s="83"/>
      <c r="F3" s="83"/>
    </row>
    <row r="4" spans="1:25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25" s="5" customFormat="1" ht="45" customHeight="1" thickBot="1">
      <c r="A5" s="28"/>
      <c r="B5" s="28"/>
      <c r="C5" s="28"/>
      <c r="D5" s="28"/>
      <c r="E5" s="28"/>
      <c r="F5" s="27" t="s">
        <v>6</v>
      </c>
      <c r="G5" s="17"/>
      <c r="H5" s="17"/>
      <c r="I5" s="17"/>
      <c r="J5" s="17"/>
      <c r="K5" s="17"/>
      <c r="L5" s="16"/>
      <c r="M5" s="16"/>
      <c r="N5" s="16"/>
      <c r="O5" s="16"/>
      <c r="P5" s="16"/>
      <c r="Q5" s="16"/>
      <c r="R5" s="16"/>
      <c r="S5" s="16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8"/>
    </row>
    <row r="7" spans="1:25" ht="36" customHeight="1" thickTop="1" thickBot="1">
      <c r="A7" s="11"/>
      <c r="B7" s="13"/>
      <c r="C7" s="35" t="s">
        <v>60</v>
      </c>
      <c r="D7" s="35" t="s">
        <v>61</v>
      </c>
      <c r="E7" s="35" t="s">
        <v>62</v>
      </c>
      <c r="F7" s="35" t="s">
        <v>63</v>
      </c>
    </row>
    <row r="8" spans="1:25" ht="27.9" customHeight="1" thickTop="1">
      <c r="A8" s="33" t="s">
        <v>22</v>
      </c>
      <c r="B8" s="29" t="s">
        <v>8</v>
      </c>
      <c r="C8" s="14" t="s">
        <v>40</v>
      </c>
      <c r="D8" s="14" t="s">
        <v>40</v>
      </c>
      <c r="E8" s="14" t="s">
        <v>40</v>
      </c>
      <c r="F8" s="14" t="s">
        <v>40</v>
      </c>
      <c r="G8" s="19"/>
      <c r="P8" s="19"/>
      <c r="Q8" s="19"/>
      <c r="R8" s="19"/>
      <c r="S8" s="19"/>
      <c r="T8" s="4"/>
      <c r="U8" s="4"/>
      <c r="V8" s="4"/>
      <c r="W8" s="4"/>
      <c r="X8" s="4"/>
      <c r="Y8" s="4"/>
    </row>
    <row r="9" spans="1:25" s="9" customFormat="1" ht="27.9" customHeight="1">
      <c r="A9" s="33" t="s">
        <v>23</v>
      </c>
      <c r="B9" s="30" t="s">
        <v>9</v>
      </c>
      <c r="C9" s="14">
        <v>19000</v>
      </c>
      <c r="D9" s="14">
        <v>9975</v>
      </c>
      <c r="E9" s="14">
        <v>22500</v>
      </c>
      <c r="F9" s="14">
        <v>33000</v>
      </c>
      <c r="G9" s="20"/>
      <c r="H9" s="20"/>
      <c r="I9" s="21"/>
      <c r="J9" s="21"/>
      <c r="K9" s="21"/>
      <c r="L9" s="21"/>
      <c r="M9" s="21"/>
      <c r="N9" s="21"/>
      <c r="O9" s="21"/>
      <c r="P9" s="20"/>
      <c r="Q9" s="20"/>
      <c r="R9" s="20"/>
      <c r="S9" s="20"/>
      <c r="T9" s="10"/>
      <c r="U9" s="10"/>
      <c r="V9" s="10"/>
      <c r="W9" s="10"/>
      <c r="X9" s="10"/>
      <c r="Y9" s="10"/>
    </row>
    <row r="10" spans="1:25" s="8" customFormat="1" ht="27.9" customHeight="1">
      <c r="A10" s="33" t="s">
        <v>24</v>
      </c>
      <c r="B10" s="29" t="s">
        <v>10</v>
      </c>
      <c r="C10" s="14">
        <v>45000</v>
      </c>
      <c r="D10" s="14">
        <v>54250</v>
      </c>
      <c r="E10" s="14">
        <v>71250</v>
      </c>
      <c r="F10" s="14">
        <v>78000</v>
      </c>
      <c r="G10" s="22"/>
      <c r="H10" s="23"/>
      <c r="I10" s="23"/>
      <c r="J10" s="23"/>
      <c r="K10" s="23"/>
      <c r="L10" s="23"/>
      <c r="M10" s="23"/>
      <c r="N10" s="23"/>
      <c r="O10" s="23"/>
      <c r="P10" s="22"/>
      <c r="Q10" s="22"/>
      <c r="R10" s="22"/>
      <c r="S10" s="22"/>
      <c r="T10" s="7"/>
      <c r="U10" s="7"/>
      <c r="V10" s="7"/>
      <c r="W10" s="7"/>
      <c r="X10" s="7"/>
      <c r="Y10" s="7"/>
    </row>
    <row r="11" spans="1:25" s="8" customFormat="1" ht="27.9" customHeight="1">
      <c r="A11" s="33" t="s">
        <v>25</v>
      </c>
      <c r="B11" s="29" t="s">
        <v>11</v>
      </c>
      <c r="C11" s="14">
        <v>15000</v>
      </c>
      <c r="D11" s="14">
        <v>12000</v>
      </c>
      <c r="E11" s="14">
        <v>15000</v>
      </c>
      <c r="F11" s="14">
        <v>7325</v>
      </c>
      <c r="G11" s="23"/>
      <c r="H11" s="22"/>
      <c r="I11" s="23"/>
      <c r="J11" s="23"/>
      <c r="K11" s="23"/>
      <c r="L11" s="23"/>
      <c r="M11" s="23"/>
      <c r="N11" s="23"/>
      <c r="O11" s="23"/>
      <c r="P11" s="22"/>
      <c r="Q11" s="22"/>
      <c r="R11" s="22"/>
      <c r="S11" s="22"/>
      <c r="T11" s="7"/>
      <c r="U11" s="7"/>
      <c r="V11" s="7"/>
      <c r="W11" s="7"/>
      <c r="X11" s="7"/>
      <c r="Y11" s="7"/>
    </row>
    <row r="12" spans="1:25" s="9" customFormat="1" ht="27.9" customHeight="1">
      <c r="A12" s="33" t="s">
        <v>26</v>
      </c>
      <c r="B12" s="30" t="s">
        <v>12</v>
      </c>
      <c r="C12" s="14">
        <v>3000</v>
      </c>
      <c r="D12" s="14">
        <v>3000</v>
      </c>
      <c r="E12" s="14">
        <v>7000</v>
      </c>
      <c r="F12" s="14">
        <v>16500</v>
      </c>
      <c r="G12" s="21"/>
      <c r="H12" s="20"/>
      <c r="I12" s="21"/>
      <c r="J12" s="21"/>
      <c r="K12" s="21"/>
      <c r="L12" s="21"/>
      <c r="M12" s="21"/>
      <c r="N12" s="21"/>
      <c r="O12" s="21"/>
      <c r="P12" s="20"/>
      <c r="Q12" s="20"/>
      <c r="R12" s="20"/>
      <c r="S12" s="20"/>
      <c r="T12" s="10"/>
      <c r="U12" s="10"/>
      <c r="V12" s="10"/>
      <c r="W12" s="10"/>
      <c r="X12" s="10"/>
      <c r="Y12" s="10"/>
    </row>
    <row r="13" spans="1:25" s="8" customFormat="1" ht="27.9" customHeight="1">
      <c r="A13" s="33" t="s">
        <v>27</v>
      </c>
      <c r="B13" s="29" t="s">
        <v>13</v>
      </c>
      <c r="C13" s="14">
        <v>26000</v>
      </c>
      <c r="D13" s="14">
        <v>27500</v>
      </c>
      <c r="E13" s="14">
        <v>28500</v>
      </c>
      <c r="F13" s="14">
        <v>30250</v>
      </c>
      <c r="G13" s="23"/>
      <c r="H13" s="20"/>
      <c r="I13" s="23"/>
      <c r="J13" s="23"/>
      <c r="K13" s="23"/>
      <c r="L13" s="23"/>
      <c r="M13" s="23"/>
      <c r="N13" s="23"/>
      <c r="O13" s="23"/>
      <c r="P13" s="22"/>
      <c r="Q13" s="22"/>
      <c r="R13" s="22"/>
      <c r="S13" s="22"/>
      <c r="T13" s="7"/>
      <c r="U13" s="7"/>
      <c r="V13" s="7"/>
      <c r="W13" s="7"/>
      <c r="X13" s="7"/>
      <c r="Y13" s="7"/>
    </row>
    <row r="14" spans="1:25" s="8" customFormat="1" ht="27.9" customHeight="1">
      <c r="A14" s="33" t="s">
        <v>28</v>
      </c>
      <c r="B14" s="29" t="s">
        <v>14</v>
      </c>
      <c r="C14" s="14">
        <v>39000</v>
      </c>
      <c r="D14" s="14">
        <v>42500</v>
      </c>
      <c r="E14" s="14">
        <v>39000</v>
      </c>
      <c r="F14" s="14">
        <v>41866</v>
      </c>
      <c r="G14" s="23"/>
      <c r="H14" s="20"/>
      <c r="I14" s="23"/>
      <c r="J14" s="23"/>
      <c r="K14" s="23"/>
      <c r="L14" s="23"/>
      <c r="M14" s="23"/>
      <c r="N14" s="23"/>
      <c r="O14" s="23"/>
      <c r="P14" s="22"/>
      <c r="Q14" s="22"/>
      <c r="R14" s="22"/>
      <c r="S14" s="22"/>
      <c r="T14" s="7"/>
      <c r="U14" s="7"/>
      <c r="V14" s="7"/>
      <c r="W14" s="7"/>
      <c r="X14" s="7"/>
      <c r="Y14" s="7"/>
    </row>
    <row r="15" spans="1:25" ht="27.9" customHeight="1">
      <c r="A15" s="33" t="s">
        <v>29</v>
      </c>
      <c r="B15" s="29" t="s">
        <v>15</v>
      </c>
      <c r="C15" s="14" t="s">
        <v>40</v>
      </c>
      <c r="D15" s="14">
        <v>3500</v>
      </c>
      <c r="E15" s="14">
        <v>3500</v>
      </c>
      <c r="F15" s="14">
        <v>3500</v>
      </c>
      <c r="P15" s="19"/>
      <c r="Q15" s="19"/>
      <c r="R15" s="19"/>
      <c r="S15" s="19"/>
      <c r="T15" s="4"/>
      <c r="U15" s="4"/>
      <c r="V15" s="4"/>
      <c r="W15" s="4"/>
      <c r="X15" s="4"/>
      <c r="Y15" s="4"/>
    </row>
    <row r="16" spans="1:25" ht="27.9" customHeight="1">
      <c r="A16" s="33" t="s">
        <v>30</v>
      </c>
      <c r="B16" s="30" t="s">
        <v>16</v>
      </c>
      <c r="C16" s="14" t="s">
        <v>40</v>
      </c>
      <c r="D16" s="14" t="s">
        <v>40</v>
      </c>
      <c r="E16" s="14" t="s">
        <v>40</v>
      </c>
      <c r="F16" s="14">
        <v>2785</v>
      </c>
      <c r="P16" s="19"/>
      <c r="Q16" s="19"/>
      <c r="R16" s="19"/>
      <c r="S16" s="19"/>
      <c r="T16" s="4"/>
      <c r="U16" s="4"/>
      <c r="V16" s="4"/>
      <c r="W16" s="4"/>
      <c r="X16" s="4"/>
      <c r="Y16" s="4"/>
    </row>
    <row r="17" spans="1:25" ht="27.9" customHeight="1">
      <c r="A17" s="33" t="s">
        <v>31</v>
      </c>
      <c r="B17" s="30" t="s">
        <v>17</v>
      </c>
      <c r="C17" s="14">
        <v>21000</v>
      </c>
      <c r="D17" s="14">
        <v>31500</v>
      </c>
      <c r="E17" s="14">
        <v>31500</v>
      </c>
      <c r="F17" s="14">
        <v>36840</v>
      </c>
      <c r="I17" s="19"/>
      <c r="P17" s="19"/>
      <c r="Q17" s="19"/>
      <c r="R17" s="19"/>
      <c r="S17" s="19"/>
      <c r="T17" s="4"/>
      <c r="U17" s="4"/>
      <c r="V17" s="4"/>
      <c r="W17" s="4"/>
      <c r="X17" s="4"/>
      <c r="Y17" s="4"/>
    </row>
    <row r="18" spans="1:25" s="3" customFormat="1" ht="27.9" customHeight="1">
      <c r="A18" s="33" t="s">
        <v>32</v>
      </c>
      <c r="B18" s="30" t="s">
        <v>18</v>
      </c>
      <c r="C18" s="14">
        <v>42169</v>
      </c>
      <c r="D18" s="14">
        <v>38250</v>
      </c>
      <c r="E18" s="14">
        <v>41750</v>
      </c>
      <c r="F18" s="14">
        <v>43552</v>
      </c>
      <c r="G18" s="24"/>
      <c r="H18" s="24"/>
      <c r="I18" s="25"/>
      <c r="J18" s="25"/>
      <c r="K18" s="24"/>
      <c r="L18" s="24"/>
      <c r="M18" s="24"/>
      <c r="N18" s="24"/>
      <c r="O18" s="24"/>
      <c r="P18" s="19"/>
      <c r="Q18" s="19"/>
      <c r="R18" s="19"/>
      <c r="S18" s="19"/>
      <c r="T18" s="4"/>
      <c r="U18" s="4"/>
      <c r="V18" s="4"/>
      <c r="W18" s="4"/>
      <c r="X18" s="4"/>
      <c r="Y18" s="4"/>
    </row>
    <row r="19" spans="1:25" ht="27.9" customHeight="1">
      <c r="A19" s="33" t="s">
        <v>33</v>
      </c>
      <c r="B19" s="30" t="s">
        <v>19</v>
      </c>
      <c r="C19" s="14">
        <v>58618</v>
      </c>
      <c r="D19" s="14">
        <v>59390</v>
      </c>
      <c r="E19" s="14">
        <v>56890</v>
      </c>
      <c r="F19" s="14">
        <v>58985</v>
      </c>
      <c r="H19" s="26"/>
      <c r="I19" s="19"/>
      <c r="P19" s="19"/>
      <c r="Q19" s="19"/>
      <c r="R19" s="19"/>
      <c r="S19" s="19"/>
      <c r="T19" s="4"/>
      <c r="U19" s="4"/>
      <c r="V19" s="4"/>
      <c r="W19" s="4"/>
      <c r="X19" s="4"/>
      <c r="Y19" s="4"/>
    </row>
    <row r="20" spans="1:25" ht="27.9" customHeight="1" thickBot="1">
      <c r="A20" s="33" t="s">
        <v>34</v>
      </c>
      <c r="B20" s="30" t="s">
        <v>20</v>
      </c>
      <c r="C20" s="14" t="s">
        <v>40</v>
      </c>
      <c r="D20" s="14" t="s">
        <v>40</v>
      </c>
      <c r="E20" s="14">
        <v>3500</v>
      </c>
      <c r="F20" s="14">
        <v>3500</v>
      </c>
      <c r="J20" s="19"/>
      <c r="P20" s="19"/>
      <c r="Q20" s="19"/>
      <c r="R20" s="19"/>
      <c r="S20" s="19"/>
      <c r="T20" s="4"/>
      <c r="U20" s="4"/>
      <c r="V20" s="4"/>
      <c r="W20" s="4"/>
      <c r="X20" s="4"/>
      <c r="Y20" s="4"/>
    </row>
    <row r="21" spans="1:25" ht="27.9" customHeight="1" thickTop="1" thickBot="1">
      <c r="A21" s="31"/>
      <c r="B21" s="32" t="s">
        <v>21</v>
      </c>
      <c r="C21" s="34">
        <f>SUM(C7:C20)</f>
        <v>268787</v>
      </c>
      <c r="D21" s="34">
        <f>SUM(D7:D20)</f>
        <v>281865</v>
      </c>
      <c r="E21" s="34">
        <f>SUM(E7:E20)</f>
        <v>320390</v>
      </c>
      <c r="F21" s="34">
        <f>SUM(F7:F20)</f>
        <v>356103</v>
      </c>
      <c r="H21" s="19"/>
      <c r="P21" s="19"/>
      <c r="Q21" s="19"/>
      <c r="R21" s="19"/>
      <c r="S21" s="19"/>
      <c r="T21" s="4"/>
      <c r="U21" s="4"/>
      <c r="V21" s="4"/>
      <c r="W21" s="4"/>
      <c r="X21" s="4"/>
      <c r="Y21" s="4"/>
    </row>
    <row r="22" spans="1:25" ht="13.8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Y22"/>
  <sheetViews>
    <sheetView view="pageBreakPreview" topLeftCell="A10" zoomScale="88" zoomScaleNormal="75" zoomScaleSheetLayoutView="88" workbookViewId="0">
      <selection activeCell="A4" sqref="A4:F21"/>
    </sheetView>
  </sheetViews>
  <sheetFormatPr defaultRowHeight="13.2"/>
  <cols>
    <col min="1" max="1" width="17.5546875" customWidth="1"/>
    <col min="2" max="2" width="29.44140625" style="1" customWidth="1"/>
    <col min="3" max="6" width="18.44140625" customWidth="1"/>
    <col min="7" max="7" width="11.6640625" style="15" customWidth="1"/>
    <col min="8" max="8" width="12.88671875" style="15" bestFit="1" customWidth="1"/>
    <col min="9" max="9" width="11.109375" style="15" bestFit="1" customWidth="1"/>
    <col min="10" max="10" width="10.6640625" style="15" bestFit="1" customWidth="1"/>
    <col min="11" max="19" width="9.109375" style="15"/>
    <col min="25" max="25" width="9.33203125" bestFit="1" customWidth="1"/>
  </cols>
  <sheetData>
    <row r="1" spans="1:25" ht="15" hidden="1" customHeight="1"/>
    <row r="2" spans="1:25" ht="22.8" hidden="1">
      <c r="B2" s="82" t="s">
        <v>5</v>
      </c>
      <c r="C2" s="82"/>
      <c r="D2" s="82"/>
      <c r="E2" s="82"/>
      <c r="F2" s="82"/>
    </row>
    <row r="3" spans="1:25" ht="22.8" hidden="1">
      <c r="B3" s="83" t="s">
        <v>4</v>
      </c>
      <c r="C3" s="83"/>
      <c r="D3" s="83"/>
      <c r="E3" s="83"/>
      <c r="F3" s="83"/>
    </row>
    <row r="4" spans="1:25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25" s="5" customFormat="1" ht="45" customHeight="1" thickBot="1">
      <c r="A5" s="28"/>
      <c r="B5" s="28"/>
      <c r="C5" s="28"/>
      <c r="D5" s="28"/>
      <c r="E5" s="28"/>
      <c r="F5" s="27" t="s">
        <v>6</v>
      </c>
      <c r="G5" s="17"/>
      <c r="H5" s="17"/>
      <c r="I5" s="17"/>
      <c r="J5" s="17"/>
      <c r="K5" s="17"/>
      <c r="L5" s="16"/>
      <c r="M5" s="16"/>
      <c r="N5" s="16"/>
      <c r="O5" s="16"/>
      <c r="P5" s="16"/>
      <c r="Q5" s="16"/>
      <c r="R5" s="16"/>
      <c r="S5" s="16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8"/>
    </row>
    <row r="7" spans="1:25" ht="36" customHeight="1" thickTop="1" thickBot="1">
      <c r="A7" s="11"/>
      <c r="B7" s="13"/>
      <c r="C7" s="35" t="s">
        <v>64</v>
      </c>
      <c r="D7" s="35" t="s">
        <v>65</v>
      </c>
      <c r="E7" s="35" t="s">
        <v>66</v>
      </c>
      <c r="F7" s="35" t="s">
        <v>67</v>
      </c>
    </row>
    <row r="8" spans="1:25" ht="27.9" customHeight="1" thickTop="1">
      <c r="A8" s="33" t="s">
        <v>22</v>
      </c>
      <c r="B8" s="29" t="s">
        <v>8</v>
      </c>
      <c r="C8" s="14" t="s">
        <v>40</v>
      </c>
      <c r="D8" s="14" t="s">
        <v>40</v>
      </c>
      <c r="E8" s="14" t="s">
        <v>40</v>
      </c>
      <c r="F8" s="14" t="s">
        <v>40</v>
      </c>
      <c r="G8" s="19"/>
      <c r="P8" s="19"/>
      <c r="Q8" s="19"/>
      <c r="R8" s="19"/>
      <c r="S8" s="19"/>
      <c r="T8" s="4"/>
      <c r="U8" s="4"/>
      <c r="V8" s="4"/>
      <c r="W8" s="4"/>
      <c r="X8" s="4"/>
      <c r="Y8" s="4"/>
    </row>
    <row r="9" spans="1:25" s="9" customFormat="1" ht="27.9" customHeight="1">
      <c r="A9" s="33" t="s">
        <v>23</v>
      </c>
      <c r="B9" s="30" t="s">
        <v>9</v>
      </c>
      <c r="C9" s="14">
        <v>22000</v>
      </c>
      <c r="D9" s="14">
        <v>26500</v>
      </c>
      <c r="E9" s="14">
        <v>2707</v>
      </c>
      <c r="F9" s="14">
        <v>10000</v>
      </c>
      <c r="G9" s="20"/>
      <c r="H9" s="20"/>
      <c r="I9" s="21"/>
      <c r="J9" s="21"/>
      <c r="K9" s="21"/>
      <c r="L9" s="21"/>
      <c r="M9" s="21"/>
      <c r="N9" s="21"/>
      <c r="O9" s="21"/>
      <c r="P9" s="20"/>
      <c r="Q9" s="20"/>
      <c r="R9" s="20"/>
      <c r="S9" s="20"/>
      <c r="T9" s="10"/>
      <c r="U9" s="10"/>
      <c r="V9" s="10"/>
      <c r="W9" s="10"/>
      <c r="X9" s="10"/>
      <c r="Y9" s="10"/>
    </row>
    <row r="10" spans="1:25" s="8" customFormat="1" ht="27.9" customHeight="1">
      <c r="A10" s="33" t="s">
        <v>24</v>
      </c>
      <c r="B10" s="29" t="s">
        <v>10</v>
      </c>
      <c r="C10" s="14">
        <v>78000</v>
      </c>
      <c r="D10" s="14">
        <v>73850</v>
      </c>
      <c r="E10" s="14">
        <v>86470</v>
      </c>
      <c r="F10" s="14">
        <v>84095</v>
      </c>
      <c r="G10" s="22"/>
      <c r="H10" s="23"/>
      <c r="I10" s="23"/>
      <c r="J10" s="23"/>
      <c r="K10" s="23"/>
      <c r="L10" s="23"/>
      <c r="M10" s="23"/>
      <c r="N10" s="23"/>
      <c r="O10" s="23"/>
      <c r="P10" s="22"/>
      <c r="Q10" s="22"/>
      <c r="R10" s="22"/>
      <c r="S10" s="22"/>
      <c r="T10" s="7"/>
      <c r="U10" s="7"/>
      <c r="V10" s="7"/>
      <c r="W10" s="7"/>
      <c r="X10" s="7"/>
      <c r="Y10" s="7"/>
    </row>
    <row r="11" spans="1:25" s="8" customFormat="1" ht="27.9" customHeight="1">
      <c r="A11" s="33" t="s">
        <v>25</v>
      </c>
      <c r="B11" s="29" t="s">
        <v>11</v>
      </c>
      <c r="C11" s="14">
        <v>4325</v>
      </c>
      <c r="D11" s="14">
        <v>1325</v>
      </c>
      <c r="E11" s="14" t="s">
        <v>40</v>
      </c>
      <c r="F11" s="14" t="s">
        <v>40</v>
      </c>
      <c r="G11" s="23"/>
      <c r="H11" s="22"/>
      <c r="I11" s="23"/>
      <c r="J11" s="23"/>
      <c r="K11" s="23"/>
      <c r="L11" s="23"/>
      <c r="M11" s="23"/>
      <c r="N11" s="23"/>
      <c r="O11" s="23"/>
      <c r="P11" s="22"/>
      <c r="Q11" s="22"/>
      <c r="R11" s="22"/>
      <c r="S11" s="22"/>
      <c r="T11" s="7"/>
      <c r="U11" s="7"/>
      <c r="V11" s="7"/>
      <c r="W11" s="7"/>
      <c r="X11" s="7"/>
      <c r="Y11" s="7"/>
    </row>
    <row r="12" spans="1:25" s="9" customFormat="1" ht="27.9" customHeight="1">
      <c r="A12" s="33" t="s">
        <v>26</v>
      </c>
      <c r="B12" s="30" t="s">
        <v>12</v>
      </c>
      <c r="C12" s="14">
        <v>23250</v>
      </c>
      <c r="D12" s="14">
        <v>18250</v>
      </c>
      <c r="E12" s="14">
        <v>8750</v>
      </c>
      <c r="F12" s="14">
        <v>2000</v>
      </c>
      <c r="G12" s="21"/>
      <c r="H12" s="20"/>
      <c r="I12" s="21"/>
      <c r="J12" s="21"/>
      <c r="K12" s="21"/>
      <c r="L12" s="21"/>
      <c r="M12" s="21"/>
      <c r="N12" s="21"/>
      <c r="O12" s="21"/>
      <c r="P12" s="20"/>
      <c r="Q12" s="20"/>
      <c r="R12" s="20"/>
      <c r="S12" s="20"/>
      <c r="T12" s="10"/>
      <c r="U12" s="10"/>
      <c r="V12" s="10"/>
      <c r="W12" s="10"/>
      <c r="X12" s="10"/>
      <c r="Y12" s="10"/>
    </row>
    <row r="13" spans="1:25" s="8" customFormat="1" ht="27.9" customHeight="1">
      <c r="A13" s="33" t="s">
        <v>27</v>
      </c>
      <c r="B13" s="29" t="s">
        <v>13</v>
      </c>
      <c r="C13" s="14">
        <v>35250</v>
      </c>
      <c r="D13" s="14">
        <v>40250</v>
      </c>
      <c r="E13" s="14">
        <v>48382</v>
      </c>
      <c r="F13" s="14">
        <v>48882</v>
      </c>
      <c r="G13" s="23"/>
      <c r="H13" s="20"/>
      <c r="I13" s="23"/>
      <c r="J13" s="23"/>
      <c r="K13" s="23"/>
      <c r="L13" s="23"/>
      <c r="M13" s="23"/>
      <c r="N13" s="23"/>
      <c r="O13" s="23"/>
      <c r="P13" s="22"/>
      <c r="Q13" s="22"/>
      <c r="R13" s="22"/>
      <c r="S13" s="22"/>
      <c r="T13" s="7"/>
      <c r="U13" s="7"/>
      <c r="V13" s="7"/>
      <c r="W13" s="7"/>
      <c r="X13" s="7"/>
      <c r="Y13" s="7"/>
    </row>
    <row r="14" spans="1:25" s="8" customFormat="1" ht="27.9" customHeight="1">
      <c r="A14" s="33" t="s">
        <v>28</v>
      </c>
      <c r="B14" s="29" t="s">
        <v>14</v>
      </c>
      <c r="C14" s="14">
        <v>36366</v>
      </c>
      <c r="D14" s="14">
        <v>44312</v>
      </c>
      <c r="E14" s="14">
        <v>51899</v>
      </c>
      <c r="F14" s="14">
        <v>64899</v>
      </c>
      <c r="G14" s="23"/>
      <c r="H14" s="20"/>
      <c r="I14" s="23"/>
      <c r="J14" s="23"/>
      <c r="K14" s="23"/>
      <c r="L14" s="23"/>
      <c r="M14" s="23"/>
      <c r="N14" s="23"/>
      <c r="O14" s="23"/>
      <c r="P14" s="22"/>
      <c r="Q14" s="22"/>
      <c r="R14" s="22"/>
      <c r="S14" s="22"/>
      <c r="T14" s="7"/>
      <c r="U14" s="7"/>
      <c r="V14" s="7"/>
      <c r="W14" s="7"/>
      <c r="X14" s="7"/>
      <c r="Y14" s="7"/>
    </row>
    <row r="15" spans="1:25" ht="27.9" customHeight="1">
      <c r="A15" s="33" t="s">
        <v>29</v>
      </c>
      <c r="B15" s="29" t="s">
        <v>15</v>
      </c>
      <c r="C15" s="14" t="s">
        <v>40</v>
      </c>
      <c r="D15" s="14" t="s">
        <v>40</v>
      </c>
      <c r="E15" s="14" t="s">
        <v>40</v>
      </c>
      <c r="F15" s="14" t="s">
        <v>40</v>
      </c>
      <c r="P15" s="19"/>
      <c r="Q15" s="19"/>
      <c r="R15" s="19"/>
      <c r="S15" s="19"/>
      <c r="T15" s="4"/>
      <c r="U15" s="4"/>
      <c r="V15" s="4"/>
      <c r="W15" s="4"/>
      <c r="X15" s="4"/>
      <c r="Y15" s="4"/>
    </row>
    <row r="16" spans="1:25" ht="27.9" customHeight="1">
      <c r="A16" s="33" t="s">
        <v>30</v>
      </c>
      <c r="B16" s="30" t="s">
        <v>16</v>
      </c>
      <c r="C16" s="14">
        <v>2785</v>
      </c>
      <c r="D16" s="14">
        <v>2785</v>
      </c>
      <c r="E16" s="14">
        <v>2785</v>
      </c>
      <c r="F16" s="14" t="s">
        <v>40</v>
      </c>
      <c r="P16" s="19"/>
      <c r="Q16" s="19"/>
      <c r="R16" s="19"/>
      <c r="S16" s="19"/>
      <c r="T16" s="4"/>
      <c r="U16" s="4"/>
      <c r="V16" s="4"/>
      <c r="W16" s="4"/>
      <c r="X16" s="4"/>
      <c r="Y16" s="4"/>
    </row>
    <row r="17" spans="1:25" ht="27.9" customHeight="1">
      <c r="A17" s="33" t="s">
        <v>31</v>
      </c>
      <c r="B17" s="30" t="s">
        <v>17</v>
      </c>
      <c r="C17" s="14">
        <v>40665</v>
      </c>
      <c r="D17" s="14">
        <v>33435</v>
      </c>
      <c r="E17" s="14">
        <v>26435</v>
      </c>
      <c r="F17" s="14">
        <v>16095</v>
      </c>
      <c r="I17" s="19"/>
      <c r="P17" s="19"/>
      <c r="Q17" s="19"/>
      <c r="R17" s="19"/>
      <c r="S17" s="19"/>
      <c r="T17" s="4"/>
      <c r="U17" s="4"/>
      <c r="V17" s="4"/>
      <c r="W17" s="4"/>
      <c r="X17" s="4"/>
      <c r="Y17" s="4"/>
    </row>
    <row r="18" spans="1:25" s="3" customFormat="1" ht="27.9" customHeight="1">
      <c r="A18" s="33" t="s">
        <v>32</v>
      </c>
      <c r="B18" s="30" t="s">
        <v>18</v>
      </c>
      <c r="C18" s="14">
        <v>43202</v>
      </c>
      <c r="D18" s="14">
        <v>47709</v>
      </c>
      <c r="E18" s="14">
        <v>56022</v>
      </c>
      <c r="F18" s="14">
        <v>62969</v>
      </c>
      <c r="G18" s="24"/>
      <c r="H18" s="24"/>
      <c r="I18" s="25"/>
      <c r="J18" s="25"/>
      <c r="K18" s="24"/>
      <c r="L18" s="24"/>
      <c r="M18" s="24"/>
      <c r="N18" s="24"/>
      <c r="O18" s="24"/>
      <c r="P18" s="19"/>
      <c r="Q18" s="19"/>
      <c r="R18" s="19"/>
      <c r="S18" s="19"/>
      <c r="T18" s="4"/>
      <c r="U18" s="4"/>
      <c r="V18" s="4"/>
      <c r="W18" s="4"/>
      <c r="X18" s="4"/>
      <c r="Y18" s="4"/>
    </row>
    <row r="19" spans="1:25" ht="27.9" customHeight="1">
      <c r="A19" s="33" t="s">
        <v>33</v>
      </c>
      <c r="B19" s="30" t="s">
        <v>19</v>
      </c>
      <c r="C19" s="14">
        <v>60585</v>
      </c>
      <c r="D19" s="14">
        <v>64085</v>
      </c>
      <c r="E19" s="14">
        <v>73608</v>
      </c>
      <c r="F19" s="14">
        <v>84458</v>
      </c>
      <c r="H19" s="26"/>
      <c r="I19" s="19"/>
      <c r="P19" s="19"/>
      <c r="Q19" s="19"/>
      <c r="R19" s="19"/>
      <c r="S19" s="19"/>
      <c r="T19" s="4"/>
      <c r="U19" s="4"/>
      <c r="V19" s="4"/>
      <c r="W19" s="4"/>
      <c r="X19" s="4"/>
      <c r="Y19" s="4"/>
    </row>
    <row r="20" spans="1:25" ht="27.9" customHeight="1" thickBot="1">
      <c r="A20" s="33" t="s">
        <v>34</v>
      </c>
      <c r="B20" s="30" t="s">
        <v>20</v>
      </c>
      <c r="C20" s="14">
        <v>3500</v>
      </c>
      <c r="D20" s="14">
        <v>3500</v>
      </c>
      <c r="E20" s="14" t="s">
        <v>40</v>
      </c>
      <c r="F20" s="14" t="s">
        <v>40</v>
      </c>
      <c r="J20" s="19"/>
      <c r="P20" s="19"/>
      <c r="Q20" s="19"/>
      <c r="R20" s="19"/>
      <c r="S20" s="19"/>
      <c r="T20" s="4"/>
      <c r="U20" s="4"/>
      <c r="V20" s="4"/>
      <c r="W20" s="4"/>
      <c r="X20" s="4"/>
      <c r="Y20" s="4"/>
    </row>
    <row r="21" spans="1:25" ht="27.9" customHeight="1" thickTop="1" thickBot="1">
      <c r="A21" s="31"/>
      <c r="B21" s="32" t="s">
        <v>21</v>
      </c>
      <c r="C21" s="34">
        <f>SUM(C7:C20)</f>
        <v>349928</v>
      </c>
      <c r="D21" s="34">
        <f>SUM(D7:D20)</f>
        <v>356001</v>
      </c>
      <c r="E21" s="34">
        <f>SUM(E7:E20)</f>
        <v>357058</v>
      </c>
      <c r="F21" s="34">
        <f>SUM(F7:F20)</f>
        <v>373398</v>
      </c>
      <c r="H21" s="19"/>
      <c r="P21" s="19"/>
      <c r="Q21" s="19"/>
      <c r="R21" s="19"/>
      <c r="S21" s="19"/>
      <c r="T21" s="4"/>
      <c r="U21" s="4"/>
      <c r="V21" s="4"/>
      <c r="W21" s="4"/>
      <c r="X21" s="4"/>
      <c r="Y21" s="4"/>
    </row>
    <row r="22" spans="1:25" ht="13.8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2"/>
  <sheetViews>
    <sheetView view="pageBreakPreview" topLeftCell="A10" zoomScale="88" zoomScaleNormal="75" zoomScaleSheetLayoutView="88" workbookViewId="0">
      <selection activeCell="A4" sqref="A4:F21"/>
    </sheetView>
  </sheetViews>
  <sheetFormatPr defaultRowHeight="13.2"/>
  <cols>
    <col min="1" max="1" width="17.5546875" customWidth="1"/>
    <col min="2" max="2" width="29.44140625" style="1" customWidth="1"/>
    <col min="3" max="6" width="18.44140625" customWidth="1"/>
    <col min="7" max="7" width="11.6640625" style="15" customWidth="1"/>
    <col min="8" max="8" width="12.88671875" style="15" bestFit="1" customWidth="1"/>
    <col min="9" max="9" width="11.109375" style="15" bestFit="1" customWidth="1"/>
    <col min="10" max="10" width="10.6640625" style="15" bestFit="1" customWidth="1"/>
    <col min="11" max="19" width="9.109375" style="15"/>
    <col min="25" max="25" width="9.33203125" bestFit="1" customWidth="1"/>
  </cols>
  <sheetData>
    <row r="1" spans="1:25" ht="15" hidden="1" customHeight="1"/>
    <row r="2" spans="1:25" ht="22.8" hidden="1">
      <c r="B2" s="82" t="s">
        <v>5</v>
      </c>
      <c r="C2" s="82"/>
      <c r="D2" s="82"/>
      <c r="E2" s="82"/>
      <c r="F2" s="82"/>
    </row>
    <row r="3" spans="1:25" ht="22.8" hidden="1">
      <c r="B3" s="83" t="s">
        <v>4</v>
      </c>
      <c r="C3" s="83"/>
      <c r="D3" s="83"/>
      <c r="E3" s="83"/>
      <c r="F3" s="83"/>
    </row>
    <row r="4" spans="1:25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25" s="5" customFormat="1" ht="45" customHeight="1" thickBot="1">
      <c r="A5" s="28"/>
      <c r="B5" s="28"/>
      <c r="C5" s="28"/>
      <c r="D5" s="28"/>
      <c r="E5" s="28"/>
      <c r="F5" s="27" t="s">
        <v>6</v>
      </c>
      <c r="G5" s="17"/>
      <c r="H5" s="17"/>
      <c r="I5" s="17"/>
      <c r="J5" s="17"/>
      <c r="K5" s="17"/>
      <c r="L5" s="16"/>
      <c r="M5" s="16"/>
      <c r="N5" s="16"/>
      <c r="O5" s="16"/>
      <c r="P5" s="16"/>
      <c r="Q5" s="16"/>
      <c r="R5" s="16"/>
      <c r="S5" s="16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8"/>
    </row>
    <row r="7" spans="1:25" ht="36" customHeight="1" thickTop="1" thickBot="1">
      <c r="A7" s="11"/>
      <c r="B7" s="13"/>
      <c r="C7" s="35" t="s">
        <v>68</v>
      </c>
      <c r="D7" s="35" t="s">
        <v>69</v>
      </c>
      <c r="E7" s="35" t="s">
        <v>70</v>
      </c>
      <c r="F7" s="35" t="s">
        <v>71</v>
      </c>
    </row>
    <row r="8" spans="1:25" ht="27.9" customHeight="1" thickTop="1">
      <c r="A8" s="33" t="s">
        <v>22</v>
      </c>
      <c r="B8" s="29" t="s">
        <v>8</v>
      </c>
      <c r="C8" s="14" t="s">
        <v>40</v>
      </c>
      <c r="D8" s="14" t="s">
        <v>40</v>
      </c>
      <c r="E8" s="14" t="s">
        <v>40</v>
      </c>
      <c r="F8" s="14" t="s">
        <v>40</v>
      </c>
      <c r="G8" s="19"/>
      <c r="P8" s="19"/>
      <c r="Q8" s="19"/>
      <c r="R8" s="19"/>
      <c r="S8" s="19"/>
      <c r="T8" s="4"/>
      <c r="U8" s="4"/>
      <c r="V8" s="4"/>
      <c r="W8" s="4"/>
      <c r="X8" s="4"/>
      <c r="Y8" s="4"/>
    </row>
    <row r="9" spans="1:25" s="9" customFormat="1" ht="27.9" customHeight="1">
      <c r="A9" s="33" t="s">
        <v>23</v>
      </c>
      <c r="B9" s="30" t="s">
        <v>9</v>
      </c>
      <c r="C9" s="14">
        <v>15500</v>
      </c>
      <c r="D9" s="14">
        <v>12900</v>
      </c>
      <c r="E9" s="14">
        <v>14000</v>
      </c>
      <c r="F9" s="14">
        <v>30189</v>
      </c>
      <c r="G9" s="20"/>
      <c r="H9" s="20"/>
      <c r="I9" s="21"/>
      <c r="J9" s="21"/>
      <c r="K9" s="21"/>
      <c r="L9" s="21"/>
      <c r="M9" s="21"/>
      <c r="N9" s="21"/>
      <c r="O9" s="21"/>
      <c r="P9" s="20"/>
      <c r="Q9" s="20"/>
      <c r="R9" s="20"/>
      <c r="S9" s="20"/>
      <c r="T9" s="10"/>
      <c r="U9" s="10"/>
      <c r="V9" s="10"/>
      <c r="W9" s="10"/>
      <c r="X9" s="10"/>
      <c r="Y9" s="10"/>
    </row>
    <row r="10" spans="1:25" s="8" customFormat="1" ht="27.9" customHeight="1">
      <c r="A10" s="33" t="s">
        <v>24</v>
      </c>
      <c r="B10" s="29" t="s">
        <v>10</v>
      </c>
      <c r="C10" s="14">
        <v>72475</v>
      </c>
      <c r="D10" s="14">
        <v>77900</v>
      </c>
      <c r="E10" s="14">
        <v>81000</v>
      </c>
      <c r="F10" s="14">
        <v>91639</v>
      </c>
      <c r="G10" s="22"/>
      <c r="H10" s="23"/>
      <c r="I10" s="23"/>
      <c r="J10" s="23"/>
      <c r="K10" s="23"/>
      <c r="L10" s="23"/>
      <c r="M10" s="23"/>
      <c r="N10" s="23"/>
      <c r="O10" s="23"/>
      <c r="P10" s="22"/>
      <c r="Q10" s="22"/>
      <c r="R10" s="22"/>
      <c r="S10" s="22"/>
      <c r="T10" s="7"/>
      <c r="U10" s="7"/>
      <c r="V10" s="7"/>
      <c r="W10" s="7"/>
      <c r="X10" s="7"/>
      <c r="Y10" s="7"/>
    </row>
    <row r="11" spans="1:25" s="8" customFormat="1" ht="27.9" customHeight="1">
      <c r="A11" s="33" t="s">
        <v>25</v>
      </c>
      <c r="B11" s="29" t="s">
        <v>11</v>
      </c>
      <c r="C11" s="14" t="s">
        <v>40</v>
      </c>
      <c r="D11" s="14" t="s">
        <v>40</v>
      </c>
      <c r="E11" s="14" t="s">
        <v>40</v>
      </c>
      <c r="F11" s="14" t="s">
        <v>40</v>
      </c>
      <c r="G11" s="23"/>
      <c r="H11" s="22"/>
      <c r="I11" s="23"/>
      <c r="J11" s="23"/>
      <c r="K11" s="23"/>
      <c r="L11" s="23"/>
      <c r="M11" s="23"/>
      <c r="N11" s="23"/>
      <c r="O11" s="23"/>
      <c r="P11" s="22"/>
      <c r="Q11" s="22"/>
      <c r="R11" s="22"/>
      <c r="S11" s="22"/>
      <c r="T11" s="7"/>
      <c r="U11" s="7"/>
      <c r="V11" s="7"/>
      <c r="W11" s="7"/>
      <c r="X11" s="7"/>
      <c r="Y11" s="7"/>
    </row>
    <row r="12" spans="1:25" s="9" customFormat="1" ht="27.9" customHeight="1">
      <c r="A12" s="33" t="s">
        <v>26</v>
      </c>
      <c r="B12" s="30" t="s">
        <v>12</v>
      </c>
      <c r="C12" s="14" t="s">
        <v>40</v>
      </c>
      <c r="D12" s="14" t="s">
        <v>40</v>
      </c>
      <c r="E12" s="14" t="s">
        <v>40</v>
      </c>
      <c r="F12" s="14" t="s">
        <v>40</v>
      </c>
      <c r="G12" s="21"/>
      <c r="H12" s="20"/>
      <c r="I12" s="21"/>
      <c r="J12" s="21"/>
      <c r="K12" s="21"/>
      <c r="L12" s="21"/>
      <c r="M12" s="21"/>
      <c r="N12" s="21"/>
      <c r="O12" s="21"/>
      <c r="P12" s="20"/>
      <c r="Q12" s="20"/>
      <c r="R12" s="20"/>
      <c r="S12" s="20"/>
      <c r="T12" s="10"/>
      <c r="U12" s="10"/>
      <c r="V12" s="10"/>
      <c r="W12" s="10"/>
      <c r="X12" s="10"/>
      <c r="Y12" s="10"/>
    </row>
    <row r="13" spans="1:25" s="8" customFormat="1" ht="27.9" customHeight="1">
      <c r="A13" s="33" t="s">
        <v>27</v>
      </c>
      <c r="B13" s="29" t="s">
        <v>13</v>
      </c>
      <c r="C13" s="14">
        <v>48882</v>
      </c>
      <c r="D13" s="14">
        <v>50073</v>
      </c>
      <c r="E13" s="14">
        <v>56073</v>
      </c>
      <c r="F13" s="14">
        <v>56939</v>
      </c>
      <c r="G13" s="23"/>
      <c r="H13" s="20"/>
      <c r="I13" s="23"/>
      <c r="J13" s="23"/>
      <c r="K13" s="23"/>
      <c r="L13" s="23"/>
      <c r="M13" s="23"/>
      <c r="N13" s="23"/>
      <c r="O13" s="23"/>
      <c r="P13" s="22"/>
      <c r="Q13" s="22"/>
      <c r="R13" s="22"/>
      <c r="S13" s="22"/>
      <c r="T13" s="7"/>
      <c r="U13" s="7"/>
      <c r="V13" s="7"/>
      <c r="W13" s="7"/>
      <c r="X13" s="7"/>
      <c r="Y13" s="7"/>
    </row>
    <row r="14" spans="1:25" s="8" customFormat="1" ht="27.9" customHeight="1">
      <c r="A14" s="33" t="s">
        <v>28</v>
      </c>
      <c r="B14" s="29" t="s">
        <v>14</v>
      </c>
      <c r="C14" s="14">
        <v>73250</v>
      </c>
      <c r="D14" s="14">
        <v>65298</v>
      </c>
      <c r="E14" s="14">
        <v>69797</v>
      </c>
      <c r="F14" s="14">
        <v>55290</v>
      </c>
      <c r="G14" s="23"/>
      <c r="H14" s="20"/>
      <c r="I14" s="23"/>
      <c r="J14" s="23"/>
      <c r="K14" s="23"/>
      <c r="L14" s="23"/>
      <c r="M14" s="23"/>
      <c r="N14" s="23"/>
      <c r="O14" s="23"/>
      <c r="P14" s="22"/>
      <c r="Q14" s="22"/>
      <c r="R14" s="22"/>
      <c r="S14" s="22"/>
      <c r="T14" s="7"/>
      <c r="U14" s="7"/>
      <c r="V14" s="7"/>
      <c r="W14" s="7"/>
      <c r="X14" s="7"/>
      <c r="Y14" s="7"/>
    </row>
    <row r="15" spans="1:25" ht="27.9" customHeight="1">
      <c r="A15" s="33" t="s">
        <v>29</v>
      </c>
      <c r="B15" s="29" t="s">
        <v>15</v>
      </c>
      <c r="C15" s="14" t="s">
        <v>40</v>
      </c>
      <c r="D15" s="14" t="s">
        <v>40</v>
      </c>
      <c r="E15" s="14" t="s">
        <v>40</v>
      </c>
      <c r="F15" s="14" t="s">
        <v>40</v>
      </c>
      <c r="P15" s="19"/>
      <c r="Q15" s="19"/>
      <c r="R15" s="19"/>
      <c r="S15" s="19"/>
      <c r="T15" s="4"/>
      <c r="U15" s="4"/>
      <c r="V15" s="4"/>
      <c r="W15" s="4"/>
      <c r="X15" s="4"/>
      <c r="Y15" s="4"/>
    </row>
    <row r="16" spans="1:25" ht="27.9" customHeight="1">
      <c r="A16" s="33" t="s">
        <v>30</v>
      </c>
      <c r="B16" s="30" t="s">
        <v>16</v>
      </c>
      <c r="C16" s="14" t="s">
        <v>40</v>
      </c>
      <c r="D16" s="14" t="s">
        <v>40</v>
      </c>
      <c r="E16" s="14" t="s">
        <v>40</v>
      </c>
      <c r="F16" s="14" t="s">
        <v>40</v>
      </c>
      <c r="P16" s="19"/>
      <c r="Q16" s="19"/>
      <c r="R16" s="19"/>
      <c r="S16" s="19"/>
      <c r="T16" s="4"/>
      <c r="U16" s="4"/>
      <c r="V16" s="4"/>
      <c r="W16" s="4"/>
      <c r="X16" s="4"/>
      <c r="Y16" s="4"/>
    </row>
    <row r="17" spans="1:25" ht="27.9" customHeight="1">
      <c r="A17" s="33" t="s">
        <v>31</v>
      </c>
      <c r="B17" s="30" t="s">
        <v>17</v>
      </c>
      <c r="C17" s="14">
        <v>3270</v>
      </c>
      <c r="D17" s="14" t="s">
        <v>40</v>
      </c>
      <c r="E17" s="14" t="s">
        <v>40</v>
      </c>
      <c r="F17" s="14" t="s">
        <v>40</v>
      </c>
      <c r="I17" s="19"/>
      <c r="P17" s="19"/>
      <c r="Q17" s="19"/>
      <c r="R17" s="19"/>
      <c r="S17" s="19"/>
      <c r="T17" s="4"/>
      <c r="U17" s="4"/>
      <c r="V17" s="4"/>
      <c r="W17" s="4"/>
      <c r="X17" s="4"/>
      <c r="Y17" s="4"/>
    </row>
    <row r="18" spans="1:25" s="3" customFormat="1" ht="27.9" customHeight="1">
      <c r="A18" s="33" t="s">
        <v>32</v>
      </c>
      <c r="B18" s="30" t="s">
        <v>18</v>
      </c>
      <c r="C18" s="14">
        <v>70820</v>
      </c>
      <c r="D18" s="14">
        <v>79313</v>
      </c>
      <c r="E18" s="14">
        <v>83000</v>
      </c>
      <c r="F18" s="14">
        <v>91000</v>
      </c>
      <c r="G18" s="24"/>
      <c r="H18" s="24"/>
      <c r="I18" s="25"/>
      <c r="J18" s="25"/>
      <c r="K18" s="24"/>
      <c r="L18" s="24"/>
      <c r="M18" s="24"/>
      <c r="N18" s="24"/>
      <c r="O18" s="24"/>
      <c r="P18" s="19"/>
      <c r="Q18" s="19"/>
      <c r="R18" s="19"/>
      <c r="S18" s="19"/>
      <c r="T18" s="4"/>
      <c r="U18" s="4"/>
      <c r="V18" s="4"/>
      <c r="W18" s="4"/>
      <c r="X18" s="4"/>
      <c r="Y18" s="4"/>
    </row>
    <row r="19" spans="1:25" ht="27.9" customHeight="1">
      <c r="A19" s="33" t="s">
        <v>33</v>
      </c>
      <c r="B19" s="30" t="s">
        <v>19</v>
      </c>
      <c r="C19" s="14">
        <v>93358</v>
      </c>
      <c r="D19" s="14">
        <v>98258</v>
      </c>
      <c r="E19" s="14">
        <v>102236</v>
      </c>
      <c r="F19" s="14">
        <v>100790</v>
      </c>
      <c r="H19" s="26"/>
      <c r="I19" s="19"/>
      <c r="P19" s="19"/>
      <c r="Q19" s="19"/>
      <c r="R19" s="19"/>
      <c r="S19" s="19"/>
      <c r="T19" s="4"/>
      <c r="U19" s="4"/>
      <c r="V19" s="4"/>
      <c r="W19" s="4"/>
      <c r="X19" s="4"/>
      <c r="Y19" s="4"/>
    </row>
    <row r="20" spans="1:25" ht="27.9" customHeight="1" thickBot="1">
      <c r="A20" s="33" t="s">
        <v>34</v>
      </c>
      <c r="B20" s="30" t="s">
        <v>20</v>
      </c>
      <c r="C20" s="14" t="s">
        <v>40</v>
      </c>
      <c r="D20" s="14" t="s">
        <v>40</v>
      </c>
      <c r="E20" s="14" t="s">
        <v>40</v>
      </c>
      <c r="F20" s="14" t="s">
        <v>40</v>
      </c>
      <c r="J20" s="19"/>
      <c r="P20" s="19"/>
      <c r="Q20" s="19"/>
      <c r="R20" s="19"/>
      <c r="S20" s="19"/>
      <c r="T20" s="4"/>
      <c r="U20" s="4"/>
      <c r="V20" s="4"/>
      <c r="W20" s="4"/>
      <c r="X20" s="4"/>
      <c r="Y20" s="4"/>
    </row>
    <row r="21" spans="1:25" ht="27.9" customHeight="1" thickTop="1" thickBot="1">
      <c r="A21" s="31"/>
      <c r="B21" s="32" t="s">
        <v>21</v>
      </c>
      <c r="C21" s="34">
        <f>SUM(C9:C20)</f>
        <v>377555</v>
      </c>
      <c r="D21" s="34">
        <f>SUM(D9:D20)</f>
        <v>383742</v>
      </c>
      <c r="E21" s="34">
        <f>SUM(E9:E20)</f>
        <v>406106</v>
      </c>
      <c r="F21" s="34">
        <f>SUM(F9:F20)</f>
        <v>425847</v>
      </c>
      <c r="H21" s="19"/>
      <c r="P21" s="19"/>
      <c r="Q21" s="19"/>
      <c r="R21" s="19"/>
      <c r="S21" s="19"/>
      <c r="T21" s="4"/>
      <c r="U21" s="4"/>
      <c r="V21" s="4"/>
      <c r="W21" s="4"/>
      <c r="X21" s="4"/>
      <c r="Y21" s="4"/>
    </row>
    <row r="22" spans="1:25" ht="13.8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Y22"/>
  <sheetViews>
    <sheetView view="pageBreakPreview" topLeftCell="A10" zoomScale="88" zoomScaleNormal="75" zoomScaleSheetLayoutView="88" workbookViewId="0">
      <selection activeCell="A4" sqref="A4:F21"/>
    </sheetView>
  </sheetViews>
  <sheetFormatPr defaultRowHeight="13.2"/>
  <cols>
    <col min="1" max="1" width="17.5546875" customWidth="1"/>
    <col min="2" max="2" width="29.44140625" style="1" customWidth="1"/>
    <col min="3" max="6" width="18.44140625" customWidth="1"/>
    <col min="7" max="7" width="11.6640625" style="15" customWidth="1"/>
    <col min="8" max="8" width="12.88671875" style="15" bestFit="1" customWidth="1"/>
    <col min="9" max="9" width="11.109375" style="15" bestFit="1" customWidth="1"/>
    <col min="10" max="10" width="10.6640625" style="15" bestFit="1" customWidth="1"/>
    <col min="11" max="19" width="9.109375" style="15"/>
    <col min="25" max="25" width="9.33203125" bestFit="1" customWidth="1"/>
  </cols>
  <sheetData>
    <row r="1" spans="1:25" ht="15" hidden="1" customHeight="1"/>
    <row r="2" spans="1:25" ht="22.8" hidden="1">
      <c r="B2" s="82" t="s">
        <v>5</v>
      </c>
      <c r="C2" s="82"/>
      <c r="D2" s="82"/>
      <c r="E2" s="82"/>
      <c r="F2" s="82"/>
    </row>
    <row r="3" spans="1:25" ht="22.8" hidden="1">
      <c r="B3" s="83" t="s">
        <v>4</v>
      </c>
      <c r="C3" s="83"/>
      <c r="D3" s="83"/>
      <c r="E3" s="83"/>
      <c r="F3" s="83"/>
    </row>
    <row r="4" spans="1:25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25" s="5" customFormat="1" ht="45" customHeight="1" thickBot="1">
      <c r="A5" s="36"/>
      <c r="B5" s="36"/>
      <c r="C5" s="36"/>
      <c r="D5" s="36"/>
      <c r="E5" s="36"/>
      <c r="F5" s="27" t="s">
        <v>6</v>
      </c>
      <c r="G5" s="17"/>
      <c r="H5" s="17"/>
      <c r="I5" s="17"/>
      <c r="J5" s="17"/>
      <c r="K5" s="17"/>
      <c r="L5" s="16"/>
      <c r="M5" s="16"/>
      <c r="N5" s="16"/>
      <c r="O5" s="16"/>
      <c r="P5" s="16"/>
      <c r="Q5" s="16"/>
      <c r="R5" s="16"/>
      <c r="S5" s="16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8"/>
    </row>
    <row r="7" spans="1:25" ht="36" customHeight="1" thickTop="1" thickBot="1">
      <c r="A7" s="11"/>
      <c r="B7" s="13"/>
      <c r="C7" s="35" t="s">
        <v>72</v>
      </c>
      <c r="D7" s="35" t="s">
        <v>73</v>
      </c>
      <c r="E7" s="35" t="s">
        <v>74</v>
      </c>
      <c r="F7" s="35" t="s">
        <v>75</v>
      </c>
    </row>
    <row r="8" spans="1:25" ht="27.9" customHeight="1" thickTop="1">
      <c r="A8" s="33" t="s">
        <v>22</v>
      </c>
      <c r="B8" s="29" t="s">
        <v>8</v>
      </c>
      <c r="C8" s="14" t="s">
        <v>40</v>
      </c>
      <c r="D8" s="14" t="s">
        <v>40</v>
      </c>
      <c r="E8" s="14" t="s">
        <v>40</v>
      </c>
      <c r="F8" s="14" t="s">
        <v>40</v>
      </c>
      <c r="P8" s="19"/>
      <c r="Q8" s="19"/>
      <c r="R8" s="19"/>
      <c r="S8" s="19"/>
      <c r="T8" s="4"/>
      <c r="U8" s="4"/>
      <c r="V8" s="4"/>
      <c r="W8" s="4"/>
      <c r="X8" s="4"/>
      <c r="Y8" s="4"/>
    </row>
    <row r="9" spans="1:25" s="9" customFormat="1" ht="27.9" customHeight="1">
      <c r="A9" s="33" t="s">
        <v>23</v>
      </c>
      <c r="B9" s="30" t="s">
        <v>9</v>
      </c>
      <c r="C9" s="14">
        <v>26000</v>
      </c>
      <c r="D9" s="14">
        <v>26500</v>
      </c>
      <c r="E9" s="14">
        <v>26500</v>
      </c>
      <c r="F9" s="14">
        <v>27406</v>
      </c>
      <c r="G9" s="19"/>
      <c r="H9" s="20"/>
      <c r="I9" s="21"/>
      <c r="J9" s="21"/>
      <c r="K9" s="21"/>
      <c r="L9" s="21"/>
      <c r="M9" s="21"/>
      <c r="N9" s="21"/>
      <c r="O9" s="21"/>
      <c r="P9" s="20"/>
      <c r="Q9" s="20"/>
      <c r="R9" s="20"/>
      <c r="S9" s="20"/>
      <c r="T9" s="10"/>
      <c r="U9" s="10"/>
      <c r="V9" s="10"/>
      <c r="W9" s="10"/>
      <c r="X9" s="10"/>
      <c r="Y9" s="10"/>
    </row>
    <row r="10" spans="1:25" s="8" customFormat="1" ht="27.9" customHeight="1">
      <c r="A10" s="33" t="s">
        <v>24</v>
      </c>
      <c r="B10" s="29" t="s">
        <v>10</v>
      </c>
      <c r="C10" s="14">
        <v>97147</v>
      </c>
      <c r="D10" s="14">
        <v>90578</v>
      </c>
      <c r="E10" s="14">
        <v>91578</v>
      </c>
      <c r="F10" s="14">
        <v>96016</v>
      </c>
      <c r="G10" s="20"/>
      <c r="H10" s="23"/>
      <c r="I10" s="23"/>
      <c r="J10" s="23"/>
      <c r="K10" s="23"/>
      <c r="L10" s="23"/>
      <c r="M10" s="23"/>
      <c r="N10" s="23"/>
      <c r="O10" s="23"/>
      <c r="P10" s="22"/>
      <c r="Q10" s="22"/>
      <c r="R10" s="22"/>
      <c r="S10" s="22"/>
      <c r="T10" s="7"/>
      <c r="U10" s="7"/>
      <c r="V10" s="7"/>
      <c r="W10" s="7"/>
      <c r="X10" s="7"/>
      <c r="Y10" s="7"/>
    </row>
    <row r="11" spans="1:25" s="8" customFormat="1" ht="27.9" customHeight="1">
      <c r="A11" s="33" t="s">
        <v>25</v>
      </c>
      <c r="B11" s="29" t="s">
        <v>11</v>
      </c>
      <c r="C11" s="14">
        <v>0</v>
      </c>
      <c r="D11" s="14">
        <v>0</v>
      </c>
      <c r="E11" s="14">
        <v>0</v>
      </c>
      <c r="F11" s="14">
        <v>0</v>
      </c>
      <c r="G11" s="22"/>
      <c r="H11" s="22"/>
      <c r="I11" s="23"/>
      <c r="J11" s="23"/>
      <c r="K11" s="23"/>
      <c r="L11" s="23"/>
      <c r="M11" s="23"/>
      <c r="N11" s="23"/>
      <c r="O11" s="23"/>
      <c r="P11" s="22"/>
      <c r="Q11" s="22"/>
      <c r="R11" s="22"/>
      <c r="S11" s="22"/>
      <c r="T11" s="7"/>
      <c r="U11" s="7"/>
      <c r="V11" s="7"/>
      <c r="W11" s="7"/>
      <c r="X11" s="7"/>
      <c r="Y11" s="7"/>
    </row>
    <row r="12" spans="1:25" s="9" customFormat="1" ht="27.9" customHeight="1">
      <c r="A12" s="33" t="s">
        <v>26</v>
      </c>
      <c r="B12" s="30" t="s">
        <v>12</v>
      </c>
      <c r="C12" s="14">
        <v>0</v>
      </c>
      <c r="D12" s="14">
        <v>0</v>
      </c>
      <c r="E12" s="14">
        <v>0</v>
      </c>
      <c r="F12" s="14">
        <v>0</v>
      </c>
      <c r="G12" s="23"/>
      <c r="H12" s="20"/>
      <c r="I12" s="21"/>
      <c r="J12" s="21"/>
      <c r="K12" s="21"/>
      <c r="L12" s="21"/>
      <c r="M12" s="21"/>
      <c r="N12" s="21"/>
      <c r="O12" s="21"/>
      <c r="P12" s="20"/>
      <c r="Q12" s="20"/>
      <c r="R12" s="20"/>
      <c r="S12" s="20"/>
      <c r="T12" s="10"/>
      <c r="U12" s="10"/>
      <c r="V12" s="10"/>
      <c r="W12" s="10"/>
      <c r="X12" s="10"/>
      <c r="Y12" s="10"/>
    </row>
    <row r="13" spans="1:25" s="8" customFormat="1" ht="27.9" customHeight="1">
      <c r="A13" s="33" t="s">
        <v>27</v>
      </c>
      <c r="B13" s="29" t="s">
        <v>13</v>
      </c>
      <c r="C13" s="14">
        <v>61366</v>
      </c>
      <c r="D13" s="14">
        <v>62866</v>
      </c>
      <c r="E13" s="14">
        <v>69500</v>
      </c>
      <c r="F13" s="14">
        <v>63874</v>
      </c>
      <c r="G13" s="21"/>
      <c r="H13" s="20"/>
      <c r="I13" s="23"/>
      <c r="J13" s="23"/>
      <c r="K13" s="23"/>
      <c r="L13" s="23"/>
      <c r="M13" s="23"/>
      <c r="N13" s="23"/>
      <c r="O13" s="23"/>
      <c r="P13" s="22"/>
      <c r="Q13" s="22"/>
      <c r="R13" s="22"/>
      <c r="S13" s="22"/>
      <c r="T13" s="7"/>
      <c r="U13" s="7"/>
      <c r="V13" s="7"/>
      <c r="W13" s="7"/>
      <c r="X13" s="7"/>
      <c r="Y13" s="7"/>
    </row>
    <row r="14" spans="1:25" s="8" customFormat="1" ht="27.9" customHeight="1">
      <c r="A14" s="33" t="s">
        <v>28</v>
      </c>
      <c r="B14" s="29" t="s">
        <v>14</v>
      </c>
      <c r="C14" s="14">
        <v>65962</v>
      </c>
      <c r="D14" s="14">
        <v>62798</v>
      </c>
      <c r="E14" s="14">
        <v>67508</v>
      </c>
      <c r="F14" s="14">
        <v>63053</v>
      </c>
      <c r="G14" s="23"/>
      <c r="H14" s="20"/>
      <c r="I14" s="23"/>
      <c r="J14" s="23"/>
      <c r="K14" s="23"/>
      <c r="L14" s="23"/>
      <c r="M14" s="23"/>
      <c r="N14" s="23"/>
      <c r="O14" s="23"/>
      <c r="P14" s="22"/>
      <c r="Q14" s="22"/>
      <c r="R14" s="22"/>
      <c r="S14" s="22"/>
      <c r="T14" s="7"/>
      <c r="U14" s="7"/>
      <c r="V14" s="7"/>
      <c r="W14" s="7"/>
      <c r="X14" s="7"/>
      <c r="Y14" s="7"/>
    </row>
    <row r="15" spans="1:25" ht="27.9" customHeight="1">
      <c r="A15" s="33" t="s">
        <v>29</v>
      </c>
      <c r="B15" s="29" t="s">
        <v>15</v>
      </c>
      <c r="C15" s="14">
        <v>0</v>
      </c>
      <c r="D15" s="14">
        <v>0</v>
      </c>
      <c r="E15" s="14">
        <v>0</v>
      </c>
      <c r="F15" s="14">
        <v>0</v>
      </c>
      <c r="G15" s="23"/>
      <c r="P15" s="19"/>
      <c r="Q15" s="19"/>
      <c r="R15" s="19"/>
      <c r="S15" s="19"/>
      <c r="T15" s="4"/>
      <c r="U15" s="4"/>
      <c r="V15" s="4"/>
      <c r="W15" s="4"/>
      <c r="X15" s="4"/>
      <c r="Y15" s="4"/>
    </row>
    <row r="16" spans="1:25" ht="27.9" customHeight="1">
      <c r="A16" s="33" t="s">
        <v>30</v>
      </c>
      <c r="B16" s="30" t="s">
        <v>16</v>
      </c>
      <c r="C16" s="14">
        <v>0</v>
      </c>
      <c r="D16" s="14">
        <v>0</v>
      </c>
      <c r="E16" s="14">
        <v>0</v>
      </c>
      <c r="F16" s="14">
        <v>0</v>
      </c>
      <c r="P16" s="19"/>
      <c r="Q16" s="19"/>
      <c r="R16" s="19"/>
      <c r="S16" s="19"/>
      <c r="T16" s="4"/>
      <c r="U16" s="4"/>
      <c r="V16" s="4"/>
      <c r="W16" s="4"/>
      <c r="X16" s="4"/>
      <c r="Y16" s="4"/>
    </row>
    <row r="17" spans="1:25" ht="27.9" customHeight="1">
      <c r="A17" s="33" t="s">
        <v>31</v>
      </c>
      <c r="B17" s="30" t="s">
        <v>17</v>
      </c>
      <c r="C17" s="14">
        <v>0</v>
      </c>
      <c r="D17" s="14">
        <v>0</v>
      </c>
      <c r="E17" s="14">
        <v>0</v>
      </c>
      <c r="F17" s="14">
        <v>0</v>
      </c>
      <c r="I17" s="19"/>
      <c r="P17" s="19"/>
      <c r="Q17" s="19"/>
      <c r="R17" s="19"/>
      <c r="S17" s="19"/>
      <c r="T17" s="4"/>
      <c r="U17" s="4"/>
      <c r="V17" s="4"/>
      <c r="W17" s="4"/>
      <c r="X17" s="4"/>
      <c r="Y17" s="4"/>
    </row>
    <row r="18" spans="1:25" s="3" customFormat="1" ht="27.9" customHeight="1">
      <c r="A18" s="33" t="s">
        <v>32</v>
      </c>
      <c r="B18" s="30" t="s">
        <v>18</v>
      </c>
      <c r="C18" s="14">
        <v>89500</v>
      </c>
      <c r="D18" s="14">
        <v>98300</v>
      </c>
      <c r="E18" s="14">
        <v>99800</v>
      </c>
      <c r="F18" s="14">
        <v>103782</v>
      </c>
      <c r="G18" s="15"/>
      <c r="H18" s="24"/>
      <c r="I18" s="25"/>
      <c r="J18" s="25"/>
      <c r="K18" s="24"/>
      <c r="L18" s="24"/>
      <c r="M18" s="24"/>
      <c r="N18" s="24"/>
      <c r="O18" s="24"/>
      <c r="P18" s="19"/>
      <c r="Q18" s="19"/>
      <c r="R18" s="19"/>
      <c r="S18" s="19"/>
      <c r="T18" s="4"/>
      <c r="U18" s="4"/>
      <c r="V18" s="4"/>
      <c r="W18" s="4"/>
      <c r="X18" s="4"/>
      <c r="Y18" s="4"/>
    </row>
    <row r="19" spans="1:25" ht="27.9" customHeight="1">
      <c r="A19" s="33" t="s">
        <v>33</v>
      </c>
      <c r="B19" s="30" t="s">
        <v>19</v>
      </c>
      <c r="C19" s="14">
        <v>106290</v>
      </c>
      <c r="D19" s="14">
        <v>112890</v>
      </c>
      <c r="E19" s="14">
        <v>112390</v>
      </c>
      <c r="F19" s="14">
        <v>117390</v>
      </c>
      <c r="G19" s="24"/>
      <c r="H19" s="26"/>
      <c r="I19" s="19"/>
      <c r="P19" s="19"/>
      <c r="Q19" s="19"/>
      <c r="R19" s="19"/>
      <c r="S19" s="19"/>
      <c r="T19" s="4"/>
      <c r="U19" s="4"/>
      <c r="V19" s="4"/>
      <c r="W19" s="4"/>
      <c r="X19" s="4"/>
      <c r="Y19" s="4"/>
    </row>
    <row r="20" spans="1:25" ht="27.9" customHeight="1" thickBot="1">
      <c r="A20" s="33" t="s">
        <v>34</v>
      </c>
      <c r="B20" s="30" t="s">
        <v>20</v>
      </c>
      <c r="C20" s="14">
        <v>0</v>
      </c>
      <c r="D20" s="14">
        <v>0</v>
      </c>
      <c r="E20" s="14">
        <v>0</v>
      </c>
      <c r="F20" s="14">
        <v>0</v>
      </c>
      <c r="J20" s="19"/>
      <c r="P20" s="19"/>
      <c r="Q20" s="19"/>
      <c r="R20" s="19"/>
      <c r="S20" s="19"/>
      <c r="T20" s="4"/>
      <c r="U20" s="4"/>
      <c r="V20" s="4"/>
      <c r="W20" s="4"/>
      <c r="X20" s="4"/>
      <c r="Y20" s="4"/>
    </row>
    <row r="21" spans="1:25" ht="27.9" customHeight="1" thickTop="1" thickBot="1">
      <c r="A21" s="31"/>
      <c r="B21" s="32" t="s">
        <v>21</v>
      </c>
      <c r="C21" s="34">
        <f>SUM(C9:C20)</f>
        <v>446265</v>
      </c>
      <c r="D21" s="34">
        <f>SUM(D9:D20)</f>
        <v>453932</v>
      </c>
      <c r="E21" s="34">
        <f>SUM(E9:E20)</f>
        <v>467276</v>
      </c>
      <c r="F21" s="34">
        <f>SUM(F9:F20)</f>
        <v>471521</v>
      </c>
      <c r="H21" s="19"/>
      <c r="P21" s="19"/>
      <c r="Q21" s="19"/>
      <c r="R21" s="19"/>
      <c r="S21" s="19"/>
      <c r="T21" s="4"/>
      <c r="U21" s="4"/>
      <c r="V21" s="4"/>
      <c r="W21" s="4"/>
      <c r="X21" s="4"/>
      <c r="Y21" s="4"/>
    </row>
    <row r="22" spans="1:25" ht="13.8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Y23"/>
  <sheetViews>
    <sheetView view="pageBreakPreview" topLeftCell="A5" zoomScale="88" zoomScaleNormal="75" zoomScaleSheetLayoutView="88" workbookViewId="0">
      <selection activeCell="A4" sqref="A4:F15"/>
    </sheetView>
  </sheetViews>
  <sheetFormatPr defaultRowHeight="13.2"/>
  <cols>
    <col min="1" max="1" width="17.5546875" customWidth="1"/>
    <col min="2" max="2" width="29.44140625" style="1" customWidth="1"/>
    <col min="3" max="6" width="18.44140625" customWidth="1"/>
    <col min="7" max="7" width="11.6640625" style="15" customWidth="1"/>
    <col min="8" max="8" width="12.88671875" style="15" bestFit="1" customWidth="1"/>
    <col min="9" max="9" width="11.109375" style="15" bestFit="1" customWidth="1"/>
    <col min="10" max="10" width="10.6640625" style="15" bestFit="1" customWidth="1"/>
    <col min="11" max="19" width="9.109375" style="15"/>
    <col min="25" max="25" width="9.33203125" bestFit="1" customWidth="1"/>
  </cols>
  <sheetData>
    <row r="1" spans="1:25" ht="15" hidden="1" customHeight="1"/>
    <row r="2" spans="1:25" ht="22.8" hidden="1">
      <c r="B2" s="82" t="s">
        <v>5</v>
      </c>
      <c r="C2" s="82"/>
      <c r="D2" s="82"/>
      <c r="E2" s="82"/>
      <c r="F2" s="82"/>
    </row>
    <row r="3" spans="1:25" ht="22.8" hidden="1">
      <c r="B3" s="83" t="s">
        <v>4</v>
      </c>
      <c r="C3" s="83"/>
      <c r="D3" s="83"/>
      <c r="E3" s="83"/>
      <c r="F3" s="83"/>
    </row>
    <row r="4" spans="1:25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25" s="5" customFormat="1" ht="45" customHeight="1" thickBot="1">
      <c r="A5" s="37"/>
      <c r="B5" s="37"/>
      <c r="C5" s="37"/>
      <c r="D5" s="37"/>
      <c r="E5" s="37"/>
      <c r="F5" s="27" t="s">
        <v>6</v>
      </c>
      <c r="G5" s="17"/>
      <c r="H5" s="17"/>
      <c r="I5" s="17"/>
      <c r="J5" s="17"/>
      <c r="K5" s="17"/>
      <c r="L5" s="16"/>
      <c r="M5" s="16"/>
      <c r="N5" s="16"/>
      <c r="O5" s="16"/>
      <c r="P5" s="16"/>
      <c r="Q5" s="16"/>
      <c r="R5" s="16"/>
      <c r="S5" s="16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8"/>
    </row>
    <row r="7" spans="1:25" ht="36" customHeight="1" thickTop="1" thickBot="1">
      <c r="A7" s="11"/>
      <c r="B7" s="13"/>
      <c r="C7" s="35" t="s">
        <v>76</v>
      </c>
      <c r="D7" s="35" t="s">
        <v>77</v>
      </c>
      <c r="E7" s="35" t="s">
        <v>78</v>
      </c>
      <c r="F7" s="35" t="s">
        <v>79</v>
      </c>
    </row>
    <row r="8" spans="1:25" s="9" customFormat="1" ht="27.9" customHeight="1" thickTop="1">
      <c r="A8" s="33" t="s">
        <v>23</v>
      </c>
      <c r="B8" s="30" t="s">
        <v>9</v>
      </c>
      <c r="C8" s="14">
        <v>30438</v>
      </c>
      <c r="D8" s="14">
        <v>32500</v>
      </c>
      <c r="E8" s="14">
        <v>32500</v>
      </c>
      <c r="F8" s="14">
        <v>33500</v>
      </c>
      <c r="G8" s="19"/>
      <c r="H8" s="20"/>
      <c r="I8" s="21"/>
      <c r="J8" s="21"/>
      <c r="K8" s="21"/>
      <c r="L8" s="21"/>
      <c r="M8" s="21"/>
      <c r="N8" s="21"/>
      <c r="O8" s="21"/>
      <c r="P8" s="20"/>
      <c r="Q8" s="20"/>
      <c r="R8" s="20"/>
      <c r="S8" s="20"/>
      <c r="T8" s="10"/>
      <c r="U8" s="10"/>
      <c r="V8" s="10"/>
      <c r="W8" s="10"/>
      <c r="X8" s="10"/>
      <c r="Y8" s="10"/>
    </row>
    <row r="9" spans="1:25" s="8" customFormat="1" ht="27.9" customHeight="1">
      <c r="A9" s="33" t="s">
        <v>24</v>
      </c>
      <c r="B9" s="29" t="s">
        <v>10</v>
      </c>
      <c r="C9" s="14">
        <v>82837</v>
      </c>
      <c r="D9" s="14">
        <v>83337</v>
      </c>
      <c r="E9" s="14">
        <v>80500</v>
      </c>
      <c r="F9" s="14">
        <v>80500</v>
      </c>
      <c r="G9" s="20"/>
      <c r="H9" s="23"/>
      <c r="I9" s="23"/>
      <c r="J9" s="23"/>
      <c r="K9" s="23"/>
      <c r="L9" s="23"/>
      <c r="M9" s="23"/>
      <c r="N9" s="23"/>
      <c r="O9" s="23"/>
      <c r="P9" s="22"/>
      <c r="Q9" s="22"/>
      <c r="R9" s="22"/>
      <c r="S9" s="22"/>
      <c r="T9" s="7"/>
      <c r="U9" s="7"/>
      <c r="V9" s="7"/>
      <c r="W9" s="7"/>
      <c r="X9" s="7"/>
      <c r="Y9" s="7"/>
    </row>
    <row r="10" spans="1:25" s="8" customFormat="1" ht="27.9" customHeight="1">
      <c r="A10" s="33" t="s">
        <v>27</v>
      </c>
      <c r="B10" s="29" t="s">
        <v>13</v>
      </c>
      <c r="C10" s="14">
        <v>65302</v>
      </c>
      <c r="D10" s="14">
        <v>60802</v>
      </c>
      <c r="E10" s="14">
        <v>70428</v>
      </c>
      <c r="F10" s="14">
        <v>78500</v>
      </c>
      <c r="G10" s="21"/>
      <c r="H10" s="20"/>
      <c r="I10" s="23"/>
      <c r="J10" s="23"/>
      <c r="K10" s="23"/>
      <c r="L10" s="23"/>
      <c r="M10" s="23"/>
      <c r="N10" s="23"/>
      <c r="O10" s="23"/>
      <c r="P10" s="22"/>
      <c r="Q10" s="22"/>
      <c r="R10" s="22"/>
      <c r="S10" s="22"/>
      <c r="T10" s="7"/>
      <c r="U10" s="7"/>
      <c r="V10" s="7"/>
      <c r="W10" s="7"/>
      <c r="X10" s="7"/>
      <c r="Y10" s="7"/>
    </row>
    <row r="11" spans="1:25" s="8" customFormat="1" ht="27.9" customHeight="1">
      <c r="A11" s="33" t="s">
        <v>28</v>
      </c>
      <c r="B11" s="29" t="s">
        <v>14</v>
      </c>
      <c r="C11" s="14">
        <v>75706</v>
      </c>
      <c r="D11" s="14">
        <v>83988</v>
      </c>
      <c r="E11" s="14">
        <v>85951</v>
      </c>
      <c r="F11" s="14">
        <v>91463</v>
      </c>
      <c r="G11" s="23"/>
      <c r="H11" s="20"/>
      <c r="I11" s="23"/>
      <c r="J11" s="23"/>
      <c r="K11" s="23"/>
      <c r="L11" s="23"/>
      <c r="M11" s="23"/>
      <c r="N11" s="23"/>
      <c r="O11" s="23"/>
      <c r="P11" s="22"/>
      <c r="Q11" s="22"/>
      <c r="R11" s="22"/>
      <c r="S11" s="22"/>
      <c r="T11" s="7"/>
      <c r="U11" s="7"/>
      <c r="V11" s="7"/>
      <c r="W11" s="7"/>
      <c r="X11" s="7"/>
      <c r="Y11" s="7"/>
    </row>
    <row r="12" spans="1:25" s="3" customFormat="1" ht="27.9" customHeight="1">
      <c r="A12" s="33" t="s">
        <v>32</v>
      </c>
      <c r="B12" s="30" t="s">
        <v>18</v>
      </c>
      <c r="C12" s="14">
        <v>106259</v>
      </c>
      <c r="D12" s="14">
        <v>107959</v>
      </c>
      <c r="E12" s="14">
        <v>110559</v>
      </c>
      <c r="F12" s="14">
        <v>116576</v>
      </c>
      <c r="G12" s="15"/>
      <c r="H12" s="24"/>
      <c r="I12" s="25"/>
      <c r="J12" s="25"/>
      <c r="K12" s="24"/>
      <c r="L12" s="24"/>
      <c r="M12" s="24"/>
      <c r="N12" s="24"/>
      <c r="O12" s="24"/>
      <c r="P12" s="19"/>
      <c r="Q12" s="19"/>
      <c r="R12" s="19"/>
      <c r="S12" s="19"/>
      <c r="T12" s="4"/>
      <c r="U12" s="4"/>
      <c r="V12" s="4"/>
      <c r="W12" s="4"/>
      <c r="X12" s="4"/>
      <c r="Y12" s="4"/>
    </row>
    <row r="13" spans="1:25" ht="27.9" customHeight="1" thickBot="1">
      <c r="A13" s="33" t="s">
        <v>33</v>
      </c>
      <c r="B13" s="30" t="s">
        <v>19</v>
      </c>
      <c r="C13" s="14">
        <v>118004</v>
      </c>
      <c r="D13" s="14">
        <v>125004</v>
      </c>
      <c r="E13" s="14">
        <v>128504</v>
      </c>
      <c r="F13" s="14">
        <v>131004</v>
      </c>
      <c r="G13" s="24"/>
      <c r="H13" s="26"/>
      <c r="I13" s="19"/>
      <c r="P13" s="19"/>
      <c r="Q13" s="19"/>
      <c r="R13" s="19"/>
      <c r="S13" s="19"/>
      <c r="T13" s="4"/>
      <c r="U13" s="4"/>
      <c r="V13" s="4"/>
      <c r="W13" s="4"/>
      <c r="X13" s="4"/>
      <c r="Y13" s="4"/>
    </row>
    <row r="14" spans="1:25" ht="27.9" customHeight="1" thickTop="1" thickBot="1">
      <c r="A14" s="31"/>
      <c r="B14" s="32" t="s">
        <v>21</v>
      </c>
      <c r="C14" s="34">
        <v>478546</v>
      </c>
      <c r="D14" s="34">
        <v>493590</v>
      </c>
      <c r="E14" s="34">
        <v>508442</v>
      </c>
      <c r="F14" s="34">
        <v>531543</v>
      </c>
      <c r="H14" s="19"/>
      <c r="P14" s="19"/>
      <c r="Q14" s="19"/>
      <c r="R14" s="19"/>
      <c r="S14" s="19"/>
      <c r="T14" s="4"/>
      <c r="U14" s="4"/>
      <c r="V14" s="4"/>
      <c r="W14" s="4"/>
      <c r="X14" s="4"/>
      <c r="Y14" s="4"/>
    </row>
    <row r="15" spans="1:25" ht="27.75" customHeight="1" thickTop="1">
      <c r="A15" s="44" t="s">
        <v>88</v>
      </c>
      <c r="B15" s="45"/>
      <c r="C15" s="43"/>
      <c r="D15" s="43"/>
      <c r="E15" s="43"/>
      <c r="F15" s="43"/>
    </row>
    <row r="22" spans="6:7">
      <c r="F22" s="42"/>
    </row>
    <row r="23" spans="6:7">
      <c r="G23" s="41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Y15"/>
  <sheetViews>
    <sheetView view="pageBreakPreview" topLeftCell="A5" zoomScale="88" zoomScaleNormal="75" zoomScaleSheetLayoutView="88" workbookViewId="0">
      <selection activeCell="A4" sqref="A4:F15"/>
    </sheetView>
  </sheetViews>
  <sheetFormatPr defaultRowHeight="13.2"/>
  <cols>
    <col min="1" max="1" width="17.5546875" customWidth="1"/>
    <col min="2" max="2" width="29.44140625" style="1" customWidth="1"/>
    <col min="3" max="6" width="18.44140625" customWidth="1"/>
    <col min="7" max="7" width="11.6640625" style="15" customWidth="1"/>
    <col min="8" max="8" width="12.88671875" style="15" bestFit="1" customWidth="1"/>
    <col min="9" max="9" width="11.109375" style="15" bestFit="1" customWidth="1"/>
    <col min="10" max="10" width="10.6640625" style="15" bestFit="1" customWidth="1"/>
    <col min="11" max="19" width="9.109375" style="15"/>
    <col min="25" max="25" width="9.33203125" bestFit="1" customWidth="1"/>
  </cols>
  <sheetData>
    <row r="1" spans="1:25" ht="15" hidden="1" customHeight="1"/>
    <row r="2" spans="1:25" ht="22.8" hidden="1">
      <c r="B2" s="82" t="s">
        <v>5</v>
      </c>
      <c r="C2" s="82"/>
      <c r="D2" s="82"/>
      <c r="E2" s="82"/>
      <c r="F2" s="82"/>
    </row>
    <row r="3" spans="1:25" ht="22.8" hidden="1">
      <c r="B3" s="83" t="s">
        <v>4</v>
      </c>
      <c r="C3" s="83"/>
      <c r="D3" s="83"/>
      <c r="E3" s="83"/>
      <c r="F3" s="83"/>
    </row>
    <row r="4" spans="1:25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25" s="5" customFormat="1" ht="45" customHeight="1" thickBot="1">
      <c r="A5" s="38"/>
      <c r="B5" s="38"/>
      <c r="C5" s="38"/>
      <c r="D5" s="38"/>
      <c r="E5" s="38"/>
      <c r="F5" s="27" t="s">
        <v>6</v>
      </c>
      <c r="G5" s="17"/>
      <c r="H5" s="17"/>
      <c r="I5" s="17"/>
      <c r="J5" s="17"/>
      <c r="K5" s="17"/>
      <c r="L5" s="16"/>
      <c r="M5" s="16"/>
      <c r="N5" s="16"/>
      <c r="O5" s="16"/>
      <c r="P5" s="16"/>
      <c r="Q5" s="16"/>
      <c r="R5" s="16"/>
      <c r="S5" s="16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8"/>
    </row>
    <row r="7" spans="1:25" ht="36" customHeight="1" thickTop="1" thickBot="1">
      <c r="A7" s="11"/>
      <c r="B7" s="13"/>
      <c r="C7" s="35" t="s">
        <v>80</v>
      </c>
      <c r="D7" s="35" t="s">
        <v>81</v>
      </c>
      <c r="E7" s="35" t="s">
        <v>82</v>
      </c>
      <c r="F7" s="35" t="s">
        <v>83</v>
      </c>
    </row>
    <row r="8" spans="1:25" s="9" customFormat="1" ht="27.9" customHeight="1" thickTop="1">
      <c r="A8" s="33" t="s">
        <v>23</v>
      </c>
      <c r="B8" s="30" t="s">
        <v>9</v>
      </c>
      <c r="C8" s="14">
        <v>35500</v>
      </c>
      <c r="D8" s="14">
        <v>37000</v>
      </c>
      <c r="E8" s="14">
        <v>41500</v>
      </c>
      <c r="F8" s="14">
        <v>58500</v>
      </c>
      <c r="G8" s="19"/>
      <c r="H8" s="20"/>
      <c r="I8" s="21"/>
      <c r="J8" s="21"/>
      <c r="K8" s="21"/>
      <c r="L8" s="21"/>
      <c r="M8" s="21"/>
      <c r="N8" s="21"/>
      <c r="O8" s="21"/>
      <c r="P8" s="20"/>
      <c r="Q8" s="20"/>
      <c r="R8" s="20"/>
      <c r="S8" s="20"/>
      <c r="T8" s="10"/>
      <c r="U8" s="10"/>
      <c r="V8" s="10"/>
      <c r="W8" s="10"/>
      <c r="X8" s="10"/>
      <c r="Y8" s="10"/>
    </row>
    <row r="9" spans="1:25" s="8" customFormat="1" ht="27.9" customHeight="1">
      <c r="A9" s="33" t="s">
        <v>24</v>
      </c>
      <c r="B9" s="29" t="s">
        <v>10</v>
      </c>
      <c r="C9" s="14">
        <v>84000</v>
      </c>
      <c r="D9" s="14">
        <v>89000</v>
      </c>
      <c r="E9" s="14">
        <v>100250</v>
      </c>
      <c r="F9" s="14">
        <v>113250</v>
      </c>
      <c r="G9" s="20"/>
      <c r="H9" s="23"/>
      <c r="I9" s="23"/>
      <c r="J9" s="23"/>
      <c r="K9" s="23"/>
      <c r="L9" s="23"/>
      <c r="M9" s="23"/>
      <c r="N9" s="23"/>
      <c r="O9" s="23"/>
      <c r="P9" s="22"/>
      <c r="Q9" s="22"/>
      <c r="R9" s="22"/>
      <c r="S9" s="22"/>
      <c r="T9" s="7"/>
      <c r="U9" s="7"/>
      <c r="V9" s="7"/>
      <c r="W9" s="7"/>
      <c r="X9" s="7"/>
      <c r="Y9" s="7"/>
    </row>
    <row r="10" spans="1:25" s="8" customFormat="1" ht="27.9" customHeight="1">
      <c r="A10" s="33" t="s">
        <v>27</v>
      </c>
      <c r="B10" s="29" t="s">
        <v>13</v>
      </c>
      <c r="C10" s="14">
        <v>88000</v>
      </c>
      <c r="D10" s="14">
        <v>91500</v>
      </c>
      <c r="E10" s="14">
        <v>105250</v>
      </c>
      <c r="F10" s="14">
        <v>112250</v>
      </c>
      <c r="G10" s="21"/>
      <c r="H10" s="20"/>
      <c r="I10" s="23"/>
      <c r="J10" s="23"/>
      <c r="K10" s="23"/>
      <c r="L10" s="23"/>
      <c r="M10" s="23"/>
      <c r="N10" s="23"/>
      <c r="O10" s="23"/>
      <c r="P10" s="22"/>
      <c r="Q10" s="22"/>
      <c r="R10" s="22"/>
      <c r="S10" s="22"/>
      <c r="T10" s="7"/>
      <c r="U10" s="7"/>
      <c r="V10" s="7"/>
      <c r="W10" s="7"/>
      <c r="X10" s="7"/>
      <c r="Y10" s="7"/>
    </row>
    <row r="11" spans="1:25" s="8" customFormat="1" ht="27.9" customHeight="1">
      <c r="A11" s="33" t="s">
        <v>28</v>
      </c>
      <c r="B11" s="29" t="s">
        <v>14</v>
      </c>
      <c r="C11" s="14">
        <v>91462</v>
      </c>
      <c r="D11" s="14">
        <v>101000</v>
      </c>
      <c r="E11" s="14">
        <v>93000</v>
      </c>
      <c r="F11" s="14">
        <v>99500</v>
      </c>
      <c r="G11" s="23"/>
      <c r="H11" s="20"/>
      <c r="I11" s="23"/>
      <c r="J11" s="23"/>
      <c r="K11" s="23"/>
      <c r="L11" s="23"/>
      <c r="M11" s="23"/>
      <c r="N11" s="23"/>
      <c r="O11" s="23"/>
      <c r="P11" s="22"/>
      <c r="Q11" s="22"/>
      <c r="R11" s="22"/>
      <c r="S11" s="22"/>
      <c r="T11" s="7"/>
      <c r="U11" s="7"/>
      <c r="V11" s="7"/>
      <c r="W11" s="7"/>
      <c r="X11" s="7"/>
      <c r="Y11" s="7"/>
    </row>
    <row r="12" spans="1:25" s="3" customFormat="1" ht="27.9" customHeight="1">
      <c r="A12" s="33" t="s">
        <v>32</v>
      </c>
      <c r="B12" s="30" t="s">
        <v>18</v>
      </c>
      <c r="C12" s="14">
        <v>119600</v>
      </c>
      <c r="D12" s="14">
        <v>116100</v>
      </c>
      <c r="E12" s="14">
        <v>120750</v>
      </c>
      <c r="F12" s="14">
        <v>114750</v>
      </c>
      <c r="G12" s="15"/>
      <c r="H12" s="24"/>
      <c r="I12" s="25"/>
      <c r="J12" s="25"/>
      <c r="K12" s="24"/>
      <c r="L12" s="24"/>
      <c r="M12" s="24"/>
      <c r="N12" s="24"/>
      <c r="O12" s="24"/>
      <c r="P12" s="19"/>
      <c r="Q12" s="19"/>
      <c r="R12" s="19"/>
      <c r="S12" s="19"/>
      <c r="T12" s="4"/>
      <c r="U12" s="4"/>
      <c r="V12" s="4"/>
      <c r="W12" s="4"/>
      <c r="X12" s="4"/>
      <c r="Y12" s="4"/>
    </row>
    <row r="13" spans="1:25" ht="27.9" customHeight="1" thickBot="1">
      <c r="A13" s="33" t="s">
        <v>33</v>
      </c>
      <c r="B13" s="30" t="s">
        <v>19</v>
      </c>
      <c r="C13" s="14">
        <v>135890</v>
      </c>
      <c r="D13" s="14">
        <v>139890</v>
      </c>
      <c r="E13" s="14">
        <v>144490</v>
      </c>
      <c r="F13" s="14">
        <v>158490</v>
      </c>
      <c r="G13" s="24"/>
      <c r="H13" s="26"/>
      <c r="I13" s="19"/>
      <c r="P13" s="19"/>
      <c r="Q13" s="19"/>
      <c r="R13" s="19"/>
      <c r="S13" s="19"/>
      <c r="T13" s="4"/>
      <c r="U13" s="4"/>
      <c r="V13" s="4"/>
      <c r="W13" s="4"/>
      <c r="X13" s="4"/>
      <c r="Y13" s="4"/>
    </row>
    <row r="14" spans="1:25" ht="27.9" customHeight="1" thickTop="1" thickBot="1">
      <c r="A14" s="31"/>
      <c r="B14" s="32" t="s">
        <v>21</v>
      </c>
      <c r="C14" s="34">
        <f>SUM(C8:C13)</f>
        <v>554452</v>
      </c>
      <c r="D14" s="34">
        <f>SUM(D8:D13)</f>
        <v>574490</v>
      </c>
      <c r="E14" s="34">
        <f>SUM(E8:E13)</f>
        <v>605240</v>
      </c>
      <c r="F14" s="34">
        <f>SUM(F8:F13)</f>
        <v>656740</v>
      </c>
      <c r="H14" s="19"/>
      <c r="P14" s="19"/>
      <c r="Q14" s="19"/>
      <c r="R14" s="19"/>
      <c r="S14" s="19"/>
      <c r="T14" s="4"/>
      <c r="U14" s="4"/>
      <c r="V14" s="4"/>
      <c r="W14" s="4"/>
      <c r="X14" s="4"/>
      <c r="Y14" s="4"/>
    </row>
    <row r="15" spans="1:25" ht="21" thickTop="1">
      <c r="A15" s="44" t="s">
        <v>88</v>
      </c>
      <c r="B15" s="45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Y15"/>
  <sheetViews>
    <sheetView view="pageBreakPreview" topLeftCell="A7" zoomScale="88" zoomScaleNormal="75" zoomScaleSheetLayoutView="88" workbookViewId="0">
      <selection activeCell="A4" sqref="A4:F15"/>
    </sheetView>
  </sheetViews>
  <sheetFormatPr defaultRowHeight="13.2"/>
  <cols>
    <col min="1" max="1" width="17.5546875" customWidth="1"/>
    <col min="2" max="2" width="29.44140625" style="1" customWidth="1"/>
    <col min="3" max="6" width="18.44140625" customWidth="1"/>
    <col min="7" max="7" width="11.6640625" style="15" customWidth="1"/>
    <col min="8" max="8" width="12.88671875" style="15" bestFit="1" customWidth="1"/>
    <col min="9" max="9" width="11.109375" style="15" bestFit="1" customWidth="1"/>
    <col min="10" max="10" width="10.6640625" style="15" bestFit="1" customWidth="1"/>
    <col min="11" max="19" width="9.109375" style="15"/>
    <col min="25" max="25" width="9.33203125" bestFit="1" customWidth="1"/>
  </cols>
  <sheetData>
    <row r="1" spans="1:25" ht="15" hidden="1" customHeight="1"/>
    <row r="2" spans="1:25" ht="22.8" hidden="1">
      <c r="B2" s="82" t="s">
        <v>5</v>
      </c>
      <c r="C2" s="82"/>
      <c r="D2" s="82"/>
      <c r="E2" s="82"/>
      <c r="F2" s="82"/>
    </row>
    <row r="3" spans="1:25" ht="22.8" hidden="1">
      <c r="B3" s="83" t="s">
        <v>4</v>
      </c>
      <c r="C3" s="83"/>
      <c r="D3" s="83"/>
      <c r="E3" s="83"/>
      <c r="F3" s="83"/>
    </row>
    <row r="4" spans="1:25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25" s="5" customFormat="1" ht="45" customHeight="1" thickBot="1">
      <c r="A5" s="39"/>
      <c r="B5" s="39"/>
      <c r="C5" s="39"/>
      <c r="D5" s="39"/>
      <c r="E5" s="39"/>
      <c r="F5" s="27" t="s">
        <v>6</v>
      </c>
      <c r="G5" s="17"/>
      <c r="H5" s="17"/>
      <c r="I5" s="17"/>
      <c r="J5" s="17"/>
      <c r="K5" s="17"/>
      <c r="L5" s="16"/>
      <c r="M5" s="16"/>
      <c r="N5" s="16"/>
      <c r="O5" s="16"/>
      <c r="P5" s="16"/>
      <c r="Q5" s="16"/>
      <c r="R5" s="16"/>
      <c r="S5" s="16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8"/>
    </row>
    <row r="7" spans="1:25" ht="36" customHeight="1" thickTop="1" thickBot="1">
      <c r="A7" s="11"/>
      <c r="B7" s="13"/>
      <c r="C7" s="35" t="s">
        <v>84</v>
      </c>
      <c r="D7" s="35" t="s">
        <v>85</v>
      </c>
      <c r="E7" s="35" t="s">
        <v>86</v>
      </c>
      <c r="F7" s="35" t="s">
        <v>87</v>
      </c>
    </row>
    <row r="8" spans="1:25" s="9" customFormat="1" ht="27.9" customHeight="1" thickTop="1">
      <c r="A8" s="33" t="s">
        <v>23</v>
      </c>
      <c r="B8" s="30" t="s">
        <v>9</v>
      </c>
      <c r="C8" s="14">
        <v>66250</v>
      </c>
      <c r="D8" s="14">
        <v>62540</v>
      </c>
      <c r="E8" s="14">
        <v>77534</v>
      </c>
      <c r="F8" s="14">
        <v>93137</v>
      </c>
      <c r="G8" s="19"/>
      <c r="H8" s="20"/>
      <c r="I8" s="21"/>
      <c r="J8" s="21"/>
      <c r="K8" s="21"/>
      <c r="L8" s="21"/>
      <c r="M8" s="21"/>
      <c r="N8" s="21"/>
      <c r="O8" s="21"/>
      <c r="P8" s="20"/>
      <c r="Q8" s="20"/>
      <c r="R8" s="20"/>
      <c r="S8" s="20"/>
      <c r="T8" s="10"/>
      <c r="U8" s="10"/>
      <c r="V8" s="10"/>
      <c r="W8" s="10"/>
      <c r="X8" s="10"/>
      <c r="Y8" s="10"/>
    </row>
    <row r="9" spans="1:25" s="8" customFormat="1" ht="27.9" customHeight="1">
      <c r="A9" s="33" t="s">
        <v>24</v>
      </c>
      <c r="B9" s="29" t="s">
        <v>10</v>
      </c>
      <c r="C9" s="14">
        <v>119145</v>
      </c>
      <c r="D9" s="14">
        <v>125529</v>
      </c>
      <c r="E9" s="14">
        <v>145840</v>
      </c>
      <c r="F9" s="14">
        <v>184357</v>
      </c>
      <c r="G9" s="20"/>
      <c r="H9" s="23"/>
      <c r="I9" s="23"/>
      <c r="J9" s="23"/>
      <c r="K9" s="23"/>
      <c r="L9" s="23"/>
      <c r="M9" s="23"/>
      <c r="N9" s="23"/>
      <c r="O9" s="23"/>
      <c r="P9" s="22"/>
      <c r="Q9" s="22"/>
      <c r="R9" s="22"/>
      <c r="S9" s="22"/>
      <c r="T9" s="7"/>
      <c r="U9" s="7"/>
      <c r="V9" s="7"/>
      <c r="W9" s="7"/>
      <c r="X9" s="7"/>
      <c r="Y9" s="7"/>
    </row>
    <row r="10" spans="1:25" s="8" customFormat="1" ht="27.9" customHeight="1">
      <c r="A10" s="33" t="s">
        <v>27</v>
      </c>
      <c r="B10" s="29" t="s">
        <v>13</v>
      </c>
      <c r="C10" s="14">
        <v>116433</v>
      </c>
      <c r="D10" s="14">
        <v>110068</v>
      </c>
      <c r="E10" s="14">
        <v>109969</v>
      </c>
      <c r="F10" s="14">
        <v>123559</v>
      </c>
      <c r="G10" s="21"/>
      <c r="H10" s="20"/>
      <c r="I10" s="23"/>
      <c r="J10" s="23"/>
      <c r="K10" s="23"/>
      <c r="L10" s="23"/>
      <c r="M10" s="23"/>
      <c r="N10" s="23"/>
      <c r="O10" s="23"/>
      <c r="P10" s="22"/>
      <c r="Q10" s="22"/>
      <c r="R10" s="22"/>
      <c r="S10" s="22"/>
      <c r="T10" s="7"/>
      <c r="U10" s="7"/>
      <c r="V10" s="7"/>
      <c r="W10" s="7"/>
      <c r="X10" s="7"/>
      <c r="Y10" s="7"/>
    </row>
    <row r="11" spans="1:25" s="8" customFormat="1" ht="27.9" customHeight="1">
      <c r="A11" s="33" t="s">
        <v>28</v>
      </c>
      <c r="B11" s="29" t="s">
        <v>14</v>
      </c>
      <c r="C11" s="14">
        <v>94563</v>
      </c>
      <c r="D11" s="14">
        <v>101261</v>
      </c>
      <c r="E11" s="14">
        <v>100184</v>
      </c>
      <c r="F11" s="14">
        <v>120814</v>
      </c>
      <c r="G11" s="23"/>
      <c r="H11" s="20"/>
      <c r="I11" s="23"/>
      <c r="J11" s="23"/>
      <c r="K11" s="23"/>
      <c r="L11" s="23"/>
      <c r="M11" s="23"/>
      <c r="N11" s="23"/>
      <c r="O11" s="23"/>
      <c r="P11" s="22"/>
      <c r="Q11" s="22"/>
      <c r="R11" s="22"/>
      <c r="S11" s="22"/>
      <c r="T11" s="7"/>
      <c r="U11" s="7"/>
      <c r="V11" s="7"/>
      <c r="W11" s="7"/>
      <c r="X11" s="7"/>
      <c r="Y11" s="7"/>
    </row>
    <row r="12" spans="1:25" s="3" customFormat="1" ht="27.9" customHeight="1">
      <c r="A12" s="33" t="s">
        <v>32</v>
      </c>
      <c r="B12" s="30" t="s">
        <v>18</v>
      </c>
      <c r="C12" s="14">
        <v>127046</v>
      </c>
      <c r="D12" s="14">
        <v>122125</v>
      </c>
      <c r="E12" s="14">
        <v>138502</v>
      </c>
      <c r="F12" s="14">
        <v>143709</v>
      </c>
      <c r="G12" s="15"/>
      <c r="H12" s="24"/>
      <c r="I12" s="25"/>
      <c r="J12" s="25"/>
      <c r="K12" s="24"/>
      <c r="L12" s="24"/>
      <c r="M12" s="24"/>
      <c r="N12" s="24"/>
      <c r="O12" s="24"/>
      <c r="P12" s="19"/>
      <c r="Q12" s="19"/>
      <c r="R12" s="19"/>
      <c r="S12" s="19"/>
      <c r="T12" s="4"/>
      <c r="U12" s="4"/>
      <c r="V12" s="4"/>
      <c r="W12" s="4"/>
      <c r="X12" s="4"/>
      <c r="Y12" s="4"/>
    </row>
    <row r="13" spans="1:25" ht="27.9" customHeight="1" thickBot="1">
      <c r="A13" s="33" t="s">
        <v>33</v>
      </c>
      <c r="B13" s="30" t="s">
        <v>19</v>
      </c>
      <c r="C13" s="14">
        <v>163679</v>
      </c>
      <c r="D13" s="14">
        <v>163198</v>
      </c>
      <c r="E13" s="14">
        <v>169062</v>
      </c>
      <c r="F13" s="14">
        <v>192428</v>
      </c>
      <c r="G13" s="24"/>
      <c r="H13" s="26"/>
      <c r="I13" s="19"/>
      <c r="P13" s="19"/>
      <c r="Q13" s="19"/>
      <c r="R13" s="19"/>
      <c r="S13" s="19"/>
      <c r="T13" s="4"/>
      <c r="U13" s="4"/>
      <c r="V13" s="4"/>
      <c r="W13" s="4"/>
      <c r="X13" s="4"/>
      <c r="Y13" s="4"/>
    </row>
    <row r="14" spans="1:25" ht="27.9" customHeight="1" thickTop="1" thickBot="1">
      <c r="A14" s="31"/>
      <c r="B14" s="32" t="s">
        <v>21</v>
      </c>
      <c r="C14" s="34">
        <f>SUM(C8:C13)</f>
        <v>687116</v>
      </c>
      <c r="D14" s="34">
        <f>SUM(D8:D13)</f>
        <v>684721</v>
      </c>
      <c r="E14" s="34">
        <f>SUM(E8:E13)</f>
        <v>741091</v>
      </c>
      <c r="F14" s="34">
        <f>SUM(F8:F13)</f>
        <v>858004</v>
      </c>
      <c r="H14" s="19"/>
      <c r="P14" s="19"/>
      <c r="Q14" s="19"/>
      <c r="R14" s="19"/>
      <c r="S14" s="19"/>
      <c r="T14" s="4"/>
      <c r="U14" s="4"/>
      <c r="V14" s="4"/>
      <c r="W14" s="4"/>
      <c r="X14" s="4"/>
      <c r="Y14" s="4"/>
    </row>
    <row r="15" spans="1:25" ht="21" thickTop="1">
      <c r="A15" s="44" t="s">
        <v>89</v>
      </c>
      <c r="B15" s="45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Y17"/>
  <sheetViews>
    <sheetView view="pageBreakPreview" topLeftCell="A6" zoomScale="88" zoomScaleNormal="75" zoomScaleSheetLayoutView="88" workbookViewId="0">
      <selection activeCell="A4" sqref="A4:F17"/>
    </sheetView>
  </sheetViews>
  <sheetFormatPr defaultRowHeight="13.2"/>
  <cols>
    <col min="1" max="1" width="17.5546875" customWidth="1"/>
    <col min="2" max="2" width="29.44140625" style="1" customWidth="1"/>
    <col min="3" max="6" width="18.44140625" customWidth="1"/>
    <col min="7" max="7" width="11.6640625" style="15" customWidth="1"/>
    <col min="8" max="8" width="12.88671875" style="15" bestFit="1" customWidth="1"/>
    <col min="9" max="9" width="11.109375" style="15" bestFit="1" customWidth="1"/>
    <col min="10" max="10" width="10.6640625" style="15" bestFit="1" customWidth="1"/>
    <col min="11" max="19" width="9.109375" style="15"/>
    <col min="25" max="25" width="9.33203125" bestFit="1" customWidth="1"/>
  </cols>
  <sheetData>
    <row r="1" spans="1:25" ht="15" hidden="1" customHeight="1"/>
    <row r="2" spans="1:25" ht="22.8" hidden="1">
      <c r="B2" s="82" t="s">
        <v>5</v>
      </c>
      <c r="C2" s="82"/>
      <c r="D2" s="82"/>
      <c r="E2" s="82"/>
      <c r="F2" s="82"/>
    </row>
    <row r="3" spans="1:25" ht="22.8" hidden="1">
      <c r="B3" s="83" t="s">
        <v>4</v>
      </c>
      <c r="C3" s="83"/>
      <c r="D3" s="83"/>
      <c r="E3" s="83"/>
      <c r="F3" s="83"/>
    </row>
    <row r="4" spans="1:25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25" s="5" customFormat="1" ht="45" customHeight="1" thickBot="1">
      <c r="A5" s="40"/>
      <c r="B5" s="40"/>
      <c r="C5" s="40"/>
      <c r="D5" s="40"/>
      <c r="E5" s="40"/>
      <c r="F5" s="27" t="s">
        <v>6</v>
      </c>
      <c r="G5" s="17"/>
      <c r="H5" s="17"/>
      <c r="I5" s="17"/>
      <c r="J5" s="17"/>
      <c r="K5" s="17"/>
      <c r="L5" s="16"/>
      <c r="M5" s="16"/>
      <c r="N5" s="16"/>
      <c r="O5" s="16"/>
      <c r="P5" s="16"/>
      <c r="Q5" s="16"/>
      <c r="R5" s="16"/>
      <c r="S5" s="16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8"/>
    </row>
    <row r="7" spans="1:25" ht="36" customHeight="1" thickTop="1" thickBot="1">
      <c r="A7" s="11"/>
      <c r="B7" s="13"/>
      <c r="C7" s="35" t="s">
        <v>90</v>
      </c>
      <c r="D7" s="35" t="s">
        <v>91</v>
      </c>
      <c r="E7" s="35" t="s">
        <v>92</v>
      </c>
      <c r="F7" s="35" t="s">
        <v>93</v>
      </c>
    </row>
    <row r="8" spans="1:25" s="9" customFormat="1" ht="27.9" customHeight="1" thickTop="1">
      <c r="A8" s="33" t="s">
        <v>23</v>
      </c>
      <c r="B8" s="30" t="s">
        <v>9</v>
      </c>
      <c r="C8" s="14">
        <v>96836</v>
      </c>
      <c r="D8" s="14">
        <v>108508</v>
      </c>
      <c r="E8" s="14">
        <v>102290</v>
      </c>
      <c r="F8" s="14">
        <v>104712</v>
      </c>
      <c r="G8" s="19"/>
      <c r="H8" s="20"/>
      <c r="I8" s="21"/>
      <c r="J8" s="21"/>
      <c r="K8" s="21"/>
      <c r="L8" s="21"/>
      <c r="M8" s="21"/>
      <c r="N8" s="21"/>
      <c r="O8" s="21"/>
      <c r="P8" s="20"/>
      <c r="Q8" s="20"/>
      <c r="R8" s="20"/>
      <c r="S8" s="20"/>
      <c r="T8" s="10"/>
      <c r="U8" s="10"/>
      <c r="V8" s="10"/>
      <c r="W8" s="10"/>
      <c r="X8" s="10"/>
      <c r="Y8" s="10"/>
    </row>
    <row r="9" spans="1:25" s="9" customFormat="1" ht="27.9" customHeight="1">
      <c r="A9" s="33" t="s">
        <v>96</v>
      </c>
      <c r="B9" s="30" t="s">
        <v>97</v>
      </c>
      <c r="C9" s="14" t="s">
        <v>40</v>
      </c>
      <c r="D9" s="14" t="s">
        <v>40</v>
      </c>
      <c r="E9" s="14" t="s">
        <v>40</v>
      </c>
      <c r="F9" s="14">
        <v>1100</v>
      </c>
      <c r="G9" s="19"/>
      <c r="H9" s="20"/>
      <c r="I9" s="21"/>
      <c r="J9" s="21"/>
      <c r="K9" s="21"/>
      <c r="L9" s="21"/>
      <c r="M9" s="21"/>
      <c r="N9" s="21"/>
      <c r="O9" s="21"/>
      <c r="P9" s="20"/>
      <c r="Q9" s="20"/>
      <c r="R9" s="20"/>
      <c r="S9" s="20"/>
      <c r="T9" s="10"/>
      <c r="U9" s="10"/>
      <c r="V9" s="10"/>
      <c r="W9" s="10"/>
      <c r="X9" s="10"/>
      <c r="Y9" s="10"/>
    </row>
    <row r="10" spans="1:25" s="8" customFormat="1" ht="27.9" customHeight="1">
      <c r="A10" s="33" t="s">
        <v>24</v>
      </c>
      <c r="B10" s="29" t="s">
        <v>10</v>
      </c>
      <c r="C10" s="14">
        <v>209732</v>
      </c>
      <c r="D10" s="14">
        <v>223379</v>
      </c>
      <c r="E10" s="14">
        <v>226161</v>
      </c>
      <c r="F10" s="14">
        <v>228658</v>
      </c>
      <c r="G10" s="20"/>
      <c r="H10" s="23"/>
      <c r="I10" s="23"/>
      <c r="J10" s="23"/>
      <c r="K10" s="23"/>
      <c r="L10" s="23"/>
      <c r="M10" s="23"/>
      <c r="N10" s="23"/>
      <c r="O10" s="23"/>
      <c r="P10" s="22"/>
      <c r="Q10" s="22"/>
      <c r="R10" s="22"/>
      <c r="S10" s="22"/>
      <c r="T10" s="7"/>
      <c r="U10" s="7"/>
      <c r="V10" s="7"/>
      <c r="W10" s="7"/>
      <c r="X10" s="7"/>
      <c r="Y10" s="7"/>
    </row>
    <row r="11" spans="1:25" s="8" customFormat="1" ht="27.9" customHeight="1">
      <c r="A11" s="33" t="s">
        <v>27</v>
      </c>
      <c r="B11" s="29" t="s">
        <v>13</v>
      </c>
      <c r="C11" s="14">
        <v>152815</v>
      </c>
      <c r="D11" s="14">
        <v>180704</v>
      </c>
      <c r="E11" s="14">
        <v>198714</v>
      </c>
      <c r="F11" s="14">
        <v>198526</v>
      </c>
      <c r="G11" s="21"/>
      <c r="H11" s="20"/>
      <c r="I11" s="23"/>
      <c r="J11" s="23"/>
      <c r="K11" s="23"/>
      <c r="L11" s="23"/>
      <c r="M11" s="23"/>
      <c r="N11" s="23"/>
      <c r="O11" s="23"/>
      <c r="P11" s="22"/>
      <c r="Q11" s="22"/>
      <c r="R11" s="22"/>
      <c r="S11" s="22"/>
      <c r="T11" s="7"/>
      <c r="U11" s="7"/>
      <c r="V11" s="7"/>
      <c r="W11" s="7"/>
      <c r="X11" s="7"/>
      <c r="Y11" s="7"/>
    </row>
    <row r="12" spans="1:25" s="8" customFormat="1" ht="27.9" customHeight="1">
      <c r="A12" s="33" t="s">
        <v>94</v>
      </c>
      <c r="B12" s="29" t="s">
        <v>95</v>
      </c>
      <c r="C12" s="14" t="s">
        <v>40</v>
      </c>
      <c r="D12" s="14" t="s">
        <v>40</v>
      </c>
      <c r="E12" s="14" t="s">
        <v>40</v>
      </c>
      <c r="F12" s="14">
        <v>400</v>
      </c>
      <c r="G12" s="21"/>
      <c r="H12" s="20"/>
      <c r="I12" s="23"/>
      <c r="J12" s="23"/>
      <c r="K12" s="23"/>
      <c r="L12" s="23"/>
      <c r="M12" s="23"/>
      <c r="N12" s="23"/>
      <c r="O12" s="23"/>
      <c r="P12" s="22"/>
      <c r="Q12" s="22"/>
      <c r="R12" s="22"/>
      <c r="S12" s="22"/>
      <c r="T12" s="7"/>
      <c r="U12" s="7"/>
      <c r="V12" s="7"/>
      <c r="W12" s="7"/>
      <c r="X12" s="7"/>
      <c r="Y12" s="7"/>
    </row>
    <row r="13" spans="1:25" s="8" customFormat="1" ht="27.9" customHeight="1">
      <c r="A13" s="33" t="s">
        <v>28</v>
      </c>
      <c r="B13" s="29" t="s">
        <v>14</v>
      </c>
      <c r="C13" s="14">
        <v>142250</v>
      </c>
      <c r="D13" s="14">
        <v>171898</v>
      </c>
      <c r="E13" s="14">
        <v>166614</v>
      </c>
      <c r="F13" s="14">
        <v>181698</v>
      </c>
      <c r="G13" s="23"/>
      <c r="H13" s="20"/>
      <c r="I13" s="23"/>
      <c r="J13" s="23"/>
      <c r="K13" s="23"/>
      <c r="L13" s="23"/>
      <c r="M13" s="23"/>
      <c r="N13" s="23"/>
      <c r="O13" s="23"/>
      <c r="P13" s="22"/>
      <c r="Q13" s="22"/>
      <c r="R13" s="22"/>
      <c r="S13" s="22"/>
      <c r="T13" s="7"/>
      <c r="U13" s="7"/>
      <c r="V13" s="7"/>
      <c r="W13" s="7"/>
      <c r="X13" s="7"/>
      <c r="Y13" s="7"/>
    </row>
    <row r="14" spans="1:25" s="3" customFormat="1" ht="27.9" customHeight="1">
      <c r="A14" s="33" t="s">
        <v>32</v>
      </c>
      <c r="B14" s="30" t="s">
        <v>18</v>
      </c>
      <c r="C14" s="14">
        <v>177668</v>
      </c>
      <c r="D14" s="14">
        <v>209629</v>
      </c>
      <c r="E14" s="14">
        <v>254355</v>
      </c>
      <c r="F14" s="14">
        <v>256566</v>
      </c>
      <c r="G14" s="15"/>
      <c r="H14" s="24"/>
      <c r="I14" s="25"/>
      <c r="J14" s="25"/>
      <c r="K14" s="24"/>
      <c r="L14" s="24"/>
      <c r="M14" s="24"/>
      <c r="N14" s="24"/>
      <c r="O14" s="24"/>
      <c r="P14" s="19"/>
      <c r="Q14" s="19"/>
      <c r="R14" s="19"/>
      <c r="S14" s="19"/>
      <c r="T14" s="4"/>
      <c r="U14" s="4"/>
      <c r="V14" s="4"/>
      <c r="W14" s="4"/>
      <c r="X14" s="4"/>
      <c r="Y14" s="4"/>
    </row>
    <row r="15" spans="1:25" ht="27.9" customHeight="1" thickBot="1">
      <c r="A15" s="33" t="s">
        <v>33</v>
      </c>
      <c r="B15" s="30" t="s">
        <v>19</v>
      </c>
      <c r="C15" s="14">
        <v>215638</v>
      </c>
      <c r="D15" s="14">
        <v>247001</v>
      </c>
      <c r="E15" s="14">
        <v>263808</v>
      </c>
      <c r="F15" s="14">
        <v>255906</v>
      </c>
      <c r="G15" s="24"/>
      <c r="H15" s="26"/>
      <c r="I15" s="19"/>
      <c r="P15" s="19"/>
      <c r="Q15" s="19"/>
      <c r="R15" s="19"/>
      <c r="S15" s="19"/>
      <c r="T15" s="4"/>
      <c r="U15" s="4"/>
      <c r="V15" s="4"/>
      <c r="W15" s="4"/>
      <c r="X15" s="4"/>
      <c r="Y15" s="4"/>
    </row>
    <row r="16" spans="1:25" ht="27.9" customHeight="1" thickTop="1" thickBot="1">
      <c r="A16" s="31"/>
      <c r="B16" s="32" t="s">
        <v>21</v>
      </c>
      <c r="C16" s="34">
        <f>SUM(C8:C15)</f>
        <v>994939</v>
      </c>
      <c r="D16" s="34">
        <f>SUM(D8:D15)</f>
        <v>1141119</v>
      </c>
      <c r="E16" s="34">
        <f>SUM(E8:E15)</f>
        <v>1211942</v>
      </c>
      <c r="F16" s="34">
        <f>SUM(F8:F15)</f>
        <v>1227566</v>
      </c>
      <c r="H16" s="19"/>
      <c r="P16" s="19"/>
      <c r="Q16" s="19"/>
      <c r="R16" s="19"/>
      <c r="S16" s="19"/>
      <c r="T16" s="4"/>
      <c r="U16" s="4"/>
      <c r="V16" s="4"/>
      <c r="W16" s="4"/>
      <c r="X16" s="4"/>
      <c r="Y16" s="4"/>
    </row>
    <row r="17" spans="1:2" ht="21" thickTop="1">
      <c r="A17" s="44" t="s">
        <v>89</v>
      </c>
      <c r="B17" s="45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Y18"/>
  <sheetViews>
    <sheetView view="pageBreakPreview" topLeftCell="A7" zoomScale="88" zoomScaleNormal="75" zoomScaleSheetLayoutView="88" workbookViewId="0">
      <selection activeCell="A4" sqref="A4:F18"/>
    </sheetView>
  </sheetViews>
  <sheetFormatPr defaultRowHeight="13.2"/>
  <cols>
    <col min="1" max="1" width="17.5546875" customWidth="1"/>
    <col min="2" max="2" width="29.44140625" style="1" customWidth="1"/>
    <col min="3" max="6" width="18.44140625" customWidth="1"/>
    <col min="7" max="7" width="11.6640625" style="15" customWidth="1"/>
    <col min="8" max="8" width="12.88671875" style="15" bestFit="1" customWidth="1"/>
    <col min="9" max="9" width="11.109375" style="15" bestFit="1" customWidth="1"/>
    <col min="10" max="10" width="10.6640625" style="15" bestFit="1" customWidth="1"/>
    <col min="11" max="19" width="9.109375" style="15"/>
    <col min="25" max="25" width="9.33203125" bestFit="1" customWidth="1"/>
  </cols>
  <sheetData>
    <row r="1" spans="1:25" ht="15" hidden="1" customHeight="1"/>
    <row r="2" spans="1:25" ht="22.8" hidden="1">
      <c r="B2" s="82" t="s">
        <v>5</v>
      </c>
      <c r="C2" s="82"/>
      <c r="D2" s="82"/>
      <c r="E2" s="82"/>
      <c r="F2" s="82"/>
    </row>
    <row r="3" spans="1:25" ht="22.8" hidden="1">
      <c r="B3" s="83" t="s">
        <v>4</v>
      </c>
      <c r="C3" s="83"/>
      <c r="D3" s="83"/>
      <c r="E3" s="83"/>
      <c r="F3" s="83"/>
    </row>
    <row r="4" spans="1:25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25" s="5" customFormat="1" ht="45" customHeight="1" thickBot="1">
      <c r="A5" s="46"/>
      <c r="B5" s="46"/>
      <c r="C5" s="46"/>
      <c r="D5" s="46"/>
      <c r="E5" s="46"/>
      <c r="F5" s="27" t="s">
        <v>6</v>
      </c>
      <c r="G5" s="17"/>
      <c r="H5" s="17"/>
      <c r="I5" s="17"/>
      <c r="J5" s="17"/>
      <c r="K5" s="17"/>
      <c r="L5" s="16"/>
      <c r="M5" s="16"/>
      <c r="N5" s="16"/>
      <c r="O5" s="16"/>
      <c r="P5" s="16"/>
      <c r="Q5" s="16"/>
      <c r="R5" s="16"/>
      <c r="S5" s="16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8"/>
    </row>
    <row r="7" spans="1:25" ht="36" customHeight="1" thickTop="1" thickBot="1">
      <c r="A7" s="11"/>
      <c r="B7" s="13"/>
      <c r="C7" s="35" t="s">
        <v>98</v>
      </c>
      <c r="D7" s="35" t="s">
        <v>99</v>
      </c>
      <c r="E7" s="35" t="s">
        <v>100</v>
      </c>
      <c r="F7" s="35" t="s">
        <v>101</v>
      </c>
    </row>
    <row r="8" spans="1:25" s="9" customFormat="1" ht="27.9" customHeight="1" thickTop="1">
      <c r="A8" s="33" t="s">
        <v>23</v>
      </c>
      <c r="B8" s="30" t="s">
        <v>9</v>
      </c>
      <c r="C8" s="14">
        <v>134987</v>
      </c>
      <c r="D8" s="14">
        <v>111056</v>
      </c>
      <c r="E8" s="14">
        <v>92570</v>
      </c>
      <c r="F8" s="14">
        <v>121675</v>
      </c>
      <c r="G8" s="19"/>
      <c r="H8" s="20"/>
      <c r="I8" s="21"/>
      <c r="J8" s="21"/>
      <c r="K8" s="21"/>
      <c r="L8" s="21"/>
      <c r="M8" s="21"/>
      <c r="N8" s="21"/>
      <c r="O8" s="21"/>
      <c r="P8" s="20"/>
      <c r="Q8" s="20"/>
      <c r="R8" s="20"/>
      <c r="S8" s="20"/>
      <c r="T8" s="10"/>
      <c r="U8" s="10"/>
      <c r="V8" s="10"/>
      <c r="W8" s="10"/>
      <c r="X8" s="10"/>
      <c r="Y8" s="10"/>
    </row>
    <row r="9" spans="1:25" s="9" customFormat="1" ht="27.9" customHeight="1">
      <c r="A9" s="33" t="s">
        <v>96</v>
      </c>
      <c r="B9" s="30" t="s">
        <v>97</v>
      </c>
      <c r="C9" s="14">
        <v>1100</v>
      </c>
      <c r="D9" s="14">
        <v>0</v>
      </c>
      <c r="E9" s="14">
        <v>0</v>
      </c>
      <c r="F9" s="14">
        <v>0</v>
      </c>
      <c r="G9" s="19"/>
      <c r="H9" s="20"/>
      <c r="I9" s="21"/>
      <c r="J9" s="21"/>
      <c r="K9" s="21"/>
      <c r="L9" s="21"/>
      <c r="M9" s="21"/>
      <c r="N9" s="21"/>
      <c r="O9" s="21"/>
      <c r="P9" s="20"/>
      <c r="Q9" s="20"/>
      <c r="R9" s="20"/>
      <c r="S9" s="20"/>
      <c r="T9" s="10"/>
      <c r="U9" s="10"/>
      <c r="V9" s="10"/>
      <c r="W9" s="10"/>
      <c r="X9" s="10"/>
      <c r="Y9" s="10"/>
    </row>
    <row r="10" spans="1:25" s="8" customFormat="1" ht="27.9" customHeight="1">
      <c r="A10" s="33" t="s">
        <v>24</v>
      </c>
      <c r="B10" s="29" t="s">
        <v>10</v>
      </c>
      <c r="C10" s="14">
        <v>242950</v>
      </c>
      <c r="D10" s="14">
        <v>226413</v>
      </c>
      <c r="E10" s="14">
        <v>233681</v>
      </c>
      <c r="F10" s="14">
        <v>239062</v>
      </c>
      <c r="G10" s="20"/>
      <c r="H10" s="23"/>
      <c r="I10" s="23"/>
      <c r="J10" s="23"/>
      <c r="K10" s="23"/>
      <c r="L10" s="23"/>
      <c r="M10" s="23"/>
      <c r="N10" s="23"/>
      <c r="O10" s="23"/>
      <c r="P10" s="22"/>
      <c r="Q10" s="22"/>
      <c r="R10" s="22"/>
      <c r="S10" s="22"/>
      <c r="T10" s="7"/>
      <c r="U10" s="7"/>
      <c r="V10" s="7"/>
      <c r="W10" s="7"/>
      <c r="X10" s="7"/>
      <c r="Y10" s="7"/>
    </row>
    <row r="11" spans="1:25" s="8" customFormat="1" ht="27.9" customHeight="1">
      <c r="A11" s="33" t="s">
        <v>27</v>
      </c>
      <c r="B11" s="29" t="s">
        <v>13</v>
      </c>
      <c r="C11" s="14">
        <v>209152</v>
      </c>
      <c r="D11" s="14">
        <v>190396</v>
      </c>
      <c r="E11" s="14">
        <v>197932</v>
      </c>
      <c r="F11" s="14">
        <v>189017</v>
      </c>
      <c r="G11" s="21"/>
      <c r="H11" s="20"/>
      <c r="I11" s="23"/>
      <c r="J11" s="23"/>
      <c r="K11" s="23"/>
      <c r="L11" s="23"/>
      <c r="M11" s="23"/>
      <c r="N11" s="23"/>
      <c r="O11" s="23"/>
      <c r="P11" s="22"/>
      <c r="Q11" s="22"/>
      <c r="R11" s="22"/>
      <c r="S11" s="22"/>
      <c r="T11" s="7"/>
      <c r="U11" s="7"/>
      <c r="V11" s="7"/>
      <c r="W11" s="7"/>
      <c r="X11" s="7"/>
      <c r="Y11" s="7"/>
    </row>
    <row r="12" spans="1:25" s="8" customFormat="1" ht="27.9" customHeight="1">
      <c r="A12" s="33" t="s">
        <v>94</v>
      </c>
      <c r="B12" s="29" t="s">
        <v>95</v>
      </c>
      <c r="C12" s="14">
        <v>400</v>
      </c>
      <c r="D12" s="14">
        <v>400</v>
      </c>
      <c r="E12" s="14">
        <v>0</v>
      </c>
      <c r="F12" s="14">
        <v>0</v>
      </c>
      <c r="G12" s="21"/>
      <c r="H12" s="20"/>
      <c r="I12" s="23"/>
      <c r="J12" s="23"/>
      <c r="K12" s="23"/>
      <c r="L12" s="23"/>
      <c r="M12" s="23"/>
      <c r="N12" s="23"/>
      <c r="O12" s="23"/>
      <c r="P12" s="22"/>
      <c r="Q12" s="22"/>
      <c r="R12" s="22"/>
      <c r="S12" s="22"/>
      <c r="T12" s="7"/>
      <c r="U12" s="7"/>
      <c r="V12" s="7"/>
      <c r="W12" s="7"/>
      <c r="X12" s="7"/>
      <c r="Y12" s="7"/>
    </row>
    <row r="13" spans="1:25" s="8" customFormat="1" ht="27.9" customHeight="1">
      <c r="A13" s="33" t="s">
        <v>103</v>
      </c>
      <c r="B13" s="29" t="s">
        <v>102</v>
      </c>
      <c r="C13" s="14">
        <v>1500</v>
      </c>
      <c r="D13" s="14">
        <v>1500</v>
      </c>
      <c r="E13" s="14">
        <v>1500</v>
      </c>
      <c r="F13" s="14">
        <v>0</v>
      </c>
      <c r="G13" s="21"/>
      <c r="H13" s="20"/>
      <c r="I13" s="23"/>
      <c r="J13" s="23"/>
      <c r="K13" s="23"/>
      <c r="L13" s="23"/>
      <c r="M13" s="23"/>
      <c r="N13" s="23"/>
      <c r="O13" s="23"/>
      <c r="P13" s="22"/>
      <c r="Q13" s="22"/>
      <c r="R13" s="22"/>
      <c r="S13" s="22"/>
      <c r="T13" s="7"/>
      <c r="U13" s="7"/>
      <c r="V13" s="7"/>
      <c r="W13" s="7"/>
      <c r="X13" s="7"/>
      <c r="Y13" s="7"/>
    </row>
    <row r="14" spans="1:25" s="8" customFormat="1" ht="27.9" customHeight="1">
      <c r="A14" s="33" t="s">
        <v>28</v>
      </c>
      <c r="B14" s="29" t="s">
        <v>14</v>
      </c>
      <c r="C14" s="14">
        <v>176778</v>
      </c>
      <c r="D14" s="14">
        <v>192535</v>
      </c>
      <c r="E14" s="14">
        <v>197541</v>
      </c>
      <c r="F14" s="14">
        <v>197726</v>
      </c>
      <c r="G14" s="23"/>
      <c r="H14" s="20"/>
      <c r="I14" s="23"/>
      <c r="J14" s="23"/>
      <c r="K14" s="23"/>
      <c r="L14" s="23"/>
      <c r="M14" s="23"/>
      <c r="N14" s="23"/>
      <c r="O14" s="23"/>
      <c r="P14" s="22"/>
      <c r="Q14" s="22"/>
      <c r="R14" s="22"/>
      <c r="S14" s="22"/>
      <c r="T14" s="7"/>
      <c r="U14" s="7"/>
      <c r="V14" s="7"/>
      <c r="W14" s="7"/>
      <c r="X14" s="7"/>
      <c r="Y14" s="7"/>
    </row>
    <row r="15" spans="1:25" s="3" customFormat="1" ht="27.9" customHeight="1">
      <c r="A15" s="33" t="s">
        <v>32</v>
      </c>
      <c r="B15" s="30" t="s">
        <v>18</v>
      </c>
      <c r="C15" s="14">
        <v>273171</v>
      </c>
      <c r="D15" s="14">
        <v>275581</v>
      </c>
      <c r="E15" s="14">
        <v>314819</v>
      </c>
      <c r="F15" s="14">
        <v>312318</v>
      </c>
      <c r="G15" s="15"/>
      <c r="H15" s="24"/>
      <c r="I15" s="25"/>
      <c r="J15" s="25"/>
      <c r="K15" s="24"/>
      <c r="L15" s="24"/>
      <c r="M15" s="24"/>
      <c r="N15" s="24"/>
      <c r="O15" s="24"/>
      <c r="P15" s="19"/>
      <c r="Q15" s="19"/>
      <c r="R15" s="19"/>
      <c r="S15" s="19"/>
      <c r="T15" s="4"/>
      <c r="U15" s="4"/>
      <c r="V15" s="4"/>
      <c r="W15" s="4"/>
      <c r="X15" s="4"/>
      <c r="Y15" s="4"/>
    </row>
    <row r="16" spans="1:25" ht="27.9" customHeight="1" thickBot="1">
      <c r="A16" s="33" t="s">
        <v>33</v>
      </c>
      <c r="B16" s="30" t="s">
        <v>19</v>
      </c>
      <c r="C16" s="14">
        <v>265281</v>
      </c>
      <c r="D16" s="14">
        <v>303260</v>
      </c>
      <c r="E16" s="14">
        <v>333276</v>
      </c>
      <c r="F16" s="14">
        <v>357591</v>
      </c>
      <c r="G16" s="24"/>
      <c r="H16" s="26"/>
      <c r="I16" s="19"/>
      <c r="P16" s="19"/>
      <c r="Q16" s="19"/>
      <c r="R16" s="19"/>
      <c r="S16" s="19"/>
      <c r="T16" s="4"/>
      <c r="U16" s="4"/>
      <c r="V16" s="4"/>
      <c r="W16" s="4"/>
      <c r="X16" s="4"/>
      <c r="Y16" s="4"/>
    </row>
    <row r="17" spans="1:25" ht="27.9" customHeight="1" thickTop="1" thickBot="1">
      <c r="A17" s="31"/>
      <c r="B17" s="32" t="s">
        <v>21</v>
      </c>
      <c r="C17" s="34">
        <f>SUM(C8:C16)</f>
        <v>1305319</v>
      </c>
      <c r="D17" s="34">
        <f>SUM(D8:D16)</f>
        <v>1301141</v>
      </c>
      <c r="E17" s="34">
        <f>SUM(E8:E16)</f>
        <v>1371319</v>
      </c>
      <c r="F17" s="34">
        <f>SUM(F8:F16)</f>
        <v>1417389</v>
      </c>
      <c r="H17" s="19"/>
      <c r="P17" s="19"/>
      <c r="Q17" s="19"/>
      <c r="R17" s="19"/>
      <c r="S17" s="19"/>
      <c r="T17" s="4"/>
      <c r="U17" s="4"/>
      <c r="V17" s="4"/>
      <c r="W17" s="4"/>
      <c r="X17" s="4"/>
      <c r="Y17" s="4"/>
    </row>
    <row r="18" spans="1:25" ht="21" thickTop="1">
      <c r="A18" s="44" t="s">
        <v>89</v>
      </c>
      <c r="B18" s="45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782F-9B95-4D9A-9F90-685AAC80E2A3}">
  <sheetPr>
    <pageSetUpPr fitToPage="1"/>
  </sheetPr>
  <dimension ref="A1:Y16"/>
  <sheetViews>
    <sheetView view="pageBreakPreview" topLeftCell="A5" zoomScale="88" zoomScaleNormal="75" zoomScaleSheetLayoutView="88" workbookViewId="0">
      <selection activeCell="A4" sqref="A4:F16"/>
    </sheetView>
  </sheetViews>
  <sheetFormatPr defaultRowHeight="13.2"/>
  <cols>
    <col min="1" max="1" width="17.5546875" customWidth="1"/>
    <col min="2" max="2" width="29.44140625" style="1" customWidth="1"/>
    <col min="3" max="6" width="18.44140625" customWidth="1"/>
    <col min="7" max="7" width="11.6640625" style="15" customWidth="1"/>
    <col min="8" max="8" width="12.88671875" style="15" bestFit="1" customWidth="1"/>
    <col min="9" max="9" width="11.109375" style="15" bestFit="1" customWidth="1"/>
    <col min="10" max="10" width="10.6640625" style="15" bestFit="1" customWidth="1"/>
    <col min="11" max="19" width="9.109375" style="15"/>
    <col min="25" max="25" width="9.33203125" bestFit="1" customWidth="1"/>
  </cols>
  <sheetData>
    <row r="1" spans="1:25" ht="15" hidden="1" customHeight="1"/>
    <row r="2" spans="1:25" ht="22.8" hidden="1">
      <c r="B2" s="82" t="s">
        <v>5</v>
      </c>
      <c r="C2" s="82"/>
      <c r="D2" s="82"/>
      <c r="E2" s="82"/>
      <c r="F2" s="82"/>
    </row>
    <row r="3" spans="1:25" ht="22.8" hidden="1">
      <c r="B3" s="83" t="s">
        <v>4</v>
      </c>
      <c r="C3" s="83"/>
      <c r="D3" s="83"/>
      <c r="E3" s="83"/>
      <c r="F3" s="83"/>
    </row>
    <row r="4" spans="1:25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25" s="5" customFormat="1" ht="45" customHeight="1" thickBot="1">
      <c r="A5" s="47"/>
      <c r="B5" s="47"/>
      <c r="C5" s="47"/>
      <c r="D5" s="47"/>
      <c r="E5" s="47"/>
      <c r="F5" s="27" t="s">
        <v>6</v>
      </c>
      <c r="G5" s="17"/>
      <c r="H5" s="17"/>
      <c r="I5" s="17"/>
      <c r="J5" s="17"/>
      <c r="K5" s="17"/>
      <c r="L5" s="16"/>
      <c r="M5" s="16"/>
      <c r="N5" s="16"/>
      <c r="O5" s="16"/>
      <c r="P5" s="16"/>
      <c r="Q5" s="16"/>
      <c r="R5" s="16"/>
      <c r="S5" s="16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8"/>
    </row>
    <row r="7" spans="1:25" ht="36" customHeight="1" thickTop="1" thickBot="1">
      <c r="A7" s="11"/>
      <c r="B7" s="13"/>
      <c r="C7" s="35" t="s">
        <v>104</v>
      </c>
      <c r="D7" s="35" t="s">
        <v>105</v>
      </c>
      <c r="E7" s="35" t="s">
        <v>106</v>
      </c>
      <c r="F7" s="35" t="s">
        <v>107</v>
      </c>
    </row>
    <row r="8" spans="1:25" s="9" customFormat="1" ht="27.9" customHeight="1" thickTop="1">
      <c r="A8" s="33" t="s">
        <v>23</v>
      </c>
      <c r="B8" s="30" t="s">
        <v>9</v>
      </c>
      <c r="C8" s="14">
        <v>92505</v>
      </c>
      <c r="D8" s="14">
        <v>84025</v>
      </c>
      <c r="E8" s="14">
        <v>6205</v>
      </c>
      <c r="F8" s="14">
        <v>95192</v>
      </c>
      <c r="G8" s="19"/>
      <c r="H8" s="20"/>
      <c r="I8" s="21"/>
      <c r="J8" s="21"/>
      <c r="K8" s="21"/>
      <c r="L8" s="21"/>
      <c r="M8" s="21"/>
      <c r="N8" s="21"/>
      <c r="O8" s="21"/>
      <c r="P8" s="20"/>
      <c r="Q8" s="20"/>
      <c r="R8" s="20"/>
      <c r="S8" s="20"/>
      <c r="T8" s="10"/>
      <c r="U8" s="10"/>
      <c r="V8" s="10"/>
      <c r="W8" s="10"/>
      <c r="X8" s="10"/>
      <c r="Y8" s="10"/>
    </row>
    <row r="9" spans="1:25" s="8" customFormat="1" ht="27.9" customHeight="1">
      <c r="A9" s="33" t="s">
        <v>24</v>
      </c>
      <c r="B9" s="29" t="s">
        <v>10</v>
      </c>
      <c r="C9" s="14">
        <v>220208</v>
      </c>
      <c r="D9" s="14">
        <v>239038</v>
      </c>
      <c r="E9" s="14">
        <v>262677</v>
      </c>
      <c r="F9" s="14">
        <v>272549</v>
      </c>
      <c r="G9" s="20"/>
      <c r="H9" s="23"/>
      <c r="I9" s="23"/>
      <c r="J9" s="23"/>
      <c r="K9" s="23"/>
      <c r="L9" s="23"/>
      <c r="M9" s="23"/>
      <c r="N9" s="23"/>
      <c r="O9" s="23"/>
      <c r="P9" s="22"/>
      <c r="Q9" s="22"/>
      <c r="R9" s="22"/>
      <c r="S9" s="22"/>
      <c r="T9" s="7"/>
      <c r="U9" s="7"/>
      <c r="V9" s="7"/>
      <c r="W9" s="7"/>
      <c r="X9" s="7"/>
      <c r="Y9" s="7"/>
    </row>
    <row r="10" spans="1:25" s="8" customFormat="1" ht="27.9" customHeight="1">
      <c r="A10" s="33" t="s">
        <v>27</v>
      </c>
      <c r="B10" s="29" t="s">
        <v>13</v>
      </c>
      <c r="C10" s="14">
        <v>226552</v>
      </c>
      <c r="D10" s="14">
        <v>257492</v>
      </c>
      <c r="E10" s="14">
        <v>253698</v>
      </c>
      <c r="F10" s="14">
        <v>198668</v>
      </c>
      <c r="G10" s="21"/>
      <c r="H10" s="20"/>
      <c r="I10" s="23"/>
      <c r="J10" s="23"/>
      <c r="K10" s="23"/>
      <c r="L10" s="23"/>
      <c r="M10" s="23"/>
      <c r="N10" s="23"/>
      <c r="O10" s="23"/>
      <c r="P10" s="22"/>
      <c r="Q10" s="22"/>
      <c r="R10" s="22"/>
      <c r="S10" s="22"/>
      <c r="T10" s="7"/>
      <c r="U10" s="7"/>
      <c r="V10" s="7"/>
      <c r="W10" s="7"/>
      <c r="X10" s="7"/>
      <c r="Y10" s="7"/>
    </row>
    <row r="11" spans="1:25" s="8" customFormat="1" ht="27.9" customHeight="1">
      <c r="A11" s="33" t="s">
        <v>28</v>
      </c>
      <c r="B11" s="29" t="s">
        <v>14</v>
      </c>
      <c r="C11" s="14">
        <v>196366</v>
      </c>
      <c r="D11" s="14">
        <v>209933</v>
      </c>
      <c r="E11" s="14">
        <v>243502</v>
      </c>
      <c r="F11" s="14">
        <v>257685</v>
      </c>
      <c r="G11" s="23"/>
      <c r="H11" s="20"/>
      <c r="I11" s="23"/>
      <c r="J11" s="23"/>
      <c r="K11" s="23"/>
      <c r="L11" s="23"/>
      <c r="M11" s="23"/>
      <c r="N11" s="23"/>
      <c r="O11" s="23"/>
      <c r="P11" s="22"/>
      <c r="Q11" s="22"/>
      <c r="R11" s="22"/>
      <c r="S11" s="22"/>
      <c r="T11" s="7"/>
      <c r="U11" s="7"/>
      <c r="V11" s="7"/>
      <c r="W11" s="7"/>
      <c r="X11" s="7"/>
      <c r="Y11" s="7"/>
    </row>
    <row r="12" spans="1:25" s="8" customFormat="1" ht="27.9" customHeight="1">
      <c r="A12" s="33" t="s">
        <v>108</v>
      </c>
      <c r="B12" s="30" t="s">
        <v>109</v>
      </c>
      <c r="C12" s="14">
        <v>12000</v>
      </c>
      <c r="D12" s="14">
        <v>12000</v>
      </c>
      <c r="E12" s="14">
        <v>12000</v>
      </c>
      <c r="F12" s="14">
        <v>12000</v>
      </c>
      <c r="G12" s="23"/>
      <c r="H12" s="20"/>
      <c r="I12" s="23"/>
      <c r="J12" s="23"/>
      <c r="K12" s="23"/>
      <c r="L12" s="23"/>
      <c r="M12" s="23"/>
      <c r="N12" s="23"/>
      <c r="O12" s="23"/>
      <c r="P12" s="22"/>
      <c r="Q12" s="22"/>
      <c r="R12" s="22"/>
      <c r="S12" s="22"/>
      <c r="T12" s="7"/>
      <c r="U12" s="7"/>
      <c r="V12" s="7"/>
      <c r="W12" s="7"/>
      <c r="X12" s="7"/>
      <c r="Y12" s="7"/>
    </row>
    <row r="13" spans="1:25" s="3" customFormat="1" ht="27.9" customHeight="1">
      <c r="A13" s="33" t="s">
        <v>32</v>
      </c>
      <c r="B13" s="30" t="s">
        <v>18</v>
      </c>
      <c r="C13" s="14">
        <v>335909</v>
      </c>
      <c r="D13" s="14">
        <v>346729</v>
      </c>
      <c r="E13" s="14">
        <v>347970</v>
      </c>
      <c r="F13" s="14">
        <v>355474</v>
      </c>
      <c r="G13" s="15"/>
      <c r="H13" s="24"/>
      <c r="I13" s="25"/>
      <c r="J13" s="25"/>
      <c r="K13" s="24"/>
      <c r="L13" s="24"/>
      <c r="M13" s="24"/>
      <c r="N13" s="24"/>
      <c r="O13" s="24"/>
      <c r="P13" s="19"/>
      <c r="Q13" s="19"/>
      <c r="R13" s="19"/>
      <c r="S13" s="19"/>
      <c r="T13" s="4"/>
      <c r="U13" s="4"/>
      <c r="V13" s="4"/>
      <c r="W13" s="4"/>
      <c r="X13" s="4"/>
      <c r="Y13" s="4"/>
    </row>
    <row r="14" spans="1:25" ht="27.9" customHeight="1" thickBot="1">
      <c r="A14" s="33" t="s">
        <v>33</v>
      </c>
      <c r="B14" s="30" t="s">
        <v>19</v>
      </c>
      <c r="C14" s="14">
        <v>371165</v>
      </c>
      <c r="D14" s="14">
        <v>363491</v>
      </c>
      <c r="E14" s="14">
        <v>359416</v>
      </c>
      <c r="F14" s="14">
        <v>376191</v>
      </c>
      <c r="G14" s="24"/>
      <c r="H14" s="26"/>
      <c r="I14" s="19"/>
      <c r="P14" s="19"/>
      <c r="Q14" s="19"/>
      <c r="R14" s="19"/>
      <c r="S14" s="19"/>
      <c r="T14" s="4"/>
      <c r="U14" s="4"/>
      <c r="V14" s="4"/>
      <c r="W14" s="4"/>
      <c r="X14" s="4"/>
      <c r="Y14" s="4"/>
    </row>
    <row r="15" spans="1:25" ht="27.9" customHeight="1" thickTop="1" thickBot="1">
      <c r="A15" s="31"/>
      <c r="B15" s="32" t="s">
        <v>21</v>
      </c>
      <c r="C15" s="34">
        <f>SUM(C8:C14)</f>
        <v>1454705</v>
      </c>
      <c r="D15" s="34">
        <f>SUM(D8:D14)</f>
        <v>1512708</v>
      </c>
      <c r="E15" s="34">
        <f>SUM(E8:E14)</f>
        <v>1485468</v>
      </c>
      <c r="F15" s="34">
        <f>SUM(F8:F14)</f>
        <v>1567759</v>
      </c>
      <c r="H15" s="19"/>
      <c r="P15" s="19"/>
      <c r="Q15" s="19"/>
      <c r="R15" s="19"/>
      <c r="S15" s="19"/>
      <c r="T15" s="4"/>
      <c r="U15" s="4"/>
      <c r="V15" s="4"/>
      <c r="W15" s="4"/>
      <c r="X15" s="4"/>
      <c r="Y15" s="4"/>
    </row>
    <row r="16" spans="1:25" ht="21" thickTop="1">
      <c r="A16" s="44" t="s">
        <v>89</v>
      </c>
      <c r="B16" s="45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3CC0-3116-4786-AF8E-535DC9ABD48C}">
  <sheetPr>
    <pageSetUpPr fitToPage="1"/>
  </sheetPr>
  <dimension ref="A1:Y17"/>
  <sheetViews>
    <sheetView view="pageBreakPreview" topLeftCell="A6" zoomScale="88" zoomScaleNormal="75" zoomScaleSheetLayoutView="88" workbookViewId="0">
      <selection activeCell="A4" sqref="A4:F17"/>
    </sheetView>
  </sheetViews>
  <sheetFormatPr defaultRowHeight="13.2"/>
  <cols>
    <col min="1" max="1" width="17.5546875" customWidth="1"/>
    <col min="2" max="2" width="29.44140625" style="1" customWidth="1"/>
    <col min="3" max="6" width="18.44140625" customWidth="1"/>
    <col min="7" max="7" width="11.6640625" style="15" customWidth="1"/>
    <col min="8" max="8" width="12.88671875" style="15" bestFit="1" customWidth="1"/>
    <col min="9" max="9" width="11.109375" style="15" bestFit="1" customWidth="1"/>
    <col min="10" max="10" width="10.6640625" style="15" bestFit="1" customWidth="1"/>
    <col min="11" max="19" width="8.88671875" style="15"/>
    <col min="25" max="25" width="9.33203125" bestFit="1" customWidth="1"/>
  </cols>
  <sheetData>
    <row r="1" spans="1:25" ht="15" hidden="1" customHeight="1"/>
    <row r="2" spans="1:25" ht="22.8" hidden="1">
      <c r="B2" s="82" t="s">
        <v>5</v>
      </c>
      <c r="C2" s="82"/>
      <c r="D2" s="82"/>
      <c r="E2" s="82"/>
      <c r="F2" s="82"/>
    </row>
    <row r="3" spans="1:25" ht="22.8" hidden="1">
      <c r="B3" s="83" t="s">
        <v>4</v>
      </c>
      <c r="C3" s="83"/>
      <c r="D3" s="83"/>
      <c r="E3" s="83"/>
      <c r="F3" s="83"/>
    </row>
    <row r="4" spans="1:25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25" s="5" customFormat="1" ht="45" customHeight="1" thickBot="1">
      <c r="A5" s="48"/>
      <c r="B5" s="48"/>
      <c r="C5" s="48"/>
      <c r="D5" s="48"/>
      <c r="E5" s="48"/>
      <c r="F5" s="27" t="s">
        <v>6</v>
      </c>
      <c r="G5" s="17"/>
      <c r="H5" s="17"/>
      <c r="I5" s="17"/>
      <c r="J5" s="17"/>
      <c r="K5" s="17"/>
      <c r="L5" s="16"/>
      <c r="M5" s="16"/>
      <c r="N5" s="16"/>
      <c r="O5" s="16"/>
      <c r="P5" s="16"/>
      <c r="Q5" s="16"/>
      <c r="R5" s="16"/>
      <c r="S5" s="16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8"/>
    </row>
    <row r="7" spans="1:25" ht="36" customHeight="1" thickTop="1" thickBot="1">
      <c r="A7" s="11"/>
      <c r="B7" s="13"/>
      <c r="C7" s="35" t="s">
        <v>110</v>
      </c>
      <c r="D7" s="35" t="s">
        <v>111</v>
      </c>
      <c r="E7" s="35" t="s">
        <v>112</v>
      </c>
      <c r="F7" s="35" t="s">
        <v>114</v>
      </c>
    </row>
    <row r="8" spans="1:25" s="9" customFormat="1" ht="27.9" customHeight="1" thickTop="1">
      <c r="A8" s="33" t="s">
        <v>23</v>
      </c>
      <c r="B8" s="30" t="s">
        <v>9</v>
      </c>
      <c r="C8" s="14">
        <v>102673</v>
      </c>
      <c r="D8" s="14">
        <v>97086</v>
      </c>
      <c r="E8" s="14">
        <v>103943</v>
      </c>
      <c r="F8" s="14">
        <v>145260</v>
      </c>
      <c r="G8" s="19"/>
      <c r="H8" s="20"/>
      <c r="I8" s="21"/>
      <c r="J8" s="21"/>
      <c r="K8" s="21"/>
      <c r="L8" s="21"/>
      <c r="M8" s="21"/>
      <c r="N8" s="21"/>
      <c r="O8" s="21"/>
      <c r="P8" s="20"/>
      <c r="Q8" s="20"/>
      <c r="R8" s="20"/>
      <c r="S8" s="20"/>
      <c r="T8" s="10"/>
      <c r="U8" s="10"/>
      <c r="V8" s="10"/>
      <c r="W8" s="10"/>
      <c r="X8" s="10"/>
      <c r="Y8" s="10"/>
    </row>
    <row r="9" spans="1:25" s="8" customFormat="1" ht="27.9" customHeight="1">
      <c r="A9" s="33" t="s">
        <v>24</v>
      </c>
      <c r="B9" s="29" t="s">
        <v>10</v>
      </c>
      <c r="C9" s="14">
        <v>238791</v>
      </c>
      <c r="D9" s="14">
        <v>194033</v>
      </c>
      <c r="E9" s="14">
        <v>164780</v>
      </c>
      <c r="F9" s="14">
        <v>250603</v>
      </c>
      <c r="G9" s="20"/>
      <c r="H9" s="23"/>
      <c r="I9" s="23"/>
      <c r="J9" s="23"/>
      <c r="K9" s="23"/>
      <c r="L9" s="23"/>
      <c r="M9" s="23"/>
      <c r="N9" s="23"/>
      <c r="O9" s="23"/>
      <c r="P9" s="22"/>
      <c r="Q9" s="22"/>
      <c r="R9" s="22"/>
      <c r="S9" s="22"/>
      <c r="T9" s="7"/>
      <c r="U9" s="7"/>
      <c r="V9" s="7"/>
      <c r="W9" s="7"/>
      <c r="X9" s="7"/>
      <c r="Y9" s="7"/>
    </row>
    <row r="10" spans="1:25" s="8" customFormat="1" ht="27.9" customHeight="1">
      <c r="A10" s="33" t="s">
        <v>120</v>
      </c>
      <c r="B10" s="29" t="s">
        <v>121</v>
      </c>
      <c r="C10" s="14">
        <v>500</v>
      </c>
      <c r="D10" s="14">
        <v>500</v>
      </c>
      <c r="E10" s="14">
        <v>500</v>
      </c>
      <c r="F10" s="14">
        <v>0</v>
      </c>
      <c r="G10" s="20"/>
      <c r="H10" s="23"/>
      <c r="I10" s="23"/>
      <c r="J10" s="23"/>
      <c r="K10" s="23"/>
      <c r="L10" s="23"/>
      <c r="M10" s="23"/>
      <c r="N10" s="23"/>
      <c r="O10" s="23"/>
      <c r="P10" s="22"/>
      <c r="Q10" s="22"/>
      <c r="R10" s="22"/>
      <c r="S10" s="22"/>
      <c r="T10" s="7"/>
      <c r="U10" s="7"/>
      <c r="V10" s="7"/>
      <c r="W10" s="7"/>
      <c r="X10" s="7"/>
      <c r="Y10" s="7"/>
    </row>
    <row r="11" spans="1:25" s="8" customFormat="1" ht="27.9" customHeight="1">
      <c r="A11" s="33" t="s">
        <v>27</v>
      </c>
      <c r="B11" s="29" t="s">
        <v>13</v>
      </c>
      <c r="C11" s="14">
        <v>200764</v>
      </c>
      <c r="D11" s="14">
        <v>203819</v>
      </c>
      <c r="E11" s="14">
        <v>223368</v>
      </c>
      <c r="F11" s="14">
        <v>184848</v>
      </c>
      <c r="G11" s="21"/>
      <c r="H11" s="20"/>
      <c r="I11" s="23"/>
      <c r="J11" s="23"/>
      <c r="K11" s="23"/>
      <c r="L11" s="23"/>
      <c r="M11" s="23"/>
      <c r="N11" s="23"/>
      <c r="O11" s="23"/>
      <c r="P11" s="22"/>
      <c r="Q11" s="22"/>
      <c r="R11" s="22"/>
      <c r="S11" s="22"/>
      <c r="T11" s="7"/>
      <c r="U11" s="7"/>
      <c r="V11" s="7"/>
      <c r="W11" s="7"/>
      <c r="X11" s="7"/>
      <c r="Y11" s="7"/>
    </row>
    <row r="12" spans="1:25" s="8" customFormat="1" ht="27.9" customHeight="1">
      <c r="A12" s="33" t="s">
        <v>28</v>
      </c>
      <c r="B12" s="29" t="s">
        <v>14</v>
      </c>
      <c r="C12" s="14">
        <v>240092</v>
      </c>
      <c r="D12" s="14">
        <v>243620</v>
      </c>
      <c r="E12" s="14">
        <v>229910</v>
      </c>
      <c r="F12" s="14">
        <v>197124</v>
      </c>
      <c r="G12" s="23"/>
      <c r="H12" s="20"/>
      <c r="I12" s="23"/>
      <c r="J12" s="23"/>
      <c r="K12" s="23"/>
      <c r="L12" s="23"/>
      <c r="M12" s="23"/>
      <c r="N12" s="23"/>
      <c r="O12" s="23"/>
      <c r="P12" s="22"/>
      <c r="Q12" s="22"/>
      <c r="R12" s="22"/>
      <c r="S12" s="22"/>
      <c r="T12" s="7"/>
      <c r="U12" s="7"/>
      <c r="V12" s="7"/>
      <c r="W12" s="7"/>
      <c r="X12" s="7"/>
      <c r="Y12" s="7"/>
    </row>
    <row r="13" spans="1:25" s="8" customFormat="1" ht="27.9" customHeight="1">
      <c r="A13" s="33" t="s">
        <v>108</v>
      </c>
      <c r="B13" s="30" t="s">
        <v>109</v>
      </c>
      <c r="C13" s="14">
        <v>750</v>
      </c>
      <c r="D13" s="14">
        <v>750</v>
      </c>
      <c r="E13" s="14">
        <v>750</v>
      </c>
      <c r="F13" s="14">
        <v>750</v>
      </c>
      <c r="G13" s="23"/>
      <c r="H13" s="20"/>
      <c r="I13" s="23"/>
      <c r="J13" s="23"/>
      <c r="K13" s="23"/>
      <c r="L13" s="23"/>
      <c r="M13" s="23"/>
      <c r="N13" s="23"/>
      <c r="O13" s="23"/>
      <c r="P13" s="22"/>
      <c r="Q13" s="22"/>
      <c r="R13" s="22"/>
      <c r="S13" s="22"/>
      <c r="T13" s="7"/>
      <c r="U13" s="7"/>
      <c r="V13" s="7"/>
      <c r="W13" s="7"/>
      <c r="X13" s="7"/>
      <c r="Y13" s="7"/>
    </row>
    <row r="14" spans="1:25" s="3" customFormat="1" ht="27.9" customHeight="1">
      <c r="A14" s="33" t="s">
        <v>32</v>
      </c>
      <c r="B14" s="30" t="s">
        <v>18</v>
      </c>
      <c r="C14" s="14">
        <v>428235</v>
      </c>
      <c r="D14" s="14">
        <v>457650</v>
      </c>
      <c r="E14" s="14">
        <v>428198</v>
      </c>
      <c r="F14" s="14">
        <v>433624</v>
      </c>
      <c r="G14" s="15"/>
      <c r="H14" s="24"/>
      <c r="I14" s="25"/>
      <c r="J14" s="25"/>
      <c r="K14" s="24"/>
      <c r="L14" s="24"/>
      <c r="M14" s="24"/>
      <c r="N14" s="24"/>
      <c r="O14" s="24"/>
      <c r="P14" s="19"/>
      <c r="Q14" s="19"/>
      <c r="R14" s="19"/>
      <c r="S14" s="19"/>
      <c r="T14" s="4"/>
      <c r="U14" s="4"/>
      <c r="V14" s="4"/>
      <c r="W14" s="4"/>
      <c r="X14" s="4"/>
      <c r="Y14" s="4"/>
    </row>
    <row r="15" spans="1:25" ht="27.9" customHeight="1" thickBot="1">
      <c r="A15" s="33" t="s">
        <v>33</v>
      </c>
      <c r="B15" s="30" t="s">
        <v>19</v>
      </c>
      <c r="C15" s="14">
        <v>403032</v>
      </c>
      <c r="D15" s="14">
        <v>410954</v>
      </c>
      <c r="E15" s="14">
        <v>415709</v>
      </c>
      <c r="F15" s="14">
        <v>375905</v>
      </c>
      <c r="G15" s="24"/>
      <c r="H15" s="26"/>
      <c r="I15" s="19"/>
      <c r="P15" s="19"/>
      <c r="Q15" s="19"/>
      <c r="R15" s="19"/>
      <c r="S15" s="19"/>
      <c r="T15" s="4"/>
      <c r="U15" s="4"/>
      <c r="V15" s="4"/>
      <c r="W15" s="4"/>
      <c r="X15" s="4"/>
      <c r="Y15" s="4"/>
    </row>
    <row r="16" spans="1:25" ht="27.9" customHeight="1" thickTop="1" thickBot="1">
      <c r="A16" s="31"/>
      <c r="B16" s="32" t="s">
        <v>21</v>
      </c>
      <c r="C16" s="34">
        <f>SUM(C8:C15)</f>
        <v>1614837</v>
      </c>
      <c r="D16" s="34">
        <f>SUM(D8:D15)</f>
        <v>1608412</v>
      </c>
      <c r="E16" s="34">
        <f>SUM(E8:E15)</f>
        <v>1567158</v>
      </c>
      <c r="F16" s="34">
        <f>SUM(F8:F15)</f>
        <v>1588114</v>
      </c>
      <c r="H16" s="19"/>
      <c r="P16" s="19"/>
      <c r="Q16" s="19"/>
      <c r="R16" s="19"/>
      <c r="S16" s="19"/>
      <c r="T16" s="4"/>
      <c r="U16" s="4"/>
      <c r="V16" s="4"/>
      <c r="W16" s="4"/>
      <c r="X16" s="4"/>
      <c r="Y16" s="4"/>
    </row>
    <row r="17" spans="1:2" ht="21" thickTop="1">
      <c r="A17" s="44" t="s">
        <v>89</v>
      </c>
      <c r="B17" s="45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DA0C-42FC-4199-9844-EBA777B78822}">
  <sheetPr>
    <pageSetUpPr fitToPage="1"/>
  </sheetPr>
  <dimension ref="A1:Y15"/>
  <sheetViews>
    <sheetView view="pageBreakPreview" topLeftCell="A5" zoomScale="88" zoomScaleNormal="75" zoomScaleSheetLayoutView="88" workbookViewId="0">
      <selection activeCell="H10" sqref="H10"/>
    </sheetView>
  </sheetViews>
  <sheetFormatPr defaultRowHeight="13.2"/>
  <cols>
    <col min="1" max="1" width="17.5546875" customWidth="1"/>
    <col min="2" max="2" width="29.44140625" style="1" customWidth="1"/>
    <col min="3" max="6" width="18.6640625" customWidth="1"/>
    <col min="7" max="7" width="11.6640625" style="15" customWidth="1"/>
    <col min="8" max="8" width="12.88671875" style="15" bestFit="1" customWidth="1"/>
    <col min="9" max="9" width="11.109375" style="15" bestFit="1" customWidth="1"/>
    <col min="10" max="10" width="10.6640625" style="15" bestFit="1" customWidth="1"/>
    <col min="11" max="19" width="8.88671875" style="15"/>
    <col min="25" max="25" width="9.33203125" bestFit="1" customWidth="1"/>
  </cols>
  <sheetData>
    <row r="1" spans="1:25" ht="15" hidden="1" customHeight="1"/>
    <row r="2" spans="1:25" ht="22.8" hidden="1">
      <c r="B2" s="82" t="s">
        <v>5</v>
      </c>
      <c r="C2" s="82"/>
      <c r="D2" s="82"/>
      <c r="E2" s="82"/>
      <c r="F2" s="82"/>
    </row>
    <row r="3" spans="1:25" ht="22.8" hidden="1">
      <c r="B3" s="83" t="s">
        <v>4</v>
      </c>
      <c r="C3" s="83"/>
      <c r="D3" s="83"/>
      <c r="E3" s="83"/>
      <c r="F3" s="83"/>
    </row>
    <row r="4" spans="1:25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25" s="5" customFormat="1" ht="45" customHeight="1" thickBot="1">
      <c r="A5" s="48"/>
      <c r="B5" s="48"/>
      <c r="C5" s="48"/>
      <c r="D5" s="48"/>
      <c r="E5" s="48"/>
      <c r="F5" s="27" t="s">
        <v>6</v>
      </c>
      <c r="G5" s="17"/>
      <c r="H5" s="17"/>
      <c r="I5" s="17"/>
      <c r="J5" s="17"/>
      <c r="K5" s="17"/>
      <c r="L5" s="16"/>
      <c r="M5" s="16"/>
      <c r="N5" s="16"/>
      <c r="O5" s="16"/>
      <c r="P5" s="16"/>
      <c r="Q5" s="16"/>
      <c r="R5" s="16"/>
      <c r="S5" s="16"/>
    </row>
    <row r="6" spans="1:25" ht="25.5" customHeight="1" thickTop="1" thickBot="1">
      <c r="B6"/>
      <c r="C6" s="2" t="s">
        <v>0</v>
      </c>
      <c r="D6" s="2" t="s">
        <v>1</v>
      </c>
      <c r="E6" s="2" t="s">
        <v>2</v>
      </c>
      <c r="F6" s="6" t="s">
        <v>3</v>
      </c>
      <c r="I6" s="18"/>
    </row>
    <row r="7" spans="1:25" ht="36" customHeight="1" thickTop="1" thickBot="1">
      <c r="A7" s="11"/>
      <c r="B7" s="13"/>
      <c r="C7" s="35" t="s">
        <v>115</v>
      </c>
      <c r="D7" s="35" t="s">
        <v>116</v>
      </c>
      <c r="E7" s="35" t="s">
        <v>117</v>
      </c>
      <c r="F7" s="35" t="s">
        <v>113</v>
      </c>
    </row>
    <row r="8" spans="1:25" s="9" customFormat="1" ht="27.9" customHeight="1" thickTop="1">
      <c r="A8" s="33" t="s">
        <v>23</v>
      </c>
      <c r="B8" s="30" t="s">
        <v>9</v>
      </c>
      <c r="C8" s="14">
        <v>127195</v>
      </c>
      <c r="D8" s="14">
        <v>89297</v>
      </c>
      <c r="E8" s="14">
        <v>40191</v>
      </c>
      <c r="F8" s="14">
        <v>264320</v>
      </c>
      <c r="G8" s="19"/>
      <c r="H8" s="20"/>
      <c r="I8" s="21"/>
      <c r="J8" s="21"/>
      <c r="K8" s="21"/>
      <c r="L8" s="21"/>
      <c r="M8" s="21"/>
      <c r="N8" s="21"/>
      <c r="O8" s="21"/>
      <c r="P8" s="20"/>
      <c r="Q8" s="20"/>
      <c r="R8" s="20"/>
      <c r="S8" s="20"/>
      <c r="T8" s="10"/>
      <c r="U8" s="10"/>
      <c r="V8" s="10"/>
      <c r="W8" s="10"/>
      <c r="X8" s="10"/>
      <c r="Y8" s="10"/>
    </row>
    <row r="9" spans="1:25" s="8" customFormat="1" ht="27.9" customHeight="1">
      <c r="A9" s="33" t="s">
        <v>24</v>
      </c>
      <c r="B9" s="29" t="s">
        <v>10</v>
      </c>
      <c r="C9" s="14">
        <v>265387</v>
      </c>
      <c r="D9" s="14">
        <v>173281</v>
      </c>
      <c r="E9" s="14">
        <v>101203</v>
      </c>
      <c r="F9" s="14">
        <v>122625</v>
      </c>
      <c r="G9" s="20"/>
      <c r="H9" s="23"/>
      <c r="I9" s="23"/>
      <c r="J9" s="23"/>
      <c r="K9" s="23"/>
      <c r="L9" s="23"/>
      <c r="M9" s="23"/>
      <c r="N9" s="23"/>
      <c r="O9" s="23"/>
      <c r="P9" s="22"/>
      <c r="Q9" s="22"/>
      <c r="R9" s="22"/>
      <c r="S9" s="22"/>
      <c r="T9" s="7"/>
      <c r="U9" s="7"/>
      <c r="V9" s="7"/>
      <c r="W9" s="7"/>
      <c r="X9" s="7"/>
      <c r="Y9" s="7"/>
    </row>
    <row r="10" spans="1:25" s="8" customFormat="1" ht="27.9" customHeight="1">
      <c r="A10" s="33" t="s">
        <v>27</v>
      </c>
      <c r="B10" s="29" t="s">
        <v>13</v>
      </c>
      <c r="C10" s="14">
        <v>136448</v>
      </c>
      <c r="D10" s="14">
        <v>64011</v>
      </c>
      <c r="E10" s="14">
        <v>0</v>
      </c>
      <c r="F10" s="14">
        <v>0</v>
      </c>
      <c r="G10" s="21"/>
      <c r="H10" s="20"/>
      <c r="I10" s="23"/>
      <c r="J10" s="23"/>
      <c r="K10" s="23"/>
      <c r="L10" s="23"/>
      <c r="M10" s="23"/>
      <c r="N10" s="23"/>
      <c r="O10" s="23"/>
      <c r="P10" s="22"/>
      <c r="Q10" s="22"/>
      <c r="R10" s="22"/>
      <c r="S10" s="22"/>
      <c r="T10" s="7"/>
      <c r="U10" s="7"/>
      <c r="V10" s="7"/>
      <c r="W10" s="7"/>
      <c r="X10" s="7"/>
      <c r="Y10" s="7"/>
    </row>
    <row r="11" spans="1:25" s="8" customFormat="1" ht="27.9" customHeight="1">
      <c r="A11" s="33" t="s">
        <v>28</v>
      </c>
      <c r="B11" s="29" t="s">
        <v>14</v>
      </c>
      <c r="C11" s="14">
        <v>181194</v>
      </c>
      <c r="D11" s="14">
        <v>228764</v>
      </c>
      <c r="E11" s="14">
        <v>332460</v>
      </c>
      <c r="F11" s="14">
        <v>307114</v>
      </c>
      <c r="G11" s="23"/>
      <c r="H11" s="20"/>
      <c r="I11" s="23"/>
      <c r="J11" s="23"/>
      <c r="K11" s="23"/>
      <c r="L11" s="23"/>
      <c r="M11" s="23"/>
      <c r="N11" s="23"/>
      <c r="O11" s="23"/>
      <c r="P11" s="22"/>
      <c r="Q11" s="22"/>
      <c r="R11" s="22"/>
      <c r="S11" s="22"/>
      <c r="T11" s="7"/>
      <c r="U11" s="7"/>
      <c r="V11" s="7"/>
      <c r="W11" s="7"/>
      <c r="X11" s="7"/>
      <c r="Y11" s="7"/>
    </row>
    <row r="12" spans="1:25" s="3" customFormat="1" ht="27.9" customHeight="1">
      <c r="A12" s="33" t="s">
        <v>32</v>
      </c>
      <c r="B12" s="30" t="s">
        <v>18</v>
      </c>
      <c r="C12" s="14">
        <v>268875</v>
      </c>
      <c r="D12" s="14">
        <v>157908</v>
      </c>
      <c r="E12" s="14">
        <v>67155</v>
      </c>
      <c r="F12" s="14">
        <v>0</v>
      </c>
      <c r="G12" s="15"/>
      <c r="H12" s="24"/>
      <c r="I12" s="25"/>
      <c r="J12" s="25"/>
      <c r="K12" s="24"/>
      <c r="L12" s="24"/>
      <c r="M12" s="24"/>
      <c r="N12" s="24"/>
      <c r="O12" s="24"/>
      <c r="P12" s="19"/>
      <c r="Q12" s="19"/>
      <c r="R12" s="19"/>
      <c r="S12" s="19"/>
      <c r="T12" s="4"/>
      <c r="U12" s="4"/>
      <c r="V12" s="4"/>
      <c r="W12" s="4"/>
      <c r="X12" s="4"/>
      <c r="Y12" s="4"/>
    </row>
    <row r="13" spans="1:25" ht="27.9" customHeight="1" thickBot="1">
      <c r="A13" s="33" t="s">
        <v>33</v>
      </c>
      <c r="B13" s="30" t="s">
        <v>19</v>
      </c>
      <c r="C13" s="14">
        <v>538126</v>
      </c>
      <c r="D13" s="14">
        <v>729642</v>
      </c>
      <c r="E13" s="14">
        <v>833454</v>
      </c>
      <c r="F13" s="14">
        <v>824599</v>
      </c>
      <c r="G13" s="24"/>
      <c r="H13" s="26"/>
      <c r="I13" s="19"/>
      <c r="P13" s="19"/>
      <c r="Q13" s="19"/>
      <c r="R13" s="19"/>
      <c r="S13" s="19"/>
      <c r="T13" s="4"/>
      <c r="U13" s="4"/>
      <c r="V13" s="4"/>
      <c r="W13" s="4"/>
      <c r="X13" s="4"/>
      <c r="Y13" s="4"/>
    </row>
    <row r="14" spans="1:25" ht="27.9" customHeight="1" thickTop="1" thickBot="1">
      <c r="A14" s="31"/>
      <c r="B14" s="32" t="s">
        <v>21</v>
      </c>
      <c r="C14" s="34">
        <f>SUM(C8:C13)</f>
        <v>1517225</v>
      </c>
      <c r="D14" s="34">
        <f>SUM(D8:D13)</f>
        <v>1442903</v>
      </c>
      <c r="E14" s="34">
        <f>SUM(E8:E13)</f>
        <v>1374463</v>
      </c>
      <c r="F14" s="34">
        <f>SUM(F8:F13)</f>
        <v>1518658</v>
      </c>
      <c r="H14" s="19"/>
      <c r="P14" s="19"/>
      <c r="Q14" s="19"/>
      <c r="R14" s="19"/>
      <c r="S14" s="19"/>
      <c r="T14" s="4"/>
      <c r="U14" s="4"/>
      <c r="V14" s="4"/>
      <c r="W14" s="4"/>
      <c r="X14" s="4"/>
      <c r="Y14" s="4"/>
    </row>
    <row r="15" spans="1:25" ht="21" thickTop="1">
      <c r="A15" s="44" t="s">
        <v>89</v>
      </c>
      <c r="B15" s="45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DEAE-D57D-415C-B34B-5B4B0755C436}">
  <sheetPr>
    <pageSetUpPr fitToPage="1"/>
  </sheetPr>
  <dimension ref="A1:W17"/>
  <sheetViews>
    <sheetView view="pageBreakPreview" topLeftCell="A4" zoomScale="88" zoomScaleNormal="75" zoomScaleSheetLayoutView="88" workbookViewId="0">
      <selection activeCell="E7" sqref="E7"/>
    </sheetView>
  </sheetViews>
  <sheetFormatPr defaultRowHeight="13.2"/>
  <cols>
    <col min="1" max="1" width="17.5546875" customWidth="1"/>
    <col min="2" max="2" width="29.44140625" style="1" customWidth="1"/>
    <col min="3" max="4" width="18.6640625" customWidth="1"/>
    <col min="5" max="6" width="18.6640625" style="15" customWidth="1"/>
    <col min="7" max="7" width="11.109375" style="15" bestFit="1" customWidth="1"/>
    <col min="8" max="8" width="10.6640625" style="15" bestFit="1" customWidth="1"/>
    <col min="9" max="17" width="8.88671875" style="15"/>
    <col min="23" max="23" width="9.33203125" bestFit="1" customWidth="1"/>
  </cols>
  <sheetData>
    <row r="1" spans="1:23" ht="15" hidden="1" customHeight="1"/>
    <row r="2" spans="1:23" ht="22.8" hidden="1">
      <c r="B2" s="82" t="s">
        <v>5</v>
      </c>
      <c r="C2" s="82"/>
      <c r="D2" s="82"/>
    </row>
    <row r="3" spans="1:23" ht="22.8" hidden="1">
      <c r="B3" s="83" t="s">
        <v>4</v>
      </c>
      <c r="C3" s="83"/>
      <c r="D3" s="83"/>
    </row>
    <row r="4" spans="1:23" s="5" customFormat="1" ht="45" customHeight="1">
      <c r="A4" s="84" t="s">
        <v>7</v>
      </c>
      <c r="B4" s="84"/>
      <c r="C4" s="84"/>
      <c r="D4" s="84"/>
      <c r="E4" s="84"/>
      <c r="F4" s="8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23" s="5" customFormat="1" ht="45" customHeight="1" thickBot="1">
      <c r="A5" s="48"/>
      <c r="B5" s="48"/>
      <c r="C5" s="48"/>
      <c r="E5" s="17"/>
      <c r="F5" s="27" t="s">
        <v>6</v>
      </c>
      <c r="G5" s="17"/>
      <c r="H5" s="17"/>
      <c r="I5" s="17"/>
      <c r="J5" s="16"/>
      <c r="K5" s="16"/>
      <c r="L5" s="16"/>
      <c r="M5" s="16"/>
      <c r="N5" s="16"/>
      <c r="O5" s="16"/>
      <c r="P5" s="16"/>
      <c r="Q5" s="16"/>
    </row>
    <row r="6" spans="1:23" ht="25.5" customHeight="1" thickTop="1" thickBot="1">
      <c r="B6"/>
      <c r="C6" s="2" t="s">
        <v>0</v>
      </c>
      <c r="D6" s="2" t="s">
        <v>1</v>
      </c>
      <c r="E6" s="2" t="s">
        <v>2</v>
      </c>
      <c r="F6" s="2" t="s">
        <v>3</v>
      </c>
      <c r="G6" s="18"/>
    </row>
    <row r="7" spans="1:23" ht="36" customHeight="1" thickTop="1" thickBot="1">
      <c r="A7" s="11"/>
      <c r="B7" s="13"/>
      <c r="C7" s="35" t="s">
        <v>118</v>
      </c>
      <c r="D7" s="35" t="s">
        <v>119</v>
      </c>
      <c r="E7" s="35" t="s">
        <v>122</v>
      </c>
      <c r="F7" s="35" t="s">
        <v>123</v>
      </c>
    </row>
    <row r="8" spans="1:23" s="9" customFormat="1" ht="27.9" customHeight="1" thickTop="1">
      <c r="A8" s="33" t="s">
        <v>23</v>
      </c>
      <c r="B8" s="30" t="s">
        <v>9</v>
      </c>
      <c r="C8" s="14">
        <v>458635</v>
      </c>
      <c r="D8" s="14">
        <v>456601</v>
      </c>
      <c r="E8" s="14">
        <v>369892</v>
      </c>
      <c r="F8" s="14">
        <v>378796</v>
      </c>
      <c r="G8" s="21"/>
      <c r="H8" s="21"/>
      <c r="I8" s="21"/>
      <c r="J8" s="21"/>
      <c r="K8" s="21"/>
      <c r="L8" s="21"/>
      <c r="M8" s="21"/>
      <c r="N8" s="20"/>
      <c r="O8" s="20"/>
      <c r="P8" s="20"/>
      <c r="Q8" s="20"/>
      <c r="R8" s="10"/>
      <c r="S8" s="10"/>
      <c r="T8" s="10"/>
      <c r="U8" s="10"/>
      <c r="V8" s="10"/>
      <c r="W8" s="10"/>
    </row>
    <row r="9" spans="1:23" s="8" customFormat="1" ht="27.9" customHeight="1">
      <c r="A9" s="33" t="s">
        <v>24</v>
      </c>
      <c r="B9" s="29" t="s">
        <v>10</v>
      </c>
      <c r="C9" s="14">
        <v>278095</v>
      </c>
      <c r="D9" s="14">
        <v>377821</v>
      </c>
      <c r="E9" s="14">
        <v>429443</v>
      </c>
      <c r="F9" s="14">
        <v>481209</v>
      </c>
      <c r="G9" s="23"/>
      <c r="H9" s="23"/>
      <c r="I9" s="23"/>
      <c r="J9" s="23"/>
      <c r="K9" s="23"/>
      <c r="L9" s="23"/>
      <c r="M9" s="23"/>
      <c r="N9" s="22"/>
      <c r="O9" s="22"/>
      <c r="P9" s="22"/>
      <c r="Q9" s="22"/>
      <c r="R9" s="7"/>
      <c r="S9" s="7"/>
      <c r="T9" s="7"/>
      <c r="U9" s="7"/>
      <c r="V9" s="7"/>
      <c r="W9" s="7"/>
    </row>
    <row r="10" spans="1:23" s="8" customFormat="1" ht="27.9" customHeight="1">
      <c r="A10" s="33" t="s">
        <v>27</v>
      </c>
      <c r="B10" s="29" t="s">
        <v>13</v>
      </c>
      <c r="C10" s="14">
        <v>0</v>
      </c>
      <c r="D10" s="14">
        <v>0</v>
      </c>
      <c r="E10" s="14">
        <v>1000</v>
      </c>
      <c r="F10" s="14">
        <v>1000</v>
      </c>
      <c r="G10" s="23"/>
      <c r="H10" s="23"/>
      <c r="I10" s="23"/>
      <c r="J10" s="23"/>
      <c r="K10" s="23"/>
      <c r="L10" s="23"/>
      <c r="M10" s="23"/>
      <c r="N10" s="22"/>
      <c r="O10" s="22"/>
      <c r="P10" s="22"/>
      <c r="Q10" s="22"/>
      <c r="R10" s="7"/>
      <c r="S10" s="7"/>
      <c r="T10" s="7"/>
      <c r="U10" s="7"/>
      <c r="V10" s="7"/>
      <c r="W10" s="7"/>
    </row>
    <row r="11" spans="1:23" s="8" customFormat="1" ht="27.9" customHeight="1">
      <c r="A11" s="33" t="s">
        <v>28</v>
      </c>
      <c r="B11" s="29" t="s">
        <v>14</v>
      </c>
      <c r="C11" s="14">
        <v>221868</v>
      </c>
      <c r="D11" s="14">
        <v>137310</v>
      </c>
      <c r="E11" s="14">
        <v>203707</v>
      </c>
      <c r="F11" s="14">
        <v>218286</v>
      </c>
      <c r="G11" s="23"/>
      <c r="H11" s="23"/>
      <c r="I11" s="23"/>
      <c r="J11" s="23"/>
      <c r="K11" s="23"/>
      <c r="L11" s="23"/>
      <c r="M11" s="23"/>
      <c r="N11" s="22"/>
      <c r="O11" s="22"/>
      <c r="P11" s="22"/>
      <c r="Q11" s="22"/>
      <c r="R11" s="7"/>
      <c r="S11" s="7"/>
      <c r="T11" s="7"/>
      <c r="U11" s="7"/>
      <c r="V11" s="7"/>
      <c r="W11" s="7"/>
    </row>
    <row r="12" spans="1:23" s="8" customFormat="1" ht="27.9" customHeight="1">
      <c r="A12" s="33" t="s">
        <v>124</v>
      </c>
      <c r="B12" s="29" t="s">
        <v>125</v>
      </c>
      <c r="C12" s="14">
        <v>0</v>
      </c>
      <c r="D12" s="14">
        <v>0</v>
      </c>
      <c r="E12" s="14">
        <v>0</v>
      </c>
      <c r="F12" s="14">
        <v>14274</v>
      </c>
      <c r="G12" s="23"/>
      <c r="H12" s="23"/>
      <c r="I12" s="23"/>
      <c r="J12" s="23"/>
      <c r="K12" s="23"/>
      <c r="L12" s="23"/>
      <c r="M12" s="23"/>
      <c r="N12" s="22"/>
      <c r="O12" s="22"/>
      <c r="P12" s="22"/>
      <c r="Q12" s="22"/>
      <c r="R12" s="7"/>
      <c r="S12" s="7"/>
      <c r="T12" s="7"/>
      <c r="U12" s="7"/>
      <c r="V12" s="7"/>
      <c r="W12" s="7"/>
    </row>
    <row r="13" spans="1:23" s="3" customFormat="1" ht="27.9" customHeight="1">
      <c r="A13" s="33" t="s">
        <v>32</v>
      </c>
      <c r="B13" s="30" t="s">
        <v>18</v>
      </c>
      <c r="C13" s="14">
        <v>0</v>
      </c>
      <c r="D13" s="14">
        <v>0</v>
      </c>
      <c r="E13" s="14">
        <v>30478</v>
      </c>
      <c r="F13" s="14">
        <v>30478</v>
      </c>
      <c r="G13" s="25"/>
      <c r="H13" s="25"/>
      <c r="I13" s="24"/>
      <c r="J13" s="24"/>
      <c r="K13" s="24"/>
      <c r="L13" s="24"/>
      <c r="M13" s="24"/>
      <c r="N13" s="19"/>
      <c r="O13" s="19"/>
      <c r="P13" s="19"/>
      <c r="Q13" s="19"/>
      <c r="R13" s="4"/>
      <c r="S13" s="4"/>
      <c r="T13" s="4"/>
      <c r="U13" s="4"/>
      <c r="V13" s="4"/>
      <c r="W13" s="4"/>
    </row>
    <row r="14" spans="1:23" s="3" customFormat="1" ht="27.9" customHeight="1">
      <c r="A14" s="33" t="s">
        <v>128</v>
      </c>
      <c r="B14" s="30" t="s">
        <v>127</v>
      </c>
      <c r="C14" s="14">
        <v>0</v>
      </c>
      <c r="D14" s="14">
        <v>0</v>
      </c>
      <c r="E14" s="14">
        <v>0</v>
      </c>
      <c r="F14" s="14">
        <v>14699</v>
      </c>
      <c r="G14" s="25"/>
      <c r="H14" s="25"/>
      <c r="I14" s="24"/>
      <c r="J14" s="24"/>
      <c r="K14" s="24"/>
      <c r="L14" s="24"/>
      <c r="M14" s="24"/>
      <c r="N14" s="19"/>
      <c r="O14" s="19"/>
      <c r="P14" s="19"/>
      <c r="Q14" s="19"/>
      <c r="R14" s="4"/>
      <c r="S14" s="4"/>
      <c r="T14" s="4"/>
      <c r="U14" s="4"/>
      <c r="V14" s="4"/>
      <c r="W14" s="4"/>
    </row>
    <row r="15" spans="1:23" ht="27.9" customHeight="1" thickBot="1">
      <c r="A15" s="33" t="s">
        <v>33</v>
      </c>
      <c r="B15" s="30" t="s">
        <v>19</v>
      </c>
      <c r="C15" s="14">
        <v>747469</v>
      </c>
      <c r="D15" s="14">
        <v>755302</v>
      </c>
      <c r="E15" s="14">
        <v>927326</v>
      </c>
      <c r="F15" s="14">
        <v>1037387</v>
      </c>
      <c r="G15" s="19"/>
      <c r="N15" s="19"/>
      <c r="O15" s="19"/>
      <c r="P15" s="19"/>
      <c r="Q15" s="19"/>
      <c r="R15" s="4"/>
      <c r="S15" s="4"/>
      <c r="T15" s="4"/>
      <c r="U15" s="4"/>
      <c r="V15" s="4"/>
      <c r="W15" s="4"/>
    </row>
    <row r="16" spans="1:23" ht="27.9" customHeight="1" thickTop="1" thickBot="1">
      <c r="A16" s="31"/>
      <c r="B16" s="32" t="s">
        <v>21</v>
      </c>
      <c r="C16" s="34">
        <f>SUM(C8:C15)</f>
        <v>1706067</v>
      </c>
      <c r="D16" s="34">
        <f>SUM(D8:D15)</f>
        <v>1727034</v>
      </c>
      <c r="E16" s="34">
        <f>SUM(E8:E15)</f>
        <v>1961846</v>
      </c>
      <c r="F16" s="34">
        <f>SUM(F8:F15)</f>
        <v>2176129</v>
      </c>
      <c r="N16" s="19"/>
      <c r="O16" s="19"/>
      <c r="P16" s="19"/>
      <c r="Q16" s="19"/>
      <c r="R16" s="4"/>
      <c r="S16" s="4"/>
      <c r="T16" s="4"/>
      <c r="U16" s="4"/>
      <c r="V16" s="4"/>
      <c r="W16" s="4"/>
    </row>
    <row r="17" spans="1:2" ht="21" thickTop="1">
      <c r="A17" s="44" t="s">
        <v>89</v>
      </c>
      <c r="B17" s="45"/>
    </row>
  </sheetData>
  <mergeCells count="3">
    <mergeCell ref="B2:D2"/>
    <mergeCell ref="B3:D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28CD-ED5F-4956-BC2B-E01804E8CDB8}">
  <sheetPr>
    <pageSetUpPr fitToPage="1"/>
  </sheetPr>
  <dimension ref="A1:U30"/>
  <sheetViews>
    <sheetView view="pageBreakPreview" topLeftCell="A7" zoomScale="70" zoomScaleNormal="75" zoomScaleSheetLayoutView="70" workbookViewId="0">
      <selection activeCell="D18" sqref="D18"/>
    </sheetView>
  </sheetViews>
  <sheetFormatPr defaultColWidth="9.88671875" defaultRowHeight="13.2"/>
  <cols>
    <col min="1" max="1" width="17.6640625" style="49" customWidth="1"/>
    <col min="2" max="2" width="29.33203125" style="50" customWidth="1"/>
    <col min="3" max="6" width="23" style="49" customWidth="1"/>
    <col min="7" max="20" width="9.88671875" style="49"/>
    <col min="21" max="21" width="9.33203125" style="49" bestFit="1" customWidth="1"/>
    <col min="22" max="16384" width="9.88671875" style="49"/>
  </cols>
  <sheetData>
    <row r="1" spans="1:21" ht="15" hidden="1" customHeight="1"/>
    <row r="2" spans="1:21" ht="22.8" hidden="1">
      <c r="B2" s="85" t="s">
        <v>5</v>
      </c>
      <c r="C2" s="85"/>
      <c r="D2" s="85"/>
    </row>
    <row r="3" spans="1:21" ht="22.8" hidden="1">
      <c r="B3" s="86" t="s">
        <v>4</v>
      </c>
      <c r="C3" s="86"/>
      <c r="D3" s="86"/>
    </row>
    <row r="4" spans="1:21" ht="45" customHeight="1">
      <c r="A4" s="87" t="s">
        <v>7</v>
      </c>
      <c r="B4" s="87"/>
      <c r="C4" s="87"/>
      <c r="D4" s="87"/>
      <c r="E4" s="87"/>
      <c r="F4" s="87"/>
    </row>
    <row r="5" spans="1:21" ht="45" customHeight="1" thickBot="1">
      <c r="A5" s="81"/>
      <c r="B5" s="81"/>
      <c r="C5" s="81"/>
      <c r="F5" s="51" t="s">
        <v>6</v>
      </c>
      <c r="G5" s="52"/>
    </row>
    <row r="6" spans="1:21" ht="25.5" customHeight="1" thickTop="1" thickBot="1">
      <c r="B6" s="49"/>
      <c r="C6" s="53" t="s">
        <v>0</v>
      </c>
      <c r="D6" s="53" t="s">
        <v>1</v>
      </c>
      <c r="E6" s="54" t="s">
        <v>2</v>
      </c>
      <c r="F6" s="53" t="s">
        <v>3</v>
      </c>
    </row>
    <row r="7" spans="1:21" ht="36" customHeight="1" thickTop="1" thickBot="1">
      <c r="A7" s="55"/>
      <c r="B7" s="56"/>
      <c r="C7" s="57" t="s">
        <v>129</v>
      </c>
      <c r="D7" s="57" t="s">
        <v>130</v>
      </c>
      <c r="E7" s="58" t="s">
        <v>137</v>
      </c>
      <c r="F7" s="57" t="s">
        <v>153</v>
      </c>
    </row>
    <row r="8" spans="1:21" ht="36" customHeight="1" thickTop="1">
      <c r="A8" s="59" t="s">
        <v>138</v>
      </c>
      <c r="B8" s="60" t="s">
        <v>139</v>
      </c>
      <c r="C8" s="61">
        <v>0</v>
      </c>
      <c r="D8" s="61">
        <v>0</v>
      </c>
      <c r="E8" s="62">
        <v>6810</v>
      </c>
      <c r="F8" s="63">
        <v>0</v>
      </c>
    </row>
    <row r="9" spans="1:21" s="64" customFormat="1" ht="27.9" customHeight="1">
      <c r="A9" s="59" t="s">
        <v>23</v>
      </c>
      <c r="B9" s="60" t="s">
        <v>9</v>
      </c>
      <c r="C9" s="61">
        <v>632209</v>
      </c>
      <c r="D9" s="61">
        <v>872639</v>
      </c>
      <c r="E9" s="61">
        <v>946320</v>
      </c>
      <c r="F9" s="63">
        <v>441926</v>
      </c>
      <c r="L9" s="65"/>
      <c r="M9" s="65"/>
      <c r="N9" s="65"/>
      <c r="O9" s="65"/>
      <c r="P9" s="65"/>
      <c r="Q9" s="65"/>
      <c r="R9" s="65"/>
      <c r="S9" s="65"/>
      <c r="T9" s="65"/>
      <c r="U9" s="65"/>
    </row>
    <row r="10" spans="1:21" s="64" customFormat="1" ht="27.9" customHeight="1">
      <c r="A10" s="59" t="s">
        <v>140</v>
      </c>
      <c r="B10" s="66" t="s">
        <v>141</v>
      </c>
      <c r="C10" s="61">
        <v>0</v>
      </c>
      <c r="D10" s="61">
        <v>0</v>
      </c>
      <c r="E10" s="61">
        <v>10000</v>
      </c>
      <c r="F10" s="63">
        <v>10000</v>
      </c>
      <c r="L10" s="65"/>
      <c r="M10" s="65"/>
      <c r="N10" s="65"/>
      <c r="O10" s="65"/>
      <c r="P10" s="65"/>
      <c r="Q10" s="65"/>
      <c r="R10" s="65"/>
      <c r="S10" s="65"/>
      <c r="T10" s="65"/>
      <c r="U10" s="65"/>
    </row>
    <row r="11" spans="1:21" s="67" customFormat="1" ht="27.9" customHeight="1">
      <c r="A11" s="59" t="s">
        <v>24</v>
      </c>
      <c r="B11" s="66" t="s">
        <v>10</v>
      </c>
      <c r="C11" s="61">
        <v>564504</v>
      </c>
      <c r="D11" s="61">
        <v>395298</v>
      </c>
      <c r="E11" s="61">
        <v>271149</v>
      </c>
      <c r="F11" s="63">
        <v>377458</v>
      </c>
      <c r="L11" s="68"/>
      <c r="M11" s="68"/>
      <c r="N11" s="68"/>
      <c r="O11" s="68"/>
      <c r="P11" s="68"/>
      <c r="Q11" s="68"/>
      <c r="R11" s="68"/>
      <c r="S11" s="68"/>
      <c r="T11" s="68"/>
      <c r="U11" s="68"/>
    </row>
    <row r="12" spans="1:21" s="67" customFormat="1" ht="27.9" customHeight="1">
      <c r="A12" s="59" t="s">
        <v>131</v>
      </c>
      <c r="B12" s="66" t="s">
        <v>132</v>
      </c>
      <c r="C12" s="61">
        <v>20000</v>
      </c>
      <c r="D12" s="61">
        <v>20000</v>
      </c>
      <c r="E12" s="61">
        <v>0</v>
      </c>
      <c r="F12" s="63">
        <v>0</v>
      </c>
      <c r="L12" s="68"/>
      <c r="M12" s="68"/>
      <c r="N12" s="68"/>
      <c r="O12" s="68"/>
      <c r="P12" s="68"/>
      <c r="Q12" s="68"/>
      <c r="R12" s="68"/>
      <c r="S12" s="68"/>
      <c r="T12" s="68"/>
      <c r="U12" s="68"/>
    </row>
    <row r="13" spans="1:21" s="67" customFormat="1" ht="27.9" customHeight="1">
      <c r="A13" s="59" t="s">
        <v>133</v>
      </c>
      <c r="B13" s="66" t="s">
        <v>134</v>
      </c>
      <c r="C13" s="61">
        <v>0</v>
      </c>
      <c r="D13" s="61">
        <v>50000</v>
      </c>
      <c r="E13" s="61">
        <v>50000</v>
      </c>
      <c r="F13" s="63">
        <v>50000</v>
      </c>
      <c r="L13" s="68"/>
      <c r="M13" s="68"/>
      <c r="N13" s="68"/>
      <c r="O13" s="68"/>
      <c r="P13" s="68"/>
      <c r="Q13" s="68"/>
      <c r="R13" s="68"/>
      <c r="S13" s="68"/>
      <c r="T13" s="68"/>
      <c r="U13" s="68"/>
    </row>
    <row r="14" spans="1:21" s="67" customFormat="1" ht="27.9" customHeight="1">
      <c r="A14" s="59" t="s">
        <v>143</v>
      </c>
      <c r="B14" s="66" t="s">
        <v>142</v>
      </c>
      <c r="C14" s="61">
        <v>0</v>
      </c>
      <c r="D14" s="61">
        <v>0</v>
      </c>
      <c r="E14" s="61">
        <v>21000</v>
      </c>
      <c r="F14" s="63">
        <v>21000</v>
      </c>
      <c r="L14" s="68"/>
      <c r="M14" s="68"/>
      <c r="N14" s="68"/>
      <c r="O14" s="68"/>
      <c r="P14" s="68"/>
      <c r="Q14" s="68"/>
      <c r="R14" s="68"/>
      <c r="S14" s="68"/>
      <c r="T14" s="68"/>
      <c r="U14" s="68"/>
    </row>
    <row r="15" spans="1:21" s="67" customFormat="1" ht="27.9" customHeight="1">
      <c r="A15" s="59" t="s">
        <v>27</v>
      </c>
      <c r="B15" s="66" t="s">
        <v>13</v>
      </c>
      <c r="C15" s="61">
        <v>1000</v>
      </c>
      <c r="D15" s="61">
        <v>0</v>
      </c>
      <c r="E15" s="61">
        <v>0</v>
      </c>
      <c r="F15" s="63">
        <v>0</v>
      </c>
      <c r="L15" s="68"/>
      <c r="M15" s="68"/>
      <c r="N15" s="68"/>
      <c r="O15" s="68"/>
      <c r="P15" s="68"/>
      <c r="Q15" s="68"/>
      <c r="R15" s="68"/>
      <c r="S15" s="68"/>
      <c r="T15" s="68"/>
      <c r="U15" s="68"/>
    </row>
    <row r="16" spans="1:21" s="67" customFormat="1" ht="27.9" customHeight="1">
      <c r="A16" s="59" t="s">
        <v>154</v>
      </c>
      <c r="B16" s="66" t="s">
        <v>155</v>
      </c>
      <c r="C16" s="61">
        <v>0</v>
      </c>
      <c r="D16" s="61">
        <v>0</v>
      </c>
      <c r="E16" s="61">
        <v>0</v>
      </c>
      <c r="F16" s="63">
        <v>8400</v>
      </c>
      <c r="L16" s="68"/>
      <c r="M16" s="68"/>
      <c r="N16" s="68"/>
      <c r="O16" s="68"/>
      <c r="P16" s="68"/>
      <c r="Q16" s="68"/>
      <c r="R16" s="68"/>
      <c r="S16" s="68"/>
      <c r="T16" s="68"/>
      <c r="U16" s="68"/>
    </row>
    <row r="17" spans="1:21" s="67" customFormat="1" ht="27.9" customHeight="1">
      <c r="A17" s="59" t="s">
        <v>28</v>
      </c>
      <c r="B17" s="66" t="s">
        <v>14</v>
      </c>
      <c r="C17" s="61">
        <v>198612</v>
      </c>
      <c r="D17" s="61">
        <v>209796</v>
      </c>
      <c r="E17" s="61">
        <v>491399</v>
      </c>
      <c r="F17" s="63">
        <v>560810</v>
      </c>
      <c r="L17" s="68"/>
      <c r="M17" s="68"/>
      <c r="N17" s="68"/>
      <c r="O17" s="68"/>
      <c r="P17" s="68"/>
      <c r="Q17" s="68"/>
      <c r="R17" s="68"/>
      <c r="S17" s="68"/>
      <c r="T17" s="68"/>
      <c r="U17" s="68"/>
    </row>
    <row r="18" spans="1:21" s="67" customFormat="1" ht="27.9" customHeight="1">
      <c r="A18" s="59" t="s">
        <v>144</v>
      </c>
      <c r="B18" s="66" t="s">
        <v>216</v>
      </c>
      <c r="C18" s="61">
        <v>0</v>
      </c>
      <c r="D18" s="61">
        <v>0</v>
      </c>
      <c r="E18" s="61">
        <v>18532</v>
      </c>
      <c r="F18" s="63">
        <v>18532</v>
      </c>
      <c r="L18" s="68"/>
      <c r="M18" s="68"/>
      <c r="N18" s="68"/>
      <c r="O18" s="68"/>
      <c r="P18" s="68"/>
      <c r="Q18" s="68"/>
      <c r="R18" s="68"/>
      <c r="S18" s="68"/>
      <c r="T18" s="68"/>
      <c r="U18" s="68"/>
    </row>
    <row r="19" spans="1:21" s="67" customFormat="1" ht="27.9" customHeight="1">
      <c r="A19" s="59" t="s">
        <v>124</v>
      </c>
      <c r="B19" s="60" t="s">
        <v>125</v>
      </c>
      <c r="C19" s="61">
        <v>14274</v>
      </c>
      <c r="D19" s="61">
        <v>14274</v>
      </c>
      <c r="E19" s="61">
        <v>0</v>
      </c>
      <c r="F19" s="63">
        <v>0</v>
      </c>
      <c r="L19" s="68"/>
      <c r="M19" s="68"/>
      <c r="N19" s="68"/>
      <c r="O19" s="68"/>
      <c r="P19" s="68"/>
      <c r="Q19" s="68"/>
      <c r="R19" s="68"/>
      <c r="S19" s="68"/>
      <c r="T19" s="68"/>
      <c r="U19" s="68"/>
    </row>
    <row r="20" spans="1:21" s="67" customFormat="1" ht="27.9" customHeight="1">
      <c r="A20" s="59" t="s">
        <v>145</v>
      </c>
      <c r="B20" s="60" t="s">
        <v>146</v>
      </c>
      <c r="C20" s="61">
        <v>0</v>
      </c>
      <c r="D20" s="61">
        <v>0</v>
      </c>
      <c r="E20" s="61">
        <v>8213</v>
      </c>
      <c r="F20" s="63">
        <v>8213</v>
      </c>
      <c r="L20" s="68"/>
      <c r="M20" s="68"/>
      <c r="N20" s="68"/>
      <c r="O20" s="68"/>
      <c r="P20" s="68"/>
      <c r="Q20" s="68"/>
      <c r="R20" s="68"/>
      <c r="S20" s="68"/>
      <c r="T20" s="68"/>
      <c r="U20" s="68"/>
    </row>
    <row r="21" spans="1:21" s="67" customFormat="1" ht="27.9" customHeight="1">
      <c r="A21" s="59" t="s">
        <v>147</v>
      </c>
      <c r="B21" s="60" t="s">
        <v>148</v>
      </c>
      <c r="C21" s="61">
        <v>0</v>
      </c>
      <c r="D21" s="61">
        <v>0</v>
      </c>
      <c r="E21" s="61">
        <v>9685</v>
      </c>
      <c r="F21" s="63">
        <v>9685</v>
      </c>
      <c r="L21" s="68"/>
      <c r="M21" s="68"/>
      <c r="N21" s="68"/>
      <c r="O21" s="68"/>
      <c r="P21" s="68"/>
      <c r="Q21" s="68"/>
      <c r="R21" s="68"/>
      <c r="S21" s="68"/>
      <c r="T21" s="68"/>
      <c r="U21" s="68"/>
    </row>
    <row r="22" spans="1:21" s="67" customFormat="1" ht="27.9" customHeight="1">
      <c r="A22" s="59" t="s">
        <v>150</v>
      </c>
      <c r="B22" s="60" t="s">
        <v>149</v>
      </c>
      <c r="C22" s="61">
        <v>0</v>
      </c>
      <c r="D22" s="61">
        <v>0</v>
      </c>
      <c r="E22" s="61">
        <v>10229</v>
      </c>
      <c r="F22" s="63">
        <v>10229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</row>
    <row r="23" spans="1:21" s="67" customFormat="1" ht="27.9" customHeight="1">
      <c r="A23" s="59" t="s">
        <v>31</v>
      </c>
      <c r="B23" s="60" t="s">
        <v>17</v>
      </c>
      <c r="C23" s="61">
        <v>0</v>
      </c>
      <c r="D23" s="61">
        <v>0</v>
      </c>
      <c r="E23" s="61">
        <v>17954</v>
      </c>
      <c r="F23" s="63">
        <v>17954</v>
      </c>
      <c r="L23" s="68"/>
      <c r="M23" s="68"/>
      <c r="N23" s="68"/>
      <c r="O23" s="68"/>
      <c r="P23" s="68"/>
      <c r="Q23" s="68"/>
      <c r="R23" s="68"/>
      <c r="S23" s="68"/>
      <c r="T23" s="68"/>
      <c r="U23" s="68"/>
    </row>
    <row r="24" spans="1:21" s="69" customFormat="1" ht="27.9" customHeight="1">
      <c r="A24" s="59" t="s">
        <v>32</v>
      </c>
      <c r="B24" s="60" t="s">
        <v>18</v>
      </c>
      <c r="C24" s="61">
        <v>30478</v>
      </c>
      <c r="D24" s="61">
        <v>30478</v>
      </c>
      <c r="E24" s="61">
        <v>68887</v>
      </c>
      <c r="F24" s="63">
        <v>68887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</row>
    <row r="25" spans="1:21" s="69" customFormat="1" ht="27.9" customHeight="1">
      <c r="A25" s="59" t="s">
        <v>151</v>
      </c>
      <c r="B25" s="60" t="s">
        <v>152</v>
      </c>
      <c r="C25" s="61">
        <v>0</v>
      </c>
      <c r="D25" s="61">
        <v>0</v>
      </c>
      <c r="E25" s="61">
        <v>100145</v>
      </c>
      <c r="F25" s="63">
        <v>100145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</row>
    <row r="26" spans="1:21" s="69" customFormat="1" ht="27.9" customHeight="1">
      <c r="A26" s="59" t="s">
        <v>135</v>
      </c>
      <c r="B26" s="60" t="s">
        <v>127</v>
      </c>
      <c r="C26" s="61">
        <v>14699</v>
      </c>
      <c r="D26" s="61">
        <v>23699</v>
      </c>
      <c r="E26" s="61">
        <v>39961</v>
      </c>
      <c r="F26" s="63">
        <v>25262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</row>
    <row r="27" spans="1:21" s="69" customFormat="1" ht="27.9" customHeight="1">
      <c r="A27" s="59" t="s">
        <v>136</v>
      </c>
      <c r="B27" s="60" t="s">
        <v>126</v>
      </c>
      <c r="C27" s="61">
        <v>0</v>
      </c>
      <c r="D27" s="61">
        <v>4410</v>
      </c>
      <c r="E27" s="61">
        <v>54108</v>
      </c>
      <c r="F27" s="63">
        <v>54108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</row>
    <row r="28" spans="1:21" ht="27.9" customHeight="1" thickBot="1">
      <c r="A28" s="59" t="s">
        <v>33</v>
      </c>
      <c r="B28" s="60" t="s">
        <v>19</v>
      </c>
      <c r="C28" s="61">
        <v>1129658</v>
      </c>
      <c r="D28" s="61">
        <v>1099850</v>
      </c>
      <c r="E28" s="71">
        <v>1667471</v>
      </c>
      <c r="F28" s="63">
        <v>1774140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</row>
    <row r="29" spans="1:21" ht="27.9" customHeight="1" thickTop="1" thickBot="1">
      <c r="A29" s="72"/>
      <c r="B29" s="73" t="s">
        <v>21</v>
      </c>
      <c r="C29" s="74">
        <f>SUM(C8:C28)</f>
        <v>2605434</v>
      </c>
      <c r="D29" s="74">
        <f>SUM(D8:D28)</f>
        <v>2720444</v>
      </c>
      <c r="E29" s="75">
        <f>SUM(E8:E28)</f>
        <v>3791863</v>
      </c>
      <c r="F29" s="75">
        <f>SUM(F8:F28)</f>
        <v>3556749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</row>
    <row r="30" spans="1:21" ht="21" thickTop="1">
      <c r="A30" s="76" t="s">
        <v>89</v>
      </c>
      <c r="B30" s="77"/>
    </row>
  </sheetData>
  <mergeCells count="3">
    <mergeCell ref="B2:D2"/>
    <mergeCell ref="B3:D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7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8517-7C5A-40CB-A554-7CF4C1F254CD}">
  <dimension ref="A1:U61"/>
  <sheetViews>
    <sheetView view="pageBreakPreview" topLeftCell="A4" zoomScale="70" zoomScaleNormal="75" zoomScaleSheetLayoutView="70" workbookViewId="0">
      <selection activeCell="B33" sqref="B33"/>
    </sheetView>
  </sheetViews>
  <sheetFormatPr defaultColWidth="9.88671875" defaultRowHeight="13.2"/>
  <cols>
    <col min="1" max="1" width="17.6640625" style="49" customWidth="1"/>
    <col min="2" max="2" width="29.33203125" style="50" customWidth="1"/>
    <col min="3" max="6" width="23" style="49" customWidth="1"/>
    <col min="7" max="20" width="9.88671875" style="49"/>
    <col min="21" max="21" width="9.33203125" style="49" bestFit="1" customWidth="1"/>
    <col min="22" max="16384" width="9.88671875" style="49"/>
  </cols>
  <sheetData>
    <row r="1" spans="1:21" ht="15" hidden="1" customHeight="1"/>
    <row r="2" spans="1:21" ht="22.8" hidden="1">
      <c r="B2" s="85" t="s">
        <v>5</v>
      </c>
      <c r="C2" s="85"/>
      <c r="D2" s="85"/>
    </row>
    <row r="3" spans="1:21" ht="22.8" hidden="1">
      <c r="B3" s="86" t="s">
        <v>4</v>
      </c>
      <c r="C3" s="86"/>
      <c r="D3" s="86"/>
    </row>
    <row r="4" spans="1:21" ht="45" customHeight="1">
      <c r="A4" s="87" t="s">
        <v>7</v>
      </c>
      <c r="B4" s="87"/>
      <c r="C4" s="87"/>
      <c r="D4" s="87"/>
      <c r="E4" s="87"/>
      <c r="F4" s="87"/>
    </row>
    <row r="5" spans="1:21" ht="34.799999999999997" customHeight="1" thickBot="1">
      <c r="A5" s="81"/>
      <c r="B5" s="81"/>
      <c r="C5" s="81"/>
      <c r="F5" s="51" t="s">
        <v>6</v>
      </c>
      <c r="G5" s="52"/>
    </row>
    <row r="6" spans="1:21" ht="25.5" customHeight="1" thickTop="1" thickBot="1">
      <c r="B6" s="49"/>
      <c r="C6" s="53" t="s">
        <v>0</v>
      </c>
      <c r="D6" s="53" t="s">
        <v>1</v>
      </c>
      <c r="E6" s="54" t="s">
        <v>2</v>
      </c>
      <c r="F6" s="53" t="s">
        <v>3</v>
      </c>
    </row>
    <row r="7" spans="1:21" ht="36" customHeight="1" thickTop="1" thickBot="1">
      <c r="A7" s="55"/>
      <c r="B7" s="56"/>
      <c r="C7" s="57" t="s">
        <v>157</v>
      </c>
      <c r="D7" s="57" t="s">
        <v>158</v>
      </c>
      <c r="E7" s="58" t="s">
        <v>159</v>
      </c>
      <c r="F7" s="57" t="s">
        <v>160</v>
      </c>
    </row>
    <row r="8" spans="1:21" ht="27" customHeight="1" thickTop="1">
      <c r="A8" s="78" t="s">
        <v>161</v>
      </c>
      <c r="B8" s="79" t="s">
        <v>162</v>
      </c>
      <c r="C8" s="61">
        <v>0</v>
      </c>
      <c r="D8" s="61">
        <v>11000</v>
      </c>
      <c r="E8" s="61">
        <v>0</v>
      </c>
      <c r="F8" s="63">
        <v>0</v>
      </c>
    </row>
    <row r="9" spans="1:21" ht="27" customHeight="1">
      <c r="A9" s="78" t="s">
        <v>163</v>
      </c>
      <c r="B9" s="79" t="s">
        <v>164</v>
      </c>
      <c r="C9" s="61">
        <v>7585</v>
      </c>
      <c r="D9" s="61">
        <v>0</v>
      </c>
      <c r="E9" s="61">
        <v>0</v>
      </c>
      <c r="F9" s="63">
        <v>0</v>
      </c>
    </row>
    <row r="10" spans="1:21" ht="27" customHeight="1">
      <c r="A10" s="78" t="s">
        <v>22</v>
      </c>
      <c r="B10" s="79" t="s">
        <v>8</v>
      </c>
      <c r="C10" s="61">
        <v>11600</v>
      </c>
      <c r="D10" s="61">
        <v>0</v>
      </c>
      <c r="E10" s="61">
        <v>0</v>
      </c>
      <c r="F10" s="63">
        <v>0</v>
      </c>
    </row>
    <row r="11" spans="1:21" s="64" customFormat="1" ht="27" customHeight="1">
      <c r="A11" s="59" t="s">
        <v>23</v>
      </c>
      <c r="B11" s="60" t="s">
        <v>9</v>
      </c>
      <c r="C11" s="61">
        <v>628551</v>
      </c>
      <c r="D11" s="61">
        <v>470377</v>
      </c>
      <c r="E11" s="61">
        <v>462315</v>
      </c>
      <c r="F11" s="63">
        <v>372305</v>
      </c>
      <c r="L11" s="65"/>
      <c r="M11" s="65"/>
      <c r="N11" s="65"/>
      <c r="O11" s="65"/>
      <c r="P11" s="65"/>
      <c r="Q11" s="65"/>
      <c r="R11" s="65"/>
      <c r="S11" s="65"/>
      <c r="T11" s="65"/>
      <c r="U11" s="65"/>
    </row>
    <row r="12" spans="1:21" s="64" customFormat="1" ht="27" customHeight="1">
      <c r="A12" s="59" t="s">
        <v>165</v>
      </c>
      <c r="B12" s="60" t="s">
        <v>166</v>
      </c>
      <c r="C12" s="61">
        <v>0</v>
      </c>
      <c r="D12" s="61">
        <v>2998</v>
      </c>
      <c r="E12" s="61">
        <v>0</v>
      </c>
      <c r="F12" s="63">
        <v>0</v>
      </c>
      <c r="L12" s="65"/>
      <c r="M12" s="65"/>
      <c r="N12" s="65"/>
      <c r="O12" s="65"/>
      <c r="P12" s="65"/>
      <c r="Q12" s="65"/>
      <c r="R12" s="65"/>
      <c r="S12" s="65"/>
      <c r="T12" s="65"/>
      <c r="U12" s="65"/>
    </row>
    <row r="13" spans="1:21" s="64" customFormat="1" ht="27" customHeight="1">
      <c r="A13" s="59" t="s">
        <v>167</v>
      </c>
      <c r="B13" s="60" t="s">
        <v>168</v>
      </c>
      <c r="C13" s="61">
        <v>0</v>
      </c>
      <c r="D13" s="61">
        <v>20000</v>
      </c>
      <c r="E13" s="61">
        <v>20000</v>
      </c>
      <c r="F13" s="63">
        <v>0</v>
      </c>
      <c r="L13" s="65"/>
      <c r="M13" s="65"/>
      <c r="N13" s="65"/>
      <c r="O13" s="65"/>
      <c r="P13" s="65"/>
      <c r="Q13" s="65"/>
      <c r="R13" s="65"/>
      <c r="S13" s="65"/>
      <c r="T13" s="65"/>
      <c r="U13" s="65"/>
    </row>
    <row r="14" spans="1:21" s="64" customFormat="1" ht="27" customHeight="1">
      <c r="A14" s="59" t="s">
        <v>169</v>
      </c>
      <c r="B14" s="66" t="s">
        <v>170</v>
      </c>
      <c r="C14" s="61">
        <v>0</v>
      </c>
      <c r="D14" s="61">
        <v>0</v>
      </c>
      <c r="E14" s="61">
        <v>23000</v>
      </c>
      <c r="F14" s="63">
        <v>23000</v>
      </c>
      <c r="L14" s="65"/>
      <c r="M14" s="65"/>
      <c r="N14" s="65"/>
      <c r="O14" s="65"/>
      <c r="P14" s="65"/>
      <c r="Q14" s="65"/>
      <c r="R14" s="65"/>
      <c r="S14" s="65"/>
      <c r="T14" s="65"/>
      <c r="U14" s="65"/>
    </row>
    <row r="15" spans="1:21" s="64" customFormat="1" ht="27" customHeight="1">
      <c r="A15" s="59" t="s">
        <v>140</v>
      </c>
      <c r="B15" s="66" t="s">
        <v>141</v>
      </c>
      <c r="C15" s="61">
        <v>0</v>
      </c>
      <c r="D15" s="61">
        <v>0</v>
      </c>
      <c r="E15" s="61">
        <v>2500</v>
      </c>
      <c r="F15" s="63">
        <v>2500</v>
      </c>
      <c r="L15" s="65"/>
      <c r="M15" s="65"/>
      <c r="N15" s="65"/>
      <c r="O15" s="65"/>
      <c r="P15" s="65"/>
      <c r="Q15" s="65"/>
      <c r="R15" s="65"/>
      <c r="S15" s="65"/>
      <c r="T15" s="65"/>
      <c r="U15" s="65"/>
    </row>
    <row r="16" spans="1:21" s="67" customFormat="1" ht="27" customHeight="1">
      <c r="A16" s="59" t="s">
        <v>24</v>
      </c>
      <c r="B16" s="66" t="s">
        <v>10</v>
      </c>
      <c r="C16" s="61">
        <v>461532</v>
      </c>
      <c r="D16" s="61">
        <v>762671</v>
      </c>
      <c r="E16" s="61">
        <v>1072424</v>
      </c>
      <c r="F16" s="63">
        <v>1165112</v>
      </c>
      <c r="L16" s="68"/>
      <c r="M16" s="68"/>
      <c r="N16" s="68"/>
      <c r="O16" s="68"/>
      <c r="P16" s="68"/>
      <c r="Q16" s="68"/>
      <c r="R16" s="68"/>
      <c r="S16" s="68"/>
      <c r="T16" s="68"/>
      <c r="U16" s="68"/>
    </row>
    <row r="17" spans="1:21" s="67" customFormat="1" ht="27" customHeight="1">
      <c r="A17" s="59" t="s">
        <v>171</v>
      </c>
      <c r="B17" s="66" t="s">
        <v>172</v>
      </c>
      <c r="C17" s="61">
        <v>0</v>
      </c>
      <c r="D17" s="61">
        <v>70000</v>
      </c>
      <c r="E17" s="61">
        <v>70000</v>
      </c>
      <c r="F17" s="63">
        <v>70000</v>
      </c>
      <c r="L17" s="68"/>
      <c r="M17" s="68"/>
      <c r="N17" s="68"/>
      <c r="O17" s="68"/>
      <c r="P17" s="68"/>
      <c r="Q17" s="68"/>
      <c r="R17" s="68"/>
      <c r="S17" s="68"/>
      <c r="T17" s="68"/>
      <c r="U17" s="68"/>
    </row>
    <row r="18" spans="1:21" s="67" customFormat="1" ht="27" customHeight="1">
      <c r="A18" s="59" t="s">
        <v>173</v>
      </c>
      <c r="B18" s="66" t="s">
        <v>174</v>
      </c>
      <c r="C18" s="61">
        <v>0</v>
      </c>
      <c r="D18" s="61">
        <v>0</v>
      </c>
      <c r="E18" s="61">
        <v>8030</v>
      </c>
      <c r="F18" s="63">
        <v>8030</v>
      </c>
      <c r="L18" s="68"/>
      <c r="M18" s="68"/>
      <c r="N18" s="68"/>
      <c r="O18" s="68"/>
      <c r="P18" s="68"/>
      <c r="Q18" s="68"/>
      <c r="R18" s="68"/>
      <c r="S18" s="68"/>
      <c r="T18" s="68"/>
      <c r="U18" s="68"/>
    </row>
    <row r="19" spans="1:21" s="67" customFormat="1" ht="27" customHeight="1">
      <c r="A19" s="59" t="s">
        <v>175</v>
      </c>
      <c r="B19" s="66" t="s">
        <v>176</v>
      </c>
      <c r="C19" s="61">
        <v>0</v>
      </c>
      <c r="D19" s="61">
        <v>3407</v>
      </c>
      <c r="E19" s="61">
        <v>3407</v>
      </c>
      <c r="F19" s="63">
        <v>3407</v>
      </c>
      <c r="L19" s="68"/>
      <c r="M19" s="68"/>
      <c r="N19" s="68"/>
      <c r="O19" s="68"/>
      <c r="P19" s="68"/>
      <c r="Q19" s="68"/>
      <c r="R19" s="68"/>
      <c r="S19" s="68"/>
      <c r="T19" s="68"/>
      <c r="U19" s="68"/>
    </row>
    <row r="20" spans="1:21" s="67" customFormat="1" ht="27" customHeight="1">
      <c r="A20" s="59" t="s">
        <v>177</v>
      </c>
      <c r="B20" s="66" t="s">
        <v>178</v>
      </c>
      <c r="C20" s="61">
        <v>0</v>
      </c>
      <c r="D20" s="61">
        <v>12828</v>
      </c>
      <c r="E20" s="61">
        <v>12828</v>
      </c>
      <c r="F20" s="63">
        <v>12828</v>
      </c>
      <c r="L20" s="68"/>
      <c r="M20" s="68"/>
      <c r="N20" s="68"/>
      <c r="O20" s="68"/>
      <c r="P20" s="68"/>
      <c r="Q20" s="68"/>
      <c r="R20" s="68"/>
      <c r="S20" s="68"/>
      <c r="T20" s="68"/>
      <c r="U20" s="68"/>
    </row>
    <row r="21" spans="1:21" s="67" customFormat="1" ht="27" customHeight="1">
      <c r="A21" s="59" t="s">
        <v>179</v>
      </c>
      <c r="B21" s="66" t="s">
        <v>180</v>
      </c>
      <c r="C21" s="61">
        <v>0</v>
      </c>
      <c r="D21" s="61">
        <v>20000</v>
      </c>
      <c r="E21" s="61">
        <v>20000</v>
      </c>
      <c r="F21" s="63">
        <v>20000</v>
      </c>
      <c r="L21" s="68"/>
      <c r="M21" s="68"/>
      <c r="N21" s="68"/>
      <c r="O21" s="68"/>
      <c r="P21" s="68"/>
      <c r="Q21" s="68"/>
      <c r="R21" s="68"/>
      <c r="S21" s="68"/>
      <c r="T21" s="68"/>
      <c r="U21" s="68"/>
    </row>
    <row r="22" spans="1:21" s="67" customFormat="1" ht="27" customHeight="1">
      <c r="A22" s="59" t="s">
        <v>26</v>
      </c>
      <c r="B22" s="66" t="s">
        <v>12</v>
      </c>
      <c r="C22" s="61">
        <v>0</v>
      </c>
      <c r="D22" s="61">
        <v>6000</v>
      </c>
      <c r="E22" s="61">
        <v>6000</v>
      </c>
      <c r="F22" s="63">
        <v>6000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</row>
    <row r="23" spans="1:21" s="67" customFormat="1" ht="27" customHeight="1">
      <c r="A23" s="59" t="s">
        <v>143</v>
      </c>
      <c r="B23" s="66" t="s">
        <v>142</v>
      </c>
      <c r="C23" s="61">
        <v>21000</v>
      </c>
      <c r="D23" s="61">
        <v>0</v>
      </c>
      <c r="E23" s="61">
        <v>0</v>
      </c>
      <c r="F23" s="63">
        <v>0</v>
      </c>
      <c r="L23" s="68"/>
      <c r="M23" s="68"/>
      <c r="N23" s="68"/>
      <c r="O23" s="68"/>
      <c r="P23" s="68"/>
      <c r="Q23" s="68"/>
      <c r="R23" s="68"/>
      <c r="S23" s="68"/>
      <c r="T23" s="68"/>
      <c r="U23" s="68"/>
    </row>
    <row r="24" spans="1:21" s="67" customFormat="1" ht="27" customHeight="1">
      <c r="A24" s="59" t="s">
        <v>181</v>
      </c>
      <c r="B24" s="66" t="s">
        <v>182</v>
      </c>
      <c r="C24" s="61">
        <v>0</v>
      </c>
      <c r="D24" s="61">
        <v>2000</v>
      </c>
      <c r="E24" s="61">
        <v>2000</v>
      </c>
      <c r="F24" s="63">
        <v>2000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</row>
    <row r="25" spans="1:21" s="67" customFormat="1" ht="27" customHeight="1">
      <c r="A25" s="59" t="s">
        <v>120</v>
      </c>
      <c r="B25" s="66" t="s">
        <v>121</v>
      </c>
      <c r="C25" s="61">
        <v>0</v>
      </c>
      <c r="D25" s="61">
        <v>0</v>
      </c>
      <c r="E25" s="61">
        <v>3965</v>
      </c>
      <c r="F25" s="63">
        <v>3965</v>
      </c>
      <c r="L25" s="68"/>
      <c r="M25" s="68"/>
      <c r="N25" s="68"/>
      <c r="O25" s="68"/>
      <c r="P25" s="68"/>
      <c r="Q25" s="68"/>
      <c r="R25" s="68"/>
      <c r="S25" s="68"/>
      <c r="T25" s="68"/>
      <c r="U25" s="68"/>
    </row>
    <row r="26" spans="1:21" s="67" customFormat="1" ht="27" customHeight="1">
      <c r="A26" s="59" t="s">
        <v>27</v>
      </c>
      <c r="B26" s="66" t="s">
        <v>13</v>
      </c>
      <c r="C26" s="61">
        <v>0</v>
      </c>
      <c r="D26" s="61">
        <v>0</v>
      </c>
      <c r="E26" s="61">
        <v>1395</v>
      </c>
      <c r="F26" s="63">
        <v>1395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</row>
    <row r="27" spans="1:21" s="67" customFormat="1" ht="27" customHeight="1">
      <c r="A27" s="59" t="s">
        <v>154</v>
      </c>
      <c r="B27" s="66" t="s">
        <v>155</v>
      </c>
      <c r="C27" s="61">
        <v>8400</v>
      </c>
      <c r="D27" s="61">
        <v>0</v>
      </c>
      <c r="E27" s="61">
        <v>0</v>
      </c>
      <c r="F27" s="63">
        <v>0</v>
      </c>
      <c r="L27" s="68"/>
      <c r="M27" s="68"/>
      <c r="N27" s="68"/>
      <c r="O27" s="68"/>
      <c r="P27" s="68"/>
      <c r="Q27" s="68"/>
      <c r="R27" s="68"/>
      <c r="S27" s="68"/>
      <c r="T27" s="68"/>
      <c r="U27" s="68"/>
    </row>
    <row r="28" spans="1:21" s="67" customFormat="1" ht="27" customHeight="1">
      <c r="A28" s="59" t="s">
        <v>94</v>
      </c>
      <c r="B28" s="66" t="s">
        <v>95</v>
      </c>
      <c r="C28" s="61">
        <v>0</v>
      </c>
      <c r="D28" s="61">
        <v>70727</v>
      </c>
      <c r="E28" s="61">
        <v>70727</v>
      </c>
      <c r="F28" s="63">
        <v>70727</v>
      </c>
      <c r="L28" s="68"/>
      <c r="M28" s="68"/>
      <c r="N28" s="68"/>
      <c r="O28" s="68"/>
      <c r="P28" s="68"/>
      <c r="Q28" s="68"/>
      <c r="R28" s="68"/>
      <c r="S28" s="68"/>
      <c r="T28" s="68"/>
      <c r="U28" s="68"/>
    </row>
    <row r="29" spans="1:21" s="67" customFormat="1" ht="27" customHeight="1">
      <c r="A29" s="59" t="s">
        <v>103</v>
      </c>
      <c r="B29" s="66" t="s">
        <v>102</v>
      </c>
      <c r="C29" s="61">
        <v>0</v>
      </c>
      <c r="D29" s="61">
        <v>0</v>
      </c>
      <c r="E29" s="61">
        <v>12500</v>
      </c>
      <c r="F29" s="63">
        <v>12500</v>
      </c>
      <c r="L29" s="68"/>
      <c r="M29" s="68"/>
      <c r="N29" s="68"/>
      <c r="O29" s="68"/>
      <c r="P29" s="68"/>
      <c r="Q29" s="68"/>
      <c r="R29" s="68"/>
      <c r="S29" s="68"/>
      <c r="T29" s="68"/>
      <c r="U29" s="68"/>
    </row>
    <row r="30" spans="1:21" s="67" customFormat="1" ht="27" customHeight="1">
      <c r="A30" s="59" t="s">
        <v>28</v>
      </c>
      <c r="B30" s="66" t="s">
        <v>14</v>
      </c>
      <c r="C30" s="61">
        <v>480633</v>
      </c>
      <c r="D30" s="61">
        <v>281153</v>
      </c>
      <c r="E30" s="61">
        <v>564104</v>
      </c>
      <c r="F30" s="63">
        <v>684727</v>
      </c>
      <c r="L30" s="68"/>
      <c r="M30" s="68"/>
      <c r="N30" s="68"/>
      <c r="O30" s="68"/>
      <c r="P30" s="68"/>
      <c r="Q30" s="68"/>
      <c r="R30" s="68"/>
      <c r="S30" s="68"/>
      <c r="T30" s="68"/>
      <c r="U30" s="68"/>
    </row>
    <row r="31" spans="1:21" s="67" customFormat="1" ht="27" customHeight="1">
      <c r="A31" s="59" t="s">
        <v>183</v>
      </c>
      <c r="B31" s="66" t="s">
        <v>156</v>
      </c>
      <c r="C31" s="61">
        <v>0</v>
      </c>
      <c r="D31" s="61">
        <v>0</v>
      </c>
      <c r="E31" s="61">
        <v>12047</v>
      </c>
      <c r="F31" s="63">
        <v>12047</v>
      </c>
      <c r="L31" s="68"/>
      <c r="M31" s="68"/>
      <c r="N31" s="68"/>
      <c r="O31" s="68"/>
      <c r="P31" s="68"/>
      <c r="Q31" s="68"/>
      <c r="R31" s="68"/>
      <c r="S31" s="68"/>
      <c r="T31" s="68"/>
      <c r="U31" s="68"/>
    </row>
    <row r="32" spans="1:21" s="67" customFormat="1" ht="27" customHeight="1">
      <c r="A32" s="59" t="s">
        <v>144</v>
      </c>
      <c r="B32" s="66" t="s">
        <v>216</v>
      </c>
      <c r="C32" s="61">
        <v>18532</v>
      </c>
      <c r="D32" s="61">
        <v>0</v>
      </c>
      <c r="E32" s="61">
        <v>0</v>
      </c>
      <c r="F32" s="63">
        <v>0</v>
      </c>
      <c r="L32" s="68"/>
      <c r="M32" s="68"/>
      <c r="N32" s="68"/>
      <c r="O32" s="68"/>
      <c r="P32" s="68"/>
      <c r="Q32" s="68"/>
      <c r="R32" s="68"/>
      <c r="S32" s="68"/>
      <c r="T32" s="68"/>
      <c r="U32" s="68"/>
    </row>
    <row r="33" spans="1:21" s="67" customFormat="1" ht="27" customHeight="1">
      <c r="A33" s="59" t="s">
        <v>184</v>
      </c>
      <c r="B33" s="66" t="s">
        <v>15</v>
      </c>
      <c r="C33" s="61">
        <v>0</v>
      </c>
      <c r="D33" s="61">
        <v>12000</v>
      </c>
      <c r="E33" s="61">
        <v>12000</v>
      </c>
      <c r="F33" s="63">
        <v>12000</v>
      </c>
      <c r="L33" s="68"/>
      <c r="M33" s="68"/>
      <c r="N33" s="68"/>
      <c r="O33" s="68"/>
      <c r="P33" s="68"/>
      <c r="Q33" s="68"/>
      <c r="R33" s="68"/>
      <c r="S33" s="68"/>
      <c r="T33" s="68"/>
      <c r="U33" s="68"/>
    </row>
    <row r="34" spans="1:21" s="67" customFormat="1" ht="27" customHeight="1">
      <c r="A34" s="59" t="s">
        <v>185</v>
      </c>
      <c r="B34" s="66" t="s">
        <v>186</v>
      </c>
      <c r="C34" s="61">
        <v>10477</v>
      </c>
      <c r="D34" s="61">
        <v>25551</v>
      </c>
      <c r="E34" s="61">
        <v>25551</v>
      </c>
      <c r="F34" s="63">
        <v>15074</v>
      </c>
      <c r="L34" s="68"/>
      <c r="M34" s="68"/>
      <c r="N34" s="68"/>
      <c r="O34" s="68"/>
      <c r="P34" s="68"/>
      <c r="Q34" s="68"/>
      <c r="R34" s="68"/>
      <c r="S34" s="68"/>
      <c r="T34" s="68"/>
      <c r="U34" s="68"/>
    </row>
    <row r="35" spans="1:21" s="67" customFormat="1" ht="27" customHeight="1">
      <c r="A35" s="59" t="s">
        <v>187</v>
      </c>
      <c r="B35" s="66" t="s">
        <v>188</v>
      </c>
      <c r="C35" s="61">
        <v>0</v>
      </c>
      <c r="D35" s="61">
        <v>8150</v>
      </c>
      <c r="E35" s="61">
        <v>8150</v>
      </c>
      <c r="F35" s="63">
        <v>8150</v>
      </c>
      <c r="L35" s="68"/>
      <c r="M35" s="68"/>
      <c r="N35" s="68"/>
      <c r="O35" s="68"/>
      <c r="P35" s="68"/>
      <c r="Q35" s="68"/>
      <c r="R35" s="68"/>
      <c r="S35" s="68"/>
      <c r="T35" s="68"/>
      <c r="U35" s="68"/>
    </row>
    <row r="36" spans="1:21" s="67" customFormat="1" ht="27" customHeight="1">
      <c r="A36" s="59" t="s">
        <v>189</v>
      </c>
      <c r="B36" s="66" t="s">
        <v>190</v>
      </c>
      <c r="C36" s="61">
        <v>0</v>
      </c>
      <c r="D36" s="61">
        <v>0</v>
      </c>
      <c r="E36" s="61">
        <v>22709</v>
      </c>
      <c r="F36" s="63">
        <v>22709</v>
      </c>
      <c r="L36" s="68"/>
      <c r="M36" s="68"/>
      <c r="N36" s="68"/>
      <c r="O36" s="68"/>
      <c r="P36" s="68"/>
      <c r="Q36" s="68"/>
      <c r="R36" s="68"/>
      <c r="S36" s="68"/>
      <c r="T36" s="68"/>
      <c r="U36" s="68"/>
    </row>
    <row r="37" spans="1:21" s="67" customFormat="1" ht="27" customHeight="1">
      <c r="A37" s="59" t="s">
        <v>191</v>
      </c>
      <c r="B37" s="66" t="s">
        <v>192</v>
      </c>
      <c r="C37" s="61">
        <v>0</v>
      </c>
      <c r="D37" s="61">
        <v>21580</v>
      </c>
      <c r="E37" s="61">
        <v>21580</v>
      </c>
      <c r="F37" s="63">
        <v>21580</v>
      </c>
      <c r="L37" s="68"/>
      <c r="M37" s="68"/>
      <c r="N37" s="68"/>
      <c r="O37" s="68"/>
      <c r="P37" s="68"/>
      <c r="Q37" s="68"/>
      <c r="R37" s="68"/>
      <c r="S37" s="68"/>
      <c r="T37" s="68"/>
      <c r="U37" s="68"/>
    </row>
    <row r="38" spans="1:21" s="67" customFormat="1" ht="27" customHeight="1">
      <c r="A38" s="59" t="s">
        <v>193</v>
      </c>
      <c r="B38" s="60" t="s">
        <v>194</v>
      </c>
      <c r="C38" s="61">
        <v>789</v>
      </c>
      <c r="D38" s="61">
        <v>789</v>
      </c>
      <c r="E38" s="61">
        <v>789</v>
      </c>
      <c r="F38" s="63">
        <v>0</v>
      </c>
      <c r="L38" s="68"/>
      <c r="M38" s="68"/>
      <c r="N38" s="68"/>
      <c r="O38" s="68"/>
      <c r="P38" s="68"/>
      <c r="Q38" s="68"/>
      <c r="R38" s="68"/>
      <c r="S38" s="68"/>
      <c r="T38" s="68"/>
      <c r="U38" s="68"/>
    </row>
    <row r="39" spans="1:21" s="67" customFormat="1" ht="27" customHeight="1">
      <c r="A39" s="59" t="s">
        <v>195</v>
      </c>
      <c r="B39" s="60" t="s">
        <v>196</v>
      </c>
      <c r="C39" s="61">
        <v>0</v>
      </c>
      <c r="D39" s="61">
        <v>0</v>
      </c>
      <c r="E39" s="61">
        <v>14062</v>
      </c>
      <c r="F39" s="63">
        <v>14062</v>
      </c>
      <c r="L39" s="68"/>
      <c r="M39" s="68"/>
      <c r="N39" s="68"/>
      <c r="O39" s="68"/>
      <c r="P39" s="68"/>
      <c r="Q39" s="68"/>
      <c r="R39" s="68"/>
      <c r="S39" s="68"/>
      <c r="T39" s="68"/>
      <c r="U39" s="68"/>
    </row>
    <row r="40" spans="1:21" s="67" customFormat="1" ht="27" customHeight="1">
      <c r="A40" s="59" t="s">
        <v>197</v>
      </c>
      <c r="B40" s="60" t="s">
        <v>198</v>
      </c>
      <c r="C40" s="61">
        <v>0</v>
      </c>
      <c r="D40" s="61">
        <v>0</v>
      </c>
      <c r="E40" s="61">
        <v>14430</v>
      </c>
      <c r="F40" s="63">
        <v>14430</v>
      </c>
      <c r="L40" s="68"/>
      <c r="M40" s="68"/>
      <c r="N40" s="68"/>
      <c r="O40" s="68"/>
      <c r="P40" s="68"/>
      <c r="Q40" s="68"/>
      <c r="R40" s="68"/>
      <c r="S40" s="68"/>
      <c r="T40" s="68"/>
      <c r="U40" s="68"/>
    </row>
    <row r="41" spans="1:21" s="67" customFormat="1" ht="27" customHeight="1">
      <c r="A41" s="59" t="s">
        <v>124</v>
      </c>
      <c r="B41" s="60" t="s">
        <v>125</v>
      </c>
      <c r="C41" s="61">
        <v>0</v>
      </c>
      <c r="D41" s="61">
        <v>20835</v>
      </c>
      <c r="E41" s="61">
        <v>20835</v>
      </c>
      <c r="F41" s="63">
        <v>20835</v>
      </c>
      <c r="L41" s="68"/>
      <c r="M41" s="68"/>
      <c r="N41" s="68"/>
      <c r="O41" s="68"/>
      <c r="P41" s="68"/>
      <c r="Q41" s="68"/>
      <c r="R41" s="68"/>
      <c r="S41" s="68"/>
      <c r="T41" s="68"/>
      <c r="U41" s="68"/>
    </row>
    <row r="42" spans="1:21" s="67" customFormat="1" ht="27" customHeight="1">
      <c r="A42" s="59" t="s">
        <v>199</v>
      </c>
      <c r="B42" s="60" t="s">
        <v>200</v>
      </c>
      <c r="C42" s="61">
        <v>0</v>
      </c>
      <c r="D42" s="61">
        <v>0</v>
      </c>
      <c r="E42" s="61">
        <v>20831</v>
      </c>
      <c r="F42" s="63">
        <v>20831</v>
      </c>
      <c r="L42" s="68"/>
      <c r="M42" s="68"/>
      <c r="N42" s="68"/>
      <c r="O42" s="68"/>
      <c r="P42" s="68"/>
      <c r="Q42" s="68"/>
      <c r="R42" s="68"/>
      <c r="S42" s="68"/>
      <c r="T42" s="68"/>
      <c r="U42" s="68"/>
    </row>
    <row r="43" spans="1:21" s="67" customFormat="1" ht="27" customHeight="1">
      <c r="A43" s="59" t="s">
        <v>201</v>
      </c>
      <c r="B43" s="60" t="s">
        <v>202</v>
      </c>
      <c r="C43" s="61">
        <v>0</v>
      </c>
      <c r="D43" s="61">
        <v>29297</v>
      </c>
      <c r="E43" s="61">
        <v>29297</v>
      </c>
      <c r="F43" s="63">
        <v>29297</v>
      </c>
      <c r="L43" s="68"/>
      <c r="M43" s="68"/>
      <c r="N43" s="68"/>
      <c r="O43" s="68"/>
      <c r="P43" s="68"/>
      <c r="Q43" s="68"/>
      <c r="R43" s="68"/>
      <c r="S43" s="68"/>
      <c r="T43" s="68"/>
      <c r="U43" s="68"/>
    </row>
    <row r="44" spans="1:21" s="67" customFormat="1" ht="27" customHeight="1">
      <c r="A44" s="59" t="s">
        <v>203</v>
      </c>
      <c r="B44" s="60" t="s">
        <v>204</v>
      </c>
      <c r="C44" s="61">
        <v>5965</v>
      </c>
      <c r="D44" s="61">
        <v>5965</v>
      </c>
      <c r="E44" s="61">
        <v>7725</v>
      </c>
      <c r="F44" s="63">
        <v>7725</v>
      </c>
      <c r="L44" s="68"/>
      <c r="M44" s="68"/>
      <c r="N44" s="68"/>
      <c r="O44" s="68"/>
      <c r="P44" s="68"/>
      <c r="Q44" s="68"/>
      <c r="R44" s="68"/>
      <c r="S44" s="68"/>
      <c r="T44" s="68"/>
      <c r="U44" s="68"/>
    </row>
    <row r="45" spans="1:21" s="67" customFormat="1" ht="27" customHeight="1">
      <c r="A45" s="59" t="s">
        <v>205</v>
      </c>
      <c r="B45" s="60" t="s">
        <v>206</v>
      </c>
      <c r="C45" s="61">
        <v>0</v>
      </c>
      <c r="D45" s="61">
        <v>0</v>
      </c>
      <c r="E45" s="61">
        <v>3344</v>
      </c>
      <c r="F45" s="63">
        <v>3344</v>
      </c>
      <c r="L45" s="68"/>
      <c r="M45" s="68"/>
      <c r="N45" s="68"/>
      <c r="O45" s="68"/>
      <c r="P45" s="68"/>
      <c r="Q45" s="68"/>
      <c r="R45" s="68"/>
      <c r="S45" s="68"/>
      <c r="T45" s="68"/>
      <c r="U45" s="68"/>
    </row>
    <row r="46" spans="1:21" s="67" customFormat="1" ht="27" customHeight="1">
      <c r="A46" s="59" t="s">
        <v>207</v>
      </c>
      <c r="B46" s="60" t="s">
        <v>208</v>
      </c>
      <c r="C46" s="61">
        <v>0</v>
      </c>
      <c r="D46" s="61">
        <v>3500</v>
      </c>
      <c r="E46" s="61">
        <v>3500</v>
      </c>
      <c r="F46" s="63">
        <v>3500</v>
      </c>
      <c r="L46" s="68"/>
      <c r="M46" s="68"/>
      <c r="N46" s="68"/>
      <c r="O46" s="68"/>
      <c r="P46" s="68"/>
      <c r="Q46" s="68"/>
      <c r="R46" s="68"/>
      <c r="S46" s="68"/>
      <c r="T46" s="68"/>
      <c r="U46" s="68"/>
    </row>
    <row r="47" spans="1:21" s="67" customFormat="1" ht="27" customHeight="1">
      <c r="A47" s="59" t="s">
        <v>209</v>
      </c>
      <c r="B47" s="60" t="s">
        <v>210</v>
      </c>
      <c r="C47" s="61">
        <v>12028</v>
      </c>
      <c r="D47" s="61">
        <v>12028</v>
      </c>
      <c r="E47" s="61">
        <v>12028</v>
      </c>
      <c r="F47" s="63">
        <v>12028</v>
      </c>
      <c r="L47" s="68"/>
      <c r="M47" s="68"/>
      <c r="N47" s="68"/>
      <c r="O47" s="68"/>
      <c r="P47" s="68"/>
      <c r="Q47" s="68"/>
      <c r="R47" s="68"/>
      <c r="S47" s="68"/>
      <c r="T47" s="68"/>
      <c r="U47" s="68"/>
    </row>
    <row r="48" spans="1:21" s="67" customFormat="1" ht="27" customHeight="1">
      <c r="A48" s="59" t="s">
        <v>211</v>
      </c>
      <c r="B48" s="60" t="s">
        <v>212</v>
      </c>
      <c r="C48" s="61">
        <v>0</v>
      </c>
      <c r="D48" s="61">
        <v>7500</v>
      </c>
      <c r="E48" s="61">
        <v>7500</v>
      </c>
      <c r="F48" s="63">
        <v>7500</v>
      </c>
      <c r="L48" s="68"/>
      <c r="M48" s="68"/>
      <c r="N48" s="68"/>
      <c r="O48" s="68"/>
      <c r="P48" s="68"/>
      <c r="Q48" s="68"/>
      <c r="R48" s="68"/>
      <c r="S48" s="68"/>
      <c r="T48" s="68"/>
      <c r="U48" s="68"/>
    </row>
    <row r="49" spans="1:21" s="67" customFormat="1" ht="27" customHeight="1">
      <c r="A49" s="59" t="s">
        <v>145</v>
      </c>
      <c r="B49" s="60" t="s">
        <v>146</v>
      </c>
      <c r="C49" s="61">
        <v>11508</v>
      </c>
      <c r="D49" s="61">
        <v>18508</v>
      </c>
      <c r="E49" s="61">
        <v>10294</v>
      </c>
      <c r="F49" s="63">
        <v>10294</v>
      </c>
      <c r="L49" s="68"/>
      <c r="M49" s="68"/>
      <c r="N49" s="68"/>
      <c r="O49" s="68"/>
      <c r="P49" s="68"/>
      <c r="Q49" s="68"/>
      <c r="R49" s="68"/>
      <c r="S49" s="68"/>
      <c r="T49" s="68"/>
      <c r="U49" s="68"/>
    </row>
    <row r="50" spans="1:21" s="67" customFormat="1" ht="27" customHeight="1">
      <c r="A50" s="59" t="s">
        <v>147</v>
      </c>
      <c r="B50" s="60" t="s">
        <v>148</v>
      </c>
      <c r="C50" s="61">
        <v>9685</v>
      </c>
      <c r="D50" s="61">
        <v>9685</v>
      </c>
      <c r="E50" s="61">
        <v>0</v>
      </c>
      <c r="F50" s="63">
        <v>0</v>
      </c>
      <c r="L50" s="68"/>
      <c r="M50" s="68"/>
      <c r="N50" s="68"/>
      <c r="O50" s="68"/>
      <c r="P50" s="68"/>
      <c r="Q50" s="68"/>
      <c r="R50" s="68"/>
      <c r="S50" s="68"/>
      <c r="T50" s="68"/>
      <c r="U50" s="68"/>
    </row>
    <row r="51" spans="1:21" s="67" customFormat="1" ht="27" customHeight="1">
      <c r="A51" s="59" t="s">
        <v>30</v>
      </c>
      <c r="B51" s="60" t="s">
        <v>16</v>
      </c>
      <c r="C51" s="61">
        <v>6996</v>
      </c>
      <c r="D51" s="61">
        <v>6996</v>
      </c>
      <c r="E51" s="61">
        <v>6996</v>
      </c>
      <c r="F51" s="63">
        <v>6996</v>
      </c>
      <c r="L51" s="68"/>
      <c r="M51" s="68"/>
      <c r="N51" s="68"/>
      <c r="O51" s="68"/>
      <c r="P51" s="68"/>
      <c r="Q51" s="68"/>
      <c r="R51" s="68"/>
      <c r="S51" s="68"/>
      <c r="T51" s="68"/>
      <c r="U51" s="68"/>
    </row>
    <row r="52" spans="1:21" s="67" customFormat="1" ht="27" customHeight="1">
      <c r="A52" s="59" t="s">
        <v>150</v>
      </c>
      <c r="B52" s="60" t="s">
        <v>149</v>
      </c>
      <c r="C52" s="61">
        <v>10229</v>
      </c>
      <c r="D52" s="61">
        <v>10229</v>
      </c>
      <c r="E52" s="61">
        <v>0</v>
      </c>
      <c r="F52" s="63">
        <v>0</v>
      </c>
      <c r="L52" s="68"/>
      <c r="M52" s="68"/>
      <c r="N52" s="68"/>
      <c r="O52" s="68"/>
      <c r="P52" s="68"/>
      <c r="Q52" s="68"/>
      <c r="R52" s="68"/>
      <c r="S52" s="68"/>
      <c r="T52" s="68"/>
      <c r="U52" s="68"/>
    </row>
    <row r="53" spans="1:21" s="67" customFormat="1" ht="27" customHeight="1">
      <c r="A53" s="59" t="s">
        <v>31</v>
      </c>
      <c r="B53" s="60" t="s">
        <v>17</v>
      </c>
      <c r="C53" s="61">
        <v>17954</v>
      </c>
      <c r="D53" s="61">
        <v>17954</v>
      </c>
      <c r="E53" s="61">
        <v>0</v>
      </c>
      <c r="F53" s="63">
        <v>0</v>
      </c>
      <c r="L53" s="68"/>
      <c r="M53" s="68"/>
      <c r="N53" s="68"/>
      <c r="O53" s="68"/>
      <c r="P53" s="68"/>
      <c r="Q53" s="68"/>
      <c r="R53" s="68"/>
      <c r="S53" s="68"/>
      <c r="T53" s="68"/>
      <c r="U53" s="68"/>
    </row>
    <row r="54" spans="1:21" s="67" customFormat="1" ht="27" customHeight="1">
      <c r="A54" s="59" t="s">
        <v>213</v>
      </c>
      <c r="B54" s="60" t="s">
        <v>214</v>
      </c>
      <c r="C54" s="61">
        <v>0</v>
      </c>
      <c r="D54" s="61">
        <v>3000</v>
      </c>
      <c r="E54" s="61">
        <v>3000</v>
      </c>
      <c r="F54" s="63">
        <v>3000</v>
      </c>
      <c r="L54" s="68"/>
      <c r="M54" s="68"/>
      <c r="N54" s="68"/>
      <c r="O54" s="68"/>
      <c r="P54" s="68"/>
      <c r="Q54" s="68"/>
      <c r="R54" s="68"/>
      <c r="S54" s="68"/>
      <c r="T54" s="68"/>
      <c r="U54" s="68"/>
    </row>
    <row r="55" spans="1:21" s="69" customFormat="1" ht="27" customHeight="1">
      <c r="A55" s="59" t="s">
        <v>32</v>
      </c>
      <c r="B55" s="60" t="s">
        <v>18</v>
      </c>
      <c r="C55" s="61">
        <v>68887</v>
      </c>
      <c r="D55" s="61">
        <v>0</v>
      </c>
      <c r="E55" s="61">
        <v>49280</v>
      </c>
      <c r="F55" s="63">
        <v>62854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</row>
    <row r="56" spans="1:21" s="69" customFormat="1" ht="27" customHeight="1">
      <c r="A56" s="59" t="s">
        <v>151</v>
      </c>
      <c r="B56" s="60" t="s">
        <v>152</v>
      </c>
      <c r="C56" s="61">
        <v>100145</v>
      </c>
      <c r="D56" s="61">
        <v>100145</v>
      </c>
      <c r="E56" s="61">
        <v>0</v>
      </c>
      <c r="F56" s="63">
        <v>0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</row>
    <row r="57" spans="1:21" s="69" customFormat="1" ht="27" customHeight="1">
      <c r="A57" s="59" t="s">
        <v>135</v>
      </c>
      <c r="B57" s="60" t="s">
        <v>127</v>
      </c>
      <c r="C57" s="61">
        <v>40470</v>
      </c>
      <c r="D57" s="61">
        <v>64099</v>
      </c>
      <c r="E57" s="61">
        <v>131992</v>
      </c>
      <c r="F57" s="63">
        <v>131992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</row>
    <row r="58" spans="1:21" s="69" customFormat="1" ht="27" customHeight="1">
      <c r="A58" s="59" t="s">
        <v>136</v>
      </c>
      <c r="B58" s="60" t="s">
        <v>126</v>
      </c>
      <c r="C58" s="61">
        <v>54108</v>
      </c>
      <c r="D58" s="61">
        <v>49698</v>
      </c>
      <c r="E58" s="61">
        <v>26281</v>
      </c>
      <c r="F58" s="63">
        <v>26281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</row>
    <row r="59" spans="1:21" ht="27" customHeight="1" thickBot="1">
      <c r="A59" s="59" t="s">
        <v>33</v>
      </c>
      <c r="B59" s="60" t="s">
        <v>19</v>
      </c>
      <c r="C59" s="61">
        <v>1723641</v>
      </c>
      <c r="D59" s="61">
        <v>1706104</v>
      </c>
      <c r="E59" s="71">
        <v>1467304</v>
      </c>
      <c r="F59" s="63">
        <v>1461978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</row>
    <row r="60" spans="1:21" ht="27.9" customHeight="1" thickTop="1" thickBot="1">
      <c r="A60" s="72"/>
      <c r="B60" s="73" t="s">
        <v>21</v>
      </c>
      <c r="C60" s="74">
        <f>SUM(C8:C59)</f>
        <v>3710715</v>
      </c>
      <c r="D60" s="74">
        <f>SUM(D8:D59)</f>
        <v>3866774</v>
      </c>
      <c r="E60" s="75">
        <f>SUM(E8:E59)</f>
        <v>4286720</v>
      </c>
      <c r="F60" s="75">
        <f>SUM(F8:F59)</f>
        <v>4387003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</row>
    <row r="61" spans="1:21" ht="21" thickTop="1">
      <c r="A61" s="76" t="s">
        <v>89</v>
      </c>
      <c r="B61" s="77"/>
    </row>
  </sheetData>
  <mergeCells count="3">
    <mergeCell ref="B2:D2"/>
    <mergeCell ref="B3:D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33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CE6C-0D24-4976-A770-552467BBCC81}">
  <dimension ref="A1:R27"/>
  <sheetViews>
    <sheetView tabSelected="1" view="pageBreakPreview" topLeftCell="A4" zoomScale="70" zoomScaleNormal="75" zoomScaleSheetLayoutView="70" workbookViewId="0">
      <selection activeCell="G25" sqref="G25"/>
    </sheetView>
  </sheetViews>
  <sheetFormatPr defaultColWidth="9.88671875" defaultRowHeight="13.2"/>
  <cols>
    <col min="1" max="1" width="17.6640625" style="49" customWidth="1"/>
    <col min="2" max="2" width="29.33203125" style="50" customWidth="1"/>
    <col min="3" max="3" width="26.33203125" style="49" customWidth="1"/>
    <col min="4" max="17" width="9.88671875" style="49"/>
    <col min="18" max="18" width="9.33203125" style="49" bestFit="1" customWidth="1"/>
    <col min="19" max="16384" width="9.88671875" style="49"/>
  </cols>
  <sheetData>
    <row r="1" spans="1:18" ht="15" hidden="1" customHeight="1"/>
    <row r="2" spans="1:18" ht="22.8" hidden="1">
      <c r="B2" s="85" t="s">
        <v>5</v>
      </c>
      <c r="C2" s="85"/>
    </row>
    <row r="3" spans="1:18" ht="22.8" hidden="1">
      <c r="B3" s="86" t="s">
        <v>4</v>
      </c>
      <c r="C3" s="86"/>
    </row>
    <row r="4" spans="1:18" s="49" customFormat="1" ht="45" customHeight="1">
      <c r="A4" s="80" t="s">
        <v>7</v>
      </c>
      <c r="B4" s="80"/>
      <c r="C4" s="80"/>
    </row>
    <row r="5" spans="1:18" s="49" customFormat="1" ht="34.799999999999997" customHeight="1" thickBot="1">
      <c r="A5" s="81"/>
      <c r="B5" s="81"/>
      <c r="C5" s="51" t="s">
        <v>6</v>
      </c>
      <c r="D5" s="52"/>
    </row>
    <row r="6" spans="1:18" ht="25.5" customHeight="1" thickTop="1" thickBot="1">
      <c r="B6" s="49"/>
      <c r="C6" s="53" t="s">
        <v>0</v>
      </c>
    </row>
    <row r="7" spans="1:18" ht="36" customHeight="1" thickTop="1" thickBot="1">
      <c r="A7" s="55"/>
      <c r="B7" s="56"/>
      <c r="C7" s="57" t="s">
        <v>215</v>
      </c>
    </row>
    <row r="8" spans="1:18" s="64" customFormat="1" ht="27" customHeight="1" thickTop="1">
      <c r="A8" s="59" t="s">
        <v>23</v>
      </c>
      <c r="B8" s="60" t="s">
        <v>9</v>
      </c>
      <c r="C8" s="61">
        <v>727232</v>
      </c>
      <c r="I8" s="65"/>
      <c r="J8" s="65"/>
      <c r="K8" s="65"/>
      <c r="L8" s="65"/>
      <c r="M8" s="65"/>
      <c r="N8" s="65"/>
      <c r="O8" s="65"/>
      <c r="P8" s="65"/>
      <c r="Q8" s="65"/>
      <c r="R8" s="65"/>
    </row>
    <row r="9" spans="1:18" s="64" customFormat="1" ht="27" customHeight="1">
      <c r="A9" s="59" t="s">
        <v>24</v>
      </c>
      <c r="B9" s="66" t="s">
        <v>10</v>
      </c>
      <c r="C9" s="61">
        <v>1290546</v>
      </c>
      <c r="I9" s="65"/>
      <c r="J9" s="65"/>
      <c r="K9" s="65"/>
      <c r="L9" s="65"/>
      <c r="M9" s="65"/>
      <c r="N9" s="65"/>
      <c r="O9" s="65"/>
      <c r="P9" s="65"/>
      <c r="Q9" s="65"/>
      <c r="R9" s="65"/>
    </row>
    <row r="10" spans="1:18" s="67" customFormat="1" ht="27" customHeight="1">
      <c r="A10" s="59" t="s">
        <v>27</v>
      </c>
      <c r="B10" s="66" t="s">
        <v>13</v>
      </c>
      <c r="C10" s="61">
        <v>1395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</row>
    <row r="11" spans="1:18" s="67" customFormat="1" ht="27" customHeight="1">
      <c r="A11" s="59" t="s">
        <v>103</v>
      </c>
      <c r="B11" s="66" t="s">
        <v>102</v>
      </c>
      <c r="C11" s="61">
        <v>12500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</row>
    <row r="12" spans="1:18" s="67" customFormat="1" ht="27" customHeight="1">
      <c r="A12" s="59" t="s">
        <v>28</v>
      </c>
      <c r="B12" s="66" t="s">
        <v>14</v>
      </c>
      <c r="C12" s="61">
        <v>1086171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</row>
    <row r="13" spans="1:18" s="67" customFormat="1" ht="27" customHeight="1">
      <c r="A13" s="59" t="s">
        <v>183</v>
      </c>
      <c r="B13" s="66" t="s">
        <v>156</v>
      </c>
      <c r="C13" s="61">
        <v>12047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</row>
    <row r="14" spans="1:18" s="67" customFormat="1" ht="27" customHeight="1">
      <c r="A14" s="59" t="s">
        <v>189</v>
      </c>
      <c r="B14" s="66" t="s">
        <v>190</v>
      </c>
      <c r="C14" s="61">
        <v>22709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</row>
    <row r="15" spans="1:18" s="67" customFormat="1" ht="27" customHeight="1">
      <c r="A15" s="59" t="s">
        <v>195</v>
      </c>
      <c r="B15" s="66" t="s">
        <v>196</v>
      </c>
      <c r="C15" s="61">
        <v>14062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</row>
    <row r="16" spans="1:18" s="67" customFormat="1" ht="27" customHeight="1">
      <c r="A16" s="59" t="s">
        <v>197</v>
      </c>
      <c r="B16" s="66" t="s">
        <v>198</v>
      </c>
      <c r="C16" s="61">
        <v>14430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</row>
    <row r="17" spans="1:18" s="67" customFormat="1" ht="27" customHeight="1">
      <c r="A17" s="59" t="s">
        <v>199</v>
      </c>
      <c r="B17" s="60" t="s">
        <v>200</v>
      </c>
      <c r="C17" s="61">
        <v>20831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</row>
    <row r="18" spans="1:18" s="67" customFormat="1" ht="27" customHeight="1">
      <c r="A18" s="59" t="s">
        <v>203</v>
      </c>
      <c r="B18" s="60" t="s">
        <v>204</v>
      </c>
      <c r="C18" s="61">
        <v>1760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</row>
    <row r="19" spans="1:18" s="67" customFormat="1" ht="27" customHeight="1">
      <c r="A19" s="59" t="s">
        <v>205</v>
      </c>
      <c r="B19" s="60" t="s">
        <v>206</v>
      </c>
      <c r="C19" s="61">
        <v>3344</v>
      </c>
      <c r="I19" s="68"/>
      <c r="J19" s="68"/>
      <c r="K19" s="68"/>
      <c r="L19" s="68"/>
      <c r="M19" s="68"/>
      <c r="N19" s="68"/>
      <c r="O19" s="68"/>
      <c r="P19" s="68"/>
      <c r="Q19" s="68"/>
      <c r="R19" s="68"/>
    </row>
    <row r="20" spans="1:18" s="67" customFormat="1" ht="27" customHeight="1">
      <c r="A20" s="59" t="s">
        <v>145</v>
      </c>
      <c r="B20" s="60" t="s">
        <v>146</v>
      </c>
      <c r="C20" s="61">
        <v>7000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</row>
    <row r="21" spans="1:18" s="67" customFormat="1" ht="27" customHeight="1">
      <c r="A21" s="59" t="s">
        <v>213</v>
      </c>
      <c r="B21" s="60" t="s">
        <v>214</v>
      </c>
      <c r="C21" s="61">
        <v>3000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</row>
    <row r="22" spans="1:18" s="69" customFormat="1" ht="27" customHeight="1">
      <c r="A22" s="59" t="s">
        <v>32</v>
      </c>
      <c r="B22" s="60" t="s">
        <v>18</v>
      </c>
      <c r="C22" s="61">
        <v>62854</v>
      </c>
      <c r="I22" s="70"/>
      <c r="J22" s="70"/>
      <c r="K22" s="70"/>
      <c r="L22" s="70"/>
      <c r="M22" s="70"/>
      <c r="N22" s="70"/>
      <c r="O22" s="70"/>
      <c r="P22" s="70"/>
      <c r="Q22" s="70"/>
      <c r="R22" s="70"/>
    </row>
    <row r="23" spans="1:18" s="69" customFormat="1" ht="27" customHeight="1">
      <c r="A23" s="59" t="s">
        <v>135</v>
      </c>
      <c r="B23" s="60" t="s">
        <v>127</v>
      </c>
      <c r="C23" s="61">
        <v>116785</v>
      </c>
      <c r="I23" s="70"/>
      <c r="J23" s="70"/>
      <c r="K23" s="70"/>
      <c r="L23" s="70"/>
      <c r="M23" s="70"/>
      <c r="N23" s="70"/>
      <c r="O23" s="70"/>
      <c r="P23" s="70"/>
      <c r="Q23" s="70"/>
      <c r="R23" s="70"/>
    </row>
    <row r="24" spans="1:18" s="69" customFormat="1" ht="27" customHeight="1">
      <c r="A24" s="59" t="s">
        <v>136</v>
      </c>
      <c r="B24" s="60" t="s">
        <v>126</v>
      </c>
      <c r="C24" s="61">
        <v>26281</v>
      </c>
      <c r="I24" s="70"/>
      <c r="J24" s="70"/>
      <c r="K24" s="70"/>
      <c r="L24" s="70"/>
      <c r="M24" s="70"/>
      <c r="N24" s="70"/>
      <c r="O24" s="70"/>
      <c r="P24" s="70"/>
      <c r="Q24" s="70"/>
      <c r="R24" s="70"/>
    </row>
    <row r="25" spans="1:18" ht="27" customHeight="1" thickBot="1">
      <c r="A25" s="59" t="s">
        <v>33</v>
      </c>
      <c r="B25" s="60" t="s">
        <v>19</v>
      </c>
      <c r="C25" s="61">
        <v>1739544</v>
      </c>
      <c r="I25" s="70"/>
      <c r="J25" s="70"/>
      <c r="K25" s="70"/>
      <c r="L25" s="70"/>
      <c r="M25" s="70"/>
      <c r="N25" s="70"/>
      <c r="O25" s="70"/>
      <c r="P25" s="70"/>
      <c r="Q25" s="70"/>
      <c r="R25" s="70"/>
    </row>
    <row r="26" spans="1:18" ht="27.9" customHeight="1" thickTop="1" thickBot="1">
      <c r="A26" s="72"/>
      <c r="B26" s="73" t="s">
        <v>21</v>
      </c>
      <c r="C26" s="74">
        <f>SUM(C8:C25)</f>
        <v>5162491</v>
      </c>
      <c r="I26" s="70"/>
      <c r="J26" s="70"/>
      <c r="K26" s="70"/>
      <c r="L26" s="70"/>
      <c r="M26" s="70"/>
      <c r="N26" s="70"/>
      <c r="O26" s="70"/>
      <c r="P26" s="70"/>
      <c r="Q26" s="70"/>
      <c r="R26" s="70"/>
    </row>
    <row r="27" spans="1:18" ht="21" thickTop="1">
      <c r="A27" s="76" t="s">
        <v>89</v>
      </c>
      <c r="B27" s="77"/>
    </row>
  </sheetData>
  <mergeCells count="2">
    <mergeCell ref="B2:C2"/>
    <mergeCell ref="B3:C3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3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2004 -2005</vt:lpstr>
      <vt:lpstr>2005-2006 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 </vt:lpstr>
      <vt:lpstr>2021-2022  </vt:lpstr>
      <vt:lpstr>2022-2023   </vt:lpstr>
      <vt:lpstr>2023-2024   </vt:lpstr>
      <vt:lpstr>2024-2025   </vt:lpstr>
      <vt:lpstr>2025-2026   </vt:lpstr>
      <vt:lpstr>'2004 -2005'!Print_Area</vt:lpstr>
      <vt:lpstr>'2005-2006 '!Print_Area</vt:lpstr>
      <vt:lpstr>'2006-2007'!Print_Area</vt:lpstr>
      <vt:lpstr>'2007-2008'!Print_Area</vt:lpstr>
      <vt:lpstr>'2008-2009'!Print_Area</vt:lpstr>
      <vt:lpstr>'2009-2010'!Print_Area</vt:lpstr>
      <vt:lpstr>'2010-2011'!Print_Area</vt:lpstr>
      <vt:lpstr>'2011-2012'!Print_Area</vt:lpstr>
      <vt:lpstr>'2012-2013'!Print_Area</vt:lpstr>
      <vt:lpstr>'2013-2014'!Print_Area</vt:lpstr>
      <vt:lpstr>'2014-2015'!Print_Area</vt:lpstr>
      <vt:lpstr>'2015-2016'!Print_Area</vt:lpstr>
      <vt:lpstr>'2016-2017'!Print_Area</vt:lpstr>
      <vt:lpstr>'2017-2018'!Print_Area</vt:lpstr>
      <vt:lpstr>'2018-2019'!Print_Area</vt:lpstr>
      <vt:lpstr>'2019-2020'!Print_Area</vt:lpstr>
      <vt:lpstr>'2020-2021 '!Print_Area</vt:lpstr>
      <vt:lpstr>'2021-2022  '!Print_Area</vt:lpstr>
      <vt:lpstr>'2022-2023   '!Print_Area</vt:lpstr>
      <vt:lpstr>'2023-2024   '!Print_Area</vt:lpstr>
      <vt:lpstr>'2024-2025   '!Print_Area</vt:lpstr>
      <vt:lpstr>'2025-2026  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mamdouh.marghany</dc:creator>
  <cp:lastModifiedBy>Hanaa Kamal</cp:lastModifiedBy>
  <cp:lastPrinted>2024-07-02T08:27:57Z</cp:lastPrinted>
  <dcterms:created xsi:type="dcterms:W3CDTF">2009-04-23T10:41:14Z</dcterms:created>
  <dcterms:modified xsi:type="dcterms:W3CDTF">2026-04-08T09:58:15Z</dcterms:modified>
</cp:coreProperties>
</file>