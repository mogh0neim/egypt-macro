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5955"/>
  </bookViews>
  <sheets>
    <sheet name="2015-2016" sheetId="1" r:id="rId1"/>
  </sheets>
  <definedNames>
    <definedName name="_xlnm.Print_Area" localSheetId="0">'2015-2016'!$B$1:$N$16</definedName>
  </definedNames>
  <calcPr calcId="145621"/>
</workbook>
</file>

<file path=xl/calcChain.xml><?xml version="1.0" encoding="utf-8"?>
<calcChain xmlns="http://schemas.openxmlformats.org/spreadsheetml/2006/main">
  <c r="N13" i="1" l="1"/>
  <c r="M13" i="1"/>
  <c r="L13" i="1"/>
  <c r="K13" i="1"/>
  <c r="J13" i="1"/>
  <c r="I13" i="1"/>
  <c r="N12" i="1"/>
  <c r="M10" i="1"/>
  <c r="L10" i="1"/>
  <c r="K10" i="1"/>
  <c r="J10" i="1"/>
  <c r="I10" i="1"/>
</calcChain>
</file>

<file path=xl/sharedStrings.xml><?xml version="1.0" encoding="utf-8"?>
<sst xmlns="http://schemas.openxmlformats.org/spreadsheetml/2006/main" count="38" uniqueCount="35">
  <si>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</si>
  <si>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</si>
  <si>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Title_EN</t>
  </si>
  <si>
    <t>Title_AR</t>
  </si>
  <si>
    <t>End of</t>
  </si>
  <si>
    <t xml:space="preserve"> فى نهاية</t>
  </si>
  <si>
    <t>Jul.</t>
  </si>
  <si>
    <t>Aug.</t>
  </si>
  <si>
    <t>Sept.</t>
  </si>
  <si>
    <t>Oct.</t>
  </si>
  <si>
    <t>Nov.</t>
  </si>
  <si>
    <t>Dec.</t>
  </si>
  <si>
    <t>Local Currency Transactions via RTGS</t>
  </si>
  <si>
    <t>العمليات التى تم تسويتها بالعملة المحلية من خلال نظام التسوية اللحظية (RTGS)</t>
  </si>
  <si>
    <t>1- Automated Clearing House (ACH)</t>
  </si>
  <si>
    <r>
      <t xml:space="preserve">1- غرفة المقاصة الإلكترونية  </t>
    </r>
    <r>
      <rPr>
        <b/>
        <sz val="16"/>
        <color rgb="FF993366"/>
        <rFont val="Arial"/>
        <family val="2"/>
      </rPr>
      <t xml:space="preserve">                                    </t>
    </r>
  </si>
  <si>
    <t>(Number of transactions (thousand</t>
  </si>
  <si>
    <t>عدد العمليات (بالألف)</t>
  </si>
  <si>
    <t>(Value of transactions (LE mn</t>
  </si>
  <si>
    <t>قيمة العمليات (بالمليون جنيه)</t>
  </si>
  <si>
    <t>2- Other Transactions via RTGS</t>
  </si>
  <si>
    <t>2- العمليات الأخرى التى تمت من خلال نظام (RTGS)</t>
  </si>
  <si>
    <t>(Number of transactions (in unit</t>
  </si>
  <si>
    <t>عدد العمليات (بالوحدة)</t>
  </si>
  <si>
    <t>Foreign Currency Transfers (Dollar Interbank Transactions) via the Fin-Copy System</t>
  </si>
  <si>
    <r>
      <t>التحويلات بالعملة الأجنبية (عمليات الانتربنك الدولارى) بنظام Fin-Copy</t>
    </r>
    <r>
      <rPr>
        <b/>
        <u/>
        <vertAlign val="superscript"/>
        <sz val="16"/>
        <color rgb="FF993366"/>
        <rFont val="Arial"/>
        <family val="2"/>
      </rPr>
      <t xml:space="preserve"> </t>
    </r>
  </si>
  <si>
    <t xml:space="preserve">   Number of transactions (in unit)</t>
  </si>
  <si>
    <t xml:space="preserve">   Value of  transactions (US$ mn)</t>
  </si>
  <si>
    <t>قيمة العمليات ( بالمليون دولار )</t>
  </si>
  <si>
    <t>May</t>
  </si>
  <si>
    <t>Jan.</t>
  </si>
  <si>
    <t>Feb.</t>
  </si>
  <si>
    <t>Mar.</t>
  </si>
  <si>
    <t>Apr.</t>
  </si>
  <si>
    <t>Jun.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</si>
</sst>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6">
    <font>
      <sz val="10"/>
      <name val="Arial"/>
      <family val="2"/>
    </font>
    <font>
      <sz val="10"/>
      <name val="Arial"/>
      <family val="2"/>
    </font>
    <font>
      <sz val="16"/>
      <name val="Arial"/>
      <family val="1"/>
      <scheme val="minor"/>
    </font>
    <font>
      <b/>
      <u/>
      <sz val="16"/>
      <color indexed="8"/>
      <name val="Arial"/>
      <family val="2"/>
    </font>
    <font>
      <b/>
      <u/>
      <sz val="16"/>
      <name val="Arial"/>
      <family val="2"/>
    </font>
    <font>
      <b/>
      <sz val="16"/>
      <color indexed="8"/>
      <name val="Arial"/>
      <family val="1"/>
      <scheme val="minor"/>
    </font>
    <font>
      <b/>
      <sz val="16"/>
      <name val="Arial"/>
      <family val="1"/>
      <scheme val="minor"/>
    </font>
    <font>
      <b/>
      <sz val="16"/>
      <name val="Arial"/>
      <family val="2"/>
    </font>
    <font>
      <b/>
      <u/>
      <sz val="16"/>
      <name val="Arial"/>
      <family val="1"/>
      <scheme val="minor"/>
    </font>
    <font>
      <sz val="16"/>
      <name val="Arial"/>
      <family val="2"/>
    </font>
    <font>
      <b/>
      <u/>
      <sz val="16"/>
      <color rgb="FF993366"/>
      <name val="Arial"/>
      <family val="1"/>
      <scheme val="minor"/>
    </font>
    <font>
      <b/>
      <u/>
      <sz val="16"/>
      <color rgb="FF993366"/>
      <name val="Arial"/>
      <family val="2"/>
    </font>
    <font>
      <b/>
      <sz val="16"/>
      <color rgb="FF993366"/>
      <name val="Arial"/>
      <family val="1"/>
      <scheme val="minor"/>
    </font>
    <font>
      <b/>
      <sz val="16"/>
      <color rgb="FF993366"/>
      <name val="Arial"/>
      <family val="2"/>
    </font>
    <font>
      <b/>
      <u/>
      <vertAlign val="superscript"/>
      <sz val="16"/>
      <color rgb="FF993366"/>
      <name val="Arial"/>
      <family val="2"/>
    </font>
    <font>
      <vertAlign val="subscript"/>
      <sz val="16"/>
      <name val="Arial"/>
      <family val="2"/>
    </font>
    <font>
      <b/>
      <vertAlign val="subscript"/>
      <sz val="16"/>
      <name val="Arial"/>
      <family val="2"/>
    </font>
    <font>
      <sz val="10"/>
      <name val="Arabic Transparent"/>
      <charset val="178"/>
    </font>
    <font>
      <b/>
      <u/>
      <sz val="12"/>
      <name val="Arial"/>
      <family val="2"/>
      <scheme val="minor"/>
    </font>
    <font>
      <sz val="12"/>
      <name val="Arial"/>
      <family val="2"/>
      <scheme val="minor"/>
    </font>
    <font>
      <b/>
      <u/>
      <sz val="12"/>
      <color indexed="8"/>
      <name val="Arial"/>
      <family val="2"/>
      <scheme val="minor"/>
    </font>
    <font>
      <b/>
      <sz val="12"/>
      <name val="Arial"/>
      <family val="2"/>
      <scheme val="minor"/>
    </font>
    <font>
      <sz val="10"/>
      <name val="Arial"/>
      <family val="2"/>
      <charset val="178"/>
    </font>
    <font>
      <b/>
      <sz val="14"/>
      <name val="Times New (W1)"/>
      <family val="1"/>
    </font>
    <font>
      <b/>
      <sz val="14"/>
      <name val="Arial"/>
      <family val="2"/>
    </font>
    <font>
      <b/>
      <u/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7" fillId="0" borderId="0" applyNumberFormat="0">
      <alignment horizontal="right"/>
    </xf>
    <xf numFmtId="0" fontId="1" fillId="0" borderId="0"/>
    <xf numFmtId="0" fontId="1" fillId="0" borderId="0"/>
    <xf numFmtId="0" fontId="1" fillId="0" borderId="0"/>
    <xf numFmtId="0" fontId="1" fillId="0" borderId="0"/>
  </cellStyleXfs>
  <cellXfs count="47">
    <xf numFmtId="0" fontId="0" fillId="0" borderId="0" xfId="0"/>
    <xf numFmtId="0" fontId="2" fillId="0" borderId="0" xfId="0" applyFont="1" applyFill="1" applyAlignment="1">
      <alignment horizontal="left" vertical="center"/>
    </xf>
    <xf numFmtId="0" fontId="3" fillId="0" borderId="0" xfId="0" applyFont="1" applyFill="1" applyBorder="1" applyAlignment="1">
      <alignment horizontal="right" vertical="center" readingOrder="1"/>
    </xf>
    <xf numFmtId="0" fontId="1" fillId="0" borderId="0" xfId="0" applyFont="1" applyFill="1"/>
    <xf numFmtId="164" fontId="4" fillId="0" borderId="0" xfId="0" applyNumberFormat="1" applyFont="1" applyFill="1" applyBorder="1" applyAlignment="1">
      <alignment horizontal="right" vertical="center" readingOrder="1"/>
    </xf>
    <xf numFmtId="0" fontId="5" fillId="0" borderId="1" xfId="0" applyFont="1" applyFill="1" applyBorder="1" applyAlignment="1">
      <alignment horizontal="left" vertical="center" readingOrder="1"/>
    </xf>
    <xf numFmtId="0" fontId="6" fillId="0" borderId="2" xfId="0" applyFont="1" applyFill="1" applyBorder="1" applyAlignment="1">
      <alignment horizontal="left" vertical="center" readingOrder="1"/>
    </xf>
    <xf numFmtId="0" fontId="7" fillId="0" borderId="2" xfId="0" applyFont="1" applyFill="1" applyBorder="1" applyAlignment="1">
      <alignment horizontal="right" vertical="center" readingOrder="2"/>
    </xf>
    <xf numFmtId="164" fontId="6" fillId="0" borderId="2" xfId="0" applyNumberFormat="1" applyFont="1" applyFill="1" applyBorder="1" applyAlignment="1">
      <alignment horizontal="left" vertical="center" readingOrder="2"/>
    </xf>
    <xf numFmtId="0" fontId="8" fillId="0" borderId="3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right" vertical="center" readingOrder="2"/>
    </xf>
    <xf numFmtId="164" fontId="1" fillId="0" borderId="0" xfId="0" applyNumberFormat="1" applyFont="1" applyFill="1"/>
    <xf numFmtId="0" fontId="10" fillId="0" borderId="4" xfId="0" applyFont="1" applyFill="1" applyBorder="1" applyAlignment="1">
      <alignment horizontal="left" vertical="center" readingOrder="1"/>
    </xf>
    <xf numFmtId="0" fontId="11" fillId="0" borderId="4" xfId="0" applyFont="1" applyFill="1" applyBorder="1" applyAlignment="1">
      <alignment horizontal="right" vertical="center" readingOrder="2"/>
    </xf>
    <xf numFmtId="0" fontId="12" fillId="0" borderId="4" xfId="0" applyFont="1" applyFill="1" applyBorder="1" applyAlignment="1">
      <alignment horizontal="left" vertical="center" readingOrder="1"/>
    </xf>
    <xf numFmtId="0" fontId="2" fillId="0" borderId="4" xfId="0" applyFont="1" applyFill="1" applyBorder="1" applyAlignment="1">
      <alignment horizontal="left" vertical="center" readingOrder="2"/>
    </xf>
    <xf numFmtId="0" fontId="9" fillId="0" borderId="4" xfId="0" quotePrefix="1" applyFont="1" applyFill="1" applyBorder="1" applyAlignment="1">
      <alignment horizontal="right" vertical="center" readingOrder="2"/>
    </xf>
    <xf numFmtId="0" fontId="10" fillId="0" borderId="4" xfId="0" applyFont="1" applyFill="1" applyBorder="1" applyAlignment="1">
      <alignment horizontal="left" vertical="center" wrapText="1" readingOrder="1"/>
    </xf>
    <xf numFmtId="0" fontId="2" fillId="0" borderId="5" xfId="0" applyFont="1" applyFill="1" applyBorder="1" applyAlignment="1">
      <alignment horizontal="left" vertical="center" readingOrder="2"/>
    </xf>
    <xf numFmtId="0" fontId="9" fillId="0" borderId="5" xfId="0" quotePrefix="1" applyFont="1" applyFill="1" applyBorder="1" applyAlignment="1">
      <alignment horizontal="right" vertical="center" readingOrder="2"/>
    </xf>
    <xf numFmtId="0" fontId="2" fillId="0" borderId="0" xfId="1" applyFont="1" applyFill="1" applyBorder="1" applyAlignment="1">
      <alignment horizontal="left" vertical="center"/>
    </xf>
    <xf numFmtId="0" fontId="9" fillId="0" borderId="0" xfId="1" quotePrefix="1" applyFont="1" applyFill="1" applyBorder="1" applyAlignment="1">
      <alignment horizontal="right" vertical="center" indent="1" readingOrder="2"/>
    </xf>
    <xf numFmtId="0" fontId="15" fillId="0" borderId="0" xfId="1" applyFont="1" applyFill="1" applyBorder="1" applyAlignment="1">
      <alignment horizontal="right" vertical="center" readingOrder="2"/>
    </xf>
    <xf numFmtId="0" fontId="15" fillId="0" borderId="0" xfId="1" applyFont="1" applyFill="1" applyBorder="1" applyAlignment="1">
      <alignment horizontal="right" vertical="center" indent="1" readingOrder="2"/>
    </xf>
    <xf numFmtId="0" fontId="9" fillId="0" borderId="0" xfId="0" applyFont="1" applyFill="1" applyAlignment="1">
      <alignment horizontal="right" vertical="center"/>
    </xf>
    <xf numFmtId="0" fontId="16" fillId="0" borderId="0" xfId="1" quotePrefix="1" applyFont="1" applyFill="1" applyBorder="1" applyAlignment="1">
      <alignment horizontal="right" vertical="center" indent="1" readingOrder="2"/>
    </xf>
    <xf numFmtId="1" fontId="19" fillId="0" borderId="4" xfId="0" applyNumberFormat="1" applyFont="1" applyFill="1" applyBorder="1" applyAlignment="1">
      <alignment horizontal="center" readingOrder="1"/>
    </xf>
    <xf numFmtId="1" fontId="18" fillId="0" borderId="4" xfId="0" applyNumberFormat="1" applyFont="1" applyFill="1" applyBorder="1" applyAlignment="1">
      <alignment horizontal="center" readingOrder="1"/>
    </xf>
    <xf numFmtId="164" fontId="18" fillId="0" borderId="0" xfId="0" applyNumberFormat="1" applyFont="1" applyFill="1" applyBorder="1" applyAlignment="1">
      <alignment vertical="center" readingOrder="1"/>
    </xf>
    <xf numFmtId="164" fontId="21" fillId="0" borderId="1" xfId="0" applyNumberFormat="1" applyFont="1" applyFill="1" applyBorder="1" applyAlignment="1">
      <alignment vertical="center" readingOrder="2"/>
    </xf>
    <xf numFmtId="0" fontId="19" fillId="0" borderId="0" xfId="0" applyFont="1" applyFill="1"/>
    <xf numFmtId="0" fontId="19" fillId="0" borderId="4" xfId="0" applyFont="1" applyFill="1" applyBorder="1"/>
    <xf numFmtId="0" fontId="21" fillId="0" borderId="0" xfId="0" quotePrefix="1" applyFont="1" applyFill="1" applyAlignment="1">
      <alignment horizontal="left" readingOrder="1"/>
    </xf>
    <xf numFmtId="0" fontId="19" fillId="0" borderId="0" xfId="0" applyFont="1" applyFill="1" applyAlignment="1">
      <alignment readingOrder="1"/>
    </xf>
    <xf numFmtId="0" fontId="21" fillId="0" borderId="2" xfId="0" applyFont="1" applyFill="1" applyBorder="1" applyAlignment="1">
      <alignment horizontal="center" vertical="center" wrapText="1" readingOrder="1"/>
    </xf>
    <xf numFmtId="1" fontId="19" fillId="0" borderId="4" xfId="0" applyNumberFormat="1" applyFont="1" applyFill="1" applyBorder="1" applyAlignment="1">
      <alignment horizontal="center" vertical="center" readingOrder="1"/>
    </xf>
    <xf numFmtId="1" fontId="19" fillId="0" borderId="5" xfId="0" applyNumberFormat="1" applyFont="1" applyFill="1" applyBorder="1" applyAlignment="1">
      <alignment horizontal="center" vertical="center" readingOrder="1"/>
    </xf>
    <xf numFmtId="1" fontId="22" fillId="0" borderId="4" xfId="6" applyNumberFormat="1" applyFont="1" applyFill="1" applyBorder="1" applyAlignment="1">
      <alignment horizontal="center" vertical="center"/>
    </xf>
    <xf numFmtId="1" fontId="22" fillId="0" borderId="6" xfId="6" applyNumberFormat="1" applyFont="1" applyFill="1" applyBorder="1" applyAlignment="1">
      <alignment horizontal="center" vertical="center"/>
    </xf>
    <xf numFmtId="1" fontId="22" fillId="0" borderId="5" xfId="6" applyNumberFormat="1" applyFont="1" applyFill="1" applyBorder="1" applyAlignment="1">
      <alignment horizontal="center" vertical="center"/>
    </xf>
    <xf numFmtId="1" fontId="22" fillId="0" borderId="7" xfId="6" applyNumberFormat="1" applyFont="1" applyFill="1" applyBorder="1" applyAlignment="1">
      <alignment horizontal="center" vertical="center"/>
    </xf>
    <xf numFmtId="164" fontId="1" fillId="0" borderId="3" xfId="0" applyNumberFormat="1" applyFont="1" applyFill="1" applyBorder="1"/>
    <xf numFmtId="164" fontId="1" fillId="0" borderId="4" xfId="0" applyNumberFormat="1" applyFont="1" applyFill="1" applyBorder="1"/>
    <xf numFmtId="0" fontId="20" fillId="0" borderId="0" xfId="0" applyFont="1" applyFill="1" applyBorder="1" applyAlignment="1">
      <alignment horizontal="center" vertical="center" readingOrder="1"/>
    </xf>
    <xf numFmtId="164" fontId="23" fillId="0" borderId="1" xfId="0" applyNumberFormat="1" applyFont="1" applyFill="1" applyBorder="1" applyAlignment="1">
      <alignment vertical="center" readingOrder="2"/>
    </xf>
    <xf numFmtId="0" fontId="24" fillId="0" borderId="2" xfId="0" applyFont="1" applyFill="1" applyBorder="1" applyAlignment="1">
      <alignment horizontal="right" vertical="center" readingOrder="2"/>
    </xf>
    <xf numFmtId="0" fontId="25" fillId="0" borderId="2" xfId="0" applyFont="1" applyFill="1" applyBorder="1" applyAlignment="1">
      <alignment horizontal="center" vertical="center" wrapText="1" readingOrder="1"/>
    </xf>
  </cellXfs>
  <cellStyles count="7">
    <cellStyle name="MS_Arabic" xfId="2"/>
    <cellStyle name="Normal" xfId="0" builtinId="0"/>
    <cellStyle name="Normal 2" xfId="3"/>
    <cellStyle name="Normal 3" xfId="4"/>
    <cellStyle name="Normal 3 2" xfId="5"/>
    <cellStyle name="Normal_Table Rafik To Mohmoud_1-10_13" xfId="1"/>
    <cellStyle name="Normal_Table Rafik To Mohmoud_1-10_13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2"/>
  <sheetViews>
    <sheetView tabSelected="1" workbookViewId="0">
      <selection activeCell="Q12" sqref="Q12"/>
    </sheetView>
  </sheetViews>
  <sheetFormatPr defaultColWidth="9.140625" defaultRowHeight="20.25"/>
  <cols>
    <col min="1" max="1" width="126.140625" style="1" bestFit="1" customWidth="1"/>
    <col min="2" max="2" width="85.85546875" style="24" customWidth="1"/>
    <col min="3" max="3" width="10.7109375" style="33" customWidth="1"/>
    <col min="4" max="8" width="10.7109375" style="30" customWidth="1"/>
    <col min="9" max="14" width="10.7109375" style="3" customWidth="1"/>
    <col min="15" max="17" width="9.140625" style="3"/>
    <col min="18" max="18" width="9.28515625" style="3" bestFit="1" customWidth="1"/>
    <col min="19" max="16384" width="9.140625" style="3"/>
  </cols>
  <sheetData>
    <row r="1" spans="1:22" ht="24.95" customHeight="1">
      <c r="B1" s="2"/>
      <c r="C1" s="43"/>
      <c r="D1" s="43"/>
      <c r="E1" s="43"/>
      <c r="F1" s="43"/>
      <c r="G1" s="43"/>
      <c r="H1" s="43"/>
    </row>
    <row r="2" spans="1:22" ht="24.95" customHeight="1">
      <c r="B2" s="4"/>
      <c r="C2" s="28"/>
      <c r="D2" s="28"/>
      <c r="E2" s="28"/>
      <c r="F2" s="28"/>
      <c r="G2" s="28"/>
      <c r="H2" s="28"/>
    </row>
    <row r="3" spans="1:22" ht="24.95" customHeight="1">
      <c r="A3" s="5" t="s">
        <v>0</v>
      </c>
      <c r="B3" s="44" t="s">
        <v>1</v>
      </c>
      <c r="C3" s="29"/>
      <c r="D3" s="29"/>
    </row>
    <row r="4" spans="1:22" ht="30.75" customHeight="1">
      <c r="A4" s="6" t="s">
        <v>2</v>
      </c>
      <c r="B4" s="45" t="s">
        <v>3</v>
      </c>
      <c r="C4" s="46">
        <v>2015</v>
      </c>
      <c r="D4" s="46"/>
      <c r="E4" s="46"/>
      <c r="F4" s="46"/>
      <c r="G4" s="46"/>
      <c r="H4" s="46"/>
      <c r="I4" s="46">
        <v>2016</v>
      </c>
      <c r="J4" s="46"/>
      <c r="K4" s="46"/>
      <c r="L4" s="46"/>
      <c r="M4" s="46"/>
      <c r="N4" s="46"/>
    </row>
    <row r="5" spans="1:22" ht="28.5" customHeight="1">
      <c r="A5" s="8" t="s">
        <v>4</v>
      </c>
      <c r="B5" s="7" t="s">
        <v>5</v>
      </c>
      <c r="C5" s="34" t="s">
        <v>6</v>
      </c>
      <c r="D5" s="34" t="s">
        <v>7</v>
      </c>
      <c r="E5" s="34" t="s">
        <v>8</v>
      </c>
      <c r="F5" s="34" t="s">
        <v>9</v>
      </c>
      <c r="G5" s="34" t="s">
        <v>10</v>
      </c>
      <c r="H5" s="34" t="s">
        <v>11</v>
      </c>
      <c r="I5" s="34" t="s">
        <v>30</v>
      </c>
      <c r="J5" s="34" t="s">
        <v>31</v>
      </c>
      <c r="K5" s="34" t="s">
        <v>32</v>
      </c>
      <c r="L5" s="34" t="s">
        <v>33</v>
      </c>
      <c r="M5" s="34" t="s">
        <v>29</v>
      </c>
      <c r="N5" s="34" t="s">
        <v>34</v>
      </c>
    </row>
    <row r="6" spans="1:22" ht="24.95" customHeight="1">
      <c r="A6" s="9"/>
      <c r="B6" s="10"/>
      <c r="C6" s="31"/>
      <c r="D6" s="31"/>
      <c r="E6" s="31"/>
      <c r="F6" s="31"/>
      <c r="G6" s="31"/>
      <c r="H6" s="31"/>
      <c r="I6" s="41"/>
      <c r="J6" s="41"/>
      <c r="K6" s="41"/>
      <c r="L6" s="41"/>
      <c r="M6" s="41"/>
      <c r="N6" s="41"/>
      <c r="O6" s="11"/>
      <c r="P6" s="11"/>
      <c r="Q6" s="11"/>
    </row>
    <row r="7" spans="1:22" ht="24.95" customHeight="1">
      <c r="A7" s="12" t="s">
        <v>12</v>
      </c>
      <c r="B7" s="13" t="s">
        <v>13</v>
      </c>
      <c r="C7" s="27"/>
      <c r="D7" s="27"/>
      <c r="E7" s="27"/>
      <c r="F7" s="27"/>
      <c r="G7" s="27"/>
      <c r="H7" s="27"/>
      <c r="I7" s="42"/>
      <c r="J7" s="42"/>
      <c r="K7" s="42"/>
      <c r="L7" s="42"/>
      <c r="M7" s="42"/>
      <c r="N7" s="42"/>
      <c r="O7" s="11"/>
      <c r="P7" s="11"/>
      <c r="Q7" s="11"/>
    </row>
    <row r="8" spans="1:22" ht="24.95" customHeight="1">
      <c r="A8" s="14" t="s">
        <v>14</v>
      </c>
      <c r="B8" s="13" t="s">
        <v>15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11"/>
      <c r="P8" s="11"/>
      <c r="Q8" s="11"/>
    </row>
    <row r="9" spans="1:22" ht="24.95" customHeight="1">
      <c r="A9" s="15" t="s">
        <v>16</v>
      </c>
      <c r="B9" s="16" t="s">
        <v>17</v>
      </c>
      <c r="C9" s="35">
        <v>1060.127</v>
      </c>
      <c r="D9" s="35">
        <v>1134.614</v>
      </c>
      <c r="E9" s="35">
        <v>1094.3900000000001</v>
      </c>
      <c r="F9" s="35">
        <v>1049.347</v>
      </c>
      <c r="G9" s="35">
        <v>1212</v>
      </c>
      <c r="H9" s="35">
        <v>1217.739</v>
      </c>
      <c r="I9" s="37">
        <v>1033.4559999999999</v>
      </c>
      <c r="J9" s="37">
        <v>1132.479</v>
      </c>
      <c r="K9" s="37">
        <v>1239</v>
      </c>
      <c r="L9" s="37">
        <v>999</v>
      </c>
      <c r="M9" s="37">
        <v>1251.788</v>
      </c>
      <c r="N9" s="37">
        <v>1076.8710000000001</v>
      </c>
      <c r="O9" s="11"/>
      <c r="P9" s="11"/>
      <c r="Q9" s="11"/>
    </row>
    <row r="10" spans="1:22" ht="24.95" customHeight="1">
      <c r="A10" s="15" t="s">
        <v>18</v>
      </c>
      <c r="B10" s="16" t="s">
        <v>19</v>
      </c>
      <c r="C10" s="35">
        <v>84.37670053171999</v>
      </c>
      <c r="D10" s="35">
        <v>83.321697919000002</v>
      </c>
      <c r="E10" s="35">
        <v>97.126993521659998</v>
      </c>
      <c r="F10" s="35">
        <v>81.145289272410011</v>
      </c>
      <c r="G10" s="35">
        <v>85.945999999999998</v>
      </c>
      <c r="H10" s="35">
        <v>87.614198333320005</v>
      </c>
      <c r="I10" s="35">
        <f>79582.90121178/1000</f>
        <v>79.582901211779998</v>
      </c>
      <c r="J10" s="35">
        <f>84008.05621822/1000</f>
        <v>84.008056218219991</v>
      </c>
      <c r="K10" s="35">
        <f>92412.63476706/1000</f>
        <v>92.412634767059998</v>
      </c>
      <c r="L10" s="35">
        <f>80357/1000</f>
        <v>80.356999999999999</v>
      </c>
      <c r="M10" s="35">
        <f>100825.01720555/1000</f>
        <v>100.82501720555</v>
      </c>
      <c r="N10" s="35">
        <v>90.5</v>
      </c>
      <c r="O10" s="11"/>
      <c r="P10" s="11"/>
      <c r="Q10" s="11"/>
      <c r="R10" s="11"/>
      <c r="S10" s="11"/>
      <c r="T10" s="11"/>
      <c r="U10" s="11"/>
      <c r="V10" s="11"/>
    </row>
    <row r="11" spans="1:22" ht="24.95" customHeight="1">
      <c r="A11" s="12" t="s">
        <v>20</v>
      </c>
      <c r="B11" s="13" t="s">
        <v>21</v>
      </c>
      <c r="C11" s="27"/>
      <c r="D11" s="27"/>
      <c r="E11" s="27"/>
      <c r="F11" s="27"/>
      <c r="G11" s="27"/>
      <c r="H11" s="27"/>
      <c r="I11" s="37"/>
      <c r="J11" s="38"/>
      <c r="K11" s="37"/>
      <c r="L11" s="37"/>
      <c r="M11" s="37"/>
      <c r="N11" s="37"/>
      <c r="O11" s="11"/>
      <c r="P11" s="11"/>
      <c r="Q11" s="11"/>
    </row>
    <row r="12" spans="1:22" ht="24.95" customHeight="1">
      <c r="A12" s="15" t="s">
        <v>22</v>
      </c>
      <c r="B12" s="16" t="s">
        <v>23</v>
      </c>
      <c r="C12" s="35">
        <v>87553</v>
      </c>
      <c r="D12" s="35">
        <v>86331</v>
      </c>
      <c r="E12" s="35">
        <v>83519</v>
      </c>
      <c r="F12" s="35">
        <v>81900</v>
      </c>
      <c r="G12" s="35">
        <v>90086</v>
      </c>
      <c r="H12" s="35">
        <v>93718</v>
      </c>
      <c r="I12" s="37">
        <v>82483</v>
      </c>
      <c r="J12" s="38">
        <v>87104</v>
      </c>
      <c r="K12" s="37">
        <v>96539</v>
      </c>
      <c r="L12" s="37">
        <v>87801</v>
      </c>
      <c r="M12" s="37">
        <v>98872</v>
      </c>
      <c r="N12" s="37">
        <f>97477+1165</f>
        <v>98642</v>
      </c>
      <c r="O12" s="11"/>
      <c r="P12" s="11"/>
      <c r="Q12" s="11"/>
    </row>
    <row r="13" spans="1:22" ht="24.95" customHeight="1">
      <c r="A13" s="15" t="s">
        <v>18</v>
      </c>
      <c r="B13" s="16" t="s">
        <v>19</v>
      </c>
      <c r="C13" s="37">
        <v>2200.1157221601002</v>
      </c>
      <c r="D13" s="37">
        <v>2173.9311869879998</v>
      </c>
      <c r="E13" s="37">
        <v>2927.9729690629197</v>
      </c>
      <c r="F13" s="37">
        <v>2409.7960340489303</v>
      </c>
      <c r="G13" s="37">
        <v>2354.6970000000001</v>
      </c>
      <c r="H13" s="37">
        <v>2727.8729971306702</v>
      </c>
      <c r="I13" s="37">
        <f>2163973.98005878/1000</f>
        <v>2163.9739800587799</v>
      </c>
      <c r="J13" s="38">
        <f>2280715.15591243/1000</f>
        <v>2280.71515591243</v>
      </c>
      <c r="K13" s="37">
        <f>2810982.92600353/1000</f>
        <v>2810.9829260035303</v>
      </c>
      <c r="L13" s="37">
        <f>2132668.251/1000</f>
        <v>2132.6682510000001</v>
      </c>
      <c r="M13" s="37">
        <f>3054663/1000</f>
        <v>3054.663</v>
      </c>
      <c r="N13" s="37">
        <f>669.1+1802.6</f>
        <v>2471.6999999999998</v>
      </c>
      <c r="O13" s="11"/>
      <c r="P13" s="11"/>
      <c r="Q13" s="11"/>
      <c r="R13" s="11"/>
      <c r="S13" s="11"/>
      <c r="T13" s="11"/>
    </row>
    <row r="14" spans="1:22" ht="24.95" customHeight="1">
      <c r="A14" s="17" t="s">
        <v>24</v>
      </c>
      <c r="B14" s="13" t="s">
        <v>25</v>
      </c>
      <c r="C14" s="26"/>
      <c r="D14" s="26"/>
      <c r="E14" s="26"/>
      <c r="F14" s="26"/>
      <c r="G14" s="26"/>
      <c r="H14" s="26"/>
      <c r="I14" s="37"/>
      <c r="J14" s="37"/>
      <c r="K14" s="37"/>
      <c r="L14" s="37"/>
      <c r="M14" s="37"/>
      <c r="N14" s="37"/>
      <c r="O14" s="11"/>
      <c r="P14" s="11"/>
      <c r="Q14" s="11"/>
    </row>
    <row r="15" spans="1:22" ht="24.95" customHeight="1">
      <c r="A15" s="15" t="s">
        <v>26</v>
      </c>
      <c r="B15" s="16" t="s">
        <v>23</v>
      </c>
      <c r="C15" s="35">
        <v>337</v>
      </c>
      <c r="D15" s="35">
        <v>405</v>
      </c>
      <c r="E15" s="35">
        <v>374</v>
      </c>
      <c r="F15" s="35">
        <v>413</v>
      </c>
      <c r="G15" s="35">
        <v>416</v>
      </c>
      <c r="H15" s="35">
        <v>284</v>
      </c>
      <c r="I15" s="37">
        <v>187</v>
      </c>
      <c r="J15" s="38">
        <v>293</v>
      </c>
      <c r="K15" s="37">
        <v>333</v>
      </c>
      <c r="L15" s="37">
        <v>135</v>
      </c>
      <c r="M15" s="37">
        <v>105</v>
      </c>
      <c r="N15" s="37">
        <v>117</v>
      </c>
      <c r="O15" s="11"/>
      <c r="P15" s="11"/>
      <c r="Q15" s="11"/>
    </row>
    <row r="16" spans="1:22" ht="24.95" customHeight="1">
      <c r="A16" s="18" t="s">
        <v>27</v>
      </c>
      <c r="B16" s="19" t="s">
        <v>28</v>
      </c>
      <c r="C16" s="36">
        <v>381.1</v>
      </c>
      <c r="D16" s="36">
        <v>455.5</v>
      </c>
      <c r="E16" s="36">
        <v>415.6</v>
      </c>
      <c r="F16" s="36">
        <v>454.8</v>
      </c>
      <c r="G16" s="36">
        <v>464</v>
      </c>
      <c r="H16" s="36">
        <v>586</v>
      </c>
      <c r="I16" s="39">
        <v>433</v>
      </c>
      <c r="J16" s="40">
        <v>506.8</v>
      </c>
      <c r="K16" s="39">
        <v>1385.27</v>
      </c>
      <c r="L16" s="39">
        <v>573</v>
      </c>
      <c r="M16" s="39">
        <v>3310.4079999999999</v>
      </c>
      <c r="N16" s="39">
        <v>291</v>
      </c>
      <c r="O16" s="11"/>
      <c r="P16" s="11"/>
      <c r="Q16" s="11"/>
    </row>
    <row r="17" spans="1:17">
      <c r="A17" s="20"/>
      <c r="B17" s="21"/>
      <c r="C17" s="30"/>
      <c r="O17" s="11"/>
      <c r="P17" s="11"/>
      <c r="Q17" s="11"/>
    </row>
    <row r="18" spans="1:17" ht="23.25">
      <c r="A18" s="20"/>
      <c r="B18" s="22"/>
      <c r="C18" s="30"/>
      <c r="O18" s="11"/>
      <c r="P18" s="11"/>
      <c r="Q18" s="11"/>
    </row>
    <row r="19" spans="1:17" ht="23.25">
      <c r="A19" s="20"/>
      <c r="B19" s="23"/>
      <c r="C19" s="30"/>
      <c r="I19" s="11"/>
      <c r="J19" s="11"/>
      <c r="K19" s="11"/>
      <c r="L19" s="11"/>
      <c r="M19" s="11"/>
      <c r="N19" s="11"/>
      <c r="O19" s="11"/>
      <c r="P19" s="11"/>
      <c r="Q19" s="11"/>
    </row>
    <row r="20" spans="1:17">
      <c r="C20" s="30"/>
      <c r="I20" s="11"/>
      <c r="J20" s="11"/>
      <c r="K20" s="11"/>
      <c r="L20" s="11"/>
      <c r="M20" s="11"/>
      <c r="N20" s="11"/>
      <c r="O20" s="11"/>
      <c r="P20" s="11"/>
      <c r="Q20" s="11"/>
    </row>
    <row r="21" spans="1:17" ht="23.25">
      <c r="A21" s="20"/>
      <c r="B21" s="22"/>
      <c r="C21" s="30"/>
      <c r="I21" s="11"/>
      <c r="J21" s="11"/>
      <c r="K21" s="11"/>
      <c r="L21" s="11"/>
      <c r="M21" s="11"/>
      <c r="N21" s="11"/>
      <c r="O21" s="11"/>
      <c r="P21" s="11"/>
      <c r="Q21" s="11"/>
    </row>
    <row r="22" spans="1:17" ht="23.25">
      <c r="A22" s="20"/>
      <c r="B22" s="25"/>
      <c r="C22" s="32"/>
    </row>
  </sheetData>
  <mergeCells count="3">
    <mergeCell ref="C1:H1"/>
    <mergeCell ref="C4:H4"/>
    <mergeCell ref="I4:N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Monthly</Frequency>
    <_dlc_DocId xmlns="806035d9-ad3b-44db-92a1-1ed4b9daec3e">7NQWTN4WQ7WA-971242747-1316</_dlc_DocId>
    <_dlc_DocIdUrl xmlns="806035d9-ad3b-44db-92a1-1ed4b9daec3e">
      <Url>http://cbe-test-spsql:4050/_layouts/15/DocIdRedir.aspx?ID=7NQWTN4WQ7WA-971242747-1316</Url>
      <Description>7NQWTN4WQ7WA-971242747-1316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183BD4-5DA8-45EE-9464-74BA34CF3D3A}"/>
</file>

<file path=customXml/itemProps2.xml><?xml version="1.0" encoding="utf-8"?>
<ds:datastoreItem xmlns:ds="http://schemas.openxmlformats.org/officeDocument/2006/customXml" ds:itemID="{36D25B6A-C2A1-4554-ADE6-C2826998C07D}"/>
</file>

<file path=customXml/itemProps3.xml><?xml version="1.0" encoding="utf-8"?>
<ds:datastoreItem xmlns:ds="http://schemas.openxmlformats.org/officeDocument/2006/customXml" ds:itemID="{DAA144EC-AE82-4E40-96E8-F7746D640FB6}"/>
</file>

<file path=customXml/itemProps4.xml><?xml version="1.0" encoding="utf-8"?>
<ds:datastoreItem xmlns:ds="http://schemas.openxmlformats.org/officeDocument/2006/customXml" ds:itemID="{36D25B6A-C2A1-4554-ADE6-C2826998C07D}"/>
</file>

<file path=customXml/itemProps5.xml><?xml version="1.0" encoding="utf-8"?>
<ds:datastoreItem xmlns:ds="http://schemas.openxmlformats.org/officeDocument/2006/customXml" ds:itemID="{9DE75204-7978-4948-BB14-0C416DD17C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2015-2016</vt:lpstr>
      <vt:lpstr>'2015-2016'!Print_Area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Clearing House Activities_monthly 2015-2016</dc:title>
  <dc:creator>Shaimaa Mostafa</dc:creator>
  <cp:lastModifiedBy>Rafik Reda</cp:lastModifiedBy>
  <cp:lastPrinted>2016-12-08T12:05:54Z</cp:lastPrinted>
  <dcterms:created xsi:type="dcterms:W3CDTF">2016-05-31T11:48:43Z</dcterms:created>
  <dcterms:modified xsi:type="dcterms:W3CDTF">2016-12-18T09:17:48Z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cca6c43d-0856-4b91-8593-0a00d9146bbd</vt:lpwstr>
  </property>
</Properties>
</file>