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E86F24EC-29F3-4968-8532-55B2DB686BA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Print_Area" localSheetId="0">Sheet1!$A$1:$X$31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E7" i="1"/>
  <c r="F7" i="1"/>
  <c r="G7" i="1"/>
  <c r="H7" i="1"/>
  <c r="I7" i="1"/>
  <c r="J7" i="1"/>
  <c r="K7" i="1"/>
  <c r="L7" i="1"/>
  <c r="M7" i="1"/>
  <c r="N7" i="1"/>
  <c r="C7" i="1"/>
</calcChain>
</file>

<file path=xl/sharedStrings.xml><?xml version="1.0" encoding="utf-8"?>
<sst xmlns="http://schemas.openxmlformats.org/spreadsheetml/2006/main" count="50" uniqueCount="50">
  <si>
    <t xml:space="preserve">                                                                                 (US$ mn)</t>
  </si>
  <si>
    <t xml:space="preserve">End of      </t>
  </si>
  <si>
    <t>June</t>
  </si>
  <si>
    <t xml:space="preserve">الميسرة </t>
  </si>
  <si>
    <t xml:space="preserve">    ODA</t>
  </si>
  <si>
    <t>غير الميسرة</t>
  </si>
  <si>
    <t xml:space="preserve">    Non-ODA</t>
  </si>
  <si>
    <t>Other bilateral debt</t>
  </si>
  <si>
    <t>دول نادى باريس</t>
  </si>
  <si>
    <t xml:space="preserve">    Paris Club countries</t>
  </si>
  <si>
    <t>الدين قصير الأجل</t>
  </si>
  <si>
    <t>Short-term debt</t>
  </si>
  <si>
    <t xml:space="preserve">ديون القطاع الخاص (غير المضمونة) </t>
  </si>
  <si>
    <t>Private sector debt (non-guaranteed)</t>
  </si>
  <si>
    <t>الفوائد  المدفوعة#</t>
  </si>
  <si>
    <t>الأقساط  المسددة</t>
  </si>
  <si>
    <t>Principal (repaid)</t>
  </si>
  <si>
    <t xml:space="preserve">External Debt </t>
  </si>
  <si>
    <t>+   According to the agreement signed with Paris Club countries on 25/5/1991.</t>
  </si>
  <si>
    <t xml:space="preserve">تسهيلات الموردين  والمشترين </t>
  </si>
  <si>
    <t xml:space="preserve">المؤسسات الدولية </t>
  </si>
  <si>
    <t>Multilateral Institutions</t>
  </si>
  <si>
    <t xml:space="preserve">ودائع </t>
  </si>
  <si>
    <t xml:space="preserve">Deposits </t>
  </si>
  <si>
    <t xml:space="preserve">     Loans &amp; Trade Credits</t>
  </si>
  <si>
    <t xml:space="preserve">  القروض الثنائية الاخرى</t>
  </si>
  <si>
    <t>إجمالى الدين الخارجى</t>
  </si>
  <si>
    <t xml:space="preserve">Total External Debt </t>
  </si>
  <si>
    <t>Repo</t>
  </si>
  <si>
    <t xml:space="preserve">إعادة شراء أوراق مالية </t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</si>
  <si>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</si>
  <si>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 xml:space="preserve"> +</t>
    </r>
  </si>
  <si>
    <t xml:space="preserve">إجمالى أعباء خدمة الدين (خلال السنة المنتهية في يونيو) </t>
  </si>
  <si>
    <t>Total Debt Service (during the year ending June)</t>
  </si>
  <si>
    <r>
      <t>2746.4</t>
    </r>
    <r>
      <rPr>
        <vertAlign val="superscript"/>
        <sz val="12"/>
        <rFont val="Arial"/>
        <family val="2"/>
      </rPr>
      <t>++</t>
    </r>
  </si>
  <si>
    <r>
      <t>2861.6</t>
    </r>
    <r>
      <rPr>
        <vertAlign val="superscript"/>
        <sz val="12"/>
        <rFont val="Arial"/>
        <family val="2"/>
      </rPr>
      <t>++</t>
    </r>
  </si>
  <si>
    <r>
      <t>3213.5</t>
    </r>
    <r>
      <rPr>
        <vertAlign val="superscript"/>
        <sz val="12"/>
        <rFont val="Arial"/>
        <family val="2"/>
      </rPr>
      <t>++</t>
    </r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</si>
  <si>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</si>
  <si>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>Source: Central Bank of Egypt.</t>
  </si>
  <si>
    <r>
      <t xml:space="preserve">    Currency &amp; deposits</t>
    </r>
    <r>
      <rPr>
        <vertAlign val="superscript"/>
        <sz val="12"/>
        <rFont val="Arial"/>
        <family val="2"/>
      </rPr>
      <t>+++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</si>
  <si>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</si>
  <si>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r>
      <t>الدول الأخرى</t>
    </r>
    <r>
      <rPr>
        <vertAlign val="superscript"/>
        <sz val="12"/>
        <rFont val="Arial"/>
        <family val="2"/>
      </rPr>
      <t>++</t>
    </r>
  </si>
  <si>
    <t xml:space="preserve">Buyers' &amp;Suppliers' credit  </t>
  </si>
  <si>
    <r>
      <t xml:space="preserve"> عملات وودائع</t>
    </r>
    <r>
      <rPr>
        <vertAlign val="superscript"/>
        <sz val="12"/>
        <rFont val="Arial"/>
        <family val="2"/>
      </rPr>
      <t xml:space="preserve"> +++</t>
    </r>
  </si>
  <si>
    <t xml:space="preserve"> قروض وتسهيلات </t>
  </si>
  <si>
    <t>سندات وصكوك</t>
  </si>
  <si>
    <t xml:space="preserve"> Bonds &amp; Sukuk</t>
  </si>
  <si>
    <t>+++  Including Currency Swap Arrangements between the Central Bank of Egypt and international financial institutions.</t>
  </si>
  <si>
    <t>++  Including  liquidity support facility agreement provided by China Development Bank to the Central Bank of Egypt.</t>
  </si>
  <si>
    <t>#    Including interest payments on bonds floated abroad.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</si>
</sst>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-* #,##0.00_-;_-* #,##0.00\-;_-* &quot;-&quot;??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0.0"/>
    <numFmt numFmtId="168" formatCode="_(* #.##0.00_);_(* \(#.##0.00\);_(* &quot;-&quot;??_);_(@_)"/>
    <numFmt numFmtId="169" formatCode="_-[$€]* #,##0.00_-;\-[$€]* #,##0.00_-;_-[$€]* &quot;-&quot;??_-;_-@_-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indexed="8"/>
      <name val="Times New Roman"/>
      <family val="1"/>
      <charset val="178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0"/>
      <name val="Times New Roman"/>
      <family val="1"/>
      <charset val="178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b/>
      <sz val="12"/>
      <name val="Arial"/>
      <family val="2"/>
    </font>
    <font>
      <vertAlign val="superscript"/>
      <sz val="12"/>
      <name val="Arial"/>
      <family val="2"/>
    </font>
    <font>
      <sz val="10"/>
      <name val="Arial"/>
      <family val="2"/>
      <charset val="178"/>
    </font>
    <font>
      <b/>
      <sz val="10"/>
      <name val="Arial"/>
      <family val="2"/>
      <charset val="178"/>
    </font>
    <font>
      <b/>
      <vertAlign val="superscript"/>
      <sz val="12"/>
      <name val="Arial"/>
      <family val="2"/>
    </font>
    <font>
      <b/>
      <u/>
      <sz val="12"/>
      <color rgb="FF993366"/>
      <name val="Arial"/>
      <family val="2"/>
    </font>
    <font>
      <sz val="12"/>
      <color rgb="FF993366"/>
      <name val="Arial"/>
      <family val="2"/>
    </font>
    <font>
      <b/>
      <sz val="12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0" fontId="1" fillId="0" borderId="0"/>
    <xf numFmtId="0" fontId="1" fillId="0" borderId="0"/>
    <xf numFmtId="0" fontId="7" fillId="0" borderId="0"/>
    <xf numFmtId="0" fontId="1" fillId="0" borderId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 applyNumberFormat="0">
      <alignment horizontal="right"/>
    </xf>
    <xf numFmtId="9" fontId="1" fillId="0" borderId="0" applyFont="0" applyFill="0" applyBorder="0" applyAlignment="0" applyProtection="0"/>
    <xf numFmtId="0" fontId="8" fillId="0" borderId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" fillId="0" borderId="0">
      <alignment vertical="top"/>
    </xf>
    <xf numFmtId="0" fontId="10" fillId="0" borderId="0">
      <alignment vertical="top"/>
    </xf>
    <xf numFmtId="0" fontId="1" fillId="0" borderId="0"/>
    <xf numFmtId="4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1" xfId="0" applyFont="1" applyFill="1" applyBorder="1" applyAlignment="1">
      <alignment horizontal="right" readingOrder="1"/>
    </xf>
    <xf numFmtId="0" fontId="3" fillId="0" borderId="0" xfId="1" applyFont="1" applyFill="1" applyBorder="1" applyAlignment="1" applyProtection="1">
      <alignment horizontal="right" readingOrder="1"/>
      <protection hidden="1"/>
    </xf>
    <xf numFmtId="0" fontId="4" fillId="0" borderId="0" xfId="1" applyFont="1" applyAlignment="1" applyProtection="1">
      <alignment vertical="center" readingOrder="1"/>
      <protection hidden="1"/>
    </xf>
    <xf numFmtId="0" fontId="3" fillId="0" borderId="0" xfId="1" applyFont="1" applyFill="1" applyBorder="1" applyAlignment="1" applyProtection="1">
      <alignment readingOrder="1"/>
      <protection hidden="1"/>
    </xf>
    <xf numFmtId="0" fontId="4" fillId="0" borderId="0" xfId="1" applyFont="1" applyFill="1" applyAlignment="1" applyProtection="1">
      <alignment vertical="center" readingOrder="1"/>
      <protection hidden="1"/>
    </xf>
    <xf numFmtId="0" fontId="3" fillId="0" borderId="0" xfId="0" applyFont="1" applyFill="1" applyAlignment="1">
      <alignment horizontal="right" readingOrder="1"/>
    </xf>
    <xf numFmtId="0" fontId="5" fillId="0" borderId="1" xfId="0" applyFont="1" applyFill="1" applyBorder="1" applyAlignment="1">
      <alignment horizontal="right" readingOrder="1"/>
    </xf>
    <xf numFmtId="0" fontId="6" fillId="0" borderId="1" xfId="0" applyFont="1" applyFill="1" applyBorder="1" applyAlignment="1">
      <alignment horizontal="right" readingOrder="1"/>
    </xf>
    <xf numFmtId="0" fontId="8" fillId="0" borderId="0" xfId="0" applyFont="1"/>
    <xf numFmtId="0" fontId="11" fillId="0" borderId="1" xfId="0" quotePrefix="1" applyFont="1" applyFill="1" applyBorder="1" applyAlignment="1">
      <alignment horizontal="right" readingOrder="2"/>
    </xf>
    <xf numFmtId="167" fontId="8" fillId="0" borderId="1" xfId="1" applyNumberFormat="1" applyFont="1" applyFill="1" applyBorder="1" applyAlignment="1" applyProtection="1">
      <alignment horizontal="center" vertical="center" readingOrder="1"/>
      <protection hidden="1"/>
    </xf>
    <xf numFmtId="167" fontId="8" fillId="0" borderId="8" xfId="1" applyNumberFormat="1" applyFont="1" applyFill="1" applyBorder="1" applyAlignment="1" applyProtection="1">
      <alignment horizontal="center" vertical="center" readingOrder="1"/>
      <protection hidden="1"/>
    </xf>
    <xf numFmtId="0" fontId="11" fillId="0" borderId="1" xfId="0" quotePrefix="1" applyFont="1" applyFill="1" applyBorder="1" applyAlignment="1">
      <alignment horizontal="right"/>
    </xf>
    <xf numFmtId="0" fontId="11" fillId="0" borderId="1" xfId="0" applyFont="1" applyFill="1" applyBorder="1" applyAlignment="1">
      <alignment horizontal="right" readingOrder="2"/>
    </xf>
    <xf numFmtId="0" fontId="11" fillId="0" borderId="1" xfId="0" quotePrefix="1" applyFont="1" applyFill="1" applyBorder="1" applyAlignment="1">
      <alignment horizontal="right" readingOrder="1"/>
    </xf>
    <xf numFmtId="0" fontId="8" fillId="0" borderId="10" xfId="1" applyFont="1" applyFill="1" applyBorder="1" applyAlignment="1" applyProtection="1">
      <alignment horizontal="left" vertical="center" indent="1" readingOrder="1"/>
      <protection hidden="1"/>
    </xf>
    <xf numFmtId="0" fontId="8" fillId="0" borderId="7" xfId="1" applyFont="1" applyFill="1" applyBorder="1" applyAlignment="1" applyProtection="1">
      <alignment horizontal="left" vertical="center" indent="1" readingOrder="1"/>
      <protection hidden="1"/>
    </xf>
    <xf numFmtId="0" fontId="8" fillId="0" borderId="7" xfId="1" applyFont="1" applyFill="1" applyBorder="1" applyAlignment="1" applyProtection="1">
      <alignment vertical="center" readingOrder="1"/>
      <protection hidden="1"/>
    </xf>
    <xf numFmtId="0" fontId="8" fillId="0" borderId="10" xfId="1" applyFont="1" applyFill="1" applyBorder="1" applyAlignment="1" applyProtection="1">
      <alignment vertical="center" readingOrder="1"/>
      <protection hidden="1"/>
    </xf>
    <xf numFmtId="0" fontId="8" fillId="0" borderId="0" xfId="1" applyFont="1" applyFill="1" applyBorder="1" applyAlignment="1" applyProtection="1">
      <alignment readingOrder="1"/>
      <protection hidden="1"/>
    </xf>
    <xf numFmtId="0" fontId="13" fillId="0" borderId="2" xfId="1" quotePrefix="1" applyFont="1" applyFill="1" applyBorder="1" applyAlignment="1" applyProtection="1">
      <alignment horizontal="left" vertical="center" indent="1" readingOrder="1"/>
      <protection hidden="1"/>
    </xf>
    <xf numFmtId="0" fontId="13" fillId="0" borderId="0" xfId="1" applyFont="1" applyFill="1" applyBorder="1" applyAlignment="1" applyProtection="1">
      <alignment readingOrder="1"/>
      <protection hidden="1"/>
    </xf>
    <xf numFmtId="0" fontId="13" fillId="0" borderId="0" xfId="1" applyFont="1" applyFill="1" applyBorder="1" applyAlignment="1" applyProtection="1">
      <alignment horizontal="left" vertical="center" indent="1" readingOrder="1"/>
      <protection hidden="1"/>
    </xf>
    <xf numFmtId="0" fontId="13" fillId="0" borderId="0" xfId="1" quotePrefix="1" applyFont="1" applyFill="1" applyBorder="1" applyAlignment="1" applyProtection="1">
      <alignment horizontal="left" vertical="center" indent="1" readingOrder="1"/>
      <protection hidden="1"/>
    </xf>
    <xf numFmtId="167" fontId="13" fillId="0" borderId="0" xfId="1" applyNumberFormat="1" applyFont="1" applyFill="1" applyBorder="1" applyAlignment="1" applyProtection="1">
      <alignment vertical="center" readingOrder="1"/>
      <protection hidden="1"/>
    </xf>
    <xf numFmtId="0" fontId="13" fillId="0" borderId="0" xfId="0" applyFont="1"/>
    <xf numFmtId="49" fontId="13" fillId="0" borderId="0" xfId="1" applyNumberFormat="1" applyFont="1" applyFill="1" applyBorder="1" applyAlignment="1" applyProtection="1">
      <alignment horizontal="left" vertical="center" indent="1" readingOrder="1"/>
      <protection hidden="1"/>
    </xf>
    <xf numFmtId="49" fontId="13" fillId="0" borderId="0" xfId="1" applyNumberFormat="1" applyFont="1" applyFill="1" applyBorder="1" applyAlignment="1" applyProtection="1">
      <alignment vertical="center" readingOrder="1"/>
      <protection hidden="1"/>
    </xf>
    <xf numFmtId="49" fontId="14" fillId="0" borderId="0" xfId="1" applyNumberFormat="1" applyFont="1" applyFill="1" applyBorder="1" applyAlignment="1" applyProtection="1">
      <alignment readingOrder="1"/>
      <protection hidden="1"/>
    </xf>
    <xf numFmtId="49" fontId="13" fillId="0" borderId="0" xfId="1" applyNumberFormat="1" applyFont="1" applyFill="1" applyBorder="1" applyAlignment="1" applyProtection="1">
      <alignment readingOrder="1"/>
      <protection hidden="1"/>
    </xf>
    <xf numFmtId="0" fontId="16" fillId="0" borderId="1" xfId="0" quotePrefix="1" applyFont="1" applyFill="1" applyBorder="1" applyAlignment="1">
      <alignment horizontal="right" vertical="center" readingOrder="2"/>
    </xf>
    <xf numFmtId="167" fontId="16" fillId="0" borderId="3" xfId="1" applyNumberFormat="1" applyFont="1" applyFill="1" applyBorder="1" applyAlignment="1" applyProtection="1">
      <alignment horizontal="center" vertical="center" readingOrder="1"/>
      <protection hidden="1"/>
    </xf>
    <xf numFmtId="167" fontId="16" fillId="0" borderId="11" xfId="1" applyNumberFormat="1" applyFont="1" applyFill="1" applyBorder="1" applyAlignment="1" applyProtection="1">
      <alignment horizontal="center" vertical="center" readingOrder="1"/>
      <protection hidden="1"/>
    </xf>
    <xf numFmtId="0" fontId="17" fillId="0" borderId="0" xfId="0" applyFont="1"/>
    <xf numFmtId="167" fontId="16" fillId="0" borderId="1" xfId="1" applyNumberFormat="1" applyFont="1" applyFill="1" applyBorder="1" applyAlignment="1" applyProtection="1">
      <alignment horizontal="center" vertical="center" readingOrder="1"/>
      <protection hidden="1"/>
    </xf>
    <xf numFmtId="167" fontId="16" fillId="0" borderId="8" xfId="1" applyNumberFormat="1" applyFont="1" applyFill="1" applyBorder="1" applyAlignment="1" applyProtection="1">
      <alignment horizontal="center" vertical="center" readingOrder="1"/>
      <protection hidden="1"/>
    </xf>
    <xf numFmtId="0" fontId="8" fillId="0" borderId="1" xfId="2" applyFont="1" applyFill="1" applyBorder="1" applyAlignment="1">
      <alignment horizontal="right" indent="1" readingOrder="2"/>
    </xf>
    <xf numFmtId="0" fontId="8" fillId="0" borderId="1" xfId="0" applyFont="1" applyFill="1" applyBorder="1" applyAlignment="1">
      <alignment horizontal="right" indent="1" readingOrder="2"/>
    </xf>
    <xf numFmtId="167" fontId="11" fillId="0" borderId="1" xfId="1" applyNumberFormat="1" applyFont="1" applyFill="1" applyBorder="1" applyAlignment="1" applyProtection="1">
      <alignment horizontal="center" vertical="center" readingOrder="1"/>
      <protection hidden="1"/>
    </xf>
    <xf numFmtId="167" fontId="11" fillId="0" borderId="8" xfId="1" applyNumberFormat="1" applyFont="1" applyFill="1" applyBorder="1" applyAlignment="1" applyProtection="1">
      <alignment horizontal="center" vertical="center" readingOrder="1"/>
      <protection hidden="1"/>
    </xf>
    <xf numFmtId="0" fontId="11" fillId="0" borderId="0" xfId="0" applyFont="1"/>
    <xf numFmtId="0" fontId="11" fillId="0" borderId="0" xfId="0" applyFont="1" applyFill="1"/>
    <xf numFmtId="167" fontId="11" fillId="0" borderId="8" xfId="1" quotePrefix="1" applyNumberFormat="1" applyFont="1" applyFill="1" applyBorder="1" applyAlignment="1" applyProtection="1">
      <alignment horizontal="center" vertical="center" readingOrder="1"/>
      <protection hidden="1"/>
    </xf>
    <xf numFmtId="0" fontId="16" fillId="0" borderId="11" xfId="1" quotePrefix="1" applyFont="1" applyFill="1" applyBorder="1" applyAlignment="1" applyProtection="1">
      <alignment horizontal="left" vertical="center" indent="1" readingOrder="1"/>
      <protection hidden="1"/>
    </xf>
    <xf numFmtId="0" fontId="11" fillId="0" borderId="8" xfId="1" quotePrefix="1" applyFont="1" applyFill="1" applyBorder="1" applyAlignment="1" applyProtection="1">
      <alignment horizontal="left" vertical="center" indent="1" readingOrder="1"/>
      <protection hidden="1"/>
    </xf>
    <xf numFmtId="0" fontId="8" fillId="0" borderId="8" xfId="1" applyFont="1" applyFill="1" applyBorder="1" applyAlignment="1" applyProtection="1">
      <alignment horizontal="left" vertical="center" indent="1" readingOrder="1"/>
      <protection hidden="1"/>
    </xf>
    <xf numFmtId="0" fontId="8" fillId="0" borderId="8" xfId="1" quotePrefix="1" applyFont="1" applyFill="1" applyBorder="1" applyAlignment="1" applyProtection="1">
      <alignment horizontal="left" vertical="center" indent="1" readingOrder="1"/>
      <protection hidden="1"/>
    </xf>
    <xf numFmtId="0" fontId="11" fillId="0" borderId="8" xfId="1" applyFont="1" applyFill="1" applyBorder="1" applyAlignment="1" applyProtection="1">
      <alignment horizontal="left" vertical="center" indent="1" readingOrder="1"/>
      <protection hidden="1"/>
    </xf>
    <xf numFmtId="0" fontId="16" fillId="0" borderId="8" xfId="1" quotePrefix="1" applyFont="1" applyFill="1" applyBorder="1" applyAlignment="1" applyProtection="1">
      <alignment horizontal="left" vertical="center" indent="1" readingOrder="1"/>
      <protection hidden="1"/>
    </xf>
    <xf numFmtId="0" fontId="11" fillId="0" borderId="0" xfId="1" applyFont="1" applyFill="1" applyBorder="1" applyAlignment="1" applyProtection="1">
      <alignment readingOrder="1"/>
      <protection hidden="1"/>
    </xf>
    <xf numFmtId="0" fontId="18" fillId="3" borderId="9" xfId="1" applyFont="1" applyFill="1" applyBorder="1" applyAlignment="1" applyProtection="1">
      <alignment horizontal="center" vertical="center" readingOrder="1"/>
      <protection hidden="1"/>
    </xf>
    <xf numFmtId="0" fontId="8" fillId="0" borderId="10" xfId="1" applyFont="1" applyFill="1" applyBorder="1" applyAlignment="1" applyProtection="1">
      <alignment readingOrder="1"/>
      <protection hidden="1"/>
    </xf>
    <xf numFmtId="167" fontId="17" fillId="0" borderId="0" xfId="0" applyNumberFormat="1" applyFont="1"/>
    <xf numFmtId="167" fontId="8" fillId="0" borderId="0" xfId="0" applyNumberFormat="1" applyFont="1"/>
    <xf numFmtId="0" fontId="18" fillId="3" borderId="3" xfId="1" applyFont="1" applyFill="1" applyBorder="1" applyAlignment="1" applyProtection="1">
      <alignment horizontal="center" vertical="center" readingOrder="1"/>
      <protection hidden="1"/>
    </xf>
    <xf numFmtId="0" fontId="18" fillId="3" borderId="2" xfId="1" applyFont="1" applyFill="1" applyBorder="1" applyAlignment="1" applyProtection="1">
      <alignment horizontal="center" vertical="center" readingOrder="1"/>
      <protection hidden="1"/>
    </xf>
    <xf numFmtId="0" fontId="18" fillId="3" borderId="4" xfId="1" applyFont="1" applyFill="1" applyBorder="1" applyAlignment="1" applyProtection="1">
      <alignment horizontal="center" vertical="center" readingOrder="1"/>
      <protection hidden="1"/>
    </xf>
    <xf numFmtId="0" fontId="18" fillId="3" borderId="6" xfId="1" applyFont="1" applyFill="1" applyBorder="1" applyAlignment="1" applyProtection="1">
      <alignment horizontal="center" vertical="center" readingOrder="1"/>
      <protection hidden="1"/>
    </xf>
    <xf numFmtId="0" fontId="18" fillId="3" borderId="12" xfId="1" applyFont="1" applyFill="1" applyBorder="1" applyAlignment="1" applyProtection="1">
      <alignment horizontal="center" vertical="center" readingOrder="1"/>
      <protection hidden="1"/>
    </xf>
    <xf numFmtId="0" fontId="18" fillId="3" borderId="7" xfId="1" applyFont="1" applyFill="1" applyBorder="1" applyAlignment="1" applyProtection="1">
      <alignment horizontal="center" vertical="center" readingOrder="1"/>
      <protection hidden="1"/>
    </xf>
    <xf numFmtId="0" fontId="11" fillId="0" borderId="0" xfId="1" applyFont="1" applyFill="1" applyBorder="1" applyAlignment="1" applyProtection="1">
      <alignment horizontal="right" vertical="center"/>
      <protection hidden="1"/>
    </xf>
    <xf numFmtId="0" fontId="3" fillId="2" borderId="0" xfId="1" applyFont="1" applyFill="1" applyBorder="1" applyAlignment="1" applyProtection="1">
      <alignment horizontal="center" vertical="center" readingOrder="1"/>
      <protection hidden="1"/>
    </xf>
    <xf numFmtId="49" fontId="13" fillId="0" borderId="0" xfId="1" applyNumberFormat="1" applyFont="1" applyFill="1" applyBorder="1" applyAlignment="1" applyProtection="1">
      <alignment horizontal="left" vertical="center" wrapText="1" readingOrder="1"/>
      <protection hidden="1"/>
    </xf>
    <xf numFmtId="0" fontId="18" fillId="3" borderId="3" xfId="1" applyFont="1" applyFill="1" applyBorder="1" applyAlignment="1" applyProtection="1">
      <alignment horizontal="center" vertical="center"/>
      <protection hidden="1"/>
    </xf>
    <xf numFmtId="0" fontId="18" fillId="3" borderId="4" xfId="1" applyFont="1" applyFill="1" applyBorder="1" applyAlignment="1" applyProtection="1">
      <alignment horizontal="center" vertical="center"/>
      <protection hidden="1"/>
    </xf>
    <xf numFmtId="0" fontId="18" fillId="3" borderId="1" xfId="1" applyFont="1" applyFill="1" applyBorder="1" applyAlignment="1" applyProtection="1">
      <alignment horizontal="center" vertical="center"/>
      <protection hidden="1"/>
    </xf>
    <xf numFmtId="0" fontId="18" fillId="3" borderId="5" xfId="1" applyFont="1" applyFill="1" applyBorder="1" applyAlignment="1" applyProtection="1">
      <alignment horizontal="center" vertical="center"/>
      <protection hidden="1"/>
    </xf>
    <xf numFmtId="0" fontId="18" fillId="3" borderId="6" xfId="1" applyFont="1" applyFill="1" applyBorder="1" applyAlignment="1" applyProtection="1">
      <alignment horizontal="center" vertical="center"/>
      <protection hidden="1"/>
    </xf>
    <xf numFmtId="0" fontId="18" fillId="3" borderId="7" xfId="1" applyFont="1" applyFill="1" applyBorder="1" applyAlignment="1" applyProtection="1">
      <alignment horizontal="center" vertical="center"/>
      <protection hidden="1"/>
    </xf>
  </cellXfs>
  <cellStyles count="23">
    <cellStyle name="_Book1" xfId="18" xr:uid="{86D2D6BF-40B3-4B7E-ABE0-9DF941CA2842}"/>
    <cellStyle name="_الربع الثالث31" xfId="19" xr:uid="{C4F0BC56-E1AE-4290-A730-0E35DE4CD78E}"/>
    <cellStyle name="Comma 2" xfId="5" xr:uid="{11F5EFAE-F8F9-49F7-898D-DC2467CF0011}"/>
    <cellStyle name="Comma 3" xfId="6" xr:uid="{86B5853D-1514-400A-9A83-EFC4FD1A3DE8}"/>
    <cellStyle name="Comma 4" xfId="22" xr:uid="{1A38C80A-6471-4622-993F-68F7E7896B53}"/>
    <cellStyle name="Comma 5" xfId="8" xr:uid="{D8574A54-1E1A-40FB-AAA1-1D3B9410FB0E}"/>
    <cellStyle name="Comma䲠[0]_THESIS_COVER" xfId="20" xr:uid="{7E3CDA72-1C3E-4818-908D-986F4F9118F1}"/>
    <cellStyle name="Euro" xfId="21" xr:uid="{D9327500-0A40-4D3E-BF8F-4DC1901A7BD0}"/>
    <cellStyle name="MS_Arabic" xfId="10" xr:uid="{81BB0E07-36BE-4B52-87BC-DEE30C21959D}"/>
    <cellStyle name="Normal" xfId="0" builtinId="0"/>
    <cellStyle name="Normal 2" xfId="4" xr:uid="{4CBEDD20-F69D-4EAC-B0D1-EE419F617A22}"/>
    <cellStyle name="Normal 2 2" xfId="2" xr:uid="{00000000-0005-0000-0000-000001000000}"/>
    <cellStyle name="Normal 3" xfId="7" xr:uid="{54BB5985-8686-40AE-9751-468A7FA3E425}"/>
    <cellStyle name="Normal 4" xfId="9" xr:uid="{F244CC45-BFC0-49F7-BCBF-FBB6993FD913}"/>
    <cellStyle name="Normal 5" xfId="3" xr:uid="{C3057EE6-FFB1-42DE-9342-61A14097FFCA}"/>
    <cellStyle name="Normal_T 25- T20" xfId="1" xr:uid="{00000000-0005-0000-0000-000002000000}"/>
    <cellStyle name="Percent 2" xfId="11" xr:uid="{F04C98A4-4844-4650-A732-6DB03249377E}"/>
    <cellStyle name="Style 1" xfId="17" xr:uid="{11F8A060-C0C2-4C9E-96FF-6125EBF56D68}"/>
    <cellStyle name="عادي_30_09_03up" xfId="12" xr:uid="{D5D4E561-02AB-4639-81F2-309D79B5DD04}"/>
    <cellStyle name="عملة [0]_30_09_03up" xfId="13" xr:uid="{5C5D5519-98EB-48B6-A547-7700170F48B0}"/>
    <cellStyle name="عملة_30_09_03up" xfId="14" xr:uid="{E0528788-2F56-477A-AA5C-251F8000A422}"/>
    <cellStyle name="فاصلة [0]_30_09_03up" xfId="15" xr:uid="{CA7D0FB4-8BD4-4A00-B81E-12FFBD5B75A6}"/>
    <cellStyle name="فاصلة_30_09_03up" xfId="16" xr:uid="{0ED80641-D0A1-4DE7-ADCE-9764106386F8}"/>
  </cellStyles>
  <dxfs count="0"/>
  <tableStyles count="0" defaultTableStyle="TableStyleMedium2" defaultPivotStyle="PivotStyleMedium9"/>
  <colors>
    <mruColors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22"/>
  <sheetViews>
    <sheetView tabSelected="1" view="pageBreakPreview" zoomScale="80" zoomScaleNormal="85" zoomScaleSheetLayoutView="80" workbookViewId="0">
      <pane xSplit="2" ySplit="6" topLeftCell="Q7" activePane="bottomRight" state="frozen"/>
      <selection pane="topRight" activeCell="C1" sqref="C1"/>
      <selection pane="bottomLeft" activeCell="A7" sqref="A7"/>
      <selection pane="bottomRight" activeCell="A2" sqref="A2:X2"/>
    </sheetView>
  </sheetViews>
  <sheetFormatPr defaultColWidth="8" defaultRowHeight="18.75" x14ac:dyDescent="0.25"/>
  <cols>
    <col min="1" max="1" width="47.140625" style="2" customWidth="1"/>
    <col min="2" max="2" width="57.140625" style="3" customWidth="1"/>
    <col min="3" max="4" width="11.5703125" style="3" hidden="1" customWidth="1"/>
    <col min="5" max="5" width="11.85546875" style="3" hidden="1" customWidth="1"/>
    <col min="6" max="6" width="11.42578125" style="3" hidden="1" customWidth="1"/>
    <col min="7" max="8" width="10.85546875" style="3" hidden="1" customWidth="1"/>
    <col min="9" max="9" width="11.5703125" style="3" hidden="1" customWidth="1"/>
    <col min="10" max="10" width="12.140625" style="3" hidden="1" customWidth="1"/>
    <col min="11" max="11" width="12" style="3" hidden="1" customWidth="1"/>
    <col min="12" max="12" width="10" style="3" hidden="1" customWidth="1"/>
    <col min="13" max="13" width="10" style="4" hidden="1" customWidth="1"/>
    <col min="14" max="16" width="10.85546875" style="4" hidden="1" customWidth="1"/>
    <col min="17" max="17" width="9" style="4" hidden="1" customWidth="1"/>
    <col min="18" max="18" width="10.85546875" style="4" bestFit="1" customWidth="1"/>
    <col min="19" max="21" width="10.85546875" style="4" customWidth="1"/>
    <col min="22" max="24" width="11" style="4" customWidth="1"/>
    <col min="25" max="25" width="10.85546875" style="4" bestFit="1" customWidth="1"/>
    <col min="26" max="16384" width="8" style="4"/>
  </cols>
  <sheetData>
    <row r="1" spans="1:24" ht="29.1" customHeight="1" x14ac:dyDescent="0.25"/>
    <row r="2" spans="1:24" ht="29.1" customHeight="1" x14ac:dyDescent="0.25">
      <c r="A2" s="62" t="s">
        <v>17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4" ht="35.1" customHeight="1" x14ac:dyDescent="0.25">
      <c r="A3" s="61" t="s">
        <v>0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</row>
    <row r="4" spans="1:24" s="50" customFormat="1" ht="20.100000000000001" customHeight="1" x14ac:dyDescent="0.25">
      <c r="A4" s="64" t="s">
        <v>1</v>
      </c>
      <c r="B4" s="65"/>
      <c r="C4" s="55" t="s">
        <v>2</v>
      </c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7"/>
    </row>
    <row r="5" spans="1:24" s="50" customFormat="1" ht="20.100000000000001" customHeight="1" x14ac:dyDescent="0.25">
      <c r="A5" s="66"/>
      <c r="B5" s="67"/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60"/>
    </row>
    <row r="6" spans="1:24" s="50" customFormat="1" ht="20.100000000000001" customHeight="1" x14ac:dyDescent="0.25">
      <c r="A6" s="68"/>
      <c r="B6" s="69"/>
      <c r="C6" s="51">
        <v>2004</v>
      </c>
      <c r="D6" s="51">
        <v>2005</v>
      </c>
      <c r="E6" s="51">
        <v>2006</v>
      </c>
      <c r="F6" s="51">
        <v>2007</v>
      </c>
      <c r="G6" s="51">
        <v>2008</v>
      </c>
      <c r="H6" s="51">
        <v>2009</v>
      </c>
      <c r="I6" s="51">
        <v>2010</v>
      </c>
      <c r="J6" s="51">
        <v>2011</v>
      </c>
      <c r="K6" s="51">
        <v>2012</v>
      </c>
      <c r="L6" s="51">
        <v>2013</v>
      </c>
      <c r="M6" s="51">
        <v>2014</v>
      </c>
      <c r="N6" s="51">
        <v>2015</v>
      </c>
      <c r="O6" s="51">
        <v>2016</v>
      </c>
      <c r="P6" s="51">
        <v>2017</v>
      </c>
      <c r="Q6" s="51">
        <v>2018</v>
      </c>
      <c r="R6" s="51">
        <v>2019</v>
      </c>
      <c r="S6" s="51">
        <v>2020</v>
      </c>
      <c r="T6" s="51">
        <v>2021</v>
      </c>
      <c r="U6" s="51">
        <v>2022</v>
      </c>
      <c r="V6" s="51">
        <v>2023</v>
      </c>
      <c r="W6" s="51">
        <v>2024</v>
      </c>
      <c r="X6" s="51">
        <v>2025</v>
      </c>
    </row>
    <row r="7" spans="1:24" s="34" customFormat="1" ht="17.100000000000001" customHeight="1" x14ac:dyDescent="0.2">
      <c r="A7" s="31" t="s">
        <v>26</v>
      </c>
      <c r="B7" s="44" t="s">
        <v>27</v>
      </c>
      <c r="C7" s="32">
        <f>+C8+C11+C14+C15+C16+C18+C19+C22</f>
        <v>29871.8</v>
      </c>
      <c r="D7" s="32">
        <f t="shared" ref="D7:N7" si="0">+D8+D11+D14+D15+D16+D18+D19+D22</f>
        <v>28948.799999999996</v>
      </c>
      <c r="E7" s="32">
        <f t="shared" si="0"/>
        <v>29592.600000000002</v>
      </c>
      <c r="F7" s="32">
        <f t="shared" si="0"/>
        <v>29898</v>
      </c>
      <c r="G7" s="32">
        <f t="shared" si="0"/>
        <v>33892.799999999996</v>
      </c>
      <c r="H7" s="32">
        <f t="shared" si="0"/>
        <v>31531.099999999995</v>
      </c>
      <c r="I7" s="32">
        <f t="shared" si="0"/>
        <v>33694.199999999997</v>
      </c>
      <c r="J7" s="32">
        <f t="shared" si="0"/>
        <v>34905.699999999997</v>
      </c>
      <c r="K7" s="32">
        <f t="shared" si="0"/>
        <v>34384.5</v>
      </c>
      <c r="L7" s="32">
        <f t="shared" si="0"/>
        <v>43233.4</v>
      </c>
      <c r="M7" s="32">
        <f t="shared" si="0"/>
        <v>46067.100000000006</v>
      </c>
      <c r="N7" s="32">
        <f t="shared" si="0"/>
        <v>48062.9</v>
      </c>
      <c r="O7" s="33">
        <v>55764.4</v>
      </c>
      <c r="P7" s="33">
        <v>79032.800000000003</v>
      </c>
      <c r="Q7" s="33">
        <v>92643.9</v>
      </c>
      <c r="R7" s="33">
        <v>108699.1</v>
      </c>
      <c r="S7" s="33">
        <v>123490.5</v>
      </c>
      <c r="T7" s="33">
        <v>137859.6</v>
      </c>
      <c r="U7" s="33">
        <v>155708.9</v>
      </c>
      <c r="V7" s="33">
        <v>164727.6</v>
      </c>
      <c r="W7" s="33">
        <v>152885.20000000001</v>
      </c>
      <c r="X7" s="33">
        <v>161230.09999999998</v>
      </c>
    </row>
    <row r="8" spans="1:24" s="41" customFormat="1" ht="16.5" customHeight="1" x14ac:dyDescent="0.25">
      <c r="A8" s="10" t="s">
        <v>31</v>
      </c>
      <c r="B8" s="45" t="s">
        <v>37</v>
      </c>
      <c r="C8" s="39">
        <v>16384.8</v>
      </c>
      <c r="D8" s="39">
        <v>15734.099999999999</v>
      </c>
      <c r="E8" s="39">
        <v>15229</v>
      </c>
      <c r="F8" s="40">
        <v>14846.5</v>
      </c>
      <c r="G8" s="40">
        <v>15606.4</v>
      </c>
      <c r="H8" s="40">
        <v>14081.4</v>
      </c>
      <c r="I8" s="40">
        <v>12599.3</v>
      </c>
      <c r="J8" s="40">
        <v>12860.6</v>
      </c>
      <c r="K8" s="40">
        <v>10983.3</v>
      </c>
      <c r="L8" s="40">
        <v>9479.5</v>
      </c>
      <c r="M8" s="40">
        <v>8440.5</v>
      </c>
      <c r="N8" s="40">
        <v>6242.9</v>
      </c>
      <c r="O8" s="40">
        <v>5249.6</v>
      </c>
      <c r="P8" s="40">
        <v>4252</v>
      </c>
      <c r="Q8" s="40">
        <v>3727.9</v>
      </c>
      <c r="R8" s="40">
        <v>3126.6</v>
      </c>
      <c r="S8" s="40">
        <v>2499.6999999999998</v>
      </c>
      <c r="T8" s="40">
        <v>1926.2</v>
      </c>
      <c r="U8" s="40">
        <v>1275.3</v>
      </c>
      <c r="V8" s="40">
        <v>1004.8</v>
      </c>
      <c r="W8" s="40">
        <v>685.6</v>
      </c>
      <c r="X8" s="40">
        <v>456.5</v>
      </c>
    </row>
    <row r="9" spans="1:24" s="9" customFormat="1" ht="17.100000000000001" customHeight="1" x14ac:dyDescent="0.2">
      <c r="A9" s="37" t="s">
        <v>3</v>
      </c>
      <c r="B9" s="46" t="s">
        <v>4</v>
      </c>
      <c r="C9" s="11">
        <v>8052.6</v>
      </c>
      <c r="D9" s="11">
        <v>7836.4</v>
      </c>
      <c r="E9" s="11">
        <v>7610.6</v>
      </c>
      <c r="F9" s="12">
        <v>7396.5</v>
      </c>
      <c r="G9" s="12">
        <v>7787.8</v>
      </c>
      <c r="H9" s="12">
        <v>7448</v>
      </c>
      <c r="I9" s="12">
        <v>7054.6</v>
      </c>
      <c r="J9" s="12">
        <v>7271.6</v>
      </c>
      <c r="K9" s="12">
        <v>6654.6</v>
      </c>
      <c r="L9" s="12">
        <v>5915.1</v>
      </c>
      <c r="M9" s="12">
        <v>5624.7</v>
      </c>
      <c r="N9" s="12">
        <v>4637.2</v>
      </c>
      <c r="O9" s="12">
        <v>4524.5</v>
      </c>
      <c r="P9" s="12">
        <v>4015</v>
      </c>
      <c r="Q9" s="12">
        <v>3536.5</v>
      </c>
      <c r="R9" s="12">
        <v>2989.1</v>
      </c>
      <c r="S9" s="12">
        <v>2418.3000000000002</v>
      </c>
      <c r="T9" s="12">
        <v>1901.2</v>
      </c>
      <c r="U9" s="12">
        <v>1260.0999999999999</v>
      </c>
      <c r="V9" s="12">
        <v>996.7</v>
      </c>
      <c r="W9" s="12">
        <v>685.6</v>
      </c>
      <c r="X9" s="12">
        <v>456.5</v>
      </c>
    </row>
    <row r="10" spans="1:24" s="9" customFormat="1" ht="17.100000000000001" customHeight="1" x14ac:dyDescent="0.2">
      <c r="A10" s="37" t="s">
        <v>5</v>
      </c>
      <c r="B10" s="46" t="s">
        <v>6</v>
      </c>
      <c r="C10" s="11">
        <v>8332.2000000000007</v>
      </c>
      <c r="D10" s="11">
        <v>7897.7</v>
      </c>
      <c r="E10" s="11">
        <v>7618.4</v>
      </c>
      <c r="F10" s="12">
        <v>7450</v>
      </c>
      <c r="G10" s="12">
        <v>7818.6</v>
      </c>
      <c r="H10" s="12">
        <v>6633.4</v>
      </c>
      <c r="I10" s="12">
        <v>5544.7</v>
      </c>
      <c r="J10" s="12">
        <v>5589</v>
      </c>
      <c r="K10" s="12">
        <v>4328.7</v>
      </c>
      <c r="L10" s="12">
        <v>3564.4</v>
      </c>
      <c r="M10" s="12">
        <v>2815.8</v>
      </c>
      <c r="N10" s="12">
        <v>1605.7</v>
      </c>
      <c r="O10" s="12">
        <v>725.1</v>
      </c>
      <c r="P10" s="12">
        <v>237</v>
      </c>
      <c r="Q10" s="12">
        <v>191.4</v>
      </c>
      <c r="R10" s="12">
        <v>137.5</v>
      </c>
      <c r="S10" s="12">
        <v>81.400000000000006</v>
      </c>
      <c r="T10" s="12">
        <v>25</v>
      </c>
      <c r="U10" s="12">
        <v>15.2</v>
      </c>
      <c r="V10" s="12">
        <v>8.1</v>
      </c>
      <c r="W10" s="12">
        <v>0</v>
      </c>
      <c r="X10" s="12">
        <v>0</v>
      </c>
    </row>
    <row r="11" spans="1:24" s="9" customFormat="1" ht="17.100000000000001" customHeight="1" x14ac:dyDescent="0.25">
      <c r="A11" s="13" t="s">
        <v>25</v>
      </c>
      <c r="B11" s="45" t="s">
        <v>7</v>
      </c>
      <c r="C11" s="11">
        <v>4432.8</v>
      </c>
      <c r="D11" s="11">
        <v>4291.3</v>
      </c>
      <c r="E11" s="11">
        <v>4295.5</v>
      </c>
      <c r="F11" s="12">
        <v>4346</v>
      </c>
      <c r="G11" s="12">
        <v>4972.1000000000004</v>
      </c>
      <c r="H11" s="12">
        <v>4824.2</v>
      </c>
      <c r="I11" s="12">
        <v>4692.3999999999996</v>
      </c>
      <c r="J11" s="12">
        <v>5214.5</v>
      </c>
      <c r="K11" s="12">
        <v>5074.2</v>
      </c>
      <c r="L11" s="12">
        <v>5982.2</v>
      </c>
      <c r="M11" s="12">
        <v>6104</v>
      </c>
      <c r="N11" s="12">
        <v>5491.7</v>
      </c>
      <c r="O11" s="12">
        <v>6299.9</v>
      </c>
      <c r="P11" s="12">
        <v>6572.4</v>
      </c>
      <c r="Q11" s="12">
        <v>7644</v>
      </c>
      <c r="R11" s="40">
        <v>9632.5</v>
      </c>
      <c r="S11" s="40">
        <v>10292.299999999999</v>
      </c>
      <c r="T11" s="40">
        <v>11377</v>
      </c>
      <c r="U11" s="40">
        <v>11143.7</v>
      </c>
      <c r="V11" s="40">
        <v>12039.4</v>
      </c>
      <c r="W11" s="40">
        <v>14049.1</v>
      </c>
      <c r="X11" s="40">
        <v>18646.2</v>
      </c>
    </row>
    <row r="12" spans="1:24" s="9" customFormat="1" ht="17.100000000000001" customHeight="1" x14ac:dyDescent="0.2">
      <c r="A12" s="37" t="s">
        <v>8</v>
      </c>
      <c r="B12" s="47" t="s">
        <v>9</v>
      </c>
      <c r="C12" s="11">
        <v>3263.4</v>
      </c>
      <c r="D12" s="11">
        <v>3529.9</v>
      </c>
      <c r="E12" s="11">
        <v>3590.4</v>
      </c>
      <c r="F12" s="12">
        <v>3630.1</v>
      </c>
      <c r="G12" s="12">
        <v>4130.3999999999996</v>
      </c>
      <c r="H12" s="12">
        <v>3978.3</v>
      </c>
      <c r="I12" s="12">
        <v>3774.7</v>
      </c>
      <c r="J12" s="12">
        <v>4211.3</v>
      </c>
      <c r="K12" s="12">
        <v>3960.7</v>
      </c>
      <c r="L12" s="12">
        <v>3589.1</v>
      </c>
      <c r="M12" s="12">
        <v>3646.1</v>
      </c>
      <c r="N12" s="12">
        <v>2200.9</v>
      </c>
      <c r="O12" s="12">
        <v>3553.5</v>
      </c>
      <c r="P12" s="12">
        <v>3710.8</v>
      </c>
      <c r="Q12" s="12">
        <v>4430.5</v>
      </c>
      <c r="R12" s="12">
        <v>5021.2</v>
      </c>
      <c r="S12" s="12">
        <v>5702.5</v>
      </c>
      <c r="T12" s="12">
        <v>6577.8</v>
      </c>
      <c r="U12" s="12">
        <v>6696.3</v>
      </c>
      <c r="V12" s="12">
        <v>8212.5</v>
      </c>
      <c r="W12" s="12">
        <v>9789.5</v>
      </c>
      <c r="X12" s="12">
        <v>12375.6</v>
      </c>
    </row>
    <row r="13" spans="1:24" s="9" customFormat="1" ht="17.100000000000001" customHeight="1" x14ac:dyDescent="0.2">
      <c r="A13" s="37" t="s">
        <v>41</v>
      </c>
      <c r="B13" s="47" t="s">
        <v>40</v>
      </c>
      <c r="C13" s="11">
        <v>1169.4000000000001</v>
      </c>
      <c r="D13" s="11">
        <v>761.4</v>
      </c>
      <c r="E13" s="11">
        <v>705.1</v>
      </c>
      <c r="F13" s="12">
        <v>715.9</v>
      </c>
      <c r="G13" s="12">
        <v>841.7</v>
      </c>
      <c r="H13" s="12">
        <v>845.9</v>
      </c>
      <c r="I13" s="12">
        <v>917.7</v>
      </c>
      <c r="J13" s="12">
        <v>1003.2</v>
      </c>
      <c r="K13" s="12">
        <v>1113.5</v>
      </c>
      <c r="L13" s="12">
        <v>2393.1</v>
      </c>
      <c r="M13" s="12">
        <v>2457.9</v>
      </c>
      <c r="N13" s="12">
        <v>3290.8</v>
      </c>
      <c r="O13" s="12" t="s">
        <v>34</v>
      </c>
      <c r="P13" s="12" t="s">
        <v>35</v>
      </c>
      <c r="Q13" s="12" t="s">
        <v>36</v>
      </c>
      <c r="R13" s="12">
        <v>4611.3</v>
      </c>
      <c r="S13" s="12">
        <v>4589.8</v>
      </c>
      <c r="T13" s="12">
        <v>4799.2</v>
      </c>
      <c r="U13" s="12">
        <v>4447.3999999999996</v>
      </c>
      <c r="V13" s="12">
        <v>3826.9</v>
      </c>
      <c r="W13" s="12">
        <v>4259.6000000000004</v>
      </c>
      <c r="X13" s="12">
        <v>6270.6</v>
      </c>
    </row>
    <row r="14" spans="1:24" s="41" customFormat="1" ht="17.100000000000001" customHeight="1" x14ac:dyDescent="0.25">
      <c r="A14" s="14" t="s">
        <v>20</v>
      </c>
      <c r="B14" s="48" t="s">
        <v>21</v>
      </c>
      <c r="C14" s="39">
        <v>5080.8</v>
      </c>
      <c r="D14" s="39">
        <v>5058.2</v>
      </c>
      <c r="E14" s="39">
        <v>5205</v>
      </c>
      <c r="F14" s="40">
        <v>6815.2</v>
      </c>
      <c r="G14" s="40">
        <v>7361.5</v>
      </c>
      <c r="H14" s="40">
        <v>8168.8</v>
      </c>
      <c r="I14" s="40">
        <v>9977.5</v>
      </c>
      <c r="J14" s="40">
        <v>10808.6</v>
      </c>
      <c r="K14" s="40">
        <v>11068.1</v>
      </c>
      <c r="L14" s="40">
        <v>11963.3</v>
      </c>
      <c r="M14" s="40">
        <v>12228.6</v>
      </c>
      <c r="N14" s="40">
        <v>12246.3</v>
      </c>
      <c r="O14" s="40">
        <v>14089.9</v>
      </c>
      <c r="P14" s="40">
        <v>21751.599999999999</v>
      </c>
      <c r="Q14" s="40">
        <v>28416.799999999999</v>
      </c>
      <c r="R14" s="40">
        <v>32808.5</v>
      </c>
      <c r="S14" s="40">
        <v>43007.1</v>
      </c>
      <c r="T14" s="40">
        <v>49947.4</v>
      </c>
      <c r="U14" s="40">
        <v>51275.4</v>
      </c>
      <c r="V14" s="40">
        <v>52946.9</v>
      </c>
      <c r="W14" s="40">
        <v>48904.3</v>
      </c>
      <c r="X14" s="40">
        <v>44783.7</v>
      </c>
    </row>
    <row r="15" spans="1:24" s="41" customFormat="1" ht="17.100000000000001" customHeight="1" x14ac:dyDescent="0.25">
      <c r="A15" s="15" t="s">
        <v>19</v>
      </c>
      <c r="B15" s="45" t="s">
        <v>42</v>
      </c>
      <c r="C15" s="39">
        <v>1333</v>
      </c>
      <c r="D15" s="39">
        <v>781.6</v>
      </c>
      <c r="E15" s="39">
        <v>979.5</v>
      </c>
      <c r="F15" s="40">
        <v>791.6</v>
      </c>
      <c r="G15" s="40">
        <v>763.5</v>
      </c>
      <c r="H15" s="40">
        <v>323.60000000000002</v>
      </c>
      <c r="I15" s="40">
        <v>313.5</v>
      </c>
      <c r="J15" s="40">
        <v>426</v>
      </c>
      <c r="K15" s="40">
        <v>405</v>
      </c>
      <c r="L15" s="40">
        <v>586.4</v>
      </c>
      <c r="M15" s="40">
        <v>546.4</v>
      </c>
      <c r="N15" s="40">
        <v>1546.5</v>
      </c>
      <c r="O15" s="40">
        <v>3118.9</v>
      </c>
      <c r="P15" s="40">
        <v>6505.2</v>
      </c>
      <c r="Q15" s="40">
        <v>8433.9</v>
      </c>
      <c r="R15" s="40">
        <v>11283.6</v>
      </c>
      <c r="S15" s="40">
        <v>11387.7</v>
      </c>
      <c r="T15" s="40">
        <v>12800.7</v>
      </c>
      <c r="U15" s="40">
        <v>16365.1</v>
      </c>
      <c r="V15" s="40">
        <v>19898.5</v>
      </c>
      <c r="W15" s="40">
        <v>20118</v>
      </c>
      <c r="X15" s="40">
        <v>19233.5</v>
      </c>
    </row>
    <row r="16" spans="1:24" s="41" customFormat="1" ht="17.100000000000001" customHeight="1" x14ac:dyDescent="0.25">
      <c r="A16" s="10" t="s">
        <v>45</v>
      </c>
      <c r="B16" s="48" t="s">
        <v>46</v>
      </c>
      <c r="C16" s="39">
        <v>587.70000000000005</v>
      </c>
      <c r="D16" s="39">
        <v>613.6</v>
      </c>
      <c r="E16" s="39">
        <v>1861.9</v>
      </c>
      <c r="F16" s="40">
        <v>1570.3</v>
      </c>
      <c r="G16" s="40">
        <v>2651.8</v>
      </c>
      <c r="H16" s="40">
        <v>1926.1</v>
      </c>
      <c r="I16" s="40">
        <v>3079.5</v>
      </c>
      <c r="J16" s="40">
        <v>2821</v>
      </c>
      <c r="K16" s="40">
        <v>2900.7</v>
      </c>
      <c r="L16" s="40">
        <v>5158.6000000000004</v>
      </c>
      <c r="M16" s="40">
        <v>6085.3</v>
      </c>
      <c r="N16" s="40">
        <v>4937.7</v>
      </c>
      <c r="O16" s="40">
        <v>3493</v>
      </c>
      <c r="P16" s="40">
        <v>8984.5</v>
      </c>
      <c r="Q16" s="40">
        <v>14277.7</v>
      </c>
      <c r="R16" s="40">
        <v>19371.900000000001</v>
      </c>
      <c r="S16" s="40">
        <v>23899.3</v>
      </c>
      <c r="T16" s="40">
        <v>28709.3</v>
      </c>
      <c r="U16" s="40">
        <v>29013.5</v>
      </c>
      <c r="V16" s="40">
        <v>29479.200000000001</v>
      </c>
      <c r="W16" s="40">
        <v>27694.9</v>
      </c>
      <c r="X16" s="40">
        <v>28739.9</v>
      </c>
    </row>
    <row r="17" spans="1:25" s="41" customFormat="1" ht="17.100000000000001" customHeight="1" x14ac:dyDescent="0.25">
      <c r="A17" s="15" t="s">
        <v>29</v>
      </c>
      <c r="B17" s="48" t="s">
        <v>28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40">
        <v>3808.7</v>
      </c>
      <c r="S17" s="40">
        <v>3928.2</v>
      </c>
      <c r="T17" s="40">
        <v>4014.6</v>
      </c>
      <c r="U17" s="40">
        <v>4220.5</v>
      </c>
      <c r="V17" s="40">
        <v>4668.7</v>
      </c>
      <c r="W17" s="40">
        <v>4361.5</v>
      </c>
      <c r="X17" s="40">
        <v>6699.9</v>
      </c>
    </row>
    <row r="18" spans="1:25" s="42" customFormat="1" ht="17.100000000000001" customHeight="1" x14ac:dyDescent="0.25">
      <c r="A18" s="10" t="s">
        <v>22</v>
      </c>
      <c r="B18" s="48" t="s">
        <v>23</v>
      </c>
      <c r="C18" s="39">
        <v>0</v>
      </c>
      <c r="D18" s="39">
        <v>500</v>
      </c>
      <c r="E18" s="39">
        <v>300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1000</v>
      </c>
      <c r="L18" s="40">
        <v>3000</v>
      </c>
      <c r="M18" s="40">
        <v>9000</v>
      </c>
      <c r="N18" s="40">
        <v>15000</v>
      </c>
      <c r="O18" s="40">
        <v>16300</v>
      </c>
      <c r="P18" s="40">
        <v>18537.400000000001</v>
      </c>
      <c r="Q18" s="40">
        <v>17400</v>
      </c>
      <c r="R18" s="40">
        <v>17203.3</v>
      </c>
      <c r="S18" s="40">
        <v>17188.400000000001</v>
      </c>
      <c r="T18" s="40">
        <v>14976.5</v>
      </c>
      <c r="U18" s="40">
        <v>14961.7</v>
      </c>
      <c r="V18" s="40">
        <v>14953</v>
      </c>
      <c r="W18" s="40">
        <v>9300</v>
      </c>
      <c r="X18" s="40">
        <v>9300</v>
      </c>
    </row>
    <row r="19" spans="1:25" s="41" customFormat="1" ht="17.100000000000001" customHeight="1" x14ac:dyDescent="0.25">
      <c r="A19" s="10" t="s">
        <v>10</v>
      </c>
      <c r="B19" s="48" t="s">
        <v>11</v>
      </c>
      <c r="C19" s="39">
        <v>1967.5</v>
      </c>
      <c r="D19" s="39">
        <v>1854.8</v>
      </c>
      <c r="E19" s="39">
        <v>1633</v>
      </c>
      <c r="F19" s="40">
        <v>1449.5</v>
      </c>
      <c r="G19" s="40">
        <v>2519.3000000000002</v>
      </c>
      <c r="H19" s="40">
        <v>2124</v>
      </c>
      <c r="I19" s="40">
        <v>2954.8</v>
      </c>
      <c r="J19" s="40">
        <v>2757.5</v>
      </c>
      <c r="K19" s="40">
        <v>2901.9</v>
      </c>
      <c r="L19" s="40">
        <v>7046.1</v>
      </c>
      <c r="M19" s="40">
        <v>3651</v>
      </c>
      <c r="N19" s="40">
        <v>2575.3000000000002</v>
      </c>
      <c r="O19" s="40">
        <v>7017.7</v>
      </c>
      <c r="P19" s="40">
        <v>12274.4</v>
      </c>
      <c r="Q19" s="40">
        <v>12283.7</v>
      </c>
      <c r="R19" s="40">
        <v>11055.4</v>
      </c>
      <c r="S19" s="40">
        <v>10866</v>
      </c>
      <c r="T19" s="40">
        <v>13716</v>
      </c>
      <c r="U19" s="40">
        <v>26619.7</v>
      </c>
      <c r="V19" s="40">
        <v>28150.6</v>
      </c>
      <c r="W19" s="40">
        <v>26024.799999999999</v>
      </c>
      <c r="X19" s="40">
        <v>30914.9</v>
      </c>
    </row>
    <row r="20" spans="1:25" s="9" customFormat="1" ht="17.100000000000001" customHeight="1" x14ac:dyDescent="0.2">
      <c r="A20" s="37" t="s">
        <v>43</v>
      </c>
      <c r="B20" s="47" t="s">
        <v>39</v>
      </c>
      <c r="C20" s="11">
        <v>1267.5</v>
      </c>
      <c r="D20" s="11">
        <v>819.3</v>
      </c>
      <c r="E20" s="11">
        <v>633.1</v>
      </c>
      <c r="F20" s="12">
        <v>536</v>
      </c>
      <c r="G20" s="12">
        <v>1048.3</v>
      </c>
      <c r="H20" s="12">
        <v>1156.0999999999999</v>
      </c>
      <c r="I20" s="12">
        <v>1359.5</v>
      </c>
      <c r="J20" s="12">
        <v>972.7</v>
      </c>
      <c r="K20" s="12">
        <v>913.7</v>
      </c>
      <c r="L20" s="12">
        <v>5293.38</v>
      </c>
      <c r="M20" s="12">
        <v>1392.5</v>
      </c>
      <c r="N20" s="12">
        <v>1295.3</v>
      </c>
      <c r="O20" s="12">
        <v>1478.3</v>
      </c>
      <c r="P20" s="12">
        <v>3824.1</v>
      </c>
      <c r="Q20" s="12">
        <v>3783.9</v>
      </c>
      <c r="R20" s="12">
        <v>3706.9</v>
      </c>
      <c r="S20" s="12">
        <v>3567.7</v>
      </c>
      <c r="T20" s="12">
        <v>4034.7</v>
      </c>
      <c r="U20" s="12">
        <v>16858.5</v>
      </c>
      <c r="V20" s="12">
        <v>18685.900000000001</v>
      </c>
      <c r="W20" s="12">
        <v>16026.7</v>
      </c>
      <c r="X20" s="12">
        <v>16129.1</v>
      </c>
    </row>
    <row r="21" spans="1:25" s="9" customFormat="1" ht="17.100000000000001" customHeight="1" x14ac:dyDescent="0.2">
      <c r="A21" s="37" t="s">
        <v>44</v>
      </c>
      <c r="B21" s="47" t="s">
        <v>24</v>
      </c>
      <c r="C21" s="11">
        <v>700</v>
      </c>
      <c r="D21" s="11">
        <v>1035.5</v>
      </c>
      <c r="E21" s="11">
        <v>999.9</v>
      </c>
      <c r="F21" s="12">
        <v>913.5</v>
      </c>
      <c r="G21" s="12">
        <v>1471</v>
      </c>
      <c r="H21" s="12">
        <v>967.9</v>
      </c>
      <c r="I21" s="12">
        <v>1595.3</v>
      </c>
      <c r="J21" s="12">
        <v>1784.8</v>
      </c>
      <c r="K21" s="12">
        <v>1988.2</v>
      </c>
      <c r="L21" s="12">
        <v>1752.7</v>
      </c>
      <c r="M21" s="12">
        <v>2258.5</v>
      </c>
      <c r="N21" s="12">
        <v>1280</v>
      </c>
      <c r="O21" s="12">
        <v>5539.4</v>
      </c>
      <c r="P21" s="12">
        <v>8450.2999999999993</v>
      </c>
      <c r="Q21" s="12">
        <v>8499.7999999999993</v>
      </c>
      <c r="R21" s="12">
        <v>7348.5</v>
      </c>
      <c r="S21" s="12">
        <v>7298.3</v>
      </c>
      <c r="T21" s="12">
        <v>9681.2999999999993</v>
      </c>
      <c r="U21" s="12">
        <v>9761.2000000000007</v>
      </c>
      <c r="V21" s="12">
        <v>9464.7000000000007</v>
      </c>
      <c r="W21" s="12">
        <v>9998.1</v>
      </c>
      <c r="X21" s="12">
        <v>14785.8</v>
      </c>
    </row>
    <row r="22" spans="1:25" s="42" customFormat="1" ht="17.100000000000001" customHeight="1" x14ac:dyDescent="0.25">
      <c r="A22" s="10" t="s">
        <v>12</v>
      </c>
      <c r="B22" s="45" t="s">
        <v>13</v>
      </c>
      <c r="C22" s="39">
        <v>85.2</v>
      </c>
      <c r="D22" s="39">
        <v>115.2</v>
      </c>
      <c r="E22" s="39">
        <v>88.7</v>
      </c>
      <c r="F22" s="40">
        <v>78.900000000000006</v>
      </c>
      <c r="G22" s="40">
        <v>18.2</v>
      </c>
      <c r="H22" s="40">
        <v>83</v>
      </c>
      <c r="I22" s="40">
        <v>77.2</v>
      </c>
      <c r="J22" s="40">
        <v>17.5</v>
      </c>
      <c r="K22" s="40">
        <v>51.3</v>
      </c>
      <c r="L22" s="40">
        <v>17.3</v>
      </c>
      <c r="M22" s="40">
        <v>11.3</v>
      </c>
      <c r="N22" s="40">
        <v>22.5</v>
      </c>
      <c r="O22" s="40">
        <v>195.4</v>
      </c>
      <c r="P22" s="40">
        <v>155.30000000000001</v>
      </c>
      <c r="Q22" s="40">
        <v>459.9</v>
      </c>
      <c r="R22" s="40">
        <v>408.6</v>
      </c>
      <c r="S22" s="40">
        <v>421.8</v>
      </c>
      <c r="T22" s="43">
        <v>391.9</v>
      </c>
      <c r="U22" s="43">
        <v>834</v>
      </c>
      <c r="V22" s="43">
        <v>1586.5</v>
      </c>
      <c r="W22" s="43">
        <v>1747</v>
      </c>
      <c r="X22" s="43">
        <v>2455.5</v>
      </c>
    </row>
    <row r="23" spans="1:25" s="34" customFormat="1" ht="17.100000000000001" customHeight="1" x14ac:dyDescent="0.2">
      <c r="A23" s="31" t="s">
        <v>32</v>
      </c>
      <c r="B23" s="49" t="s">
        <v>33</v>
      </c>
      <c r="C23" s="35">
        <v>2525.5</v>
      </c>
      <c r="D23" s="35">
        <v>2701.7999999999997</v>
      </c>
      <c r="E23" s="35">
        <v>3040.7</v>
      </c>
      <c r="F23" s="36">
        <v>2936.3999999999996</v>
      </c>
      <c r="G23" s="36">
        <v>2595.9</v>
      </c>
      <c r="H23" s="36">
        <v>3119.8</v>
      </c>
      <c r="I23" s="36">
        <v>2617.5</v>
      </c>
      <c r="J23" s="36">
        <v>2799.2</v>
      </c>
      <c r="K23" s="36">
        <v>2903.8</v>
      </c>
      <c r="L23" s="36">
        <v>3089.3</v>
      </c>
      <c r="M23" s="36">
        <v>3198.9</v>
      </c>
      <c r="N23" s="36">
        <v>5609.1</v>
      </c>
      <c r="O23" s="36">
        <v>5084.7</v>
      </c>
      <c r="P23" s="36">
        <v>7320.1</v>
      </c>
      <c r="Q23" s="36">
        <v>13253.5</v>
      </c>
      <c r="R23" s="36">
        <v>13472.2</v>
      </c>
      <c r="S23" s="36">
        <v>17190.8</v>
      </c>
      <c r="T23" s="36">
        <v>15863.9</v>
      </c>
      <c r="U23" s="36">
        <v>26288.3</v>
      </c>
      <c r="V23" s="36">
        <v>25428.6</v>
      </c>
      <c r="W23" s="36">
        <v>32938.9</v>
      </c>
      <c r="X23" s="36">
        <v>38736.400000000001</v>
      </c>
      <c r="Y23" s="53"/>
    </row>
    <row r="24" spans="1:25" s="9" customFormat="1" ht="17.100000000000001" customHeight="1" x14ac:dyDescent="0.2">
      <c r="A24" s="38" t="s">
        <v>14</v>
      </c>
      <c r="B24" s="47" t="s">
        <v>30</v>
      </c>
      <c r="C24" s="11">
        <v>610.20000000000005</v>
      </c>
      <c r="D24" s="11">
        <v>578.1</v>
      </c>
      <c r="E24" s="11">
        <v>591</v>
      </c>
      <c r="F24" s="11">
        <v>641.20000000000005</v>
      </c>
      <c r="G24" s="11">
        <v>765.8</v>
      </c>
      <c r="H24" s="11">
        <v>742.2</v>
      </c>
      <c r="I24" s="11">
        <v>652.5</v>
      </c>
      <c r="J24" s="11">
        <v>638</v>
      </c>
      <c r="K24" s="11">
        <v>658.3</v>
      </c>
      <c r="L24" s="11">
        <v>643.29999999999995</v>
      </c>
      <c r="M24" s="11">
        <v>716</v>
      </c>
      <c r="N24" s="12">
        <v>666.2</v>
      </c>
      <c r="O24" s="12">
        <v>835.8</v>
      </c>
      <c r="P24" s="12">
        <v>1215.5999999999999</v>
      </c>
      <c r="Q24" s="12">
        <v>2170.1999999999998</v>
      </c>
      <c r="R24" s="12">
        <v>3257</v>
      </c>
      <c r="S24" s="12">
        <v>4022.1</v>
      </c>
      <c r="T24" s="12">
        <v>4175.2</v>
      </c>
      <c r="U24" s="12">
        <v>4571.6000000000004</v>
      </c>
      <c r="V24" s="12">
        <v>6973.2</v>
      </c>
      <c r="W24" s="12">
        <v>9262.4</v>
      </c>
      <c r="X24" s="12">
        <v>8511.9</v>
      </c>
      <c r="Y24" s="54"/>
    </row>
    <row r="25" spans="1:25" s="9" customFormat="1" ht="17.100000000000001" customHeight="1" x14ac:dyDescent="0.2">
      <c r="A25" s="38" t="s">
        <v>15</v>
      </c>
      <c r="B25" s="47" t="s">
        <v>16</v>
      </c>
      <c r="C25" s="11">
        <v>1915.3</v>
      </c>
      <c r="D25" s="11">
        <v>2123.6999999999998</v>
      </c>
      <c r="E25" s="11">
        <v>2449.6999999999998</v>
      </c>
      <c r="F25" s="11">
        <v>2295.1999999999998</v>
      </c>
      <c r="G25" s="11">
        <v>1830.1</v>
      </c>
      <c r="H25" s="11">
        <v>2377.6</v>
      </c>
      <c r="I25" s="11">
        <v>1965</v>
      </c>
      <c r="J25" s="11">
        <v>2161.1999999999998</v>
      </c>
      <c r="K25" s="11">
        <v>2245.5</v>
      </c>
      <c r="L25" s="11">
        <v>2446</v>
      </c>
      <c r="M25" s="11">
        <v>2482.9</v>
      </c>
      <c r="N25" s="12">
        <v>4942.8999999999996</v>
      </c>
      <c r="O25" s="12">
        <v>4248.8999999999996</v>
      </c>
      <c r="P25" s="12">
        <v>6104.5</v>
      </c>
      <c r="Q25" s="12">
        <v>11083.3</v>
      </c>
      <c r="R25" s="12">
        <v>10215.200000000001</v>
      </c>
      <c r="S25" s="12">
        <v>13168.7</v>
      </c>
      <c r="T25" s="12">
        <v>11688.7</v>
      </c>
      <c r="U25" s="12">
        <v>21716.7</v>
      </c>
      <c r="V25" s="12">
        <v>18455.400000000001</v>
      </c>
      <c r="W25" s="12">
        <v>23676.5</v>
      </c>
      <c r="X25" s="12">
        <v>30224.5</v>
      </c>
      <c r="Y25" s="54"/>
    </row>
    <row r="26" spans="1:25" s="20" customFormat="1" ht="17.100000000000001" customHeight="1" x14ac:dyDescent="0.2">
      <c r="A26" s="16"/>
      <c r="B26" s="16"/>
      <c r="C26" s="17"/>
      <c r="D26" s="17"/>
      <c r="E26" s="17"/>
      <c r="F26" s="17"/>
      <c r="G26" s="18"/>
      <c r="H26" s="18"/>
      <c r="I26" s="18"/>
      <c r="J26" s="18"/>
      <c r="K26" s="18"/>
      <c r="L26" s="18"/>
      <c r="M26" s="18"/>
      <c r="N26" s="19"/>
      <c r="O26" s="19"/>
      <c r="P26" s="19"/>
      <c r="Q26" s="19"/>
      <c r="R26" s="19"/>
      <c r="S26" s="19"/>
      <c r="T26" s="19"/>
      <c r="U26" s="52"/>
      <c r="V26" s="52"/>
      <c r="W26" s="52"/>
      <c r="X26" s="52"/>
    </row>
    <row r="27" spans="1:25" s="22" customFormat="1" ht="18" customHeight="1" x14ac:dyDescent="0.2">
      <c r="A27" s="21" t="s">
        <v>38</v>
      </c>
      <c r="C27" s="23"/>
      <c r="D27" s="24"/>
      <c r="E27" s="24"/>
      <c r="F27" s="24"/>
      <c r="G27" s="24"/>
      <c r="H27" s="25"/>
      <c r="I27" s="25"/>
      <c r="J27" s="25"/>
      <c r="K27" s="25"/>
      <c r="L27" s="25"/>
      <c r="S27" s="26"/>
    </row>
    <row r="28" spans="1:25" s="22" customFormat="1" ht="25.5" customHeight="1" x14ac:dyDescent="0.2">
      <c r="A28" s="63" t="s">
        <v>18</v>
      </c>
      <c r="B28" s="63"/>
      <c r="C28" s="27"/>
      <c r="D28" s="27"/>
      <c r="E28" s="27"/>
      <c r="F28" s="27"/>
      <c r="G28" s="27"/>
      <c r="H28" s="28"/>
      <c r="I28" s="28"/>
      <c r="J28" s="28"/>
      <c r="K28" s="28"/>
      <c r="L28" s="28"/>
      <c r="M28" s="29"/>
      <c r="N28" s="29"/>
      <c r="S28" s="26"/>
    </row>
    <row r="29" spans="1:25" s="22" customFormat="1" ht="24.75" customHeight="1" x14ac:dyDescent="0.2">
      <c r="A29" s="63" t="s">
        <v>48</v>
      </c>
      <c r="B29" s="63"/>
      <c r="C29" s="27"/>
      <c r="D29" s="27"/>
      <c r="E29" s="27"/>
      <c r="F29" s="27"/>
      <c r="G29" s="27"/>
      <c r="H29" s="28"/>
      <c r="I29" s="28"/>
      <c r="J29" s="28"/>
      <c r="K29" s="28"/>
      <c r="L29" s="28"/>
      <c r="M29" s="29"/>
      <c r="N29" s="29"/>
    </row>
    <row r="30" spans="1:25" s="22" customFormat="1" ht="28.5" customHeight="1" x14ac:dyDescent="0.2">
      <c r="A30" s="63" t="s">
        <v>47</v>
      </c>
      <c r="B30" s="63"/>
      <c r="C30" s="27"/>
      <c r="D30" s="27"/>
      <c r="E30" s="27"/>
      <c r="F30" s="27"/>
      <c r="G30" s="27"/>
      <c r="H30" s="28"/>
      <c r="I30" s="28"/>
      <c r="J30" s="28"/>
      <c r="K30" s="28"/>
      <c r="L30" s="28"/>
      <c r="M30" s="29"/>
      <c r="N30" s="29"/>
    </row>
    <row r="31" spans="1:25" s="30" customFormat="1" ht="25.5" customHeight="1" x14ac:dyDescent="0.2">
      <c r="A31" s="63" t="s">
        <v>49</v>
      </c>
      <c r="B31" s="63"/>
      <c r="C31" s="27"/>
      <c r="D31" s="27"/>
      <c r="E31" s="27"/>
      <c r="F31" s="27"/>
      <c r="G31" s="27"/>
      <c r="H31" s="28"/>
      <c r="I31" s="28"/>
      <c r="J31" s="28"/>
      <c r="K31" s="28"/>
      <c r="L31" s="28"/>
      <c r="M31" s="29"/>
      <c r="N31" s="29"/>
    </row>
    <row r="32" spans="1:25" ht="18" customHeight="1" x14ac:dyDescent="0.25">
      <c r="A32" s="6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</row>
    <row r="33" spans="1:12" x14ac:dyDescent="0.3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 ht="16.5" customHeight="1" x14ac:dyDescent="0.3">
      <c r="A34" s="7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</row>
    <row r="35" spans="1:12" ht="16.5" customHeight="1" x14ac:dyDescent="0.3">
      <c r="A35" s="8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</row>
    <row r="36" spans="1:12" ht="16.5" customHeight="1" x14ac:dyDescent="0.3">
      <c r="A36" s="7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1:12" ht="16.5" customHeight="1" x14ac:dyDescent="0.3">
      <c r="A37" s="8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</row>
    <row r="38" spans="1:12" ht="16.5" customHeight="1" x14ac:dyDescent="0.3">
      <c r="A38" s="7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spans="1:12" ht="16.5" customHeight="1" x14ac:dyDescent="0.3">
      <c r="A39" s="8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spans="1:12" ht="16.5" hidden="1" customHeight="1" x14ac:dyDescent="0.3">
      <c r="A40" s="8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</row>
    <row r="41" spans="1:12" ht="16.5" hidden="1" customHeight="1" x14ac:dyDescent="0.3">
      <c r="A41" s="7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  <row r="42" spans="1:12" ht="16.5" customHeight="1" x14ac:dyDescent="0.3">
      <c r="A42" s="7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</row>
    <row r="43" spans="1:12" ht="16.5" customHeight="1" x14ac:dyDescent="0.3">
      <c r="A43" s="7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ht="16.5" customHeight="1" x14ac:dyDescent="0.3">
      <c r="A44" s="7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 ht="16.5" customHeight="1" x14ac:dyDescent="0.25"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</row>
    <row r="46" spans="1:12" ht="16.5" customHeight="1" x14ac:dyDescent="0.25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</row>
    <row r="48" spans="1:12" x14ac:dyDescent="0.25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2" x14ac:dyDescent="0.25"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</row>
    <row r="50" spans="1:12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</row>
    <row r="51" spans="1:12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</row>
    <row r="52" spans="1:12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</row>
    <row r="53" spans="1:12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</row>
    <row r="54" spans="1:12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</row>
    <row r="55" spans="1:12" x14ac:dyDescent="0.25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</row>
    <row r="56" spans="1:12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</row>
    <row r="57" spans="1:12" x14ac:dyDescent="0.25">
      <c r="A57" s="4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x14ac:dyDescent="0.2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  <row r="59" spans="1:12" x14ac:dyDescent="0.25">
      <c r="A59" s="4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4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</row>
    <row r="61" spans="1:12" x14ac:dyDescent="0.25">
      <c r="A61" s="4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</row>
    <row r="62" spans="1:12" x14ac:dyDescent="0.25">
      <c r="A62" s="4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</row>
    <row r="63" spans="1:12" x14ac:dyDescent="0.25">
      <c r="A63" s="4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</row>
    <row r="64" spans="1:12" x14ac:dyDescent="0.25">
      <c r="A64" s="4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</row>
    <row r="65" spans="1:12" x14ac:dyDescent="0.25">
      <c r="A65" s="4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</row>
    <row r="66" spans="1:12" x14ac:dyDescent="0.25">
      <c r="A66" s="4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</row>
    <row r="67" spans="1:12" x14ac:dyDescent="0.25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</row>
    <row r="68" spans="1:12" x14ac:dyDescent="0.25">
      <c r="A68" s="4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</row>
    <row r="69" spans="1:12" x14ac:dyDescent="0.25">
      <c r="A69" s="4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 x14ac:dyDescent="0.25">
      <c r="A70" s="4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</row>
    <row r="71" spans="1:12" x14ac:dyDescent="0.25">
      <c r="A71" s="4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</row>
    <row r="72" spans="1:12" x14ac:dyDescent="0.25">
      <c r="A72" s="4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</row>
    <row r="73" spans="1:12" x14ac:dyDescent="0.25">
      <c r="A73" s="4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4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</row>
    <row r="75" spans="1:12" x14ac:dyDescent="0.25">
      <c r="A75" s="4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</row>
    <row r="76" spans="1:12" x14ac:dyDescent="0.25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</row>
    <row r="77" spans="1:12" x14ac:dyDescent="0.25">
      <c r="A77" s="4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</row>
    <row r="78" spans="1:12" x14ac:dyDescent="0.25">
      <c r="A78" s="4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</row>
    <row r="79" spans="1:12" x14ac:dyDescent="0.25">
      <c r="A79" s="4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</row>
    <row r="80" spans="1:12" x14ac:dyDescent="0.25">
      <c r="A80" s="4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 x14ac:dyDescent="0.25">
      <c r="A81" s="4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</row>
    <row r="82" spans="1:12" x14ac:dyDescent="0.25">
      <c r="A82" s="4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</row>
    <row r="83" spans="1:12" x14ac:dyDescent="0.25">
      <c r="A83" s="4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</row>
    <row r="84" spans="1:12" x14ac:dyDescent="0.25">
      <c r="A84" s="4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</row>
    <row r="85" spans="1:12" x14ac:dyDescent="0.2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</row>
    <row r="86" spans="1:12" x14ac:dyDescent="0.25">
      <c r="A86" s="4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 spans="1:12" x14ac:dyDescent="0.25">
      <c r="A87" s="4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4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 x14ac:dyDescent="0.25">
      <c r="A89" s="4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</row>
    <row r="90" spans="1:12" x14ac:dyDescent="0.25">
      <c r="A90" s="4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</row>
    <row r="91" spans="1:12" x14ac:dyDescent="0.25">
      <c r="A91" s="4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</row>
    <row r="92" spans="1:12" x14ac:dyDescent="0.25">
      <c r="A92" s="4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</row>
    <row r="93" spans="1:12" x14ac:dyDescent="0.25">
      <c r="A93" s="4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25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</row>
    <row r="95" spans="1:12" x14ac:dyDescent="0.25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</row>
    <row r="97" spans="1:12" x14ac:dyDescent="0.25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 x14ac:dyDescent="0.25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</row>
    <row r="99" spans="1:12" x14ac:dyDescent="0.25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 x14ac:dyDescent="0.25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25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</row>
    <row r="102" spans="1:12" x14ac:dyDescent="0.25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</row>
    <row r="103" spans="1:12" x14ac:dyDescent="0.25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</row>
    <row r="104" spans="1:12" x14ac:dyDescent="0.25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</row>
    <row r="105" spans="1:12" x14ac:dyDescent="0.25">
      <c r="A105" s="4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</row>
    <row r="106" spans="1:12" x14ac:dyDescent="0.25">
      <c r="A106" s="4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</row>
    <row r="107" spans="1:12" x14ac:dyDescent="0.25">
      <c r="A107" s="4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</row>
    <row r="108" spans="1:12" x14ac:dyDescent="0.25">
      <c r="A108" s="4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</row>
    <row r="109" spans="1:12" x14ac:dyDescent="0.25">
      <c r="A109" s="4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</row>
    <row r="110" spans="1:12" x14ac:dyDescent="0.25">
      <c r="A110" s="4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</row>
    <row r="111" spans="1:12" x14ac:dyDescent="0.25">
      <c r="A111" s="4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</row>
    <row r="113" spans="1:12" x14ac:dyDescent="0.25">
      <c r="A113" s="4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</row>
    <row r="114" spans="1:12" x14ac:dyDescent="0.25">
      <c r="A114" s="4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</row>
    <row r="115" spans="1:12" x14ac:dyDescent="0.25">
      <c r="A115" s="4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</row>
    <row r="116" spans="1:12" x14ac:dyDescent="0.25">
      <c r="A116" s="4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</row>
    <row r="117" spans="1:12" x14ac:dyDescent="0.25">
      <c r="A117" s="4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</row>
    <row r="118" spans="1:12" x14ac:dyDescent="0.25">
      <c r="A118" s="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</row>
    <row r="119" spans="1:12" x14ac:dyDescent="0.25">
      <c r="A119" s="4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</row>
    <row r="120" spans="1:12" x14ac:dyDescent="0.25">
      <c r="A120" s="4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 x14ac:dyDescent="0.25">
      <c r="A121" s="4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</row>
    <row r="122" spans="1:12" x14ac:dyDescent="0.25">
      <c r="A122" s="4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</row>
    <row r="123" spans="1:12" x14ac:dyDescent="0.25">
      <c r="A123" s="4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4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</row>
    <row r="125" spans="1:12" x14ac:dyDescent="0.25">
      <c r="A125" s="4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</row>
    <row r="126" spans="1:12" x14ac:dyDescent="0.25">
      <c r="A126" s="4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</row>
    <row r="127" spans="1:12" x14ac:dyDescent="0.25">
      <c r="A127" s="4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</row>
    <row r="128" spans="1:12" x14ac:dyDescent="0.25">
      <c r="A128" s="4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</row>
    <row r="129" spans="1:12" x14ac:dyDescent="0.25">
      <c r="A129" s="4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</row>
    <row r="130" spans="1:12" x14ac:dyDescent="0.25">
      <c r="A130" s="4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</row>
    <row r="131" spans="1:12" x14ac:dyDescent="0.25">
      <c r="A131" s="4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</row>
    <row r="132" spans="1:12" x14ac:dyDescent="0.25">
      <c r="A132" s="4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</row>
    <row r="133" spans="1:12" x14ac:dyDescent="0.25">
      <c r="A133" s="4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</row>
    <row r="134" spans="1:12" x14ac:dyDescent="0.25">
      <c r="A134" s="4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</row>
    <row r="135" spans="1:12" x14ac:dyDescent="0.25">
      <c r="A135" s="4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</row>
    <row r="136" spans="1:12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</row>
    <row r="137" spans="1:12" x14ac:dyDescent="0.25">
      <c r="A137" s="4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</row>
    <row r="138" spans="1:12" x14ac:dyDescent="0.25">
      <c r="A138" s="4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</row>
    <row r="139" spans="1:12" x14ac:dyDescent="0.25">
      <c r="A139" s="4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 x14ac:dyDescent="0.25">
      <c r="A140" s="4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</row>
    <row r="141" spans="1:12" x14ac:dyDescent="0.25">
      <c r="A141" s="4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25">
      <c r="A142" s="4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</row>
    <row r="143" spans="1:12" x14ac:dyDescent="0.25">
      <c r="A143" s="4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</row>
    <row r="144" spans="1:12" x14ac:dyDescent="0.25">
      <c r="A144" s="4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 x14ac:dyDescent="0.25">
      <c r="A145" s="4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</row>
    <row r="146" spans="1:12" x14ac:dyDescent="0.25">
      <c r="A146" s="4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</row>
    <row r="147" spans="1:12" x14ac:dyDescent="0.25">
      <c r="A147" s="4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</row>
    <row r="148" spans="1:12" x14ac:dyDescent="0.25">
      <c r="A148" s="4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</row>
    <row r="149" spans="1:12" x14ac:dyDescent="0.25">
      <c r="A149" s="4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</row>
    <row r="150" spans="1:12" x14ac:dyDescent="0.25">
      <c r="A150" s="4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</row>
    <row r="151" spans="1:12" x14ac:dyDescent="0.25">
      <c r="A151" s="4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</row>
    <row r="152" spans="1:12" x14ac:dyDescent="0.25">
      <c r="A152" s="4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</row>
    <row r="153" spans="1:12" x14ac:dyDescent="0.25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</row>
    <row r="154" spans="1:12" x14ac:dyDescent="0.25">
      <c r="A154" s="4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</row>
    <row r="155" spans="1:12" x14ac:dyDescent="0.25">
      <c r="A155" s="4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</row>
    <row r="156" spans="1:12" x14ac:dyDescent="0.25">
      <c r="A156" s="4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</row>
    <row r="157" spans="1:12" x14ac:dyDescent="0.25">
      <c r="A157" s="4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25">
      <c r="A158" s="4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</row>
    <row r="159" spans="1:12" x14ac:dyDescent="0.25">
      <c r="A159" s="4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</row>
    <row r="160" spans="1:12" x14ac:dyDescent="0.25">
      <c r="A160" s="4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</row>
    <row r="161" spans="1:12" x14ac:dyDescent="0.25">
      <c r="A161" s="4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</row>
    <row r="162" spans="1:12" x14ac:dyDescent="0.25">
      <c r="A162" s="4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</row>
    <row r="163" spans="1:12" x14ac:dyDescent="0.25">
      <c r="A163" s="4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</row>
    <row r="164" spans="1:12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</row>
    <row r="165" spans="1:12" x14ac:dyDescent="0.25">
      <c r="A165" s="4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</row>
    <row r="166" spans="1:12" x14ac:dyDescent="0.25">
      <c r="A166" s="4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</row>
    <row r="167" spans="1:12" x14ac:dyDescent="0.25">
      <c r="A167" s="4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</row>
    <row r="168" spans="1:12" x14ac:dyDescent="0.25">
      <c r="A168" s="4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</row>
    <row r="169" spans="1:12" x14ac:dyDescent="0.25">
      <c r="A169" s="4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</row>
    <row r="170" spans="1:12" x14ac:dyDescent="0.25">
      <c r="A170" s="4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</row>
    <row r="171" spans="1:12" x14ac:dyDescent="0.25">
      <c r="A171" s="4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</row>
    <row r="172" spans="1:12" x14ac:dyDescent="0.25">
      <c r="A172" s="4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</row>
    <row r="173" spans="1:12" x14ac:dyDescent="0.25">
      <c r="A173" s="4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</row>
    <row r="174" spans="1:12" x14ac:dyDescent="0.25">
      <c r="A174" s="4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</row>
    <row r="175" spans="1:12" x14ac:dyDescent="0.25">
      <c r="A175" s="4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</row>
    <row r="176" spans="1:12" x14ac:dyDescent="0.25">
      <c r="A176" s="4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</row>
    <row r="177" spans="1:12" x14ac:dyDescent="0.25">
      <c r="A177" s="4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</row>
    <row r="178" spans="1:12" x14ac:dyDescent="0.25">
      <c r="A178" s="4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</row>
    <row r="179" spans="1:12" x14ac:dyDescent="0.25">
      <c r="A179" s="4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</row>
    <row r="180" spans="1:12" x14ac:dyDescent="0.25">
      <c r="A180" s="4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</row>
    <row r="181" spans="1:12" x14ac:dyDescent="0.25">
      <c r="A181" s="4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</row>
    <row r="182" spans="1:12" x14ac:dyDescent="0.25">
      <c r="A182" s="4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</row>
    <row r="183" spans="1:12" x14ac:dyDescent="0.25">
      <c r="A183" s="4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</row>
    <row r="184" spans="1:12" x14ac:dyDescent="0.25">
      <c r="A184" s="4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</row>
    <row r="185" spans="1:12" x14ac:dyDescent="0.25">
      <c r="A185" s="4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</row>
    <row r="186" spans="1:12" x14ac:dyDescent="0.25">
      <c r="A186" s="4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</row>
    <row r="187" spans="1:12" x14ac:dyDescent="0.25">
      <c r="A187" s="4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</row>
    <row r="188" spans="1:12" x14ac:dyDescent="0.25">
      <c r="A188" s="4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</row>
    <row r="189" spans="1:12" x14ac:dyDescent="0.25">
      <c r="A189" s="4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</row>
    <row r="190" spans="1:12" x14ac:dyDescent="0.25">
      <c r="A190" s="4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</row>
    <row r="191" spans="1:12" x14ac:dyDescent="0.25">
      <c r="A191" s="4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</row>
    <row r="192" spans="1:12" x14ac:dyDescent="0.25">
      <c r="A192" s="4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</row>
    <row r="193" spans="1:12" x14ac:dyDescent="0.25">
      <c r="A193" s="4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</row>
    <row r="194" spans="1:12" x14ac:dyDescent="0.25">
      <c r="A194" s="4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</row>
    <row r="195" spans="1:12" x14ac:dyDescent="0.25">
      <c r="A195" s="4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</row>
    <row r="196" spans="1:12" x14ac:dyDescent="0.25">
      <c r="A196" s="4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5">
      <c r="A197" s="4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</row>
    <row r="198" spans="1:12" x14ac:dyDescent="0.25">
      <c r="A198" s="4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</row>
    <row r="199" spans="1:12" x14ac:dyDescent="0.25">
      <c r="A199" s="4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</row>
    <row r="200" spans="1:12" x14ac:dyDescent="0.25">
      <c r="A200" s="4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</row>
    <row r="201" spans="1:12" x14ac:dyDescent="0.25">
      <c r="A201" s="4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x14ac:dyDescent="0.25">
      <c r="A202" s="4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</row>
    <row r="203" spans="1:12" x14ac:dyDescent="0.25">
      <c r="A203" s="4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</row>
    <row r="204" spans="1:12" x14ac:dyDescent="0.25">
      <c r="A204" s="4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</row>
    <row r="205" spans="1:12" x14ac:dyDescent="0.25">
      <c r="A205" s="4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</row>
    <row r="206" spans="1:12" x14ac:dyDescent="0.25">
      <c r="A206" s="4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</row>
    <row r="207" spans="1:12" x14ac:dyDescent="0.25">
      <c r="A207" s="4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</row>
    <row r="208" spans="1:12" x14ac:dyDescent="0.25">
      <c r="A208" s="4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</row>
    <row r="209" spans="1:12" x14ac:dyDescent="0.25">
      <c r="A209" s="4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</row>
    <row r="210" spans="1:12" x14ac:dyDescent="0.25">
      <c r="A210" s="4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</row>
    <row r="211" spans="1:12" x14ac:dyDescent="0.25">
      <c r="A211" s="4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</row>
    <row r="212" spans="1:12" x14ac:dyDescent="0.25">
      <c r="A212" s="4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</row>
    <row r="213" spans="1:12" x14ac:dyDescent="0.25">
      <c r="A213" s="4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</row>
    <row r="214" spans="1:12" x14ac:dyDescent="0.25">
      <c r="A214" s="4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</row>
    <row r="215" spans="1:12" x14ac:dyDescent="0.25">
      <c r="A215" s="4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</row>
    <row r="216" spans="1:12" x14ac:dyDescent="0.25">
      <c r="A216" s="4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</row>
    <row r="217" spans="1:12" x14ac:dyDescent="0.25">
      <c r="A217" s="4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</row>
    <row r="218" spans="1:12" x14ac:dyDescent="0.25">
      <c r="A218" s="4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</row>
    <row r="219" spans="1:12" x14ac:dyDescent="0.25">
      <c r="A219" s="4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</row>
    <row r="220" spans="1:12" x14ac:dyDescent="0.25">
      <c r="A220" s="4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</row>
    <row r="221" spans="1:12" x14ac:dyDescent="0.25">
      <c r="A221" s="4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</row>
    <row r="222" spans="1:12" x14ac:dyDescent="0.25">
      <c r="A222" s="4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</row>
  </sheetData>
  <mergeCells count="8">
    <mergeCell ref="C4:X5"/>
    <mergeCell ref="A3:X3"/>
    <mergeCell ref="A2:X2"/>
    <mergeCell ref="A31:B31"/>
    <mergeCell ref="A28:B28"/>
    <mergeCell ref="A4:B6"/>
    <mergeCell ref="A30:B30"/>
    <mergeCell ref="A29:B2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79" orientation="landscape" r:id="rId1"/>
  <headerFooter>
    <oddFooter>&amp;L&amp;F&amp;A&amp;R&amp;D&amp;T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Annual</Frequency>
    <_dlc_Exempt xmlns="http://schemas.microsoft.com/sharepoint/v3">false</_dlc_Exempt>
  </documentManagement>
</p:properties>
</file>

<file path=customXml/item3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11A5A6-6C3F-48C0-887E-292CD095FD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30D7744-BE2B-4C38-973C-1E63F70C8138}">
  <ds:schemaRefs>
    <ds:schemaRef ds:uri="http://schemas.microsoft.com/office/2006/documentManagement/types"/>
    <ds:schemaRef ds:uri="4a1cef21-950b-48ce-bef3-2690db201377"/>
    <ds:schemaRef ds:uri="http://purl.org/dc/dcmitype/"/>
    <ds:schemaRef ds:uri="http://schemas.microsoft.com/office/2006/metadata/properties"/>
    <ds:schemaRef ds:uri="806035d9-ad3b-44db-92a1-1ed4b9daec3e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0B206B6-CFF9-4A25-BF1C-15F6F71BA4B9}">
  <ds:schemaRefs>
    <ds:schemaRef ds:uri="office.server.policy"/>
  </ds:schemaRefs>
</ds:datastoreItem>
</file>

<file path=customXml/itemProps4.xml><?xml version="1.0" encoding="utf-8"?>
<ds:datastoreItem xmlns:ds="http://schemas.openxmlformats.org/officeDocument/2006/customXml" ds:itemID="{F0E7A80F-35D6-4357-A2F8-115918A5961E}">
  <ds:schemaRefs>
    <ds:schemaRef ds:uri="http://schemas.microsoft.com/sharepoint/events"/>
  </ds:schemaRefs>
</ds:datastoreItem>
</file>

<file path=customXml/itemProps5.xml><?xml version="1.0" encoding="utf-8"?>
<ds:datastoreItem xmlns:ds="http://schemas.openxmlformats.org/officeDocument/2006/customXml" ds:itemID="{DE454206-5EB3-4BD0-BA60-3D45D442FE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Annual</dc:title>
  <dc:creator/>
  <cp:lastModifiedBy/>
  <dcterms:created xsi:type="dcterms:W3CDTF">2006-09-16T00:00:00Z</dcterms:created>
  <dcterms:modified xsi:type="dcterms:W3CDTF">2026-03-30T10:53:24Z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41800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