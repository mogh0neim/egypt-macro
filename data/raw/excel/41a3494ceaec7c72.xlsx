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التجارة الخارجية\trade1\Trade\TRADE for Time Series\2025-2026\جداول الربع الثالث\الجغرافى\صادرات\"/>
    </mc:Choice>
  </mc:AlternateContent>
  <xr:revisionPtr revIDLastSave="0" documentId="13_ncr:1_{9E7BDA64-3A8F-4EE0-B22A-A0B209FD24F1}" xr6:coauthVersionLast="47" xr6:coauthVersionMax="47" xr10:uidLastSave="{00000000-0000-0000-0000-000000000000}"/>
  <bookViews>
    <workbookView xWindow="-120" yWindow="-120" windowWidth="21840" windowHeight="13140" tabRatio="637" firstSheet="17" activeTab="20" xr2:uid="{00000000-000D-0000-FFFF-FFFF00000000}"/>
  </bookViews>
  <sheets>
    <sheet name="2005-2006" sheetId="3" r:id="rId1"/>
    <sheet name="2006-2007" sheetId="4" r:id="rId2"/>
    <sheet name="2007-2008" sheetId="5" r:id="rId3"/>
    <sheet name="2008-2009" sheetId="6" r:id="rId4"/>
    <sheet name="2009-2010" sheetId="7" r:id="rId5"/>
    <sheet name="2010-2011" sheetId="8" r:id="rId6"/>
    <sheet name="2011-2012" sheetId="9" r:id="rId7"/>
    <sheet name="2012-2013" sheetId="10" r:id="rId8"/>
    <sheet name="2013-2014" sheetId="11" r:id="rId9"/>
    <sheet name="2014-2015" sheetId="12" r:id="rId10"/>
    <sheet name="2015-2016" sheetId="13" r:id="rId11"/>
    <sheet name="2016-2017" sheetId="14" r:id="rId12"/>
    <sheet name="2017-2018" sheetId="15" r:id="rId13"/>
    <sheet name="2018-2019" sheetId="16" r:id="rId14"/>
    <sheet name="2019-2020" sheetId="17" r:id="rId15"/>
    <sheet name="2020-2021" sheetId="18" r:id="rId16"/>
    <sheet name="2021-2022" sheetId="19" r:id="rId17"/>
    <sheet name="2022-2023" sheetId="20" r:id="rId18"/>
    <sheet name="2023-2024 " sheetId="22" r:id="rId19"/>
    <sheet name="2024-2025" sheetId="23" r:id="rId20"/>
    <sheet name="2025-2026" sheetId="24" r:id="rId21"/>
  </sheets>
  <definedNames>
    <definedName name="_xlnm.Print_Area" localSheetId="7">'2012-2013'!$A$1:$F$17</definedName>
    <definedName name="_xlnm.Print_Area" localSheetId="8">'2013-2014'!$A$1:$F$17</definedName>
    <definedName name="_xlnm.Print_Area" localSheetId="13">'2018-2019'!$A$1:$F$17</definedName>
    <definedName name="_xlnm.Print_Area" localSheetId="15">'2020-2021'!$A$1:$F$17</definedName>
    <definedName name="_xlnm.Print_Area" localSheetId="16">'2021-2022'!$A$1:$F$17</definedName>
    <definedName name="_xlnm.Print_Area" localSheetId="17">'2022-2023'!$A$1:$F$17</definedName>
    <definedName name="_xlnm.Print_Area" localSheetId="18">'2023-2024 '!$A$1:$F$18</definedName>
    <definedName name="_xlnm.Print_Area" localSheetId="19">'2024-2025'!$A$1:$F$18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11" l="1"/>
  <c r="F15" i="11"/>
  <c r="F13" i="11"/>
  <c r="F11" i="11"/>
  <c r="F9" i="11"/>
  <c r="F8" i="11"/>
  <c r="F7" i="10" l="1"/>
  <c r="F8" i="10"/>
  <c r="E7" i="10"/>
  <c r="E8" i="10"/>
  <c r="F7" i="9"/>
  <c r="E7" i="9"/>
  <c r="D7" i="9"/>
  <c r="C7" i="9"/>
</calcChain>
</file>

<file path=xl/sharedStrings.xml><?xml version="1.0" encoding="utf-8"?>
<sst xmlns="http://schemas.openxmlformats.org/spreadsheetml/2006/main" count="718" uniqueCount="117">
  <si>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</si>
  <si>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</si>
  <si>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</si>
  <si>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</si>
  <si>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</si>
  <si>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</si>
  <si>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</si>
  <si>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</si>
  <si>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</si>
  <si>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</si>
  <si>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</si>
  <si>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</si>
  <si>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</si>
  <si>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</si>
  <si>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</si>
  <si>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</si>
  <si>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</si>
  <si>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</si>
  <si>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</si>
  <si>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</si>
  <si>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</si>
  <si>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</si>
  <si>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</si>
  <si>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</si>
  <si>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</si>
  <si>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</si>
  <si>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</si>
  <si>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</si>
  <si>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</si>
  <si>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</si>
  <si>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</si>
  <si>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</si>
  <si>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t>**   Including exports of free zones .</t>
  </si>
  <si>
    <t>July/Sep.2006</t>
  </si>
  <si>
    <t>Oct./Dec.2006</t>
  </si>
  <si>
    <t>Jan./Mar2007</t>
  </si>
  <si>
    <t>Apr./Jun2007</t>
  </si>
  <si>
    <t>July/Sep.2007</t>
  </si>
  <si>
    <t>Oct./Dec.2007</t>
  </si>
  <si>
    <t>Jan./Mar2008</t>
  </si>
  <si>
    <t>Apr./Jun2008</t>
  </si>
  <si>
    <t>July/Sep.2008</t>
  </si>
  <si>
    <t>Oct./Dec.2008</t>
  </si>
  <si>
    <t>Jan./Mar2009</t>
  </si>
  <si>
    <t>Apr./Jun2009</t>
  </si>
  <si>
    <t>July/Sep.2009</t>
  </si>
  <si>
    <t>Oct./Dec.2009</t>
  </si>
  <si>
    <t>Jan./Mar2010</t>
  </si>
  <si>
    <t>Apr./Jun2010</t>
  </si>
  <si>
    <t>July/Sep.2010</t>
  </si>
  <si>
    <t>Oct./Dec.2010</t>
  </si>
  <si>
    <t>Jan./Mar2011</t>
  </si>
  <si>
    <t>Apr./Jun2011</t>
  </si>
  <si>
    <t>July/Sep.2011</t>
  </si>
  <si>
    <t>Oct./Dec.2011</t>
  </si>
  <si>
    <t>Jan./Mar2012</t>
  </si>
  <si>
    <t>Apr./Jun2012</t>
  </si>
  <si>
    <t xml:space="preserve">    *   Provisional.</t>
  </si>
  <si>
    <t>July/Sep.2013</t>
  </si>
  <si>
    <t>Oct./Dec.2013</t>
  </si>
  <si>
    <t>Jan./Mar.2014</t>
  </si>
  <si>
    <t>Apr./June2014</t>
  </si>
  <si>
    <t>إجمالى الصادرات  **</t>
  </si>
  <si>
    <t>Oct./Dec.2012</t>
  </si>
  <si>
    <t>July/Sep.2012</t>
  </si>
  <si>
    <t>Jan./Mar2013</t>
  </si>
  <si>
    <t>Apr./Jun2013</t>
  </si>
  <si>
    <t>July/Sep.2014</t>
  </si>
  <si>
    <t>Oct./Dec.2014</t>
  </si>
  <si>
    <t>Jan./Mar. 2015</t>
  </si>
  <si>
    <t>Apr./June 2015</t>
  </si>
  <si>
    <t>July/Sep.2015</t>
  </si>
  <si>
    <t>Oct./Dec.2015</t>
  </si>
  <si>
    <t>Jan./Mar.2016</t>
  </si>
  <si>
    <t>Apr./June 2016</t>
  </si>
  <si>
    <t>July/Sep.2016</t>
  </si>
  <si>
    <t>Oct./Dec.2016</t>
  </si>
  <si>
    <t>Jan./Mar.2017</t>
  </si>
  <si>
    <t>Apr./June 2017</t>
  </si>
  <si>
    <r>
      <t xml:space="preserve">**   يتضمن صادرات المناطق الحرة .  </t>
    </r>
    <r>
      <rPr>
        <vertAlign val="subscript"/>
        <sz val="12"/>
        <rFont val="Arial"/>
        <family val="2"/>
      </rPr>
      <t xml:space="preserve">            </t>
    </r>
  </si>
  <si>
    <t>July/Sep.2017</t>
  </si>
  <si>
    <t>Oct./Dec.2017</t>
  </si>
  <si>
    <t>Jan./Mar.2018</t>
  </si>
  <si>
    <t>Apr./June 2018</t>
  </si>
  <si>
    <t>July/Sep.2018</t>
  </si>
  <si>
    <t>Oct./Dec.2018</t>
  </si>
  <si>
    <t>Jan./Mar.2019</t>
  </si>
  <si>
    <t>Apr./June 2019</t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</si>
  <si>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</si>
  <si>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</si>
  <si>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t>July/Sep. 2019</t>
  </si>
  <si>
    <t>Oct./Dec.2019</t>
  </si>
  <si>
    <t>Jan./Mar.2020</t>
  </si>
  <si>
    <t>Apr./June 2020</t>
  </si>
  <si>
    <t>July/Sep. 2020</t>
  </si>
  <si>
    <t>Oct./Dec. 2020</t>
  </si>
  <si>
    <t>Jan./Mar. 2021</t>
  </si>
  <si>
    <t>Apr./June 2021</t>
  </si>
  <si>
    <t>July/Sep. 2023*</t>
  </si>
  <si>
    <t>Oct./Dec. 2023*</t>
  </si>
  <si>
    <t>Jan./Mar. 2024*</t>
  </si>
  <si>
    <t>Apr./June 2024*</t>
  </si>
  <si>
    <t>July/Sep. 2021</t>
  </si>
  <si>
    <t>Oct./Dec. 2021</t>
  </si>
  <si>
    <t>Jan./Mar. 2022</t>
  </si>
  <si>
    <t>Apr./June 2022</t>
  </si>
  <si>
    <t>July/Sep. 2024*</t>
  </si>
  <si>
    <t>Oct./Dec. 2024*</t>
  </si>
  <si>
    <t>Jan./Mar. 2025*</t>
  </si>
  <si>
    <t>Apr./June 2025*</t>
  </si>
  <si>
    <t>July/Sep. 2022</t>
  </si>
  <si>
    <t>Oct./Dec. 2022</t>
  </si>
  <si>
    <t>Jan./Mar. 2023</t>
  </si>
  <si>
    <t>Apr./June 2023</t>
  </si>
  <si>
    <t>July/Sep. 2025*</t>
  </si>
  <si>
    <t>Oct./Dec. 2025*</t>
  </si>
  <si>
    <t>Jan./Mar.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</si>
</sst>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6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u/>
      <sz val="12"/>
      <color indexed="61"/>
      <name val="Arial"/>
      <family val="2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sz val="8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u/>
      <sz val="12"/>
      <color indexed="61"/>
      <name val="Akhbar MT"/>
      <charset val="178"/>
    </font>
    <font>
      <sz val="14"/>
      <name val="Arial"/>
      <family val="2"/>
    </font>
    <font>
      <u/>
      <sz val="11"/>
      <color indexed="61"/>
      <name val="Arial"/>
      <family val="2"/>
    </font>
    <font>
      <b/>
      <sz val="12"/>
      <name val="Arial"/>
      <family val="2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name val="MS Sans Serif"/>
      <family val="2"/>
      <charset val="178"/>
    </font>
    <font>
      <sz val="14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6" fillId="24" borderId="8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0" fontId="27" fillId="25" borderId="9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3" fillId="11" borderId="8" applyNumberFormat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5" fillId="0" borderId="0" applyNumberFormat="0">
      <alignment horizontal="right"/>
    </xf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2" fillId="27" borderId="14" applyNumberFormat="0" applyFon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0" fontId="39" fillId="24" borderId="15" applyNumberFormat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</cellStyleXfs>
  <cellXfs count="89">
    <xf numFmtId="0" fontId="0" fillId="0" borderId="0" xfId="0"/>
    <xf numFmtId="0" fontId="3" fillId="0" borderId="0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8" fillId="0" borderId="1" xfId="1" quotePrefix="1" applyFont="1" applyBorder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 indent="1"/>
    </xf>
    <xf numFmtId="0" fontId="3" fillId="0" borderId="0" xfId="1" applyFont="1"/>
    <xf numFmtId="0" fontId="9" fillId="0" borderId="0" xfId="1" applyFont="1"/>
    <xf numFmtId="169" fontId="14" fillId="0" borderId="0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1" quotePrefix="1" applyFont="1" applyBorder="1" applyAlignment="1">
      <alignment vertical="center"/>
    </xf>
    <xf numFmtId="0" fontId="7" fillId="0" borderId="0" xfId="1" quotePrefix="1" applyFont="1" applyBorder="1" applyAlignment="1">
      <alignment vertical="center"/>
    </xf>
    <xf numFmtId="0" fontId="0" fillId="0" borderId="2" xfId="0" applyBorder="1"/>
    <xf numFmtId="0" fontId="0" fillId="0" borderId="0" xfId="0" applyBorder="1"/>
    <xf numFmtId="0" fontId="16" fillId="2" borderId="3" xfId="0" applyFont="1" applyFill="1" applyBorder="1" applyAlignment="1">
      <alignment horizontal="center" vertical="center" wrapText="1" readingOrder="1"/>
    </xf>
    <xf numFmtId="169" fontId="10" fillId="0" borderId="4" xfId="1" applyNumberFormat="1" applyFont="1" applyFill="1" applyBorder="1" applyAlignment="1">
      <alignment horizontal="center" vertical="center"/>
    </xf>
    <xf numFmtId="169" fontId="11" fillId="0" borderId="4" xfId="1" applyNumberFormat="1" applyFont="1" applyFill="1" applyBorder="1" applyAlignment="1">
      <alignment horizontal="center" vertical="center"/>
    </xf>
    <xf numFmtId="169" fontId="11" fillId="0" borderId="5" xfId="1" applyNumberFormat="1" applyFont="1" applyFill="1" applyBorder="1" applyAlignment="1">
      <alignment horizontal="center" vertical="center"/>
    </xf>
    <xf numFmtId="0" fontId="18" fillId="0" borderId="2" xfId="0" applyFont="1" applyBorder="1"/>
    <xf numFmtId="0" fontId="18" fillId="0" borderId="0" xfId="0" applyFont="1" applyBorder="1"/>
    <xf numFmtId="0" fontId="18" fillId="0" borderId="0" xfId="0" applyFont="1"/>
    <xf numFmtId="0" fontId="9" fillId="0" borderId="0" xfId="0" applyFont="1"/>
    <xf numFmtId="169" fontId="9" fillId="0" borderId="4" xfId="1" applyNumberFormat="1" applyFont="1" applyFill="1" applyBorder="1" applyAlignment="1">
      <alignment horizontal="center" vertical="center"/>
    </xf>
    <xf numFmtId="169" fontId="9" fillId="0" borderId="5" xfId="1" applyNumberFormat="1" applyFont="1" applyFill="1" applyBorder="1" applyAlignment="1">
      <alignment horizontal="center" vertical="center"/>
    </xf>
    <xf numFmtId="0" fontId="17" fillId="4" borderId="6" xfId="1" applyFont="1" applyFill="1" applyBorder="1" applyAlignment="1">
      <alignment horizontal="right" vertical="center" indent="1"/>
    </xf>
    <xf numFmtId="0" fontId="10" fillId="4" borderId="4" xfId="1" applyFont="1" applyFill="1" applyBorder="1" applyAlignment="1">
      <alignment horizontal="left" vertical="center" indent="1" readingOrder="1"/>
    </xf>
    <xf numFmtId="0" fontId="5" fillId="4" borderId="4" xfId="1" applyFont="1" applyFill="1" applyBorder="1" applyAlignment="1">
      <alignment horizontal="right" vertical="center" indent="1"/>
    </xf>
    <xf numFmtId="0" fontId="11" fillId="4" borderId="4" xfId="1" applyFont="1" applyFill="1" applyBorder="1" applyAlignment="1">
      <alignment horizontal="left" vertical="center" indent="1"/>
    </xf>
    <xf numFmtId="0" fontId="11" fillId="4" borderId="4" xfId="1" quotePrefix="1" applyFont="1" applyFill="1" applyBorder="1" applyAlignment="1">
      <alignment horizontal="left" vertical="center" indent="1"/>
    </xf>
    <xf numFmtId="0" fontId="11" fillId="4" borderId="2" xfId="1" applyFont="1" applyFill="1" applyBorder="1" applyAlignment="1">
      <alignment horizontal="left" vertical="center" indent="1"/>
    </xf>
    <xf numFmtId="0" fontId="11" fillId="4" borderId="2" xfId="1" quotePrefix="1" applyFont="1" applyFill="1" applyBorder="1" applyAlignment="1">
      <alignment horizontal="left" vertical="center" indent="1"/>
    </xf>
    <xf numFmtId="0" fontId="5" fillId="4" borderId="5" xfId="1" applyFont="1" applyFill="1" applyBorder="1" applyAlignment="1">
      <alignment horizontal="right" vertical="center" indent="1"/>
    </xf>
    <xf numFmtId="0" fontId="11" fillId="4" borderId="5" xfId="1" applyFont="1" applyFill="1" applyBorder="1" applyAlignment="1">
      <alignment horizontal="left" vertical="center" indent="1"/>
    </xf>
    <xf numFmtId="169" fontId="19" fillId="0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 applyAlignment="1">
      <alignment horizontal="center" vertical="center"/>
    </xf>
    <xf numFmtId="169" fontId="4" fillId="0" borderId="5" xfId="1" applyNumberFormat="1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 wrapText="1" readingOrder="1"/>
    </xf>
    <xf numFmtId="0" fontId="16" fillId="2" borderId="6" xfId="2" applyFont="1" applyFill="1" applyBorder="1" applyAlignment="1">
      <alignment horizontal="center" vertical="center" wrapText="1" readingOrder="1"/>
    </xf>
    <xf numFmtId="169" fontId="9" fillId="0" borderId="0" xfId="0" applyNumberFormat="1" applyFont="1"/>
    <xf numFmtId="169" fontId="4" fillId="0" borderId="0" xfId="1" applyNumberFormat="1" applyFont="1" applyFill="1" applyAlignment="1">
      <alignment horizontal="left" vertical="center" indent="1"/>
    </xf>
    <xf numFmtId="0" fontId="16" fillId="2" borderId="6" xfId="0" applyFont="1" applyFill="1" applyBorder="1" applyAlignment="1">
      <alignment horizontal="center" vertical="center" wrapText="1" readingOrder="1"/>
    </xf>
    <xf numFmtId="0" fontId="20" fillId="0" borderId="1" xfId="1" quotePrefix="1" applyFont="1" applyBorder="1" applyAlignment="1">
      <alignment horizontal="center" vertical="center"/>
    </xf>
    <xf numFmtId="0" fontId="21" fillId="4" borderId="6" xfId="1" applyFont="1" applyFill="1" applyBorder="1" applyAlignment="1">
      <alignment horizontal="right" vertical="center" indent="1"/>
    </xf>
    <xf numFmtId="0" fontId="21" fillId="4" borderId="4" xfId="1" applyFont="1" applyFill="1" applyBorder="1" applyAlignment="1">
      <alignment horizontal="left" vertical="center" indent="1" readingOrder="1"/>
    </xf>
    <xf numFmtId="169" fontId="21" fillId="0" borderId="4" xfId="1" applyNumberFormat="1" applyFont="1" applyFill="1" applyBorder="1" applyAlignment="1">
      <alignment horizontal="center" vertical="center"/>
    </xf>
    <xf numFmtId="169" fontId="21" fillId="0" borderId="6" xfId="3" applyNumberFormat="1" applyFont="1" applyFill="1" applyBorder="1" applyAlignment="1">
      <alignment horizontal="center" vertical="center"/>
    </xf>
    <xf numFmtId="0" fontId="18" fillId="4" borderId="4" xfId="1" applyFont="1" applyFill="1" applyBorder="1" applyAlignment="1">
      <alignment horizontal="right" vertical="center" indent="1"/>
    </xf>
    <xf numFmtId="0" fontId="18" fillId="4" borderId="4" xfId="1" applyFont="1" applyFill="1" applyBorder="1" applyAlignment="1">
      <alignment horizontal="left" vertical="center" indent="1"/>
    </xf>
    <xf numFmtId="169" fontId="18" fillId="0" borderId="4" xfId="1" applyNumberFormat="1" applyFont="1" applyFill="1" applyBorder="1" applyAlignment="1">
      <alignment horizontal="center" vertical="center"/>
    </xf>
    <xf numFmtId="169" fontId="18" fillId="0" borderId="4" xfId="3" applyNumberFormat="1" applyFont="1" applyFill="1" applyBorder="1" applyAlignment="1">
      <alignment horizontal="center" vertical="center"/>
    </xf>
    <xf numFmtId="0" fontId="18" fillId="4" borderId="4" xfId="1" quotePrefix="1" applyFont="1" applyFill="1" applyBorder="1" applyAlignment="1">
      <alignment horizontal="left" vertical="center" indent="1"/>
    </xf>
    <xf numFmtId="0" fontId="18" fillId="4" borderId="2" xfId="1" applyFont="1" applyFill="1" applyBorder="1" applyAlignment="1">
      <alignment horizontal="left" vertical="center" indent="1"/>
    </xf>
    <xf numFmtId="0" fontId="18" fillId="4" borderId="2" xfId="1" quotePrefix="1" applyFont="1" applyFill="1" applyBorder="1" applyAlignment="1">
      <alignment horizontal="left" vertical="center" indent="1"/>
    </xf>
    <xf numFmtId="0" fontId="18" fillId="4" borderId="5" xfId="1" applyFont="1" applyFill="1" applyBorder="1" applyAlignment="1">
      <alignment horizontal="right" vertical="center" indent="1"/>
    </xf>
    <xf numFmtId="0" fontId="18" fillId="4" borderId="5" xfId="1" applyFont="1" applyFill="1" applyBorder="1" applyAlignment="1">
      <alignment horizontal="left" vertical="center" indent="1"/>
    </xf>
    <xf numFmtId="169" fontId="18" fillId="0" borderId="5" xfId="1" applyNumberFormat="1" applyFont="1" applyFill="1" applyBorder="1" applyAlignment="1">
      <alignment horizontal="center" vertical="center"/>
    </xf>
    <xf numFmtId="169" fontId="18" fillId="0" borderId="5" xfId="3" applyNumberFormat="1" applyFont="1" applyFill="1" applyBorder="1" applyAlignment="1">
      <alignment horizontal="center" vertical="center"/>
    </xf>
    <xf numFmtId="0" fontId="9" fillId="0" borderId="0" xfId="1" applyFont="1" applyFill="1" applyAlignment="1">
      <alignment horizontal="left" vertical="center" indent="1"/>
    </xf>
    <xf numFmtId="0" fontId="22" fillId="0" borderId="0" xfId="4"/>
    <xf numFmtId="0" fontId="18" fillId="0" borderId="0" xfId="4" applyFont="1"/>
    <xf numFmtId="0" fontId="9" fillId="0" borderId="0" xfId="4" applyFont="1"/>
    <xf numFmtId="169" fontId="21" fillId="0" borderId="4" xfId="3" applyNumberFormat="1" applyFont="1" applyFill="1" applyBorder="1" applyAlignment="1">
      <alignment horizontal="center" vertical="center"/>
    </xf>
    <xf numFmtId="169" fontId="9" fillId="0" borderId="0" xfId="4" applyNumberFormat="1" applyFont="1"/>
    <xf numFmtId="0" fontId="9" fillId="0" borderId="0" xfId="1" applyFont="1" applyFill="1" applyBorder="1" applyAlignment="1">
      <alignment horizontal="right" vertical="center" readingOrder="2"/>
    </xf>
    <xf numFmtId="0" fontId="9" fillId="0" borderId="0" xfId="1" applyFont="1" applyFill="1" applyAlignment="1">
      <alignment horizontal="left" vertical="center" readingOrder="1"/>
    </xf>
    <xf numFmtId="0" fontId="9" fillId="0" borderId="0" xfId="1" applyFont="1" applyFill="1" applyAlignment="1">
      <alignment horizontal="left" vertical="center" indent="1" readingOrder="1"/>
    </xf>
    <xf numFmtId="0" fontId="1" fillId="0" borderId="0" xfId="1003"/>
    <xf numFmtId="0" fontId="20" fillId="0" borderId="1" xfId="3" quotePrefix="1" applyFont="1" applyBorder="1" applyAlignment="1">
      <alignment horizontal="center" vertical="center"/>
    </xf>
    <xf numFmtId="0" fontId="18" fillId="0" borderId="0" xfId="1003" applyFont="1"/>
    <xf numFmtId="169" fontId="9" fillId="0" borderId="0" xfId="1003" applyNumberFormat="1" applyFont="1"/>
    <xf numFmtId="0" fontId="9" fillId="0" borderId="0" xfId="1003" applyFont="1"/>
    <xf numFmtId="0" fontId="20" fillId="0" borderId="1" xfId="3" quotePrefix="1" applyFont="1" applyBorder="1" applyAlignment="1">
      <alignment vertical="center"/>
    </xf>
    <xf numFmtId="169" fontId="45" fillId="0" borderId="4" xfId="3" applyNumberFormat="1" applyFont="1" applyFill="1" applyBorder="1" applyAlignment="1">
      <alignment horizontal="center" vertical="center"/>
    </xf>
    <xf numFmtId="169" fontId="45" fillId="0" borderId="5" xfId="3" applyNumberFormat="1" applyFont="1" applyFill="1" applyBorder="1" applyAlignment="1">
      <alignment horizontal="center" vertical="center"/>
    </xf>
    <xf numFmtId="169" fontId="0" fillId="0" borderId="0" xfId="0" applyNumberFormat="1"/>
    <xf numFmtId="169" fontId="21" fillId="0" borderId="6" xfId="1" applyNumberFormat="1" applyFont="1" applyFill="1" applyBorder="1" applyAlignment="1">
      <alignment horizontal="center" vertical="center"/>
    </xf>
    <xf numFmtId="169" fontId="21" fillId="0" borderId="4" xfId="1" applyNumberFormat="1" applyFont="1" applyBorder="1" applyAlignment="1">
      <alignment horizontal="center" vertical="center"/>
    </xf>
    <xf numFmtId="169" fontId="18" fillId="0" borderId="4" xfId="1" applyNumberFormat="1" applyFont="1" applyBorder="1" applyAlignment="1">
      <alignment horizontal="center" vertical="center"/>
    </xf>
    <xf numFmtId="169" fontId="18" fillId="0" borderId="5" xfId="1" applyNumberFormat="1" applyFont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readingOrder="2"/>
    </xf>
    <xf numFmtId="0" fontId="7" fillId="0" borderId="1" xfId="1" quotePrefix="1" applyFont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 readingOrder="1"/>
    </xf>
    <xf numFmtId="0" fontId="15" fillId="4" borderId="4" xfId="1" applyFont="1" applyFill="1" applyBorder="1" applyAlignment="1">
      <alignment horizontal="center" vertical="center" readingOrder="1"/>
    </xf>
    <xf numFmtId="0" fontId="15" fillId="4" borderId="5" xfId="1" applyFont="1" applyFill="1" applyBorder="1" applyAlignment="1">
      <alignment horizontal="center" vertical="center" readingOrder="1"/>
    </xf>
    <xf numFmtId="0" fontId="16" fillId="5" borderId="4" xfId="0" applyFont="1" applyFill="1" applyBorder="1" applyAlignment="1">
      <alignment horizontal="center" vertical="center" wrapText="1" readingOrder="1"/>
    </xf>
    <xf numFmtId="0" fontId="16" fillId="5" borderId="5" xfId="0" applyFont="1" applyFill="1" applyBorder="1" applyAlignment="1">
      <alignment horizontal="center" vertical="center" wrapText="1" readingOrder="1"/>
    </xf>
    <xf numFmtId="0" fontId="6" fillId="3" borderId="0" xfId="1" applyFont="1" applyFill="1" applyBorder="1" applyAlignment="1">
      <alignment horizontal="center" vertical="center" readingOrder="2"/>
    </xf>
    <xf numFmtId="0" fontId="16" fillId="5" borderId="4" xfId="2" applyFont="1" applyFill="1" applyBorder="1" applyAlignment="1">
      <alignment horizontal="center" vertical="center" wrapText="1" readingOrder="1"/>
    </xf>
    <xf numFmtId="0" fontId="16" fillId="5" borderId="5" xfId="2" applyFont="1" applyFill="1" applyBorder="1" applyAlignment="1">
      <alignment horizontal="center" vertical="center" wrapText="1" readingOrder="1"/>
    </xf>
  </cellXfs>
  <cellStyles count="1005">
    <cellStyle name="20% - Accent1 10" xfId="5" xr:uid="{00000000-0005-0000-0000-000000000000}"/>
    <cellStyle name="20% - Accent1 11" xfId="6" xr:uid="{00000000-0005-0000-0000-000001000000}"/>
    <cellStyle name="20% - Accent1 12" xfId="7" xr:uid="{00000000-0005-0000-0000-000002000000}"/>
    <cellStyle name="20% - Accent1 13" xfId="8" xr:uid="{00000000-0005-0000-0000-000003000000}"/>
    <cellStyle name="20% - Accent1 14" xfId="9" xr:uid="{00000000-0005-0000-0000-000004000000}"/>
    <cellStyle name="20% - Accent1 15" xfId="10" xr:uid="{00000000-0005-0000-0000-000005000000}"/>
    <cellStyle name="20% - Accent1 16" xfId="11" xr:uid="{00000000-0005-0000-0000-000006000000}"/>
    <cellStyle name="20% - Accent1 17" xfId="12" xr:uid="{00000000-0005-0000-0000-000007000000}"/>
    <cellStyle name="20% - Accent1 18" xfId="13" xr:uid="{00000000-0005-0000-0000-000008000000}"/>
    <cellStyle name="20% - Accent1 19" xfId="14" xr:uid="{00000000-0005-0000-0000-000009000000}"/>
    <cellStyle name="20% - Accent1 2" xfId="15" xr:uid="{00000000-0005-0000-0000-00000A000000}"/>
    <cellStyle name="20% - Accent1 20" xfId="16" xr:uid="{00000000-0005-0000-0000-00000B000000}"/>
    <cellStyle name="20% - Accent1 21" xfId="17" xr:uid="{00000000-0005-0000-0000-00000C000000}"/>
    <cellStyle name="20% - Accent1 22" xfId="18" xr:uid="{00000000-0005-0000-0000-00000D000000}"/>
    <cellStyle name="20% - Accent1 23" xfId="19" xr:uid="{00000000-0005-0000-0000-00000E000000}"/>
    <cellStyle name="20% - Accent1 3" xfId="20" xr:uid="{00000000-0005-0000-0000-00000F000000}"/>
    <cellStyle name="20% - Accent1 4" xfId="21" xr:uid="{00000000-0005-0000-0000-000010000000}"/>
    <cellStyle name="20% - Accent1 5" xfId="22" xr:uid="{00000000-0005-0000-0000-000011000000}"/>
    <cellStyle name="20% - Accent1 6" xfId="23" xr:uid="{00000000-0005-0000-0000-000012000000}"/>
    <cellStyle name="20% - Accent1 7" xfId="24" xr:uid="{00000000-0005-0000-0000-000013000000}"/>
    <cellStyle name="20% - Accent1 8" xfId="25" xr:uid="{00000000-0005-0000-0000-000014000000}"/>
    <cellStyle name="20% - Accent1 9" xfId="26" xr:uid="{00000000-0005-0000-0000-000015000000}"/>
    <cellStyle name="20% - Accent2 10" xfId="27" xr:uid="{00000000-0005-0000-0000-000016000000}"/>
    <cellStyle name="20% - Accent2 11" xfId="28" xr:uid="{00000000-0005-0000-0000-000017000000}"/>
    <cellStyle name="20% - Accent2 12" xfId="29" xr:uid="{00000000-0005-0000-0000-000018000000}"/>
    <cellStyle name="20% - Accent2 13" xfId="30" xr:uid="{00000000-0005-0000-0000-000019000000}"/>
    <cellStyle name="20% - Accent2 14" xfId="31" xr:uid="{00000000-0005-0000-0000-00001A000000}"/>
    <cellStyle name="20% - Accent2 15" xfId="32" xr:uid="{00000000-0005-0000-0000-00001B000000}"/>
    <cellStyle name="20% - Accent2 16" xfId="33" xr:uid="{00000000-0005-0000-0000-00001C000000}"/>
    <cellStyle name="20% - Accent2 17" xfId="34" xr:uid="{00000000-0005-0000-0000-00001D000000}"/>
    <cellStyle name="20% - Accent2 18" xfId="35" xr:uid="{00000000-0005-0000-0000-00001E000000}"/>
    <cellStyle name="20% - Accent2 19" xfId="36" xr:uid="{00000000-0005-0000-0000-00001F000000}"/>
    <cellStyle name="20% - Accent2 2" xfId="37" xr:uid="{00000000-0005-0000-0000-000020000000}"/>
    <cellStyle name="20% - Accent2 20" xfId="38" xr:uid="{00000000-0005-0000-0000-000021000000}"/>
    <cellStyle name="20% - Accent2 21" xfId="39" xr:uid="{00000000-0005-0000-0000-000022000000}"/>
    <cellStyle name="20% - Accent2 22" xfId="40" xr:uid="{00000000-0005-0000-0000-000023000000}"/>
    <cellStyle name="20% - Accent2 23" xfId="41" xr:uid="{00000000-0005-0000-0000-000024000000}"/>
    <cellStyle name="20% - Accent2 3" xfId="42" xr:uid="{00000000-0005-0000-0000-000025000000}"/>
    <cellStyle name="20% - Accent2 4" xfId="43" xr:uid="{00000000-0005-0000-0000-000026000000}"/>
    <cellStyle name="20% - Accent2 5" xfId="44" xr:uid="{00000000-0005-0000-0000-000027000000}"/>
    <cellStyle name="20% - Accent2 6" xfId="45" xr:uid="{00000000-0005-0000-0000-000028000000}"/>
    <cellStyle name="20% - Accent2 7" xfId="46" xr:uid="{00000000-0005-0000-0000-000029000000}"/>
    <cellStyle name="20% - Accent2 8" xfId="47" xr:uid="{00000000-0005-0000-0000-00002A000000}"/>
    <cellStyle name="20% - Accent2 9" xfId="48" xr:uid="{00000000-0005-0000-0000-00002B000000}"/>
    <cellStyle name="20% - Accent3 10" xfId="49" xr:uid="{00000000-0005-0000-0000-00002C000000}"/>
    <cellStyle name="20% - Accent3 11" xfId="50" xr:uid="{00000000-0005-0000-0000-00002D000000}"/>
    <cellStyle name="20% - Accent3 12" xfId="51" xr:uid="{00000000-0005-0000-0000-00002E000000}"/>
    <cellStyle name="20% - Accent3 13" xfId="52" xr:uid="{00000000-0005-0000-0000-00002F000000}"/>
    <cellStyle name="20% - Accent3 14" xfId="53" xr:uid="{00000000-0005-0000-0000-000030000000}"/>
    <cellStyle name="20% - Accent3 15" xfId="54" xr:uid="{00000000-0005-0000-0000-000031000000}"/>
    <cellStyle name="20% - Accent3 16" xfId="55" xr:uid="{00000000-0005-0000-0000-000032000000}"/>
    <cellStyle name="20% - Accent3 17" xfId="56" xr:uid="{00000000-0005-0000-0000-000033000000}"/>
    <cellStyle name="20% - Accent3 18" xfId="57" xr:uid="{00000000-0005-0000-0000-000034000000}"/>
    <cellStyle name="20% - Accent3 19" xfId="58" xr:uid="{00000000-0005-0000-0000-000035000000}"/>
    <cellStyle name="20% - Accent3 2" xfId="59" xr:uid="{00000000-0005-0000-0000-000036000000}"/>
    <cellStyle name="20% - Accent3 20" xfId="60" xr:uid="{00000000-0005-0000-0000-000037000000}"/>
    <cellStyle name="20% - Accent3 21" xfId="61" xr:uid="{00000000-0005-0000-0000-000038000000}"/>
    <cellStyle name="20% - Accent3 22" xfId="62" xr:uid="{00000000-0005-0000-0000-000039000000}"/>
    <cellStyle name="20% - Accent3 23" xfId="63" xr:uid="{00000000-0005-0000-0000-00003A000000}"/>
    <cellStyle name="20% - Accent3 3" xfId="64" xr:uid="{00000000-0005-0000-0000-00003B000000}"/>
    <cellStyle name="20% - Accent3 4" xfId="65" xr:uid="{00000000-0005-0000-0000-00003C000000}"/>
    <cellStyle name="20% - Accent3 5" xfId="66" xr:uid="{00000000-0005-0000-0000-00003D000000}"/>
    <cellStyle name="20% - Accent3 6" xfId="67" xr:uid="{00000000-0005-0000-0000-00003E000000}"/>
    <cellStyle name="20% - Accent3 7" xfId="68" xr:uid="{00000000-0005-0000-0000-00003F000000}"/>
    <cellStyle name="20% - Accent3 8" xfId="69" xr:uid="{00000000-0005-0000-0000-000040000000}"/>
    <cellStyle name="20% - Accent3 9" xfId="70" xr:uid="{00000000-0005-0000-0000-000041000000}"/>
    <cellStyle name="20% - Accent4 10" xfId="71" xr:uid="{00000000-0005-0000-0000-000042000000}"/>
    <cellStyle name="20% - Accent4 11" xfId="72" xr:uid="{00000000-0005-0000-0000-000043000000}"/>
    <cellStyle name="20% - Accent4 12" xfId="73" xr:uid="{00000000-0005-0000-0000-000044000000}"/>
    <cellStyle name="20% - Accent4 13" xfId="74" xr:uid="{00000000-0005-0000-0000-000045000000}"/>
    <cellStyle name="20% - Accent4 14" xfId="75" xr:uid="{00000000-0005-0000-0000-000046000000}"/>
    <cellStyle name="20% - Accent4 15" xfId="76" xr:uid="{00000000-0005-0000-0000-000047000000}"/>
    <cellStyle name="20% - Accent4 16" xfId="77" xr:uid="{00000000-0005-0000-0000-000048000000}"/>
    <cellStyle name="20% - Accent4 17" xfId="78" xr:uid="{00000000-0005-0000-0000-000049000000}"/>
    <cellStyle name="20% - Accent4 18" xfId="79" xr:uid="{00000000-0005-0000-0000-00004A000000}"/>
    <cellStyle name="20% - Accent4 19" xfId="80" xr:uid="{00000000-0005-0000-0000-00004B000000}"/>
    <cellStyle name="20% - Accent4 2" xfId="81" xr:uid="{00000000-0005-0000-0000-00004C000000}"/>
    <cellStyle name="20% - Accent4 20" xfId="82" xr:uid="{00000000-0005-0000-0000-00004D000000}"/>
    <cellStyle name="20% - Accent4 21" xfId="83" xr:uid="{00000000-0005-0000-0000-00004E000000}"/>
    <cellStyle name="20% - Accent4 22" xfId="84" xr:uid="{00000000-0005-0000-0000-00004F000000}"/>
    <cellStyle name="20% - Accent4 23" xfId="85" xr:uid="{00000000-0005-0000-0000-000050000000}"/>
    <cellStyle name="20% - Accent4 3" xfId="86" xr:uid="{00000000-0005-0000-0000-000051000000}"/>
    <cellStyle name="20% - Accent4 4" xfId="87" xr:uid="{00000000-0005-0000-0000-000052000000}"/>
    <cellStyle name="20% - Accent4 5" xfId="88" xr:uid="{00000000-0005-0000-0000-000053000000}"/>
    <cellStyle name="20% - Accent4 6" xfId="89" xr:uid="{00000000-0005-0000-0000-000054000000}"/>
    <cellStyle name="20% - Accent4 7" xfId="90" xr:uid="{00000000-0005-0000-0000-000055000000}"/>
    <cellStyle name="20% - Accent4 8" xfId="91" xr:uid="{00000000-0005-0000-0000-000056000000}"/>
    <cellStyle name="20% - Accent4 9" xfId="92" xr:uid="{00000000-0005-0000-0000-000057000000}"/>
    <cellStyle name="20% - Accent5 10" xfId="93" xr:uid="{00000000-0005-0000-0000-000058000000}"/>
    <cellStyle name="20% - Accent5 11" xfId="94" xr:uid="{00000000-0005-0000-0000-000059000000}"/>
    <cellStyle name="20% - Accent5 12" xfId="95" xr:uid="{00000000-0005-0000-0000-00005A000000}"/>
    <cellStyle name="20% - Accent5 13" xfId="96" xr:uid="{00000000-0005-0000-0000-00005B000000}"/>
    <cellStyle name="20% - Accent5 14" xfId="97" xr:uid="{00000000-0005-0000-0000-00005C000000}"/>
    <cellStyle name="20% - Accent5 15" xfId="98" xr:uid="{00000000-0005-0000-0000-00005D000000}"/>
    <cellStyle name="20% - Accent5 16" xfId="99" xr:uid="{00000000-0005-0000-0000-00005E000000}"/>
    <cellStyle name="20% - Accent5 17" xfId="100" xr:uid="{00000000-0005-0000-0000-00005F000000}"/>
    <cellStyle name="20% - Accent5 18" xfId="101" xr:uid="{00000000-0005-0000-0000-000060000000}"/>
    <cellStyle name="20% - Accent5 19" xfId="102" xr:uid="{00000000-0005-0000-0000-000061000000}"/>
    <cellStyle name="20% - Accent5 2" xfId="103" xr:uid="{00000000-0005-0000-0000-000062000000}"/>
    <cellStyle name="20% - Accent5 20" xfId="104" xr:uid="{00000000-0005-0000-0000-000063000000}"/>
    <cellStyle name="20% - Accent5 21" xfId="105" xr:uid="{00000000-0005-0000-0000-000064000000}"/>
    <cellStyle name="20% - Accent5 22" xfId="106" xr:uid="{00000000-0005-0000-0000-000065000000}"/>
    <cellStyle name="20% - Accent5 23" xfId="107" xr:uid="{00000000-0005-0000-0000-000066000000}"/>
    <cellStyle name="20% - Accent5 3" xfId="108" xr:uid="{00000000-0005-0000-0000-000067000000}"/>
    <cellStyle name="20% - Accent5 4" xfId="109" xr:uid="{00000000-0005-0000-0000-000068000000}"/>
    <cellStyle name="20% - Accent5 5" xfId="110" xr:uid="{00000000-0005-0000-0000-000069000000}"/>
    <cellStyle name="20% - Accent5 6" xfId="111" xr:uid="{00000000-0005-0000-0000-00006A000000}"/>
    <cellStyle name="20% - Accent5 7" xfId="112" xr:uid="{00000000-0005-0000-0000-00006B000000}"/>
    <cellStyle name="20% - Accent5 8" xfId="113" xr:uid="{00000000-0005-0000-0000-00006C000000}"/>
    <cellStyle name="20% - Accent5 9" xfId="114" xr:uid="{00000000-0005-0000-0000-00006D000000}"/>
    <cellStyle name="20% - Accent6 10" xfId="115" xr:uid="{00000000-0005-0000-0000-00006E000000}"/>
    <cellStyle name="20% - Accent6 11" xfId="116" xr:uid="{00000000-0005-0000-0000-00006F000000}"/>
    <cellStyle name="20% - Accent6 12" xfId="117" xr:uid="{00000000-0005-0000-0000-000070000000}"/>
    <cellStyle name="20% - Accent6 13" xfId="118" xr:uid="{00000000-0005-0000-0000-000071000000}"/>
    <cellStyle name="20% - Accent6 14" xfId="119" xr:uid="{00000000-0005-0000-0000-000072000000}"/>
    <cellStyle name="20% - Accent6 15" xfId="120" xr:uid="{00000000-0005-0000-0000-000073000000}"/>
    <cellStyle name="20% - Accent6 16" xfId="121" xr:uid="{00000000-0005-0000-0000-000074000000}"/>
    <cellStyle name="20% - Accent6 17" xfId="122" xr:uid="{00000000-0005-0000-0000-000075000000}"/>
    <cellStyle name="20% - Accent6 18" xfId="123" xr:uid="{00000000-0005-0000-0000-000076000000}"/>
    <cellStyle name="20% - Accent6 19" xfId="124" xr:uid="{00000000-0005-0000-0000-000077000000}"/>
    <cellStyle name="20% - Accent6 2" xfId="125" xr:uid="{00000000-0005-0000-0000-000078000000}"/>
    <cellStyle name="20% - Accent6 20" xfId="126" xr:uid="{00000000-0005-0000-0000-000079000000}"/>
    <cellStyle name="20% - Accent6 21" xfId="127" xr:uid="{00000000-0005-0000-0000-00007A000000}"/>
    <cellStyle name="20% - Accent6 22" xfId="128" xr:uid="{00000000-0005-0000-0000-00007B000000}"/>
    <cellStyle name="20% - Accent6 23" xfId="129" xr:uid="{00000000-0005-0000-0000-00007C000000}"/>
    <cellStyle name="20% - Accent6 3" xfId="130" xr:uid="{00000000-0005-0000-0000-00007D000000}"/>
    <cellStyle name="20% - Accent6 4" xfId="131" xr:uid="{00000000-0005-0000-0000-00007E000000}"/>
    <cellStyle name="20% - Accent6 5" xfId="132" xr:uid="{00000000-0005-0000-0000-00007F000000}"/>
    <cellStyle name="20% - Accent6 6" xfId="133" xr:uid="{00000000-0005-0000-0000-000080000000}"/>
    <cellStyle name="20% - Accent6 7" xfId="134" xr:uid="{00000000-0005-0000-0000-000081000000}"/>
    <cellStyle name="20% - Accent6 8" xfId="135" xr:uid="{00000000-0005-0000-0000-000082000000}"/>
    <cellStyle name="20% - Accent6 9" xfId="136" xr:uid="{00000000-0005-0000-0000-000083000000}"/>
    <cellStyle name="40% - Accent1 10" xfId="137" xr:uid="{00000000-0005-0000-0000-000084000000}"/>
    <cellStyle name="40% - Accent1 11" xfId="138" xr:uid="{00000000-0005-0000-0000-000085000000}"/>
    <cellStyle name="40% - Accent1 12" xfId="139" xr:uid="{00000000-0005-0000-0000-000086000000}"/>
    <cellStyle name="40% - Accent1 13" xfId="140" xr:uid="{00000000-0005-0000-0000-000087000000}"/>
    <cellStyle name="40% - Accent1 14" xfId="141" xr:uid="{00000000-0005-0000-0000-000088000000}"/>
    <cellStyle name="40% - Accent1 15" xfId="142" xr:uid="{00000000-0005-0000-0000-000089000000}"/>
    <cellStyle name="40% - Accent1 16" xfId="143" xr:uid="{00000000-0005-0000-0000-00008A000000}"/>
    <cellStyle name="40% - Accent1 17" xfId="144" xr:uid="{00000000-0005-0000-0000-00008B000000}"/>
    <cellStyle name="40% - Accent1 18" xfId="145" xr:uid="{00000000-0005-0000-0000-00008C000000}"/>
    <cellStyle name="40% - Accent1 19" xfId="146" xr:uid="{00000000-0005-0000-0000-00008D000000}"/>
    <cellStyle name="40% - Accent1 2" xfId="147" xr:uid="{00000000-0005-0000-0000-00008E000000}"/>
    <cellStyle name="40% - Accent1 20" xfId="148" xr:uid="{00000000-0005-0000-0000-00008F000000}"/>
    <cellStyle name="40% - Accent1 21" xfId="149" xr:uid="{00000000-0005-0000-0000-000090000000}"/>
    <cellStyle name="40% - Accent1 22" xfId="150" xr:uid="{00000000-0005-0000-0000-000091000000}"/>
    <cellStyle name="40% - Accent1 23" xfId="151" xr:uid="{00000000-0005-0000-0000-000092000000}"/>
    <cellStyle name="40% - Accent1 3" xfId="152" xr:uid="{00000000-0005-0000-0000-000093000000}"/>
    <cellStyle name="40% - Accent1 4" xfId="153" xr:uid="{00000000-0005-0000-0000-000094000000}"/>
    <cellStyle name="40% - Accent1 5" xfId="154" xr:uid="{00000000-0005-0000-0000-000095000000}"/>
    <cellStyle name="40% - Accent1 6" xfId="155" xr:uid="{00000000-0005-0000-0000-000096000000}"/>
    <cellStyle name="40% - Accent1 7" xfId="156" xr:uid="{00000000-0005-0000-0000-000097000000}"/>
    <cellStyle name="40% - Accent1 8" xfId="157" xr:uid="{00000000-0005-0000-0000-000098000000}"/>
    <cellStyle name="40% - Accent1 9" xfId="158" xr:uid="{00000000-0005-0000-0000-000099000000}"/>
    <cellStyle name="40% - Accent2 10" xfId="159" xr:uid="{00000000-0005-0000-0000-00009A000000}"/>
    <cellStyle name="40% - Accent2 11" xfId="160" xr:uid="{00000000-0005-0000-0000-00009B000000}"/>
    <cellStyle name="40% - Accent2 12" xfId="161" xr:uid="{00000000-0005-0000-0000-00009C000000}"/>
    <cellStyle name="40% - Accent2 13" xfId="162" xr:uid="{00000000-0005-0000-0000-00009D000000}"/>
    <cellStyle name="40% - Accent2 14" xfId="163" xr:uid="{00000000-0005-0000-0000-00009E000000}"/>
    <cellStyle name="40% - Accent2 15" xfId="164" xr:uid="{00000000-0005-0000-0000-00009F000000}"/>
    <cellStyle name="40% - Accent2 16" xfId="165" xr:uid="{00000000-0005-0000-0000-0000A0000000}"/>
    <cellStyle name="40% - Accent2 17" xfId="166" xr:uid="{00000000-0005-0000-0000-0000A1000000}"/>
    <cellStyle name="40% - Accent2 18" xfId="167" xr:uid="{00000000-0005-0000-0000-0000A2000000}"/>
    <cellStyle name="40% - Accent2 19" xfId="168" xr:uid="{00000000-0005-0000-0000-0000A3000000}"/>
    <cellStyle name="40% - Accent2 2" xfId="169" xr:uid="{00000000-0005-0000-0000-0000A4000000}"/>
    <cellStyle name="40% - Accent2 20" xfId="170" xr:uid="{00000000-0005-0000-0000-0000A5000000}"/>
    <cellStyle name="40% - Accent2 21" xfId="171" xr:uid="{00000000-0005-0000-0000-0000A6000000}"/>
    <cellStyle name="40% - Accent2 22" xfId="172" xr:uid="{00000000-0005-0000-0000-0000A7000000}"/>
    <cellStyle name="40% - Accent2 23" xfId="173" xr:uid="{00000000-0005-0000-0000-0000A8000000}"/>
    <cellStyle name="40% - Accent2 3" xfId="174" xr:uid="{00000000-0005-0000-0000-0000A9000000}"/>
    <cellStyle name="40% - Accent2 4" xfId="175" xr:uid="{00000000-0005-0000-0000-0000AA000000}"/>
    <cellStyle name="40% - Accent2 5" xfId="176" xr:uid="{00000000-0005-0000-0000-0000AB000000}"/>
    <cellStyle name="40% - Accent2 6" xfId="177" xr:uid="{00000000-0005-0000-0000-0000AC000000}"/>
    <cellStyle name="40% - Accent2 7" xfId="178" xr:uid="{00000000-0005-0000-0000-0000AD000000}"/>
    <cellStyle name="40% - Accent2 8" xfId="179" xr:uid="{00000000-0005-0000-0000-0000AE000000}"/>
    <cellStyle name="40% - Accent2 9" xfId="180" xr:uid="{00000000-0005-0000-0000-0000AF000000}"/>
    <cellStyle name="40% - Accent3 10" xfId="181" xr:uid="{00000000-0005-0000-0000-0000B0000000}"/>
    <cellStyle name="40% - Accent3 11" xfId="182" xr:uid="{00000000-0005-0000-0000-0000B1000000}"/>
    <cellStyle name="40% - Accent3 12" xfId="183" xr:uid="{00000000-0005-0000-0000-0000B2000000}"/>
    <cellStyle name="40% - Accent3 13" xfId="184" xr:uid="{00000000-0005-0000-0000-0000B3000000}"/>
    <cellStyle name="40% - Accent3 14" xfId="185" xr:uid="{00000000-0005-0000-0000-0000B4000000}"/>
    <cellStyle name="40% - Accent3 15" xfId="186" xr:uid="{00000000-0005-0000-0000-0000B5000000}"/>
    <cellStyle name="40% - Accent3 16" xfId="187" xr:uid="{00000000-0005-0000-0000-0000B6000000}"/>
    <cellStyle name="40% - Accent3 17" xfId="188" xr:uid="{00000000-0005-0000-0000-0000B7000000}"/>
    <cellStyle name="40% - Accent3 18" xfId="189" xr:uid="{00000000-0005-0000-0000-0000B8000000}"/>
    <cellStyle name="40% - Accent3 19" xfId="190" xr:uid="{00000000-0005-0000-0000-0000B9000000}"/>
    <cellStyle name="40% - Accent3 2" xfId="191" xr:uid="{00000000-0005-0000-0000-0000BA000000}"/>
    <cellStyle name="40% - Accent3 20" xfId="192" xr:uid="{00000000-0005-0000-0000-0000BB000000}"/>
    <cellStyle name="40% - Accent3 21" xfId="193" xr:uid="{00000000-0005-0000-0000-0000BC000000}"/>
    <cellStyle name="40% - Accent3 22" xfId="194" xr:uid="{00000000-0005-0000-0000-0000BD000000}"/>
    <cellStyle name="40% - Accent3 23" xfId="195" xr:uid="{00000000-0005-0000-0000-0000BE000000}"/>
    <cellStyle name="40% - Accent3 3" xfId="196" xr:uid="{00000000-0005-0000-0000-0000BF000000}"/>
    <cellStyle name="40% - Accent3 4" xfId="197" xr:uid="{00000000-0005-0000-0000-0000C0000000}"/>
    <cellStyle name="40% - Accent3 5" xfId="198" xr:uid="{00000000-0005-0000-0000-0000C1000000}"/>
    <cellStyle name="40% - Accent3 6" xfId="199" xr:uid="{00000000-0005-0000-0000-0000C2000000}"/>
    <cellStyle name="40% - Accent3 7" xfId="200" xr:uid="{00000000-0005-0000-0000-0000C3000000}"/>
    <cellStyle name="40% - Accent3 8" xfId="201" xr:uid="{00000000-0005-0000-0000-0000C4000000}"/>
    <cellStyle name="40% - Accent3 9" xfId="202" xr:uid="{00000000-0005-0000-0000-0000C5000000}"/>
    <cellStyle name="40% - Accent4 10" xfId="203" xr:uid="{00000000-0005-0000-0000-0000C6000000}"/>
    <cellStyle name="40% - Accent4 11" xfId="204" xr:uid="{00000000-0005-0000-0000-0000C7000000}"/>
    <cellStyle name="40% - Accent4 12" xfId="205" xr:uid="{00000000-0005-0000-0000-0000C8000000}"/>
    <cellStyle name="40% - Accent4 13" xfId="206" xr:uid="{00000000-0005-0000-0000-0000C9000000}"/>
    <cellStyle name="40% - Accent4 14" xfId="207" xr:uid="{00000000-0005-0000-0000-0000CA000000}"/>
    <cellStyle name="40% - Accent4 15" xfId="208" xr:uid="{00000000-0005-0000-0000-0000CB000000}"/>
    <cellStyle name="40% - Accent4 16" xfId="209" xr:uid="{00000000-0005-0000-0000-0000CC000000}"/>
    <cellStyle name="40% - Accent4 17" xfId="210" xr:uid="{00000000-0005-0000-0000-0000CD000000}"/>
    <cellStyle name="40% - Accent4 18" xfId="211" xr:uid="{00000000-0005-0000-0000-0000CE000000}"/>
    <cellStyle name="40% - Accent4 19" xfId="212" xr:uid="{00000000-0005-0000-0000-0000CF000000}"/>
    <cellStyle name="40% - Accent4 2" xfId="213" xr:uid="{00000000-0005-0000-0000-0000D0000000}"/>
    <cellStyle name="40% - Accent4 20" xfId="214" xr:uid="{00000000-0005-0000-0000-0000D1000000}"/>
    <cellStyle name="40% - Accent4 21" xfId="215" xr:uid="{00000000-0005-0000-0000-0000D2000000}"/>
    <cellStyle name="40% - Accent4 22" xfId="216" xr:uid="{00000000-0005-0000-0000-0000D3000000}"/>
    <cellStyle name="40% - Accent4 23" xfId="217" xr:uid="{00000000-0005-0000-0000-0000D4000000}"/>
    <cellStyle name="40% - Accent4 3" xfId="218" xr:uid="{00000000-0005-0000-0000-0000D5000000}"/>
    <cellStyle name="40% - Accent4 4" xfId="219" xr:uid="{00000000-0005-0000-0000-0000D6000000}"/>
    <cellStyle name="40% - Accent4 5" xfId="220" xr:uid="{00000000-0005-0000-0000-0000D7000000}"/>
    <cellStyle name="40% - Accent4 6" xfId="221" xr:uid="{00000000-0005-0000-0000-0000D8000000}"/>
    <cellStyle name="40% - Accent4 7" xfId="222" xr:uid="{00000000-0005-0000-0000-0000D9000000}"/>
    <cellStyle name="40% - Accent4 8" xfId="223" xr:uid="{00000000-0005-0000-0000-0000DA000000}"/>
    <cellStyle name="40% - Accent4 9" xfId="224" xr:uid="{00000000-0005-0000-0000-0000DB000000}"/>
    <cellStyle name="40% - Accent5 10" xfId="225" xr:uid="{00000000-0005-0000-0000-0000DC000000}"/>
    <cellStyle name="40% - Accent5 11" xfId="226" xr:uid="{00000000-0005-0000-0000-0000DD000000}"/>
    <cellStyle name="40% - Accent5 12" xfId="227" xr:uid="{00000000-0005-0000-0000-0000DE000000}"/>
    <cellStyle name="40% - Accent5 13" xfId="228" xr:uid="{00000000-0005-0000-0000-0000DF000000}"/>
    <cellStyle name="40% - Accent5 14" xfId="229" xr:uid="{00000000-0005-0000-0000-0000E0000000}"/>
    <cellStyle name="40% - Accent5 15" xfId="230" xr:uid="{00000000-0005-0000-0000-0000E1000000}"/>
    <cellStyle name="40% - Accent5 16" xfId="231" xr:uid="{00000000-0005-0000-0000-0000E2000000}"/>
    <cellStyle name="40% - Accent5 17" xfId="232" xr:uid="{00000000-0005-0000-0000-0000E3000000}"/>
    <cellStyle name="40% - Accent5 18" xfId="233" xr:uid="{00000000-0005-0000-0000-0000E4000000}"/>
    <cellStyle name="40% - Accent5 19" xfId="234" xr:uid="{00000000-0005-0000-0000-0000E5000000}"/>
    <cellStyle name="40% - Accent5 2" xfId="235" xr:uid="{00000000-0005-0000-0000-0000E6000000}"/>
    <cellStyle name="40% - Accent5 20" xfId="236" xr:uid="{00000000-0005-0000-0000-0000E7000000}"/>
    <cellStyle name="40% - Accent5 21" xfId="237" xr:uid="{00000000-0005-0000-0000-0000E8000000}"/>
    <cellStyle name="40% - Accent5 22" xfId="238" xr:uid="{00000000-0005-0000-0000-0000E9000000}"/>
    <cellStyle name="40% - Accent5 23" xfId="239" xr:uid="{00000000-0005-0000-0000-0000EA000000}"/>
    <cellStyle name="40% - Accent5 3" xfId="240" xr:uid="{00000000-0005-0000-0000-0000EB000000}"/>
    <cellStyle name="40% - Accent5 4" xfId="241" xr:uid="{00000000-0005-0000-0000-0000EC000000}"/>
    <cellStyle name="40% - Accent5 5" xfId="242" xr:uid="{00000000-0005-0000-0000-0000ED000000}"/>
    <cellStyle name="40% - Accent5 6" xfId="243" xr:uid="{00000000-0005-0000-0000-0000EE000000}"/>
    <cellStyle name="40% - Accent5 7" xfId="244" xr:uid="{00000000-0005-0000-0000-0000EF000000}"/>
    <cellStyle name="40% - Accent5 8" xfId="245" xr:uid="{00000000-0005-0000-0000-0000F0000000}"/>
    <cellStyle name="40% - Accent5 9" xfId="246" xr:uid="{00000000-0005-0000-0000-0000F1000000}"/>
    <cellStyle name="40% - Accent6 10" xfId="247" xr:uid="{00000000-0005-0000-0000-0000F2000000}"/>
    <cellStyle name="40% - Accent6 11" xfId="248" xr:uid="{00000000-0005-0000-0000-0000F3000000}"/>
    <cellStyle name="40% - Accent6 12" xfId="249" xr:uid="{00000000-0005-0000-0000-0000F4000000}"/>
    <cellStyle name="40% - Accent6 13" xfId="250" xr:uid="{00000000-0005-0000-0000-0000F5000000}"/>
    <cellStyle name="40% - Accent6 14" xfId="251" xr:uid="{00000000-0005-0000-0000-0000F6000000}"/>
    <cellStyle name="40% - Accent6 15" xfId="252" xr:uid="{00000000-0005-0000-0000-0000F7000000}"/>
    <cellStyle name="40% - Accent6 16" xfId="253" xr:uid="{00000000-0005-0000-0000-0000F8000000}"/>
    <cellStyle name="40% - Accent6 17" xfId="254" xr:uid="{00000000-0005-0000-0000-0000F9000000}"/>
    <cellStyle name="40% - Accent6 18" xfId="255" xr:uid="{00000000-0005-0000-0000-0000FA000000}"/>
    <cellStyle name="40% - Accent6 19" xfId="256" xr:uid="{00000000-0005-0000-0000-0000FB000000}"/>
    <cellStyle name="40% - Accent6 2" xfId="257" xr:uid="{00000000-0005-0000-0000-0000FC000000}"/>
    <cellStyle name="40% - Accent6 20" xfId="258" xr:uid="{00000000-0005-0000-0000-0000FD000000}"/>
    <cellStyle name="40% - Accent6 21" xfId="259" xr:uid="{00000000-0005-0000-0000-0000FE000000}"/>
    <cellStyle name="40% - Accent6 22" xfId="260" xr:uid="{00000000-0005-0000-0000-0000FF000000}"/>
    <cellStyle name="40% - Accent6 23" xfId="261" xr:uid="{00000000-0005-0000-0000-000000010000}"/>
    <cellStyle name="40% - Accent6 3" xfId="262" xr:uid="{00000000-0005-0000-0000-000001010000}"/>
    <cellStyle name="40% - Accent6 4" xfId="263" xr:uid="{00000000-0005-0000-0000-000002010000}"/>
    <cellStyle name="40% - Accent6 5" xfId="264" xr:uid="{00000000-0005-0000-0000-000003010000}"/>
    <cellStyle name="40% - Accent6 6" xfId="265" xr:uid="{00000000-0005-0000-0000-000004010000}"/>
    <cellStyle name="40% - Accent6 7" xfId="266" xr:uid="{00000000-0005-0000-0000-000005010000}"/>
    <cellStyle name="40% - Accent6 8" xfId="267" xr:uid="{00000000-0005-0000-0000-000006010000}"/>
    <cellStyle name="40% - Accent6 9" xfId="268" xr:uid="{00000000-0005-0000-0000-000007010000}"/>
    <cellStyle name="60% - Accent1 10" xfId="269" xr:uid="{00000000-0005-0000-0000-000008010000}"/>
    <cellStyle name="60% - Accent1 11" xfId="270" xr:uid="{00000000-0005-0000-0000-000009010000}"/>
    <cellStyle name="60% - Accent1 12" xfId="271" xr:uid="{00000000-0005-0000-0000-00000A010000}"/>
    <cellStyle name="60% - Accent1 13" xfId="272" xr:uid="{00000000-0005-0000-0000-00000B010000}"/>
    <cellStyle name="60% - Accent1 14" xfId="273" xr:uid="{00000000-0005-0000-0000-00000C010000}"/>
    <cellStyle name="60% - Accent1 15" xfId="274" xr:uid="{00000000-0005-0000-0000-00000D010000}"/>
    <cellStyle name="60% - Accent1 16" xfId="275" xr:uid="{00000000-0005-0000-0000-00000E010000}"/>
    <cellStyle name="60% - Accent1 17" xfId="276" xr:uid="{00000000-0005-0000-0000-00000F010000}"/>
    <cellStyle name="60% - Accent1 18" xfId="277" xr:uid="{00000000-0005-0000-0000-000010010000}"/>
    <cellStyle name="60% - Accent1 19" xfId="278" xr:uid="{00000000-0005-0000-0000-000011010000}"/>
    <cellStyle name="60% - Accent1 2" xfId="279" xr:uid="{00000000-0005-0000-0000-000012010000}"/>
    <cellStyle name="60% - Accent1 20" xfId="280" xr:uid="{00000000-0005-0000-0000-000013010000}"/>
    <cellStyle name="60% - Accent1 21" xfId="281" xr:uid="{00000000-0005-0000-0000-000014010000}"/>
    <cellStyle name="60% - Accent1 22" xfId="282" xr:uid="{00000000-0005-0000-0000-000015010000}"/>
    <cellStyle name="60% - Accent1 23" xfId="283" xr:uid="{00000000-0005-0000-0000-000016010000}"/>
    <cellStyle name="60% - Accent1 3" xfId="284" xr:uid="{00000000-0005-0000-0000-000017010000}"/>
    <cellStyle name="60% - Accent1 4" xfId="285" xr:uid="{00000000-0005-0000-0000-000018010000}"/>
    <cellStyle name="60% - Accent1 5" xfId="286" xr:uid="{00000000-0005-0000-0000-000019010000}"/>
    <cellStyle name="60% - Accent1 6" xfId="287" xr:uid="{00000000-0005-0000-0000-00001A010000}"/>
    <cellStyle name="60% - Accent1 7" xfId="288" xr:uid="{00000000-0005-0000-0000-00001B010000}"/>
    <cellStyle name="60% - Accent1 8" xfId="289" xr:uid="{00000000-0005-0000-0000-00001C010000}"/>
    <cellStyle name="60% - Accent1 9" xfId="290" xr:uid="{00000000-0005-0000-0000-00001D010000}"/>
    <cellStyle name="60% - Accent2 10" xfId="291" xr:uid="{00000000-0005-0000-0000-00001E010000}"/>
    <cellStyle name="60% - Accent2 11" xfId="292" xr:uid="{00000000-0005-0000-0000-00001F010000}"/>
    <cellStyle name="60% - Accent2 12" xfId="293" xr:uid="{00000000-0005-0000-0000-000020010000}"/>
    <cellStyle name="60% - Accent2 13" xfId="294" xr:uid="{00000000-0005-0000-0000-000021010000}"/>
    <cellStyle name="60% - Accent2 14" xfId="295" xr:uid="{00000000-0005-0000-0000-000022010000}"/>
    <cellStyle name="60% - Accent2 15" xfId="296" xr:uid="{00000000-0005-0000-0000-000023010000}"/>
    <cellStyle name="60% - Accent2 16" xfId="297" xr:uid="{00000000-0005-0000-0000-000024010000}"/>
    <cellStyle name="60% - Accent2 17" xfId="298" xr:uid="{00000000-0005-0000-0000-000025010000}"/>
    <cellStyle name="60% - Accent2 18" xfId="299" xr:uid="{00000000-0005-0000-0000-000026010000}"/>
    <cellStyle name="60% - Accent2 19" xfId="300" xr:uid="{00000000-0005-0000-0000-000027010000}"/>
    <cellStyle name="60% - Accent2 2" xfId="301" xr:uid="{00000000-0005-0000-0000-000028010000}"/>
    <cellStyle name="60% - Accent2 20" xfId="302" xr:uid="{00000000-0005-0000-0000-000029010000}"/>
    <cellStyle name="60% - Accent2 21" xfId="303" xr:uid="{00000000-0005-0000-0000-00002A010000}"/>
    <cellStyle name="60% - Accent2 22" xfId="304" xr:uid="{00000000-0005-0000-0000-00002B010000}"/>
    <cellStyle name="60% - Accent2 23" xfId="305" xr:uid="{00000000-0005-0000-0000-00002C010000}"/>
    <cellStyle name="60% - Accent2 3" xfId="306" xr:uid="{00000000-0005-0000-0000-00002D010000}"/>
    <cellStyle name="60% - Accent2 4" xfId="307" xr:uid="{00000000-0005-0000-0000-00002E010000}"/>
    <cellStyle name="60% - Accent2 5" xfId="308" xr:uid="{00000000-0005-0000-0000-00002F010000}"/>
    <cellStyle name="60% - Accent2 6" xfId="309" xr:uid="{00000000-0005-0000-0000-000030010000}"/>
    <cellStyle name="60% - Accent2 7" xfId="310" xr:uid="{00000000-0005-0000-0000-000031010000}"/>
    <cellStyle name="60% - Accent2 8" xfId="311" xr:uid="{00000000-0005-0000-0000-000032010000}"/>
    <cellStyle name="60% - Accent2 9" xfId="312" xr:uid="{00000000-0005-0000-0000-000033010000}"/>
    <cellStyle name="60% - Accent3 10" xfId="313" xr:uid="{00000000-0005-0000-0000-000034010000}"/>
    <cellStyle name="60% - Accent3 11" xfId="314" xr:uid="{00000000-0005-0000-0000-000035010000}"/>
    <cellStyle name="60% - Accent3 12" xfId="315" xr:uid="{00000000-0005-0000-0000-000036010000}"/>
    <cellStyle name="60% - Accent3 13" xfId="316" xr:uid="{00000000-0005-0000-0000-000037010000}"/>
    <cellStyle name="60% - Accent3 14" xfId="317" xr:uid="{00000000-0005-0000-0000-000038010000}"/>
    <cellStyle name="60% - Accent3 15" xfId="318" xr:uid="{00000000-0005-0000-0000-000039010000}"/>
    <cellStyle name="60% - Accent3 16" xfId="319" xr:uid="{00000000-0005-0000-0000-00003A010000}"/>
    <cellStyle name="60% - Accent3 17" xfId="320" xr:uid="{00000000-0005-0000-0000-00003B010000}"/>
    <cellStyle name="60% - Accent3 18" xfId="321" xr:uid="{00000000-0005-0000-0000-00003C010000}"/>
    <cellStyle name="60% - Accent3 19" xfId="322" xr:uid="{00000000-0005-0000-0000-00003D010000}"/>
    <cellStyle name="60% - Accent3 2" xfId="323" xr:uid="{00000000-0005-0000-0000-00003E010000}"/>
    <cellStyle name="60% - Accent3 20" xfId="324" xr:uid="{00000000-0005-0000-0000-00003F010000}"/>
    <cellStyle name="60% - Accent3 21" xfId="325" xr:uid="{00000000-0005-0000-0000-000040010000}"/>
    <cellStyle name="60% - Accent3 22" xfId="326" xr:uid="{00000000-0005-0000-0000-000041010000}"/>
    <cellStyle name="60% - Accent3 23" xfId="327" xr:uid="{00000000-0005-0000-0000-000042010000}"/>
    <cellStyle name="60% - Accent3 3" xfId="328" xr:uid="{00000000-0005-0000-0000-000043010000}"/>
    <cellStyle name="60% - Accent3 4" xfId="329" xr:uid="{00000000-0005-0000-0000-000044010000}"/>
    <cellStyle name="60% - Accent3 5" xfId="330" xr:uid="{00000000-0005-0000-0000-000045010000}"/>
    <cellStyle name="60% - Accent3 6" xfId="331" xr:uid="{00000000-0005-0000-0000-000046010000}"/>
    <cellStyle name="60% - Accent3 7" xfId="332" xr:uid="{00000000-0005-0000-0000-000047010000}"/>
    <cellStyle name="60% - Accent3 8" xfId="333" xr:uid="{00000000-0005-0000-0000-000048010000}"/>
    <cellStyle name="60% - Accent3 9" xfId="334" xr:uid="{00000000-0005-0000-0000-000049010000}"/>
    <cellStyle name="60% - Accent4 10" xfId="335" xr:uid="{00000000-0005-0000-0000-00004A010000}"/>
    <cellStyle name="60% - Accent4 11" xfId="336" xr:uid="{00000000-0005-0000-0000-00004B010000}"/>
    <cellStyle name="60% - Accent4 12" xfId="337" xr:uid="{00000000-0005-0000-0000-00004C010000}"/>
    <cellStyle name="60% - Accent4 13" xfId="338" xr:uid="{00000000-0005-0000-0000-00004D010000}"/>
    <cellStyle name="60% - Accent4 14" xfId="339" xr:uid="{00000000-0005-0000-0000-00004E010000}"/>
    <cellStyle name="60% - Accent4 15" xfId="340" xr:uid="{00000000-0005-0000-0000-00004F010000}"/>
    <cellStyle name="60% - Accent4 16" xfId="341" xr:uid="{00000000-0005-0000-0000-000050010000}"/>
    <cellStyle name="60% - Accent4 17" xfId="342" xr:uid="{00000000-0005-0000-0000-000051010000}"/>
    <cellStyle name="60% - Accent4 18" xfId="343" xr:uid="{00000000-0005-0000-0000-000052010000}"/>
    <cellStyle name="60% - Accent4 19" xfId="344" xr:uid="{00000000-0005-0000-0000-000053010000}"/>
    <cellStyle name="60% - Accent4 2" xfId="345" xr:uid="{00000000-0005-0000-0000-000054010000}"/>
    <cellStyle name="60% - Accent4 20" xfId="346" xr:uid="{00000000-0005-0000-0000-000055010000}"/>
    <cellStyle name="60% - Accent4 21" xfId="347" xr:uid="{00000000-0005-0000-0000-000056010000}"/>
    <cellStyle name="60% - Accent4 22" xfId="348" xr:uid="{00000000-0005-0000-0000-000057010000}"/>
    <cellStyle name="60% - Accent4 23" xfId="349" xr:uid="{00000000-0005-0000-0000-000058010000}"/>
    <cellStyle name="60% - Accent4 3" xfId="350" xr:uid="{00000000-0005-0000-0000-000059010000}"/>
    <cellStyle name="60% - Accent4 4" xfId="351" xr:uid="{00000000-0005-0000-0000-00005A010000}"/>
    <cellStyle name="60% - Accent4 5" xfId="352" xr:uid="{00000000-0005-0000-0000-00005B010000}"/>
    <cellStyle name="60% - Accent4 6" xfId="353" xr:uid="{00000000-0005-0000-0000-00005C010000}"/>
    <cellStyle name="60% - Accent4 7" xfId="354" xr:uid="{00000000-0005-0000-0000-00005D010000}"/>
    <cellStyle name="60% - Accent4 8" xfId="355" xr:uid="{00000000-0005-0000-0000-00005E010000}"/>
    <cellStyle name="60% - Accent4 9" xfId="356" xr:uid="{00000000-0005-0000-0000-00005F010000}"/>
    <cellStyle name="60% - Accent5 10" xfId="357" xr:uid="{00000000-0005-0000-0000-000060010000}"/>
    <cellStyle name="60% - Accent5 11" xfId="358" xr:uid="{00000000-0005-0000-0000-000061010000}"/>
    <cellStyle name="60% - Accent5 12" xfId="359" xr:uid="{00000000-0005-0000-0000-000062010000}"/>
    <cellStyle name="60% - Accent5 13" xfId="360" xr:uid="{00000000-0005-0000-0000-000063010000}"/>
    <cellStyle name="60% - Accent5 14" xfId="361" xr:uid="{00000000-0005-0000-0000-000064010000}"/>
    <cellStyle name="60% - Accent5 15" xfId="362" xr:uid="{00000000-0005-0000-0000-000065010000}"/>
    <cellStyle name="60% - Accent5 16" xfId="363" xr:uid="{00000000-0005-0000-0000-000066010000}"/>
    <cellStyle name="60% - Accent5 17" xfId="364" xr:uid="{00000000-0005-0000-0000-000067010000}"/>
    <cellStyle name="60% - Accent5 18" xfId="365" xr:uid="{00000000-0005-0000-0000-000068010000}"/>
    <cellStyle name="60% - Accent5 19" xfId="366" xr:uid="{00000000-0005-0000-0000-000069010000}"/>
    <cellStyle name="60% - Accent5 2" xfId="367" xr:uid="{00000000-0005-0000-0000-00006A010000}"/>
    <cellStyle name="60% - Accent5 20" xfId="368" xr:uid="{00000000-0005-0000-0000-00006B010000}"/>
    <cellStyle name="60% - Accent5 21" xfId="369" xr:uid="{00000000-0005-0000-0000-00006C010000}"/>
    <cellStyle name="60% - Accent5 22" xfId="370" xr:uid="{00000000-0005-0000-0000-00006D010000}"/>
    <cellStyle name="60% - Accent5 23" xfId="371" xr:uid="{00000000-0005-0000-0000-00006E010000}"/>
    <cellStyle name="60% - Accent5 3" xfId="372" xr:uid="{00000000-0005-0000-0000-00006F010000}"/>
    <cellStyle name="60% - Accent5 4" xfId="373" xr:uid="{00000000-0005-0000-0000-000070010000}"/>
    <cellStyle name="60% - Accent5 5" xfId="374" xr:uid="{00000000-0005-0000-0000-000071010000}"/>
    <cellStyle name="60% - Accent5 6" xfId="375" xr:uid="{00000000-0005-0000-0000-000072010000}"/>
    <cellStyle name="60% - Accent5 7" xfId="376" xr:uid="{00000000-0005-0000-0000-000073010000}"/>
    <cellStyle name="60% - Accent5 8" xfId="377" xr:uid="{00000000-0005-0000-0000-000074010000}"/>
    <cellStyle name="60% - Accent5 9" xfId="378" xr:uid="{00000000-0005-0000-0000-000075010000}"/>
    <cellStyle name="60% - Accent6 10" xfId="379" xr:uid="{00000000-0005-0000-0000-000076010000}"/>
    <cellStyle name="60% - Accent6 11" xfId="380" xr:uid="{00000000-0005-0000-0000-000077010000}"/>
    <cellStyle name="60% - Accent6 12" xfId="381" xr:uid="{00000000-0005-0000-0000-000078010000}"/>
    <cellStyle name="60% - Accent6 13" xfId="382" xr:uid="{00000000-0005-0000-0000-000079010000}"/>
    <cellStyle name="60% - Accent6 14" xfId="383" xr:uid="{00000000-0005-0000-0000-00007A010000}"/>
    <cellStyle name="60% - Accent6 15" xfId="384" xr:uid="{00000000-0005-0000-0000-00007B010000}"/>
    <cellStyle name="60% - Accent6 16" xfId="385" xr:uid="{00000000-0005-0000-0000-00007C010000}"/>
    <cellStyle name="60% - Accent6 17" xfId="386" xr:uid="{00000000-0005-0000-0000-00007D010000}"/>
    <cellStyle name="60% - Accent6 18" xfId="387" xr:uid="{00000000-0005-0000-0000-00007E010000}"/>
    <cellStyle name="60% - Accent6 19" xfId="388" xr:uid="{00000000-0005-0000-0000-00007F010000}"/>
    <cellStyle name="60% - Accent6 2" xfId="389" xr:uid="{00000000-0005-0000-0000-000080010000}"/>
    <cellStyle name="60% - Accent6 20" xfId="390" xr:uid="{00000000-0005-0000-0000-000081010000}"/>
    <cellStyle name="60% - Accent6 21" xfId="391" xr:uid="{00000000-0005-0000-0000-000082010000}"/>
    <cellStyle name="60% - Accent6 22" xfId="392" xr:uid="{00000000-0005-0000-0000-000083010000}"/>
    <cellStyle name="60% - Accent6 23" xfId="393" xr:uid="{00000000-0005-0000-0000-000084010000}"/>
    <cellStyle name="60% - Accent6 3" xfId="394" xr:uid="{00000000-0005-0000-0000-000085010000}"/>
    <cellStyle name="60% - Accent6 4" xfId="395" xr:uid="{00000000-0005-0000-0000-000086010000}"/>
    <cellStyle name="60% - Accent6 5" xfId="396" xr:uid="{00000000-0005-0000-0000-000087010000}"/>
    <cellStyle name="60% - Accent6 6" xfId="397" xr:uid="{00000000-0005-0000-0000-000088010000}"/>
    <cellStyle name="60% - Accent6 7" xfId="398" xr:uid="{00000000-0005-0000-0000-000089010000}"/>
    <cellStyle name="60% - Accent6 8" xfId="399" xr:uid="{00000000-0005-0000-0000-00008A010000}"/>
    <cellStyle name="60% - Accent6 9" xfId="400" xr:uid="{00000000-0005-0000-0000-00008B010000}"/>
    <cellStyle name="Accent1 10" xfId="401" xr:uid="{00000000-0005-0000-0000-00008C010000}"/>
    <cellStyle name="Accent1 11" xfId="402" xr:uid="{00000000-0005-0000-0000-00008D010000}"/>
    <cellStyle name="Accent1 12" xfId="403" xr:uid="{00000000-0005-0000-0000-00008E010000}"/>
    <cellStyle name="Accent1 13" xfId="404" xr:uid="{00000000-0005-0000-0000-00008F010000}"/>
    <cellStyle name="Accent1 14" xfId="405" xr:uid="{00000000-0005-0000-0000-000090010000}"/>
    <cellStyle name="Accent1 15" xfId="406" xr:uid="{00000000-0005-0000-0000-000091010000}"/>
    <cellStyle name="Accent1 16" xfId="407" xr:uid="{00000000-0005-0000-0000-000092010000}"/>
    <cellStyle name="Accent1 17" xfId="408" xr:uid="{00000000-0005-0000-0000-000093010000}"/>
    <cellStyle name="Accent1 18" xfId="409" xr:uid="{00000000-0005-0000-0000-000094010000}"/>
    <cellStyle name="Accent1 19" xfId="410" xr:uid="{00000000-0005-0000-0000-000095010000}"/>
    <cellStyle name="Accent1 2" xfId="411" xr:uid="{00000000-0005-0000-0000-000096010000}"/>
    <cellStyle name="Accent1 20" xfId="412" xr:uid="{00000000-0005-0000-0000-000097010000}"/>
    <cellStyle name="Accent1 21" xfId="413" xr:uid="{00000000-0005-0000-0000-000098010000}"/>
    <cellStyle name="Accent1 22" xfId="414" xr:uid="{00000000-0005-0000-0000-000099010000}"/>
    <cellStyle name="Accent1 23" xfId="415" xr:uid="{00000000-0005-0000-0000-00009A010000}"/>
    <cellStyle name="Accent1 3" xfId="416" xr:uid="{00000000-0005-0000-0000-00009B010000}"/>
    <cellStyle name="Accent1 4" xfId="417" xr:uid="{00000000-0005-0000-0000-00009C010000}"/>
    <cellStyle name="Accent1 5" xfId="418" xr:uid="{00000000-0005-0000-0000-00009D010000}"/>
    <cellStyle name="Accent1 6" xfId="419" xr:uid="{00000000-0005-0000-0000-00009E010000}"/>
    <cellStyle name="Accent1 7" xfId="420" xr:uid="{00000000-0005-0000-0000-00009F010000}"/>
    <cellStyle name="Accent1 8" xfId="421" xr:uid="{00000000-0005-0000-0000-0000A0010000}"/>
    <cellStyle name="Accent1 9" xfId="422" xr:uid="{00000000-0005-0000-0000-0000A1010000}"/>
    <cellStyle name="Accent2 10" xfId="423" xr:uid="{00000000-0005-0000-0000-0000A2010000}"/>
    <cellStyle name="Accent2 11" xfId="424" xr:uid="{00000000-0005-0000-0000-0000A3010000}"/>
    <cellStyle name="Accent2 12" xfId="425" xr:uid="{00000000-0005-0000-0000-0000A4010000}"/>
    <cellStyle name="Accent2 13" xfId="426" xr:uid="{00000000-0005-0000-0000-0000A5010000}"/>
    <cellStyle name="Accent2 14" xfId="427" xr:uid="{00000000-0005-0000-0000-0000A6010000}"/>
    <cellStyle name="Accent2 15" xfId="428" xr:uid="{00000000-0005-0000-0000-0000A7010000}"/>
    <cellStyle name="Accent2 16" xfId="429" xr:uid="{00000000-0005-0000-0000-0000A8010000}"/>
    <cellStyle name="Accent2 17" xfId="430" xr:uid="{00000000-0005-0000-0000-0000A9010000}"/>
    <cellStyle name="Accent2 18" xfId="431" xr:uid="{00000000-0005-0000-0000-0000AA010000}"/>
    <cellStyle name="Accent2 19" xfId="432" xr:uid="{00000000-0005-0000-0000-0000AB010000}"/>
    <cellStyle name="Accent2 2" xfId="433" xr:uid="{00000000-0005-0000-0000-0000AC010000}"/>
    <cellStyle name="Accent2 20" xfId="434" xr:uid="{00000000-0005-0000-0000-0000AD010000}"/>
    <cellStyle name="Accent2 21" xfId="435" xr:uid="{00000000-0005-0000-0000-0000AE010000}"/>
    <cellStyle name="Accent2 22" xfId="436" xr:uid="{00000000-0005-0000-0000-0000AF010000}"/>
    <cellStyle name="Accent2 23" xfId="437" xr:uid="{00000000-0005-0000-0000-0000B0010000}"/>
    <cellStyle name="Accent2 3" xfId="438" xr:uid="{00000000-0005-0000-0000-0000B1010000}"/>
    <cellStyle name="Accent2 4" xfId="439" xr:uid="{00000000-0005-0000-0000-0000B2010000}"/>
    <cellStyle name="Accent2 5" xfId="440" xr:uid="{00000000-0005-0000-0000-0000B3010000}"/>
    <cellStyle name="Accent2 6" xfId="441" xr:uid="{00000000-0005-0000-0000-0000B4010000}"/>
    <cellStyle name="Accent2 7" xfId="442" xr:uid="{00000000-0005-0000-0000-0000B5010000}"/>
    <cellStyle name="Accent2 8" xfId="443" xr:uid="{00000000-0005-0000-0000-0000B6010000}"/>
    <cellStyle name="Accent2 9" xfId="444" xr:uid="{00000000-0005-0000-0000-0000B7010000}"/>
    <cellStyle name="Accent3 10" xfId="445" xr:uid="{00000000-0005-0000-0000-0000B8010000}"/>
    <cellStyle name="Accent3 11" xfId="446" xr:uid="{00000000-0005-0000-0000-0000B9010000}"/>
    <cellStyle name="Accent3 12" xfId="447" xr:uid="{00000000-0005-0000-0000-0000BA010000}"/>
    <cellStyle name="Accent3 13" xfId="448" xr:uid="{00000000-0005-0000-0000-0000BB010000}"/>
    <cellStyle name="Accent3 14" xfId="449" xr:uid="{00000000-0005-0000-0000-0000BC010000}"/>
    <cellStyle name="Accent3 15" xfId="450" xr:uid="{00000000-0005-0000-0000-0000BD010000}"/>
    <cellStyle name="Accent3 16" xfId="451" xr:uid="{00000000-0005-0000-0000-0000BE010000}"/>
    <cellStyle name="Accent3 17" xfId="452" xr:uid="{00000000-0005-0000-0000-0000BF010000}"/>
    <cellStyle name="Accent3 18" xfId="453" xr:uid="{00000000-0005-0000-0000-0000C0010000}"/>
    <cellStyle name="Accent3 19" xfId="454" xr:uid="{00000000-0005-0000-0000-0000C1010000}"/>
    <cellStyle name="Accent3 2" xfId="455" xr:uid="{00000000-0005-0000-0000-0000C2010000}"/>
    <cellStyle name="Accent3 20" xfId="456" xr:uid="{00000000-0005-0000-0000-0000C3010000}"/>
    <cellStyle name="Accent3 21" xfId="457" xr:uid="{00000000-0005-0000-0000-0000C4010000}"/>
    <cellStyle name="Accent3 22" xfId="458" xr:uid="{00000000-0005-0000-0000-0000C5010000}"/>
    <cellStyle name="Accent3 23" xfId="459" xr:uid="{00000000-0005-0000-0000-0000C6010000}"/>
    <cellStyle name="Accent3 3" xfId="460" xr:uid="{00000000-0005-0000-0000-0000C7010000}"/>
    <cellStyle name="Accent3 4" xfId="461" xr:uid="{00000000-0005-0000-0000-0000C8010000}"/>
    <cellStyle name="Accent3 5" xfId="462" xr:uid="{00000000-0005-0000-0000-0000C9010000}"/>
    <cellStyle name="Accent3 6" xfId="463" xr:uid="{00000000-0005-0000-0000-0000CA010000}"/>
    <cellStyle name="Accent3 7" xfId="464" xr:uid="{00000000-0005-0000-0000-0000CB010000}"/>
    <cellStyle name="Accent3 8" xfId="465" xr:uid="{00000000-0005-0000-0000-0000CC010000}"/>
    <cellStyle name="Accent3 9" xfId="466" xr:uid="{00000000-0005-0000-0000-0000CD010000}"/>
    <cellStyle name="Accent4 10" xfId="467" xr:uid="{00000000-0005-0000-0000-0000CE010000}"/>
    <cellStyle name="Accent4 11" xfId="468" xr:uid="{00000000-0005-0000-0000-0000CF010000}"/>
    <cellStyle name="Accent4 12" xfId="469" xr:uid="{00000000-0005-0000-0000-0000D0010000}"/>
    <cellStyle name="Accent4 13" xfId="470" xr:uid="{00000000-0005-0000-0000-0000D1010000}"/>
    <cellStyle name="Accent4 14" xfId="471" xr:uid="{00000000-0005-0000-0000-0000D2010000}"/>
    <cellStyle name="Accent4 15" xfId="472" xr:uid="{00000000-0005-0000-0000-0000D3010000}"/>
    <cellStyle name="Accent4 16" xfId="473" xr:uid="{00000000-0005-0000-0000-0000D4010000}"/>
    <cellStyle name="Accent4 17" xfId="474" xr:uid="{00000000-0005-0000-0000-0000D5010000}"/>
    <cellStyle name="Accent4 18" xfId="475" xr:uid="{00000000-0005-0000-0000-0000D6010000}"/>
    <cellStyle name="Accent4 19" xfId="476" xr:uid="{00000000-0005-0000-0000-0000D7010000}"/>
    <cellStyle name="Accent4 2" xfId="477" xr:uid="{00000000-0005-0000-0000-0000D8010000}"/>
    <cellStyle name="Accent4 20" xfId="478" xr:uid="{00000000-0005-0000-0000-0000D9010000}"/>
    <cellStyle name="Accent4 21" xfId="479" xr:uid="{00000000-0005-0000-0000-0000DA010000}"/>
    <cellStyle name="Accent4 22" xfId="480" xr:uid="{00000000-0005-0000-0000-0000DB010000}"/>
    <cellStyle name="Accent4 23" xfId="481" xr:uid="{00000000-0005-0000-0000-0000DC010000}"/>
    <cellStyle name="Accent4 3" xfId="482" xr:uid="{00000000-0005-0000-0000-0000DD010000}"/>
    <cellStyle name="Accent4 4" xfId="483" xr:uid="{00000000-0005-0000-0000-0000DE010000}"/>
    <cellStyle name="Accent4 5" xfId="484" xr:uid="{00000000-0005-0000-0000-0000DF010000}"/>
    <cellStyle name="Accent4 6" xfId="485" xr:uid="{00000000-0005-0000-0000-0000E0010000}"/>
    <cellStyle name="Accent4 7" xfId="486" xr:uid="{00000000-0005-0000-0000-0000E1010000}"/>
    <cellStyle name="Accent4 8" xfId="487" xr:uid="{00000000-0005-0000-0000-0000E2010000}"/>
    <cellStyle name="Accent4 9" xfId="488" xr:uid="{00000000-0005-0000-0000-0000E3010000}"/>
    <cellStyle name="Accent5 10" xfId="489" xr:uid="{00000000-0005-0000-0000-0000E4010000}"/>
    <cellStyle name="Accent5 11" xfId="490" xr:uid="{00000000-0005-0000-0000-0000E5010000}"/>
    <cellStyle name="Accent5 12" xfId="491" xr:uid="{00000000-0005-0000-0000-0000E6010000}"/>
    <cellStyle name="Accent5 13" xfId="492" xr:uid="{00000000-0005-0000-0000-0000E7010000}"/>
    <cellStyle name="Accent5 14" xfId="493" xr:uid="{00000000-0005-0000-0000-0000E8010000}"/>
    <cellStyle name="Accent5 15" xfId="494" xr:uid="{00000000-0005-0000-0000-0000E9010000}"/>
    <cellStyle name="Accent5 16" xfId="495" xr:uid="{00000000-0005-0000-0000-0000EA010000}"/>
    <cellStyle name="Accent5 17" xfId="496" xr:uid="{00000000-0005-0000-0000-0000EB010000}"/>
    <cellStyle name="Accent5 18" xfId="497" xr:uid="{00000000-0005-0000-0000-0000EC010000}"/>
    <cellStyle name="Accent5 19" xfId="498" xr:uid="{00000000-0005-0000-0000-0000ED010000}"/>
    <cellStyle name="Accent5 2" xfId="499" xr:uid="{00000000-0005-0000-0000-0000EE010000}"/>
    <cellStyle name="Accent5 20" xfId="500" xr:uid="{00000000-0005-0000-0000-0000EF010000}"/>
    <cellStyle name="Accent5 21" xfId="501" xr:uid="{00000000-0005-0000-0000-0000F0010000}"/>
    <cellStyle name="Accent5 22" xfId="502" xr:uid="{00000000-0005-0000-0000-0000F1010000}"/>
    <cellStyle name="Accent5 23" xfId="503" xr:uid="{00000000-0005-0000-0000-0000F2010000}"/>
    <cellStyle name="Accent5 3" xfId="504" xr:uid="{00000000-0005-0000-0000-0000F3010000}"/>
    <cellStyle name="Accent5 4" xfId="505" xr:uid="{00000000-0005-0000-0000-0000F4010000}"/>
    <cellStyle name="Accent5 5" xfId="506" xr:uid="{00000000-0005-0000-0000-0000F5010000}"/>
    <cellStyle name="Accent5 6" xfId="507" xr:uid="{00000000-0005-0000-0000-0000F6010000}"/>
    <cellStyle name="Accent5 7" xfId="508" xr:uid="{00000000-0005-0000-0000-0000F7010000}"/>
    <cellStyle name="Accent5 8" xfId="509" xr:uid="{00000000-0005-0000-0000-0000F8010000}"/>
    <cellStyle name="Accent5 9" xfId="510" xr:uid="{00000000-0005-0000-0000-0000F9010000}"/>
    <cellStyle name="Accent6 10" xfId="511" xr:uid="{00000000-0005-0000-0000-0000FA010000}"/>
    <cellStyle name="Accent6 11" xfId="512" xr:uid="{00000000-0005-0000-0000-0000FB010000}"/>
    <cellStyle name="Accent6 12" xfId="513" xr:uid="{00000000-0005-0000-0000-0000FC010000}"/>
    <cellStyle name="Accent6 13" xfId="514" xr:uid="{00000000-0005-0000-0000-0000FD010000}"/>
    <cellStyle name="Accent6 14" xfId="515" xr:uid="{00000000-0005-0000-0000-0000FE010000}"/>
    <cellStyle name="Accent6 15" xfId="516" xr:uid="{00000000-0005-0000-0000-0000FF010000}"/>
    <cellStyle name="Accent6 16" xfId="517" xr:uid="{00000000-0005-0000-0000-000000020000}"/>
    <cellStyle name="Accent6 17" xfId="518" xr:uid="{00000000-0005-0000-0000-000001020000}"/>
    <cellStyle name="Accent6 18" xfId="519" xr:uid="{00000000-0005-0000-0000-000002020000}"/>
    <cellStyle name="Accent6 19" xfId="520" xr:uid="{00000000-0005-0000-0000-000003020000}"/>
    <cellStyle name="Accent6 2" xfId="521" xr:uid="{00000000-0005-0000-0000-000004020000}"/>
    <cellStyle name="Accent6 20" xfId="522" xr:uid="{00000000-0005-0000-0000-000005020000}"/>
    <cellStyle name="Accent6 21" xfId="523" xr:uid="{00000000-0005-0000-0000-000006020000}"/>
    <cellStyle name="Accent6 22" xfId="524" xr:uid="{00000000-0005-0000-0000-000007020000}"/>
    <cellStyle name="Accent6 23" xfId="525" xr:uid="{00000000-0005-0000-0000-000008020000}"/>
    <cellStyle name="Accent6 3" xfId="526" xr:uid="{00000000-0005-0000-0000-000009020000}"/>
    <cellStyle name="Accent6 4" xfId="527" xr:uid="{00000000-0005-0000-0000-00000A020000}"/>
    <cellStyle name="Accent6 5" xfId="528" xr:uid="{00000000-0005-0000-0000-00000B020000}"/>
    <cellStyle name="Accent6 6" xfId="529" xr:uid="{00000000-0005-0000-0000-00000C020000}"/>
    <cellStyle name="Accent6 7" xfId="530" xr:uid="{00000000-0005-0000-0000-00000D020000}"/>
    <cellStyle name="Accent6 8" xfId="531" xr:uid="{00000000-0005-0000-0000-00000E020000}"/>
    <cellStyle name="Accent6 9" xfId="532" xr:uid="{00000000-0005-0000-0000-00000F020000}"/>
    <cellStyle name="Bad 10" xfId="533" xr:uid="{00000000-0005-0000-0000-000010020000}"/>
    <cellStyle name="Bad 11" xfId="534" xr:uid="{00000000-0005-0000-0000-000011020000}"/>
    <cellStyle name="Bad 12" xfId="535" xr:uid="{00000000-0005-0000-0000-000012020000}"/>
    <cellStyle name="Bad 13" xfId="536" xr:uid="{00000000-0005-0000-0000-000013020000}"/>
    <cellStyle name="Bad 14" xfId="537" xr:uid="{00000000-0005-0000-0000-000014020000}"/>
    <cellStyle name="Bad 15" xfId="538" xr:uid="{00000000-0005-0000-0000-000015020000}"/>
    <cellStyle name="Bad 16" xfId="539" xr:uid="{00000000-0005-0000-0000-000016020000}"/>
    <cellStyle name="Bad 17" xfId="540" xr:uid="{00000000-0005-0000-0000-000017020000}"/>
    <cellStyle name="Bad 18" xfId="541" xr:uid="{00000000-0005-0000-0000-000018020000}"/>
    <cellStyle name="Bad 19" xfId="542" xr:uid="{00000000-0005-0000-0000-000019020000}"/>
    <cellStyle name="Bad 2" xfId="543" xr:uid="{00000000-0005-0000-0000-00001A020000}"/>
    <cellStyle name="Bad 20" xfId="544" xr:uid="{00000000-0005-0000-0000-00001B020000}"/>
    <cellStyle name="Bad 21" xfId="545" xr:uid="{00000000-0005-0000-0000-00001C020000}"/>
    <cellStyle name="Bad 22" xfId="546" xr:uid="{00000000-0005-0000-0000-00001D020000}"/>
    <cellStyle name="Bad 23" xfId="547" xr:uid="{00000000-0005-0000-0000-00001E020000}"/>
    <cellStyle name="Bad 3" xfId="548" xr:uid="{00000000-0005-0000-0000-00001F020000}"/>
    <cellStyle name="Bad 4" xfId="549" xr:uid="{00000000-0005-0000-0000-000020020000}"/>
    <cellStyle name="Bad 5" xfId="550" xr:uid="{00000000-0005-0000-0000-000021020000}"/>
    <cellStyle name="Bad 6" xfId="551" xr:uid="{00000000-0005-0000-0000-000022020000}"/>
    <cellStyle name="Bad 7" xfId="552" xr:uid="{00000000-0005-0000-0000-000023020000}"/>
    <cellStyle name="Bad 8" xfId="553" xr:uid="{00000000-0005-0000-0000-000024020000}"/>
    <cellStyle name="Bad 9" xfId="554" xr:uid="{00000000-0005-0000-0000-000025020000}"/>
    <cellStyle name="Calculation 10" xfId="555" xr:uid="{00000000-0005-0000-0000-000026020000}"/>
    <cellStyle name="Calculation 11" xfId="556" xr:uid="{00000000-0005-0000-0000-000027020000}"/>
    <cellStyle name="Calculation 12" xfId="557" xr:uid="{00000000-0005-0000-0000-000028020000}"/>
    <cellStyle name="Calculation 13" xfId="558" xr:uid="{00000000-0005-0000-0000-000029020000}"/>
    <cellStyle name="Calculation 14" xfId="559" xr:uid="{00000000-0005-0000-0000-00002A020000}"/>
    <cellStyle name="Calculation 15" xfId="560" xr:uid="{00000000-0005-0000-0000-00002B020000}"/>
    <cellStyle name="Calculation 16" xfId="561" xr:uid="{00000000-0005-0000-0000-00002C020000}"/>
    <cellStyle name="Calculation 17" xfId="562" xr:uid="{00000000-0005-0000-0000-00002D020000}"/>
    <cellStyle name="Calculation 18" xfId="563" xr:uid="{00000000-0005-0000-0000-00002E020000}"/>
    <cellStyle name="Calculation 19" xfId="564" xr:uid="{00000000-0005-0000-0000-00002F020000}"/>
    <cellStyle name="Calculation 2" xfId="565" xr:uid="{00000000-0005-0000-0000-000030020000}"/>
    <cellStyle name="Calculation 20" xfId="566" xr:uid="{00000000-0005-0000-0000-000031020000}"/>
    <cellStyle name="Calculation 21" xfId="567" xr:uid="{00000000-0005-0000-0000-000032020000}"/>
    <cellStyle name="Calculation 22" xfId="568" xr:uid="{00000000-0005-0000-0000-000033020000}"/>
    <cellStyle name="Calculation 23" xfId="569" xr:uid="{00000000-0005-0000-0000-000034020000}"/>
    <cellStyle name="Calculation 3" xfId="570" xr:uid="{00000000-0005-0000-0000-000035020000}"/>
    <cellStyle name="Calculation 4" xfId="571" xr:uid="{00000000-0005-0000-0000-000036020000}"/>
    <cellStyle name="Calculation 5" xfId="572" xr:uid="{00000000-0005-0000-0000-000037020000}"/>
    <cellStyle name="Calculation 6" xfId="573" xr:uid="{00000000-0005-0000-0000-000038020000}"/>
    <cellStyle name="Calculation 7" xfId="574" xr:uid="{00000000-0005-0000-0000-000039020000}"/>
    <cellStyle name="Calculation 8" xfId="575" xr:uid="{00000000-0005-0000-0000-00003A020000}"/>
    <cellStyle name="Calculation 9" xfId="576" xr:uid="{00000000-0005-0000-0000-00003B020000}"/>
    <cellStyle name="Check Cell 10" xfId="577" xr:uid="{00000000-0005-0000-0000-00003C020000}"/>
    <cellStyle name="Check Cell 11" xfId="578" xr:uid="{00000000-0005-0000-0000-00003D020000}"/>
    <cellStyle name="Check Cell 12" xfId="579" xr:uid="{00000000-0005-0000-0000-00003E020000}"/>
    <cellStyle name="Check Cell 13" xfId="580" xr:uid="{00000000-0005-0000-0000-00003F020000}"/>
    <cellStyle name="Check Cell 14" xfId="581" xr:uid="{00000000-0005-0000-0000-000040020000}"/>
    <cellStyle name="Check Cell 15" xfId="582" xr:uid="{00000000-0005-0000-0000-000041020000}"/>
    <cellStyle name="Check Cell 16" xfId="583" xr:uid="{00000000-0005-0000-0000-000042020000}"/>
    <cellStyle name="Check Cell 17" xfId="584" xr:uid="{00000000-0005-0000-0000-000043020000}"/>
    <cellStyle name="Check Cell 18" xfId="585" xr:uid="{00000000-0005-0000-0000-000044020000}"/>
    <cellStyle name="Check Cell 19" xfId="586" xr:uid="{00000000-0005-0000-0000-000045020000}"/>
    <cellStyle name="Check Cell 2" xfId="587" xr:uid="{00000000-0005-0000-0000-000046020000}"/>
    <cellStyle name="Check Cell 20" xfId="588" xr:uid="{00000000-0005-0000-0000-000047020000}"/>
    <cellStyle name="Check Cell 21" xfId="589" xr:uid="{00000000-0005-0000-0000-000048020000}"/>
    <cellStyle name="Check Cell 22" xfId="590" xr:uid="{00000000-0005-0000-0000-000049020000}"/>
    <cellStyle name="Check Cell 23" xfId="591" xr:uid="{00000000-0005-0000-0000-00004A020000}"/>
    <cellStyle name="Check Cell 3" xfId="592" xr:uid="{00000000-0005-0000-0000-00004B020000}"/>
    <cellStyle name="Check Cell 4" xfId="593" xr:uid="{00000000-0005-0000-0000-00004C020000}"/>
    <cellStyle name="Check Cell 5" xfId="594" xr:uid="{00000000-0005-0000-0000-00004D020000}"/>
    <cellStyle name="Check Cell 6" xfId="595" xr:uid="{00000000-0005-0000-0000-00004E020000}"/>
    <cellStyle name="Check Cell 7" xfId="596" xr:uid="{00000000-0005-0000-0000-00004F020000}"/>
    <cellStyle name="Check Cell 8" xfId="597" xr:uid="{00000000-0005-0000-0000-000050020000}"/>
    <cellStyle name="Check Cell 9" xfId="598" xr:uid="{00000000-0005-0000-0000-000051020000}"/>
    <cellStyle name="Comma 22" xfId="599" xr:uid="{00000000-0005-0000-0000-000052020000}"/>
    <cellStyle name="Comma 22 2" xfId="600" xr:uid="{00000000-0005-0000-0000-000053020000}"/>
    <cellStyle name="Comma 22 2 2" xfId="601" xr:uid="{00000000-0005-0000-0000-000054020000}"/>
    <cellStyle name="Comma 22 3" xfId="602" xr:uid="{00000000-0005-0000-0000-000055020000}"/>
    <cellStyle name="Comma 22 3 2" xfId="603" xr:uid="{00000000-0005-0000-0000-000056020000}"/>
    <cellStyle name="Explanatory Text 10" xfId="604" xr:uid="{00000000-0005-0000-0000-000057020000}"/>
    <cellStyle name="Explanatory Text 11" xfId="605" xr:uid="{00000000-0005-0000-0000-000058020000}"/>
    <cellStyle name="Explanatory Text 12" xfId="606" xr:uid="{00000000-0005-0000-0000-000059020000}"/>
    <cellStyle name="Explanatory Text 13" xfId="607" xr:uid="{00000000-0005-0000-0000-00005A020000}"/>
    <cellStyle name="Explanatory Text 14" xfId="608" xr:uid="{00000000-0005-0000-0000-00005B020000}"/>
    <cellStyle name="Explanatory Text 15" xfId="609" xr:uid="{00000000-0005-0000-0000-00005C020000}"/>
    <cellStyle name="Explanatory Text 16" xfId="610" xr:uid="{00000000-0005-0000-0000-00005D020000}"/>
    <cellStyle name="Explanatory Text 17" xfId="611" xr:uid="{00000000-0005-0000-0000-00005E020000}"/>
    <cellStyle name="Explanatory Text 18" xfId="612" xr:uid="{00000000-0005-0000-0000-00005F020000}"/>
    <cellStyle name="Explanatory Text 19" xfId="613" xr:uid="{00000000-0005-0000-0000-000060020000}"/>
    <cellStyle name="Explanatory Text 2" xfId="614" xr:uid="{00000000-0005-0000-0000-000061020000}"/>
    <cellStyle name="Explanatory Text 20" xfId="615" xr:uid="{00000000-0005-0000-0000-000062020000}"/>
    <cellStyle name="Explanatory Text 21" xfId="616" xr:uid="{00000000-0005-0000-0000-000063020000}"/>
    <cellStyle name="Explanatory Text 22" xfId="617" xr:uid="{00000000-0005-0000-0000-000064020000}"/>
    <cellStyle name="Explanatory Text 23" xfId="618" xr:uid="{00000000-0005-0000-0000-000065020000}"/>
    <cellStyle name="Explanatory Text 3" xfId="619" xr:uid="{00000000-0005-0000-0000-000066020000}"/>
    <cellStyle name="Explanatory Text 4" xfId="620" xr:uid="{00000000-0005-0000-0000-000067020000}"/>
    <cellStyle name="Explanatory Text 5" xfId="621" xr:uid="{00000000-0005-0000-0000-000068020000}"/>
    <cellStyle name="Explanatory Text 6" xfId="622" xr:uid="{00000000-0005-0000-0000-000069020000}"/>
    <cellStyle name="Explanatory Text 7" xfId="623" xr:uid="{00000000-0005-0000-0000-00006A020000}"/>
    <cellStyle name="Explanatory Text 8" xfId="624" xr:uid="{00000000-0005-0000-0000-00006B020000}"/>
    <cellStyle name="Explanatory Text 9" xfId="625" xr:uid="{00000000-0005-0000-0000-00006C020000}"/>
    <cellStyle name="Good 10" xfId="626" xr:uid="{00000000-0005-0000-0000-00006D020000}"/>
    <cellStyle name="Good 11" xfId="627" xr:uid="{00000000-0005-0000-0000-00006E020000}"/>
    <cellStyle name="Good 12" xfId="628" xr:uid="{00000000-0005-0000-0000-00006F020000}"/>
    <cellStyle name="Good 13" xfId="629" xr:uid="{00000000-0005-0000-0000-000070020000}"/>
    <cellStyle name="Good 14" xfId="630" xr:uid="{00000000-0005-0000-0000-000071020000}"/>
    <cellStyle name="Good 15" xfId="631" xr:uid="{00000000-0005-0000-0000-000072020000}"/>
    <cellStyle name="Good 16" xfId="632" xr:uid="{00000000-0005-0000-0000-000073020000}"/>
    <cellStyle name="Good 17" xfId="633" xr:uid="{00000000-0005-0000-0000-000074020000}"/>
    <cellStyle name="Good 18" xfId="634" xr:uid="{00000000-0005-0000-0000-000075020000}"/>
    <cellStyle name="Good 19" xfId="635" xr:uid="{00000000-0005-0000-0000-000076020000}"/>
    <cellStyle name="Good 2" xfId="636" xr:uid="{00000000-0005-0000-0000-000077020000}"/>
    <cellStyle name="Good 20" xfId="637" xr:uid="{00000000-0005-0000-0000-000078020000}"/>
    <cellStyle name="Good 21" xfId="638" xr:uid="{00000000-0005-0000-0000-000079020000}"/>
    <cellStyle name="Good 22" xfId="639" xr:uid="{00000000-0005-0000-0000-00007A020000}"/>
    <cellStyle name="Good 23" xfId="640" xr:uid="{00000000-0005-0000-0000-00007B020000}"/>
    <cellStyle name="Good 3" xfId="641" xr:uid="{00000000-0005-0000-0000-00007C020000}"/>
    <cellStyle name="Good 4" xfId="642" xr:uid="{00000000-0005-0000-0000-00007D020000}"/>
    <cellStyle name="Good 5" xfId="643" xr:uid="{00000000-0005-0000-0000-00007E020000}"/>
    <cellStyle name="Good 6" xfId="644" xr:uid="{00000000-0005-0000-0000-00007F020000}"/>
    <cellStyle name="Good 7" xfId="645" xr:uid="{00000000-0005-0000-0000-000080020000}"/>
    <cellStyle name="Good 8" xfId="646" xr:uid="{00000000-0005-0000-0000-000081020000}"/>
    <cellStyle name="Good 9" xfId="647" xr:uid="{00000000-0005-0000-0000-000082020000}"/>
    <cellStyle name="Heading 1 10" xfId="648" xr:uid="{00000000-0005-0000-0000-000083020000}"/>
    <cellStyle name="Heading 1 11" xfId="649" xr:uid="{00000000-0005-0000-0000-000084020000}"/>
    <cellStyle name="Heading 1 12" xfId="650" xr:uid="{00000000-0005-0000-0000-000085020000}"/>
    <cellStyle name="Heading 1 13" xfId="651" xr:uid="{00000000-0005-0000-0000-000086020000}"/>
    <cellStyle name="Heading 1 14" xfId="652" xr:uid="{00000000-0005-0000-0000-000087020000}"/>
    <cellStyle name="Heading 1 15" xfId="653" xr:uid="{00000000-0005-0000-0000-000088020000}"/>
    <cellStyle name="Heading 1 16" xfId="654" xr:uid="{00000000-0005-0000-0000-000089020000}"/>
    <cellStyle name="Heading 1 17" xfId="655" xr:uid="{00000000-0005-0000-0000-00008A020000}"/>
    <cellStyle name="Heading 1 18" xfId="656" xr:uid="{00000000-0005-0000-0000-00008B020000}"/>
    <cellStyle name="Heading 1 19" xfId="657" xr:uid="{00000000-0005-0000-0000-00008C020000}"/>
    <cellStyle name="Heading 1 2" xfId="658" xr:uid="{00000000-0005-0000-0000-00008D020000}"/>
    <cellStyle name="Heading 1 20" xfId="659" xr:uid="{00000000-0005-0000-0000-00008E020000}"/>
    <cellStyle name="Heading 1 21" xfId="660" xr:uid="{00000000-0005-0000-0000-00008F020000}"/>
    <cellStyle name="Heading 1 22" xfId="661" xr:uid="{00000000-0005-0000-0000-000090020000}"/>
    <cellStyle name="Heading 1 23" xfId="662" xr:uid="{00000000-0005-0000-0000-000091020000}"/>
    <cellStyle name="Heading 1 3" xfId="663" xr:uid="{00000000-0005-0000-0000-000092020000}"/>
    <cellStyle name="Heading 1 4" xfId="664" xr:uid="{00000000-0005-0000-0000-000093020000}"/>
    <cellStyle name="Heading 1 5" xfId="665" xr:uid="{00000000-0005-0000-0000-000094020000}"/>
    <cellStyle name="Heading 1 6" xfId="666" xr:uid="{00000000-0005-0000-0000-000095020000}"/>
    <cellStyle name="Heading 1 7" xfId="667" xr:uid="{00000000-0005-0000-0000-000096020000}"/>
    <cellStyle name="Heading 1 8" xfId="668" xr:uid="{00000000-0005-0000-0000-000097020000}"/>
    <cellStyle name="Heading 1 9" xfId="669" xr:uid="{00000000-0005-0000-0000-000098020000}"/>
    <cellStyle name="Heading 2 10" xfId="670" xr:uid="{00000000-0005-0000-0000-000099020000}"/>
    <cellStyle name="Heading 2 11" xfId="671" xr:uid="{00000000-0005-0000-0000-00009A020000}"/>
    <cellStyle name="Heading 2 12" xfId="672" xr:uid="{00000000-0005-0000-0000-00009B020000}"/>
    <cellStyle name="Heading 2 13" xfId="673" xr:uid="{00000000-0005-0000-0000-00009C020000}"/>
    <cellStyle name="Heading 2 14" xfId="674" xr:uid="{00000000-0005-0000-0000-00009D020000}"/>
    <cellStyle name="Heading 2 15" xfId="675" xr:uid="{00000000-0005-0000-0000-00009E020000}"/>
    <cellStyle name="Heading 2 16" xfId="676" xr:uid="{00000000-0005-0000-0000-00009F020000}"/>
    <cellStyle name="Heading 2 17" xfId="677" xr:uid="{00000000-0005-0000-0000-0000A0020000}"/>
    <cellStyle name="Heading 2 18" xfId="678" xr:uid="{00000000-0005-0000-0000-0000A1020000}"/>
    <cellStyle name="Heading 2 19" xfId="679" xr:uid="{00000000-0005-0000-0000-0000A2020000}"/>
    <cellStyle name="Heading 2 2" xfId="680" xr:uid="{00000000-0005-0000-0000-0000A3020000}"/>
    <cellStyle name="Heading 2 20" xfId="681" xr:uid="{00000000-0005-0000-0000-0000A4020000}"/>
    <cellStyle name="Heading 2 21" xfId="682" xr:uid="{00000000-0005-0000-0000-0000A5020000}"/>
    <cellStyle name="Heading 2 22" xfId="683" xr:uid="{00000000-0005-0000-0000-0000A6020000}"/>
    <cellStyle name="Heading 2 23" xfId="684" xr:uid="{00000000-0005-0000-0000-0000A7020000}"/>
    <cellStyle name="Heading 2 3" xfId="685" xr:uid="{00000000-0005-0000-0000-0000A8020000}"/>
    <cellStyle name="Heading 2 4" xfId="686" xr:uid="{00000000-0005-0000-0000-0000A9020000}"/>
    <cellStyle name="Heading 2 5" xfId="687" xr:uid="{00000000-0005-0000-0000-0000AA020000}"/>
    <cellStyle name="Heading 2 6" xfId="688" xr:uid="{00000000-0005-0000-0000-0000AB020000}"/>
    <cellStyle name="Heading 2 7" xfId="689" xr:uid="{00000000-0005-0000-0000-0000AC020000}"/>
    <cellStyle name="Heading 2 8" xfId="690" xr:uid="{00000000-0005-0000-0000-0000AD020000}"/>
    <cellStyle name="Heading 2 9" xfId="691" xr:uid="{00000000-0005-0000-0000-0000AE020000}"/>
    <cellStyle name="Heading 3 10" xfId="692" xr:uid="{00000000-0005-0000-0000-0000AF020000}"/>
    <cellStyle name="Heading 3 11" xfId="693" xr:uid="{00000000-0005-0000-0000-0000B0020000}"/>
    <cellStyle name="Heading 3 12" xfId="694" xr:uid="{00000000-0005-0000-0000-0000B1020000}"/>
    <cellStyle name="Heading 3 13" xfId="695" xr:uid="{00000000-0005-0000-0000-0000B2020000}"/>
    <cellStyle name="Heading 3 14" xfId="696" xr:uid="{00000000-0005-0000-0000-0000B3020000}"/>
    <cellStyle name="Heading 3 15" xfId="697" xr:uid="{00000000-0005-0000-0000-0000B4020000}"/>
    <cellStyle name="Heading 3 16" xfId="698" xr:uid="{00000000-0005-0000-0000-0000B5020000}"/>
    <cellStyle name="Heading 3 17" xfId="699" xr:uid="{00000000-0005-0000-0000-0000B6020000}"/>
    <cellStyle name="Heading 3 18" xfId="700" xr:uid="{00000000-0005-0000-0000-0000B7020000}"/>
    <cellStyle name="Heading 3 19" xfId="701" xr:uid="{00000000-0005-0000-0000-0000B8020000}"/>
    <cellStyle name="Heading 3 2" xfId="702" xr:uid="{00000000-0005-0000-0000-0000B9020000}"/>
    <cellStyle name="Heading 3 20" xfId="703" xr:uid="{00000000-0005-0000-0000-0000BA020000}"/>
    <cellStyle name="Heading 3 21" xfId="704" xr:uid="{00000000-0005-0000-0000-0000BB020000}"/>
    <cellStyle name="Heading 3 22" xfId="705" xr:uid="{00000000-0005-0000-0000-0000BC020000}"/>
    <cellStyle name="Heading 3 23" xfId="706" xr:uid="{00000000-0005-0000-0000-0000BD020000}"/>
    <cellStyle name="Heading 3 3" xfId="707" xr:uid="{00000000-0005-0000-0000-0000BE020000}"/>
    <cellStyle name="Heading 3 4" xfId="708" xr:uid="{00000000-0005-0000-0000-0000BF020000}"/>
    <cellStyle name="Heading 3 5" xfId="709" xr:uid="{00000000-0005-0000-0000-0000C0020000}"/>
    <cellStyle name="Heading 3 6" xfId="710" xr:uid="{00000000-0005-0000-0000-0000C1020000}"/>
    <cellStyle name="Heading 3 7" xfId="711" xr:uid="{00000000-0005-0000-0000-0000C2020000}"/>
    <cellStyle name="Heading 3 8" xfId="712" xr:uid="{00000000-0005-0000-0000-0000C3020000}"/>
    <cellStyle name="Heading 3 9" xfId="713" xr:uid="{00000000-0005-0000-0000-0000C4020000}"/>
    <cellStyle name="Heading 4 10" xfId="714" xr:uid="{00000000-0005-0000-0000-0000C5020000}"/>
    <cellStyle name="Heading 4 11" xfId="715" xr:uid="{00000000-0005-0000-0000-0000C6020000}"/>
    <cellStyle name="Heading 4 12" xfId="716" xr:uid="{00000000-0005-0000-0000-0000C7020000}"/>
    <cellStyle name="Heading 4 13" xfId="717" xr:uid="{00000000-0005-0000-0000-0000C8020000}"/>
    <cellStyle name="Heading 4 14" xfId="718" xr:uid="{00000000-0005-0000-0000-0000C9020000}"/>
    <cellStyle name="Heading 4 15" xfId="719" xr:uid="{00000000-0005-0000-0000-0000CA020000}"/>
    <cellStyle name="Heading 4 16" xfId="720" xr:uid="{00000000-0005-0000-0000-0000CB020000}"/>
    <cellStyle name="Heading 4 17" xfId="721" xr:uid="{00000000-0005-0000-0000-0000CC020000}"/>
    <cellStyle name="Heading 4 18" xfId="722" xr:uid="{00000000-0005-0000-0000-0000CD020000}"/>
    <cellStyle name="Heading 4 19" xfId="723" xr:uid="{00000000-0005-0000-0000-0000CE020000}"/>
    <cellStyle name="Heading 4 2" xfId="724" xr:uid="{00000000-0005-0000-0000-0000CF020000}"/>
    <cellStyle name="Heading 4 20" xfId="725" xr:uid="{00000000-0005-0000-0000-0000D0020000}"/>
    <cellStyle name="Heading 4 21" xfId="726" xr:uid="{00000000-0005-0000-0000-0000D1020000}"/>
    <cellStyle name="Heading 4 22" xfId="727" xr:uid="{00000000-0005-0000-0000-0000D2020000}"/>
    <cellStyle name="Heading 4 23" xfId="728" xr:uid="{00000000-0005-0000-0000-0000D3020000}"/>
    <cellStyle name="Heading 4 3" xfId="729" xr:uid="{00000000-0005-0000-0000-0000D4020000}"/>
    <cellStyle name="Heading 4 4" xfId="730" xr:uid="{00000000-0005-0000-0000-0000D5020000}"/>
    <cellStyle name="Heading 4 5" xfId="731" xr:uid="{00000000-0005-0000-0000-0000D6020000}"/>
    <cellStyle name="Heading 4 6" xfId="732" xr:uid="{00000000-0005-0000-0000-0000D7020000}"/>
    <cellStyle name="Heading 4 7" xfId="733" xr:uid="{00000000-0005-0000-0000-0000D8020000}"/>
    <cellStyle name="Heading 4 8" xfId="734" xr:uid="{00000000-0005-0000-0000-0000D9020000}"/>
    <cellStyle name="Heading 4 9" xfId="735" xr:uid="{00000000-0005-0000-0000-0000DA020000}"/>
    <cellStyle name="Input 10" xfId="736" xr:uid="{00000000-0005-0000-0000-0000DB020000}"/>
    <cellStyle name="Input 11" xfId="737" xr:uid="{00000000-0005-0000-0000-0000DC020000}"/>
    <cellStyle name="Input 12" xfId="738" xr:uid="{00000000-0005-0000-0000-0000DD020000}"/>
    <cellStyle name="Input 13" xfId="739" xr:uid="{00000000-0005-0000-0000-0000DE020000}"/>
    <cellStyle name="Input 14" xfId="740" xr:uid="{00000000-0005-0000-0000-0000DF020000}"/>
    <cellStyle name="Input 15" xfId="741" xr:uid="{00000000-0005-0000-0000-0000E0020000}"/>
    <cellStyle name="Input 16" xfId="742" xr:uid="{00000000-0005-0000-0000-0000E1020000}"/>
    <cellStyle name="Input 17" xfId="743" xr:uid="{00000000-0005-0000-0000-0000E2020000}"/>
    <cellStyle name="Input 18" xfId="744" xr:uid="{00000000-0005-0000-0000-0000E3020000}"/>
    <cellStyle name="Input 19" xfId="745" xr:uid="{00000000-0005-0000-0000-0000E4020000}"/>
    <cellStyle name="Input 2" xfId="746" xr:uid="{00000000-0005-0000-0000-0000E5020000}"/>
    <cellStyle name="Input 20" xfId="747" xr:uid="{00000000-0005-0000-0000-0000E6020000}"/>
    <cellStyle name="Input 21" xfId="748" xr:uid="{00000000-0005-0000-0000-0000E7020000}"/>
    <cellStyle name="Input 22" xfId="749" xr:uid="{00000000-0005-0000-0000-0000E8020000}"/>
    <cellStyle name="Input 23" xfId="750" xr:uid="{00000000-0005-0000-0000-0000E9020000}"/>
    <cellStyle name="Input 3" xfId="751" xr:uid="{00000000-0005-0000-0000-0000EA020000}"/>
    <cellStyle name="Input 4" xfId="752" xr:uid="{00000000-0005-0000-0000-0000EB020000}"/>
    <cellStyle name="Input 5" xfId="753" xr:uid="{00000000-0005-0000-0000-0000EC020000}"/>
    <cellStyle name="Input 6" xfId="754" xr:uid="{00000000-0005-0000-0000-0000ED020000}"/>
    <cellStyle name="Input 7" xfId="755" xr:uid="{00000000-0005-0000-0000-0000EE020000}"/>
    <cellStyle name="Input 8" xfId="756" xr:uid="{00000000-0005-0000-0000-0000EF020000}"/>
    <cellStyle name="Input 9" xfId="757" xr:uid="{00000000-0005-0000-0000-0000F0020000}"/>
    <cellStyle name="Linked Cell 10" xfId="758" xr:uid="{00000000-0005-0000-0000-0000F1020000}"/>
    <cellStyle name="Linked Cell 11" xfId="759" xr:uid="{00000000-0005-0000-0000-0000F2020000}"/>
    <cellStyle name="Linked Cell 12" xfId="760" xr:uid="{00000000-0005-0000-0000-0000F3020000}"/>
    <cellStyle name="Linked Cell 13" xfId="761" xr:uid="{00000000-0005-0000-0000-0000F4020000}"/>
    <cellStyle name="Linked Cell 14" xfId="762" xr:uid="{00000000-0005-0000-0000-0000F5020000}"/>
    <cellStyle name="Linked Cell 15" xfId="763" xr:uid="{00000000-0005-0000-0000-0000F6020000}"/>
    <cellStyle name="Linked Cell 16" xfId="764" xr:uid="{00000000-0005-0000-0000-0000F7020000}"/>
    <cellStyle name="Linked Cell 17" xfId="765" xr:uid="{00000000-0005-0000-0000-0000F8020000}"/>
    <cellStyle name="Linked Cell 18" xfId="766" xr:uid="{00000000-0005-0000-0000-0000F9020000}"/>
    <cellStyle name="Linked Cell 19" xfId="767" xr:uid="{00000000-0005-0000-0000-0000FA020000}"/>
    <cellStyle name="Linked Cell 2" xfId="768" xr:uid="{00000000-0005-0000-0000-0000FB020000}"/>
    <cellStyle name="Linked Cell 20" xfId="769" xr:uid="{00000000-0005-0000-0000-0000FC020000}"/>
    <cellStyle name="Linked Cell 21" xfId="770" xr:uid="{00000000-0005-0000-0000-0000FD020000}"/>
    <cellStyle name="Linked Cell 22" xfId="771" xr:uid="{00000000-0005-0000-0000-0000FE020000}"/>
    <cellStyle name="Linked Cell 23" xfId="772" xr:uid="{00000000-0005-0000-0000-0000FF020000}"/>
    <cellStyle name="Linked Cell 3" xfId="773" xr:uid="{00000000-0005-0000-0000-000000030000}"/>
    <cellStyle name="Linked Cell 4" xfId="774" xr:uid="{00000000-0005-0000-0000-000001030000}"/>
    <cellStyle name="Linked Cell 5" xfId="775" xr:uid="{00000000-0005-0000-0000-000002030000}"/>
    <cellStyle name="Linked Cell 6" xfId="776" xr:uid="{00000000-0005-0000-0000-000003030000}"/>
    <cellStyle name="Linked Cell 7" xfId="777" xr:uid="{00000000-0005-0000-0000-000004030000}"/>
    <cellStyle name="Linked Cell 8" xfId="778" xr:uid="{00000000-0005-0000-0000-000005030000}"/>
    <cellStyle name="Linked Cell 9" xfId="779" xr:uid="{00000000-0005-0000-0000-000006030000}"/>
    <cellStyle name="MS_Arabic" xfId="780" xr:uid="{00000000-0005-0000-0000-000007030000}"/>
    <cellStyle name="Neutral 10" xfId="781" xr:uid="{00000000-0005-0000-0000-000008030000}"/>
    <cellStyle name="Neutral 11" xfId="782" xr:uid="{00000000-0005-0000-0000-000009030000}"/>
    <cellStyle name="Neutral 12" xfId="783" xr:uid="{00000000-0005-0000-0000-00000A030000}"/>
    <cellStyle name="Neutral 13" xfId="784" xr:uid="{00000000-0005-0000-0000-00000B030000}"/>
    <cellStyle name="Neutral 14" xfId="785" xr:uid="{00000000-0005-0000-0000-00000C030000}"/>
    <cellStyle name="Neutral 15" xfId="786" xr:uid="{00000000-0005-0000-0000-00000D030000}"/>
    <cellStyle name="Neutral 16" xfId="787" xr:uid="{00000000-0005-0000-0000-00000E030000}"/>
    <cellStyle name="Neutral 17" xfId="788" xr:uid="{00000000-0005-0000-0000-00000F030000}"/>
    <cellStyle name="Neutral 18" xfId="789" xr:uid="{00000000-0005-0000-0000-000010030000}"/>
    <cellStyle name="Neutral 19" xfId="790" xr:uid="{00000000-0005-0000-0000-000011030000}"/>
    <cellStyle name="Neutral 2" xfId="791" xr:uid="{00000000-0005-0000-0000-000012030000}"/>
    <cellStyle name="Neutral 20" xfId="792" xr:uid="{00000000-0005-0000-0000-000013030000}"/>
    <cellStyle name="Neutral 21" xfId="793" xr:uid="{00000000-0005-0000-0000-000014030000}"/>
    <cellStyle name="Neutral 22" xfId="794" xr:uid="{00000000-0005-0000-0000-000015030000}"/>
    <cellStyle name="Neutral 23" xfId="795" xr:uid="{00000000-0005-0000-0000-000016030000}"/>
    <cellStyle name="Neutral 3" xfId="796" xr:uid="{00000000-0005-0000-0000-000017030000}"/>
    <cellStyle name="Neutral 4" xfId="797" xr:uid="{00000000-0005-0000-0000-000018030000}"/>
    <cellStyle name="Neutral 5" xfId="798" xr:uid="{00000000-0005-0000-0000-000019030000}"/>
    <cellStyle name="Neutral 6" xfId="799" xr:uid="{00000000-0005-0000-0000-00001A030000}"/>
    <cellStyle name="Neutral 7" xfId="800" xr:uid="{00000000-0005-0000-0000-00001B030000}"/>
    <cellStyle name="Neutral 8" xfId="801" xr:uid="{00000000-0005-0000-0000-00001C030000}"/>
    <cellStyle name="Neutral 9" xfId="802" xr:uid="{00000000-0005-0000-0000-00001D030000}"/>
    <cellStyle name="Normal" xfId="0" builtinId="0"/>
    <cellStyle name="Normal 10" xfId="803" xr:uid="{00000000-0005-0000-0000-00001F030000}"/>
    <cellStyle name="Normal 10 2" xfId="804" xr:uid="{00000000-0005-0000-0000-000020030000}"/>
    <cellStyle name="Normal 11" xfId="805" xr:uid="{00000000-0005-0000-0000-000021030000}"/>
    <cellStyle name="Normal 12" xfId="1003" xr:uid="{00000000-0005-0000-0000-000022030000}"/>
    <cellStyle name="Normal 13" xfId="806" xr:uid="{00000000-0005-0000-0000-000023030000}"/>
    <cellStyle name="Normal 13 2" xfId="807" xr:uid="{00000000-0005-0000-0000-000024030000}"/>
    <cellStyle name="Normal 14" xfId="808" xr:uid="{00000000-0005-0000-0000-000025030000}"/>
    <cellStyle name="Normal 14 2" xfId="809" xr:uid="{00000000-0005-0000-0000-000026030000}"/>
    <cellStyle name="Normal 14 2 2" xfId="810" xr:uid="{00000000-0005-0000-0000-000027030000}"/>
    <cellStyle name="Normal 15" xfId="811" xr:uid="{00000000-0005-0000-0000-000028030000}"/>
    <cellStyle name="Normal 15 2" xfId="812" xr:uid="{00000000-0005-0000-0000-000029030000}"/>
    <cellStyle name="Normal 15 2 2" xfId="813" xr:uid="{00000000-0005-0000-0000-00002A030000}"/>
    <cellStyle name="Normal 16" xfId="814" xr:uid="{00000000-0005-0000-0000-00002B030000}"/>
    <cellStyle name="Normal 16 2" xfId="815" xr:uid="{00000000-0005-0000-0000-00002C030000}"/>
    <cellStyle name="Normal 16 2 2" xfId="816" xr:uid="{00000000-0005-0000-0000-00002D030000}"/>
    <cellStyle name="Normal 18" xfId="817" xr:uid="{00000000-0005-0000-0000-00002E030000}"/>
    <cellStyle name="Normal 18 2" xfId="818" xr:uid="{00000000-0005-0000-0000-00002F030000}"/>
    <cellStyle name="Normal 19" xfId="819" xr:uid="{00000000-0005-0000-0000-000030030000}"/>
    <cellStyle name="Normal 19 2" xfId="820" xr:uid="{00000000-0005-0000-0000-000031030000}"/>
    <cellStyle name="Normal 19 2 2" xfId="821" xr:uid="{00000000-0005-0000-0000-000032030000}"/>
    <cellStyle name="Normal 2" xfId="2" xr:uid="{00000000-0005-0000-0000-000033030000}"/>
    <cellStyle name="Normal 2 2" xfId="822" xr:uid="{00000000-0005-0000-0000-000034030000}"/>
    <cellStyle name="Normal 2 2 2" xfId="823" xr:uid="{00000000-0005-0000-0000-000035030000}"/>
    <cellStyle name="Normal 2 3" xfId="824" xr:uid="{00000000-0005-0000-0000-000036030000}"/>
    <cellStyle name="Normal 2 3 2" xfId="825" xr:uid="{00000000-0005-0000-0000-000037030000}"/>
    <cellStyle name="Normal 20" xfId="826" xr:uid="{00000000-0005-0000-0000-000038030000}"/>
    <cellStyle name="Normal 20 2" xfId="827" xr:uid="{00000000-0005-0000-0000-000039030000}"/>
    <cellStyle name="Normal 20 2 2" xfId="828" xr:uid="{00000000-0005-0000-0000-00003A030000}"/>
    <cellStyle name="Normal 22" xfId="829" xr:uid="{00000000-0005-0000-0000-00003B030000}"/>
    <cellStyle name="Normal 22 2" xfId="830" xr:uid="{00000000-0005-0000-0000-00003C030000}"/>
    <cellStyle name="Normal 22 2 2" xfId="831" xr:uid="{00000000-0005-0000-0000-00003D030000}"/>
    <cellStyle name="Normal 22 3" xfId="832" xr:uid="{00000000-0005-0000-0000-00003E030000}"/>
    <cellStyle name="Normal 22 3 2" xfId="833" xr:uid="{00000000-0005-0000-0000-00003F030000}"/>
    <cellStyle name="Normal 23" xfId="834" xr:uid="{00000000-0005-0000-0000-000040030000}"/>
    <cellStyle name="Normal 23 2" xfId="835" xr:uid="{00000000-0005-0000-0000-000041030000}"/>
    <cellStyle name="Normal 3" xfId="4" xr:uid="{00000000-0005-0000-0000-000042030000}"/>
    <cellStyle name="Normal 3 2" xfId="836" xr:uid="{00000000-0005-0000-0000-000043030000}"/>
    <cellStyle name="Normal 3 3" xfId="1004" xr:uid="{00000000-0005-0000-0000-000044030000}"/>
    <cellStyle name="Normal 4" xfId="837" xr:uid="{00000000-0005-0000-0000-000045030000}"/>
    <cellStyle name="Normal 5" xfId="838" xr:uid="{00000000-0005-0000-0000-000046030000}"/>
    <cellStyle name="Normal 5 2" xfId="839" xr:uid="{00000000-0005-0000-0000-000047030000}"/>
    <cellStyle name="Normal 6" xfId="840" xr:uid="{00000000-0005-0000-0000-000048030000}"/>
    <cellStyle name="Normal 6 2" xfId="841" xr:uid="{00000000-0005-0000-0000-000049030000}"/>
    <cellStyle name="Normal 7" xfId="842" xr:uid="{00000000-0005-0000-0000-00004A030000}"/>
    <cellStyle name="Normal 8" xfId="843" xr:uid="{00000000-0005-0000-0000-00004B030000}"/>
    <cellStyle name="Normal 9" xfId="844" xr:uid="{00000000-0005-0000-0000-00004C030000}"/>
    <cellStyle name="Normal 9 2" xfId="845" xr:uid="{00000000-0005-0000-0000-00004D030000}"/>
    <cellStyle name="Normal 9 2 2" xfId="846" xr:uid="{00000000-0005-0000-0000-00004E030000}"/>
    <cellStyle name="Normal_BOP_11_14-19_21" xfId="1" xr:uid="{00000000-0005-0000-0000-00004F030000}"/>
    <cellStyle name="Normal_BOP_11_14-19_21 2" xfId="3" xr:uid="{00000000-0005-0000-0000-000050030000}"/>
    <cellStyle name="Note 10" xfId="847" xr:uid="{00000000-0005-0000-0000-000051030000}"/>
    <cellStyle name="Note 10 2" xfId="848" xr:uid="{00000000-0005-0000-0000-000052030000}"/>
    <cellStyle name="Note 11" xfId="849" xr:uid="{00000000-0005-0000-0000-000053030000}"/>
    <cellStyle name="Note 11 2" xfId="850" xr:uid="{00000000-0005-0000-0000-000054030000}"/>
    <cellStyle name="Note 12" xfId="851" xr:uid="{00000000-0005-0000-0000-000055030000}"/>
    <cellStyle name="Note 12 2" xfId="852" xr:uid="{00000000-0005-0000-0000-000056030000}"/>
    <cellStyle name="Note 13" xfId="853" xr:uid="{00000000-0005-0000-0000-000057030000}"/>
    <cellStyle name="Note 13 2" xfId="854" xr:uid="{00000000-0005-0000-0000-000058030000}"/>
    <cellStyle name="Note 14" xfId="855" xr:uid="{00000000-0005-0000-0000-000059030000}"/>
    <cellStyle name="Note 14 2" xfId="856" xr:uid="{00000000-0005-0000-0000-00005A030000}"/>
    <cellStyle name="Note 15" xfId="857" xr:uid="{00000000-0005-0000-0000-00005B030000}"/>
    <cellStyle name="Note 15 2" xfId="858" xr:uid="{00000000-0005-0000-0000-00005C030000}"/>
    <cellStyle name="Note 16" xfId="859" xr:uid="{00000000-0005-0000-0000-00005D030000}"/>
    <cellStyle name="Note 16 2" xfId="860" xr:uid="{00000000-0005-0000-0000-00005E030000}"/>
    <cellStyle name="Note 17" xfId="861" xr:uid="{00000000-0005-0000-0000-00005F030000}"/>
    <cellStyle name="Note 17 2" xfId="862" xr:uid="{00000000-0005-0000-0000-000060030000}"/>
    <cellStyle name="Note 18" xfId="863" xr:uid="{00000000-0005-0000-0000-000061030000}"/>
    <cellStyle name="Note 18 2" xfId="864" xr:uid="{00000000-0005-0000-0000-000062030000}"/>
    <cellStyle name="Note 19" xfId="865" xr:uid="{00000000-0005-0000-0000-000063030000}"/>
    <cellStyle name="Note 19 2" xfId="866" xr:uid="{00000000-0005-0000-0000-000064030000}"/>
    <cellStyle name="Note 2" xfId="867" xr:uid="{00000000-0005-0000-0000-000065030000}"/>
    <cellStyle name="Note 2 2" xfId="868" xr:uid="{00000000-0005-0000-0000-000066030000}"/>
    <cellStyle name="Note 20" xfId="869" xr:uid="{00000000-0005-0000-0000-000067030000}"/>
    <cellStyle name="Note 20 2" xfId="870" xr:uid="{00000000-0005-0000-0000-000068030000}"/>
    <cellStyle name="Note 21" xfId="871" xr:uid="{00000000-0005-0000-0000-000069030000}"/>
    <cellStyle name="Note 21 2" xfId="872" xr:uid="{00000000-0005-0000-0000-00006A030000}"/>
    <cellStyle name="Note 22" xfId="873" xr:uid="{00000000-0005-0000-0000-00006B030000}"/>
    <cellStyle name="Note 22 2" xfId="874" xr:uid="{00000000-0005-0000-0000-00006C030000}"/>
    <cellStyle name="Note 23" xfId="875" xr:uid="{00000000-0005-0000-0000-00006D030000}"/>
    <cellStyle name="Note 23 2" xfId="876" xr:uid="{00000000-0005-0000-0000-00006E030000}"/>
    <cellStyle name="Note 3" xfId="877" xr:uid="{00000000-0005-0000-0000-00006F030000}"/>
    <cellStyle name="Note 3 2" xfId="878" xr:uid="{00000000-0005-0000-0000-000070030000}"/>
    <cellStyle name="Note 4" xfId="879" xr:uid="{00000000-0005-0000-0000-000071030000}"/>
    <cellStyle name="Note 4 2" xfId="880" xr:uid="{00000000-0005-0000-0000-000072030000}"/>
    <cellStyle name="Note 5" xfId="881" xr:uid="{00000000-0005-0000-0000-000073030000}"/>
    <cellStyle name="Note 5 2" xfId="882" xr:uid="{00000000-0005-0000-0000-000074030000}"/>
    <cellStyle name="Note 6" xfId="883" xr:uid="{00000000-0005-0000-0000-000075030000}"/>
    <cellStyle name="Note 6 2" xfId="884" xr:uid="{00000000-0005-0000-0000-000076030000}"/>
    <cellStyle name="Note 7" xfId="885" xr:uid="{00000000-0005-0000-0000-000077030000}"/>
    <cellStyle name="Note 7 2" xfId="886" xr:uid="{00000000-0005-0000-0000-000078030000}"/>
    <cellStyle name="Note 8" xfId="887" xr:uid="{00000000-0005-0000-0000-000079030000}"/>
    <cellStyle name="Note 8 2" xfId="888" xr:uid="{00000000-0005-0000-0000-00007A030000}"/>
    <cellStyle name="Note 9" xfId="889" xr:uid="{00000000-0005-0000-0000-00007B030000}"/>
    <cellStyle name="Note 9 2" xfId="890" xr:uid="{00000000-0005-0000-0000-00007C030000}"/>
    <cellStyle name="Output 10" xfId="891" xr:uid="{00000000-0005-0000-0000-00007D030000}"/>
    <cellStyle name="Output 11" xfId="892" xr:uid="{00000000-0005-0000-0000-00007E030000}"/>
    <cellStyle name="Output 12" xfId="893" xr:uid="{00000000-0005-0000-0000-00007F030000}"/>
    <cellStyle name="Output 13" xfId="894" xr:uid="{00000000-0005-0000-0000-000080030000}"/>
    <cellStyle name="Output 14" xfId="895" xr:uid="{00000000-0005-0000-0000-000081030000}"/>
    <cellStyle name="Output 15" xfId="896" xr:uid="{00000000-0005-0000-0000-000082030000}"/>
    <cellStyle name="Output 16" xfId="897" xr:uid="{00000000-0005-0000-0000-000083030000}"/>
    <cellStyle name="Output 17" xfId="898" xr:uid="{00000000-0005-0000-0000-000084030000}"/>
    <cellStyle name="Output 18" xfId="899" xr:uid="{00000000-0005-0000-0000-000085030000}"/>
    <cellStyle name="Output 19" xfId="900" xr:uid="{00000000-0005-0000-0000-000086030000}"/>
    <cellStyle name="Output 2" xfId="901" xr:uid="{00000000-0005-0000-0000-000087030000}"/>
    <cellStyle name="Output 20" xfId="902" xr:uid="{00000000-0005-0000-0000-000088030000}"/>
    <cellStyle name="Output 21" xfId="903" xr:uid="{00000000-0005-0000-0000-000089030000}"/>
    <cellStyle name="Output 22" xfId="904" xr:uid="{00000000-0005-0000-0000-00008A030000}"/>
    <cellStyle name="Output 23" xfId="905" xr:uid="{00000000-0005-0000-0000-00008B030000}"/>
    <cellStyle name="Output 3" xfId="906" xr:uid="{00000000-0005-0000-0000-00008C030000}"/>
    <cellStyle name="Output 4" xfId="907" xr:uid="{00000000-0005-0000-0000-00008D030000}"/>
    <cellStyle name="Output 5" xfId="908" xr:uid="{00000000-0005-0000-0000-00008E030000}"/>
    <cellStyle name="Output 6" xfId="909" xr:uid="{00000000-0005-0000-0000-00008F030000}"/>
    <cellStyle name="Output 7" xfId="910" xr:uid="{00000000-0005-0000-0000-000090030000}"/>
    <cellStyle name="Output 8" xfId="911" xr:uid="{00000000-0005-0000-0000-000091030000}"/>
    <cellStyle name="Output 9" xfId="912" xr:uid="{00000000-0005-0000-0000-000092030000}"/>
    <cellStyle name="Percent 2" xfId="913" xr:uid="{00000000-0005-0000-0000-000093030000}"/>
    <cellStyle name="Percent 3" xfId="914" xr:uid="{00000000-0005-0000-0000-000094030000}"/>
    <cellStyle name="Percent 4" xfId="915" xr:uid="{00000000-0005-0000-0000-000095030000}"/>
    <cellStyle name="Spelling 1033,0" xfId="916" xr:uid="{00000000-0005-0000-0000-000096030000}"/>
    <cellStyle name="Spelling 1033,0 2" xfId="917" xr:uid="{00000000-0005-0000-0000-000097030000}"/>
    <cellStyle name="Spelling 1033,0 2 2" xfId="918" xr:uid="{00000000-0005-0000-0000-000098030000}"/>
    <cellStyle name="Spelling 1033,0 3" xfId="919" xr:uid="{00000000-0005-0000-0000-000099030000}"/>
    <cellStyle name="Spelling 1033,0 3 2" xfId="920" xr:uid="{00000000-0005-0000-0000-00009A030000}"/>
    <cellStyle name="Spelling 1033,0 4" xfId="921" xr:uid="{00000000-0005-0000-0000-00009B030000}"/>
    <cellStyle name="Spelling 1033,0 4 2" xfId="922" xr:uid="{00000000-0005-0000-0000-00009C030000}"/>
    <cellStyle name="Spelling 1033,0 5" xfId="923" xr:uid="{00000000-0005-0000-0000-00009D030000}"/>
    <cellStyle name="Spelling 1033,0 5 2" xfId="924" xr:uid="{00000000-0005-0000-0000-00009E030000}"/>
    <cellStyle name="Spelling 1033,0 6" xfId="925" xr:uid="{00000000-0005-0000-0000-00009F030000}"/>
    <cellStyle name="Spelling 1033,0 6 2" xfId="926" xr:uid="{00000000-0005-0000-0000-0000A0030000}"/>
    <cellStyle name="Spelling 1033,0 7" xfId="927" xr:uid="{00000000-0005-0000-0000-0000A1030000}"/>
    <cellStyle name="Spelling 1033,0_T12" xfId="928" xr:uid="{00000000-0005-0000-0000-0000A2030000}"/>
    <cellStyle name="Style 1" xfId="929" xr:uid="{00000000-0005-0000-0000-0000A3030000}"/>
    <cellStyle name="Style 1 2" xfId="930" xr:uid="{00000000-0005-0000-0000-0000A4030000}"/>
    <cellStyle name="Title 10" xfId="931" xr:uid="{00000000-0005-0000-0000-0000A5030000}"/>
    <cellStyle name="Title 11" xfId="932" xr:uid="{00000000-0005-0000-0000-0000A6030000}"/>
    <cellStyle name="Title 12" xfId="933" xr:uid="{00000000-0005-0000-0000-0000A7030000}"/>
    <cellStyle name="Title 13" xfId="934" xr:uid="{00000000-0005-0000-0000-0000A8030000}"/>
    <cellStyle name="Title 14" xfId="935" xr:uid="{00000000-0005-0000-0000-0000A9030000}"/>
    <cellStyle name="Title 15" xfId="936" xr:uid="{00000000-0005-0000-0000-0000AA030000}"/>
    <cellStyle name="Title 16" xfId="937" xr:uid="{00000000-0005-0000-0000-0000AB030000}"/>
    <cellStyle name="Title 17" xfId="938" xr:uid="{00000000-0005-0000-0000-0000AC030000}"/>
    <cellStyle name="Title 18" xfId="939" xr:uid="{00000000-0005-0000-0000-0000AD030000}"/>
    <cellStyle name="Title 19" xfId="940" xr:uid="{00000000-0005-0000-0000-0000AE030000}"/>
    <cellStyle name="Title 2" xfId="941" xr:uid="{00000000-0005-0000-0000-0000AF030000}"/>
    <cellStyle name="Title 20" xfId="942" xr:uid="{00000000-0005-0000-0000-0000B0030000}"/>
    <cellStyle name="Title 21" xfId="943" xr:uid="{00000000-0005-0000-0000-0000B1030000}"/>
    <cellStyle name="Title 22" xfId="944" xr:uid="{00000000-0005-0000-0000-0000B2030000}"/>
    <cellStyle name="Title 23" xfId="945" xr:uid="{00000000-0005-0000-0000-0000B3030000}"/>
    <cellStyle name="Title 3" xfId="946" xr:uid="{00000000-0005-0000-0000-0000B4030000}"/>
    <cellStyle name="Title 4" xfId="947" xr:uid="{00000000-0005-0000-0000-0000B5030000}"/>
    <cellStyle name="Title 5" xfId="948" xr:uid="{00000000-0005-0000-0000-0000B6030000}"/>
    <cellStyle name="Title 6" xfId="949" xr:uid="{00000000-0005-0000-0000-0000B7030000}"/>
    <cellStyle name="Title 7" xfId="950" xr:uid="{00000000-0005-0000-0000-0000B8030000}"/>
    <cellStyle name="Title 8" xfId="951" xr:uid="{00000000-0005-0000-0000-0000B9030000}"/>
    <cellStyle name="Title 9" xfId="952" xr:uid="{00000000-0005-0000-0000-0000BA030000}"/>
    <cellStyle name="Total 10" xfId="953" xr:uid="{00000000-0005-0000-0000-0000BB030000}"/>
    <cellStyle name="Total 11" xfId="954" xr:uid="{00000000-0005-0000-0000-0000BC030000}"/>
    <cellStyle name="Total 12" xfId="955" xr:uid="{00000000-0005-0000-0000-0000BD030000}"/>
    <cellStyle name="Total 13" xfId="956" xr:uid="{00000000-0005-0000-0000-0000BE030000}"/>
    <cellStyle name="Total 14" xfId="957" xr:uid="{00000000-0005-0000-0000-0000BF030000}"/>
    <cellStyle name="Total 15" xfId="958" xr:uid="{00000000-0005-0000-0000-0000C0030000}"/>
    <cellStyle name="Total 16" xfId="959" xr:uid="{00000000-0005-0000-0000-0000C1030000}"/>
    <cellStyle name="Total 17" xfId="960" xr:uid="{00000000-0005-0000-0000-0000C2030000}"/>
    <cellStyle name="Total 18" xfId="961" xr:uid="{00000000-0005-0000-0000-0000C3030000}"/>
    <cellStyle name="Total 19" xfId="962" xr:uid="{00000000-0005-0000-0000-0000C4030000}"/>
    <cellStyle name="Total 2" xfId="963" xr:uid="{00000000-0005-0000-0000-0000C5030000}"/>
    <cellStyle name="Total 20" xfId="964" xr:uid="{00000000-0005-0000-0000-0000C6030000}"/>
    <cellStyle name="Total 21" xfId="965" xr:uid="{00000000-0005-0000-0000-0000C7030000}"/>
    <cellStyle name="Total 22" xfId="966" xr:uid="{00000000-0005-0000-0000-0000C8030000}"/>
    <cellStyle name="Total 23" xfId="967" xr:uid="{00000000-0005-0000-0000-0000C9030000}"/>
    <cellStyle name="Total 3" xfId="968" xr:uid="{00000000-0005-0000-0000-0000CA030000}"/>
    <cellStyle name="Total 4" xfId="969" xr:uid="{00000000-0005-0000-0000-0000CB030000}"/>
    <cellStyle name="Total 5" xfId="970" xr:uid="{00000000-0005-0000-0000-0000CC030000}"/>
    <cellStyle name="Total 6" xfId="971" xr:uid="{00000000-0005-0000-0000-0000CD030000}"/>
    <cellStyle name="Total 7" xfId="972" xr:uid="{00000000-0005-0000-0000-0000CE030000}"/>
    <cellStyle name="Total 8" xfId="973" xr:uid="{00000000-0005-0000-0000-0000CF030000}"/>
    <cellStyle name="Total 9" xfId="974" xr:uid="{00000000-0005-0000-0000-0000D0030000}"/>
    <cellStyle name="Warning Text 10" xfId="975" xr:uid="{00000000-0005-0000-0000-0000D1030000}"/>
    <cellStyle name="Warning Text 11" xfId="976" xr:uid="{00000000-0005-0000-0000-0000D2030000}"/>
    <cellStyle name="Warning Text 12" xfId="977" xr:uid="{00000000-0005-0000-0000-0000D3030000}"/>
    <cellStyle name="Warning Text 13" xfId="978" xr:uid="{00000000-0005-0000-0000-0000D4030000}"/>
    <cellStyle name="Warning Text 14" xfId="979" xr:uid="{00000000-0005-0000-0000-0000D5030000}"/>
    <cellStyle name="Warning Text 15" xfId="980" xr:uid="{00000000-0005-0000-0000-0000D6030000}"/>
    <cellStyle name="Warning Text 16" xfId="981" xr:uid="{00000000-0005-0000-0000-0000D7030000}"/>
    <cellStyle name="Warning Text 17" xfId="982" xr:uid="{00000000-0005-0000-0000-0000D8030000}"/>
    <cellStyle name="Warning Text 18" xfId="983" xr:uid="{00000000-0005-0000-0000-0000D9030000}"/>
    <cellStyle name="Warning Text 19" xfId="984" xr:uid="{00000000-0005-0000-0000-0000DA030000}"/>
    <cellStyle name="Warning Text 2" xfId="985" xr:uid="{00000000-0005-0000-0000-0000DB030000}"/>
    <cellStyle name="Warning Text 20" xfId="986" xr:uid="{00000000-0005-0000-0000-0000DC030000}"/>
    <cellStyle name="Warning Text 21" xfId="987" xr:uid="{00000000-0005-0000-0000-0000DD030000}"/>
    <cellStyle name="Warning Text 22" xfId="988" xr:uid="{00000000-0005-0000-0000-0000DE030000}"/>
    <cellStyle name="Warning Text 23" xfId="989" xr:uid="{00000000-0005-0000-0000-0000DF030000}"/>
    <cellStyle name="Warning Text 3" xfId="990" xr:uid="{00000000-0005-0000-0000-0000E0030000}"/>
    <cellStyle name="Warning Text 4" xfId="991" xr:uid="{00000000-0005-0000-0000-0000E1030000}"/>
    <cellStyle name="Warning Text 5" xfId="992" xr:uid="{00000000-0005-0000-0000-0000E2030000}"/>
    <cellStyle name="Warning Text 6" xfId="993" xr:uid="{00000000-0005-0000-0000-0000E3030000}"/>
    <cellStyle name="Warning Text 7" xfId="994" xr:uid="{00000000-0005-0000-0000-0000E4030000}"/>
    <cellStyle name="Warning Text 8" xfId="995" xr:uid="{00000000-0005-0000-0000-0000E5030000}"/>
    <cellStyle name="Warning Text 9" xfId="996" xr:uid="{00000000-0005-0000-0000-0000E6030000}"/>
    <cellStyle name="ارتباط تشعبي متبع_قطاعات" xfId="997" xr:uid="{00000000-0005-0000-0000-0000E7030000}"/>
    <cellStyle name="عادي_artim" xfId="998" xr:uid="{00000000-0005-0000-0000-0000E8030000}"/>
    <cellStyle name="عملة [0]_Book1" xfId="999" xr:uid="{00000000-0005-0000-0000-0000E9030000}"/>
    <cellStyle name="عملة_Book1" xfId="1000" xr:uid="{00000000-0005-0000-0000-0000EA030000}"/>
    <cellStyle name="فاصلة [0]_Book1" xfId="1001" xr:uid="{00000000-0005-0000-0000-0000EB030000}"/>
    <cellStyle name="فاصلة_Book1" xfId="1002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opLeftCell="A4" workbookViewId="0">
      <selection activeCell="A17" sqref="A17"/>
    </sheetView>
  </sheetViews>
  <sheetFormatPr defaultRowHeight="12.75"/>
  <cols>
    <col min="1" max="1" width="28.85546875" bestFit="1" customWidth="1"/>
    <col min="2" max="2" width="47.57031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2"/>
      <c r="H4" s="13"/>
      <c r="I4" s="13"/>
      <c r="J4" s="13"/>
    </row>
    <row r="5" spans="1:10" ht="22.5" customHeight="1">
      <c r="A5" s="82"/>
      <c r="B5" s="82"/>
      <c r="C5" s="84" t="s">
        <v>8</v>
      </c>
      <c r="D5" s="84" t="s">
        <v>9</v>
      </c>
      <c r="E5" s="84" t="s">
        <v>10</v>
      </c>
      <c r="F5" s="84" t="s">
        <v>11</v>
      </c>
    </row>
    <row r="6" spans="1:10" ht="14.25" customHeight="1">
      <c r="A6" s="83"/>
      <c r="B6" s="83"/>
      <c r="C6" s="85"/>
      <c r="D6" s="85"/>
      <c r="E6" s="85"/>
      <c r="F6" s="85"/>
    </row>
    <row r="7" spans="1:10" ht="22.5">
      <c r="A7" s="24" t="s">
        <v>12</v>
      </c>
      <c r="B7" s="25" t="s">
        <v>13</v>
      </c>
      <c r="C7" s="15">
        <v>4031</v>
      </c>
      <c r="D7" s="15">
        <v>4544.5</v>
      </c>
      <c r="E7" s="15">
        <v>4884.8999999999996</v>
      </c>
      <c r="F7" s="15">
        <v>4994.7</v>
      </c>
    </row>
    <row r="8" spans="1:10" ht="22.5">
      <c r="A8" s="26" t="s">
        <v>14</v>
      </c>
      <c r="B8" s="27" t="s">
        <v>15</v>
      </c>
      <c r="C8" s="16">
        <v>1445.5</v>
      </c>
      <c r="D8" s="16">
        <v>1766.5</v>
      </c>
      <c r="E8" s="16">
        <v>2043.3</v>
      </c>
      <c r="F8" s="16">
        <v>1692.7</v>
      </c>
    </row>
    <row r="9" spans="1:10" ht="22.5">
      <c r="A9" s="26" t="s">
        <v>16</v>
      </c>
      <c r="B9" s="27" t="s">
        <v>17</v>
      </c>
      <c r="C9" s="16">
        <v>279.60000000000002</v>
      </c>
      <c r="D9" s="16">
        <v>188.1</v>
      </c>
      <c r="E9" s="16">
        <v>235.4</v>
      </c>
      <c r="F9" s="16">
        <v>261.39999999999998</v>
      </c>
    </row>
    <row r="10" spans="1:10" ht="22.5">
      <c r="A10" s="26" t="s">
        <v>18</v>
      </c>
      <c r="B10" s="27" t="s">
        <v>19</v>
      </c>
      <c r="C10" s="16">
        <v>12.1</v>
      </c>
      <c r="D10" s="16">
        <v>14</v>
      </c>
      <c r="E10" s="16">
        <v>18.5</v>
      </c>
      <c r="F10" s="16">
        <v>24.1</v>
      </c>
    </row>
    <row r="11" spans="1:10" ht="22.5">
      <c r="A11" s="26" t="s">
        <v>20</v>
      </c>
      <c r="B11" s="27" t="s">
        <v>21</v>
      </c>
      <c r="C11" s="16">
        <v>1236.8</v>
      </c>
      <c r="D11" s="16">
        <v>1446.9</v>
      </c>
      <c r="E11" s="16">
        <v>1393.7</v>
      </c>
      <c r="F11" s="16">
        <v>1566.9</v>
      </c>
    </row>
    <row r="12" spans="1:10" ht="22.5">
      <c r="A12" s="26" t="s">
        <v>22</v>
      </c>
      <c r="B12" s="28" t="s">
        <v>23</v>
      </c>
      <c r="C12" s="16">
        <v>448.6</v>
      </c>
      <c r="D12" s="16">
        <v>569.4</v>
      </c>
      <c r="E12" s="16">
        <v>511.6</v>
      </c>
      <c r="F12" s="16">
        <v>595.6</v>
      </c>
    </row>
    <row r="13" spans="1:10" ht="22.5">
      <c r="A13" s="26" t="s">
        <v>24</v>
      </c>
      <c r="B13" s="29" t="s">
        <v>25</v>
      </c>
      <c r="C13" s="16">
        <v>441.6</v>
      </c>
      <c r="D13" s="16">
        <v>408</v>
      </c>
      <c r="E13" s="16">
        <v>545.5</v>
      </c>
      <c r="F13" s="16">
        <v>698.9</v>
      </c>
    </row>
    <row r="14" spans="1:10" ht="22.5">
      <c r="A14" s="26" t="s">
        <v>26</v>
      </c>
      <c r="B14" s="30" t="s">
        <v>27</v>
      </c>
      <c r="C14" s="16">
        <v>64</v>
      </c>
      <c r="D14" s="16">
        <v>50.9</v>
      </c>
      <c r="E14" s="16">
        <v>78.8</v>
      </c>
      <c r="F14" s="16">
        <v>57.6</v>
      </c>
    </row>
    <row r="15" spans="1:10" ht="22.5">
      <c r="A15" s="26" t="s">
        <v>28</v>
      </c>
      <c r="B15" s="29" t="s">
        <v>29</v>
      </c>
      <c r="C15" s="16">
        <v>1</v>
      </c>
      <c r="D15" s="16">
        <v>2.1</v>
      </c>
      <c r="E15" s="16">
        <v>11.3</v>
      </c>
      <c r="F15" s="16">
        <v>2.5</v>
      </c>
    </row>
    <row r="16" spans="1:10" ht="22.5">
      <c r="A16" s="31" t="s">
        <v>30</v>
      </c>
      <c r="B16" s="32" t="s">
        <v>31</v>
      </c>
      <c r="C16" s="17">
        <v>101.8</v>
      </c>
      <c r="D16" s="17">
        <v>98.6</v>
      </c>
      <c r="E16" s="17">
        <v>46.8</v>
      </c>
      <c r="F16" s="17">
        <v>95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B4:B6"/>
    <mergeCell ref="C5:C6"/>
    <mergeCell ref="D5:D6"/>
    <mergeCell ref="E5:E6"/>
    <mergeCell ref="F5:F6"/>
    <mergeCell ref="A4:A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4" workbookViewId="0">
      <selection activeCell="A17" sqref="A17"/>
    </sheetView>
  </sheetViews>
  <sheetFormatPr defaultRowHeight="12.75"/>
  <cols>
    <col min="1" max="1" width="28.85546875" bestFit="1" customWidth="1"/>
    <col min="2" max="2" width="47.140625" bestFit="1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33</v>
      </c>
      <c r="D5" s="84" t="s">
        <v>34</v>
      </c>
      <c r="E5" s="84" t="s">
        <v>35</v>
      </c>
      <c r="F5" s="84" t="s">
        <v>36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ht="22.5">
      <c r="A7" s="24" t="s">
        <v>12</v>
      </c>
      <c r="B7" s="25" t="s">
        <v>13</v>
      </c>
      <c r="C7" s="15">
        <v>5410.8</v>
      </c>
      <c r="D7" s="15">
        <v>5255.2</v>
      </c>
      <c r="E7" s="15">
        <v>5232.5</v>
      </c>
      <c r="F7" s="15">
        <v>6119</v>
      </c>
    </row>
    <row r="8" spans="1:10" ht="22.5">
      <c r="A8" s="26" t="s">
        <v>14</v>
      </c>
      <c r="B8" s="27" t="s">
        <v>15</v>
      </c>
      <c r="C8" s="16">
        <v>1912</v>
      </c>
      <c r="D8" s="16">
        <v>1872.5</v>
      </c>
      <c r="E8" s="16">
        <v>1721.5</v>
      </c>
      <c r="F8" s="16">
        <v>1934.6</v>
      </c>
    </row>
    <row r="9" spans="1:10" ht="22.5">
      <c r="A9" s="26" t="s">
        <v>16</v>
      </c>
      <c r="B9" s="27" t="s">
        <v>17</v>
      </c>
      <c r="C9" s="16">
        <v>273.10000000000002</v>
      </c>
      <c r="D9" s="16">
        <v>231.5</v>
      </c>
      <c r="E9" s="16">
        <v>246.4</v>
      </c>
      <c r="F9" s="16">
        <v>297.60000000000002</v>
      </c>
    </row>
    <row r="10" spans="1:10" ht="22.5">
      <c r="A10" s="26" t="s">
        <v>18</v>
      </c>
      <c r="B10" s="27" t="s">
        <v>19</v>
      </c>
      <c r="C10" s="16">
        <v>21.3</v>
      </c>
      <c r="D10" s="16">
        <v>36.4</v>
      </c>
      <c r="E10" s="16">
        <v>42.4</v>
      </c>
      <c r="F10" s="16">
        <v>51.8</v>
      </c>
    </row>
    <row r="11" spans="1:10" ht="22.5">
      <c r="A11" s="26" t="s">
        <v>20</v>
      </c>
      <c r="B11" s="27" t="s">
        <v>21</v>
      </c>
      <c r="C11" s="16">
        <v>1544.3</v>
      </c>
      <c r="D11" s="16">
        <v>1564.5</v>
      </c>
      <c r="E11" s="16">
        <v>1598.6</v>
      </c>
      <c r="F11" s="16">
        <v>2142.4</v>
      </c>
    </row>
    <row r="12" spans="1:10" ht="22.5">
      <c r="A12" s="26" t="s">
        <v>22</v>
      </c>
      <c r="B12" s="28" t="s">
        <v>23</v>
      </c>
      <c r="C12" s="16">
        <v>735.1</v>
      </c>
      <c r="D12" s="16">
        <v>706.9</v>
      </c>
      <c r="E12" s="16">
        <v>634.5</v>
      </c>
      <c r="F12" s="16">
        <v>653.1</v>
      </c>
    </row>
    <row r="13" spans="1:10" ht="22.5">
      <c r="A13" s="26" t="s">
        <v>24</v>
      </c>
      <c r="B13" s="29" t="s">
        <v>25</v>
      </c>
      <c r="C13" s="16">
        <v>726</v>
      </c>
      <c r="D13" s="16">
        <v>626.20000000000005</v>
      </c>
      <c r="E13" s="16">
        <v>837.6</v>
      </c>
      <c r="F13" s="16">
        <v>779.2</v>
      </c>
    </row>
    <row r="14" spans="1:10" ht="22.5">
      <c r="A14" s="26" t="s">
        <v>26</v>
      </c>
      <c r="B14" s="30" t="s">
        <v>27</v>
      </c>
      <c r="C14" s="16">
        <v>59.9</v>
      </c>
      <c r="D14" s="16">
        <v>80.099999999999994</v>
      </c>
      <c r="E14" s="16">
        <v>98.6</v>
      </c>
      <c r="F14" s="16">
        <v>89.5</v>
      </c>
    </row>
    <row r="15" spans="1:10" ht="22.5">
      <c r="A15" s="26" t="s">
        <v>28</v>
      </c>
      <c r="B15" s="29" t="s">
        <v>29</v>
      </c>
      <c r="C15" s="16">
        <v>9.9</v>
      </c>
      <c r="D15" s="16">
        <v>6.7</v>
      </c>
      <c r="E15" s="16">
        <v>8.3000000000000007</v>
      </c>
      <c r="F15" s="16">
        <v>39.1</v>
      </c>
    </row>
    <row r="16" spans="1:10" ht="22.5">
      <c r="A16" s="31" t="s">
        <v>30</v>
      </c>
      <c r="B16" s="32" t="s">
        <v>31</v>
      </c>
      <c r="C16" s="17">
        <v>129.19999999999999</v>
      </c>
      <c r="D16" s="17">
        <v>130.4</v>
      </c>
      <c r="E16" s="17">
        <v>44.6</v>
      </c>
      <c r="F16" s="17">
        <v>131.69999999999999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opLeftCell="A4" workbookViewId="0">
      <selection activeCell="A17" sqref="A17"/>
    </sheetView>
  </sheetViews>
  <sheetFormatPr defaultRowHeight="12.75"/>
  <cols>
    <col min="1" max="1" width="28.85546875" bestFit="1" customWidth="1"/>
    <col min="2" max="2" width="47.140625" bestFit="1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37</v>
      </c>
      <c r="D5" s="84" t="s">
        <v>38</v>
      </c>
      <c r="E5" s="84" t="s">
        <v>39</v>
      </c>
      <c r="F5" s="84" t="s">
        <v>40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v>5989.8</v>
      </c>
      <c r="D7" s="15">
        <v>7113.3</v>
      </c>
      <c r="E7" s="15">
        <v>7734.7</v>
      </c>
      <c r="F7" s="15">
        <v>8518</v>
      </c>
    </row>
    <row r="8" spans="1:10" s="21" customFormat="1" ht="22.5">
      <c r="A8" s="26" t="s">
        <v>14</v>
      </c>
      <c r="B8" s="27" t="s">
        <v>15</v>
      </c>
      <c r="C8" s="16">
        <v>1957.6</v>
      </c>
      <c r="D8" s="16">
        <v>2296.4</v>
      </c>
      <c r="E8" s="16">
        <v>2558.6</v>
      </c>
      <c r="F8" s="16">
        <v>2995.6</v>
      </c>
    </row>
    <row r="9" spans="1:10" s="21" customFormat="1" ht="22.5">
      <c r="A9" s="26" t="s">
        <v>16</v>
      </c>
      <c r="B9" s="27" t="s">
        <v>17</v>
      </c>
      <c r="C9" s="16">
        <v>328.8</v>
      </c>
      <c r="D9" s="16">
        <v>337</v>
      </c>
      <c r="E9" s="16">
        <v>282.89999999999998</v>
      </c>
      <c r="F9" s="16">
        <v>394.6</v>
      </c>
    </row>
    <row r="10" spans="1:10" s="21" customFormat="1" ht="22.5">
      <c r="A10" s="26" t="s">
        <v>18</v>
      </c>
      <c r="B10" s="27" t="s">
        <v>19</v>
      </c>
      <c r="C10" s="16">
        <v>53.1</v>
      </c>
      <c r="D10" s="16">
        <v>28.3</v>
      </c>
      <c r="E10" s="16">
        <v>37.299999999999997</v>
      </c>
      <c r="F10" s="16">
        <v>39.799999999999997</v>
      </c>
    </row>
    <row r="11" spans="1:10" s="21" customFormat="1" ht="22.5">
      <c r="A11" s="26" t="s">
        <v>20</v>
      </c>
      <c r="B11" s="27" t="s">
        <v>21</v>
      </c>
      <c r="C11" s="16">
        <v>1755.8</v>
      </c>
      <c r="D11" s="16">
        <v>2424.5</v>
      </c>
      <c r="E11" s="16">
        <v>2250</v>
      </c>
      <c r="F11" s="16">
        <v>2848.9</v>
      </c>
    </row>
    <row r="12" spans="1:10" s="21" customFormat="1" ht="22.5">
      <c r="A12" s="26" t="s">
        <v>22</v>
      </c>
      <c r="B12" s="28" t="s">
        <v>23</v>
      </c>
      <c r="C12" s="16">
        <v>920</v>
      </c>
      <c r="D12" s="16">
        <v>702.2</v>
      </c>
      <c r="E12" s="16">
        <v>688.9</v>
      </c>
      <c r="F12" s="16">
        <v>844.8</v>
      </c>
    </row>
    <row r="13" spans="1:10" s="21" customFormat="1" ht="22.5">
      <c r="A13" s="26" t="s">
        <v>24</v>
      </c>
      <c r="B13" s="29" t="s">
        <v>25</v>
      </c>
      <c r="C13" s="16">
        <v>764.2</v>
      </c>
      <c r="D13" s="16">
        <v>1130.8</v>
      </c>
      <c r="E13" s="16">
        <v>1460.8</v>
      </c>
      <c r="F13" s="16">
        <v>1008.5</v>
      </c>
    </row>
    <row r="14" spans="1:10" s="21" customFormat="1" ht="22.5">
      <c r="A14" s="26" t="s">
        <v>26</v>
      </c>
      <c r="B14" s="30" t="s">
        <v>27</v>
      </c>
      <c r="C14" s="16">
        <v>82.9</v>
      </c>
      <c r="D14" s="16">
        <v>93.9</v>
      </c>
      <c r="E14" s="16">
        <v>384.5</v>
      </c>
      <c r="F14" s="16">
        <v>224.9</v>
      </c>
    </row>
    <row r="15" spans="1:10" s="21" customFormat="1" ht="22.5">
      <c r="A15" s="26" t="s">
        <v>28</v>
      </c>
      <c r="B15" s="29" t="s">
        <v>29</v>
      </c>
      <c r="C15" s="16">
        <v>5.8</v>
      </c>
      <c r="D15" s="16">
        <v>3.7</v>
      </c>
      <c r="E15" s="16">
        <v>6.9</v>
      </c>
      <c r="F15" s="16">
        <v>4.8</v>
      </c>
    </row>
    <row r="16" spans="1:10" s="21" customFormat="1" ht="22.5">
      <c r="A16" s="31" t="s">
        <v>30</v>
      </c>
      <c r="B16" s="32" t="s">
        <v>31</v>
      </c>
      <c r="C16" s="17">
        <v>121.6</v>
      </c>
      <c r="D16" s="17">
        <v>96.5</v>
      </c>
      <c r="E16" s="17">
        <v>64.8</v>
      </c>
      <c r="F16" s="17">
        <v>156.1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topLeftCell="A7" workbookViewId="0">
      <selection activeCell="A17" sqref="A17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41</v>
      </c>
      <c r="D5" s="84" t="s">
        <v>42</v>
      </c>
      <c r="E5" s="84" t="s">
        <v>43</v>
      </c>
      <c r="F5" s="84" t="s">
        <v>44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v>8162.9</v>
      </c>
      <c r="D7" s="15">
        <v>5433.4</v>
      </c>
      <c r="E7" s="15">
        <v>5657.8</v>
      </c>
      <c r="F7" s="15">
        <v>5914.8</v>
      </c>
    </row>
    <row r="8" spans="1:10" s="21" customFormat="1" ht="22.5">
      <c r="A8" s="26" t="s">
        <v>14</v>
      </c>
      <c r="B8" s="27" t="s">
        <v>15</v>
      </c>
      <c r="C8" s="16">
        <v>2774.4</v>
      </c>
      <c r="D8" s="16">
        <v>1760</v>
      </c>
      <c r="E8" s="16">
        <v>2153.6999999999998</v>
      </c>
      <c r="F8" s="16">
        <v>1856.1</v>
      </c>
    </row>
    <row r="9" spans="1:10" s="21" customFormat="1" ht="22.5">
      <c r="A9" s="26" t="s">
        <v>16</v>
      </c>
      <c r="B9" s="27" t="s">
        <v>17</v>
      </c>
      <c r="C9" s="16">
        <v>248.6</v>
      </c>
      <c r="D9" s="16">
        <v>232.6</v>
      </c>
      <c r="E9" s="16">
        <v>220</v>
      </c>
      <c r="F9" s="16">
        <v>198.1</v>
      </c>
    </row>
    <row r="10" spans="1:10" s="21" customFormat="1" ht="22.5">
      <c r="A10" s="26" t="s">
        <v>18</v>
      </c>
      <c r="B10" s="27" t="s">
        <v>19</v>
      </c>
      <c r="C10" s="16">
        <v>37.6</v>
      </c>
      <c r="D10" s="16">
        <v>33.200000000000003</v>
      </c>
      <c r="E10" s="16">
        <v>53.3</v>
      </c>
      <c r="F10" s="16">
        <v>37.1</v>
      </c>
    </row>
    <row r="11" spans="1:10" s="21" customFormat="1" ht="22.5">
      <c r="A11" s="26" t="s">
        <v>20</v>
      </c>
      <c r="B11" s="27" t="s">
        <v>21</v>
      </c>
      <c r="C11" s="16">
        <v>2312.3000000000002</v>
      </c>
      <c r="D11" s="16">
        <v>1696.8</v>
      </c>
      <c r="E11" s="16">
        <v>1177.9000000000001</v>
      </c>
      <c r="F11" s="16">
        <v>1234.9000000000001</v>
      </c>
    </row>
    <row r="12" spans="1:10" s="21" customFormat="1" ht="22.5">
      <c r="A12" s="26" t="s">
        <v>22</v>
      </c>
      <c r="B12" s="28" t="s">
        <v>23</v>
      </c>
      <c r="C12" s="16">
        <v>998.6</v>
      </c>
      <c r="D12" s="16">
        <v>925.1</v>
      </c>
      <c r="E12" s="16">
        <v>785.7</v>
      </c>
      <c r="F12" s="16">
        <v>1142.5999999999999</v>
      </c>
    </row>
    <row r="13" spans="1:10" s="21" customFormat="1" ht="22.5">
      <c r="A13" s="26" t="s">
        <v>24</v>
      </c>
      <c r="B13" s="29" t="s">
        <v>25</v>
      </c>
      <c r="C13" s="16">
        <v>1230.2</v>
      </c>
      <c r="D13" s="16">
        <v>572.70000000000005</v>
      </c>
      <c r="E13" s="16">
        <v>626.6</v>
      </c>
      <c r="F13" s="16">
        <v>714.7</v>
      </c>
    </row>
    <row r="14" spans="1:10" s="21" customFormat="1" ht="22.5">
      <c r="A14" s="26" t="s">
        <v>26</v>
      </c>
      <c r="B14" s="30" t="s">
        <v>27</v>
      </c>
      <c r="C14" s="16">
        <v>279.3</v>
      </c>
      <c r="D14" s="16">
        <v>123.7</v>
      </c>
      <c r="E14" s="16">
        <v>159.5</v>
      </c>
      <c r="F14" s="16">
        <v>77</v>
      </c>
    </row>
    <row r="15" spans="1:10" s="21" customFormat="1" ht="22.5">
      <c r="A15" s="26" t="s">
        <v>28</v>
      </c>
      <c r="B15" s="29" t="s">
        <v>29</v>
      </c>
      <c r="C15" s="16">
        <v>8.4</v>
      </c>
      <c r="D15" s="16">
        <v>1.4</v>
      </c>
      <c r="E15" s="16">
        <v>2.2000000000000002</v>
      </c>
      <c r="F15" s="16">
        <v>2.1</v>
      </c>
    </row>
    <row r="16" spans="1:10" s="21" customFormat="1" ht="22.5">
      <c r="A16" s="31" t="s">
        <v>30</v>
      </c>
      <c r="B16" s="32" t="s">
        <v>31</v>
      </c>
      <c r="C16" s="17">
        <v>273.5</v>
      </c>
      <c r="D16" s="17">
        <v>87.9</v>
      </c>
      <c r="E16" s="17">
        <v>478.9</v>
      </c>
      <c r="F16" s="17">
        <v>652.20000000000005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opLeftCell="A4" workbookViewId="0">
      <selection activeCell="A17" sqref="A17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45</v>
      </c>
      <c r="D5" s="84" t="s">
        <v>46</v>
      </c>
      <c r="E5" s="84" t="s">
        <v>47</v>
      </c>
      <c r="F5" s="84" t="s">
        <v>48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v>5390.3</v>
      </c>
      <c r="D7" s="15">
        <v>6126.4</v>
      </c>
      <c r="E7" s="15">
        <v>5450.4</v>
      </c>
      <c r="F7" s="15">
        <v>6906</v>
      </c>
    </row>
    <row r="8" spans="1:10" s="21" customFormat="1" ht="22.5">
      <c r="A8" s="26" t="s">
        <v>14</v>
      </c>
      <c r="B8" s="27" t="s">
        <v>15</v>
      </c>
      <c r="C8" s="22">
        <v>1854.9</v>
      </c>
      <c r="D8" s="22">
        <v>2187.5</v>
      </c>
      <c r="E8" s="22">
        <v>2071.4</v>
      </c>
      <c r="F8" s="22">
        <v>2366</v>
      </c>
    </row>
    <row r="9" spans="1:10" s="21" customFormat="1" ht="22.5">
      <c r="A9" s="26" t="s">
        <v>16</v>
      </c>
      <c r="B9" s="27" t="s">
        <v>17</v>
      </c>
      <c r="C9" s="22">
        <v>164.6</v>
      </c>
      <c r="D9" s="22">
        <v>239.3</v>
      </c>
      <c r="E9" s="22">
        <v>359.2</v>
      </c>
      <c r="F9" s="22">
        <v>309.8</v>
      </c>
    </row>
    <row r="10" spans="1:10" s="21" customFormat="1" ht="22.5">
      <c r="A10" s="26" t="s">
        <v>18</v>
      </c>
      <c r="B10" s="27" t="s">
        <v>19</v>
      </c>
      <c r="C10" s="22">
        <v>23.3</v>
      </c>
      <c r="D10" s="22">
        <v>28.1</v>
      </c>
      <c r="E10" s="22">
        <v>36.299999999999997</v>
      </c>
      <c r="F10" s="22">
        <v>32.200000000000003</v>
      </c>
    </row>
    <row r="11" spans="1:10" s="21" customFormat="1" ht="22.5">
      <c r="A11" s="26" t="s">
        <v>20</v>
      </c>
      <c r="B11" s="27" t="s">
        <v>21</v>
      </c>
      <c r="C11" s="22">
        <v>1198.3</v>
      </c>
      <c r="D11" s="22">
        <v>1239</v>
      </c>
      <c r="E11" s="22">
        <v>973.8</v>
      </c>
      <c r="F11" s="22">
        <v>997.6</v>
      </c>
    </row>
    <row r="12" spans="1:10" s="21" customFormat="1" ht="22.5">
      <c r="A12" s="26" t="s">
        <v>22</v>
      </c>
      <c r="B12" s="28" t="s">
        <v>23</v>
      </c>
      <c r="C12" s="22">
        <v>939.4</v>
      </c>
      <c r="D12" s="22">
        <v>1223.9000000000001</v>
      </c>
      <c r="E12" s="22">
        <v>1209.4000000000001</v>
      </c>
      <c r="F12" s="22">
        <v>1388.6</v>
      </c>
    </row>
    <row r="13" spans="1:10" s="21" customFormat="1" ht="22.5">
      <c r="A13" s="26" t="s">
        <v>24</v>
      </c>
      <c r="B13" s="29" t="s">
        <v>25</v>
      </c>
      <c r="C13" s="22">
        <v>734.7</v>
      </c>
      <c r="D13" s="22">
        <v>906.9</v>
      </c>
      <c r="E13" s="22">
        <v>691.5</v>
      </c>
      <c r="F13" s="22">
        <v>1066.9000000000001</v>
      </c>
    </row>
    <row r="14" spans="1:10" s="21" customFormat="1" ht="22.5">
      <c r="A14" s="26" t="s">
        <v>26</v>
      </c>
      <c r="B14" s="30" t="s">
        <v>27</v>
      </c>
      <c r="C14" s="22">
        <v>74.599999999999994</v>
      </c>
      <c r="D14" s="22">
        <v>99.6</v>
      </c>
      <c r="E14" s="22">
        <v>75.8</v>
      </c>
      <c r="F14" s="22">
        <v>130.9</v>
      </c>
    </row>
    <row r="15" spans="1:10" s="21" customFormat="1" ht="22.5">
      <c r="A15" s="26" t="s">
        <v>28</v>
      </c>
      <c r="B15" s="29" t="s">
        <v>29</v>
      </c>
      <c r="C15" s="22">
        <v>2.8</v>
      </c>
      <c r="D15" s="22">
        <v>4.0999999999999996</v>
      </c>
      <c r="E15" s="22">
        <v>6.3</v>
      </c>
      <c r="F15" s="22">
        <v>5.0999999999999996</v>
      </c>
    </row>
    <row r="16" spans="1:10" s="21" customFormat="1" ht="22.5">
      <c r="A16" s="31" t="s">
        <v>30</v>
      </c>
      <c r="B16" s="32" t="s">
        <v>31</v>
      </c>
      <c r="C16" s="23">
        <v>397.7</v>
      </c>
      <c r="D16" s="23">
        <v>198</v>
      </c>
      <c r="E16" s="23">
        <v>26.7</v>
      </c>
      <c r="F16" s="23">
        <v>608.9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topLeftCell="A7" workbookViewId="0">
      <selection activeCell="A17" sqref="A17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49</v>
      </c>
      <c r="D5" s="84" t="s">
        <v>50</v>
      </c>
      <c r="E5" s="84" t="s">
        <v>51</v>
      </c>
      <c r="F5" s="84" t="s">
        <v>52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v>6102</v>
      </c>
      <c r="D7" s="15">
        <v>6565.8</v>
      </c>
      <c r="E7" s="15">
        <v>6243.3</v>
      </c>
      <c r="F7" s="15">
        <v>8081.35</v>
      </c>
    </row>
    <row r="8" spans="1:10" s="21" customFormat="1" ht="22.5">
      <c r="A8" s="26" t="s">
        <v>14</v>
      </c>
      <c r="B8" s="27" t="s">
        <v>15</v>
      </c>
      <c r="C8" s="22">
        <v>2453.5</v>
      </c>
      <c r="D8" s="22">
        <v>2527.1999999999998</v>
      </c>
      <c r="E8" s="22">
        <v>2746.37</v>
      </c>
      <c r="F8" s="22">
        <v>3709.9</v>
      </c>
    </row>
    <row r="9" spans="1:10" s="21" customFormat="1" ht="22.5">
      <c r="A9" s="26" t="s">
        <v>16</v>
      </c>
      <c r="B9" s="27" t="s">
        <v>17</v>
      </c>
      <c r="C9" s="22">
        <v>329.3</v>
      </c>
      <c r="D9" s="22">
        <v>407.6</v>
      </c>
      <c r="E9" s="22">
        <v>407.92</v>
      </c>
      <c r="F9" s="22">
        <v>560</v>
      </c>
    </row>
    <row r="10" spans="1:10" s="21" customFormat="1" ht="22.5">
      <c r="A10" s="26" t="s">
        <v>18</v>
      </c>
      <c r="B10" s="27" t="s">
        <v>19</v>
      </c>
      <c r="C10" s="22">
        <v>20.7</v>
      </c>
      <c r="D10" s="22">
        <v>45.2</v>
      </c>
      <c r="E10" s="22">
        <v>47.3</v>
      </c>
      <c r="F10" s="22">
        <v>78.400000000000006</v>
      </c>
    </row>
    <row r="11" spans="1:10" s="21" customFormat="1" ht="22.5">
      <c r="A11" s="26" t="s">
        <v>20</v>
      </c>
      <c r="B11" s="27" t="s">
        <v>21</v>
      </c>
      <c r="C11" s="22">
        <v>870.9</v>
      </c>
      <c r="D11" s="22">
        <v>1100.5999999999999</v>
      </c>
      <c r="E11" s="22">
        <v>740.91</v>
      </c>
      <c r="F11" s="22">
        <v>887.9</v>
      </c>
    </row>
    <row r="12" spans="1:10" s="21" customFormat="1" ht="22.5">
      <c r="A12" s="26" t="s">
        <v>22</v>
      </c>
      <c r="B12" s="28" t="s">
        <v>23</v>
      </c>
      <c r="C12" s="22">
        <v>1166.5</v>
      </c>
      <c r="D12" s="22">
        <v>1294.2</v>
      </c>
      <c r="E12" s="22">
        <v>1025.3499999999999</v>
      </c>
      <c r="F12" s="22">
        <v>1378.6</v>
      </c>
    </row>
    <row r="13" spans="1:10" s="21" customFormat="1" ht="22.5">
      <c r="A13" s="26" t="s">
        <v>24</v>
      </c>
      <c r="B13" s="29" t="s">
        <v>25</v>
      </c>
      <c r="C13" s="22">
        <v>815.1</v>
      </c>
      <c r="D13" s="22">
        <v>932.6</v>
      </c>
      <c r="E13" s="22">
        <v>1126.79</v>
      </c>
      <c r="F13" s="22">
        <v>1151.5999999999999</v>
      </c>
    </row>
    <row r="14" spans="1:10" s="21" customFormat="1" ht="22.5">
      <c r="A14" s="26" t="s">
        <v>26</v>
      </c>
      <c r="B14" s="30" t="s">
        <v>27</v>
      </c>
      <c r="C14" s="22">
        <v>142.69999999999999</v>
      </c>
      <c r="D14" s="22">
        <v>149.80000000000001</v>
      </c>
      <c r="E14" s="22">
        <v>136.47</v>
      </c>
      <c r="F14" s="22">
        <v>113.9</v>
      </c>
    </row>
    <row r="15" spans="1:10" s="21" customFormat="1" ht="22.5">
      <c r="A15" s="26" t="s">
        <v>28</v>
      </c>
      <c r="B15" s="29" t="s">
        <v>29</v>
      </c>
      <c r="C15" s="22">
        <v>4.5</v>
      </c>
      <c r="D15" s="22">
        <v>3</v>
      </c>
      <c r="E15" s="22">
        <v>3.71</v>
      </c>
      <c r="F15" s="22">
        <v>3.7</v>
      </c>
    </row>
    <row r="16" spans="1:10" s="21" customFormat="1" ht="22.5">
      <c r="A16" s="31" t="s">
        <v>30</v>
      </c>
      <c r="B16" s="32" t="s">
        <v>31</v>
      </c>
      <c r="C16" s="23">
        <v>298.8</v>
      </c>
      <c r="D16" s="23">
        <v>105.6</v>
      </c>
      <c r="E16" s="23">
        <v>8.4</v>
      </c>
      <c r="F16" s="23">
        <v>197.35000000000127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topLeftCell="A4" workbookViewId="0">
      <selection activeCell="A17" sqref="A17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53</v>
      </c>
      <c r="D5" s="84" t="s">
        <v>54</v>
      </c>
      <c r="E5" s="84" t="s">
        <v>55</v>
      </c>
      <c r="F5" s="84" t="s">
        <v>56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f>SUM(C8:C16)</f>
        <v>6764.7999999999993</v>
      </c>
      <c r="D7" s="15">
        <f>SUM(D8:D16)</f>
        <v>6823.9000000000024</v>
      </c>
      <c r="E7" s="15">
        <f>SUM(E8:E16)</f>
        <v>5532.0999999999976</v>
      </c>
      <c r="F7" s="15">
        <f>SUM(F8:F16)</f>
        <v>5951.1</v>
      </c>
    </row>
    <row r="8" spans="1:10" s="21" customFormat="1" ht="22.5">
      <c r="A8" s="26" t="s">
        <v>14</v>
      </c>
      <c r="B8" s="27" t="s">
        <v>15</v>
      </c>
      <c r="C8" s="22">
        <v>2968.5</v>
      </c>
      <c r="D8" s="22">
        <v>2727.4</v>
      </c>
      <c r="E8" s="22">
        <v>1772.7</v>
      </c>
      <c r="F8" s="22">
        <v>1602.4</v>
      </c>
    </row>
    <row r="9" spans="1:10" s="21" customFormat="1" ht="22.5">
      <c r="A9" s="26" t="s">
        <v>16</v>
      </c>
      <c r="B9" s="27" t="s">
        <v>17</v>
      </c>
      <c r="C9" s="22">
        <v>343</v>
      </c>
      <c r="D9" s="22">
        <v>348.3</v>
      </c>
      <c r="E9" s="22">
        <v>387</v>
      </c>
      <c r="F9" s="22">
        <v>340.4</v>
      </c>
    </row>
    <row r="10" spans="1:10" s="21" customFormat="1" ht="22.5">
      <c r="A10" s="26" t="s">
        <v>18</v>
      </c>
      <c r="B10" s="27" t="s">
        <v>19</v>
      </c>
      <c r="C10" s="22">
        <v>15.5</v>
      </c>
      <c r="D10" s="22">
        <v>12.3</v>
      </c>
      <c r="E10" s="22">
        <v>32.1</v>
      </c>
      <c r="F10" s="22">
        <v>47.5</v>
      </c>
    </row>
    <row r="11" spans="1:10" s="21" customFormat="1" ht="22.5">
      <c r="A11" s="26" t="s">
        <v>20</v>
      </c>
      <c r="B11" s="27" t="s">
        <v>21</v>
      </c>
      <c r="C11" s="22">
        <v>780.9</v>
      </c>
      <c r="D11" s="22">
        <v>977.8</v>
      </c>
      <c r="E11" s="22">
        <v>781.4</v>
      </c>
      <c r="F11" s="22">
        <v>891</v>
      </c>
    </row>
    <row r="12" spans="1:10" s="21" customFormat="1" ht="22.5">
      <c r="A12" s="26" t="s">
        <v>22</v>
      </c>
      <c r="B12" s="28" t="s">
        <v>23</v>
      </c>
      <c r="C12" s="22">
        <v>1318.2</v>
      </c>
      <c r="D12" s="22">
        <v>1246.9000000000001</v>
      </c>
      <c r="E12" s="22">
        <v>1326.6</v>
      </c>
      <c r="F12" s="22">
        <v>1432.6</v>
      </c>
    </row>
    <row r="13" spans="1:10" s="21" customFormat="1" ht="22.5">
      <c r="A13" s="26" t="s">
        <v>24</v>
      </c>
      <c r="B13" s="29" t="s">
        <v>25</v>
      </c>
      <c r="C13" s="22">
        <v>1028</v>
      </c>
      <c r="D13" s="22">
        <v>1226</v>
      </c>
      <c r="E13" s="22">
        <v>1015.6</v>
      </c>
      <c r="F13" s="22">
        <v>1350.8</v>
      </c>
    </row>
    <row r="14" spans="1:10" s="21" customFormat="1" ht="22.5">
      <c r="A14" s="26" t="s">
        <v>26</v>
      </c>
      <c r="B14" s="30" t="s">
        <v>27</v>
      </c>
      <c r="C14" s="22">
        <v>125.6</v>
      </c>
      <c r="D14" s="22">
        <v>114.9</v>
      </c>
      <c r="E14" s="22">
        <v>143.5</v>
      </c>
      <c r="F14" s="22">
        <v>115.1</v>
      </c>
    </row>
    <row r="15" spans="1:10" s="21" customFormat="1" ht="22.5">
      <c r="A15" s="26" t="s">
        <v>28</v>
      </c>
      <c r="B15" s="29" t="s">
        <v>29</v>
      </c>
      <c r="C15" s="22">
        <v>3.7</v>
      </c>
      <c r="D15" s="22">
        <v>6.1</v>
      </c>
      <c r="E15" s="22">
        <v>3.9</v>
      </c>
      <c r="F15" s="22">
        <v>8.5</v>
      </c>
    </row>
    <row r="16" spans="1:10" s="21" customFormat="1" ht="22.5">
      <c r="A16" s="31" t="s">
        <v>30</v>
      </c>
      <c r="B16" s="32" t="s">
        <v>31</v>
      </c>
      <c r="C16" s="23">
        <v>181.4</v>
      </c>
      <c r="D16" s="23">
        <v>164.20000000000127</v>
      </c>
      <c r="E16" s="23">
        <v>69.299999999998704</v>
      </c>
      <c r="F16" s="23">
        <v>162.80000000000001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topLeftCell="A7" zoomScaleNormal="100" workbookViewId="0">
      <selection activeCell="A17" sqref="A17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64</v>
      </c>
      <c r="D5" s="84" t="s">
        <v>63</v>
      </c>
      <c r="E5" s="84" t="s">
        <v>65</v>
      </c>
      <c r="F5" s="84" t="s">
        <v>66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v>6775.1</v>
      </c>
      <c r="D7" s="15">
        <v>6833.5000000000009</v>
      </c>
      <c r="E7" s="15">
        <f>6804.9-155</f>
        <v>6649.9</v>
      </c>
      <c r="F7" s="15">
        <f>6574.6+155</f>
        <v>6729.6</v>
      </c>
    </row>
    <row r="8" spans="1:10" s="21" customFormat="1" ht="22.5">
      <c r="A8" s="26" t="s">
        <v>14</v>
      </c>
      <c r="B8" s="27" t="s">
        <v>15</v>
      </c>
      <c r="C8" s="22">
        <v>2235</v>
      </c>
      <c r="D8" s="22">
        <v>2171</v>
      </c>
      <c r="E8" s="22">
        <f>2366.9-155</f>
        <v>2211.9</v>
      </c>
      <c r="F8" s="22">
        <f>2130.8+155</f>
        <v>2285.8000000000002</v>
      </c>
    </row>
    <row r="9" spans="1:10" s="21" customFormat="1" ht="22.5">
      <c r="A9" s="26" t="s">
        <v>16</v>
      </c>
      <c r="B9" s="27" t="s">
        <v>17</v>
      </c>
      <c r="C9" s="22">
        <v>396.3</v>
      </c>
      <c r="D9" s="22">
        <v>519.90000000000009</v>
      </c>
      <c r="E9" s="22">
        <v>417</v>
      </c>
      <c r="F9" s="22">
        <v>422.70000000000005</v>
      </c>
    </row>
    <row r="10" spans="1:10" s="21" customFormat="1" ht="22.5">
      <c r="A10" s="26" t="s">
        <v>18</v>
      </c>
      <c r="B10" s="27" t="s">
        <v>19</v>
      </c>
      <c r="C10" s="22">
        <v>22.1</v>
      </c>
      <c r="D10" s="22">
        <v>20.799999999999997</v>
      </c>
      <c r="E10" s="22">
        <v>42.1</v>
      </c>
      <c r="F10" s="22">
        <v>65.5</v>
      </c>
    </row>
    <row r="11" spans="1:10" s="21" customFormat="1" ht="22.5">
      <c r="A11" s="26" t="s">
        <v>20</v>
      </c>
      <c r="B11" s="27" t="s">
        <v>21</v>
      </c>
      <c r="C11" s="22">
        <v>1142.9000000000001</v>
      </c>
      <c r="D11" s="22">
        <v>1147.1999999999998</v>
      </c>
      <c r="E11" s="22">
        <v>756</v>
      </c>
      <c r="F11" s="22">
        <v>711.80000000000018</v>
      </c>
    </row>
    <row r="12" spans="1:10" s="21" customFormat="1" ht="22.5">
      <c r="A12" s="26" t="s">
        <v>22</v>
      </c>
      <c r="B12" s="28" t="s">
        <v>23</v>
      </c>
      <c r="C12" s="22">
        <v>1344.7</v>
      </c>
      <c r="D12" s="22">
        <v>1220.7</v>
      </c>
      <c r="E12" s="22">
        <v>1228</v>
      </c>
      <c r="F12" s="22">
        <v>1367.4999999999995</v>
      </c>
    </row>
    <row r="13" spans="1:10" s="21" customFormat="1" ht="22.5">
      <c r="A13" s="26" t="s">
        <v>24</v>
      </c>
      <c r="B13" s="29" t="s">
        <v>25</v>
      </c>
      <c r="C13" s="22">
        <v>1124.8</v>
      </c>
      <c r="D13" s="22">
        <v>1238.1000000000001</v>
      </c>
      <c r="E13" s="22">
        <v>1458.1999999999998</v>
      </c>
      <c r="F13" s="22">
        <v>1091.7000000000003</v>
      </c>
    </row>
    <row r="14" spans="1:10" s="21" customFormat="1" ht="22.5">
      <c r="A14" s="26" t="s">
        <v>26</v>
      </c>
      <c r="B14" s="30" t="s">
        <v>27</v>
      </c>
      <c r="C14" s="22">
        <v>111.7</v>
      </c>
      <c r="D14" s="22">
        <v>107.8</v>
      </c>
      <c r="E14" s="22">
        <v>111.89999999999998</v>
      </c>
      <c r="F14" s="22">
        <v>108.70000000000005</v>
      </c>
    </row>
    <row r="15" spans="1:10" s="21" customFormat="1" ht="22.5">
      <c r="A15" s="26" t="s">
        <v>28</v>
      </c>
      <c r="B15" s="29" t="s">
        <v>29</v>
      </c>
      <c r="C15" s="22">
        <v>3.8</v>
      </c>
      <c r="D15" s="22">
        <v>3.8</v>
      </c>
      <c r="E15" s="22">
        <v>9.2000000000000011</v>
      </c>
      <c r="F15" s="22">
        <v>5.5</v>
      </c>
    </row>
    <row r="16" spans="1:10" s="21" customFormat="1" ht="22.5">
      <c r="A16" s="31" t="s">
        <v>30</v>
      </c>
      <c r="B16" s="32" t="s">
        <v>31</v>
      </c>
      <c r="C16" s="23">
        <v>393.8</v>
      </c>
      <c r="D16" s="23">
        <v>404.19999999999942</v>
      </c>
      <c r="E16" s="23">
        <v>415.60000000000025</v>
      </c>
      <c r="F16" s="23">
        <v>670.40000000000032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  <pageSetup paperSize="9" scale="5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topLeftCell="A4" zoomScaleNormal="100" workbookViewId="0">
      <selection activeCell="A17" sqref="A17"/>
    </sheetView>
  </sheetViews>
  <sheetFormatPr defaultRowHeight="12.75"/>
  <cols>
    <col min="1" max="1" width="28.85546875" bestFit="1" customWidth="1"/>
    <col min="2" max="2" width="46.140625" customWidth="1"/>
    <col min="3" max="6" width="20.710937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58</v>
      </c>
      <c r="D5" s="84" t="s">
        <v>59</v>
      </c>
      <c r="E5" s="84" t="s">
        <v>60</v>
      </c>
      <c r="F5" s="84" t="s">
        <v>61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15">
        <v>6187.9</v>
      </c>
      <c r="D7" s="15">
        <v>6910.4</v>
      </c>
      <c r="E7" s="15">
        <v>6403.4</v>
      </c>
      <c r="F7" s="15">
        <v>6520.9000000000005</v>
      </c>
      <c r="G7" s="38"/>
      <c r="H7" s="38"/>
    </row>
    <row r="8" spans="1:10" s="21" customFormat="1" ht="22.5">
      <c r="A8" s="26" t="s">
        <v>14</v>
      </c>
      <c r="B8" s="27" t="s">
        <v>15</v>
      </c>
      <c r="C8" s="22">
        <v>2233.8000000000002</v>
      </c>
      <c r="D8" s="22">
        <v>2649.9</v>
      </c>
      <c r="E8" s="22">
        <v>2502.4</v>
      </c>
      <c r="F8" s="22">
        <f>2682.9+0.1</f>
        <v>2683</v>
      </c>
      <c r="G8" s="38"/>
      <c r="H8" s="38"/>
    </row>
    <row r="9" spans="1:10" s="21" customFormat="1" ht="22.5">
      <c r="A9" s="26" t="s">
        <v>16</v>
      </c>
      <c r="B9" s="27" t="s">
        <v>17</v>
      </c>
      <c r="C9" s="22">
        <v>360.1</v>
      </c>
      <c r="D9" s="22">
        <v>365.5</v>
      </c>
      <c r="E9" s="22">
        <v>313.3</v>
      </c>
      <c r="F9" s="22">
        <f>332.1+0.1</f>
        <v>332.20000000000005</v>
      </c>
      <c r="G9" s="38"/>
      <c r="H9" s="38"/>
    </row>
    <row r="10" spans="1:10" s="21" customFormat="1" ht="22.5">
      <c r="A10" s="26" t="s">
        <v>18</v>
      </c>
      <c r="B10" s="27" t="s">
        <v>19</v>
      </c>
      <c r="C10" s="22">
        <v>18.8</v>
      </c>
      <c r="D10" s="22">
        <v>16.899999999999999</v>
      </c>
      <c r="E10" s="22">
        <v>52</v>
      </c>
      <c r="F10" s="22">
        <v>96.2</v>
      </c>
      <c r="G10" s="38"/>
      <c r="H10" s="38"/>
    </row>
    <row r="11" spans="1:10" s="21" customFormat="1" ht="22.5">
      <c r="A11" s="26" t="s">
        <v>20</v>
      </c>
      <c r="B11" s="27" t="s">
        <v>21</v>
      </c>
      <c r="C11" s="22">
        <v>613.79999999999995</v>
      </c>
      <c r="D11" s="22">
        <v>613.6</v>
      </c>
      <c r="E11" s="22">
        <v>642</v>
      </c>
      <c r="F11" s="22">
        <f>641.2+0.1</f>
        <v>641.30000000000007</v>
      </c>
      <c r="G11" s="38"/>
      <c r="H11" s="38"/>
    </row>
    <row r="12" spans="1:10" s="21" customFormat="1" ht="22.5">
      <c r="A12" s="26" t="s">
        <v>22</v>
      </c>
      <c r="B12" s="28" t="s">
        <v>23</v>
      </c>
      <c r="C12" s="22">
        <v>1298.2</v>
      </c>
      <c r="D12" s="22">
        <v>1420.7</v>
      </c>
      <c r="E12" s="22">
        <v>1348.4</v>
      </c>
      <c r="F12" s="22">
        <v>1405.1</v>
      </c>
      <c r="G12" s="38"/>
      <c r="H12" s="38"/>
    </row>
    <row r="13" spans="1:10" s="21" customFormat="1" ht="22.5">
      <c r="A13" s="26" t="s">
        <v>24</v>
      </c>
      <c r="B13" s="29" t="s">
        <v>25</v>
      </c>
      <c r="C13" s="22">
        <v>852.5</v>
      </c>
      <c r="D13" s="22">
        <v>1083.5999999999999</v>
      </c>
      <c r="E13" s="22">
        <v>837.2</v>
      </c>
      <c r="F13" s="22">
        <f>694.1+0.1</f>
        <v>694.2</v>
      </c>
      <c r="G13" s="38"/>
      <c r="H13" s="38"/>
    </row>
    <row r="14" spans="1:10" s="21" customFormat="1" ht="22.5">
      <c r="A14" s="26" t="s">
        <v>26</v>
      </c>
      <c r="B14" s="30" t="s">
        <v>27</v>
      </c>
      <c r="C14" s="22">
        <v>116.9</v>
      </c>
      <c r="D14" s="22">
        <v>115</v>
      </c>
      <c r="E14" s="22">
        <v>126.2</v>
      </c>
      <c r="F14" s="22">
        <v>127.2</v>
      </c>
      <c r="G14" s="38"/>
      <c r="H14" s="38"/>
    </row>
    <row r="15" spans="1:10" s="21" customFormat="1" ht="22.5">
      <c r="A15" s="26" t="s">
        <v>28</v>
      </c>
      <c r="B15" s="29" t="s">
        <v>29</v>
      </c>
      <c r="C15" s="22">
        <v>2.2999999999999998</v>
      </c>
      <c r="D15" s="22">
        <v>3.7</v>
      </c>
      <c r="E15" s="22">
        <v>6.6</v>
      </c>
      <c r="F15" s="22">
        <f>3.4+0.1</f>
        <v>3.5</v>
      </c>
      <c r="G15" s="38"/>
      <c r="H15" s="38"/>
    </row>
    <row r="16" spans="1:10" s="21" customFormat="1" ht="22.5">
      <c r="A16" s="31" t="s">
        <v>30</v>
      </c>
      <c r="B16" s="32" t="s">
        <v>31</v>
      </c>
      <c r="C16" s="23">
        <v>691.49999999999966</v>
      </c>
      <c r="D16" s="23">
        <v>641.5</v>
      </c>
      <c r="E16" s="23">
        <v>575.29999999999995</v>
      </c>
      <c r="F16" s="23">
        <f>538.7-0.5</f>
        <v>538.20000000000005</v>
      </c>
      <c r="G16" s="38"/>
      <c r="H16" s="38"/>
    </row>
    <row r="17" spans="1:6" ht="19.5">
      <c r="A17" s="63" t="s">
        <v>79</v>
      </c>
      <c r="B17" s="5" t="s">
        <v>32</v>
      </c>
      <c r="C17" s="39"/>
      <c r="D17" s="5"/>
      <c r="E17" s="5"/>
      <c r="F17" s="5"/>
    </row>
    <row r="18" spans="1:6">
      <c r="B18" s="4"/>
      <c r="C18" s="4"/>
      <c r="D18" s="4"/>
      <c r="E18" s="4"/>
      <c r="F18" s="4"/>
    </row>
    <row r="19" spans="1:6" ht="15">
      <c r="A19" s="7"/>
      <c r="B19" s="6"/>
      <c r="C19" s="6"/>
      <c r="D19" s="6"/>
      <c r="E19" s="6"/>
      <c r="F19" s="6"/>
    </row>
    <row r="20" spans="1:6" ht="15">
      <c r="A20" s="7"/>
      <c r="B20" s="6"/>
      <c r="C20" s="6"/>
      <c r="D20" s="6"/>
      <c r="E20" s="6"/>
      <c r="F20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  <pageSetup paperSize="8" scale="1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9"/>
  <sheetViews>
    <sheetView topLeftCell="A7" workbookViewId="0">
      <selection activeCell="A17" sqref="A17"/>
    </sheetView>
  </sheetViews>
  <sheetFormatPr defaultRowHeight="12.75"/>
  <cols>
    <col min="1" max="1" width="35" customWidth="1"/>
    <col min="2" max="2" width="46.140625" customWidth="1"/>
    <col min="3" max="4" width="20.7109375" customWidth="1"/>
    <col min="5" max="5" width="22.7109375" customWidth="1"/>
    <col min="6" max="6" width="23.42578125" customWidth="1"/>
  </cols>
  <sheetData>
    <row r="1" spans="1:10" ht="22.5">
      <c r="A1" s="2"/>
      <c r="B1" s="1"/>
      <c r="C1" s="1"/>
      <c r="D1" s="1"/>
      <c r="E1" s="1"/>
      <c r="F1" s="1"/>
    </row>
    <row r="2" spans="1:10" ht="20.25">
      <c r="A2" s="79" t="s">
        <v>0</v>
      </c>
      <c r="B2" s="79"/>
      <c r="C2" s="79"/>
      <c r="D2" s="79"/>
      <c r="E2" s="79"/>
      <c r="F2" s="79"/>
    </row>
    <row r="3" spans="1:10" ht="15.75">
      <c r="A3" s="10"/>
      <c r="B3" s="3"/>
      <c r="C3" s="80"/>
      <c r="D3" s="80"/>
      <c r="E3" s="3"/>
      <c r="F3" s="9" t="s">
        <v>1</v>
      </c>
      <c r="G3" s="11"/>
      <c r="H3" s="11"/>
      <c r="I3" s="11"/>
      <c r="J3" s="11"/>
    </row>
    <row r="4" spans="1:10" s="20" customFormat="1" ht="18.75">
      <c r="A4" s="81" t="s">
        <v>2</v>
      </c>
      <c r="B4" s="81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8"/>
      <c r="H4" s="19"/>
      <c r="I4" s="19"/>
      <c r="J4" s="19"/>
    </row>
    <row r="5" spans="1:10" s="20" customFormat="1" ht="22.5" customHeight="1">
      <c r="A5" s="82"/>
      <c r="B5" s="82"/>
      <c r="C5" s="84" t="s">
        <v>67</v>
      </c>
      <c r="D5" s="84" t="s">
        <v>68</v>
      </c>
      <c r="E5" s="84" t="s">
        <v>69</v>
      </c>
      <c r="F5" s="84" t="s">
        <v>70</v>
      </c>
    </row>
    <row r="6" spans="1:10" s="20" customFormat="1" ht="14.25" customHeight="1">
      <c r="A6" s="83"/>
      <c r="B6" s="83"/>
      <c r="C6" s="85"/>
      <c r="D6" s="85"/>
      <c r="E6" s="85"/>
      <c r="F6" s="85"/>
    </row>
    <row r="7" spans="1:10" s="21" customFormat="1" ht="22.5">
      <c r="A7" s="24" t="s">
        <v>12</v>
      </c>
      <c r="B7" s="25" t="s">
        <v>13</v>
      </c>
      <c r="C7" s="33">
        <v>6414.4000000000005</v>
      </c>
      <c r="D7" s="33">
        <v>5929.9999999999973</v>
      </c>
      <c r="E7" s="15">
        <v>4752.2999999999965</v>
      </c>
      <c r="F7" s="15">
        <v>5148.3999999999996</v>
      </c>
    </row>
    <row r="8" spans="1:10" s="21" customFormat="1" ht="22.5">
      <c r="A8" s="26" t="s">
        <v>14</v>
      </c>
      <c r="B8" s="27" t="s">
        <v>15</v>
      </c>
      <c r="C8" s="34">
        <v>2328.6</v>
      </c>
      <c r="D8" s="34">
        <v>1861</v>
      </c>
      <c r="E8" s="34">
        <v>1511.1</v>
      </c>
      <c r="F8" s="22">
        <v>1773.1</v>
      </c>
    </row>
    <row r="9" spans="1:10" s="21" customFormat="1" ht="22.5">
      <c r="A9" s="26" t="s">
        <v>16</v>
      </c>
      <c r="B9" s="27" t="s">
        <v>17</v>
      </c>
      <c r="C9" s="34">
        <v>365.4</v>
      </c>
      <c r="D9" s="34">
        <v>367.7</v>
      </c>
      <c r="E9" s="34">
        <v>284.89999999999998</v>
      </c>
      <c r="F9" s="22">
        <v>282.8</v>
      </c>
    </row>
    <row r="10" spans="1:10" s="21" customFormat="1" ht="22.5">
      <c r="A10" s="26" t="s">
        <v>18</v>
      </c>
      <c r="B10" s="27" t="s">
        <v>19</v>
      </c>
      <c r="C10" s="34">
        <v>305.3</v>
      </c>
      <c r="D10" s="34">
        <v>25.9</v>
      </c>
      <c r="E10" s="34">
        <v>76</v>
      </c>
      <c r="F10" s="22">
        <v>104.5</v>
      </c>
    </row>
    <row r="11" spans="1:10" s="21" customFormat="1" ht="22.5">
      <c r="A11" s="26" t="s">
        <v>20</v>
      </c>
      <c r="B11" s="27" t="s">
        <v>21</v>
      </c>
      <c r="C11" s="34">
        <v>668.7</v>
      </c>
      <c r="D11" s="34">
        <v>591.1</v>
      </c>
      <c r="E11" s="34">
        <v>477.1</v>
      </c>
      <c r="F11" s="22">
        <v>448.9</v>
      </c>
    </row>
    <row r="12" spans="1:10" s="21" customFormat="1" ht="22.5">
      <c r="A12" s="26" t="s">
        <v>22</v>
      </c>
      <c r="B12" s="28" t="s">
        <v>23</v>
      </c>
      <c r="C12" s="34">
        <v>1464.3</v>
      </c>
      <c r="D12" s="34">
        <v>1439.5</v>
      </c>
      <c r="E12" s="34">
        <v>1305.0999999999999</v>
      </c>
      <c r="F12" s="22">
        <v>1305.4000000000001</v>
      </c>
    </row>
    <row r="13" spans="1:10" s="21" customFormat="1" ht="22.5">
      <c r="A13" s="26" t="s">
        <v>24</v>
      </c>
      <c r="B13" s="29" t="s">
        <v>25</v>
      </c>
      <c r="C13" s="34">
        <v>773.5</v>
      </c>
      <c r="D13" s="34">
        <v>1052.5</v>
      </c>
      <c r="E13" s="34">
        <v>559.20000000000005</v>
      </c>
      <c r="F13" s="22">
        <v>724.9</v>
      </c>
    </row>
    <row r="14" spans="1:10" s="21" customFormat="1" ht="22.5">
      <c r="A14" s="26" t="s">
        <v>26</v>
      </c>
      <c r="B14" s="30" t="s">
        <v>27</v>
      </c>
      <c r="C14" s="34">
        <v>124</v>
      </c>
      <c r="D14" s="34">
        <v>123.3</v>
      </c>
      <c r="E14" s="34">
        <v>129.69999999999999</v>
      </c>
      <c r="F14" s="22">
        <v>121.2</v>
      </c>
    </row>
    <row r="15" spans="1:10" s="21" customFormat="1" ht="22.5">
      <c r="A15" s="26" t="s">
        <v>28</v>
      </c>
      <c r="B15" s="29" t="s">
        <v>29</v>
      </c>
      <c r="C15" s="34">
        <v>10.6</v>
      </c>
      <c r="D15" s="34">
        <v>5.2</v>
      </c>
      <c r="E15" s="34">
        <v>4.2</v>
      </c>
      <c r="F15" s="22">
        <v>5.5</v>
      </c>
    </row>
    <row r="16" spans="1:10" s="21" customFormat="1" ht="22.5">
      <c r="A16" s="31" t="s">
        <v>30</v>
      </c>
      <c r="B16" s="32" t="s">
        <v>31</v>
      </c>
      <c r="C16" s="35">
        <v>374.00000000000057</v>
      </c>
      <c r="D16" s="35">
        <v>463.8</v>
      </c>
      <c r="E16" s="35">
        <v>404.9999999999967</v>
      </c>
      <c r="F16" s="23">
        <v>382.0999999999994</v>
      </c>
    </row>
    <row r="17" spans="1:6" ht="19.5">
      <c r="A17" s="63" t="s">
        <v>79</v>
      </c>
      <c r="B17" s="5" t="s">
        <v>32</v>
      </c>
      <c r="C17" s="5"/>
      <c r="D17" s="5"/>
      <c r="E17" s="5"/>
      <c r="F17" s="5"/>
    </row>
    <row r="18" spans="1:6" ht="15">
      <c r="A18" s="7"/>
      <c r="B18" s="6"/>
      <c r="C18" s="6"/>
      <c r="D18" s="6"/>
      <c r="E18" s="6"/>
      <c r="F18" s="6"/>
    </row>
    <row r="19" spans="1:6" ht="15">
      <c r="A19" s="7"/>
      <c r="B19" s="6"/>
      <c r="C19" s="6"/>
      <c r="D19" s="6"/>
      <c r="E19" s="6"/>
      <c r="F19" s="6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0866141732283505" right="0.70866141732283505" top="0.74803149606299202" bottom="0.74803149606299202" header="0.31496062992126" footer="0.31496062992126"/>
  <pageSetup paperSize="8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workbookViewId="0"/>
  </sheetViews>
  <sheetFormatPr defaultRowHeight="12.75"/>
  <cols>
    <col min="1" max="1" width="28.85546875" bestFit="1" customWidth="1"/>
    <col min="2" max="2" width="46.140625" customWidth="1"/>
    <col min="3" max="3" width="20.7109375" customWidth="1"/>
    <col min="4" max="4" width="21.42578125" customWidth="1"/>
    <col min="5" max="5" width="22" customWidth="1"/>
    <col min="6" max="6" width="22.28515625" customWidth="1"/>
  </cols>
  <sheetData>
    <row r="1" spans="1:7" ht="22.5">
      <c r="A1" s="2"/>
      <c r="B1" s="1"/>
      <c r="C1" s="1"/>
    </row>
    <row r="2" spans="1:7" ht="20.25">
      <c r="A2" s="86" t="s">
        <v>0</v>
      </c>
      <c r="B2" s="86"/>
      <c r="C2" s="86"/>
      <c r="D2" s="86"/>
      <c r="E2" s="86"/>
      <c r="F2" s="86"/>
    </row>
    <row r="3" spans="1:7" ht="15.75">
      <c r="A3" s="10"/>
      <c r="B3" s="3"/>
      <c r="F3" s="41" t="s">
        <v>1</v>
      </c>
      <c r="G3" s="11"/>
    </row>
    <row r="4" spans="1:7" s="20" customFormat="1" ht="18.75">
      <c r="A4" s="81" t="s">
        <v>2</v>
      </c>
      <c r="B4" s="81" t="s">
        <v>3</v>
      </c>
      <c r="C4" s="36" t="s">
        <v>4</v>
      </c>
      <c r="D4" s="37" t="s">
        <v>5</v>
      </c>
      <c r="E4" s="37" t="s">
        <v>6</v>
      </c>
      <c r="F4" s="40" t="s">
        <v>7</v>
      </c>
      <c r="G4" s="19"/>
    </row>
    <row r="5" spans="1:7" s="20" customFormat="1" ht="22.5" customHeight="1">
      <c r="A5" s="82"/>
      <c r="B5" s="82"/>
      <c r="C5" s="87" t="s">
        <v>71</v>
      </c>
      <c r="D5" s="87" t="s">
        <v>72</v>
      </c>
      <c r="E5" s="87" t="s">
        <v>73</v>
      </c>
      <c r="F5" s="84" t="s">
        <v>74</v>
      </c>
    </row>
    <row r="6" spans="1:7" s="20" customFormat="1" ht="14.25" customHeight="1">
      <c r="A6" s="83"/>
      <c r="B6" s="83"/>
      <c r="C6" s="88"/>
      <c r="D6" s="88"/>
      <c r="E6" s="88"/>
      <c r="F6" s="85"/>
    </row>
    <row r="7" spans="1:7" s="21" customFormat="1" ht="22.5">
      <c r="A7" s="24" t="s">
        <v>12</v>
      </c>
      <c r="B7" s="25" t="s">
        <v>13</v>
      </c>
      <c r="C7" s="33">
        <v>4731.0999999999995</v>
      </c>
      <c r="D7" s="33">
        <v>4399.1000000000013</v>
      </c>
      <c r="E7" s="33">
        <v>4275.5</v>
      </c>
      <c r="F7" s="33">
        <v>5298.8999999999969</v>
      </c>
    </row>
    <row r="8" spans="1:7" s="21" customFormat="1" ht="22.5">
      <c r="A8" s="26" t="s">
        <v>14</v>
      </c>
      <c r="B8" s="27" t="s">
        <v>15</v>
      </c>
      <c r="C8" s="34">
        <v>1615.7</v>
      </c>
      <c r="D8" s="34">
        <v>1469.8</v>
      </c>
      <c r="E8" s="34">
        <v>1354.5</v>
      </c>
      <c r="F8" s="34">
        <v>1594.4999999999998</v>
      </c>
    </row>
    <row r="9" spans="1:7" s="21" customFormat="1" ht="22.5">
      <c r="A9" s="26" t="s">
        <v>16</v>
      </c>
      <c r="B9" s="27" t="s">
        <v>17</v>
      </c>
      <c r="C9" s="34">
        <v>251.3</v>
      </c>
      <c r="D9" s="34">
        <v>284</v>
      </c>
      <c r="E9" s="34">
        <v>286.70000000000005</v>
      </c>
      <c r="F9" s="34">
        <v>503.2999999999999</v>
      </c>
    </row>
    <row r="10" spans="1:7" s="21" customFormat="1" ht="22.5">
      <c r="A10" s="26" t="s">
        <v>18</v>
      </c>
      <c r="B10" s="27" t="s">
        <v>19</v>
      </c>
      <c r="C10" s="34">
        <v>63.1</v>
      </c>
      <c r="D10" s="34">
        <v>52.9</v>
      </c>
      <c r="E10" s="34">
        <v>59.099999999999994</v>
      </c>
      <c r="F10" s="34">
        <v>69.200000000000017</v>
      </c>
    </row>
    <row r="11" spans="1:7" s="21" customFormat="1" ht="22.5">
      <c r="A11" s="26" t="s">
        <v>20</v>
      </c>
      <c r="B11" s="27" t="s">
        <v>21</v>
      </c>
      <c r="C11" s="34">
        <v>423.5</v>
      </c>
      <c r="D11" s="34">
        <v>294.3</v>
      </c>
      <c r="E11" s="34">
        <v>259.60000000000002</v>
      </c>
      <c r="F11" s="34">
        <v>297.79999999999995</v>
      </c>
    </row>
    <row r="12" spans="1:7" s="21" customFormat="1" ht="22.5">
      <c r="A12" s="26" t="s">
        <v>22</v>
      </c>
      <c r="B12" s="28" t="s">
        <v>23</v>
      </c>
      <c r="C12" s="34">
        <v>1307.7</v>
      </c>
      <c r="D12" s="34">
        <v>1349.9</v>
      </c>
      <c r="E12" s="34">
        <v>1401.6</v>
      </c>
      <c r="F12" s="34">
        <v>1690.5000000000002</v>
      </c>
    </row>
    <row r="13" spans="1:7" s="21" customFormat="1" ht="22.5">
      <c r="A13" s="26" t="s">
        <v>24</v>
      </c>
      <c r="B13" s="29" t="s">
        <v>25</v>
      </c>
      <c r="C13" s="34">
        <v>556.5</v>
      </c>
      <c r="D13" s="34">
        <v>369</v>
      </c>
      <c r="E13" s="34">
        <v>489.70000000000005</v>
      </c>
      <c r="F13" s="34">
        <v>649.20000000000005</v>
      </c>
    </row>
    <row r="14" spans="1:7" s="21" customFormat="1" ht="22.5">
      <c r="A14" s="26" t="s">
        <v>26</v>
      </c>
      <c r="B14" s="30" t="s">
        <v>27</v>
      </c>
      <c r="C14" s="34">
        <v>125</v>
      </c>
      <c r="D14" s="34">
        <v>135.80000000000001</v>
      </c>
      <c r="E14" s="34">
        <v>119.5</v>
      </c>
      <c r="F14" s="34">
        <v>127.89999999999998</v>
      </c>
    </row>
    <row r="15" spans="1:7" s="21" customFormat="1" ht="22.5">
      <c r="A15" s="26" t="s">
        <v>28</v>
      </c>
      <c r="B15" s="29" t="s">
        <v>29</v>
      </c>
      <c r="C15" s="34">
        <v>5.6</v>
      </c>
      <c r="D15" s="34">
        <v>4.5</v>
      </c>
      <c r="E15" s="34">
        <v>4.5</v>
      </c>
      <c r="F15" s="34">
        <v>6.7000000000000011</v>
      </c>
    </row>
    <row r="16" spans="1:7" s="21" customFormat="1" ht="22.5">
      <c r="A16" s="31" t="s">
        <v>30</v>
      </c>
      <c r="B16" s="32" t="s">
        <v>31</v>
      </c>
      <c r="C16" s="35">
        <v>382.69999999999948</v>
      </c>
      <c r="D16" s="35">
        <v>438.9</v>
      </c>
      <c r="E16" s="35">
        <v>300.30000000000041</v>
      </c>
      <c r="F16" s="35">
        <v>359.80000000000018</v>
      </c>
    </row>
    <row r="17" spans="1:3" ht="19.5">
      <c r="A17" s="63" t="s">
        <v>79</v>
      </c>
      <c r="B17" s="5" t="s">
        <v>32</v>
      </c>
      <c r="C17" s="5"/>
    </row>
    <row r="18" spans="1:3">
      <c r="B18" s="4"/>
      <c r="C18" s="4"/>
    </row>
    <row r="19" spans="1:3" ht="15">
      <c r="A19" s="7"/>
      <c r="B19" s="6"/>
      <c r="C19" s="6"/>
    </row>
    <row r="20" spans="1:3" ht="15">
      <c r="A20" s="7"/>
      <c r="B20" s="6"/>
      <c r="C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" right="0.7" top="0.75" bottom="0.75" header="0.3" footer="0.3"/>
  <pageSetup paperSize="8" scale="11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20"/>
  <sheetViews>
    <sheetView topLeftCell="A4" workbookViewId="0">
      <selection activeCell="A19" sqref="A19"/>
    </sheetView>
  </sheetViews>
  <sheetFormatPr defaultRowHeight="12.75"/>
  <cols>
    <col min="1" max="1" width="39" bestFit="1" customWidth="1"/>
    <col min="2" max="2" width="56.7109375" bestFit="1" customWidth="1"/>
    <col min="3" max="3" width="20.7109375" customWidth="1"/>
    <col min="4" max="4" width="24.7109375" customWidth="1"/>
    <col min="5" max="6" width="21.85546875" customWidth="1"/>
    <col min="7" max="7" width="9.5703125" bestFit="1" customWidth="1"/>
  </cols>
  <sheetData>
    <row r="1" spans="1:7" ht="22.5">
      <c r="A1" s="2"/>
      <c r="B1" s="1"/>
      <c r="C1" s="1"/>
    </row>
    <row r="2" spans="1:7" ht="20.25">
      <c r="A2" s="86" t="s">
        <v>0</v>
      </c>
      <c r="B2" s="86"/>
      <c r="C2" s="86"/>
      <c r="D2" s="86"/>
      <c r="E2" s="86"/>
      <c r="F2" s="86"/>
    </row>
    <row r="3" spans="1:7" ht="15.75">
      <c r="A3" s="10"/>
      <c r="B3" s="3"/>
      <c r="F3" s="41" t="s">
        <v>1</v>
      </c>
    </row>
    <row r="4" spans="1:7" s="20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7" s="20" customFormat="1" ht="22.5" customHeight="1">
      <c r="A5" s="82"/>
      <c r="B5" s="82"/>
      <c r="C5" s="87" t="s">
        <v>75</v>
      </c>
      <c r="D5" s="87" t="s">
        <v>76</v>
      </c>
      <c r="E5" s="87" t="s">
        <v>77</v>
      </c>
      <c r="F5" s="87" t="s">
        <v>78</v>
      </c>
    </row>
    <row r="6" spans="1:7" s="20" customFormat="1" ht="14.25" customHeight="1">
      <c r="A6" s="83"/>
      <c r="B6" s="83"/>
      <c r="C6" s="88"/>
      <c r="D6" s="88"/>
      <c r="E6" s="88"/>
      <c r="F6" s="88"/>
    </row>
    <row r="7" spans="1:7" s="21" customFormat="1" ht="24.95" customHeight="1">
      <c r="A7" s="42" t="s">
        <v>62</v>
      </c>
      <c r="B7" s="43" t="s">
        <v>13</v>
      </c>
      <c r="C7" s="44">
        <v>5261.4000000000015</v>
      </c>
      <c r="D7" s="44">
        <v>5182.5</v>
      </c>
      <c r="E7" s="45">
        <v>5486.1</v>
      </c>
      <c r="F7" s="45">
        <v>5798.2</v>
      </c>
      <c r="G7" s="38"/>
    </row>
    <row r="8" spans="1:7" s="21" customFormat="1" ht="24.95" customHeight="1">
      <c r="A8" s="46" t="s">
        <v>14</v>
      </c>
      <c r="B8" s="47" t="s">
        <v>15</v>
      </c>
      <c r="C8" s="48">
        <v>1473.4000000000005</v>
      </c>
      <c r="D8" s="48">
        <v>1652.3</v>
      </c>
      <c r="E8" s="49">
        <v>1841.9</v>
      </c>
      <c r="F8" s="49">
        <v>2064.3000000000002</v>
      </c>
      <c r="G8" s="38"/>
    </row>
    <row r="9" spans="1:7" s="21" customFormat="1" ht="24.95" customHeight="1">
      <c r="A9" s="46" t="s">
        <v>16</v>
      </c>
      <c r="B9" s="47" t="s">
        <v>17</v>
      </c>
      <c r="C9" s="48">
        <v>387</v>
      </c>
      <c r="D9" s="48">
        <v>456.5</v>
      </c>
      <c r="E9" s="49">
        <v>413.2</v>
      </c>
      <c r="F9" s="49">
        <v>455.4</v>
      </c>
      <c r="G9" s="38"/>
    </row>
    <row r="10" spans="1:7" s="21" customFormat="1" ht="24.95" customHeight="1">
      <c r="A10" s="46" t="s">
        <v>18</v>
      </c>
      <c r="B10" s="47" t="s">
        <v>19</v>
      </c>
      <c r="C10" s="48">
        <v>31.700000000000017</v>
      </c>
      <c r="D10" s="48">
        <v>22.6</v>
      </c>
      <c r="E10" s="49">
        <v>61.1</v>
      </c>
      <c r="F10" s="49">
        <v>98.4</v>
      </c>
      <c r="G10" s="38"/>
    </row>
    <row r="11" spans="1:7" s="21" customFormat="1" ht="24.95" customHeight="1">
      <c r="A11" s="46" t="s">
        <v>20</v>
      </c>
      <c r="B11" s="47" t="s">
        <v>21</v>
      </c>
      <c r="C11" s="48">
        <v>480.29999999999995</v>
      </c>
      <c r="D11" s="48">
        <v>363.7</v>
      </c>
      <c r="E11" s="49">
        <v>423.3</v>
      </c>
      <c r="F11" s="49">
        <v>546</v>
      </c>
      <c r="G11" s="38"/>
    </row>
    <row r="12" spans="1:7" s="21" customFormat="1" ht="24.95" customHeight="1">
      <c r="A12" s="46" t="s">
        <v>22</v>
      </c>
      <c r="B12" s="50" t="s">
        <v>23</v>
      </c>
      <c r="C12" s="48">
        <v>1662.8999999999996</v>
      </c>
      <c r="D12" s="48">
        <v>1716.9</v>
      </c>
      <c r="E12" s="49">
        <v>1581.5</v>
      </c>
      <c r="F12" s="49">
        <v>1447.7</v>
      </c>
      <c r="G12" s="38"/>
    </row>
    <row r="13" spans="1:7" s="21" customFormat="1" ht="24.95" customHeight="1">
      <c r="A13" s="46" t="s">
        <v>24</v>
      </c>
      <c r="B13" s="51" t="s">
        <v>25</v>
      </c>
      <c r="C13" s="48">
        <v>347.90000000000009</v>
      </c>
      <c r="D13" s="48">
        <v>345.1</v>
      </c>
      <c r="E13" s="49">
        <v>459.3</v>
      </c>
      <c r="F13" s="49">
        <v>517.79999999999995</v>
      </c>
      <c r="G13" s="38"/>
    </row>
    <row r="14" spans="1:7" s="21" customFormat="1" ht="24.95" customHeight="1">
      <c r="A14" s="46" t="s">
        <v>26</v>
      </c>
      <c r="B14" s="52" t="s">
        <v>27</v>
      </c>
      <c r="C14" s="48">
        <v>138.29999999999995</v>
      </c>
      <c r="D14" s="48">
        <v>155.30000000000001</v>
      </c>
      <c r="E14" s="49">
        <v>111</v>
      </c>
      <c r="F14" s="49">
        <v>123.3</v>
      </c>
      <c r="G14" s="38"/>
    </row>
    <row r="15" spans="1:7" s="21" customFormat="1" ht="24.95" customHeight="1">
      <c r="A15" s="46" t="s">
        <v>28</v>
      </c>
      <c r="B15" s="51" t="s">
        <v>29</v>
      </c>
      <c r="C15" s="48">
        <v>7.3000000000000043</v>
      </c>
      <c r="D15" s="48">
        <v>13.5</v>
      </c>
      <c r="E15" s="49">
        <v>10.4</v>
      </c>
      <c r="F15" s="49">
        <v>6.6</v>
      </c>
      <c r="G15" s="38"/>
    </row>
    <row r="16" spans="1:7" s="21" customFormat="1" ht="24.95" customHeight="1">
      <c r="A16" s="53" t="s">
        <v>30</v>
      </c>
      <c r="B16" s="54" t="s">
        <v>31</v>
      </c>
      <c r="C16" s="55">
        <v>732.59999999999991</v>
      </c>
      <c r="D16" s="55">
        <v>456.59999999999997</v>
      </c>
      <c r="E16" s="56">
        <v>584.40000000000043</v>
      </c>
      <c r="F16" s="56">
        <v>538.70000000000005</v>
      </c>
      <c r="G16" s="38"/>
    </row>
    <row r="17" spans="1:3" ht="19.5">
      <c r="A17" s="63" t="s">
        <v>79</v>
      </c>
      <c r="B17" s="57" t="s">
        <v>32</v>
      </c>
      <c r="C17" s="5"/>
    </row>
    <row r="18" spans="1:3">
      <c r="B18" s="4"/>
      <c r="C18" s="4"/>
    </row>
    <row r="19" spans="1:3" ht="15">
      <c r="A19" s="7"/>
      <c r="B19" s="6"/>
      <c r="C19" s="6"/>
    </row>
    <row r="20" spans="1:3" ht="15">
      <c r="A20" s="7"/>
      <c r="B20" s="6"/>
      <c r="C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1.6929133858267718" right="0.70866141732283472" top="0.74803149606299213" bottom="0.74803149606299213" header="0.31496062992125984" footer="0.31496062992125984"/>
  <pageSetup paperSize="8" scale="9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20"/>
  <sheetViews>
    <sheetView zoomScaleNormal="100" workbookViewId="0">
      <selection activeCell="F1" sqref="F1"/>
    </sheetView>
  </sheetViews>
  <sheetFormatPr defaultColWidth="9.140625" defaultRowHeight="14.25"/>
  <cols>
    <col min="1" max="1" width="39" style="58" bestFit="1" customWidth="1"/>
    <col min="2" max="2" width="56.42578125" style="58" bestFit="1" customWidth="1"/>
    <col min="3" max="5" width="20.7109375" style="58" customWidth="1"/>
    <col min="6" max="6" width="22.7109375" customWidth="1"/>
    <col min="7" max="16384" width="9.140625" style="58"/>
  </cols>
  <sheetData>
    <row r="1" spans="1:14" ht="22.5">
      <c r="A1" s="2"/>
      <c r="B1" s="1"/>
      <c r="C1" s="1"/>
      <c r="D1" s="1"/>
    </row>
    <row r="2" spans="1:14" ht="20.25">
      <c r="A2" s="86" t="s">
        <v>0</v>
      </c>
      <c r="B2" s="86"/>
      <c r="C2" s="86"/>
      <c r="D2" s="86"/>
      <c r="E2" s="86"/>
      <c r="F2" s="86"/>
    </row>
    <row r="3" spans="1:14" ht="15.75">
      <c r="A3" s="10"/>
      <c r="B3" s="3"/>
      <c r="F3" s="41" t="s">
        <v>1</v>
      </c>
    </row>
    <row r="4" spans="1:14" s="59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14" s="59" customFormat="1" ht="18" customHeight="1">
      <c r="A5" s="82"/>
      <c r="B5" s="82"/>
      <c r="C5" s="87" t="s">
        <v>80</v>
      </c>
      <c r="D5" s="87" t="s">
        <v>81</v>
      </c>
      <c r="E5" s="87" t="s">
        <v>82</v>
      </c>
      <c r="F5" s="87" t="s">
        <v>83</v>
      </c>
    </row>
    <row r="6" spans="1:14" s="59" customFormat="1" ht="18" customHeight="1">
      <c r="A6" s="83"/>
      <c r="B6" s="83"/>
      <c r="C6" s="88"/>
      <c r="D6" s="88"/>
      <c r="E6" s="88"/>
      <c r="F6" s="88"/>
    </row>
    <row r="7" spans="1:14" s="60" customFormat="1" ht="24.95" customHeight="1">
      <c r="A7" s="42" t="s">
        <v>62</v>
      </c>
      <c r="B7" s="43" t="s">
        <v>13</v>
      </c>
      <c r="C7" s="44">
        <v>5839.4</v>
      </c>
      <c r="D7" s="44">
        <v>6215.7000000000007</v>
      </c>
      <c r="E7" s="61">
        <v>6755.8</v>
      </c>
      <c r="F7" s="61">
        <v>7016.1</v>
      </c>
      <c r="K7" s="62"/>
      <c r="L7" s="62"/>
      <c r="M7" s="62"/>
      <c r="N7" s="62"/>
    </row>
    <row r="8" spans="1:14" s="60" customFormat="1" ht="24.95" customHeight="1">
      <c r="A8" s="46" t="s">
        <v>14</v>
      </c>
      <c r="B8" s="47" t="s">
        <v>15</v>
      </c>
      <c r="C8" s="48">
        <v>2124.6999999999998</v>
      </c>
      <c r="D8" s="48">
        <v>2009.3000000000002</v>
      </c>
      <c r="E8" s="49">
        <v>2418.1</v>
      </c>
      <c r="F8" s="49">
        <v>2427</v>
      </c>
      <c r="K8" s="62"/>
      <c r="L8" s="62"/>
      <c r="M8" s="62"/>
      <c r="N8" s="62"/>
    </row>
    <row r="9" spans="1:14" s="60" customFormat="1" ht="24.95" customHeight="1">
      <c r="A9" s="46" t="s">
        <v>16</v>
      </c>
      <c r="B9" s="47" t="s">
        <v>17</v>
      </c>
      <c r="C9" s="48">
        <v>502.7</v>
      </c>
      <c r="D9" s="48">
        <v>515.20000000000005</v>
      </c>
      <c r="E9" s="49">
        <v>599.29999999999995</v>
      </c>
      <c r="F9" s="49">
        <v>509.4</v>
      </c>
      <c r="K9" s="62"/>
      <c r="L9" s="62"/>
      <c r="M9" s="62"/>
      <c r="N9" s="62"/>
    </row>
    <row r="10" spans="1:14" s="60" customFormat="1" ht="24.95" customHeight="1">
      <c r="A10" s="46" t="s">
        <v>18</v>
      </c>
      <c r="B10" s="47" t="s">
        <v>19</v>
      </c>
      <c r="C10" s="48">
        <v>42.8</v>
      </c>
      <c r="D10" s="48">
        <v>59.600000000000009</v>
      </c>
      <c r="E10" s="49">
        <v>102.7</v>
      </c>
      <c r="F10" s="49">
        <v>96.1</v>
      </c>
      <c r="K10" s="62"/>
      <c r="L10" s="62"/>
      <c r="M10" s="62"/>
      <c r="N10" s="62"/>
    </row>
    <row r="11" spans="1:14" s="60" customFormat="1" ht="24.95" customHeight="1">
      <c r="A11" s="46" t="s">
        <v>20</v>
      </c>
      <c r="B11" s="47" t="s">
        <v>21</v>
      </c>
      <c r="C11" s="48">
        <v>411.1</v>
      </c>
      <c r="D11" s="48">
        <v>574.4</v>
      </c>
      <c r="E11" s="49">
        <v>480.7</v>
      </c>
      <c r="F11" s="49">
        <v>614.5</v>
      </c>
      <c r="K11" s="62"/>
      <c r="L11" s="62"/>
      <c r="M11" s="62"/>
      <c r="N11" s="62"/>
    </row>
    <row r="12" spans="1:14" s="60" customFormat="1" ht="24.95" customHeight="1">
      <c r="A12" s="46" t="s">
        <v>22</v>
      </c>
      <c r="B12" s="50" t="s">
        <v>23</v>
      </c>
      <c r="C12" s="48">
        <v>1363</v>
      </c>
      <c r="D12" s="48">
        <v>1589</v>
      </c>
      <c r="E12" s="49">
        <v>1622.8</v>
      </c>
      <c r="F12" s="49">
        <v>1462.9</v>
      </c>
      <c r="K12" s="62"/>
      <c r="L12" s="62"/>
      <c r="M12" s="62"/>
      <c r="N12" s="62"/>
    </row>
    <row r="13" spans="1:14" s="60" customFormat="1" ht="24.95" customHeight="1">
      <c r="A13" s="46" t="s">
        <v>24</v>
      </c>
      <c r="B13" s="51" t="s">
        <v>25</v>
      </c>
      <c r="C13" s="48">
        <v>614.29999999999995</v>
      </c>
      <c r="D13" s="48">
        <v>504.10000000000014</v>
      </c>
      <c r="E13" s="49">
        <v>713.1</v>
      </c>
      <c r="F13" s="49">
        <v>847.4</v>
      </c>
      <c r="K13" s="62"/>
      <c r="L13" s="62"/>
      <c r="M13" s="62"/>
      <c r="N13" s="62"/>
    </row>
    <row r="14" spans="1:14" s="60" customFormat="1" ht="24.95" customHeight="1">
      <c r="A14" s="46" t="s">
        <v>26</v>
      </c>
      <c r="B14" s="52" t="s">
        <v>27</v>
      </c>
      <c r="C14" s="48">
        <v>129.19999999999999</v>
      </c>
      <c r="D14" s="48">
        <v>221</v>
      </c>
      <c r="E14" s="49">
        <v>193.1</v>
      </c>
      <c r="F14" s="49">
        <v>127.5</v>
      </c>
      <c r="K14" s="62"/>
      <c r="L14" s="62"/>
      <c r="M14" s="62"/>
      <c r="N14" s="62"/>
    </row>
    <row r="15" spans="1:14" s="60" customFormat="1" ht="24.95" customHeight="1">
      <c r="A15" s="46" t="s">
        <v>28</v>
      </c>
      <c r="B15" s="51" t="s">
        <v>29</v>
      </c>
      <c r="C15" s="48">
        <v>4.3</v>
      </c>
      <c r="D15" s="48">
        <v>9.6000000000000014</v>
      </c>
      <c r="E15" s="49">
        <v>12.7</v>
      </c>
      <c r="F15" s="49">
        <v>6.9</v>
      </c>
      <c r="K15" s="62"/>
      <c r="L15" s="62"/>
      <c r="M15" s="62"/>
      <c r="N15" s="62"/>
    </row>
    <row r="16" spans="1:14" s="60" customFormat="1" ht="24.95" customHeight="1">
      <c r="A16" s="53" t="s">
        <v>30</v>
      </c>
      <c r="B16" s="54" t="s">
        <v>31</v>
      </c>
      <c r="C16" s="55">
        <v>647.29999999999973</v>
      </c>
      <c r="D16" s="55">
        <v>733.50000000000136</v>
      </c>
      <c r="E16" s="56">
        <v>613.29999999999995</v>
      </c>
      <c r="F16" s="56">
        <v>924.4</v>
      </c>
      <c r="K16" s="62"/>
      <c r="L16" s="62"/>
      <c r="M16" s="62"/>
      <c r="N16" s="62"/>
    </row>
    <row r="17" spans="1:14" ht="19.5">
      <c r="A17" s="63" t="s">
        <v>79</v>
      </c>
      <c r="B17" s="57" t="s">
        <v>32</v>
      </c>
      <c r="C17" s="5"/>
      <c r="D17" s="5"/>
      <c r="K17" s="62"/>
      <c r="L17" s="62"/>
      <c r="M17" s="62"/>
      <c r="N17" s="62"/>
    </row>
    <row r="18" spans="1:14">
      <c r="B18" s="4"/>
      <c r="C18" s="4"/>
      <c r="D18" s="4"/>
    </row>
    <row r="19" spans="1:14" ht="15">
      <c r="A19" s="7"/>
      <c r="B19" s="6"/>
      <c r="C19" s="6"/>
      <c r="D19" s="6"/>
    </row>
    <row r="20" spans="1:14" ht="15">
      <c r="A20" s="7"/>
      <c r="B20" s="6"/>
      <c r="C20" s="6"/>
      <c r="D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"/>
  <sheetViews>
    <sheetView view="pageBreakPreview" topLeftCell="B1" zoomScale="102" zoomScaleNormal="100" zoomScaleSheetLayoutView="102" workbookViewId="0">
      <selection activeCell="G1" sqref="G1"/>
    </sheetView>
  </sheetViews>
  <sheetFormatPr defaultColWidth="9.140625" defaultRowHeight="14.25"/>
  <cols>
    <col min="1" max="1" width="39" style="58" bestFit="1" customWidth="1"/>
    <col min="2" max="2" width="56.42578125" style="58" bestFit="1" customWidth="1"/>
    <col min="3" max="3" width="20.7109375" style="58" customWidth="1"/>
    <col min="4" max="4" width="20.140625" style="58" customWidth="1"/>
    <col min="5" max="5" width="22.42578125" style="58" customWidth="1"/>
    <col min="6" max="6" width="22.7109375" style="58" customWidth="1"/>
    <col min="7" max="16384" width="9.140625" style="58"/>
  </cols>
  <sheetData>
    <row r="1" spans="1:14" ht="22.5">
      <c r="A1" s="2"/>
      <c r="B1" s="1"/>
      <c r="C1" s="1"/>
    </row>
    <row r="2" spans="1:14" ht="20.25">
      <c r="A2" s="86" t="s">
        <v>0</v>
      </c>
      <c r="B2" s="86"/>
      <c r="C2" s="86"/>
      <c r="D2" s="86"/>
      <c r="E2" s="86"/>
      <c r="F2" s="86"/>
    </row>
    <row r="3" spans="1:14" ht="15.75">
      <c r="A3" s="10"/>
      <c r="B3" s="3"/>
      <c r="F3" s="41" t="s">
        <v>1</v>
      </c>
    </row>
    <row r="4" spans="1:14" s="59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14" s="59" customFormat="1" ht="18" customHeight="1">
      <c r="A5" s="82"/>
      <c r="B5" s="82"/>
      <c r="C5" s="87" t="s">
        <v>84</v>
      </c>
      <c r="D5" s="87" t="s">
        <v>85</v>
      </c>
      <c r="E5" s="87" t="s">
        <v>86</v>
      </c>
      <c r="F5" s="87" t="s">
        <v>87</v>
      </c>
    </row>
    <row r="6" spans="1:14" s="59" customFormat="1" ht="18" customHeight="1">
      <c r="A6" s="83"/>
      <c r="B6" s="83"/>
      <c r="C6" s="88"/>
      <c r="D6" s="88"/>
      <c r="E6" s="88"/>
      <c r="F6" s="88"/>
    </row>
    <row r="7" spans="1:14" s="60" customFormat="1" ht="24.95" customHeight="1">
      <c r="A7" s="42" t="s">
        <v>62</v>
      </c>
      <c r="B7" s="43" t="s">
        <v>13</v>
      </c>
      <c r="C7" s="44">
        <v>6785.2</v>
      </c>
      <c r="D7" s="44">
        <v>7488.7</v>
      </c>
      <c r="E7" s="61">
        <v>6638.1</v>
      </c>
      <c r="F7" s="61">
        <v>7582.9999999999982</v>
      </c>
      <c r="H7" s="62"/>
      <c r="I7" s="62"/>
      <c r="J7" s="62"/>
      <c r="K7" s="62"/>
      <c r="L7" s="62"/>
      <c r="M7" s="62"/>
      <c r="N7" s="62"/>
    </row>
    <row r="8" spans="1:14" s="60" customFormat="1" ht="24.95" customHeight="1">
      <c r="A8" s="46" t="s">
        <v>14</v>
      </c>
      <c r="B8" s="47" t="s">
        <v>15</v>
      </c>
      <c r="C8" s="48">
        <v>2605.4</v>
      </c>
      <c r="D8" s="48">
        <v>2650.1</v>
      </c>
      <c r="E8" s="49">
        <v>2120.3999999999996</v>
      </c>
      <c r="F8" s="49">
        <v>2804.2000000000007</v>
      </c>
      <c r="H8" s="62"/>
      <c r="I8" s="62"/>
      <c r="J8" s="62"/>
      <c r="K8" s="62"/>
      <c r="L8" s="62"/>
      <c r="M8" s="62"/>
      <c r="N8" s="62"/>
    </row>
    <row r="9" spans="1:14" s="60" customFormat="1" ht="24.95" customHeight="1">
      <c r="A9" s="46" t="s">
        <v>16</v>
      </c>
      <c r="B9" s="47" t="s">
        <v>17</v>
      </c>
      <c r="C9" s="48">
        <v>472</v>
      </c>
      <c r="D9" s="48">
        <v>525.9</v>
      </c>
      <c r="E9" s="49">
        <v>543.9</v>
      </c>
      <c r="F9" s="49">
        <v>526.50000000000011</v>
      </c>
      <c r="H9" s="62"/>
      <c r="I9" s="62"/>
      <c r="J9" s="62"/>
      <c r="K9" s="62"/>
      <c r="L9" s="62"/>
      <c r="M9" s="62"/>
      <c r="N9" s="62"/>
    </row>
    <row r="10" spans="1:14" s="60" customFormat="1" ht="24.95" customHeight="1">
      <c r="A10" s="46" t="s">
        <v>18</v>
      </c>
      <c r="B10" s="47" t="s">
        <v>19</v>
      </c>
      <c r="C10" s="48">
        <v>39.6</v>
      </c>
      <c r="D10" s="48">
        <v>38.300000000000004</v>
      </c>
      <c r="E10" s="49">
        <v>68.199999999999989</v>
      </c>
      <c r="F10" s="49">
        <v>98.700000000000017</v>
      </c>
      <c r="H10" s="62"/>
      <c r="I10" s="62"/>
      <c r="J10" s="62"/>
      <c r="K10" s="62"/>
      <c r="L10" s="62"/>
      <c r="M10" s="62"/>
      <c r="N10" s="62"/>
    </row>
    <row r="11" spans="1:14" s="60" customFormat="1" ht="24.95" customHeight="1">
      <c r="A11" s="46" t="s">
        <v>20</v>
      </c>
      <c r="B11" s="47" t="s">
        <v>21</v>
      </c>
      <c r="C11" s="48">
        <v>652.29999999999995</v>
      </c>
      <c r="D11" s="48">
        <v>661.3</v>
      </c>
      <c r="E11" s="49">
        <v>680.30000000000018</v>
      </c>
      <c r="F11" s="49">
        <v>862.09999999999968</v>
      </c>
      <c r="H11" s="62"/>
      <c r="I11" s="62"/>
      <c r="J11" s="62"/>
      <c r="K11" s="62"/>
      <c r="L11" s="62"/>
      <c r="M11" s="62"/>
      <c r="N11" s="62"/>
    </row>
    <row r="12" spans="1:14" s="60" customFormat="1" ht="24.95" customHeight="1">
      <c r="A12" s="46" t="s">
        <v>22</v>
      </c>
      <c r="B12" s="50" t="s">
        <v>23</v>
      </c>
      <c r="C12" s="48">
        <v>1278</v>
      </c>
      <c r="D12" s="48">
        <v>1619.1</v>
      </c>
      <c r="E12" s="49">
        <v>1538.6</v>
      </c>
      <c r="F12" s="49">
        <v>1711.5</v>
      </c>
      <c r="H12" s="62"/>
      <c r="I12" s="62"/>
      <c r="J12" s="62"/>
      <c r="K12" s="62"/>
      <c r="L12" s="62"/>
      <c r="M12" s="62"/>
      <c r="N12" s="62"/>
    </row>
    <row r="13" spans="1:14" s="60" customFormat="1" ht="24.95" customHeight="1">
      <c r="A13" s="46" t="s">
        <v>24</v>
      </c>
      <c r="B13" s="51" t="s">
        <v>25</v>
      </c>
      <c r="C13" s="48">
        <v>873.8</v>
      </c>
      <c r="D13" s="48">
        <v>939.2</v>
      </c>
      <c r="E13" s="49">
        <v>748.19999999999982</v>
      </c>
      <c r="F13" s="49">
        <v>837.40000000000032</v>
      </c>
      <c r="H13" s="62"/>
      <c r="I13" s="62"/>
      <c r="J13" s="62"/>
      <c r="K13" s="62"/>
      <c r="L13" s="62"/>
      <c r="M13" s="62"/>
      <c r="N13" s="62"/>
    </row>
    <row r="14" spans="1:14" s="60" customFormat="1" ht="24.95" customHeight="1">
      <c r="A14" s="46" t="s">
        <v>26</v>
      </c>
      <c r="B14" s="52" t="s">
        <v>27</v>
      </c>
      <c r="C14" s="48">
        <v>132</v>
      </c>
      <c r="D14" s="48">
        <v>164</v>
      </c>
      <c r="E14" s="49">
        <v>173.39999999999998</v>
      </c>
      <c r="F14" s="49">
        <v>131.5</v>
      </c>
      <c r="H14" s="62"/>
      <c r="I14" s="62"/>
      <c r="J14" s="62"/>
      <c r="K14" s="62"/>
      <c r="L14" s="62"/>
      <c r="M14" s="62"/>
      <c r="N14" s="62"/>
    </row>
    <row r="15" spans="1:14" s="60" customFormat="1" ht="24.95" customHeight="1">
      <c r="A15" s="46" t="s">
        <v>28</v>
      </c>
      <c r="B15" s="51" t="s">
        <v>29</v>
      </c>
      <c r="C15" s="48">
        <v>6.7</v>
      </c>
      <c r="D15" s="48">
        <v>7.3999999999999995</v>
      </c>
      <c r="E15" s="49">
        <v>11.200000000000001</v>
      </c>
      <c r="F15" s="49">
        <v>9.2000000000000011</v>
      </c>
      <c r="H15" s="62"/>
      <c r="I15" s="62"/>
      <c r="J15" s="62"/>
      <c r="K15" s="62"/>
      <c r="L15" s="62"/>
      <c r="M15" s="62"/>
      <c r="N15" s="62"/>
    </row>
    <row r="16" spans="1:14" s="60" customFormat="1" ht="24.95" customHeight="1">
      <c r="A16" s="53" t="s">
        <v>30</v>
      </c>
      <c r="B16" s="54" t="s">
        <v>31</v>
      </c>
      <c r="C16" s="55">
        <v>725.39999999999964</v>
      </c>
      <c r="D16" s="55">
        <v>883.4</v>
      </c>
      <c r="E16" s="56">
        <v>753.9</v>
      </c>
      <c r="F16" s="56">
        <v>601.9</v>
      </c>
      <c r="H16" s="62"/>
      <c r="I16" s="62"/>
      <c r="J16" s="62"/>
      <c r="K16" s="62"/>
      <c r="L16" s="62"/>
      <c r="M16" s="62"/>
      <c r="N16" s="62"/>
    </row>
    <row r="17" spans="1:14" ht="19.5">
      <c r="A17" s="63" t="s">
        <v>79</v>
      </c>
      <c r="B17" s="65" t="s">
        <v>32</v>
      </c>
      <c r="C17" s="5"/>
      <c r="K17" s="62"/>
      <c r="L17" s="62"/>
      <c r="M17" s="62"/>
      <c r="N17" s="62"/>
    </row>
    <row r="18" spans="1:14">
      <c r="B18" s="4"/>
      <c r="C18" s="4"/>
    </row>
    <row r="19" spans="1:14" ht="15">
      <c r="A19" s="7"/>
      <c r="B19" s="6"/>
      <c r="C19" s="6"/>
    </row>
    <row r="20" spans="1:14" ht="15">
      <c r="A20" s="7"/>
      <c r="B20" s="6"/>
      <c r="C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0"/>
  <sheetViews>
    <sheetView view="pageBreakPreview" zoomScale="80" zoomScaleNormal="100" zoomScaleSheetLayoutView="80" workbookViewId="0">
      <selection activeCell="B20" sqref="B20"/>
    </sheetView>
  </sheetViews>
  <sheetFormatPr defaultColWidth="9.140625" defaultRowHeight="14.25"/>
  <cols>
    <col min="1" max="1" width="39" style="58" bestFit="1" customWidth="1"/>
    <col min="2" max="2" width="56.42578125" style="58" bestFit="1" customWidth="1"/>
    <col min="3" max="3" width="20.7109375" style="58" customWidth="1"/>
    <col min="4" max="5" width="24.140625" style="58" customWidth="1"/>
    <col min="6" max="6" width="21" style="58" customWidth="1"/>
    <col min="7" max="16384" width="9.140625" style="58"/>
  </cols>
  <sheetData>
    <row r="1" spans="1:20" ht="22.5">
      <c r="A1" s="2"/>
      <c r="B1" s="1"/>
      <c r="C1" s="1"/>
    </row>
    <row r="2" spans="1:20" ht="20.25">
      <c r="A2" s="86" t="s">
        <v>0</v>
      </c>
      <c r="B2" s="86"/>
      <c r="C2" s="86"/>
      <c r="D2" s="86"/>
      <c r="E2" s="86"/>
      <c r="F2" s="86"/>
    </row>
    <row r="3" spans="1:20" ht="15.75">
      <c r="A3" s="10"/>
      <c r="B3" s="3"/>
      <c r="F3" s="41" t="s">
        <v>1</v>
      </c>
    </row>
    <row r="4" spans="1:20" s="59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20" s="59" customFormat="1" ht="18" customHeight="1">
      <c r="A5" s="82"/>
      <c r="B5" s="82"/>
      <c r="C5" s="87" t="s">
        <v>90</v>
      </c>
      <c r="D5" s="87" t="s">
        <v>91</v>
      </c>
      <c r="E5" s="87" t="s">
        <v>92</v>
      </c>
      <c r="F5" s="87" t="s">
        <v>93</v>
      </c>
    </row>
    <row r="6" spans="1:20" s="59" customFormat="1" ht="18" customHeight="1">
      <c r="A6" s="83"/>
      <c r="B6" s="83"/>
      <c r="C6" s="88"/>
      <c r="D6" s="88"/>
      <c r="E6" s="88"/>
      <c r="F6" s="88"/>
    </row>
    <row r="7" spans="1:20" s="60" customFormat="1" ht="24.95" customHeight="1">
      <c r="A7" s="42" t="s">
        <v>62</v>
      </c>
      <c r="B7" s="43" t="s">
        <v>13</v>
      </c>
      <c r="C7" s="44">
        <v>7120.8</v>
      </c>
      <c r="D7" s="44">
        <v>7130.2</v>
      </c>
      <c r="E7" s="61">
        <v>6702.5999999999976</v>
      </c>
      <c r="F7" s="61">
        <v>5422.4000000000015</v>
      </c>
      <c r="G7" s="62"/>
      <c r="H7" s="62"/>
      <c r="I7" s="62"/>
      <c r="J7" s="62"/>
      <c r="K7" s="62"/>
      <c r="L7" s="62"/>
      <c r="M7" s="62"/>
      <c r="N7" s="62"/>
      <c r="O7" s="62"/>
      <c r="Q7" s="62"/>
      <c r="R7" s="62"/>
      <c r="S7" s="62"/>
      <c r="T7" s="62"/>
    </row>
    <row r="8" spans="1:20" s="60" customFormat="1" ht="24.95" customHeight="1">
      <c r="A8" s="46" t="s">
        <v>14</v>
      </c>
      <c r="B8" s="47" t="s">
        <v>15</v>
      </c>
      <c r="C8" s="48">
        <v>2482.1999999999998</v>
      </c>
      <c r="D8" s="48">
        <v>2179.3000000000002</v>
      </c>
      <c r="E8" s="49">
        <v>1610.8000000000002</v>
      </c>
      <c r="F8" s="49">
        <v>1148.6000000000004</v>
      </c>
      <c r="G8" s="62"/>
      <c r="H8" s="62"/>
      <c r="I8" s="62"/>
      <c r="J8" s="62"/>
      <c r="K8" s="62"/>
      <c r="L8" s="62"/>
      <c r="M8" s="62"/>
      <c r="N8" s="62"/>
      <c r="O8" s="62"/>
      <c r="Q8" s="62"/>
      <c r="R8" s="62"/>
      <c r="S8" s="62"/>
      <c r="T8" s="62"/>
    </row>
    <row r="9" spans="1:20" s="60" customFormat="1" ht="24.95" customHeight="1">
      <c r="A9" s="46" t="s">
        <v>16</v>
      </c>
      <c r="B9" s="47" t="s">
        <v>17</v>
      </c>
      <c r="C9" s="48">
        <v>499.8</v>
      </c>
      <c r="D9" s="48">
        <v>499.99999999999994</v>
      </c>
      <c r="E9" s="49">
        <v>952</v>
      </c>
      <c r="F9" s="49">
        <v>816.60000000000014</v>
      </c>
      <c r="G9" s="62"/>
      <c r="H9" s="62"/>
      <c r="I9" s="62"/>
      <c r="J9" s="62"/>
      <c r="K9" s="62"/>
      <c r="L9" s="62"/>
      <c r="M9" s="62"/>
      <c r="N9" s="62"/>
      <c r="O9" s="62"/>
      <c r="Q9" s="62"/>
      <c r="R9" s="62"/>
      <c r="S9" s="62"/>
      <c r="T9" s="62"/>
    </row>
    <row r="10" spans="1:20" s="60" customFormat="1" ht="24.95" customHeight="1">
      <c r="A10" s="46" t="s">
        <v>18</v>
      </c>
      <c r="B10" s="47" t="s">
        <v>19</v>
      </c>
      <c r="C10" s="48">
        <v>50.1</v>
      </c>
      <c r="D10" s="48">
        <v>38.699999999999996</v>
      </c>
      <c r="E10" s="49">
        <v>81.400000000000006</v>
      </c>
      <c r="F10" s="49">
        <v>111.90000000000003</v>
      </c>
      <c r="G10" s="62"/>
      <c r="H10" s="62"/>
      <c r="I10" s="62"/>
      <c r="J10" s="62"/>
      <c r="K10" s="62"/>
      <c r="L10" s="62"/>
      <c r="M10" s="62"/>
      <c r="N10" s="62"/>
      <c r="O10" s="62"/>
      <c r="Q10" s="62"/>
      <c r="R10" s="62"/>
      <c r="S10" s="62"/>
      <c r="T10" s="62"/>
    </row>
    <row r="11" spans="1:20" s="60" customFormat="1" ht="24.95" customHeight="1">
      <c r="A11" s="46" t="s">
        <v>20</v>
      </c>
      <c r="B11" s="47" t="s">
        <v>21</v>
      </c>
      <c r="C11" s="48">
        <v>732.2</v>
      </c>
      <c r="D11" s="48">
        <v>636.59999999999991</v>
      </c>
      <c r="E11" s="49">
        <v>576.10000000000014</v>
      </c>
      <c r="F11" s="49">
        <v>458.90000000000009</v>
      </c>
      <c r="G11" s="62"/>
      <c r="H11" s="62"/>
      <c r="I11" s="62"/>
      <c r="J11" s="62"/>
      <c r="K11" s="62"/>
      <c r="L11" s="62"/>
      <c r="M11" s="62"/>
      <c r="N11" s="62"/>
      <c r="O11" s="62"/>
      <c r="Q11" s="62"/>
      <c r="R11" s="62"/>
      <c r="S11" s="62"/>
      <c r="T11" s="62"/>
    </row>
    <row r="12" spans="1:20" s="60" customFormat="1" ht="24.95" customHeight="1">
      <c r="A12" s="46" t="s">
        <v>22</v>
      </c>
      <c r="B12" s="50" t="s">
        <v>23</v>
      </c>
      <c r="C12" s="48">
        <v>1688.9</v>
      </c>
      <c r="D12" s="48">
        <v>1781.5</v>
      </c>
      <c r="E12" s="49">
        <v>1692.2999999999997</v>
      </c>
      <c r="F12" s="49">
        <v>1609.8000000000002</v>
      </c>
      <c r="G12" s="62"/>
      <c r="H12" s="62"/>
      <c r="I12" s="62"/>
      <c r="J12" s="62"/>
      <c r="K12" s="62"/>
      <c r="L12" s="62"/>
      <c r="M12" s="62"/>
      <c r="N12" s="62"/>
      <c r="O12" s="62"/>
      <c r="Q12" s="62"/>
      <c r="R12" s="62"/>
      <c r="S12" s="62"/>
      <c r="T12" s="62"/>
    </row>
    <row r="13" spans="1:20" s="60" customFormat="1" ht="24.95" customHeight="1">
      <c r="A13" s="46" t="s">
        <v>24</v>
      </c>
      <c r="B13" s="51" t="s">
        <v>25</v>
      </c>
      <c r="C13" s="48">
        <v>814.1</v>
      </c>
      <c r="D13" s="48">
        <v>941.1</v>
      </c>
      <c r="E13" s="49">
        <v>843.20000000000016</v>
      </c>
      <c r="F13" s="49">
        <v>665</v>
      </c>
      <c r="G13" s="62"/>
      <c r="H13" s="62"/>
      <c r="I13" s="62"/>
      <c r="J13" s="62"/>
      <c r="K13" s="62"/>
      <c r="L13" s="62"/>
      <c r="M13" s="62"/>
      <c r="N13" s="62"/>
      <c r="O13" s="62"/>
      <c r="Q13" s="62"/>
      <c r="R13" s="62"/>
      <c r="S13" s="62"/>
      <c r="T13" s="62"/>
    </row>
    <row r="14" spans="1:20" s="60" customFormat="1" ht="24.95" customHeight="1">
      <c r="A14" s="46" t="s">
        <v>26</v>
      </c>
      <c r="B14" s="52" t="s">
        <v>27</v>
      </c>
      <c r="C14" s="48">
        <v>161</v>
      </c>
      <c r="D14" s="48">
        <v>122</v>
      </c>
      <c r="E14" s="49">
        <v>139.5</v>
      </c>
      <c r="F14" s="49">
        <v>126.39999999999998</v>
      </c>
      <c r="G14" s="62"/>
      <c r="H14" s="62"/>
      <c r="I14" s="62"/>
      <c r="J14" s="62"/>
      <c r="K14" s="62"/>
      <c r="L14" s="62"/>
      <c r="M14" s="62"/>
      <c r="N14" s="62"/>
      <c r="O14" s="62"/>
      <c r="Q14" s="62"/>
      <c r="R14" s="62"/>
      <c r="S14" s="62"/>
      <c r="T14" s="62"/>
    </row>
    <row r="15" spans="1:20" s="60" customFormat="1" ht="24.95" customHeight="1">
      <c r="A15" s="46" t="s">
        <v>28</v>
      </c>
      <c r="B15" s="51" t="s">
        <v>29</v>
      </c>
      <c r="C15" s="48">
        <v>9.4</v>
      </c>
      <c r="D15" s="48">
        <v>7.1</v>
      </c>
      <c r="E15" s="49">
        <v>9.1</v>
      </c>
      <c r="F15" s="49">
        <v>8.6000000000000014</v>
      </c>
      <c r="G15" s="62"/>
      <c r="H15" s="62"/>
      <c r="I15" s="62"/>
      <c r="J15" s="62"/>
      <c r="K15" s="62"/>
      <c r="L15" s="62"/>
      <c r="M15" s="62"/>
      <c r="N15" s="62"/>
      <c r="O15" s="62"/>
      <c r="Q15" s="62"/>
      <c r="R15" s="62"/>
      <c r="S15" s="62"/>
      <c r="T15" s="62"/>
    </row>
    <row r="16" spans="1:20" s="60" customFormat="1" ht="24.95" customHeight="1">
      <c r="A16" s="53" t="s">
        <v>30</v>
      </c>
      <c r="B16" s="54" t="s">
        <v>31</v>
      </c>
      <c r="C16" s="55">
        <v>683.1</v>
      </c>
      <c r="D16" s="55">
        <v>923.9</v>
      </c>
      <c r="E16" s="56">
        <v>798.2</v>
      </c>
      <c r="F16" s="56">
        <v>476.6</v>
      </c>
      <c r="G16" s="62"/>
      <c r="H16" s="62"/>
      <c r="I16" s="62"/>
      <c r="J16" s="62"/>
      <c r="K16" s="62"/>
      <c r="L16" s="62"/>
      <c r="M16" s="62"/>
      <c r="N16" s="62"/>
      <c r="O16" s="62"/>
      <c r="Q16" s="62"/>
      <c r="R16" s="62"/>
      <c r="S16" s="62"/>
      <c r="T16" s="62"/>
    </row>
    <row r="17" spans="1:15" ht="19.5">
      <c r="A17" s="63" t="s">
        <v>79</v>
      </c>
      <c r="B17" s="65" t="s">
        <v>32</v>
      </c>
      <c r="C17" s="5"/>
      <c r="L17" s="62"/>
      <c r="M17" s="62"/>
      <c r="N17" s="62"/>
      <c r="O17" s="62"/>
    </row>
    <row r="18" spans="1:15">
      <c r="B18" s="4"/>
      <c r="C18" s="4"/>
    </row>
    <row r="19" spans="1:15" ht="15">
      <c r="A19" s="7"/>
      <c r="B19" s="6"/>
      <c r="C19" s="6"/>
    </row>
    <row r="20" spans="1:15" ht="15">
      <c r="A20" s="7"/>
      <c r="B20" s="6"/>
      <c r="C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6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0"/>
  <sheetViews>
    <sheetView view="pageBreakPreview" topLeftCell="B1" zoomScaleNormal="100" zoomScaleSheetLayoutView="100" workbookViewId="0">
      <selection activeCell="H16" sqref="H16"/>
    </sheetView>
  </sheetViews>
  <sheetFormatPr defaultColWidth="9.140625" defaultRowHeight="14.25"/>
  <cols>
    <col min="1" max="1" width="39" style="58" bestFit="1" customWidth="1"/>
    <col min="2" max="2" width="56.42578125" style="58" bestFit="1" customWidth="1"/>
    <col min="3" max="3" width="20.7109375" style="58" customWidth="1"/>
    <col min="4" max="5" width="24.140625" style="58" customWidth="1"/>
    <col min="6" max="6" width="21" style="58" customWidth="1"/>
    <col min="7" max="7" width="9.5703125" style="58" bestFit="1" customWidth="1"/>
    <col min="8" max="16384" width="9.140625" style="58"/>
  </cols>
  <sheetData>
    <row r="1" spans="1:20" ht="22.5">
      <c r="A1" s="2"/>
      <c r="B1" s="1"/>
      <c r="C1" s="1"/>
    </row>
    <row r="2" spans="1:20" ht="20.25">
      <c r="A2" s="86" t="s">
        <v>0</v>
      </c>
      <c r="B2" s="86"/>
      <c r="C2" s="86"/>
      <c r="D2" s="86"/>
      <c r="E2" s="86"/>
      <c r="F2" s="86"/>
    </row>
    <row r="3" spans="1:20" ht="15.75">
      <c r="A3" s="10"/>
      <c r="B3" s="3"/>
      <c r="F3" s="41" t="s">
        <v>1</v>
      </c>
    </row>
    <row r="4" spans="1:20" s="59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20" s="59" customFormat="1" ht="18" customHeight="1">
      <c r="A5" s="82"/>
      <c r="B5" s="82"/>
      <c r="C5" s="87" t="s">
        <v>94</v>
      </c>
      <c r="D5" s="87" t="s">
        <v>95</v>
      </c>
      <c r="E5" s="87" t="s">
        <v>96</v>
      </c>
      <c r="F5" s="87" t="s">
        <v>97</v>
      </c>
    </row>
    <row r="6" spans="1:20" s="59" customFormat="1" ht="18" customHeight="1">
      <c r="A6" s="83"/>
      <c r="B6" s="83"/>
      <c r="C6" s="88"/>
      <c r="D6" s="88"/>
      <c r="E6" s="88"/>
      <c r="F6" s="88"/>
    </row>
    <row r="7" spans="1:20" s="60" customFormat="1" ht="24.95" customHeight="1">
      <c r="A7" s="42" t="s">
        <v>62</v>
      </c>
      <c r="B7" s="43" t="s">
        <v>13</v>
      </c>
      <c r="C7" s="44">
        <v>6280.6</v>
      </c>
      <c r="D7" s="44">
        <v>6643.4</v>
      </c>
      <c r="E7" s="44">
        <v>7649.5</v>
      </c>
      <c r="F7" s="61">
        <v>8103.0000000000018</v>
      </c>
      <c r="G7" s="62"/>
      <c r="H7" s="62"/>
      <c r="I7" s="62"/>
      <c r="J7" s="62"/>
      <c r="K7" s="62"/>
      <c r="L7" s="62"/>
      <c r="M7" s="62"/>
      <c r="N7" s="62"/>
      <c r="O7" s="62"/>
      <c r="Q7" s="62"/>
      <c r="R7" s="62"/>
      <c r="S7" s="62"/>
      <c r="T7" s="62"/>
    </row>
    <row r="8" spans="1:20" s="60" customFormat="1" ht="24.95" customHeight="1">
      <c r="A8" s="46" t="s">
        <v>14</v>
      </c>
      <c r="B8" s="47" t="s">
        <v>15</v>
      </c>
      <c r="C8" s="48">
        <v>1486.3</v>
      </c>
      <c r="D8" s="48">
        <v>1429.8</v>
      </c>
      <c r="E8" s="48">
        <v>2066.6999999999998</v>
      </c>
      <c r="F8" s="49">
        <v>2209.2000000000007</v>
      </c>
      <c r="G8" s="62"/>
      <c r="H8" s="62"/>
      <c r="I8" s="62"/>
      <c r="J8" s="62"/>
      <c r="K8" s="62"/>
      <c r="L8" s="62"/>
      <c r="M8" s="62"/>
      <c r="N8" s="62"/>
      <c r="O8" s="62"/>
      <c r="Q8" s="62"/>
      <c r="R8" s="62"/>
      <c r="S8" s="62"/>
      <c r="T8" s="62"/>
    </row>
    <row r="9" spans="1:20" s="60" customFormat="1" ht="24.95" customHeight="1">
      <c r="A9" s="46" t="s">
        <v>16</v>
      </c>
      <c r="B9" s="47" t="s">
        <v>17</v>
      </c>
      <c r="C9" s="48">
        <v>951.5</v>
      </c>
      <c r="D9" s="48">
        <v>1129.0999999999999</v>
      </c>
      <c r="E9" s="48">
        <v>1081.5</v>
      </c>
      <c r="F9" s="49">
        <v>1051.0999999999999</v>
      </c>
      <c r="G9" s="62"/>
      <c r="H9" s="62"/>
      <c r="I9" s="62"/>
      <c r="J9" s="62"/>
      <c r="K9" s="62"/>
      <c r="L9" s="62"/>
      <c r="M9" s="62"/>
      <c r="N9" s="62"/>
      <c r="O9" s="62"/>
      <c r="Q9" s="62"/>
      <c r="R9" s="62"/>
      <c r="S9" s="62"/>
      <c r="T9" s="62"/>
    </row>
    <row r="10" spans="1:20" s="60" customFormat="1" ht="24.95" customHeight="1">
      <c r="A10" s="46" t="s">
        <v>18</v>
      </c>
      <c r="B10" s="47" t="s">
        <v>19</v>
      </c>
      <c r="C10" s="48">
        <v>53.8</v>
      </c>
      <c r="D10" s="48">
        <v>46.900000000000006</v>
      </c>
      <c r="E10" s="48">
        <v>95.2</v>
      </c>
      <c r="F10" s="49">
        <v>129.59999999999997</v>
      </c>
      <c r="G10" s="62"/>
      <c r="H10" s="62"/>
      <c r="I10" s="62"/>
      <c r="J10" s="62"/>
      <c r="K10" s="62"/>
      <c r="L10" s="62"/>
      <c r="M10" s="62"/>
      <c r="N10" s="62"/>
      <c r="O10" s="62"/>
      <c r="Q10" s="62"/>
      <c r="R10" s="62"/>
      <c r="S10" s="62"/>
      <c r="T10" s="62"/>
    </row>
    <row r="11" spans="1:20" s="60" customFormat="1" ht="24.95" customHeight="1">
      <c r="A11" s="46" t="s">
        <v>20</v>
      </c>
      <c r="B11" s="47" t="s">
        <v>21</v>
      </c>
      <c r="C11" s="48">
        <v>527.70000000000005</v>
      </c>
      <c r="D11" s="48">
        <v>571.5</v>
      </c>
      <c r="E11" s="48">
        <v>900</v>
      </c>
      <c r="F11" s="49">
        <v>892.60000000000036</v>
      </c>
      <c r="G11" s="62"/>
      <c r="H11" s="62"/>
      <c r="I11" s="62"/>
      <c r="J11" s="62"/>
      <c r="K11" s="62"/>
      <c r="L11" s="62"/>
      <c r="M11" s="62"/>
      <c r="N11" s="62"/>
      <c r="O11" s="62"/>
      <c r="Q11" s="62"/>
      <c r="R11" s="62"/>
      <c r="S11" s="62"/>
      <c r="T11" s="62"/>
    </row>
    <row r="12" spans="1:20" s="60" customFormat="1" ht="24.95" customHeight="1">
      <c r="A12" s="46" t="s">
        <v>22</v>
      </c>
      <c r="B12" s="50" t="s">
        <v>23</v>
      </c>
      <c r="C12" s="48">
        <v>1804.6</v>
      </c>
      <c r="D12" s="48">
        <v>1732.6</v>
      </c>
      <c r="E12" s="48">
        <v>1640.9000000000005</v>
      </c>
      <c r="F12" s="49">
        <v>1553.8999999999992</v>
      </c>
      <c r="G12" s="62"/>
      <c r="H12" s="62"/>
      <c r="I12" s="62"/>
      <c r="J12" s="62"/>
      <c r="K12" s="62"/>
      <c r="L12" s="62"/>
      <c r="M12" s="62"/>
      <c r="N12" s="62"/>
      <c r="O12" s="62"/>
      <c r="Q12" s="62"/>
      <c r="R12" s="62"/>
      <c r="S12" s="62"/>
      <c r="T12" s="62"/>
    </row>
    <row r="13" spans="1:20" s="60" customFormat="1" ht="24.95" customHeight="1">
      <c r="A13" s="46" t="s">
        <v>24</v>
      </c>
      <c r="B13" s="51" t="s">
        <v>25</v>
      </c>
      <c r="C13" s="48">
        <v>650.29999999999995</v>
      </c>
      <c r="D13" s="48">
        <v>964.7</v>
      </c>
      <c r="E13" s="48">
        <v>1250.9000000000001</v>
      </c>
      <c r="F13" s="49">
        <v>1543.6</v>
      </c>
      <c r="G13" s="62"/>
      <c r="H13" s="62"/>
      <c r="I13" s="62"/>
      <c r="J13" s="62"/>
      <c r="K13" s="62"/>
      <c r="L13" s="62"/>
      <c r="M13" s="62"/>
      <c r="N13" s="62"/>
      <c r="O13" s="62"/>
      <c r="Q13" s="62"/>
      <c r="R13" s="62"/>
      <c r="S13" s="62"/>
      <c r="T13" s="62"/>
    </row>
    <row r="14" spans="1:20" s="60" customFormat="1" ht="24.95" customHeight="1">
      <c r="A14" s="46" t="s">
        <v>26</v>
      </c>
      <c r="B14" s="52" t="s">
        <v>27</v>
      </c>
      <c r="C14" s="48">
        <v>150.9</v>
      </c>
      <c r="D14" s="48">
        <v>146.79999999999998</v>
      </c>
      <c r="E14" s="48">
        <v>142.6</v>
      </c>
      <c r="F14" s="49">
        <v>166.3000000000001</v>
      </c>
      <c r="G14" s="62"/>
      <c r="H14" s="62"/>
      <c r="I14" s="62"/>
      <c r="J14" s="62"/>
      <c r="K14" s="62"/>
      <c r="L14" s="62"/>
      <c r="M14" s="62"/>
      <c r="N14" s="62"/>
      <c r="O14" s="62"/>
      <c r="Q14" s="62"/>
      <c r="R14" s="62"/>
      <c r="S14" s="62"/>
      <c r="T14" s="62"/>
    </row>
    <row r="15" spans="1:20" s="60" customFormat="1" ht="24.95" customHeight="1">
      <c r="A15" s="46" t="s">
        <v>28</v>
      </c>
      <c r="B15" s="51" t="s">
        <v>29</v>
      </c>
      <c r="C15" s="48">
        <v>12.6</v>
      </c>
      <c r="D15" s="48">
        <v>7.9</v>
      </c>
      <c r="E15" s="48">
        <v>9.1999999999999975</v>
      </c>
      <c r="F15" s="49">
        <v>13.1</v>
      </c>
      <c r="G15" s="62"/>
      <c r="H15" s="62"/>
      <c r="I15" s="62"/>
      <c r="J15" s="62"/>
      <c r="K15" s="62"/>
      <c r="L15" s="62"/>
      <c r="M15" s="62"/>
      <c r="N15" s="62"/>
      <c r="O15" s="62"/>
      <c r="Q15" s="62"/>
      <c r="R15" s="62"/>
      <c r="S15" s="62"/>
      <c r="T15" s="62"/>
    </row>
    <row r="16" spans="1:20" s="60" customFormat="1" ht="24.95" customHeight="1">
      <c r="A16" s="53" t="s">
        <v>30</v>
      </c>
      <c r="B16" s="54" t="s">
        <v>31</v>
      </c>
      <c r="C16" s="55">
        <v>642.90000000000032</v>
      </c>
      <c r="D16" s="55">
        <v>614.1</v>
      </c>
      <c r="E16" s="55">
        <v>462.5</v>
      </c>
      <c r="F16" s="56">
        <v>543.59999999999957</v>
      </c>
      <c r="G16" s="62"/>
      <c r="H16" s="62"/>
      <c r="I16" s="62"/>
      <c r="J16" s="62"/>
      <c r="K16" s="62"/>
      <c r="L16" s="62"/>
      <c r="M16" s="62"/>
      <c r="N16" s="62"/>
      <c r="O16" s="62"/>
      <c r="Q16" s="62"/>
      <c r="R16" s="62"/>
      <c r="S16" s="62"/>
      <c r="T16" s="62"/>
    </row>
    <row r="17" spans="1:15" ht="19.5">
      <c r="A17" s="63" t="s">
        <v>79</v>
      </c>
      <c r="B17" s="65" t="s">
        <v>32</v>
      </c>
      <c r="C17" s="5"/>
      <c r="L17" s="62"/>
      <c r="M17" s="62"/>
      <c r="N17" s="62"/>
      <c r="O17" s="62"/>
    </row>
    <row r="18" spans="1:15">
      <c r="B18" s="4"/>
      <c r="C18" s="4"/>
    </row>
    <row r="19" spans="1:15" ht="15">
      <c r="A19" s="7"/>
      <c r="B19" s="6"/>
      <c r="C19" s="6"/>
    </row>
    <row r="20" spans="1:15" ht="15">
      <c r="A20" s="7"/>
      <c r="B20" s="6"/>
      <c r="C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" right="0.7" top="0.75" bottom="0.75" header="0.3" footer="0.3"/>
  <pageSetup paperSize="9" scale="61" orientation="portrait" r:id="rId1"/>
  <colBreaks count="1" manualBreakCount="1">
    <brk id="1" max="17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20"/>
  <sheetViews>
    <sheetView view="pageBreakPreview" topLeftCell="B1" zoomScaleNormal="100" zoomScaleSheetLayoutView="100" workbookViewId="0">
      <selection activeCell="B17" sqref="A17:XFD17"/>
    </sheetView>
  </sheetViews>
  <sheetFormatPr defaultRowHeight="14.25"/>
  <cols>
    <col min="1" max="1" width="44.140625" style="66" bestFit="1" customWidth="1"/>
    <col min="2" max="2" width="65" style="66" customWidth="1"/>
    <col min="3" max="3" width="23" style="66" customWidth="1"/>
    <col min="4" max="4" width="25.7109375" style="66" customWidth="1"/>
    <col min="5" max="5" width="24.140625" style="66" customWidth="1"/>
    <col min="6" max="6" width="22" style="66" customWidth="1"/>
    <col min="7" max="16384" width="9.140625" style="66"/>
  </cols>
  <sheetData>
    <row r="1" spans="1:12" ht="22.5">
      <c r="A1" s="2"/>
      <c r="B1" s="1"/>
      <c r="C1" s="1"/>
    </row>
    <row r="2" spans="1:12" ht="20.25">
      <c r="A2" s="86" t="s">
        <v>0</v>
      </c>
      <c r="B2" s="86"/>
      <c r="C2" s="86"/>
      <c r="D2" s="86"/>
      <c r="E2" s="86"/>
      <c r="F2" s="86"/>
    </row>
    <row r="3" spans="1:12" ht="15.75">
      <c r="A3" s="10"/>
      <c r="B3" s="3"/>
      <c r="F3" s="67" t="s">
        <v>1</v>
      </c>
    </row>
    <row r="4" spans="1:12" s="68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12" s="68" customFormat="1" ht="18" customHeight="1">
      <c r="A5" s="82"/>
      <c r="B5" s="82"/>
      <c r="C5" s="87" t="s">
        <v>102</v>
      </c>
      <c r="D5" s="87" t="s">
        <v>103</v>
      </c>
      <c r="E5" s="87" t="s">
        <v>104</v>
      </c>
      <c r="F5" s="87" t="s">
        <v>105</v>
      </c>
    </row>
    <row r="6" spans="1:12" s="68" customFormat="1" ht="18" customHeight="1">
      <c r="A6" s="83"/>
      <c r="B6" s="83"/>
      <c r="C6" s="88"/>
      <c r="D6" s="88"/>
      <c r="E6" s="88"/>
      <c r="F6" s="88"/>
    </row>
    <row r="7" spans="1:12" s="70" customFormat="1" ht="24.95" customHeight="1">
      <c r="A7" s="42" t="s">
        <v>62</v>
      </c>
      <c r="B7" s="43" t="s">
        <v>13</v>
      </c>
      <c r="C7" s="44">
        <v>8852.2999999999993</v>
      </c>
      <c r="D7" s="44">
        <v>11837.400000000001</v>
      </c>
      <c r="E7" s="61">
        <v>11779.8</v>
      </c>
      <c r="F7" s="61">
        <v>11436.900000000001</v>
      </c>
      <c r="G7" s="69"/>
      <c r="H7" s="69"/>
      <c r="I7" s="69"/>
      <c r="J7" s="69"/>
      <c r="K7" s="69"/>
      <c r="L7" s="69"/>
    </row>
    <row r="8" spans="1:12" s="70" customFormat="1" ht="24.95" customHeight="1">
      <c r="A8" s="46" t="s">
        <v>14</v>
      </c>
      <c r="B8" s="47" t="s">
        <v>15</v>
      </c>
      <c r="C8" s="48">
        <v>2338.1</v>
      </c>
      <c r="D8" s="48">
        <v>2952.6</v>
      </c>
      <c r="E8" s="49">
        <v>3358.6999999999994</v>
      </c>
      <c r="F8" s="49">
        <v>3906.8000000000015</v>
      </c>
      <c r="G8" s="69"/>
      <c r="H8" s="69"/>
    </row>
    <row r="9" spans="1:12" s="70" customFormat="1" ht="24.95" customHeight="1">
      <c r="A9" s="46" t="s">
        <v>16</v>
      </c>
      <c r="B9" s="47" t="s">
        <v>17</v>
      </c>
      <c r="C9" s="48">
        <v>1252.0999999999999</v>
      </c>
      <c r="D9" s="48">
        <v>2285.5000000000005</v>
      </c>
      <c r="E9" s="49">
        <v>2525.2999999999993</v>
      </c>
      <c r="F9" s="49">
        <v>1402</v>
      </c>
      <c r="G9" s="69"/>
      <c r="H9" s="69"/>
    </row>
    <row r="10" spans="1:12" s="70" customFormat="1" ht="24.95" customHeight="1">
      <c r="A10" s="46" t="s">
        <v>18</v>
      </c>
      <c r="B10" s="47" t="s">
        <v>19</v>
      </c>
      <c r="C10" s="48">
        <v>73.599999999999994</v>
      </c>
      <c r="D10" s="48">
        <v>108.80000000000001</v>
      </c>
      <c r="E10" s="49">
        <v>102.9</v>
      </c>
      <c r="F10" s="49">
        <v>199.6</v>
      </c>
      <c r="G10" s="69"/>
      <c r="H10" s="69"/>
    </row>
    <row r="11" spans="1:12" s="70" customFormat="1" ht="24.95" customHeight="1">
      <c r="A11" s="46" t="s">
        <v>20</v>
      </c>
      <c r="B11" s="47" t="s">
        <v>21</v>
      </c>
      <c r="C11" s="48">
        <v>1143.9000000000001</v>
      </c>
      <c r="D11" s="48">
        <v>1320.6999999999998</v>
      </c>
      <c r="E11" s="49">
        <v>937.5</v>
      </c>
      <c r="F11" s="49">
        <v>993.09999999999991</v>
      </c>
      <c r="G11" s="69"/>
      <c r="H11" s="69"/>
    </row>
    <row r="12" spans="1:12" s="70" customFormat="1" ht="24.95" customHeight="1">
      <c r="A12" s="46" t="s">
        <v>22</v>
      </c>
      <c r="B12" s="50" t="s">
        <v>23</v>
      </c>
      <c r="C12" s="48">
        <v>1494.1</v>
      </c>
      <c r="D12" s="48">
        <v>1820.2000000000003</v>
      </c>
      <c r="E12" s="49">
        <v>2475.0999999999995</v>
      </c>
      <c r="F12" s="49">
        <v>1864.2000000000007</v>
      </c>
      <c r="G12" s="69"/>
      <c r="H12" s="69"/>
    </row>
    <row r="13" spans="1:12" s="70" customFormat="1" ht="24.95" customHeight="1">
      <c r="A13" s="46" t="s">
        <v>24</v>
      </c>
      <c r="B13" s="51" t="s">
        <v>25</v>
      </c>
      <c r="C13" s="48">
        <v>1431.7</v>
      </c>
      <c r="D13" s="48">
        <v>1970.8</v>
      </c>
      <c r="E13" s="49">
        <v>1592.8999999999994</v>
      </c>
      <c r="F13" s="49">
        <v>1859.9000000000003</v>
      </c>
      <c r="G13" s="69"/>
      <c r="H13" s="69"/>
    </row>
    <row r="14" spans="1:12" s="70" customFormat="1" ht="24.95" customHeight="1">
      <c r="A14" s="46" t="s">
        <v>26</v>
      </c>
      <c r="B14" s="52" t="s">
        <v>27</v>
      </c>
      <c r="C14" s="48">
        <v>179.3</v>
      </c>
      <c r="D14" s="48">
        <v>221.3</v>
      </c>
      <c r="E14" s="49">
        <v>250.10000000000002</v>
      </c>
      <c r="F14" s="49">
        <v>234.5</v>
      </c>
      <c r="G14" s="69"/>
      <c r="H14" s="69"/>
    </row>
    <row r="15" spans="1:12" s="70" customFormat="1" ht="24.95" customHeight="1">
      <c r="A15" s="46" t="s">
        <v>28</v>
      </c>
      <c r="B15" s="51" t="s">
        <v>29</v>
      </c>
      <c r="C15" s="48">
        <v>8.1999999999999993</v>
      </c>
      <c r="D15" s="48">
        <v>7.6000000000000014</v>
      </c>
      <c r="E15" s="49">
        <v>10</v>
      </c>
      <c r="F15" s="49">
        <v>10.8</v>
      </c>
      <c r="G15" s="69"/>
      <c r="H15" s="69"/>
    </row>
    <row r="16" spans="1:12" s="70" customFormat="1" ht="24.95" customHeight="1">
      <c r="A16" s="53" t="s">
        <v>30</v>
      </c>
      <c r="B16" s="54" t="s">
        <v>31</v>
      </c>
      <c r="C16" s="55">
        <v>931.3</v>
      </c>
      <c r="D16" s="55">
        <v>1149.9000000000012</v>
      </c>
      <c r="E16" s="56">
        <v>527.29999999999995</v>
      </c>
      <c r="F16" s="56">
        <v>965.99999999999955</v>
      </c>
      <c r="G16" s="69"/>
      <c r="H16" s="69"/>
    </row>
    <row r="17" spans="1:10" ht="19.5">
      <c r="A17" s="63" t="s">
        <v>89</v>
      </c>
      <c r="B17" s="65" t="s">
        <v>32</v>
      </c>
      <c r="C17" s="5"/>
      <c r="E17" s="69"/>
      <c r="F17" s="69"/>
      <c r="G17" s="69"/>
      <c r="H17" s="69"/>
      <c r="I17" s="69"/>
      <c r="J17" s="69"/>
    </row>
    <row r="18" spans="1:10">
      <c r="B18" s="4"/>
      <c r="C18" s="4"/>
    </row>
    <row r="19" spans="1:10" ht="15">
      <c r="A19" s="7"/>
      <c r="B19" s="6"/>
      <c r="C19" s="6"/>
    </row>
    <row r="20" spans="1:10" ht="15">
      <c r="A20" s="7"/>
      <c r="B20" s="6"/>
      <c r="C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scale="7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0E12-21E5-4AE1-8FA7-E8354C0286BF}">
  <sheetPr>
    <pageSetUpPr fitToPage="1"/>
  </sheetPr>
  <dimension ref="A1:I20"/>
  <sheetViews>
    <sheetView view="pageBreakPreview" zoomScale="85" zoomScaleNormal="100" zoomScaleSheetLayoutView="85" workbookViewId="0"/>
  </sheetViews>
  <sheetFormatPr defaultRowHeight="14.25"/>
  <cols>
    <col min="1" max="1" width="44.140625" style="66" bestFit="1" customWidth="1"/>
    <col min="2" max="2" width="65" style="66" customWidth="1"/>
    <col min="3" max="4" width="23" style="66" customWidth="1"/>
    <col min="5" max="6" width="23.5703125" style="66" customWidth="1"/>
    <col min="7" max="7" width="9.5703125" style="66" bestFit="1" customWidth="1"/>
    <col min="8" max="16384" width="9.140625" style="66"/>
  </cols>
  <sheetData>
    <row r="1" spans="1:9" ht="22.5">
      <c r="A1" s="2"/>
      <c r="B1" s="1"/>
      <c r="C1" s="1"/>
      <c r="D1" s="1"/>
    </row>
    <row r="2" spans="1:9" ht="20.25">
      <c r="A2" s="86" t="s">
        <v>0</v>
      </c>
      <c r="B2" s="86"/>
      <c r="C2" s="86"/>
      <c r="D2" s="86"/>
      <c r="E2" s="86"/>
      <c r="F2" s="86"/>
    </row>
    <row r="3" spans="1:9" ht="15.75">
      <c r="A3" s="10"/>
      <c r="B3" s="3"/>
      <c r="D3" s="71"/>
      <c r="F3" s="67" t="s">
        <v>1</v>
      </c>
    </row>
    <row r="4" spans="1:9" s="68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9" s="68" customFormat="1" ht="18" customHeight="1">
      <c r="A5" s="82"/>
      <c r="B5" s="82"/>
      <c r="C5" s="87" t="s">
        <v>110</v>
      </c>
      <c r="D5" s="87" t="s">
        <v>111</v>
      </c>
      <c r="E5" s="87" t="s">
        <v>112</v>
      </c>
      <c r="F5" s="87" t="s">
        <v>113</v>
      </c>
    </row>
    <row r="6" spans="1:9" s="68" customFormat="1" ht="18" customHeight="1">
      <c r="A6" s="83"/>
      <c r="B6" s="83"/>
      <c r="C6" s="88"/>
      <c r="D6" s="88"/>
      <c r="E6" s="88"/>
      <c r="F6" s="88"/>
    </row>
    <row r="7" spans="1:9" s="70" customFormat="1" ht="24.95" customHeight="1">
      <c r="A7" s="42" t="s">
        <v>62</v>
      </c>
      <c r="B7" s="43" t="s">
        <v>13</v>
      </c>
      <c r="C7" s="44">
        <v>9965.2000000000007</v>
      </c>
      <c r="D7" s="44">
        <v>11539.899999999998</v>
      </c>
      <c r="E7" s="45">
        <v>9551.1000000000022</v>
      </c>
      <c r="F7" s="61">
        <v>8567.7999999999993</v>
      </c>
      <c r="G7" s="69"/>
      <c r="H7" s="69"/>
      <c r="I7" s="69"/>
    </row>
    <row r="8" spans="1:9" s="70" customFormat="1" ht="24.95" customHeight="1">
      <c r="A8" s="46" t="s">
        <v>14</v>
      </c>
      <c r="B8" s="47" t="s">
        <v>15</v>
      </c>
      <c r="C8" s="48">
        <v>3410.2</v>
      </c>
      <c r="D8" s="48">
        <v>3681.7</v>
      </c>
      <c r="E8" s="48">
        <v>2696.5</v>
      </c>
      <c r="F8" s="72">
        <v>2524.3000000000011</v>
      </c>
      <c r="G8" s="69"/>
      <c r="I8" s="69"/>
    </row>
    <row r="9" spans="1:9" s="70" customFormat="1" ht="24.95" customHeight="1">
      <c r="A9" s="46" t="s">
        <v>16</v>
      </c>
      <c r="B9" s="47" t="s">
        <v>17</v>
      </c>
      <c r="C9" s="48">
        <v>1096.5</v>
      </c>
      <c r="D9" s="48">
        <v>1906.9</v>
      </c>
      <c r="E9" s="48">
        <v>2163.1</v>
      </c>
      <c r="F9" s="72">
        <v>1254.7000000000003</v>
      </c>
      <c r="G9" s="69"/>
      <c r="I9" s="69"/>
    </row>
    <row r="10" spans="1:9" s="70" customFormat="1" ht="24.95" customHeight="1">
      <c r="A10" s="46" t="s">
        <v>18</v>
      </c>
      <c r="B10" s="47" t="s">
        <v>19</v>
      </c>
      <c r="C10" s="48">
        <v>98.8</v>
      </c>
      <c r="D10" s="48">
        <v>69.3</v>
      </c>
      <c r="E10" s="48">
        <v>131.5</v>
      </c>
      <c r="F10" s="72">
        <v>137.39999999999998</v>
      </c>
      <c r="G10" s="69"/>
      <c r="I10" s="69"/>
    </row>
    <row r="11" spans="1:9" s="70" customFormat="1" ht="24.95" customHeight="1">
      <c r="A11" s="46" t="s">
        <v>20</v>
      </c>
      <c r="B11" s="47" t="s">
        <v>21</v>
      </c>
      <c r="C11" s="48">
        <v>931</v>
      </c>
      <c r="D11" s="48">
        <v>926.09999999999991</v>
      </c>
      <c r="E11" s="48">
        <v>736.59999999999991</v>
      </c>
      <c r="F11" s="72">
        <v>807.10000000000036</v>
      </c>
      <c r="G11" s="69"/>
      <c r="I11" s="69"/>
    </row>
    <row r="12" spans="1:9" s="70" customFormat="1" ht="24.95" customHeight="1">
      <c r="A12" s="46" t="s">
        <v>22</v>
      </c>
      <c r="B12" s="50" t="s">
        <v>23</v>
      </c>
      <c r="C12" s="48">
        <v>1988.4</v>
      </c>
      <c r="D12" s="48">
        <v>2589.2999999999997</v>
      </c>
      <c r="E12" s="48">
        <v>1787.9999999999995</v>
      </c>
      <c r="F12" s="72">
        <v>1965.3000000000002</v>
      </c>
      <c r="G12" s="69"/>
      <c r="I12" s="69"/>
    </row>
    <row r="13" spans="1:9" s="70" customFormat="1" ht="24.95" customHeight="1">
      <c r="A13" s="46" t="s">
        <v>24</v>
      </c>
      <c r="B13" s="51" t="s">
        <v>25</v>
      </c>
      <c r="C13" s="48">
        <v>1399.6</v>
      </c>
      <c r="D13" s="48">
        <v>1633.3000000000002</v>
      </c>
      <c r="E13" s="48">
        <v>1196.2000000000003</v>
      </c>
      <c r="F13" s="72">
        <v>1027.5999999999995</v>
      </c>
      <c r="G13" s="69"/>
      <c r="I13" s="69"/>
    </row>
    <row r="14" spans="1:9" s="70" customFormat="1" ht="24.95" customHeight="1">
      <c r="A14" s="46" t="s">
        <v>26</v>
      </c>
      <c r="B14" s="52" t="s">
        <v>27</v>
      </c>
      <c r="C14" s="48">
        <v>216.4</v>
      </c>
      <c r="D14" s="48">
        <v>201.79999999999998</v>
      </c>
      <c r="E14" s="48">
        <v>203.90000000000006</v>
      </c>
      <c r="F14" s="72">
        <v>208.1999999999999</v>
      </c>
      <c r="G14" s="69"/>
      <c r="I14" s="69"/>
    </row>
    <row r="15" spans="1:9" s="70" customFormat="1" ht="24.95" customHeight="1">
      <c r="A15" s="46" t="s">
        <v>28</v>
      </c>
      <c r="B15" s="51" t="s">
        <v>29</v>
      </c>
      <c r="C15" s="48">
        <v>8.3000000000000007</v>
      </c>
      <c r="D15" s="48">
        <v>16.8</v>
      </c>
      <c r="E15" s="48">
        <v>13.5</v>
      </c>
      <c r="F15" s="72">
        <v>8.7999999999999972</v>
      </c>
      <c r="G15" s="69"/>
      <c r="I15" s="69"/>
    </row>
    <row r="16" spans="1:9" s="70" customFormat="1" ht="24.95" customHeight="1">
      <c r="A16" s="53" t="s">
        <v>30</v>
      </c>
      <c r="B16" s="54" t="s">
        <v>31</v>
      </c>
      <c r="C16" s="55">
        <v>816</v>
      </c>
      <c r="D16" s="55">
        <v>514.70000000000005</v>
      </c>
      <c r="E16" s="55">
        <v>621.79999999999995</v>
      </c>
      <c r="F16" s="73">
        <v>634.4</v>
      </c>
      <c r="G16" s="69"/>
      <c r="I16" s="69"/>
    </row>
    <row r="17" spans="1:7" ht="19.5">
      <c r="A17" s="63" t="s">
        <v>89</v>
      </c>
      <c r="B17" s="65" t="s">
        <v>32</v>
      </c>
      <c r="C17" s="5"/>
      <c r="D17" s="5"/>
      <c r="E17" s="69"/>
      <c r="F17" s="69"/>
      <c r="G17" s="69"/>
    </row>
    <row r="18" spans="1:7">
      <c r="B18" s="4"/>
      <c r="C18" s="4"/>
      <c r="D18" s="4"/>
    </row>
    <row r="19" spans="1:7" ht="15">
      <c r="A19" s="7"/>
      <c r="B19" s="6"/>
      <c r="C19" s="6"/>
      <c r="D19" s="6"/>
    </row>
    <row r="20" spans="1:7" ht="15">
      <c r="A20" s="7"/>
      <c r="B20" s="6"/>
      <c r="C20" s="6"/>
      <c r="D20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7FD6-C095-4770-A8FF-9F92EF9A9A66}">
  <sheetPr>
    <pageSetUpPr fitToPage="1"/>
  </sheetPr>
  <dimension ref="A1:F21"/>
  <sheetViews>
    <sheetView view="pageBreakPreview" zoomScaleNormal="100" zoomScaleSheetLayoutView="100" workbookViewId="0">
      <selection activeCell="F4" sqref="F4:F6"/>
    </sheetView>
  </sheetViews>
  <sheetFormatPr defaultRowHeight="14.25"/>
  <cols>
    <col min="1" max="1" width="38.5703125" style="66" bestFit="1" customWidth="1"/>
    <col min="2" max="2" width="56.85546875" style="66" customWidth="1"/>
    <col min="3" max="3" width="20.140625" style="66" customWidth="1"/>
    <col min="4" max="4" width="23" style="66" customWidth="1"/>
    <col min="5" max="5" width="23.28515625" style="66" customWidth="1"/>
    <col min="6" max="6" width="22" style="66" customWidth="1"/>
    <col min="7" max="16384" width="9.140625" style="66"/>
  </cols>
  <sheetData>
    <row r="1" spans="1:6" ht="22.5">
      <c r="A1" s="2"/>
      <c r="B1" s="1"/>
      <c r="C1" s="1"/>
    </row>
    <row r="2" spans="1:6" ht="20.25">
      <c r="A2" s="86" t="s">
        <v>0</v>
      </c>
      <c r="B2" s="86"/>
      <c r="C2" s="86"/>
      <c r="D2" s="86"/>
      <c r="E2" s="86"/>
      <c r="F2" s="86"/>
    </row>
    <row r="3" spans="1:6" ht="15.75">
      <c r="A3" s="10"/>
      <c r="B3" s="3"/>
      <c r="F3" s="67" t="s">
        <v>1</v>
      </c>
    </row>
    <row r="4" spans="1:6" s="68" customFormat="1" ht="18.75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6" s="68" customFormat="1" ht="18" customHeight="1">
      <c r="A5" s="82"/>
      <c r="B5" s="82"/>
      <c r="C5" s="87" t="s">
        <v>98</v>
      </c>
      <c r="D5" s="87" t="s">
        <v>99</v>
      </c>
      <c r="E5" s="87" t="s">
        <v>100</v>
      </c>
      <c r="F5" s="87" t="s">
        <v>101</v>
      </c>
    </row>
    <row r="6" spans="1:6" s="68" customFormat="1" ht="18" customHeight="1">
      <c r="A6" s="83"/>
      <c r="B6" s="83"/>
      <c r="C6" s="88"/>
      <c r="D6" s="88"/>
      <c r="E6" s="88"/>
      <c r="F6" s="88"/>
    </row>
    <row r="7" spans="1:6" s="70" customFormat="1" ht="24.95" customHeight="1">
      <c r="A7" s="42" t="s">
        <v>62</v>
      </c>
      <c r="B7" s="43" t="s">
        <v>13</v>
      </c>
      <c r="C7" s="44">
        <v>8325.2000000000007</v>
      </c>
      <c r="D7" s="44">
        <v>8124.3999999999978</v>
      </c>
      <c r="E7" s="44">
        <v>7670</v>
      </c>
      <c r="F7" s="61">
        <v>8441.4000000000015</v>
      </c>
    </row>
    <row r="8" spans="1:6" s="70" customFormat="1" ht="24.95" customHeight="1">
      <c r="A8" s="46" t="s">
        <v>14</v>
      </c>
      <c r="B8" s="47" t="s">
        <v>15</v>
      </c>
      <c r="C8" s="48">
        <v>2552.6999999999998</v>
      </c>
      <c r="D8" s="48">
        <v>2196</v>
      </c>
      <c r="E8" s="48">
        <v>2302.6000000000004</v>
      </c>
      <c r="F8" s="72">
        <v>2414.1999999999998</v>
      </c>
    </row>
    <row r="9" spans="1:6" s="70" customFormat="1" ht="24.95" customHeight="1">
      <c r="A9" s="46" t="s">
        <v>16</v>
      </c>
      <c r="B9" s="47" t="s">
        <v>17</v>
      </c>
      <c r="C9" s="48">
        <v>1385.6</v>
      </c>
      <c r="D9" s="48">
        <v>1572.9</v>
      </c>
      <c r="E9" s="48">
        <v>1514.3999999999996</v>
      </c>
      <c r="F9" s="72">
        <v>1363.2000000000007</v>
      </c>
    </row>
    <row r="10" spans="1:6" s="70" customFormat="1" ht="24.95" customHeight="1">
      <c r="A10" s="46" t="s">
        <v>18</v>
      </c>
      <c r="B10" s="47" t="s">
        <v>19</v>
      </c>
      <c r="C10" s="48">
        <v>56.7</v>
      </c>
      <c r="D10" s="48">
        <v>57.599999999999994</v>
      </c>
      <c r="E10" s="48">
        <v>105.3</v>
      </c>
      <c r="F10" s="72">
        <v>131.79999999999998</v>
      </c>
    </row>
    <row r="11" spans="1:6" s="70" customFormat="1" ht="24.95" customHeight="1">
      <c r="A11" s="46" t="s">
        <v>20</v>
      </c>
      <c r="B11" s="47" t="s">
        <v>21</v>
      </c>
      <c r="C11" s="48">
        <v>850.5</v>
      </c>
      <c r="D11" s="48">
        <v>771.90000000000009</v>
      </c>
      <c r="E11" s="48">
        <v>763.59999999999991</v>
      </c>
      <c r="F11" s="72">
        <v>1204.3000000000002</v>
      </c>
    </row>
    <row r="12" spans="1:6" s="70" customFormat="1" ht="24.95" customHeight="1">
      <c r="A12" s="46" t="s">
        <v>22</v>
      </c>
      <c r="B12" s="50" t="s">
        <v>23</v>
      </c>
      <c r="C12" s="48">
        <v>2196.1999999999998</v>
      </c>
      <c r="D12" s="48">
        <v>2201.1999999999998</v>
      </c>
      <c r="E12" s="48">
        <v>2071.8000000000002</v>
      </c>
      <c r="F12" s="72">
        <v>2225.5000000000009</v>
      </c>
    </row>
    <row r="13" spans="1:6" s="70" customFormat="1" ht="24.95" customHeight="1">
      <c r="A13" s="46" t="s">
        <v>24</v>
      </c>
      <c r="B13" s="51" t="s">
        <v>25</v>
      </c>
      <c r="C13" s="48">
        <v>685.2</v>
      </c>
      <c r="D13" s="48">
        <v>789.09999999999991</v>
      </c>
      <c r="E13" s="48">
        <v>514.40000000000009</v>
      </c>
      <c r="F13" s="72">
        <v>573.79999999999995</v>
      </c>
    </row>
    <row r="14" spans="1:6" s="70" customFormat="1" ht="24.95" customHeight="1">
      <c r="A14" s="46" t="s">
        <v>26</v>
      </c>
      <c r="B14" s="52" t="s">
        <v>27</v>
      </c>
      <c r="C14" s="48">
        <v>192.2</v>
      </c>
      <c r="D14" s="48">
        <v>227.5</v>
      </c>
      <c r="E14" s="48">
        <v>175.40000000000003</v>
      </c>
      <c r="F14" s="72">
        <v>197.89999999999998</v>
      </c>
    </row>
    <row r="15" spans="1:6" s="70" customFormat="1" ht="24.95" customHeight="1">
      <c r="A15" s="46" t="s">
        <v>28</v>
      </c>
      <c r="B15" s="51" t="s">
        <v>29</v>
      </c>
      <c r="C15" s="48">
        <v>8.1999999999999993</v>
      </c>
      <c r="D15" s="48">
        <v>15.600000000000001</v>
      </c>
      <c r="E15" s="48">
        <v>12.7</v>
      </c>
      <c r="F15" s="72">
        <v>21.200000000000003</v>
      </c>
    </row>
    <row r="16" spans="1:6" s="70" customFormat="1" ht="24.95" customHeight="1">
      <c r="A16" s="53" t="s">
        <v>30</v>
      </c>
      <c r="B16" s="54" t="s">
        <v>31</v>
      </c>
      <c r="C16" s="55">
        <v>397.9</v>
      </c>
      <c r="D16" s="55">
        <v>292.60000000000002</v>
      </c>
      <c r="E16" s="55">
        <v>209.8</v>
      </c>
      <c r="F16" s="73">
        <v>309.5</v>
      </c>
    </row>
    <row r="17" spans="1:3" ht="20.25">
      <c r="A17" s="63" t="s">
        <v>88</v>
      </c>
      <c r="B17" s="64" t="s">
        <v>57</v>
      </c>
      <c r="C17" s="8"/>
    </row>
    <row r="18" spans="1:3" ht="19.5">
      <c r="A18" s="63" t="s">
        <v>89</v>
      </c>
      <c r="B18" s="65" t="s">
        <v>32</v>
      </c>
      <c r="C18" s="5"/>
    </row>
    <row r="19" spans="1:3">
      <c r="B19" s="4"/>
      <c r="C19" s="4"/>
    </row>
    <row r="20" spans="1:3" ht="15">
      <c r="A20" s="7"/>
      <c r="B20" s="6"/>
      <c r="C20" s="6"/>
    </row>
    <row r="21" spans="1:3" ht="15">
      <c r="A21" s="7"/>
      <c r="B21" s="6"/>
      <c r="C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0CBE-D8E6-49FB-AB74-F0B7DDE620DD}">
  <dimension ref="A1:G18"/>
  <sheetViews>
    <sheetView view="pageBreakPreview" zoomScale="96" zoomScaleNormal="100" zoomScaleSheetLayoutView="96" workbookViewId="0">
      <selection activeCell="D4" sqref="D4:D6"/>
    </sheetView>
  </sheetViews>
  <sheetFormatPr defaultRowHeight="12.75"/>
  <cols>
    <col min="1" max="1" width="40" customWidth="1"/>
    <col min="2" max="2" width="58" customWidth="1"/>
    <col min="3" max="5" width="21.140625" customWidth="1"/>
    <col min="6" max="6" width="20.85546875" bestFit="1" customWidth="1"/>
  </cols>
  <sheetData>
    <row r="1" spans="1:6" ht="24.95" customHeight="1">
      <c r="A1" s="2"/>
      <c r="B1" s="1"/>
      <c r="C1" s="1"/>
    </row>
    <row r="2" spans="1:6" ht="24.95" customHeight="1">
      <c r="A2" s="86" t="s">
        <v>0</v>
      </c>
      <c r="B2" s="86"/>
      <c r="C2" s="86"/>
      <c r="D2" s="86"/>
      <c r="E2" s="86"/>
      <c r="F2" s="86"/>
    </row>
    <row r="3" spans="1:6" ht="24.95" customHeight="1">
      <c r="A3" s="10"/>
      <c r="B3" s="3"/>
      <c r="F3" s="67" t="s">
        <v>1</v>
      </c>
    </row>
    <row r="4" spans="1:6" ht="24.95" customHeight="1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  <c r="F4" s="37" t="s">
        <v>7</v>
      </c>
    </row>
    <row r="5" spans="1:6" ht="24.95" customHeight="1">
      <c r="A5" s="82"/>
      <c r="B5" s="82"/>
      <c r="C5" s="87" t="s">
        <v>106</v>
      </c>
      <c r="D5" s="87" t="s">
        <v>107</v>
      </c>
      <c r="E5" s="87" t="s">
        <v>108</v>
      </c>
      <c r="F5" s="87" t="s">
        <v>109</v>
      </c>
    </row>
    <row r="6" spans="1:6" ht="24.95" customHeight="1">
      <c r="A6" s="83"/>
      <c r="B6" s="83"/>
      <c r="C6" s="88"/>
      <c r="D6" s="88"/>
      <c r="E6" s="88"/>
      <c r="F6" s="88"/>
    </row>
    <row r="7" spans="1:6" ht="24.95" customHeight="1">
      <c r="A7" s="42" t="s">
        <v>62</v>
      </c>
      <c r="B7" s="43" t="s">
        <v>13</v>
      </c>
      <c r="C7" s="44">
        <v>9088.7999999999993</v>
      </c>
      <c r="D7" s="44">
        <v>9622.5</v>
      </c>
      <c r="E7" s="44">
        <v>11038.900000000001</v>
      </c>
      <c r="F7" s="75">
        <v>10454.999999999996</v>
      </c>
    </row>
    <row r="8" spans="1:6" ht="24.95" customHeight="1">
      <c r="A8" s="46" t="s">
        <v>14</v>
      </c>
      <c r="B8" s="47" t="s">
        <v>15</v>
      </c>
      <c r="C8" s="48">
        <v>2535.1999999999998</v>
      </c>
      <c r="D8" s="48">
        <v>2855.5</v>
      </c>
      <c r="E8" s="48">
        <v>2452</v>
      </c>
      <c r="F8" s="48">
        <v>3024.7</v>
      </c>
    </row>
    <row r="9" spans="1:6" ht="24.95" customHeight="1">
      <c r="A9" s="46" t="s">
        <v>16</v>
      </c>
      <c r="B9" s="47" t="s">
        <v>17</v>
      </c>
      <c r="C9" s="48">
        <v>1665.2</v>
      </c>
      <c r="D9" s="48">
        <v>1889.9999999999998</v>
      </c>
      <c r="E9" s="48">
        <v>1557.3</v>
      </c>
      <c r="F9" s="48">
        <v>1832.8</v>
      </c>
    </row>
    <row r="10" spans="1:6" ht="24.95" customHeight="1">
      <c r="A10" s="46" t="s">
        <v>18</v>
      </c>
      <c r="B10" s="47" t="s">
        <v>19</v>
      </c>
      <c r="C10" s="48">
        <v>66.5</v>
      </c>
      <c r="D10" s="48">
        <v>64</v>
      </c>
      <c r="E10" s="48">
        <v>77.699999999999989</v>
      </c>
      <c r="F10" s="48">
        <v>106.60000000000002</v>
      </c>
    </row>
    <row r="11" spans="1:6" ht="24.95" customHeight="1">
      <c r="A11" s="46" t="s">
        <v>20</v>
      </c>
      <c r="B11" s="47" t="s">
        <v>21</v>
      </c>
      <c r="C11" s="48">
        <v>1127.4000000000001</v>
      </c>
      <c r="D11" s="48">
        <v>820.5</v>
      </c>
      <c r="E11" s="48">
        <v>1258.5</v>
      </c>
      <c r="F11" s="48">
        <v>1298.9000000000001</v>
      </c>
    </row>
    <row r="12" spans="1:6" ht="24.95" customHeight="1">
      <c r="A12" s="46" t="s">
        <v>22</v>
      </c>
      <c r="B12" s="50" t="s">
        <v>23</v>
      </c>
      <c r="C12" s="48">
        <v>2603</v>
      </c>
      <c r="D12" s="48">
        <v>2928.2</v>
      </c>
      <c r="E12" s="48">
        <v>4575.7</v>
      </c>
      <c r="F12" s="48">
        <v>2907.0999999999995</v>
      </c>
    </row>
    <row r="13" spans="1:6" ht="24.95" customHeight="1">
      <c r="A13" s="46" t="s">
        <v>24</v>
      </c>
      <c r="B13" s="51" t="s">
        <v>25</v>
      </c>
      <c r="C13" s="48">
        <v>545.6</v>
      </c>
      <c r="D13" s="48">
        <v>494.9</v>
      </c>
      <c r="E13" s="48">
        <v>521.0999999999998</v>
      </c>
      <c r="F13" s="48">
        <v>658.5999999999998</v>
      </c>
    </row>
    <row r="14" spans="1:6" ht="24.95" customHeight="1">
      <c r="A14" s="46" t="s">
        <v>26</v>
      </c>
      <c r="B14" s="52" t="s">
        <v>27</v>
      </c>
      <c r="C14" s="48">
        <v>268.5</v>
      </c>
      <c r="D14" s="48">
        <v>237.10000000000002</v>
      </c>
      <c r="E14" s="48">
        <v>229.79999999999995</v>
      </c>
      <c r="F14" s="48">
        <v>240.39999999999998</v>
      </c>
    </row>
    <row r="15" spans="1:6" ht="24.95" customHeight="1">
      <c r="A15" s="46" t="s">
        <v>28</v>
      </c>
      <c r="B15" s="51" t="s">
        <v>29</v>
      </c>
      <c r="C15" s="48">
        <v>8.6999999999999993</v>
      </c>
      <c r="D15" s="48">
        <v>12.5</v>
      </c>
      <c r="E15" s="48">
        <v>9.1000000000000014</v>
      </c>
      <c r="F15" s="48">
        <v>17.599999999999998</v>
      </c>
    </row>
    <row r="16" spans="1:6" ht="24.95" customHeight="1">
      <c r="A16" s="53" t="s">
        <v>30</v>
      </c>
      <c r="B16" s="54" t="s">
        <v>31</v>
      </c>
      <c r="C16" s="55">
        <v>268.69999999999953</v>
      </c>
      <c r="D16" s="55">
        <v>319.8</v>
      </c>
      <c r="E16" s="55">
        <v>357.7</v>
      </c>
      <c r="F16" s="55">
        <v>368.3</v>
      </c>
    </row>
    <row r="17" spans="1:7" ht="22.5" customHeight="1">
      <c r="A17" s="63" t="s">
        <v>88</v>
      </c>
      <c r="B17" s="64" t="s">
        <v>57</v>
      </c>
      <c r="C17" s="8"/>
      <c r="G17" s="74"/>
    </row>
    <row r="18" spans="1:7" ht="21.75" customHeight="1">
      <c r="A18" s="63" t="s">
        <v>89</v>
      </c>
      <c r="B18" s="65" t="s">
        <v>32</v>
      </c>
      <c r="C18" s="5"/>
    </row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562A-819F-4BA1-A936-59A33C1D81D8}">
  <dimension ref="A1:E18"/>
  <sheetViews>
    <sheetView tabSelected="1" view="pageBreakPreview" zoomScale="80" zoomScaleNormal="100" zoomScaleSheetLayoutView="80" workbookViewId="0">
      <selection activeCell="H7" sqref="H7"/>
    </sheetView>
  </sheetViews>
  <sheetFormatPr defaultRowHeight="12.75"/>
  <cols>
    <col min="1" max="1" width="40" customWidth="1"/>
    <col min="2" max="2" width="58" customWidth="1"/>
    <col min="3" max="5" width="24.140625" customWidth="1"/>
  </cols>
  <sheetData>
    <row r="1" spans="1:5" ht="24.95" customHeight="1">
      <c r="A1" s="2"/>
      <c r="B1" s="1"/>
      <c r="C1" s="1"/>
    </row>
    <row r="2" spans="1:5" ht="24.95" customHeight="1">
      <c r="A2" s="86" t="s">
        <v>0</v>
      </c>
      <c r="B2" s="86"/>
      <c r="C2" s="86"/>
      <c r="D2" s="86"/>
      <c r="E2" s="86"/>
    </row>
    <row r="3" spans="1:5" ht="24.95" customHeight="1">
      <c r="A3" s="10"/>
      <c r="B3" s="3"/>
      <c r="E3" s="67" t="s">
        <v>1</v>
      </c>
    </row>
    <row r="4" spans="1:5" ht="24.95" customHeight="1">
      <c r="A4" s="81" t="s">
        <v>2</v>
      </c>
      <c r="B4" s="81" t="s">
        <v>3</v>
      </c>
      <c r="C4" s="37" t="s">
        <v>4</v>
      </c>
      <c r="D4" s="37" t="s">
        <v>5</v>
      </c>
      <c r="E4" s="37" t="s">
        <v>6</v>
      </c>
    </row>
    <row r="5" spans="1:5" ht="24.95" customHeight="1">
      <c r="A5" s="82"/>
      <c r="B5" s="82"/>
      <c r="C5" s="87" t="s">
        <v>114</v>
      </c>
      <c r="D5" s="87" t="s">
        <v>115</v>
      </c>
      <c r="E5" s="87" t="s">
        <v>116</v>
      </c>
    </row>
    <row r="6" spans="1:5" ht="24.95" customHeight="1">
      <c r="A6" s="83"/>
      <c r="B6" s="83"/>
      <c r="C6" s="88"/>
      <c r="D6" s="88"/>
      <c r="E6" s="88"/>
    </row>
    <row r="7" spans="1:5" ht="24.95" customHeight="1">
      <c r="A7" s="42" t="s">
        <v>62</v>
      </c>
      <c r="B7" s="43" t="s">
        <v>13</v>
      </c>
      <c r="C7" s="44">
        <v>11089.5</v>
      </c>
      <c r="D7" s="76">
        <v>9804.2999999999993</v>
      </c>
      <c r="E7" s="76">
        <v>10592.5</v>
      </c>
    </row>
    <row r="8" spans="1:5" ht="24.95" customHeight="1">
      <c r="A8" s="46" t="s">
        <v>14</v>
      </c>
      <c r="B8" s="47" t="s">
        <v>15</v>
      </c>
      <c r="C8" s="48">
        <v>2799.6</v>
      </c>
      <c r="D8" s="77">
        <v>2729.6</v>
      </c>
      <c r="E8" s="77">
        <v>2816.599999999999</v>
      </c>
    </row>
    <row r="9" spans="1:5" ht="24.95" customHeight="1">
      <c r="A9" s="46" t="s">
        <v>16</v>
      </c>
      <c r="B9" s="47" t="s">
        <v>17</v>
      </c>
      <c r="C9" s="48">
        <v>2127</v>
      </c>
      <c r="D9" s="77">
        <v>1801.4</v>
      </c>
      <c r="E9" s="77">
        <v>1994.8999999999996</v>
      </c>
    </row>
    <row r="10" spans="1:5" ht="24.95" customHeight="1">
      <c r="A10" s="46" t="s">
        <v>18</v>
      </c>
      <c r="B10" s="47" t="s">
        <v>19</v>
      </c>
      <c r="C10" s="48">
        <v>55.9</v>
      </c>
      <c r="D10" s="77">
        <v>44.699999999999996</v>
      </c>
      <c r="E10" s="77">
        <v>81</v>
      </c>
    </row>
    <row r="11" spans="1:5" ht="24.95" customHeight="1">
      <c r="A11" s="46" t="s">
        <v>20</v>
      </c>
      <c r="B11" s="47" t="s">
        <v>21</v>
      </c>
      <c r="C11" s="48">
        <v>1103.0999999999999</v>
      </c>
      <c r="D11" s="77">
        <v>1036.0999999999999</v>
      </c>
      <c r="E11" s="77">
        <v>1037.5</v>
      </c>
    </row>
    <row r="12" spans="1:5" ht="24.95" customHeight="1">
      <c r="A12" s="46" t="s">
        <v>22</v>
      </c>
      <c r="B12" s="50" t="s">
        <v>23</v>
      </c>
      <c r="C12" s="48">
        <v>3699.3</v>
      </c>
      <c r="D12" s="77">
        <v>2931</v>
      </c>
      <c r="E12" s="77">
        <v>3088.8</v>
      </c>
    </row>
    <row r="13" spans="1:5" ht="24.95" customHeight="1">
      <c r="A13" s="46" t="s">
        <v>24</v>
      </c>
      <c r="B13" s="51" t="s">
        <v>25</v>
      </c>
      <c r="C13" s="48">
        <v>738.3</v>
      </c>
      <c r="D13" s="77">
        <v>725.60000000000014</v>
      </c>
      <c r="E13" s="77">
        <v>935.29999999999973</v>
      </c>
    </row>
    <row r="14" spans="1:5" ht="24.95" customHeight="1">
      <c r="A14" s="46" t="s">
        <v>26</v>
      </c>
      <c r="B14" s="52" t="s">
        <v>27</v>
      </c>
      <c r="C14" s="48">
        <v>230.5</v>
      </c>
      <c r="D14" s="77">
        <v>251.5</v>
      </c>
      <c r="E14" s="77">
        <v>206.10000000000002</v>
      </c>
    </row>
    <row r="15" spans="1:5" ht="24.95" customHeight="1">
      <c r="A15" s="46" t="s">
        <v>28</v>
      </c>
      <c r="B15" s="51" t="s">
        <v>29</v>
      </c>
      <c r="C15" s="48">
        <v>23.2</v>
      </c>
      <c r="D15" s="77">
        <v>22.599999999999998</v>
      </c>
      <c r="E15" s="77">
        <v>19.000000000000004</v>
      </c>
    </row>
    <row r="16" spans="1:5" ht="24.95" customHeight="1">
      <c r="A16" s="53" t="s">
        <v>30</v>
      </c>
      <c r="B16" s="54" t="s">
        <v>31</v>
      </c>
      <c r="C16" s="55">
        <v>312.59999999999951</v>
      </c>
      <c r="D16" s="78">
        <v>261.8</v>
      </c>
      <c r="E16" s="78">
        <v>413.3</v>
      </c>
    </row>
    <row r="17" spans="1:5" ht="22.5" customHeight="1">
      <c r="A17" s="63" t="s">
        <v>88</v>
      </c>
      <c r="B17" s="64" t="s">
        <v>57</v>
      </c>
      <c r="C17" s="8"/>
      <c r="D17" s="74"/>
      <c r="E17" s="74"/>
    </row>
    <row r="18" spans="1:5" ht="21.75" customHeight="1">
      <c r="A18" s="63" t="s">
        <v>89</v>
      </c>
      <c r="B18" s="65" t="s">
        <v>32</v>
      </c>
      <c r="C18" s="5"/>
    </row>
  </sheetData>
  <mergeCells count="6">
    <mergeCell ref="E5:E6"/>
    <mergeCell ref="A2:E2"/>
    <mergeCell ref="A4:A6"/>
    <mergeCell ref="B4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</documentManagement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61934E9C-5A44-437F-AC72-7C6C7DA0D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73F7F2-6223-451F-93E2-C1ED614F4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4391F3-0038-44FA-BC8A-6C2065B3AC89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806035d9-ad3b-44db-92a1-1ed4b9daec3e"/>
    <ds:schemaRef ds:uri="http://purl.org/dc/terms/"/>
    <ds:schemaRef ds:uri="4a1cef21-950b-48ce-bef3-2690db201377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6EC8FEF-6265-44D1-BC68-B9CCB12A8AB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8</vt:i4>
      </vt:variant>
    </vt:vector>
  </HeadingPairs>
  <TitlesOfParts>
    <vt:vector size="29" baseType="lpstr"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 </vt:lpstr>
      <vt:lpstr>2024-2025</vt:lpstr>
      <vt:lpstr>2025-2026</vt:lpstr>
      <vt:lpstr>'2012-2013'!Print_Area</vt:lpstr>
      <vt:lpstr>'2013-2014'!Print_Area</vt:lpstr>
      <vt:lpstr>'2018-2019'!Print_Area</vt:lpstr>
      <vt:lpstr>'2020-2021'!Print_Area</vt:lpstr>
      <vt:lpstr>'2021-2022'!Print_Area</vt:lpstr>
      <vt:lpstr>'2022-2023'!Print_Area</vt:lpstr>
      <vt:lpstr>'2023-2024 '!Print_Area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</dc:title>
  <dc:creator>Internet Research</dc:creator>
  <cp:lastModifiedBy>Sara Mohsen</cp:lastModifiedBy>
  <cp:lastPrinted>2026-07-27T10:57:04Z</cp:lastPrinted>
  <dcterms:created xsi:type="dcterms:W3CDTF">1996-10-14T23:33:28Z</dcterms:created>
  <dcterms:modified xsi:type="dcterms:W3CDTF">2026-07-28T08:24:31Z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