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60" yWindow="105" windowWidth="9210" windowHeight="11580" tabRatio="722"/>
  </bookViews>
  <sheets>
    <sheet name="2009-2010" sheetId="24" r:id="rId1"/>
  </sheets>
  <definedNames>
    <definedName name="_xlnm.Print_Area" localSheetId="0">'2009-2010'!$A$4:$F$25</definedName>
  </definedNames>
  <calcPr calcId="145621" fullPrecision="0"/>
</workbook>
</file>

<file path=xl/calcChain.xml><?xml version="1.0" encoding="utf-8"?>
<calcChain xmlns="http://schemas.openxmlformats.org/spreadsheetml/2006/main">
  <c r="F8" i="24" l="1"/>
  <c r="F21" i="24" s="1"/>
  <c r="F16" i="24" s="1"/>
  <c r="E8" i="24"/>
  <c r="E21" i="24" s="1"/>
  <c r="E16" i="24" s="1"/>
  <c r="D8" i="24"/>
  <c r="D21" i="24" s="1"/>
  <c r="D16" i="24" s="1"/>
  <c r="C8" i="24"/>
  <c r="C21" i="24" s="1"/>
  <c r="C16" i="24" s="1"/>
</calcChain>
</file>

<file path=xl/sharedStrings.xml><?xml version="1.0" encoding="utf-8"?>
<sst xmlns="http://schemas.openxmlformats.org/spreadsheetml/2006/main" count="42" uniqueCount="42">
  <si>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</si>
  <si>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</si>
  <si>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</si>
  <si>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</si>
  <si>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</si>
  <si>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</si>
  <si>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</si>
  <si>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 xml:space="preserve"> National Investment Bank </t>
  </si>
  <si>
    <t>Liabilities :of which</t>
  </si>
  <si>
    <t xml:space="preserve"> Social Insurance Fund for Gov. Employees</t>
  </si>
  <si>
    <t xml:space="preserve"> Social Insurance Fund for Pub. &amp; Priv. Business Sectors Employees</t>
  </si>
  <si>
    <t xml:space="preserve"> Proceeds from  investment certificates</t>
  </si>
  <si>
    <t xml:space="preserve"> Accumulated  interest on investment certificates (category A)</t>
  </si>
  <si>
    <t xml:space="preserve"> Proceeds from US dollar development bonds</t>
  </si>
  <si>
    <t xml:space="preserve"> Post office savings</t>
  </si>
  <si>
    <t xml:space="preserve"> Others***</t>
  </si>
  <si>
    <t>Assets :of which</t>
  </si>
  <si>
    <t xml:space="preserve"> Loans to government</t>
  </si>
  <si>
    <t xml:space="preserve"> Loans to economic authorities</t>
  </si>
  <si>
    <t xml:space="preserve"> Investments in government securities (bills and bonds)</t>
  </si>
  <si>
    <t xml:space="preserve"> Deposits of the NIB with the banking system</t>
  </si>
  <si>
    <t>Source:  National Investment Bank.</t>
  </si>
  <si>
    <t>. صندوق التأمين الاجتماعى للعاملين بالحكومة</t>
  </si>
  <si>
    <t>. صندوق التأمين الاجتماعى للعاملين بقطاعى الأعمال العام والخاص</t>
  </si>
  <si>
    <t>. حصيلة شهادات الاستثمار</t>
  </si>
  <si>
    <t>. حصيلة سندات التنمية الدولارية</t>
  </si>
  <si>
    <t>. ودائع صندوق توفير البريد</t>
  </si>
  <si>
    <t>. اقراض الهيئات  العامة الاقتصادية</t>
  </si>
  <si>
    <t>.إستثمارات فى أوراق مالية حكومية (اذون وسندات)</t>
  </si>
  <si>
    <t xml:space="preserve">.ودائع بنك الاستثمار القومى لدى الجهاز المصرفى </t>
  </si>
  <si>
    <t>. العوائد المتراكمة لشهادات الاستثمار مجموعة (أ)</t>
  </si>
  <si>
    <r>
      <t xml:space="preserve">   . أخرى </t>
    </r>
    <r>
      <rPr>
        <sz val="14"/>
        <rFont val="Arial"/>
        <family val="2"/>
      </rPr>
      <t>**</t>
    </r>
    <r>
      <rPr>
        <sz val="14"/>
        <rFont val="Akhbar MT"/>
        <charset val="178"/>
      </rPr>
      <t xml:space="preserve"> </t>
    </r>
  </si>
  <si>
    <r>
      <t xml:space="preserve"> </t>
    </r>
    <r>
      <rPr>
        <b/>
        <u/>
        <sz val="14"/>
        <rFont val="Arial"/>
        <family val="2"/>
      </rPr>
      <t>- الخصوم  : منها</t>
    </r>
  </si>
  <si>
    <r>
      <t xml:space="preserve"> </t>
    </r>
    <r>
      <rPr>
        <b/>
        <u/>
        <sz val="14"/>
        <rFont val="Arial"/>
        <family val="2"/>
      </rPr>
      <t>- الأصول : منها</t>
    </r>
  </si>
  <si>
    <t xml:space="preserve">   . اقراض للمساهمة فى الشركات القابضة والوحدات التابعة والقروض الميسرة وأخرى </t>
  </si>
  <si>
    <t xml:space="preserve">     (صافى مديونية بنك لاستثمار القومى مطروحا منها المديونية البينية) </t>
  </si>
  <si>
    <t>** Including deposits of the private insurance funds, saving certificates, and loans &amp; deposits of various authorities.</t>
  </si>
  <si>
    <t xml:space="preserve"> Lending to holding companies and affiliate units, concessional
 loans, and others </t>
  </si>
  <si>
    <t>Sep.2009</t>
  </si>
  <si>
    <t>Dec.2009</t>
  </si>
  <si>
    <t xml:space="preserve"> March 2010</t>
  </si>
  <si>
    <t>June2010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</si>
</sst>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</numFmts>
  <fonts count="22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sz val="14"/>
      <name val="Times New (W1)"/>
      <family val="1"/>
    </font>
    <font>
      <b/>
      <u/>
      <sz val="12"/>
      <name val="Times New (W1)"/>
      <family val="1"/>
    </font>
    <font>
      <sz val="8"/>
      <name val="Arial"/>
      <family val="2"/>
      <charset val="178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i/>
      <sz val="13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Times New (W1)"/>
      <charset val="178"/>
    </font>
    <font>
      <sz val="13"/>
      <name val="Times New (W1)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sz val="14"/>
      <name val="Akhbar MT"/>
      <charset val="178"/>
    </font>
    <font>
      <b/>
      <u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/>
      <diagonal/>
    </border>
    <border>
      <left style="double">
        <color indexed="41"/>
      </left>
      <right/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1" fillId="0" borderId="0" applyNumberFormat="0">
      <alignment horizontal="right"/>
    </xf>
    <xf numFmtId="0" fontId="13" fillId="0" borderId="0"/>
    <xf numFmtId="0" fontId="13" fillId="0" borderId="0"/>
    <xf numFmtId="0" fontId="19" fillId="0" borderId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Fill="1" applyAlignment="1">
      <alignment readingOrder="1"/>
    </xf>
    <xf numFmtId="0" fontId="5" fillId="0" borderId="0" xfId="0" applyFont="1" applyFill="1" applyAlignment="1">
      <alignment readingOrder="1"/>
    </xf>
    <xf numFmtId="0" fontId="9" fillId="0" borderId="0" xfId="0" applyFont="1"/>
    <xf numFmtId="164" fontId="0" fillId="0" borderId="0" xfId="0" applyNumberFormat="1"/>
    <xf numFmtId="0" fontId="0" fillId="0" borderId="0" xfId="0" applyFill="1"/>
    <xf numFmtId="164" fontId="12" fillId="0" borderId="0" xfId="0" applyNumberFormat="1" applyFont="1"/>
    <xf numFmtId="0" fontId="12" fillId="0" borderId="0" xfId="0" applyFont="1"/>
    <xf numFmtId="0" fontId="7" fillId="0" borderId="0" xfId="0" applyFont="1"/>
    <xf numFmtId="164" fontId="7" fillId="0" borderId="0" xfId="0" applyNumberFormat="1" applyFont="1"/>
    <xf numFmtId="0" fontId="0" fillId="3" borderId="1" xfId="0" applyFill="1" applyBorder="1" applyAlignment="1">
      <alignment readingOrder="2"/>
    </xf>
    <xf numFmtId="0" fontId="16" fillId="3" borderId="2" xfId="0" quotePrefix="1" applyFont="1" applyFill="1" applyBorder="1" applyAlignment="1">
      <alignment horizontal="right" readingOrder="2"/>
    </xf>
    <xf numFmtId="0" fontId="16" fillId="3" borderId="2" xfId="0" applyFont="1" applyFill="1" applyBorder="1" applyAlignment="1">
      <alignment horizontal="right" readingOrder="2"/>
    </xf>
    <xf numFmtId="0" fontId="17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0" fontId="18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4" fontId="0" fillId="0" borderId="0" xfId="0" applyNumberFormat="1" applyBorder="1"/>
    <xf numFmtId="164" fontId="7" fillId="0" borderId="0" xfId="0" applyNumberFormat="1" applyFont="1" applyBorder="1"/>
    <xf numFmtId="0" fontId="7" fillId="0" borderId="0" xfId="0" applyFont="1" applyBorder="1"/>
    <xf numFmtId="164" fontId="12" fillId="0" borderId="0" xfId="0" applyNumberFormat="1" applyFont="1" applyBorder="1"/>
    <xf numFmtId="0" fontId="12" fillId="0" borderId="0" xfId="0" applyFont="1" applyBorder="1"/>
    <xf numFmtId="0" fontId="9" fillId="0" borderId="0" xfId="0" applyFont="1" applyBorder="1"/>
    <xf numFmtId="164" fontId="9" fillId="0" borderId="0" xfId="0" applyNumberFormat="1" applyFont="1" applyBorder="1"/>
    <xf numFmtId="164" fontId="0" fillId="0" borderId="0" xfId="0" applyNumberFormat="1" applyBorder="1" applyAlignment="1">
      <alignment horizontal="center"/>
    </xf>
    <xf numFmtId="0" fontId="18" fillId="0" borderId="3" xfId="2" quotePrefix="1" applyFont="1" applyBorder="1" applyAlignment="1">
      <alignment horizontal="center" vertical="center"/>
    </xf>
    <xf numFmtId="0" fontId="14" fillId="3" borderId="2" xfId="2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left" readingOrder="1"/>
    </xf>
    <xf numFmtId="0" fontId="14" fillId="3" borderId="2" xfId="2" applyFont="1" applyFill="1" applyBorder="1" applyAlignment="1">
      <alignment horizontal="left" vertical="center" readingOrder="1"/>
    </xf>
    <xf numFmtId="0" fontId="16" fillId="3" borderId="2" xfId="0" quotePrefix="1" applyFont="1" applyFill="1" applyBorder="1" applyAlignment="1">
      <alignment horizontal="left" readingOrder="1"/>
    </xf>
    <xf numFmtId="0" fontId="16" fillId="3" borderId="2" xfId="0" applyFont="1" applyFill="1" applyBorder="1" applyAlignment="1">
      <alignment horizontal="left" vertical="center" readingOrder="1"/>
    </xf>
    <xf numFmtId="0" fontId="16" fillId="3" borderId="2" xfId="0" applyFont="1" applyFill="1" applyBorder="1" applyAlignment="1">
      <alignment horizontal="right" vertical="center" readingOrder="2"/>
    </xf>
    <xf numFmtId="0" fontId="14" fillId="3" borderId="2" xfId="2" applyFont="1" applyFill="1" applyBorder="1" applyAlignment="1">
      <alignment horizontal="right" vertical="center" readingOrder="2"/>
    </xf>
    <xf numFmtId="0" fontId="6" fillId="0" borderId="0" xfId="0" applyFont="1" applyFill="1" applyBorder="1" applyAlignment="1">
      <alignment horizontal="center" vertical="center" readingOrder="1"/>
    </xf>
    <xf numFmtId="0" fontId="0" fillId="0" borderId="0" xfId="0"/>
    <xf numFmtId="0" fontId="1" fillId="3" borderId="0" xfId="0" applyFont="1" applyFill="1" applyAlignment="1">
      <alignment readingOrder="1"/>
    </xf>
    <xf numFmtId="0" fontId="17" fillId="4" borderId="0" xfId="2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 readingOrder="1"/>
    </xf>
    <xf numFmtId="3" fontId="15" fillId="0" borderId="2" xfId="0" applyNumberFormat="1" applyFont="1" applyFill="1" applyBorder="1" applyAlignment="1">
      <alignment horizontal="center" readingOrder="1"/>
    </xf>
    <xf numFmtId="3" fontId="3" fillId="0" borderId="2" xfId="0" applyNumberFormat="1" applyFont="1" applyFill="1" applyBorder="1" applyAlignment="1">
      <alignment horizontal="center" readingOrder="1"/>
    </xf>
    <xf numFmtId="3" fontId="3" fillId="0" borderId="7" xfId="0" applyNumberFormat="1" applyFont="1" applyFill="1" applyBorder="1" applyAlignment="1">
      <alignment horizontal="center" readingOrder="1"/>
    </xf>
    <xf numFmtId="0" fontId="0" fillId="3" borderId="0" xfId="0" applyFill="1" applyBorder="1"/>
    <xf numFmtId="0" fontId="16" fillId="3" borderId="7" xfId="0" applyFont="1" applyFill="1" applyBorder="1" applyAlignment="1">
      <alignment horizontal="right" vertical="top" wrapText="1" readingOrder="2"/>
    </xf>
    <xf numFmtId="0" fontId="16" fillId="3" borderId="7" xfId="0" applyFont="1" applyFill="1" applyBorder="1" applyAlignment="1">
      <alignment horizontal="left" vertical="top" wrapText="1" readingOrder="1"/>
    </xf>
    <xf numFmtId="0" fontId="16" fillId="3" borderId="2" xfId="0" quotePrefix="1" applyFont="1" applyFill="1" applyBorder="1" applyAlignment="1">
      <alignment horizontal="right" vertical="center" readingOrder="2"/>
    </xf>
    <xf numFmtId="0" fontId="16" fillId="3" borderId="2" xfId="0" quotePrefix="1" applyFont="1" applyFill="1" applyBorder="1" applyAlignment="1">
      <alignment horizontal="left" vertical="center" readingOrder="1"/>
    </xf>
    <xf numFmtId="0" fontId="8" fillId="0" borderId="0" xfId="0" applyFont="1" applyFill="1" applyBorder="1" applyAlignment="1">
      <alignment horizontal="center" vertical="center" readingOrder="1"/>
    </xf>
    <xf numFmtId="0" fontId="10" fillId="0" borderId="0" xfId="0" applyFont="1" applyFill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</cellXfs>
  <cellStyles count="9">
    <cellStyle name="MS_Arabic" xfId="1"/>
    <cellStyle name="Normal" xfId="0" builtinId="0"/>
    <cellStyle name="Normal 2" xfId="3"/>
    <cellStyle name="Normal_wafaa file_12_22-24_26-34" xfId="2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"/>
  <sheetViews>
    <sheetView tabSelected="1" view="pageBreakPreview" topLeftCell="B4" zoomScale="88" zoomScaleNormal="75" zoomScaleSheetLayoutView="88" workbookViewId="0">
      <selection activeCell="I17" sqref="I17"/>
    </sheetView>
  </sheetViews>
  <sheetFormatPr defaultRowHeight="12.75"/>
  <cols>
    <col min="1" max="1" width="72.85546875" style="35" customWidth="1"/>
    <col min="2" max="2" width="66.85546875" style="1" customWidth="1"/>
    <col min="3" max="6" width="18.42578125" style="35" customWidth="1"/>
    <col min="7" max="7" width="11.7109375" style="14" customWidth="1"/>
    <col min="8" max="8" width="12.85546875" style="14" bestFit="1" customWidth="1"/>
    <col min="9" max="9" width="11.140625" style="14" bestFit="1" customWidth="1"/>
    <col min="10" max="10" width="10.7109375" style="14" bestFit="1" customWidth="1"/>
    <col min="11" max="19" width="9.140625" style="14"/>
    <col min="20" max="24" width="9.140625" style="35"/>
    <col min="25" max="25" width="9.28515625" style="35" bestFit="1" customWidth="1"/>
    <col min="26" max="16384" width="9.140625" style="35"/>
  </cols>
  <sheetData>
    <row r="1" spans="1:25" ht="15" hidden="1" customHeight="1"/>
    <row r="2" spans="1:25" ht="23.25" hidden="1">
      <c r="B2" s="50" t="s">
        <v>5</v>
      </c>
      <c r="C2" s="50"/>
      <c r="D2" s="50"/>
      <c r="E2" s="50"/>
      <c r="F2" s="50"/>
    </row>
    <row r="3" spans="1:25" ht="23.25" hidden="1">
      <c r="B3" s="51" t="s">
        <v>4</v>
      </c>
      <c r="C3" s="51"/>
      <c r="D3" s="51"/>
      <c r="E3" s="51"/>
      <c r="F3" s="51"/>
    </row>
    <row r="4" spans="1:25" s="5" customFormat="1" ht="45" customHeight="1">
      <c r="A4" s="52" t="s">
        <v>7</v>
      </c>
      <c r="B4" s="52"/>
      <c r="C4" s="52"/>
      <c r="D4" s="52"/>
      <c r="E4" s="52"/>
      <c r="F4" s="52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25" s="5" customFormat="1" ht="45" customHeight="1" thickBot="1">
      <c r="A5" s="34"/>
      <c r="B5" s="34"/>
      <c r="C5" s="34"/>
      <c r="D5" s="34"/>
      <c r="E5" s="34"/>
      <c r="F5" s="26" t="s">
        <v>6</v>
      </c>
      <c r="G5" s="16"/>
      <c r="H5" s="16"/>
      <c r="I5" s="16"/>
      <c r="J5" s="16"/>
      <c r="K5" s="16"/>
      <c r="L5" s="15"/>
      <c r="M5" s="15"/>
      <c r="N5" s="15"/>
      <c r="O5" s="15"/>
      <c r="P5" s="15"/>
      <c r="Q5" s="15"/>
      <c r="R5" s="15"/>
      <c r="S5" s="15"/>
    </row>
    <row r="6" spans="1:25" ht="25.5" customHeight="1" thickTop="1">
      <c r="B6" s="35"/>
      <c r="C6" s="38" t="s">
        <v>0</v>
      </c>
      <c r="D6" s="38" t="s">
        <v>1</v>
      </c>
      <c r="E6" s="38" t="s">
        <v>2</v>
      </c>
      <c r="F6" s="39" t="s">
        <v>3</v>
      </c>
      <c r="I6" s="17"/>
    </row>
    <row r="7" spans="1:25" ht="36" customHeight="1" thickBot="1">
      <c r="A7" s="10"/>
      <c r="B7" s="40"/>
      <c r="C7" s="41" t="s">
        <v>38</v>
      </c>
      <c r="D7" s="41" t="s">
        <v>39</v>
      </c>
      <c r="E7" s="41" t="s">
        <v>40</v>
      </c>
      <c r="F7" s="41" t="s">
        <v>41</v>
      </c>
    </row>
    <row r="8" spans="1:25" ht="24.95" customHeight="1" thickTop="1">
      <c r="A8" s="27" t="s">
        <v>32</v>
      </c>
      <c r="B8" s="29" t="s">
        <v>8</v>
      </c>
      <c r="C8" s="42">
        <f t="shared" ref="C8:F8" si="0">SUM(C9:C15)</f>
        <v>202778</v>
      </c>
      <c r="D8" s="42">
        <f t="shared" si="0"/>
        <v>210210</v>
      </c>
      <c r="E8" s="42">
        <f t="shared" si="0"/>
        <v>211293</v>
      </c>
      <c r="F8" s="42">
        <f t="shared" si="0"/>
        <v>227769</v>
      </c>
      <c r="G8" s="18"/>
      <c r="P8" s="18"/>
      <c r="Q8" s="18"/>
      <c r="R8" s="18"/>
      <c r="S8" s="18"/>
      <c r="T8" s="4"/>
      <c r="U8" s="4"/>
      <c r="V8" s="4"/>
      <c r="W8" s="4"/>
      <c r="X8" s="4"/>
      <c r="Y8" s="4"/>
    </row>
    <row r="9" spans="1:25" s="8" customFormat="1" ht="24.95" customHeight="1">
      <c r="A9" s="12" t="s">
        <v>22</v>
      </c>
      <c r="B9" s="28" t="s">
        <v>9</v>
      </c>
      <c r="C9" s="43">
        <v>29638</v>
      </c>
      <c r="D9" s="43">
        <v>29638</v>
      </c>
      <c r="E9" s="43">
        <v>29638</v>
      </c>
      <c r="F9" s="43">
        <v>31613</v>
      </c>
      <c r="G9" s="19"/>
      <c r="H9" s="19"/>
      <c r="I9" s="20"/>
      <c r="J9" s="20"/>
      <c r="K9" s="20"/>
      <c r="L9" s="20"/>
      <c r="M9" s="20"/>
      <c r="N9" s="20"/>
      <c r="O9" s="20"/>
      <c r="P9" s="19"/>
      <c r="Q9" s="19"/>
      <c r="R9" s="19"/>
      <c r="S9" s="19"/>
      <c r="T9" s="9"/>
      <c r="U9" s="9"/>
      <c r="V9" s="9"/>
      <c r="W9" s="9"/>
      <c r="X9" s="9"/>
      <c r="Y9" s="9"/>
    </row>
    <row r="10" spans="1:25" s="7" customFormat="1" ht="24.95" customHeight="1">
      <c r="A10" s="12" t="s">
        <v>23</v>
      </c>
      <c r="B10" s="30" t="s">
        <v>10</v>
      </c>
      <c r="C10" s="43">
        <v>24895</v>
      </c>
      <c r="D10" s="43">
        <v>24895</v>
      </c>
      <c r="E10" s="43">
        <v>24895</v>
      </c>
      <c r="F10" s="43">
        <v>27384</v>
      </c>
      <c r="G10" s="21"/>
      <c r="H10" s="22"/>
      <c r="I10" s="22"/>
      <c r="J10" s="22"/>
      <c r="K10" s="22"/>
      <c r="L10" s="22"/>
      <c r="M10" s="22"/>
      <c r="N10" s="22"/>
      <c r="O10" s="22"/>
      <c r="P10" s="21"/>
      <c r="Q10" s="21"/>
      <c r="R10" s="21"/>
      <c r="S10" s="21"/>
      <c r="T10" s="6"/>
      <c r="U10" s="6"/>
      <c r="V10" s="6"/>
      <c r="W10" s="6"/>
      <c r="X10" s="6"/>
      <c r="Y10" s="6"/>
    </row>
    <row r="11" spans="1:25" s="7" customFormat="1" ht="24.95" customHeight="1">
      <c r="A11" s="12" t="s">
        <v>24</v>
      </c>
      <c r="B11" s="28" t="s">
        <v>11</v>
      </c>
      <c r="C11" s="43">
        <v>83139</v>
      </c>
      <c r="D11" s="43">
        <v>87030</v>
      </c>
      <c r="E11" s="43">
        <v>88184</v>
      </c>
      <c r="F11" s="43">
        <v>91134</v>
      </c>
      <c r="G11" s="22"/>
      <c r="H11" s="21"/>
      <c r="I11" s="22"/>
      <c r="J11" s="22"/>
      <c r="K11" s="22"/>
      <c r="L11" s="22"/>
      <c r="M11" s="22"/>
      <c r="N11" s="22"/>
      <c r="O11" s="22"/>
      <c r="P11" s="21"/>
      <c r="Q11" s="21"/>
      <c r="R11" s="21"/>
      <c r="S11" s="21"/>
      <c r="T11" s="6"/>
      <c r="U11" s="6"/>
      <c r="V11" s="6"/>
      <c r="W11" s="6"/>
      <c r="X11" s="6"/>
      <c r="Y11" s="6"/>
    </row>
    <row r="12" spans="1:25" s="8" customFormat="1" ht="24.95" customHeight="1">
      <c r="A12" s="12" t="s">
        <v>30</v>
      </c>
      <c r="B12" s="30" t="s">
        <v>12</v>
      </c>
      <c r="C12" s="43">
        <v>8723</v>
      </c>
      <c r="D12" s="43">
        <v>8746</v>
      </c>
      <c r="E12" s="43">
        <v>8615</v>
      </c>
      <c r="F12" s="43">
        <v>8648</v>
      </c>
      <c r="G12" s="20"/>
      <c r="H12" s="19"/>
      <c r="I12" s="20"/>
      <c r="J12" s="20"/>
      <c r="K12" s="20"/>
      <c r="L12" s="20"/>
      <c r="M12" s="20"/>
      <c r="N12" s="20"/>
      <c r="O12" s="20"/>
      <c r="P12" s="19"/>
      <c r="Q12" s="19"/>
      <c r="R12" s="19"/>
      <c r="S12" s="19"/>
      <c r="T12" s="9"/>
      <c r="U12" s="9"/>
      <c r="V12" s="9"/>
      <c r="W12" s="9"/>
      <c r="X12" s="9"/>
      <c r="Y12" s="9"/>
    </row>
    <row r="13" spans="1:25" s="7" customFormat="1" ht="24.95" customHeight="1">
      <c r="A13" s="12" t="s">
        <v>25</v>
      </c>
      <c r="B13" s="28" t="s">
        <v>13</v>
      </c>
      <c r="C13" s="43">
        <v>10</v>
      </c>
      <c r="D13" s="43">
        <v>10</v>
      </c>
      <c r="E13" s="43">
        <v>10</v>
      </c>
      <c r="F13" s="43">
        <v>10</v>
      </c>
      <c r="G13" s="22"/>
      <c r="H13" s="19"/>
      <c r="I13" s="22"/>
      <c r="J13" s="22"/>
      <c r="K13" s="22"/>
      <c r="L13" s="22"/>
      <c r="M13" s="22"/>
      <c r="N13" s="22"/>
      <c r="O13" s="22"/>
      <c r="P13" s="21"/>
      <c r="Q13" s="21"/>
      <c r="R13" s="21"/>
      <c r="S13" s="21"/>
      <c r="T13" s="6"/>
      <c r="U13" s="6"/>
      <c r="V13" s="6"/>
      <c r="W13" s="6"/>
      <c r="X13" s="6"/>
      <c r="Y13" s="6"/>
    </row>
    <row r="14" spans="1:25" s="7" customFormat="1" ht="24.95" customHeight="1">
      <c r="A14" s="12" t="s">
        <v>26</v>
      </c>
      <c r="B14" s="30" t="s">
        <v>14</v>
      </c>
      <c r="C14" s="43">
        <v>54988</v>
      </c>
      <c r="D14" s="43">
        <v>57987</v>
      </c>
      <c r="E14" s="43">
        <v>57987</v>
      </c>
      <c r="F14" s="43">
        <v>64837</v>
      </c>
      <c r="G14" s="22"/>
      <c r="H14" s="19"/>
      <c r="I14" s="22"/>
      <c r="J14" s="22"/>
      <c r="K14" s="22"/>
      <c r="L14" s="22"/>
      <c r="M14" s="22"/>
      <c r="N14" s="22"/>
      <c r="O14" s="22"/>
      <c r="P14" s="21"/>
      <c r="Q14" s="21"/>
      <c r="R14" s="21"/>
      <c r="S14" s="21"/>
      <c r="T14" s="6"/>
      <c r="U14" s="6"/>
      <c r="V14" s="6"/>
      <c r="W14" s="6"/>
      <c r="X14" s="6"/>
      <c r="Y14" s="6"/>
    </row>
    <row r="15" spans="1:25" ht="30" customHeight="1">
      <c r="A15" s="32" t="s">
        <v>31</v>
      </c>
      <c r="B15" s="31" t="s">
        <v>15</v>
      </c>
      <c r="C15" s="43">
        <v>1385</v>
      </c>
      <c r="D15" s="43">
        <v>1904</v>
      </c>
      <c r="E15" s="43">
        <v>1964</v>
      </c>
      <c r="F15" s="43">
        <v>4143</v>
      </c>
      <c r="P15" s="18"/>
      <c r="Q15" s="18"/>
      <c r="R15" s="18"/>
      <c r="S15" s="18"/>
      <c r="T15" s="4"/>
      <c r="U15" s="4"/>
      <c r="V15" s="4"/>
      <c r="W15" s="4"/>
      <c r="X15" s="4"/>
      <c r="Y15" s="4"/>
    </row>
    <row r="16" spans="1:25" ht="24.95" customHeight="1">
      <c r="A16" s="33" t="s">
        <v>33</v>
      </c>
      <c r="B16" s="29" t="s">
        <v>16</v>
      </c>
      <c r="C16" s="42">
        <f t="shared" ref="C16:F16" si="1">SUM(C17:C21)</f>
        <v>202778</v>
      </c>
      <c r="D16" s="42">
        <f t="shared" si="1"/>
        <v>210210</v>
      </c>
      <c r="E16" s="42">
        <f t="shared" si="1"/>
        <v>211293</v>
      </c>
      <c r="F16" s="42">
        <f t="shared" si="1"/>
        <v>227769</v>
      </c>
      <c r="P16" s="18"/>
      <c r="Q16" s="18"/>
      <c r="R16" s="18"/>
      <c r="S16" s="18"/>
      <c r="T16" s="4"/>
      <c r="U16" s="4"/>
      <c r="V16" s="4"/>
      <c r="W16" s="4"/>
      <c r="X16" s="4"/>
      <c r="Y16" s="4"/>
    </row>
    <row r="17" spans="1:25" ht="24.95" customHeight="1">
      <c r="A17" s="12" t="s">
        <v>27</v>
      </c>
      <c r="B17" s="28" t="s">
        <v>17</v>
      </c>
      <c r="C17" s="43">
        <v>0</v>
      </c>
      <c r="D17" s="43">
        <v>0</v>
      </c>
      <c r="E17" s="43">
        <v>0</v>
      </c>
      <c r="F17" s="43">
        <v>0</v>
      </c>
      <c r="I17" s="18"/>
      <c r="P17" s="18"/>
      <c r="Q17" s="18"/>
      <c r="R17" s="18"/>
      <c r="S17" s="18"/>
      <c r="T17" s="4"/>
      <c r="U17" s="4"/>
      <c r="V17" s="4"/>
      <c r="W17" s="4"/>
      <c r="X17" s="4"/>
      <c r="Y17" s="4"/>
    </row>
    <row r="18" spans="1:25" s="3" customFormat="1" ht="24.95" customHeight="1">
      <c r="A18" s="11" t="s">
        <v>28</v>
      </c>
      <c r="B18" s="30" t="s">
        <v>18</v>
      </c>
      <c r="C18" s="43">
        <v>51323</v>
      </c>
      <c r="D18" s="43">
        <v>51209</v>
      </c>
      <c r="E18" s="43">
        <v>51049</v>
      </c>
      <c r="F18" s="43">
        <v>51469</v>
      </c>
      <c r="G18" s="23"/>
      <c r="H18" s="23"/>
      <c r="I18" s="24"/>
      <c r="J18" s="24"/>
      <c r="K18" s="23"/>
      <c r="L18" s="23"/>
      <c r="M18" s="23"/>
      <c r="N18" s="23"/>
      <c r="O18" s="23"/>
      <c r="P18" s="18"/>
      <c r="Q18" s="18"/>
      <c r="R18" s="18"/>
      <c r="S18" s="18"/>
      <c r="T18" s="4"/>
      <c r="U18" s="4"/>
      <c r="V18" s="4"/>
      <c r="W18" s="4"/>
      <c r="X18" s="4"/>
      <c r="Y18" s="4"/>
    </row>
    <row r="19" spans="1:25" ht="24.95" customHeight="1">
      <c r="A19" s="12" t="s">
        <v>29</v>
      </c>
      <c r="B19" s="28" t="s">
        <v>19</v>
      </c>
      <c r="C19" s="43">
        <v>8607</v>
      </c>
      <c r="D19" s="43">
        <v>12310</v>
      </c>
      <c r="E19" s="43">
        <v>14294</v>
      </c>
      <c r="F19" s="43">
        <v>13664</v>
      </c>
      <c r="H19" s="25"/>
      <c r="I19" s="18"/>
      <c r="P19" s="18"/>
      <c r="Q19" s="18"/>
      <c r="R19" s="18"/>
      <c r="S19" s="18"/>
      <c r="T19" s="4"/>
      <c r="U19" s="4"/>
      <c r="V19" s="4"/>
      <c r="W19" s="4"/>
      <c r="X19" s="4"/>
      <c r="Y19" s="4"/>
    </row>
    <row r="20" spans="1:25" ht="24.95" customHeight="1">
      <c r="A20" s="48" t="s">
        <v>34</v>
      </c>
      <c r="B20" s="49" t="s">
        <v>20</v>
      </c>
      <c r="C20" s="43">
        <v>4526</v>
      </c>
      <c r="D20" s="43">
        <v>9106</v>
      </c>
      <c r="E20" s="43">
        <v>3375</v>
      </c>
      <c r="F20" s="43">
        <v>5510</v>
      </c>
      <c r="J20" s="18"/>
      <c r="P20" s="18"/>
      <c r="Q20" s="18"/>
      <c r="R20" s="18"/>
      <c r="S20" s="18"/>
      <c r="T20" s="4"/>
      <c r="U20" s="4"/>
      <c r="V20" s="4"/>
      <c r="W20" s="4"/>
      <c r="X20" s="4"/>
      <c r="Y20" s="4"/>
    </row>
    <row r="21" spans="1:25" ht="17.25" customHeight="1">
      <c r="A21" s="46" t="s">
        <v>35</v>
      </c>
      <c r="B21" s="47" t="s">
        <v>37</v>
      </c>
      <c r="C21" s="44">
        <f t="shared" ref="C21:F21" si="2">C8-C17-C18-C19-C20</f>
        <v>138322</v>
      </c>
      <c r="D21" s="44">
        <f t="shared" si="2"/>
        <v>137585</v>
      </c>
      <c r="E21" s="44">
        <f t="shared" si="2"/>
        <v>142575</v>
      </c>
      <c r="F21" s="44">
        <f t="shared" si="2"/>
        <v>157126</v>
      </c>
      <c r="H21" s="18"/>
      <c r="P21" s="18"/>
      <c r="Q21" s="18"/>
      <c r="R21" s="18"/>
      <c r="S21" s="18"/>
      <c r="T21" s="4"/>
      <c r="U21" s="4"/>
      <c r="V21" s="4"/>
      <c r="W21" s="4"/>
      <c r="X21" s="4"/>
      <c r="Y21" s="4"/>
    </row>
    <row r="22" spans="1:25">
      <c r="B22" s="2"/>
    </row>
    <row r="23" spans="1:25" ht="15.75">
      <c r="A23" s="13" t="s">
        <v>21</v>
      </c>
      <c r="B23" s="36"/>
      <c r="C23" s="37"/>
      <c r="D23" s="37"/>
      <c r="E23" s="37"/>
      <c r="F23" s="37"/>
      <c r="G23" s="13"/>
      <c r="H23" s="13"/>
    </row>
    <row r="24" spans="1:25" ht="18.75" customHeight="1">
      <c r="A24" s="45" t="s">
        <v>36</v>
      </c>
      <c r="B24" s="36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6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7NQWTN4WQ7WA-971242747-677</_dlc_DocId>
    <_dlc_DocIdUrl xmlns="806035d9-ad3b-44db-92a1-1ed4b9daec3e">
      <Url>http://cbe-test-spsql:4050/_layouts/15/DocIdRedir.aspx?ID=7NQWTN4WQ7WA-971242747-677</Url>
      <Description>7NQWTN4WQ7WA-971242747-677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A54249-5A7B-4184-A116-2DD5C119F350}"/>
</file>

<file path=customXml/itemProps2.xml><?xml version="1.0" encoding="utf-8"?>
<ds:datastoreItem xmlns:ds="http://schemas.openxmlformats.org/officeDocument/2006/customXml" ds:itemID="{384DD599-D7FB-4906-A118-7701B3E2A100}"/>
</file>

<file path=customXml/itemProps3.xml><?xml version="1.0" encoding="utf-8"?>
<ds:datastoreItem xmlns:ds="http://schemas.openxmlformats.org/officeDocument/2006/customXml" ds:itemID="{57552529-F03E-42BE-A2AE-625050DA7599}"/>
</file>

<file path=customXml/itemProps4.xml><?xml version="1.0" encoding="utf-8"?>
<ds:datastoreItem xmlns:ds="http://schemas.openxmlformats.org/officeDocument/2006/customXml" ds:itemID="{384DD599-D7FB-4906-A118-7701B3E2A100}"/>
</file>

<file path=customXml/itemProps5.xml><?xml version="1.0" encoding="utf-8"?>
<ds:datastoreItem xmlns:ds="http://schemas.openxmlformats.org/officeDocument/2006/customXml" ds:itemID="{F9B366C6-B570-43A0-88A2-93575A902D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2009-2010</vt:lpstr>
      <vt:lpstr>'2009-2010'!Print_Area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NIB-Quarter 2009-2010</dc:title>
  <dc:creator>mamdouh.marghany</dc:creator>
  <cp:lastModifiedBy>Wafaa Ismail</cp:lastModifiedBy>
  <cp:lastPrinted>2014-08-13T09:01:32Z</cp:lastPrinted>
  <dcterms:created xsi:type="dcterms:W3CDTF">2009-04-23T10:41:14Z</dcterms:created>
  <dcterms:modified xsi:type="dcterms:W3CDTF">2014-12-09T09:14:21Z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67700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13d9f2cd-d049-4bbd-8354-856d2eb2303c</vt:lpwstr>
  </property>
</Properties>
</file>