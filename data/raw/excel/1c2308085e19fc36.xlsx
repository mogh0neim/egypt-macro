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54" i="1" l="1"/>
  <c r="K54" i="1"/>
  <c r="H54" i="1"/>
  <c r="E54" i="1"/>
  <c r="N53" i="1"/>
  <c r="K53" i="1"/>
  <c r="H53" i="1"/>
  <c r="E53" i="1"/>
  <c r="N52" i="1"/>
  <c r="K52" i="1"/>
  <c r="H52" i="1"/>
  <c r="E52" i="1"/>
  <c r="N51" i="1"/>
  <c r="K51" i="1"/>
  <c r="H51" i="1"/>
  <c r="E51" i="1"/>
  <c r="N50" i="1"/>
  <c r="K50" i="1"/>
  <c r="H50" i="1"/>
  <c r="E50" i="1"/>
  <c r="N49" i="1"/>
  <c r="K49" i="1"/>
  <c r="H49" i="1"/>
  <c r="E49" i="1"/>
  <c r="N48" i="1"/>
  <c r="K48" i="1"/>
  <c r="H48" i="1"/>
  <c r="E48" i="1"/>
  <c r="N47" i="1"/>
  <c r="K47" i="1"/>
  <c r="H47" i="1"/>
  <c r="E47" i="1"/>
  <c r="N46" i="1"/>
  <c r="K46" i="1"/>
  <c r="H46" i="1"/>
  <c r="E46" i="1"/>
  <c r="N45" i="1"/>
  <c r="K45" i="1"/>
  <c r="H45" i="1"/>
  <c r="E45" i="1"/>
  <c r="N44" i="1"/>
  <c r="K44" i="1"/>
  <c r="H44" i="1"/>
  <c r="E44" i="1"/>
  <c r="N43" i="1"/>
  <c r="K43" i="1"/>
  <c r="H43" i="1"/>
  <c r="E43" i="1"/>
  <c r="N42" i="1"/>
  <c r="K42" i="1"/>
  <c r="H42" i="1"/>
  <c r="E42" i="1"/>
  <c r="N41" i="1"/>
  <c r="K41" i="1"/>
  <c r="H41" i="1"/>
  <c r="E41" i="1"/>
  <c r="N40" i="1"/>
  <c r="K40" i="1"/>
  <c r="H40" i="1"/>
  <c r="E40" i="1"/>
  <c r="N39" i="1"/>
  <c r="K39" i="1"/>
  <c r="H39" i="1"/>
  <c r="E39" i="1"/>
  <c r="N38" i="1"/>
  <c r="K38" i="1"/>
  <c r="H38" i="1"/>
  <c r="E38" i="1"/>
  <c r="N37" i="1"/>
  <c r="K37" i="1"/>
  <c r="H37" i="1"/>
  <c r="E37" i="1"/>
  <c r="N36" i="1"/>
  <c r="K36" i="1"/>
  <c r="H36" i="1"/>
  <c r="E36" i="1"/>
  <c r="N35" i="1"/>
  <c r="K35" i="1"/>
  <c r="H35" i="1"/>
  <c r="E35" i="1"/>
  <c r="N34" i="1"/>
  <c r="K34" i="1"/>
  <c r="H34" i="1"/>
  <c r="E34" i="1"/>
  <c r="N33" i="1"/>
  <c r="K33" i="1"/>
  <c r="H33" i="1"/>
  <c r="E33" i="1"/>
  <c r="N32" i="1"/>
  <c r="K32" i="1"/>
  <c r="H32" i="1"/>
  <c r="E32" i="1"/>
  <c r="N31" i="1"/>
  <c r="K31" i="1"/>
  <c r="H31" i="1"/>
  <c r="E31" i="1"/>
  <c r="N30" i="1"/>
  <c r="K30" i="1"/>
  <c r="H30" i="1"/>
  <c r="E30" i="1"/>
  <c r="N29" i="1"/>
  <c r="K29" i="1"/>
  <c r="H29" i="1"/>
  <c r="E29" i="1"/>
  <c r="N28" i="1"/>
  <c r="K28" i="1"/>
  <c r="H28" i="1"/>
  <c r="E28" i="1"/>
  <c r="N27" i="1"/>
  <c r="K27" i="1"/>
  <c r="H27" i="1"/>
  <c r="E27" i="1"/>
  <c r="N26" i="1"/>
  <c r="K26" i="1"/>
  <c r="H26" i="1"/>
  <c r="E26" i="1"/>
  <c r="N25" i="1"/>
  <c r="K25" i="1"/>
  <c r="H25" i="1"/>
  <c r="E25" i="1"/>
  <c r="N24" i="1"/>
  <c r="K24" i="1"/>
  <c r="H24" i="1"/>
  <c r="E24" i="1"/>
  <c r="N23" i="1"/>
  <c r="K23" i="1"/>
  <c r="H23" i="1"/>
  <c r="E23" i="1"/>
  <c r="N22" i="1"/>
  <c r="K22" i="1"/>
  <c r="H22" i="1"/>
  <c r="E22" i="1"/>
  <c r="N21" i="1"/>
  <c r="K21" i="1"/>
  <c r="H21" i="1"/>
  <c r="E21" i="1"/>
  <c r="N20" i="1"/>
  <c r="K20" i="1"/>
  <c r="H20" i="1"/>
  <c r="E20" i="1"/>
  <c r="N19" i="1"/>
  <c r="K19" i="1"/>
  <c r="H19" i="1"/>
  <c r="E19" i="1"/>
  <c r="N18" i="1"/>
  <c r="K18" i="1"/>
  <c r="H18" i="1"/>
  <c r="E18" i="1"/>
  <c r="N17" i="1"/>
  <c r="K17" i="1"/>
  <c r="H17" i="1"/>
  <c r="E17" i="1"/>
  <c r="N16" i="1"/>
  <c r="K16" i="1"/>
  <c r="H16" i="1"/>
  <c r="E16" i="1"/>
  <c r="N15" i="1"/>
  <c r="K15" i="1"/>
  <c r="H15" i="1"/>
  <c r="E15" i="1"/>
  <c r="N14" i="1"/>
  <c r="K14" i="1"/>
  <c r="H14" i="1"/>
  <c r="E14" i="1"/>
  <c r="N13" i="1"/>
  <c r="K13" i="1"/>
  <c r="H13" i="1"/>
  <c r="E13" i="1"/>
  <c r="N12" i="1"/>
  <c r="K12" i="1"/>
  <c r="H12" i="1"/>
  <c r="E12" i="1"/>
  <c r="N11" i="1"/>
  <c r="K11" i="1"/>
  <c r="H11" i="1"/>
  <c r="E11" i="1"/>
  <c r="N10" i="1"/>
  <c r="K10" i="1"/>
  <c r="H10" i="1"/>
  <c r="E10" i="1"/>
</calcChain>
</file>

<file path=xl/sharedStrings.xml><?xml version="1.0" encoding="utf-8"?>
<sst xmlns="http://schemas.openxmlformats.org/spreadsheetml/2006/main" count="128" uniqueCount="110">
  <si>
    <t>البيانات اولية وقابلة للتعديل  وغير قابلة للنشر</t>
  </si>
  <si>
    <t xml:space="preserve">وفقا للمنهجية الجديدة الخاصة بعرض بيانات البترول </t>
  </si>
  <si>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</si>
  <si>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</si>
  <si>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</si>
  <si>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</si>
  <si>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</si>
  <si>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</si>
  <si>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</si>
  <si>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</si>
  <si>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</si>
  <si>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</si>
  <si>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</si>
  <si>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</si>
  <si>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t>الصادرات</t>
  </si>
  <si>
    <t>الواردات</t>
  </si>
  <si>
    <t xml:space="preserve">الفائض / العجز </t>
  </si>
  <si>
    <t xml:space="preserve"> Exports</t>
  </si>
  <si>
    <t xml:space="preserve">      Imports  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</si>
  <si>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</si>
  <si>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</si>
  <si>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</si>
  <si>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</si>
  <si>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</si>
  <si>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</si>
  <si>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</si>
  <si>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</si>
  <si>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</si>
  <si>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</si>
  <si>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</si>
  <si>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</si>
  <si>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</si>
  <si>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</si>
  <si>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</si>
  <si>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</si>
  <si>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</si>
  <si>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</si>
  <si>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</si>
  <si>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</si>
  <si>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</si>
  <si>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</si>
  <si>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</si>
  <si>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</si>
  <si>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</si>
  <si>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</si>
  <si>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</si>
  <si>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</si>
  <si>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</si>
  <si>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</si>
  <si>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</si>
  <si>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</si>
  <si>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</si>
  <si>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</si>
  <si>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</si>
  <si>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</si>
  <si>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</si>
  <si>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</si>
  <si>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Oleaginous fruits and seeds,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</si>
  <si>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</si>
  <si>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</si>
  <si>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</si>
  <si>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</si>
  <si>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</si>
  <si>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</si>
  <si>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</si>
  <si>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</si>
  <si>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</si>
  <si>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</si>
  <si>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</si>
  <si>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</si>
  <si>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</si>
  <si>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</si>
  <si>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</si>
  <si>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</si>
  <si>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</si>
  <si>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</si>
  <si>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</si>
  <si>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</si>
  <si>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</si>
  <si>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</si>
  <si>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r>
      <t>الميزان السلعى للآلات والأجهـــزة والمعـدات الكهـربـائيـة وأجـــزاؤهـــا ، منها</t>
    </r>
    <r>
      <rPr>
        <u/>
        <sz val="13"/>
        <color indexed="61"/>
        <rFont val="Arial"/>
        <family val="2"/>
      </rPr>
      <t>:</t>
    </r>
  </si>
  <si>
    <t>Merchandise balance of electric appliances &amp;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</si>
  <si>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</si>
  <si>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</si>
  <si>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</si>
  <si>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</si>
  <si>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</si>
  <si>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</si>
  <si>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</si>
  <si>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</si>
  <si>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</si>
  <si>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</si>
  <si>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</si>
  <si>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</si>
  <si>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</si>
  <si>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</si>
  <si>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</si>
  <si>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products thereof</t>
  </si>
  <si>
    <t xml:space="preserve">الومنيوم خام ومصنوعاته </t>
  </si>
  <si>
    <t>Aluminum ore and its articles</t>
  </si>
  <si>
    <t>نحاس ومصنوعاته</t>
  </si>
  <si>
    <t>Copper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</si>
  <si>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</si>
  <si>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</si>
  <si>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</si>
  <si>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Lifts and bulldozers and parts thereof</t>
  </si>
  <si>
    <t>سيارات ومركبات  لنقل الاشخاص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</si>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</sst>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31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u/>
      <sz val="13"/>
      <color indexed="61"/>
      <name val="Arial"/>
      <family val="2"/>
    </font>
    <font>
      <i/>
      <sz val="10"/>
      <name val="Arial"/>
      <family val="2"/>
    </font>
    <font>
      <u/>
      <sz val="11"/>
      <name val="Arial"/>
      <family val="2"/>
      <charset val="178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4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164" fontId="5" fillId="0" borderId="0" xfId="0" applyNumberFormat="1" applyFont="1" applyFill="1" applyBorder="1" applyAlignment="1">
      <alignment horizontal="center" vertical="center" readingOrder="1"/>
    </xf>
    <xf numFmtId="0" fontId="6" fillId="2" borderId="1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6" fillId="2" borderId="5" xfId="0" quotePrefix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7" fillId="4" borderId="5" xfId="0" quotePrefix="1" applyFont="1" applyFill="1" applyBorder="1" applyAlignment="1">
      <alignment horizontal="center"/>
    </xf>
    <xf numFmtId="0" fontId="7" fillId="4" borderId="9" xfId="0" quotePrefix="1" applyFont="1" applyFill="1" applyBorder="1" applyAlignment="1">
      <alignment horizontal="center"/>
    </xf>
    <xf numFmtId="0" fontId="6" fillId="2" borderId="10" xfId="0" quotePrefix="1" applyFont="1" applyFill="1" applyBorder="1" applyAlignment="1">
      <alignment horizontal="center" vertical="center"/>
    </xf>
    <xf numFmtId="164" fontId="9" fillId="4" borderId="11" xfId="1" applyNumberFormat="1" applyFont="1" applyFill="1" applyBorder="1" applyAlignment="1">
      <alignment horizontal="center" vertical="center"/>
    </xf>
    <xf numFmtId="164" fontId="9" fillId="4" borderId="11" xfId="1" applyNumberFormat="1" applyFont="1" applyFill="1" applyBorder="1" applyAlignment="1">
      <alignment horizontal="center" vertical="center" wrapText="1"/>
    </xf>
    <xf numFmtId="164" fontId="9" fillId="4" borderId="4" xfId="1" applyNumberFormat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/>
    </xf>
    <xf numFmtId="0" fontId="10" fillId="2" borderId="5" xfId="0" quotePrefix="1" applyFont="1" applyFill="1" applyBorder="1" applyAlignment="1">
      <alignment horizontal="right" indent="2"/>
    </xf>
    <xf numFmtId="0" fontId="10" fillId="2" borderId="5" xfId="0" quotePrefix="1" applyFont="1" applyFill="1" applyBorder="1" applyAlignment="1">
      <alignment horizontal="left" indent="2"/>
    </xf>
    <xf numFmtId="165" fontId="11" fillId="0" borderId="1" xfId="1" applyNumberFormat="1" applyFont="1" applyFill="1" applyBorder="1" applyAlignment="1">
      <alignment horizontal="center" vertical="center" readingOrder="1"/>
    </xf>
    <xf numFmtId="165" fontId="12" fillId="0" borderId="1" xfId="1" applyNumberFormat="1" applyFont="1" applyFill="1" applyBorder="1" applyAlignment="1">
      <alignment horizontal="center" vertical="center" readingOrder="1"/>
    </xf>
    <xf numFmtId="164" fontId="13" fillId="0" borderId="0" xfId="0" applyNumberFormat="1" applyFont="1"/>
    <xf numFmtId="0" fontId="13" fillId="0" borderId="0" xfId="0" applyFont="1"/>
    <xf numFmtId="0" fontId="14" fillId="2" borderId="5" xfId="0" quotePrefix="1" applyFont="1" applyFill="1" applyBorder="1" applyAlignment="1">
      <alignment horizontal="right" indent="2"/>
    </xf>
    <xf numFmtId="0" fontId="14" fillId="2" borderId="5" xfId="0" quotePrefix="1" applyFont="1" applyFill="1" applyBorder="1" applyAlignment="1">
      <alignment horizontal="left" indent="2"/>
    </xf>
    <xf numFmtId="165" fontId="15" fillId="0" borderId="5" xfId="0" applyNumberFormat="1" applyFont="1" applyBorder="1" applyAlignment="1">
      <alignment horizontal="center" vertical="center" readingOrder="1"/>
    </xf>
    <xf numFmtId="164" fontId="16" fillId="0" borderId="0" xfId="0" applyNumberFormat="1" applyFont="1"/>
    <xf numFmtId="0" fontId="16" fillId="0" borderId="0" xfId="0" applyFont="1"/>
    <xf numFmtId="165" fontId="11" fillId="0" borderId="5" xfId="1" applyNumberFormat="1" applyFont="1" applyFill="1" applyBorder="1" applyAlignment="1">
      <alignment horizontal="center" vertical="center" readingOrder="1"/>
    </xf>
    <xf numFmtId="166" fontId="11" fillId="0" borderId="5" xfId="1" applyNumberFormat="1" applyFont="1" applyFill="1" applyBorder="1" applyAlignment="1">
      <alignment horizontal="center" vertical="center" readingOrder="1"/>
    </xf>
    <xf numFmtId="165" fontId="12" fillId="0" borderId="5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17" fillId="0" borderId="0" xfId="0" applyFont="1"/>
    <xf numFmtId="0" fontId="18" fillId="0" borderId="0" xfId="0" applyFont="1"/>
    <xf numFmtId="167" fontId="19" fillId="0" borderId="5" xfId="0" applyNumberFormat="1" applyFont="1" applyBorder="1" applyAlignment="1">
      <alignment horizontal="center" vertical="center" readingOrder="1"/>
    </xf>
    <xf numFmtId="164" fontId="0" fillId="0" borderId="0" xfId="0" applyNumberFormat="1" applyBorder="1"/>
    <xf numFmtId="0" fontId="0" fillId="0" borderId="0" xfId="0" applyBorder="1"/>
    <xf numFmtId="0" fontId="20" fillId="0" borderId="0" xfId="0" applyFont="1"/>
    <xf numFmtId="164" fontId="20" fillId="0" borderId="0" xfId="0" applyNumberFormat="1" applyFont="1"/>
    <xf numFmtId="0" fontId="21" fillId="0" borderId="0" xfId="0" applyFont="1"/>
    <xf numFmtId="164" fontId="21" fillId="0" borderId="0" xfId="0" applyNumberFormat="1" applyFont="1"/>
    <xf numFmtId="0" fontId="17" fillId="0" borderId="0" xfId="0" applyFont="1" applyFill="1"/>
    <xf numFmtId="164" fontId="17" fillId="0" borderId="0" xfId="0" applyNumberFormat="1" applyFont="1" applyFill="1"/>
    <xf numFmtId="0" fontId="21" fillId="0" borderId="0" xfId="0" applyFont="1" applyFill="1"/>
    <xf numFmtId="164" fontId="21" fillId="0" borderId="0" xfId="0" applyNumberFormat="1" applyFont="1" applyFill="1"/>
    <xf numFmtId="164" fontId="17" fillId="0" borderId="0" xfId="0" applyNumberFormat="1" applyFont="1"/>
    <xf numFmtId="0" fontId="23" fillId="0" borderId="0" xfId="0" applyFont="1"/>
    <xf numFmtId="164" fontId="23" fillId="0" borderId="0" xfId="0" applyNumberFormat="1" applyFont="1"/>
    <xf numFmtId="165" fontId="24" fillId="0" borderId="5" xfId="0" applyNumberFormat="1" applyFont="1" applyBorder="1" applyAlignment="1">
      <alignment horizontal="center" vertical="center" readingOrder="1"/>
    </xf>
    <xf numFmtId="0" fontId="14" fillId="2" borderId="10" xfId="0" quotePrefix="1" applyFont="1" applyFill="1" applyBorder="1" applyAlignment="1">
      <alignment horizontal="left" indent="2"/>
    </xf>
    <xf numFmtId="165" fontId="15" fillId="0" borderId="10" xfId="0" applyNumberFormat="1" applyFont="1" applyBorder="1" applyAlignment="1">
      <alignment horizontal="center" vertical="center" readingOrder="1"/>
    </xf>
    <xf numFmtId="0" fontId="20" fillId="0" borderId="2" xfId="1" applyFont="1" applyFill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vertical="center" readingOrder="1"/>
    </xf>
    <xf numFmtId="0" fontId="12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6" fillId="0" borderId="0" xfId="1" applyFont="1" applyFill="1" applyBorder="1" applyAlignment="1">
      <alignment horizontal="right" vertical="center" indent="1" readingOrder="2"/>
    </xf>
    <xf numFmtId="0" fontId="10" fillId="0" borderId="0" xfId="0" quotePrefix="1" applyFont="1" applyFill="1" applyBorder="1" applyAlignment="1">
      <alignment horizontal="right" indent="2"/>
    </xf>
    <xf numFmtId="0" fontId="27" fillId="0" borderId="0" xfId="1" applyFont="1" applyFill="1" applyBorder="1" applyAlignment="1">
      <alignment horizontal="right" vertical="center" indent="1" readingOrder="2"/>
    </xf>
    <xf numFmtId="0" fontId="14" fillId="0" borderId="0" xfId="0" quotePrefix="1" applyFont="1" applyFill="1" applyBorder="1" applyAlignment="1">
      <alignment horizontal="right" indent="2"/>
    </xf>
    <xf numFmtId="0" fontId="28" fillId="0" borderId="0" xfId="0" applyFont="1" applyFill="1" applyAlignment="1">
      <alignment readingOrder="1"/>
    </xf>
    <xf numFmtId="0" fontId="29" fillId="0" borderId="0" xfId="0" applyFont="1" applyFill="1" applyAlignment="1">
      <alignment readingOrder="1"/>
    </xf>
    <xf numFmtId="14" fontId="28" fillId="0" borderId="0" xfId="0" applyNumberFormat="1" applyFont="1" applyFill="1" applyAlignment="1">
      <alignment readingOrder="1"/>
    </xf>
    <xf numFmtId="0" fontId="30" fillId="0" borderId="0" xfId="0" applyFont="1" applyFill="1" applyAlignment="1">
      <alignment horizontal="left" readingOrder="1"/>
    </xf>
    <xf numFmtId="0" fontId="0" fillId="0" borderId="0" xfId="0" applyFill="1" applyBorder="1"/>
    <xf numFmtId="0" fontId="1" fillId="0" borderId="0" xfId="0" applyFont="1" applyFill="1" applyBorder="1" applyAlignment="1">
      <alignment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"/>
  <sheetViews>
    <sheetView tabSelected="1" topLeftCell="A4" workbookViewId="0">
      <selection sqref="A1:XFD1048576"/>
    </sheetView>
  </sheetViews>
  <sheetFormatPr defaultRowHeight="1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9" ht="15" hidden="1" customHeight="1"/>
    <row r="2" spans="1:29" ht="23.25" hidden="1" customHeight="1">
      <c r="B2" s="2" t="s">
        <v>0</v>
      </c>
      <c r="C2" s="2"/>
      <c r="D2" s="2"/>
      <c r="E2" s="2"/>
      <c r="F2" s="2"/>
      <c r="G2" s="2"/>
      <c r="H2" s="2"/>
    </row>
    <row r="3" spans="1:29" ht="23.25" hidden="1" customHeight="1">
      <c r="B3" s="3" t="s">
        <v>1</v>
      </c>
      <c r="C3" s="3"/>
      <c r="D3" s="3"/>
      <c r="E3" s="3"/>
      <c r="F3" s="3"/>
      <c r="G3" s="3"/>
      <c r="H3" s="3"/>
    </row>
    <row r="4" spans="1:29" s="6" customFormat="1" ht="4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6" customFormat="1" ht="45" customHeight="1">
      <c r="A5" s="7"/>
      <c r="B5" s="7"/>
      <c r="C5" s="7"/>
      <c r="D5" s="7"/>
      <c r="E5" s="7"/>
      <c r="F5" s="7"/>
      <c r="G5" s="7"/>
      <c r="I5" s="7"/>
      <c r="J5" s="7"/>
      <c r="K5" s="8"/>
      <c r="L5" s="7"/>
      <c r="M5" s="7"/>
      <c r="N5" s="8" t="s">
        <v>3</v>
      </c>
    </row>
    <row r="6" spans="1:29" ht="25.5" customHeight="1">
      <c r="A6" s="9" t="s">
        <v>4</v>
      </c>
      <c r="B6" s="9" t="s">
        <v>5</v>
      </c>
      <c r="C6" s="10" t="s">
        <v>6</v>
      </c>
      <c r="D6" s="11"/>
      <c r="E6" s="12"/>
      <c r="F6" s="10" t="s">
        <v>7</v>
      </c>
      <c r="G6" s="11"/>
      <c r="H6" s="12"/>
      <c r="I6" s="10" t="s">
        <v>8</v>
      </c>
      <c r="J6" s="11"/>
      <c r="K6" s="12"/>
      <c r="L6" s="11" t="s">
        <v>9</v>
      </c>
      <c r="M6" s="11"/>
      <c r="N6" s="12"/>
    </row>
    <row r="7" spans="1:29" ht="25.5" customHeight="1">
      <c r="A7" s="13"/>
      <c r="B7" s="13"/>
      <c r="C7" s="14" t="s">
        <v>10</v>
      </c>
      <c r="D7" s="15"/>
      <c r="E7" s="16"/>
      <c r="F7" s="14" t="s">
        <v>11</v>
      </c>
      <c r="G7" s="15"/>
      <c r="H7" s="16"/>
      <c r="I7" s="14" t="s">
        <v>12</v>
      </c>
      <c r="J7" s="15"/>
      <c r="K7" s="16"/>
      <c r="L7" s="15" t="s">
        <v>13</v>
      </c>
      <c r="M7" s="15"/>
      <c r="N7" s="16"/>
    </row>
    <row r="8" spans="1:29" ht="25.5" customHeight="1">
      <c r="A8" s="13"/>
      <c r="B8" s="13"/>
      <c r="C8" s="17" t="s">
        <v>14</v>
      </c>
      <c r="D8" s="17" t="s">
        <v>15</v>
      </c>
      <c r="E8" s="17" t="s">
        <v>16</v>
      </c>
      <c r="F8" s="18" t="s">
        <v>14</v>
      </c>
      <c r="G8" s="17" t="s">
        <v>15</v>
      </c>
      <c r="H8" s="17" t="s">
        <v>16</v>
      </c>
      <c r="I8" s="17" t="s">
        <v>14</v>
      </c>
      <c r="J8" s="17" t="s">
        <v>15</v>
      </c>
      <c r="K8" s="17" t="s">
        <v>16</v>
      </c>
      <c r="L8" s="17" t="s">
        <v>14</v>
      </c>
      <c r="M8" s="17" t="s">
        <v>15</v>
      </c>
      <c r="N8" s="17" t="s">
        <v>16</v>
      </c>
    </row>
    <row r="9" spans="1:29" ht="36" customHeight="1">
      <c r="A9" s="19"/>
      <c r="B9" s="19"/>
      <c r="C9" s="20" t="s">
        <v>17</v>
      </c>
      <c r="D9" s="21" t="s">
        <v>18</v>
      </c>
      <c r="E9" s="21" t="s">
        <v>19</v>
      </c>
      <c r="F9" s="22" t="s">
        <v>17</v>
      </c>
      <c r="G9" s="23" t="s">
        <v>18</v>
      </c>
      <c r="H9" s="23" t="s">
        <v>19</v>
      </c>
      <c r="I9" s="24" t="s">
        <v>17</v>
      </c>
      <c r="J9" s="23" t="s">
        <v>18</v>
      </c>
      <c r="K9" s="23" t="s">
        <v>19</v>
      </c>
      <c r="L9" s="24" t="s">
        <v>17</v>
      </c>
      <c r="M9" s="23" t="s">
        <v>18</v>
      </c>
      <c r="N9" s="23" t="s">
        <v>19</v>
      </c>
    </row>
    <row r="10" spans="1:29" s="30" customFormat="1" ht="20.100000000000001" customHeight="1">
      <c r="A10" s="25" t="s">
        <v>20</v>
      </c>
      <c r="B10" s="26" t="s">
        <v>21</v>
      </c>
      <c r="C10" s="27">
        <v>2137.8000000000002</v>
      </c>
      <c r="D10" s="27">
        <v>1152.8</v>
      </c>
      <c r="E10" s="27">
        <f t="shared" ref="E10:E54" si="0">+C10-D10</f>
        <v>985.00000000000023</v>
      </c>
      <c r="F10" s="27">
        <v>2594.1999999999998</v>
      </c>
      <c r="G10" s="27">
        <v>1406</v>
      </c>
      <c r="H10" s="27">
        <f>+F10-G10</f>
        <v>1188.1999999999998</v>
      </c>
      <c r="I10" s="27">
        <v>2707.6</v>
      </c>
      <c r="J10" s="27">
        <v>1189.0999999999999</v>
      </c>
      <c r="K10" s="27">
        <f t="shared" ref="K10:K54" si="1">+I10-J10</f>
        <v>1518.5</v>
      </c>
      <c r="L10" s="28">
        <v>2782.8</v>
      </c>
      <c r="M10" s="28">
        <v>1611.3</v>
      </c>
      <c r="N10" s="27">
        <f t="shared" ref="N10:N54" si="2">+L10-M10</f>
        <v>1171.5000000000002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9" s="35" customFormat="1" ht="20.100000000000001" customHeight="1">
      <c r="A11" s="31" t="s">
        <v>22</v>
      </c>
      <c r="B11" s="32" t="s">
        <v>23</v>
      </c>
      <c r="C11" s="33">
        <v>759.7</v>
      </c>
      <c r="D11" s="33">
        <v>816.1</v>
      </c>
      <c r="E11" s="33">
        <f t="shared" si="0"/>
        <v>-56.399999999999977</v>
      </c>
      <c r="F11" s="33">
        <v>816.9</v>
      </c>
      <c r="G11" s="33">
        <v>707.3</v>
      </c>
      <c r="H11" s="33">
        <f t="shared" ref="H11:H54" si="3">+F11-G11</f>
        <v>109.60000000000002</v>
      </c>
      <c r="I11" s="33">
        <v>753.4</v>
      </c>
      <c r="J11" s="33">
        <v>568.9</v>
      </c>
      <c r="K11" s="33">
        <f t="shared" si="1"/>
        <v>184.5</v>
      </c>
      <c r="L11" s="33">
        <v>883.8</v>
      </c>
      <c r="M11" s="33">
        <v>751.9</v>
      </c>
      <c r="N11" s="33">
        <f t="shared" si="2"/>
        <v>131.89999999999998</v>
      </c>
      <c r="O11" s="29"/>
      <c r="P11" s="29"/>
      <c r="Q11" s="29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9" s="35" customFormat="1" ht="20.100000000000001" customHeight="1">
      <c r="A12" s="31" t="s">
        <v>24</v>
      </c>
      <c r="B12" s="32" t="s">
        <v>25</v>
      </c>
      <c r="C12" s="33">
        <v>766.4</v>
      </c>
      <c r="D12" s="33">
        <v>301.7</v>
      </c>
      <c r="E12" s="33">
        <f t="shared" si="0"/>
        <v>464.7</v>
      </c>
      <c r="F12" s="33">
        <v>771.1</v>
      </c>
      <c r="G12" s="33">
        <v>652.4</v>
      </c>
      <c r="H12" s="33">
        <f t="shared" si="3"/>
        <v>118.70000000000005</v>
      </c>
      <c r="I12" s="33">
        <v>790</v>
      </c>
      <c r="J12" s="33">
        <v>577.1</v>
      </c>
      <c r="K12" s="33">
        <f t="shared" si="1"/>
        <v>212.89999999999998</v>
      </c>
      <c r="L12" s="33">
        <v>891.1</v>
      </c>
      <c r="M12" s="33">
        <v>830.6</v>
      </c>
      <c r="N12" s="33">
        <f t="shared" si="2"/>
        <v>60.5</v>
      </c>
      <c r="O12" s="29"/>
      <c r="P12" s="29"/>
      <c r="Q12" s="29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9" s="30" customFormat="1" ht="20.100000000000001" customHeight="1">
      <c r="A13" s="31" t="s">
        <v>26</v>
      </c>
      <c r="B13" s="32" t="s">
        <v>27</v>
      </c>
      <c r="C13" s="33">
        <v>225</v>
      </c>
      <c r="D13" s="33">
        <v>35</v>
      </c>
      <c r="E13" s="33">
        <f t="shared" si="0"/>
        <v>190</v>
      </c>
      <c r="F13" s="33">
        <v>243</v>
      </c>
      <c r="G13" s="33">
        <v>46.3</v>
      </c>
      <c r="H13" s="33">
        <f t="shared" si="3"/>
        <v>196.7</v>
      </c>
      <c r="I13" s="33">
        <v>237</v>
      </c>
      <c r="J13" s="33">
        <v>43.1</v>
      </c>
      <c r="K13" s="33">
        <f t="shared" si="1"/>
        <v>193.9</v>
      </c>
      <c r="L13" s="33">
        <v>276</v>
      </c>
      <c r="M13" s="33">
        <v>28.8</v>
      </c>
      <c r="N13" s="33">
        <f t="shared" si="2"/>
        <v>247.2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9" s="35" customFormat="1" ht="20.100000000000001" customHeight="1">
      <c r="A14" s="31" t="s">
        <v>28</v>
      </c>
      <c r="B14" s="32" t="s">
        <v>29</v>
      </c>
      <c r="C14" s="33">
        <v>386.7</v>
      </c>
      <c r="D14" s="33">
        <v>0</v>
      </c>
      <c r="E14" s="33">
        <f t="shared" si="0"/>
        <v>386.7</v>
      </c>
      <c r="F14" s="33">
        <v>763.2</v>
      </c>
      <c r="G14" s="33">
        <v>0</v>
      </c>
      <c r="H14" s="33">
        <f t="shared" si="3"/>
        <v>763.2</v>
      </c>
      <c r="I14" s="33">
        <v>927.2</v>
      </c>
      <c r="J14" s="33">
        <v>0</v>
      </c>
      <c r="K14" s="33">
        <f t="shared" si="1"/>
        <v>927.2</v>
      </c>
      <c r="L14" s="33">
        <v>731.9</v>
      </c>
      <c r="M14" s="33">
        <v>0</v>
      </c>
      <c r="N14" s="33">
        <f t="shared" si="2"/>
        <v>731.9</v>
      </c>
      <c r="O14" s="29"/>
      <c r="P14" s="29"/>
      <c r="Q14" s="29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9" s="35" customFormat="1" ht="20.100000000000001" customHeight="1">
      <c r="A15" s="25" t="s">
        <v>30</v>
      </c>
      <c r="B15" s="26" t="s">
        <v>31</v>
      </c>
      <c r="C15" s="36">
        <v>64.3</v>
      </c>
      <c r="D15" s="36">
        <v>430.1</v>
      </c>
      <c r="E15" s="37">
        <f t="shared" si="0"/>
        <v>-365.8</v>
      </c>
      <c r="F15" s="36">
        <v>64.3</v>
      </c>
      <c r="G15" s="36">
        <v>369.6</v>
      </c>
      <c r="H15" s="37">
        <f t="shared" si="3"/>
        <v>-305.3</v>
      </c>
      <c r="I15" s="36">
        <v>95.9</v>
      </c>
      <c r="J15" s="36">
        <v>321.8</v>
      </c>
      <c r="K15" s="37">
        <f t="shared" si="1"/>
        <v>-225.9</v>
      </c>
      <c r="L15" s="38">
        <v>102.1</v>
      </c>
      <c r="M15" s="38">
        <v>438.5</v>
      </c>
      <c r="N15" s="37">
        <f t="shared" si="2"/>
        <v>-336.4</v>
      </c>
      <c r="O15" s="29"/>
      <c r="P15" s="29"/>
      <c r="Q15" s="29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9" ht="20.100000000000001" customHeight="1">
      <c r="A16" s="31" t="s">
        <v>32</v>
      </c>
      <c r="B16" s="32" t="s">
        <v>33</v>
      </c>
      <c r="C16" s="33">
        <v>1.5</v>
      </c>
      <c r="D16" s="33">
        <v>61.9</v>
      </c>
      <c r="E16" s="33">
        <f t="shared" si="0"/>
        <v>-60.4</v>
      </c>
      <c r="F16" s="33">
        <v>1.6</v>
      </c>
      <c r="G16" s="33">
        <v>51.3</v>
      </c>
      <c r="H16" s="33">
        <f t="shared" si="3"/>
        <v>-49.699999999999996</v>
      </c>
      <c r="I16" s="33">
        <v>0.6</v>
      </c>
      <c r="J16" s="33">
        <v>59.2</v>
      </c>
      <c r="K16" s="33">
        <f t="shared" si="1"/>
        <v>-58.6</v>
      </c>
      <c r="L16" s="33">
        <v>0.3</v>
      </c>
      <c r="M16" s="33">
        <v>69.5</v>
      </c>
      <c r="N16" s="33">
        <f t="shared" si="2"/>
        <v>-69.2</v>
      </c>
      <c r="O16" s="29"/>
      <c r="P16" s="29"/>
      <c r="Q16" s="2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8">
      <c r="A17" s="31" t="s">
        <v>34</v>
      </c>
      <c r="B17" s="32" t="s">
        <v>35</v>
      </c>
      <c r="C17" s="33">
        <v>2.2000000000000002</v>
      </c>
      <c r="D17" s="33">
        <v>27.5</v>
      </c>
      <c r="E17" s="33">
        <f t="shared" si="0"/>
        <v>-25.3</v>
      </c>
      <c r="F17" s="33">
        <v>1</v>
      </c>
      <c r="G17" s="33">
        <v>25.8</v>
      </c>
      <c r="H17" s="33">
        <f t="shared" si="3"/>
        <v>-24.8</v>
      </c>
      <c r="I17" s="33">
        <v>1.4</v>
      </c>
      <c r="J17" s="33">
        <v>18.2</v>
      </c>
      <c r="K17" s="33">
        <f t="shared" si="1"/>
        <v>-16.8</v>
      </c>
      <c r="L17" s="33">
        <v>2.2000000000000002</v>
      </c>
      <c r="M17" s="33">
        <v>31.4</v>
      </c>
      <c r="N17" s="33">
        <f t="shared" si="2"/>
        <v>-29.2</v>
      </c>
      <c r="O17" s="29"/>
      <c r="P17" s="29"/>
      <c r="Q17" s="2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18">
      <c r="A18" s="31" t="s">
        <v>36</v>
      </c>
      <c r="B18" s="32" t="s">
        <v>37</v>
      </c>
      <c r="C18" s="33">
        <v>5.2</v>
      </c>
      <c r="D18" s="33">
        <v>19.600000000000001</v>
      </c>
      <c r="E18" s="33">
        <f t="shared" si="0"/>
        <v>-14.400000000000002</v>
      </c>
      <c r="F18" s="33">
        <v>5.5</v>
      </c>
      <c r="G18" s="33">
        <v>28.3</v>
      </c>
      <c r="H18" s="33">
        <f t="shared" si="3"/>
        <v>-22.8</v>
      </c>
      <c r="I18" s="33">
        <v>2.6</v>
      </c>
      <c r="J18" s="33">
        <v>20.6</v>
      </c>
      <c r="K18" s="33">
        <f t="shared" si="1"/>
        <v>-18</v>
      </c>
      <c r="L18" s="33">
        <v>7.1</v>
      </c>
      <c r="M18" s="33">
        <v>37.4</v>
      </c>
      <c r="N18" s="33">
        <f t="shared" si="2"/>
        <v>-30.299999999999997</v>
      </c>
      <c r="O18" s="29"/>
      <c r="P18" s="29"/>
      <c r="Q18" s="2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s="40" customFormat="1" ht="18">
      <c r="A19" s="31" t="s">
        <v>38</v>
      </c>
      <c r="B19" s="32" t="s">
        <v>39</v>
      </c>
      <c r="C19" s="33">
        <v>7.3</v>
      </c>
      <c r="D19" s="33">
        <v>8.4</v>
      </c>
      <c r="E19" s="33">
        <f t="shared" si="0"/>
        <v>-1.1000000000000005</v>
      </c>
      <c r="F19" s="33">
        <v>8.8000000000000007</v>
      </c>
      <c r="G19" s="33">
        <v>8.6999999999999993</v>
      </c>
      <c r="H19" s="33">
        <f t="shared" si="3"/>
        <v>0.10000000000000142</v>
      </c>
      <c r="I19" s="33">
        <v>24.6</v>
      </c>
      <c r="J19" s="33">
        <v>5.9</v>
      </c>
      <c r="K19" s="33">
        <f t="shared" si="1"/>
        <v>18.700000000000003</v>
      </c>
      <c r="L19" s="33">
        <v>29.1</v>
      </c>
      <c r="M19" s="33">
        <v>6.4</v>
      </c>
      <c r="N19" s="33">
        <f t="shared" si="2"/>
        <v>22.700000000000003</v>
      </c>
      <c r="O19" s="29"/>
      <c r="P19" s="29"/>
      <c r="Q19" s="2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18">
      <c r="A20" s="31" t="s">
        <v>40</v>
      </c>
      <c r="B20" s="32" t="s">
        <v>41</v>
      </c>
      <c r="C20" s="33">
        <v>0.8</v>
      </c>
      <c r="D20" s="33">
        <v>18.899999999999999</v>
      </c>
      <c r="E20" s="33">
        <f t="shared" si="0"/>
        <v>-18.099999999999998</v>
      </c>
      <c r="F20" s="33">
        <v>0.5</v>
      </c>
      <c r="G20" s="33">
        <v>12.8</v>
      </c>
      <c r="H20" s="33">
        <f t="shared" si="3"/>
        <v>-12.3</v>
      </c>
      <c r="I20" s="33">
        <v>0.7</v>
      </c>
      <c r="J20" s="33">
        <v>24.9</v>
      </c>
      <c r="K20" s="33">
        <f t="shared" si="1"/>
        <v>-24.2</v>
      </c>
      <c r="L20" s="33">
        <v>0.9</v>
      </c>
      <c r="M20" s="33">
        <v>31.5</v>
      </c>
      <c r="N20" s="33">
        <f t="shared" si="2"/>
        <v>-30.6</v>
      </c>
      <c r="O20" s="29"/>
      <c r="P20" s="29"/>
      <c r="Q20" s="2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18">
      <c r="A21" s="31" t="s">
        <v>42</v>
      </c>
      <c r="B21" s="32" t="s">
        <v>43</v>
      </c>
      <c r="C21" s="33">
        <v>3.7</v>
      </c>
      <c r="D21" s="33">
        <v>149.80000000000001</v>
      </c>
      <c r="E21" s="33">
        <f t="shared" si="0"/>
        <v>-146.10000000000002</v>
      </c>
      <c r="F21" s="33">
        <v>1.6</v>
      </c>
      <c r="G21" s="33">
        <v>120.9</v>
      </c>
      <c r="H21" s="33">
        <f t="shared" si="3"/>
        <v>-119.30000000000001</v>
      </c>
      <c r="I21" s="33">
        <v>3</v>
      </c>
      <c r="J21" s="33">
        <v>111.5</v>
      </c>
      <c r="K21" s="33">
        <f t="shared" si="1"/>
        <v>-108.5</v>
      </c>
      <c r="L21" s="33">
        <v>3.6</v>
      </c>
      <c r="M21" s="33">
        <v>149.5</v>
      </c>
      <c r="N21" s="33">
        <f t="shared" si="2"/>
        <v>-145.9</v>
      </c>
      <c r="O21" s="29"/>
      <c r="P21" s="29"/>
      <c r="Q21" s="2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18">
      <c r="A22" s="31" t="s">
        <v>44</v>
      </c>
      <c r="B22" s="32" t="s">
        <v>45</v>
      </c>
      <c r="C22" s="33">
        <v>12.5</v>
      </c>
      <c r="D22" s="33">
        <v>57.2</v>
      </c>
      <c r="E22" s="33">
        <f t="shared" si="0"/>
        <v>-44.7</v>
      </c>
      <c r="F22" s="33">
        <v>14.8</v>
      </c>
      <c r="G22" s="33">
        <v>25.7</v>
      </c>
      <c r="H22" s="33">
        <f t="shared" si="3"/>
        <v>-10.899999999999999</v>
      </c>
      <c r="I22" s="33">
        <v>9.9</v>
      </c>
      <c r="J22" s="33">
        <v>8.1999999999999993</v>
      </c>
      <c r="K22" s="33">
        <f t="shared" si="1"/>
        <v>1.7000000000000011</v>
      </c>
      <c r="L22" s="33">
        <v>15.7</v>
      </c>
      <c r="M22" s="33">
        <v>52.6</v>
      </c>
      <c r="N22" s="33">
        <f t="shared" si="2"/>
        <v>-36.900000000000006</v>
      </c>
      <c r="O22" s="29"/>
      <c r="P22" s="29"/>
      <c r="Q22" s="2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18">
      <c r="A23" s="31" t="s">
        <v>46</v>
      </c>
      <c r="B23" s="32" t="s">
        <v>47</v>
      </c>
      <c r="C23" s="33">
        <v>7.6</v>
      </c>
      <c r="D23" s="33">
        <v>36.6</v>
      </c>
      <c r="E23" s="33">
        <f t="shared" si="0"/>
        <v>-29</v>
      </c>
      <c r="F23" s="33">
        <v>7.3</v>
      </c>
      <c r="G23" s="33">
        <v>50.8</v>
      </c>
      <c r="H23" s="33">
        <f t="shared" si="3"/>
        <v>-43.5</v>
      </c>
      <c r="I23" s="33">
        <v>8.6</v>
      </c>
      <c r="J23" s="33">
        <v>53.8</v>
      </c>
      <c r="K23" s="33">
        <f t="shared" si="1"/>
        <v>-45.199999999999996</v>
      </c>
      <c r="L23" s="33">
        <v>10.4</v>
      </c>
      <c r="M23" s="33">
        <v>41.8</v>
      </c>
      <c r="N23" s="33">
        <f t="shared" si="2"/>
        <v>-31.4</v>
      </c>
      <c r="O23" s="29"/>
      <c r="P23" s="29"/>
      <c r="Q23" s="2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8">
      <c r="A24" s="25" t="s">
        <v>48</v>
      </c>
      <c r="B24" s="26" t="s">
        <v>49</v>
      </c>
      <c r="C24" s="36">
        <v>78.3</v>
      </c>
      <c r="D24" s="36">
        <v>328.2</v>
      </c>
      <c r="E24" s="37">
        <f t="shared" si="0"/>
        <v>-249.89999999999998</v>
      </c>
      <c r="F24" s="36">
        <v>72.3</v>
      </c>
      <c r="G24" s="36">
        <v>366.5</v>
      </c>
      <c r="H24" s="37">
        <f t="shared" si="3"/>
        <v>-294.2</v>
      </c>
      <c r="I24" s="36">
        <v>47.5</v>
      </c>
      <c r="J24" s="36">
        <v>401.4</v>
      </c>
      <c r="K24" s="37">
        <f t="shared" si="1"/>
        <v>-353.9</v>
      </c>
      <c r="L24" s="38">
        <v>62.6</v>
      </c>
      <c r="M24" s="38">
        <v>295.10000000000002</v>
      </c>
      <c r="N24" s="37">
        <f t="shared" si="2"/>
        <v>-232.50000000000003</v>
      </c>
      <c r="O24" s="29"/>
      <c r="P24" s="29"/>
      <c r="Q24" s="2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8">
      <c r="A25" s="31" t="s">
        <v>50</v>
      </c>
      <c r="B25" s="32" t="s">
        <v>51</v>
      </c>
      <c r="C25" s="33">
        <v>0.2</v>
      </c>
      <c r="D25" s="33">
        <v>156.30000000000001</v>
      </c>
      <c r="E25" s="33">
        <f t="shared" si="0"/>
        <v>-156.10000000000002</v>
      </c>
      <c r="F25" s="33">
        <v>0.2</v>
      </c>
      <c r="G25" s="33">
        <v>234.7</v>
      </c>
      <c r="H25" s="33">
        <f t="shared" si="3"/>
        <v>-234.5</v>
      </c>
      <c r="I25" s="33">
        <v>3.4</v>
      </c>
      <c r="J25" s="33">
        <v>300.2</v>
      </c>
      <c r="K25" s="33">
        <f t="shared" si="1"/>
        <v>-296.8</v>
      </c>
      <c r="L25" s="33">
        <v>3.9</v>
      </c>
      <c r="M25" s="33">
        <v>196.6</v>
      </c>
      <c r="N25" s="33">
        <f t="shared" si="2"/>
        <v>-192.7</v>
      </c>
      <c r="O25" s="29"/>
      <c r="P25" s="29"/>
      <c r="Q25" s="2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8">
      <c r="A26" s="31" t="s">
        <v>52</v>
      </c>
      <c r="B26" s="32" t="s">
        <v>53</v>
      </c>
      <c r="C26" s="33">
        <v>25.7</v>
      </c>
      <c r="D26" s="33">
        <v>139.80000000000001</v>
      </c>
      <c r="E26" s="33">
        <f t="shared" si="0"/>
        <v>-114.10000000000001</v>
      </c>
      <c r="F26" s="33">
        <v>17.100000000000001</v>
      </c>
      <c r="G26" s="33">
        <v>76.5</v>
      </c>
      <c r="H26" s="33">
        <f t="shared" si="3"/>
        <v>-59.4</v>
      </c>
      <c r="I26" s="33">
        <v>-33.9</v>
      </c>
      <c r="J26" s="33">
        <v>70.3</v>
      </c>
      <c r="K26" s="33">
        <f t="shared" si="1"/>
        <v>-104.19999999999999</v>
      </c>
      <c r="L26" s="33">
        <v>3.3</v>
      </c>
      <c r="M26" s="33">
        <v>76.2</v>
      </c>
      <c r="N26" s="33">
        <f t="shared" si="2"/>
        <v>-72.900000000000006</v>
      </c>
      <c r="O26" s="29"/>
      <c r="P26" s="29"/>
      <c r="Q26" s="2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8">
      <c r="A27" s="31" t="s">
        <v>54</v>
      </c>
      <c r="B27" s="32" t="s">
        <v>55</v>
      </c>
      <c r="C27" s="33">
        <v>21.3</v>
      </c>
      <c r="D27" s="33">
        <v>0.5</v>
      </c>
      <c r="E27" s="33">
        <f t="shared" si="0"/>
        <v>20.8</v>
      </c>
      <c r="F27" s="33">
        <v>33.4</v>
      </c>
      <c r="G27" s="33">
        <v>0.5</v>
      </c>
      <c r="H27" s="33">
        <f t="shared" si="3"/>
        <v>32.9</v>
      </c>
      <c r="I27" s="33">
        <v>50.1</v>
      </c>
      <c r="J27" s="33">
        <v>0.4</v>
      </c>
      <c r="K27" s="33">
        <f t="shared" si="1"/>
        <v>49.7</v>
      </c>
      <c r="L27" s="33">
        <v>31.2</v>
      </c>
      <c r="M27" s="33">
        <v>0.7</v>
      </c>
      <c r="N27" s="33">
        <f t="shared" si="2"/>
        <v>30.5</v>
      </c>
      <c r="O27" s="29"/>
      <c r="P27" s="29"/>
      <c r="Q27" s="2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s="41" customFormat="1" ht="18">
      <c r="A28" s="31" t="s">
        <v>56</v>
      </c>
      <c r="B28" s="32" t="s">
        <v>57</v>
      </c>
      <c r="C28" s="33">
        <v>8</v>
      </c>
      <c r="D28" s="33">
        <v>22.7</v>
      </c>
      <c r="E28" s="33">
        <f t="shared" si="0"/>
        <v>-14.7</v>
      </c>
      <c r="F28" s="33">
        <v>4.0999999999999996</v>
      </c>
      <c r="G28" s="33">
        <v>37.9</v>
      </c>
      <c r="H28" s="33">
        <f t="shared" si="3"/>
        <v>-33.799999999999997</v>
      </c>
      <c r="I28" s="33">
        <v>6.7</v>
      </c>
      <c r="J28" s="33">
        <v>15.9</v>
      </c>
      <c r="K28" s="33">
        <f t="shared" si="1"/>
        <v>-9.1999999999999993</v>
      </c>
      <c r="L28" s="33">
        <v>18.600000000000001</v>
      </c>
      <c r="M28" s="33">
        <v>13.5</v>
      </c>
      <c r="N28" s="33">
        <f t="shared" si="2"/>
        <v>5.1000000000000014</v>
      </c>
      <c r="O28" s="29"/>
      <c r="P28" s="29"/>
      <c r="Q28" s="2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8">
      <c r="A29" s="25" t="s">
        <v>58</v>
      </c>
      <c r="B29" s="26" t="s">
        <v>59</v>
      </c>
      <c r="C29" s="36">
        <v>236.8</v>
      </c>
      <c r="D29" s="36">
        <v>184.9</v>
      </c>
      <c r="E29" s="42">
        <f t="shared" si="0"/>
        <v>51.900000000000006</v>
      </c>
      <c r="F29" s="36">
        <v>226.6</v>
      </c>
      <c r="G29" s="36">
        <v>194.2</v>
      </c>
      <c r="H29" s="42">
        <f t="shared" si="3"/>
        <v>32.400000000000006</v>
      </c>
      <c r="I29" s="36">
        <v>287.8</v>
      </c>
      <c r="J29" s="36">
        <v>208.2</v>
      </c>
      <c r="K29" s="42">
        <f t="shared" si="1"/>
        <v>79.600000000000023</v>
      </c>
      <c r="L29" s="38">
        <v>266.2</v>
      </c>
      <c r="M29" s="38">
        <v>205.7</v>
      </c>
      <c r="N29" s="42">
        <f t="shared" si="2"/>
        <v>60.5</v>
      </c>
      <c r="O29" s="29"/>
      <c r="P29" s="29"/>
      <c r="Q29" s="2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8">
      <c r="A30" s="31" t="s">
        <v>60</v>
      </c>
      <c r="B30" s="32" t="s">
        <v>61</v>
      </c>
      <c r="C30" s="33">
        <v>32.799999999999997</v>
      </c>
      <c r="D30" s="33">
        <v>19.3</v>
      </c>
      <c r="E30" s="33">
        <f t="shared" si="0"/>
        <v>13.499999999999996</v>
      </c>
      <c r="F30" s="33">
        <v>20.2</v>
      </c>
      <c r="G30" s="33">
        <v>17.2</v>
      </c>
      <c r="H30" s="33">
        <f t="shared" si="3"/>
        <v>3</v>
      </c>
      <c r="I30" s="33">
        <v>61.3</v>
      </c>
      <c r="J30" s="33">
        <v>43.4</v>
      </c>
      <c r="K30" s="33">
        <f t="shared" si="1"/>
        <v>17.899999999999999</v>
      </c>
      <c r="L30" s="33">
        <v>41</v>
      </c>
      <c r="M30" s="33">
        <v>24.1</v>
      </c>
      <c r="N30" s="33">
        <f t="shared" si="2"/>
        <v>16.899999999999999</v>
      </c>
      <c r="O30" s="29"/>
      <c r="P30" s="29"/>
      <c r="Q30" s="2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8">
      <c r="A31" s="31" t="s">
        <v>62</v>
      </c>
      <c r="B31" s="32" t="s">
        <v>63</v>
      </c>
      <c r="C31" s="33">
        <v>33.4</v>
      </c>
      <c r="D31" s="33">
        <v>25.5</v>
      </c>
      <c r="E31" s="33">
        <f t="shared" si="0"/>
        <v>7.8999999999999986</v>
      </c>
      <c r="F31" s="33">
        <v>26.8</v>
      </c>
      <c r="G31" s="33">
        <v>33.1</v>
      </c>
      <c r="H31" s="33">
        <f t="shared" si="3"/>
        <v>-6.3000000000000007</v>
      </c>
      <c r="I31" s="33">
        <v>24.5</v>
      </c>
      <c r="J31" s="33">
        <v>34.700000000000003</v>
      </c>
      <c r="K31" s="33">
        <f t="shared" si="1"/>
        <v>-10.200000000000003</v>
      </c>
      <c r="L31" s="33">
        <v>20</v>
      </c>
      <c r="M31" s="33">
        <v>37.200000000000003</v>
      </c>
      <c r="N31" s="33">
        <f t="shared" si="2"/>
        <v>-17.200000000000003</v>
      </c>
      <c r="O31" s="29"/>
      <c r="P31" s="29"/>
      <c r="Q31" s="2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8">
      <c r="A32" s="31" t="s">
        <v>64</v>
      </c>
      <c r="B32" s="32" t="s">
        <v>65</v>
      </c>
      <c r="C32" s="33">
        <v>48.2</v>
      </c>
      <c r="D32" s="33">
        <v>7.6</v>
      </c>
      <c r="E32" s="33">
        <f t="shared" si="0"/>
        <v>40.6</v>
      </c>
      <c r="F32" s="33">
        <v>54.5</v>
      </c>
      <c r="G32" s="33">
        <v>10</v>
      </c>
      <c r="H32" s="33">
        <f t="shared" si="3"/>
        <v>44.5</v>
      </c>
      <c r="I32" s="33">
        <v>59.8</v>
      </c>
      <c r="J32" s="33">
        <v>24.1</v>
      </c>
      <c r="K32" s="33">
        <f t="shared" si="1"/>
        <v>35.699999999999996</v>
      </c>
      <c r="L32" s="33">
        <v>63.8</v>
      </c>
      <c r="M32" s="33">
        <v>20.8</v>
      </c>
      <c r="N32" s="33">
        <f t="shared" si="2"/>
        <v>43</v>
      </c>
      <c r="O32" s="29"/>
      <c r="P32" s="29"/>
      <c r="Q32" s="2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8">
      <c r="A33" s="31" t="s">
        <v>66</v>
      </c>
      <c r="B33" s="32" t="s">
        <v>67</v>
      </c>
      <c r="C33" s="33">
        <v>68.5</v>
      </c>
      <c r="D33" s="33">
        <v>50</v>
      </c>
      <c r="E33" s="33">
        <f t="shared" si="0"/>
        <v>18.5</v>
      </c>
      <c r="F33" s="33">
        <v>77.7</v>
      </c>
      <c r="G33" s="33">
        <v>51.8</v>
      </c>
      <c r="H33" s="33">
        <f t="shared" si="3"/>
        <v>25.900000000000006</v>
      </c>
      <c r="I33" s="33">
        <v>100.5</v>
      </c>
      <c r="J33" s="33">
        <v>33.6</v>
      </c>
      <c r="K33" s="33">
        <f t="shared" si="1"/>
        <v>66.900000000000006</v>
      </c>
      <c r="L33" s="33">
        <v>103.8</v>
      </c>
      <c r="M33" s="33">
        <v>41.9</v>
      </c>
      <c r="N33" s="33">
        <f t="shared" si="2"/>
        <v>61.9</v>
      </c>
      <c r="O33" s="29"/>
      <c r="P33" s="29"/>
      <c r="Q33" s="2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18">
      <c r="A34" s="31" t="s">
        <v>68</v>
      </c>
      <c r="B34" s="32" t="s">
        <v>69</v>
      </c>
      <c r="C34" s="33">
        <v>6.4</v>
      </c>
      <c r="D34" s="33">
        <v>63.8</v>
      </c>
      <c r="E34" s="33">
        <f t="shared" si="0"/>
        <v>-57.4</v>
      </c>
      <c r="F34" s="33">
        <v>2.7</v>
      </c>
      <c r="G34" s="33">
        <v>70.7</v>
      </c>
      <c r="H34" s="33">
        <f t="shared" si="3"/>
        <v>-68</v>
      </c>
      <c r="I34" s="33">
        <v>3.6</v>
      </c>
      <c r="J34" s="33">
        <v>66.099999999999994</v>
      </c>
      <c r="K34" s="33">
        <f t="shared" si="1"/>
        <v>-62.499999999999993</v>
      </c>
      <c r="L34" s="33">
        <v>9.8000000000000007</v>
      </c>
      <c r="M34" s="33">
        <v>71.900000000000006</v>
      </c>
      <c r="N34" s="33">
        <f t="shared" si="2"/>
        <v>-62.100000000000009</v>
      </c>
      <c r="O34" s="29"/>
      <c r="P34" s="29"/>
      <c r="Q34" s="2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s="44" customFormat="1" ht="18">
      <c r="A35" s="31" t="s">
        <v>70</v>
      </c>
      <c r="B35" s="32" t="s">
        <v>71</v>
      </c>
      <c r="C35" s="33">
        <v>36.9</v>
      </c>
      <c r="D35" s="33">
        <v>8.1999999999999993</v>
      </c>
      <c r="E35" s="33">
        <f t="shared" si="0"/>
        <v>28.7</v>
      </c>
      <c r="F35" s="33">
        <v>33.1</v>
      </c>
      <c r="G35" s="33">
        <v>4.3</v>
      </c>
      <c r="H35" s="33">
        <f t="shared" si="3"/>
        <v>28.8</v>
      </c>
      <c r="I35" s="33">
        <v>23.7</v>
      </c>
      <c r="J35" s="33">
        <v>3.7</v>
      </c>
      <c r="K35" s="33">
        <f t="shared" si="1"/>
        <v>20</v>
      </c>
      <c r="L35" s="33">
        <v>14</v>
      </c>
      <c r="M35" s="33">
        <v>6.6</v>
      </c>
      <c r="N35" s="33">
        <f t="shared" si="2"/>
        <v>7.4</v>
      </c>
      <c r="O35" s="29"/>
      <c r="P35" s="29"/>
      <c r="Q35" s="29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ht="18">
      <c r="A36" s="25" t="s">
        <v>72</v>
      </c>
      <c r="B36" s="26" t="s">
        <v>73</v>
      </c>
      <c r="C36" s="36">
        <v>172.8</v>
      </c>
      <c r="D36" s="36">
        <v>473.8</v>
      </c>
      <c r="E36" s="37">
        <f t="shared" si="0"/>
        <v>-301</v>
      </c>
      <c r="F36" s="42">
        <v>144.69999999999999</v>
      </c>
      <c r="G36" s="42">
        <v>456</v>
      </c>
      <c r="H36" s="37">
        <f t="shared" si="3"/>
        <v>-311.3</v>
      </c>
      <c r="I36" s="42">
        <v>155.4</v>
      </c>
      <c r="J36" s="42">
        <v>365.9</v>
      </c>
      <c r="K36" s="37">
        <f t="shared" si="1"/>
        <v>-210.49999999999997</v>
      </c>
      <c r="L36" s="38">
        <v>224.2</v>
      </c>
      <c r="M36" s="38">
        <v>540.1</v>
      </c>
      <c r="N36" s="37">
        <f t="shared" si="2"/>
        <v>-315.90000000000003</v>
      </c>
      <c r="O36" s="29"/>
      <c r="P36" s="29"/>
      <c r="Q36" s="29"/>
      <c r="AA36" s="39"/>
    </row>
    <row r="37" spans="1:27" s="45" customFormat="1" ht="18">
      <c r="A37" s="31" t="s">
        <v>74</v>
      </c>
      <c r="B37" s="32" t="s">
        <v>75</v>
      </c>
      <c r="C37" s="33">
        <v>93.9</v>
      </c>
      <c r="D37" s="33">
        <v>184.9</v>
      </c>
      <c r="E37" s="33">
        <f t="shared" si="0"/>
        <v>-91</v>
      </c>
      <c r="F37" s="33">
        <v>27.5</v>
      </c>
      <c r="G37" s="33">
        <v>203.7</v>
      </c>
      <c r="H37" s="33">
        <f t="shared" si="3"/>
        <v>-176.2</v>
      </c>
      <c r="I37" s="33">
        <v>63.6</v>
      </c>
      <c r="J37" s="33">
        <v>126.4</v>
      </c>
      <c r="K37" s="33">
        <f t="shared" si="1"/>
        <v>-62.800000000000004</v>
      </c>
      <c r="L37" s="33">
        <v>120</v>
      </c>
      <c r="M37" s="33">
        <v>241.4</v>
      </c>
      <c r="N37" s="33">
        <f t="shared" si="2"/>
        <v>-121.4</v>
      </c>
      <c r="O37" s="29"/>
      <c r="P37" s="29"/>
      <c r="Q37" s="29"/>
      <c r="AA37" s="46"/>
    </row>
    <row r="38" spans="1:27" s="45" customFormat="1" ht="18">
      <c r="A38" s="31" t="s">
        <v>76</v>
      </c>
      <c r="B38" s="32" t="s">
        <v>77</v>
      </c>
      <c r="C38" s="33">
        <v>24.7</v>
      </c>
      <c r="D38" s="33">
        <v>147.19999999999999</v>
      </c>
      <c r="E38" s="33">
        <f t="shared" si="0"/>
        <v>-122.49999999999999</v>
      </c>
      <c r="F38" s="33">
        <v>34.9</v>
      </c>
      <c r="G38" s="33">
        <v>161.30000000000001</v>
      </c>
      <c r="H38" s="33">
        <f t="shared" si="3"/>
        <v>-126.4</v>
      </c>
      <c r="I38" s="33">
        <v>31</v>
      </c>
      <c r="J38" s="33">
        <v>141.69999999999999</v>
      </c>
      <c r="K38" s="33">
        <f t="shared" si="1"/>
        <v>-110.69999999999999</v>
      </c>
      <c r="L38" s="33">
        <v>33.9</v>
      </c>
      <c r="M38" s="33">
        <v>177.2</v>
      </c>
      <c r="N38" s="33">
        <f t="shared" si="2"/>
        <v>-143.29999999999998</v>
      </c>
      <c r="O38" s="29"/>
      <c r="P38" s="29"/>
      <c r="Q38" s="29"/>
      <c r="AA38" s="46"/>
    </row>
    <row r="39" spans="1:27" s="47" customFormat="1" ht="18">
      <c r="A39" s="31" t="s">
        <v>78</v>
      </c>
      <c r="B39" s="32" t="s">
        <v>79</v>
      </c>
      <c r="C39" s="33">
        <v>39.6</v>
      </c>
      <c r="D39" s="33">
        <v>64.3</v>
      </c>
      <c r="E39" s="33">
        <f t="shared" si="0"/>
        <v>-24.699999999999996</v>
      </c>
      <c r="F39" s="33">
        <v>53.9</v>
      </c>
      <c r="G39" s="33">
        <v>30.9</v>
      </c>
      <c r="H39" s="33">
        <f t="shared" si="3"/>
        <v>23</v>
      </c>
      <c r="I39" s="33">
        <v>22</v>
      </c>
      <c r="J39" s="33">
        <v>9.6</v>
      </c>
      <c r="K39" s="33">
        <f t="shared" si="1"/>
        <v>12.4</v>
      </c>
      <c r="L39" s="33">
        <v>23</v>
      </c>
      <c r="M39" s="33">
        <v>20.6</v>
      </c>
      <c r="N39" s="33">
        <f t="shared" si="2"/>
        <v>2.3999999999999986</v>
      </c>
      <c r="O39" s="29"/>
      <c r="P39" s="29"/>
      <c r="Q39" s="29"/>
      <c r="AA39" s="48"/>
    </row>
    <row r="40" spans="1:27" s="49" customFormat="1" ht="18">
      <c r="A40" s="25" t="s">
        <v>80</v>
      </c>
      <c r="B40" s="26" t="s">
        <v>81</v>
      </c>
      <c r="C40" s="36">
        <v>123.1</v>
      </c>
      <c r="D40" s="36">
        <v>429.9</v>
      </c>
      <c r="E40" s="37">
        <f t="shared" si="0"/>
        <v>-306.79999999999995</v>
      </c>
      <c r="F40" s="36">
        <v>33.5</v>
      </c>
      <c r="G40" s="36">
        <v>393.6</v>
      </c>
      <c r="H40" s="37">
        <f t="shared" si="3"/>
        <v>-360.1</v>
      </c>
      <c r="I40" s="36">
        <v>108.9</v>
      </c>
      <c r="J40" s="36">
        <v>371.2</v>
      </c>
      <c r="K40" s="37">
        <f t="shared" si="1"/>
        <v>-262.29999999999995</v>
      </c>
      <c r="L40" s="38">
        <v>60.3</v>
      </c>
      <c r="M40" s="38">
        <v>480</v>
      </c>
      <c r="N40" s="37">
        <f t="shared" si="2"/>
        <v>-419.7</v>
      </c>
      <c r="O40" s="29"/>
      <c r="P40" s="29"/>
      <c r="Q40" s="29"/>
      <c r="AA40" s="50"/>
    </row>
    <row r="41" spans="1:27" s="49" customFormat="1" ht="18">
      <c r="A41" s="31" t="s">
        <v>82</v>
      </c>
      <c r="B41" s="32" t="s">
        <v>83</v>
      </c>
      <c r="C41" s="33">
        <v>9.6</v>
      </c>
      <c r="D41" s="33">
        <v>36.4</v>
      </c>
      <c r="E41" s="33">
        <f t="shared" si="0"/>
        <v>-26.799999999999997</v>
      </c>
      <c r="F41" s="33">
        <v>11.9</v>
      </c>
      <c r="G41" s="33">
        <v>42.5</v>
      </c>
      <c r="H41" s="33">
        <f t="shared" si="3"/>
        <v>-30.6</v>
      </c>
      <c r="I41" s="33">
        <v>5.6</v>
      </c>
      <c r="J41" s="33">
        <v>35.299999999999997</v>
      </c>
      <c r="K41" s="33">
        <f t="shared" si="1"/>
        <v>-29.699999999999996</v>
      </c>
      <c r="L41" s="33">
        <v>5.3</v>
      </c>
      <c r="M41" s="33">
        <v>52</v>
      </c>
      <c r="N41" s="33">
        <f t="shared" si="2"/>
        <v>-46.7</v>
      </c>
      <c r="O41" s="29"/>
      <c r="P41" s="29"/>
      <c r="Q41" s="29"/>
      <c r="AA41" s="50"/>
    </row>
    <row r="42" spans="1:27" s="51" customFormat="1" ht="18">
      <c r="A42" s="31" t="s">
        <v>84</v>
      </c>
      <c r="B42" s="32" t="s">
        <v>85</v>
      </c>
      <c r="C42" s="33">
        <v>7.8</v>
      </c>
      <c r="D42" s="33">
        <v>28.9</v>
      </c>
      <c r="E42" s="33">
        <f t="shared" si="0"/>
        <v>-21.099999999999998</v>
      </c>
      <c r="F42" s="33">
        <v>9.4</v>
      </c>
      <c r="G42" s="33">
        <v>30.4</v>
      </c>
      <c r="H42" s="33">
        <f t="shared" si="3"/>
        <v>-21</v>
      </c>
      <c r="I42" s="33">
        <v>17.3</v>
      </c>
      <c r="J42" s="33">
        <v>30.9</v>
      </c>
      <c r="K42" s="33">
        <f t="shared" si="1"/>
        <v>-13.599999999999998</v>
      </c>
      <c r="L42" s="33">
        <v>7.7</v>
      </c>
      <c r="M42" s="33">
        <v>37</v>
      </c>
      <c r="N42" s="33">
        <f t="shared" si="2"/>
        <v>-29.3</v>
      </c>
      <c r="O42" s="29"/>
      <c r="P42" s="29"/>
      <c r="Q42" s="29"/>
      <c r="AA42" s="52"/>
    </row>
    <row r="43" spans="1:27" s="49" customFormat="1" ht="18">
      <c r="A43" s="31" t="s">
        <v>86</v>
      </c>
      <c r="B43" s="32" t="s">
        <v>87</v>
      </c>
      <c r="C43" s="33">
        <v>66.8</v>
      </c>
      <c r="D43" s="33">
        <v>24.7</v>
      </c>
      <c r="E43" s="33">
        <f t="shared" si="0"/>
        <v>42.099999999999994</v>
      </c>
      <c r="F43" s="33">
        <v>-37.9</v>
      </c>
      <c r="G43" s="33">
        <v>14.4</v>
      </c>
      <c r="H43" s="33">
        <f t="shared" si="3"/>
        <v>-52.3</v>
      </c>
      <c r="I43" s="33">
        <v>11.7</v>
      </c>
      <c r="J43" s="33">
        <v>24.4</v>
      </c>
      <c r="K43" s="33">
        <f t="shared" si="1"/>
        <v>-12.7</v>
      </c>
      <c r="L43" s="33">
        <v>9.1</v>
      </c>
      <c r="M43" s="33">
        <v>37.799999999999997</v>
      </c>
      <c r="N43" s="33">
        <f t="shared" si="2"/>
        <v>-28.699999999999996</v>
      </c>
      <c r="O43" s="29"/>
      <c r="P43" s="29"/>
      <c r="Q43" s="29"/>
      <c r="AA43" s="50"/>
    </row>
    <row r="44" spans="1:27" s="40" customFormat="1" ht="18">
      <c r="A44" s="31" t="s">
        <v>88</v>
      </c>
      <c r="B44" s="32" t="s">
        <v>89</v>
      </c>
      <c r="C44" s="33">
        <v>3.8</v>
      </c>
      <c r="D44" s="33">
        <v>19.100000000000001</v>
      </c>
      <c r="E44" s="33">
        <f t="shared" si="0"/>
        <v>-15.3</v>
      </c>
      <c r="F44" s="33">
        <v>3.6</v>
      </c>
      <c r="G44" s="33">
        <v>18.7</v>
      </c>
      <c r="H44" s="33">
        <f t="shared" si="3"/>
        <v>-15.1</v>
      </c>
      <c r="I44" s="33">
        <v>2.8</v>
      </c>
      <c r="J44" s="33">
        <v>17.5</v>
      </c>
      <c r="K44" s="33">
        <f t="shared" si="1"/>
        <v>-14.7</v>
      </c>
      <c r="L44" s="33">
        <v>2.9</v>
      </c>
      <c r="M44" s="33">
        <v>30</v>
      </c>
      <c r="N44" s="33">
        <f t="shared" si="2"/>
        <v>-27.1</v>
      </c>
      <c r="O44" s="29"/>
      <c r="P44" s="29"/>
      <c r="Q44" s="29"/>
      <c r="AA44" s="53"/>
    </row>
    <row r="45" spans="1:27" s="47" customFormat="1" ht="18">
      <c r="A45" s="31" t="s">
        <v>90</v>
      </c>
      <c r="B45" s="32" t="s">
        <v>91</v>
      </c>
      <c r="C45" s="33">
        <v>2.6</v>
      </c>
      <c r="D45" s="33">
        <v>44.1</v>
      </c>
      <c r="E45" s="33">
        <f t="shared" si="0"/>
        <v>-41.5</v>
      </c>
      <c r="F45" s="33">
        <v>3.1</v>
      </c>
      <c r="G45" s="33">
        <v>43.2</v>
      </c>
      <c r="H45" s="33">
        <f t="shared" si="3"/>
        <v>-40.1</v>
      </c>
      <c r="I45" s="33">
        <v>4.9000000000000004</v>
      </c>
      <c r="J45" s="33">
        <v>45</v>
      </c>
      <c r="K45" s="33">
        <f t="shared" si="1"/>
        <v>-40.1</v>
      </c>
      <c r="L45" s="33">
        <v>3.8</v>
      </c>
      <c r="M45" s="33">
        <v>63.2</v>
      </c>
      <c r="N45" s="33">
        <f t="shared" si="2"/>
        <v>-59.400000000000006</v>
      </c>
      <c r="O45" s="29"/>
      <c r="P45" s="29"/>
      <c r="Q45" s="29"/>
      <c r="AA45" s="48"/>
    </row>
    <row r="46" spans="1:27" s="54" customFormat="1" ht="18">
      <c r="A46" s="31" t="s">
        <v>92</v>
      </c>
      <c r="B46" s="32" t="s">
        <v>93</v>
      </c>
      <c r="C46" s="33">
        <v>16.100000000000001</v>
      </c>
      <c r="D46" s="33">
        <v>50.6</v>
      </c>
      <c r="E46" s="33">
        <f t="shared" si="0"/>
        <v>-34.5</v>
      </c>
      <c r="F46" s="33">
        <v>24.8</v>
      </c>
      <c r="G46" s="33">
        <v>44.6</v>
      </c>
      <c r="H46" s="33">
        <f t="shared" si="3"/>
        <v>-19.8</v>
      </c>
      <c r="I46" s="33">
        <v>12.4</v>
      </c>
      <c r="J46" s="33">
        <v>63.8</v>
      </c>
      <c r="K46" s="33">
        <f t="shared" si="1"/>
        <v>-51.4</v>
      </c>
      <c r="L46" s="33">
        <v>8.6999999999999993</v>
      </c>
      <c r="M46" s="33">
        <v>53</v>
      </c>
      <c r="N46" s="33">
        <f t="shared" si="2"/>
        <v>-44.3</v>
      </c>
      <c r="O46" s="29"/>
      <c r="P46" s="29"/>
      <c r="Q46" s="29"/>
      <c r="AA46" s="55"/>
    </row>
    <row r="47" spans="1:27" s="54" customFormat="1" ht="18">
      <c r="A47" s="31" t="s">
        <v>94</v>
      </c>
      <c r="B47" s="32" t="s">
        <v>95</v>
      </c>
      <c r="C47" s="36">
        <v>328.8</v>
      </c>
      <c r="D47" s="36">
        <v>568.6</v>
      </c>
      <c r="E47" s="56">
        <f t="shared" si="0"/>
        <v>-239.8</v>
      </c>
      <c r="F47" s="36">
        <v>318.39999999999998</v>
      </c>
      <c r="G47" s="36">
        <v>531.20000000000005</v>
      </c>
      <c r="H47" s="56">
        <f t="shared" si="3"/>
        <v>-212.80000000000007</v>
      </c>
      <c r="I47" s="36">
        <v>371.8</v>
      </c>
      <c r="J47" s="36">
        <v>444.1</v>
      </c>
      <c r="K47" s="56">
        <f t="shared" si="1"/>
        <v>-72.300000000000011</v>
      </c>
      <c r="L47" s="38">
        <v>453.8</v>
      </c>
      <c r="M47" s="38">
        <v>680.3</v>
      </c>
      <c r="N47" s="37">
        <f t="shared" si="2"/>
        <v>-226.49999999999994</v>
      </c>
      <c r="O47" s="29"/>
      <c r="P47" s="29"/>
      <c r="Q47" s="29"/>
      <c r="AA47" s="55"/>
    </row>
    <row r="48" spans="1:27" s="45" customFormat="1" ht="18">
      <c r="A48" s="31" t="s">
        <v>96</v>
      </c>
      <c r="B48" s="32" t="s">
        <v>97</v>
      </c>
      <c r="C48" s="33">
        <v>195.5</v>
      </c>
      <c r="D48" s="33">
        <v>444.5</v>
      </c>
      <c r="E48" s="33">
        <f t="shared" si="0"/>
        <v>-249</v>
      </c>
      <c r="F48" s="33">
        <v>187.5</v>
      </c>
      <c r="G48" s="33">
        <v>409.8</v>
      </c>
      <c r="H48" s="33">
        <f t="shared" si="3"/>
        <v>-222.3</v>
      </c>
      <c r="I48" s="33">
        <v>225.2</v>
      </c>
      <c r="J48" s="33">
        <v>310.10000000000002</v>
      </c>
      <c r="K48" s="33">
        <f t="shared" si="1"/>
        <v>-84.900000000000034</v>
      </c>
      <c r="L48" s="33">
        <v>272.8</v>
      </c>
      <c r="M48" s="33">
        <v>477.9</v>
      </c>
      <c r="N48" s="33">
        <f t="shared" si="2"/>
        <v>-205.09999999999997</v>
      </c>
      <c r="O48" s="29"/>
      <c r="P48" s="29"/>
      <c r="Q48" s="29"/>
      <c r="AA48" s="46"/>
    </row>
    <row r="49" spans="1:27" s="40" customFormat="1" ht="18">
      <c r="A49" s="31" t="s">
        <v>98</v>
      </c>
      <c r="B49" s="32" t="s">
        <v>99</v>
      </c>
      <c r="C49" s="33">
        <v>66.599999999999994</v>
      </c>
      <c r="D49" s="33">
        <v>20.2</v>
      </c>
      <c r="E49" s="33">
        <f t="shared" si="0"/>
        <v>46.399999999999991</v>
      </c>
      <c r="F49" s="33">
        <v>77</v>
      </c>
      <c r="G49" s="33">
        <v>32</v>
      </c>
      <c r="H49" s="33">
        <f t="shared" si="3"/>
        <v>45</v>
      </c>
      <c r="I49" s="33">
        <v>81.099999999999994</v>
      </c>
      <c r="J49" s="33">
        <v>40</v>
      </c>
      <c r="K49" s="33">
        <f t="shared" si="1"/>
        <v>41.099999999999994</v>
      </c>
      <c r="L49" s="33">
        <v>104.5</v>
      </c>
      <c r="M49" s="33">
        <v>59.8</v>
      </c>
      <c r="N49" s="33">
        <f t="shared" si="2"/>
        <v>44.7</v>
      </c>
      <c r="O49" s="29"/>
      <c r="P49" s="29"/>
      <c r="Q49" s="29"/>
      <c r="AA49" s="53"/>
    </row>
    <row r="50" spans="1:27" s="40" customFormat="1" ht="18">
      <c r="A50" s="31" t="s">
        <v>100</v>
      </c>
      <c r="B50" s="32" t="s">
        <v>101</v>
      </c>
      <c r="C50" s="33">
        <v>11.9</v>
      </c>
      <c r="D50" s="33">
        <v>29.2</v>
      </c>
      <c r="E50" s="33">
        <f t="shared" si="0"/>
        <v>-17.299999999999997</v>
      </c>
      <c r="F50" s="33">
        <v>4.0999999999999996</v>
      </c>
      <c r="G50" s="33">
        <v>29.9</v>
      </c>
      <c r="H50" s="33">
        <f t="shared" si="3"/>
        <v>-25.799999999999997</v>
      </c>
      <c r="I50" s="33">
        <v>2.2999999999999998</v>
      </c>
      <c r="J50" s="33">
        <v>20.5</v>
      </c>
      <c r="K50" s="33">
        <f t="shared" si="1"/>
        <v>-18.2</v>
      </c>
      <c r="L50" s="33">
        <v>2.6</v>
      </c>
      <c r="M50" s="33">
        <v>17.100000000000001</v>
      </c>
      <c r="N50" s="33">
        <f t="shared" si="2"/>
        <v>-14.500000000000002</v>
      </c>
      <c r="O50" s="29"/>
      <c r="P50" s="29"/>
      <c r="Q50" s="29"/>
      <c r="AA50" s="53"/>
    </row>
    <row r="51" spans="1:27" s="40" customFormat="1" ht="18">
      <c r="A51" s="25" t="s">
        <v>102</v>
      </c>
      <c r="B51" s="26" t="s">
        <v>103</v>
      </c>
      <c r="C51" s="36">
        <v>32.700000000000003</v>
      </c>
      <c r="D51" s="36">
        <v>321.5</v>
      </c>
      <c r="E51" s="37">
        <f t="shared" si="0"/>
        <v>-288.8</v>
      </c>
      <c r="F51" s="42">
        <v>50.1</v>
      </c>
      <c r="G51" s="42">
        <v>347.4</v>
      </c>
      <c r="H51" s="37">
        <f t="shared" si="3"/>
        <v>-297.29999999999995</v>
      </c>
      <c r="I51" s="42">
        <v>34.299999999999997</v>
      </c>
      <c r="J51" s="42">
        <v>427.4</v>
      </c>
      <c r="K51" s="37">
        <f t="shared" si="1"/>
        <v>-393.09999999999997</v>
      </c>
      <c r="L51" s="38">
        <v>44.5</v>
      </c>
      <c r="M51" s="38">
        <v>552.79999999999995</v>
      </c>
      <c r="N51" s="37">
        <f t="shared" si="2"/>
        <v>-508.29999999999995</v>
      </c>
      <c r="O51" s="29"/>
      <c r="P51" s="29"/>
      <c r="Q51" s="29"/>
      <c r="AA51" s="53"/>
    </row>
    <row r="52" spans="1:27" s="45" customFormat="1" ht="18">
      <c r="A52" s="31" t="s">
        <v>104</v>
      </c>
      <c r="B52" s="32" t="s">
        <v>105</v>
      </c>
      <c r="C52" s="33">
        <v>5.9</v>
      </c>
      <c r="D52" s="33">
        <v>23.1</v>
      </c>
      <c r="E52" s="33">
        <f t="shared" si="0"/>
        <v>-17.200000000000003</v>
      </c>
      <c r="F52" s="33">
        <v>3.2</v>
      </c>
      <c r="G52" s="33">
        <v>24</v>
      </c>
      <c r="H52" s="33">
        <f t="shared" si="3"/>
        <v>-20.8</v>
      </c>
      <c r="I52" s="33">
        <v>0.2</v>
      </c>
      <c r="J52" s="33">
        <v>30.2</v>
      </c>
      <c r="K52" s="33">
        <f t="shared" si="1"/>
        <v>-30</v>
      </c>
      <c r="L52" s="33">
        <v>4.9000000000000004</v>
      </c>
      <c r="M52" s="33">
        <v>31</v>
      </c>
      <c r="N52" s="33">
        <f t="shared" si="2"/>
        <v>-26.1</v>
      </c>
      <c r="O52" s="29"/>
      <c r="P52" s="29"/>
      <c r="Q52" s="29"/>
      <c r="AA52" s="46"/>
    </row>
    <row r="53" spans="1:27" s="49" customFormat="1" ht="18">
      <c r="A53" s="31" t="s">
        <v>106</v>
      </c>
      <c r="B53" s="32" t="s">
        <v>107</v>
      </c>
      <c r="C53" s="33">
        <v>9.1</v>
      </c>
      <c r="D53" s="33">
        <v>88.4</v>
      </c>
      <c r="E53" s="33">
        <f t="shared" si="0"/>
        <v>-79.300000000000011</v>
      </c>
      <c r="F53" s="33">
        <v>4.9000000000000004</v>
      </c>
      <c r="G53" s="33">
        <v>114.2</v>
      </c>
      <c r="H53" s="33">
        <f t="shared" si="3"/>
        <v>-109.3</v>
      </c>
      <c r="I53" s="33">
        <v>5.6</v>
      </c>
      <c r="J53" s="33">
        <v>112.3</v>
      </c>
      <c r="K53" s="33">
        <f t="shared" si="1"/>
        <v>-106.7</v>
      </c>
      <c r="L53" s="33">
        <v>3.1</v>
      </c>
      <c r="M53" s="33">
        <v>140.1</v>
      </c>
      <c r="N53" s="33">
        <f t="shared" si="2"/>
        <v>-137</v>
      </c>
      <c r="O53" s="29"/>
      <c r="P53" s="29"/>
      <c r="Q53" s="29"/>
      <c r="AA53" s="50"/>
    </row>
    <row r="54" spans="1:27" s="40" customFormat="1" ht="18">
      <c r="A54" s="31" t="s">
        <v>108</v>
      </c>
      <c r="B54" s="57" t="s">
        <v>109</v>
      </c>
      <c r="C54" s="58">
        <v>14.9</v>
      </c>
      <c r="D54" s="58">
        <v>156.1</v>
      </c>
      <c r="E54" s="58">
        <f t="shared" si="0"/>
        <v>-141.19999999999999</v>
      </c>
      <c r="F54" s="58">
        <v>19.600000000000001</v>
      </c>
      <c r="G54" s="58">
        <v>162.6</v>
      </c>
      <c r="H54" s="58">
        <f t="shared" si="3"/>
        <v>-143</v>
      </c>
      <c r="I54" s="58">
        <v>27.6</v>
      </c>
      <c r="J54" s="58">
        <v>235.4</v>
      </c>
      <c r="K54" s="58">
        <f t="shared" si="1"/>
        <v>-207.8</v>
      </c>
      <c r="L54" s="58">
        <v>34.6</v>
      </c>
      <c r="M54" s="58">
        <v>338.6</v>
      </c>
      <c r="N54" s="58">
        <f t="shared" si="2"/>
        <v>-304</v>
      </c>
      <c r="O54" s="29"/>
      <c r="P54" s="29"/>
      <c r="Q54" s="29"/>
      <c r="AA54" s="53"/>
    </row>
    <row r="55" spans="1:27" ht="16.5">
      <c r="A55" s="59"/>
      <c r="B55" s="60"/>
      <c r="C55" s="60"/>
      <c r="D55" s="60"/>
      <c r="AA55" s="39" t="e">
        <v>#REF!</v>
      </c>
    </row>
    <row r="56" spans="1:27">
      <c r="A56" s="61"/>
      <c r="B56" s="62"/>
      <c r="C56" s="63"/>
      <c r="D56" s="63"/>
    </row>
    <row r="57" spans="1:27" ht="18">
      <c r="A57" s="64"/>
      <c r="B57" s="65"/>
    </row>
    <row r="58" spans="1:27" ht="16.5">
      <c r="A58" s="66"/>
      <c r="B58" s="67"/>
    </row>
    <row r="59" spans="1:27" ht="16.5">
      <c r="A59" s="66"/>
      <c r="B59" s="67"/>
      <c r="C59" s="68"/>
      <c r="D59" s="68"/>
    </row>
    <row r="60" spans="1:27" ht="16.5">
      <c r="A60" s="66"/>
      <c r="B60" s="67"/>
      <c r="C60" s="68"/>
      <c r="D60" s="68"/>
    </row>
    <row r="61" spans="1:27" ht="16.5">
      <c r="A61" s="66"/>
      <c r="B61" s="67"/>
      <c r="C61" s="69"/>
      <c r="D61" s="69"/>
    </row>
    <row r="62" spans="1:27" ht="18">
      <c r="A62" s="64"/>
      <c r="B62" s="65"/>
      <c r="C62" s="70"/>
      <c r="D62" s="70"/>
    </row>
    <row r="63" spans="1:27" ht="16.5">
      <c r="A63" s="66"/>
      <c r="B63" s="67"/>
      <c r="C63" s="68"/>
      <c r="D63" s="68"/>
    </row>
    <row r="64" spans="1:27" ht="16.5">
      <c r="A64" s="66"/>
      <c r="B64" s="67"/>
      <c r="C64" s="68"/>
      <c r="D64" s="68"/>
    </row>
    <row r="65" spans="1:4" ht="16.5">
      <c r="A65" s="66"/>
      <c r="B65" s="67"/>
      <c r="C65" s="68"/>
      <c r="D65" s="68"/>
    </row>
    <row r="66" spans="1:4" ht="16.5">
      <c r="A66" s="66"/>
      <c r="B66" s="67"/>
      <c r="C66" s="68"/>
      <c r="D66" s="68"/>
    </row>
    <row r="67" spans="1:4" ht="16.5">
      <c r="A67" s="66"/>
      <c r="B67" s="67"/>
    </row>
    <row r="68" spans="1:4" ht="16.5">
      <c r="A68" s="66"/>
      <c r="B68" s="67"/>
      <c r="C68" s="71"/>
      <c r="D68" s="71"/>
    </row>
    <row r="69" spans="1:4" ht="16.5">
      <c r="A69" s="66"/>
      <c r="B69" s="67"/>
    </row>
    <row r="70" spans="1:4" ht="16.5">
      <c r="A70" s="66"/>
      <c r="B70" s="67"/>
    </row>
    <row r="71" spans="1:4" ht="18">
      <c r="A71" s="64"/>
      <c r="B71" s="65"/>
    </row>
    <row r="72" spans="1:4" ht="16.5">
      <c r="A72" s="66"/>
      <c r="B72" s="67"/>
    </row>
    <row r="73" spans="1:4" ht="16.5">
      <c r="A73" s="66"/>
      <c r="B73" s="67"/>
    </row>
    <row r="74" spans="1:4" ht="16.5">
      <c r="A74" s="66"/>
      <c r="B74" s="67"/>
    </row>
    <row r="75" spans="1:4" ht="16.5">
      <c r="A75" s="66"/>
      <c r="B75" s="67"/>
    </row>
    <row r="76" spans="1:4" ht="18">
      <c r="A76" s="64"/>
      <c r="B76" s="65"/>
    </row>
    <row r="77" spans="1:4" ht="16.5">
      <c r="A77" s="66"/>
      <c r="B77" s="67"/>
    </row>
    <row r="78" spans="1:4" ht="16.5">
      <c r="A78" s="66"/>
      <c r="B78" s="67"/>
    </row>
    <row r="79" spans="1:4" ht="16.5">
      <c r="A79" s="66"/>
      <c r="B79" s="67"/>
    </row>
    <row r="80" spans="1:4" ht="16.5">
      <c r="A80" s="66"/>
      <c r="B80" s="67"/>
    </row>
    <row r="81" spans="1:4" ht="16.5">
      <c r="A81" s="66"/>
      <c r="B81" s="67"/>
      <c r="C81"/>
      <c r="D81"/>
    </row>
    <row r="82" spans="1:4" ht="16.5">
      <c r="A82" s="66"/>
      <c r="B82" s="67"/>
      <c r="C82"/>
      <c r="D82"/>
    </row>
    <row r="83" spans="1:4" ht="18">
      <c r="A83" s="64"/>
      <c r="B83" s="65"/>
      <c r="C83"/>
      <c r="D83"/>
    </row>
    <row r="84" spans="1:4" ht="16.5">
      <c r="A84" s="66"/>
      <c r="B84" s="67"/>
      <c r="C84"/>
      <c r="D84"/>
    </row>
    <row r="85" spans="1:4" ht="16.5">
      <c r="A85" s="66"/>
      <c r="B85" s="67"/>
      <c r="C85"/>
      <c r="D85"/>
    </row>
    <row r="86" spans="1:4" ht="16.5">
      <c r="A86" s="66"/>
      <c r="B86" s="67"/>
      <c r="C86"/>
      <c r="D86"/>
    </row>
    <row r="87" spans="1:4" ht="18">
      <c r="A87" s="64"/>
      <c r="B87" s="65"/>
      <c r="C87"/>
      <c r="D87"/>
    </row>
    <row r="88" spans="1:4" ht="16.5">
      <c r="A88" s="66"/>
      <c r="B88" s="67"/>
      <c r="C88"/>
      <c r="D88"/>
    </row>
    <row r="89" spans="1:4" ht="16.5">
      <c r="A89" s="66"/>
      <c r="B89" s="67"/>
      <c r="C89"/>
      <c r="D89"/>
    </row>
    <row r="90" spans="1:4" ht="16.5">
      <c r="A90" s="66"/>
      <c r="B90" s="67"/>
      <c r="C90"/>
      <c r="D90"/>
    </row>
    <row r="91" spans="1:4" ht="16.5">
      <c r="A91" s="66"/>
      <c r="B91" s="67"/>
      <c r="C91"/>
      <c r="D91"/>
    </row>
    <row r="92" spans="1:4" ht="16.5">
      <c r="A92" s="66"/>
      <c r="B92" s="67"/>
      <c r="C92"/>
      <c r="D92"/>
    </row>
    <row r="93" spans="1:4" ht="16.5">
      <c r="A93" s="66"/>
      <c r="B93" s="67"/>
      <c r="C93"/>
      <c r="D93"/>
    </row>
    <row r="94" spans="1:4" ht="18">
      <c r="A94" s="64"/>
      <c r="B94" s="67"/>
      <c r="C94"/>
      <c r="D94"/>
    </row>
    <row r="95" spans="1:4" ht="16.5">
      <c r="A95" s="66"/>
      <c r="B95" s="67"/>
      <c r="C95"/>
      <c r="D95"/>
    </row>
    <row r="96" spans="1:4" ht="16.5">
      <c r="A96" s="66"/>
      <c r="B96" s="67"/>
      <c r="C96"/>
      <c r="D96"/>
    </row>
    <row r="97" spans="1:4" ht="16.5">
      <c r="A97" s="66"/>
      <c r="B97" s="67"/>
      <c r="C97"/>
      <c r="D97"/>
    </row>
    <row r="98" spans="1:4" ht="18">
      <c r="A98" s="64"/>
      <c r="B98" s="65"/>
      <c r="C98"/>
      <c r="D98"/>
    </row>
    <row r="99" spans="1:4" ht="16.5">
      <c r="A99" s="66"/>
      <c r="B99" s="67"/>
      <c r="C99"/>
      <c r="D99"/>
    </row>
    <row r="100" spans="1:4" ht="16.5">
      <c r="A100" s="66"/>
      <c r="B100" s="67"/>
      <c r="C100"/>
      <c r="D100"/>
    </row>
    <row r="101" spans="1:4" ht="16.5">
      <c r="A101" s="66"/>
      <c r="B101" s="67"/>
      <c r="C101"/>
      <c r="D101"/>
    </row>
    <row r="102" spans="1:4">
      <c r="A102" s="72"/>
      <c r="B102" s="73"/>
    </row>
  </sheetData>
  <mergeCells count="13">
    <mergeCell ref="F7:H7"/>
    <mergeCell ref="I7:K7"/>
    <mergeCell ref="L7:N7"/>
    <mergeCell ref="B2:H2"/>
    <mergeCell ref="B3:H3"/>
    <mergeCell ref="A4:N4"/>
    <mergeCell ref="A6:A9"/>
    <mergeCell ref="B6:B9"/>
    <mergeCell ref="C6:E6"/>
    <mergeCell ref="F6:H6"/>
    <mergeCell ref="I6:K6"/>
    <mergeCell ref="L6:N6"/>
    <mergeCell ref="C7:E7"/>
  </mergeCells>
  <conditionalFormatting sqref="A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7NQWTN4WQ7WA-971242747-490</_dlc_DocId>
    <_dlc_DocIdUrl xmlns="806035d9-ad3b-44db-92a1-1ed4b9daec3e">
      <Url>http://cbe-test-spsql:4050/_layouts/15/DocIdRedir.aspx?ID=7NQWTN4WQ7WA-971242747-490</Url>
      <Description>7NQWTN4WQ7WA-971242747-490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8BB3E0-18F2-4BD7-9ABF-4DCBA15CA30B}"/>
</file>

<file path=customXml/itemProps2.xml><?xml version="1.0" encoding="utf-8"?>
<ds:datastoreItem xmlns:ds="http://schemas.openxmlformats.org/officeDocument/2006/customXml" ds:itemID="{77D0B641-D84D-4512-B9AC-62EB155FFCE6}"/>
</file>

<file path=customXml/itemProps3.xml><?xml version="1.0" encoding="utf-8"?>
<ds:datastoreItem xmlns:ds="http://schemas.openxmlformats.org/officeDocument/2006/customXml" ds:itemID="{8EEB2846-17C1-4431-9EA7-736D71A16B81}"/>
</file>

<file path=customXml/itemProps4.xml><?xml version="1.0" encoding="utf-8"?>
<ds:datastoreItem xmlns:ds="http://schemas.openxmlformats.org/officeDocument/2006/customXml" ds:itemID="{AD648633-3F78-45B7-BC0F-0FDD2B2289AD}"/>
</file>

<file path=customXml/itemProps5.xml><?xml version="1.0" encoding="utf-8"?>
<ds:datastoreItem xmlns:ds="http://schemas.openxmlformats.org/officeDocument/2006/customXml" ds:itemID="{62BCBEE8-16CB-4047-B2DD-EBEC73EC2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Merchandise Quarter2005-2006</dc:title>
  <dc:creator/>
  <cp:lastModifiedBy/>
  <dcterms:created xsi:type="dcterms:W3CDTF">2006-09-16T00:00:00Z</dcterms:created>
  <dcterms:modified xsi:type="dcterms:W3CDTF">2014-09-05T10:52:46Z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3b1dcf3e-ba1b-48f4-82ad-bbd549dc0185</vt:lpwstr>
  </property>
</Properties>
</file>