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2023\GDP\INVESTMENTS\"/>
    </mc:Choice>
  </mc:AlternateContent>
  <xr:revisionPtr revIDLastSave="0" documentId="13_ncr:1_{9F683B8E-FE46-48C4-A337-C8B18327B7F3}" xr6:coauthVersionLast="36" xr6:coauthVersionMax="36" xr10:uidLastSave="{00000000-0000-0000-0000-000000000000}"/>
  <bookViews>
    <workbookView xWindow="-105" yWindow="-105" windowWidth="19320" windowHeight="12120" xr2:uid="{00000000-000D-0000-FFFF-FFFF00000000}"/>
  </bookViews>
  <sheets>
    <sheet name="Investments_Annual" sheetId="1" r:id="rId1"/>
  </sheets>
  <definedNames>
    <definedName name="_xlnm.Print_Area" localSheetId="0">Investments_Annual!$A$1:$AR$28</definedName>
  </definedNames>
  <calcPr calcId="191029"/>
</workbook>
</file>

<file path=xl/calcChain.xml><?xml version="1.0" encoding="utf-8"?>
<calcChain xmlns="http://schemas.openxmlformats.org/spreadsheetml/2006/main">
  <c r="S25" i="1" l="1"/>
</calcChain>
</file>

<file path=xl/sharedStrings.xml><?xml version="1.0" encoding="utf-8"?>
<sst xmlns="http://schemas.openxmlformats.org/spreadsheetml/2006/main" count="462" uniqueCount="104">
  <si>
    <t>Total Investments</t>
  </si>
  <si>
    <t>Others</t>
  </si>
  <si>
    <t>Drainage</t>
  </si>
  <si>
    <t xml:space="preserve"> 199534.7 </t>
  </si>
  <si>
    <t>Health Services</t>
  </si>
  <si>
    <t>Educational Services</t>
  </si>
  <si>
    <t xml:space="preserve">Real Estate </t>
  </si>
  <si>
    <t>Tourism</t>
  </si>
  <si>
    <t>Insurance &amp; Social Solidarity</t>
  </si>
  <si>
    <t>Financial Intermediaries</t>
  </si>
  <si>
    <t>Wholesale &amp; Retail Trade</t>
  </si>
  <si>
    <t>Suez Canal</t>
  </si>
  <si>
    <t>Communications</t>
  </si>
  <si>
    <t xml:space="preserve">Transportation &amp; Storage </t>
  </si>
  <si>
    <t>Construction  &amp; Building</t>
  </si>
  <si>
    <t xml:space="preserve">Electricity </t>
  </si>
  <si>
    <t xml:space="preserve">Other Manufacturing  </t>
  </si>
  <si>
    <t>Oil Refining</t>
  </si>
  <si>
    <t>Other Extractions</t>
  </si>
  <si>
    <t>Natural Gas</t>
  </si>
  <si>
    <t>Agriculture, Irrigation &amp; Reclamation</t>
  </si>
  <si>
    <t>Total</t>
  </si>
  <si>
    <t>Private</t>
  </si>
  <si>
    <t>Public</t>
  </si>
  <si>
    <t>FY 2012/2013</t>
  </si>
  <si>
    <t>FY 2011/2012</t>
  </si>
  <si>
    <t>FY 2010/2011</t>
  </si>
  <si>
    <t>FY 2009/2010</t>
  </si>
  <si>
    <t>FY 2008/2009</t>
  </si>
  <si>
    <t>القطاعات الرئيسية</t>
  </si>
  <si>
    <t>FY 2007/2008</t>
  </si>
  <si>
    <t>FY 2006/2007</t>
  </si>
  <si>
    <t>FY 2005/2006</t>
  </si>
  <si>
    <t>FY 2004/2005</t>
  </si>
  <si>
    <t>Main Sectors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</si>
  <si>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</si>
  <si>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</si>
  <si>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</si>
  <si>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</si>
  <si>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</si>
  <si>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</si>
  <si>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</si>
  <si>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</si>
  <si>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</si>
  <si>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</si>
  <si>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</si>
  <si>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</si>
  <si>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</si>
  <si>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</si>
  <si>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</si>
  <si>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</si>
  <si>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</si>
  <si>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</si>
  <si>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</si>
  <si>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</si>
  <si>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الاجمالى العام</t>
  </si>
  <si>
    <t>القطاعات الاقتصادية</t>
  </si>
  <si>
    <t>الصرف الصحى</t>
  </si>
  <si>
    <t>مبالغ تحت التسوية</t>
  </si>
  <si>
    <t>المعلومات</t>
  </si>
  <si>
    <t xml:space="preserve">Crude Oil  </t>
  </si>
  <si>
    <t xml:space="preserve">Water </t>
  </si>
  <si>
    <t xml:space="preserve"> Investments by Economic Sectors - Current Prices (mn LE)</t>
  </si>
  <si>
    <t>FY 2003/2004</t>
  </si>
  <si>
    <t>الأصول المستردة من الشريك الأجنبى</t>
  </si>
  <si>
    <t>Assets Retrieved From Foreign Partner</t>
  </si>
  <si>
    <t>الزراعة والري والاستصلاح</t>
  </si>
  <si>
    <t>استخراجات اخري</t>
  </si>
  <si>
    <t>تحويلية اخري</t>
  </si>
  <si>
    <t>المياه</t>
  </si>
  <si>
    <t>الصرف الصحي</t>
  </si>
  <si>
    <t>الانشطة العقارية</t>
  </si>
  <si>
    <t>خدمات اخري</t>
  </si>
  <si>
    <t>تسويات</t>
  </si>
  <si>
    <t>جملة</t>
  </si>
  <si>
    <t>Settlements</t>
  </si>
  <si>
    <t>Agriculture</t>
  </si>
  <si>
    <t>Information</t>
  </si>
  <si>
    <t>الغازالطبيعي</t>
  </si>
  <si>
    <t>تكرير اليترول</t>
  </si>
  <si>
    <t xml:space="preserve"> المياه</t>
  </si>
  <si>
    <t>النقل  والتخزين</t>
  </si>
  <si>
    <t xml:space="preserve">الوساطة المالية </t>
  </si>
  <si>
    <t>التأمين والضمان الاجتماعي</t>
  </si>
  <si>
    <t>خدمات أخري</t>
  </si>
  <si>
    <t>الاجمالي العام</t>
  </si>
  <si>
    <t xml:space="preserve">القطاعات الاقتصادية </t>
  </si>
  <si>
    <t>الغاز الطبيعي</t>
  </si>
  <si>
    <t>الوساطة المالية والتأمين</t>
  </si>
  <si>
    <t>Financial Intermediaries, Insurance &amp; Social Solidarity</t>
  </si>
  <si>
    <t>FY 2002/2003</t>
  </si>
  <si>
    <t>الوساطة المالية والتأمين والضمان الاجتماعـــي</t>
  </si>
  <si>
    <t>استثمارات مركزية اخري</t>
  </si>
  <si>
    <t>Other central investments</t>
  </si>
  <si>
    <t>FY 2013/2014</t>
  </si>
  <si>
    <t>FY 2014/2015</t>
  </si>
  <si>
    <t xml:space="preserve">FY 2015/2016 </t>
  </si>
  <si>
    <t>FY 2016/2017</t>
  </si>
  <si>
    <t>FY 2017/2018</t>
  </si>
  <si>
    <t>FY 2018/2019</t>
  </si>
  <si>
    <t>FY 2019/2020</t>
  </si>
  <si>
    <t>FY 2020/2021*</t>
  </si>
  <si>
    <t>*فعلي مبدئي</t>
  </si>
  <si>
    <t>*Pre-Actual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</si>
</sst>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u/>
      <sz val="11"/>
      <color theme="3"/>
      <name val="Arial"/>
      <family val="2"/>
    </font>
    <font>
      <sz val="11"/>
      <color theme="5"/>
      <name val="Arial"/>
      <family val="2"/>
    </font>
    <font>
      <sz val="11"/>
      <color indexed="63"/>
      <name val="Arial"/>
      <family val="2"/>
    </font>
    <font>
      <u/>
      <sz val="11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b/>
      <sz val="11"/>
      <color rgb="FFC00000"/>
      <name val="Arial"/>
      <family val="2"/>
    </font>
    <font>
      <b/>
      <sz val="11"/>
      <color theme="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2" borderId="12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/>
    </xf>
    <xf numFmtId="0" fontId="5" fillId="2" borderId="12" xfId="0" applyFont="1" applyFill="1" applyBorder="1" applyAlignment="1">
      <alignment horizontal="left" vertical="center" indent="1"/>
    </xf>
    <xf numFmtId="0" fontId="3" fillId="2" borderId="1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 indent="1" readingOrder="1"/>
    </xf>
    <xf numFmtId="0" fontId="4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left" vertical="center" wrapText="1" indent="1"/>
    </xf>
    <xf numFmtId="0" fontId="8" fillId="0" borderId="0" xfId="0" applyFont="1"/>
    <xf numFmtId="0" fontId="9" fillId="2" borderId="5" xfId="0" applyFont="1" applyFill="1" applyBorder="1" applyAlignment="1">
      <alignment horizontal="center" vertical="center" readingOrder="2"/>
    </xf>
    <xf numFmtId="0" fontId="9" fillId="2" borderId="6" xfId="0" applyFont="1" applyFill="1" applyBorder="1" applyAlignment="1">
      <alignment horizontal="center" vertical="center" readingOrder="2"/>
    </xf>
    <xf numFmtId="0" fontId="9" fillId="2" borderId="7" xfId="0" applyFont="1" applyFill="1" applyBorder="1" applyAlignment="1">
      <alignment horizontal="center" vertical="center" readingOrder="2"/>
    </xf>
    <xf numFmtId="0" fontId="9" fillId="2" borderId="19" xfId="0" applyFont="1" applyFill="1" applyBorder="1" applyAlignment="1">
      <alignment horizontal="center" vertical="center" readingOrder="2"/>
    </xf>
    <xf numFmtId="0" fontId="9" fillId="2" borderId="20" xfId="0" applyFont="1" applyFill="1" applyBorder="1" applyAlignment="1">
      <alignment horizontal="center" vertical="center" readingOrder="2"/>
    </xf>
    <xf numFmtId="0" fontId="9" fillId="2" borderId="21" xfId="0" applyFont="1" applyFill="1" applyBorder="1" applyAlignment="1">
      <alignment horizontal="center" vertical="center" readingOrder="2"/>
    </xf>
    <xf numFmtId="0" fontId="9" fillId="2" borderId="22" xfId="0" applyFont="1" applyFill="1" applyBorder="1" applyAlignment="1">
      <alignment horizontal="center" vertical="center" readingOrder="2"/>
    </xf>
    <xf numFmtId="0" fontId="9" fillId="2" borderId="23" xfId="0" applyFont="1" applyFill="1" applyBorder="1" applyAlignment="1">
      <alignment horizontal="center" vertical="center" readingOrder="2"/>
    </xf>
    <xf numFmtId="0" fontId="9" fillId="2" borderId="24" xfId="0" applyFont="1" applyFill="1" applyBorder="1" applyAlignment="1">
      <alignment horizontal="center" vertical="center" readingOrder="2"/>
    </xf>
    <xf numFmtId="0" fontId="9" fillId="2" borderId="25" xfId="0" applyFont="1" applyFill="1" applyBorder="1" applyAlignment="1">
      <alignment horizontal="center" vertical="center" readingOrder="2"/>
    </xf>
    <xf numFmtId="0" fontId="9" fillId="2" borderId="26" xfId="0" applyFont="1" applyFill="1" applyBorder="1" applyAlignment="1">
      <alignment horizontal="center" vertical="center" readingOrder="2"/>
    </xf>
    <xf numFmtId="0" fontId="8" fillId="0" borderId="0" xfId="0" applyFont="1" applyAlignment="1">
      <alignment vertical="center"/>
    </xf>
    <xf numFmtId="0" fontId="5" fillId="2" borderId="17" xfId="0" applyFont="1" applyFill="1" applyBorder="1" applyAlignment="1">
      <alignment horizontal="right" vertical="center" wrapText="1" indent="1"/>
    </xf>
    <xf numFmtId="0" fontId="5" fillId="2" borderId="12" xfId="0" applyFont="1" applyFill="1" applyBorder="1" applyAlignment="1">
      <alignment horizontal="right" vertical="center" indent="1"/>
    </xf>
    <xf numFmtId="0" fontId="5" fillId="2" borderId="12" xfId="0" applyFont="1" applyFill="1" applyBorder="1" applyAlignment="1">
      <alignment horizontal="right" vertical="center" indent="1" readingOrder="1"/>
    </xf>
    <xf numFmtId="0" fontId="9" fillId="2" borderId="32" xfId="0" applyFont="1" applyFill="1" applyBorder="1" applyAlignment="1">
      <alignment horizontal="center" vertical="center" readingOrder="2"/>
    </xf>
    <xf numFmtId="0" fontId="5" fillId="2" borderId="12" xfId="0" applyFont="1" applyFill="1" applyBorder="1" applyAlignment="1">
      <alignment horizontal="right" vertical="center" wrapText="1" indent="1"/>
    </xf>
    <xf numFmtId="0" fontId="5" fillId="2" borderId="8" xfId="0" applyFont="1" applyFill="1" applyBorder="1" applyAlignment="1">
      <alignment horizontal="right" vertical="center" wrapText="1" indent="1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2" borderId="35" xfId="0" applyFont="1" applyFill="1" applyBorder="1" applyAlignment="1">
      <alignment horizontal="left" vertical="center" indent="1"/>
    </xf>
    <xf numFmtId="0" fontId="5" fillId="2" borderId="35" xfId="0" applyFont="1" applyFill="1" applyBorder="1" applyAlignment="1">
      <alignment horizontal="left" vertical="center" indent="1" readingOrder="1"/>
    </xf>
    <xf numFmtId="164" fontId="7" fillId="2" borderId="36" xfId="0" applyNumberFormat="1" applyFont="1" applyFill="1" applyBorder="1" applyAlignment="1">
      <alignment horizontal="left" vertical="center" inden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2" borderId="35" xfId="0" applyFont="1" applyFill="1" applyBorder="1" applyAlignment="1">
      <alignment horizontal="right" vertical="center" wrapText="1" indent="1"/>
    </xf>
    <xf numFmtId="0" fontId="5" fillId="2" borderId="35" xfId="0" applyFont="1" applyFill="1" applyBorder="1" applyAlignment="1">
      <alignment horizontal="right" vertical="center" indent="1"/>
    </xf>
    <xf numFmtId="0" fontId="5" fillId="2" borderId="35" xfId="0" applyFont="1" applyFill="1" applyBorder="1" applyAlignment="1">
      <alignment horizontal="right" vertical="center" indent="1" readingOrder="1"/>
    </xf>
    <xf numFmtId="164" fontId="7" fillId="2" borderId="36" xfId="0" applyNumberFormat="1" applyFont="1" applyFill="1" applyBorder="1" applyAlignment="1">
      <alignment horizontal="right" vertical="center" indent="1"/>
    </xf>
    <xf numFmtId="0" fontId="3" fillId="2" borderId="33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left" vertical="center" wrapText="1" inden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readingOrder="2"/>
    </xf>
    <xf numFmtId="0" fontId="9" fillId="2" borderId="41" xfId="0" applyFont="1" applyFill="1" applyBorder="1" applyAlignment="1">
      <alignment horizontal="center" vertical="center" readingOrder="2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readingOrder="1"/>
    </xf>
    <xf numFmtId="0" fontId="5" fillId="2" borderId="12" xfId="0" applyFont="1" applyFill="1" applyBorder="1" applyAlignment="1">
      <alignment horizontal="left" vertical="center"/>
    </xf>
    <xf numFmtId="0" fontId="5" fillId="2" borderId="42" xfId="0" applyFont="1" applyFill="1" applyBorder="1" applyAlignment="1">
      <alignment horizontal="right" vertical="center" wrapText="1" indent="1"/>
    </xf>
    <xf numFmtId="1" fontId="3" fillId="2" borderId="4" xfId="0" applyNumberFormat="1" applyFont="1" applyFill="1" applyBorder="1" applyAlignment="1">
      <alignment horizontal="center" vertical="center" wrapText="1"/>
    </xf>
    <xf numFmtId="164" fontId="5" fillId="0" borderId="16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wrapText="1"/>
    </xf>
    <xf numFmtId="164" fontId="1" fillId="0" borderId="11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wrapText="1"/>
    </xf>
    <xf numFmtId="164" fontId="4" fillId="0" borderId="9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5" fillId="2" borderId="17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readingOrder="1"/>
    </xf>
    <xf numFmtId="0" fontId="1" fillId="0" borderId="0" xfId="0" applyFont="1" applyFill="1" applyAlignment="1">
      <alignment horizontal="right" readingOrder="2"/>
    </xf>
    <xf numFmtId="0" fontId="1" fillId="0" borderId="0" xfId="0" applyFont="1" applyFill="1"/>
    <xf numFmtId="0" fontId="9" fillId="2" borderId="29" xfId="0" applyFont="1" applyFill="1" applyBorder="1" applyAlignment="1">
      <alignment horizontal="center" vertical="center" readingOrder="1"/>
    </xf>
    <xf numFmtId="0" fontId="9" fillId="2" borderId="28" xfId="0" applyFont="1" applyFill="1" applyBorder="1" applyAlignment="1">
      <alignment horizontal="center" vertical="center" readingOrder="1"/>
    </xf>
    <xf numFmtId="0" fontId="9" fillId="2" borderId="27" xfId="0" applyFont="1" applyFill="1" applyBorder="1" applyAlignment="1">
      <alignment horizontal="center" vertical="center" readingOrder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93"/>
  <sheetViews>
    <sheetView tabSelected="1" topLeftCell="BG1" zoomScale="80" zoomScaleNormal="80" workbookViewId="0">
      <selection activeCell="AU30" sqref="AU30"/>
    </sheetView>
  </sheetViews>
  <sheetFormatPr defaultColWidth="9.140625" defaultRowHeight="14.25" x14ac:dyDescent="0.2"/>
  <cols>
    <col min="1" max="1" width="34" style="1" customWidth="1"/>
    <col min="2" max="2" width="30.5703125" style="1" customWidth="1"/>
    <col min="3" max="3" width="11.85546875" style="1" customWidth="1"/>
    <col min="4" max="4" width="11.140625" style="1" customWidth="1"/>
    <col min="5" max="5" width="12.5703125" style="1" customWidth="1"/>
    <col min="6" max="6" width="12" style="1" customWidth="1"/>
    <col min="7" max="7" width="12.5703125" style="1" customWidth="1"/>
    <col min="8" max="8" width="11.42578125" style="1" customWidth="1"/>
    <col min="9" max="13" width="9.28515625" style="1" bestFit="1" customWidth="1"/>
    <col min="14" max="14" width="10.28515625" style="1" bestFit="1" customWidth="1"/>
    <col min="15" max="16" width="9.28515625" style="1" bestFit="1" customWidth="1"/>
    <col min="17" max="17" width="10.5703125" style="1" bestFit="1" customWidth="1"/>
    <col min="18" max="18" width="9.28515625" style="2" bestFit="1" customWidth="1"/>
    <col min="19" max="19" width="11.7109375" style="2" bestFit="1" customWidth="1"/>
    <col min="20" max="20" width="11.28515625" style="2" customWidth="1"/>
    <col min="21" max="21" width="35.42578125" style="1" customWidth="1"/>
    <col min="22" max="22" width="30.7109375" style="1" customWidth="1"/>
    <col min="23" max="23" width="10.5703125" style="1" bestFit="1" customWidth="1"/>
    <col min="24" max="24" width="9.28515625" style="1" bestFit="1" customWidth="1"/>
    <col min="25" max="25" width="10.5703125" style="1" bestFit="1" customWidth="1"/>
    <col min="26" max="26" width="31.5703125" style="1" bestFit="1" customWidth="1"/>
    <col min="27" max="27" width="31" style="1" customWidth="1"/>
    <col min="28" max="30" width="10.5703125" style="1" bestFit="1" customWidth="1"/>
    <col min="31" max="31" width="31.5703125" style="1" bestFit="1" customWidth="1"/>
    <col min="32" max="32" width="29.42578125" style="1" customWidth="1"/>
    <col min="33" max="33" width="9.28515625" style="1" bestFit="1" customWidth="1"/>
    <col min="34" max="35" width="10.5703125" style="1" bestFit="1" customWidth="1"/>
    <col min="36" max="36" width="9.28515625" style="1" bestFit="1" customWidth="1"/>
    <col min="37" max="38" width="10.5703125" style="1" bestFit="1" customWidth="1"/>
    <col min="39" max="39" width="9.28515625" style="1" bestFit="1" customWidth="1"/>
    <col min="40" max="44" width="10.5703125" style="1" bestFit="1" customWidth="1"/>
    <col min="45" max="45" width="10.28515625" style="1" customWidth="1"/>
    <col min="46" max="46" width="11.28515625" style="1" customWidth="1"/>
    <col min="47" max="47" width="11.42578125" style="1" customWidth="1"/>
    <col min="48" max="48" width="31.5703125" style="1" bestFit="1" customWidth="1"/>
    <col min="49" max="49" width="24.28515625" style="1" bestFit="1" customWidth="1"/>
    <col min="50" max="52" width="10.7109375" style="1" bestFit="1" customWidth="1"/>
    <col min="53" max="53" width="32.85546875" style="1" customWidth="1"/>
    <col min="54" max="54" width="31.7109375" style="1" bestFit="1" customWidth="1"/>
    <col min="55" max="57" width="10.7109375" style="1" bestFit="1" customWidth="1"/>
    <col min="58" max="58" width="42" style="1" customWidth="1"/>
    <col min="59" max="59" width="38.140625" style="1" bestFit="1" customWidth="1"/>
    <col min="60" max="61" width="10.85546875" style="1" bestFit="1" customWidth="1"/>
    <col min="62" max="62" width="12.7109375" style="1" customWidth="1"/>
    <col min="63" max="63" width="55.5703125" style="1" customWidth="1"/>
    <col min="64" max="64" width="35.42578125" style="1" customWidth="1"/>
    <col min="65" max="65" width="9.28515625" style="1" bestFit="1" customWidth="1"/>
    <col min="66" max="73" width="10.42578125" style="1" bestFit="1" customWidth="1"/>
    <col min="74" max="74" width="9.140625" style="1" customWidth="1"/>
    <col min="75" max="16384" width="9.140625" style="1"/>
  </cols>
  <sheetData>
    <row r="1" spans="1:73" ht="33.75" customHeight="1" x14ac:dyDescent="0.2">
      <c r="A1" s="39" t="s">
        <v>62</v>
      </c>
      <c r="B1" s="39"/>
      <c r="C1" s="39"/>
      <c r="D1" s="39"/>
      <c r="E1" s="39"/>
      <c r="F1" s="39"/>
      <c r="G1" s="39"/>
      <c r="H1" s="39"/>
    </row>
    <row r="2" spans="1:73" ht="15" thickBot="1" x14ac:dyDescent="0.25"/>
    <row r="3" spans="1:73" s="27" customFormat="1" ht="13.5" customHeight="1" thickTop="1" thickBot="1" x14ac:dyDescent="0.3">
      <c r="A3" s="109" t="s">
        <v>34</v>
      </c>
      <c r="B3" s="111" t="s">
        <v>56</v>
      </c>
      <c r="C3" s="105" t="s">
        <v>90</v>
      </c>
      <c r="D3" s="105"/>
      <c r="E3" s="106"/>
      <c r="F3" s="105" t="s">
        <v>63</v>
      </c>
      <c r="G3" s="105"/>
      <c r="H3" s="106"/>
      <c r="I3" s="105" t="s">
        <v>33</v>
      </c>
      <c r="J3" s="105"/>
      <c r="K3" s="105"/>
      <c r="L3" s="113" t="s">
        <v>32</v>
      </c>
      <c r="M3" s="105"/>
      <c r="N3" s="105"/>
      <c r="O3" s="113" t="s">
        <v>31</v>
      </c>
      <c r="P3" s="105"/>
      <c r="Q3" s="105"/>
      <c r="R3" s="113" t="s">
        <v>30</v>
      </c>
      <c r="S3" s="105"/>
      <c r="T3" s="105"/>
      <c r="U3" s="107" t="s">
        <v>34</v>
      </c>
      <c r="V3" s="107" t="s">
        <v>29</v>
      </c>
      <c r="W3" s="104" t="s">
        <v>28</v>
      </c>
      <c r="X3" s="105"/>
      <c r="Y3" s="106"/>
      <c r="Z3" s="107" t="s">
        <v>34</v>
      </c>
      <c r="AA3" s="107" t="s">
        <v>29</v>
      </c>
      <c r="AB3" s="104" t="s">
        <v>27</v>
      </c>
      <c r="AC3" s="105"/>
      <c r="AD3" s="106"/>
      <c r="AE3" s="107" t="s">
        <v>34</v>
      </c>
      <c r="AF3" s="107" t="s">
        <v>29</v>
      </c>
      <c r="AG3" s="104" t="s">
        <v>26</v>
      </c>
      <c r="AH3" s="105"/>
      <c r="AI3" s="106"/>
      <c r="AJ3" s="104" t="s">
        <v>25</v>
      </c>
      <c r="AK3" s="105"/>
      <c r="AL3" s="106"/>
      <c r="AM3" s="104" t="s">
        <v>24</v>
      </c>
      <c r="AN3" s="105"/>
      <c r="AO3" s="106"/>
      <c r="AP3" s="104" t="s">
        <v>94</v>
      </c>
      <c r="AQ3" s="105"/>
      <c r="AR3" s="106"/>
      <c r="AS3" s="104" t="s">
        <v>95</v>
      </c>
      <c r="AT3" s="105"/>
      <c r="AU3" s="106"/>
      <c r="AV3" s="107" t="s">
        <v>34</v>
      </c>
      <c r="AW3" s="107" t="s">
        <v>86</v>
      </c>
      <c r="AX3" s="104" t="s">
        <v>96</v>
      </c>
      <c r="AY3" s="105"/>
      <c r="AZ3" s="106"/>
      <c r="BA3" s="107" t="s">
        <v>34</v>
      </c>
      <c r="BB3" s="107" t="s">
        <v>29</v>
      </c>
      <c r="BC3" s="104" t="s">
        <v>97</v>
      </c>
      <c r="BD3" s="105"/>
      <c r="BE3" s="106"/>
      <c r="BF3" s="107" t="s">
        <v>34</v>
      </c>
      <c r="BG3" s="107" t="s">
        <v>29</v>
      </c>
      <c r="BH3" s="104" t="s">
        <v>98</v>
      </c>
      <c r="BI3" s="105"/>
      <c r="BJ3" s="106"/>
      <c r="BK3" s="107" t="s">
        <v>34</v>
      </c>
      <c r="BL3" s="107" t="s">
        <v>29</v>
      </c>
      <c r="BM3" s="104" t="s">
        <v>99</v>
      </c>
      <c r="BN3" s="105"/>
      <c r="BO3" s="106"/>
      <c r="BP3" s="104" t="s">
        <v>100</v>
      </c>
      <c r="BQ3" s="105"/>
      <c r="BR3" s="106"/>
      <c r="BS3" s="104" t="s">
        <v>101</v>
      </c>
      <c r="BT3" s="105"/>
      <c r="BU3" s="106"/>
    </row>
    <row r="4" spans="1:73" s="27" customFormat="1" ht="15.75" thickBot="1" x14ac:dyDescent="0.3">
      <c r="A4" s="110"/>
      <c r="B4" s="112"/>
      <c r="C4" s="43" t="s">
        <v>23</v>
      </c>
      <c r="D4" s="29" t="s">
        <v>22</v>
      </c>
      <c r="E4" s="67" t="s">
        <v>21</v>
      </c>
      <c r="F4" s="43" t="s">
        <v>23</v>
      </c>
      <c r="G4" s="29" t="s">
        <v>22</v>
      </c>
      <c r="H4" s="67" t="s">
        <v>21</v>
      </c>
      <c r="I4" s="43" t="s">
        <v>23</v>
      </c>
      <c r="J4" s="29" t="s">
        <v>22</v>
      </c>
      <c r="K4" s="38" t="s">
        <v>21</v>
      </c>
      <c r="L4" s="37" t="s">
        <v>23</v>
      </c>
      <c r="M4" s="36" t="s">
        <v>22</v>
      </c>
      <c r="N4" s="35" t="s">
        <v>21</v>
      </c>
      <c r="O4" s="34" t="s">
        <v>23</v>
      </c>
      <c r="P4" s="32" t="s">
        <v>22</v>
      </c>
      <c r="Q4" s="31" t="s">
        <v>21</v>
      </c>
      <c r="R4" s="33" t="s">
        <v>23</v>
      </c>
      <c r="S4" s="32" t="s">
        <v>22</v>
      </c>
      <c r="T4" s="31" t="s">
        <v>21</v>
      </c>
      <c r="U4" s="108"/>
      <c r="V4" s="108"/>
      <c r="W4" s="30" t="s">
        <v>23</v>
      </c>
      <c r="X4" s="29" t="s">
        <v>22</v>
      </c>
      <c r="Y4" s="28" t="s">
        <v>21</v>
      </c>
      <c r="Z4" s="108"/>
      <c r="AA4" s="108"/>
      <c r="AB4" s="30" t="s">
        <v>23</v>
      </c>
      <c r="AC4" s="29" t="s">
        <v>22</v>
      </c>
      <c r="AD4" s="28" t="s">
        <v>21</v>
      </c>
      <c r="AE4" s="108"/>
      <c r="AF4" s="108"/>
      <c r="AG4" s="30" t="s">
        <v>23</v>
      </c>
      <c r="AH4" s="29" t="s">
        <v>22</v>
      </c>
      <c r="AI4" s="28" t="s">
        <v>21</v>
      </c>
      <c r="AJ4" s="30" t="s">
        <v>23</v>
      </c>
      <c r="AK4" s="29" t="s">
        <v>22</v>
      </c>
      <c r="AL4" s="28" t="s">
        <v>21</v>
      </c>
      <c r="AM4" s="30" t="s">
        <v>23</v>
      </c>
      <c r="AN4" s="29" t="s">
        <v>22</v>
      </c>
      <c r="AO4" s="28" t="s">
        <v>21</v>
      </c>
      <c r="AP4" s="30" t="s">
        <v>23</v>
      </c>
      <c r="AQ4" s="29" t="s">
        <v>22</v>
      </c>
      <c r="AR4" s="28" t="s">
        <v>21</v>
      </c>
      <c r="AS4" s="30" t="s">
        <v>23</v>
      </c>
      <c r="AT4" s="29" t="s">
        <v>22</v>
      </c>
      <c r="AU4" s="28" t="s">
        <v>21</v>
      </c>
      <c r="AV4" s="108"/>
      <c r="AW4" s="108"/>
      <c r="AX4" s="30" t="s">
        <v>23</v>
      </c>
      <c r="AY4" s="29" t="s">
        <v>22</v>
      </c>
      <c r="AZ4" s="28" t="s">
        <v>21</v>
      </c>
      <c r="BA4" s="108"/>
      <c r="BB4" s="108"/>
      <c r="BC4" s="30" t="s">
        <v>23</v>
      </c>
      <c r="BD4" s="29" t="s">
        <v>22</v>
      </c>
      <c r="BE4" s="28" t="s">
        <v>21</v>
      </c>
      <c r="BF4" s="108"/>
      <c r="BG4" s="108"/>
      <c r="BH4" s="30" t="s">
        <v>23</v>
      </c>
      <c r="BI4" s="29" t="s">
        <v>22</v>
      </c>
      <c r="BJ4" s="28" t="s">
        <v>21</v>
      </c>
      <c r="BK4" s="108"/>
      <c r="BL4" s="108"/>
      <c r="BM4" s="30" t="s">
        <v>23</v>
      </c>
      <c r="BN4" s="29" t="s">
        <v>22</v>
      </c>
      <c r="BO4" s="28" t="s">
        <v>21</v>
      </c>
      <c r="BP4" s="30" t="s">
        <v>23</v>
      </c>
      <c r="BQ4" s="29" t="s">
        <v>22</v>
      </c>
      <c r="BR4" s="28" t="s">
        <v>21</v>
      </c>
      <c r="BS4" s="30" t="s">
        <v>23</v>
      </c>
      <c r="BT4" s="29" t="s">
        <v>22</v>
      </c>
      <c r="BU4" s="28" t="s">
        <v>21</v>
      </c>
    </row>
    <row r="5" spans="1:73" ht="27.75" customHeight="1" thickTop="1" x14ac:dyDescent="0.2">
      <c r="A5" s="62" t="s">
        <v>20</v>
      </c>
      <c r="B5" s="57" t="s">
        <v>35</v>
      </c>
      <c r="C5" s="54">
        <v>3220.3</v>
      </c>
      <c r="D5" s="24">
        <v>3183.3</v>
      </c>
      <c r="E5" s="23">
        <v>6403.6</v>
      </c>
      <c r="F5" s="54">
        <v>3559</v>
      </c>
      <c r="G5" s="24">
        <v>4000</v>
      </c>
      <c r="H5" s="23">
        <v>7559</v>
      </c>
      <c r="I5" s="54">
        <v>3170.1</v>
      </c>
      <c r="J5" s="24">
        <v>4250.1000000000004</v>
      </c>
      <c r="K5" s="23">
        <v>7420.2</v>
      </c>
      <c r="L5" s="25">
        <v>2799.7</v>
      </c>
      <c r="M5" s="24">
        <v>5244.1</v>
      </c>
      <c r="N5" s="23">
        <v>8043.8</v>
      </c>
      <c r="O5" s="25">
        <v>2433.6999999999998</v>
      </c>
      <c r="P5" s="24">
        <v>5357.5</v>
      </c>
      <c r="Q5" s="23">
        <v>7791.2</v>
      </c>
      <c r="R5" s="25">
        <v>2849.5</v>
      </c>
      <c r="S5" s="24">
        <v>5223</v>
      </c>
      <c r="T5" s="23">
        <v>8072.5</v>
      </c>
      <c r="U5" s="26" t="s">
        <v>20</v>
      </c>
      <c r="V5" s="40" t="s">
        <v>35</v>
      </c>
      <c r="W5" s="25">
        <v>2743.3</v>
      </c>
      <c r="X5" s="24">
        <v>4119</v>
      </c>
      <c r="Y5" s="23">
        <v>6862.3</v>
      </c>
      <c r="Z5" s="26" t="s">
        <v>76</v>
      </c>
      <c r="AA5" s="40" t="s">
        <v>35</v>
      </c>
      <c r="AB5" s="25">
        <v>2878.1</v>
      </c>
      <c r="AC5" s="24">
        <v>3865</v>
      </c>
      <c r="AD5" s="23">
        <v>6743.1</v>
      </c>
      <c r="AE5" s="26" t="s">
        <v>20</v>
      </c>
      <c r="AF5" s="40" t="s">
        <v>35</v>
      </c>
      <c r="AG5" s="25">
        <v>3275.7</v>
      </c>
      <c r="AH5" s="24">
        <v>3558</v>
      </c>
      <c r="AI5" s="23">
        <v>6833.7</v>
      </c>
      <c r="AJ5" s="25">
        <v>2672.7000000000007</v>
      </c>
      <c r="AK5" s="24">
        <v>2698</v>
      </c>
      <c r="AL5" s="23">
        <v>5370.7000000000007</v>
      </c>
      <c r="AM5" s="25">
        <v>2950.3999999999996</v>
      </c>
      <c r="AN5" s="24">
        <v>5434</v>
      </c>
      <c r="AO5" s="23">
        <v>8384.4</v>
      </c>
      <c r="AP5" s="25">
        <v>4146.0999999999995</v>
      </c>
      <c r="AQ5" s="24">
        <v>7480.5</v>
      </c>
      <c r="AR5" s="23">
        <v>11626.599999999999</v>
      </c>
      <c r="AS5" s="25">
        <v>5213</v>
      </c>
      <c r="AT5" s="24">
        <v>8201</v>
      </c>
      <c r="AU5" s="23">
        <v>13414</v>
      </c>
      <c r="AV5" s="78" t="s">
        <v>20</v>
      </c>
      <c r="AW5" s="78" t="s">
        <v>66</v>
      </c>
      <c r="AX5" s="25">
        <v>5039.2</v>
      </c>
      <c r="AY5" s="24">
        <v>11240</v>
      </c>
      <c r="AZ5" s="23">
        <v>16279.2</v>
      </c>
      <c r="BA5" s="78" t="s">
        <v>20</v>
      </c>
      <c r="BB5" s="40" t="s">
        <v>66</v>
      </c>
      <c r="BC5" s="25">
        <v>6038.6</v>
      </c>
      <c r="BD5" s="24">
        <v>11300</v>
      </c>
      <c r="BE5" s="23">
        <v>17338.599999999999</v>
      </c>
      <c r="BF5" s="78" t="s">
        <v>20</v>
      </c>
      <c r="BG5" s="40" t="s">
        <v>66</v>
      </c>
      <c r="BH5" s="25">
        <v>8698.7000000000007</v>
      </c>
      <c r="BI5" s="24">
        <v>16000</v>
      </c>
      <c r="BJ5" s="23">
        <v>24698.7</v>
      </c>
      <c r="BK5" s="100" t="s">
        <v>20</v>
      </c>
      <c r="BL5" s="40" t="s">
        <v>66</v>
      </c>
      <c r="BM5" s="84">
        <v>31690.3</v>
      </c>
      <c r="BN5" s="85">
        <v>17520</v>
      </c>
      <c r="BO5" s="86">
        <v>49210.3</v>
      </c>
      <c r="BP5" s="84">
        <v>28732.2</v>
      </c>
      <c r="BQ5" s="85">
        <v>12021</v>
      </c>
      <c r="BR5" s="86">
        <v>40753.199999999997</v>
      </c>
      <c r="BS5" s="84">
        <v>38437.456506000002</v>
      </c>
      <c r="BT5" s="85">
        <v>13278.2</v>
      </c>
      <c r="BU5" s="86">
        <v>51715.656505999999</v>
      </c>
    </row>
    <row r="6" spans="1:73" x14ac:dyDescent="0.2">
      <c r="A6" s="51" t="s">
        <v>60</v>
      </c>
      <c r="B6" s="58" t="s">
        <v>36</v>
      </c>
      <c r="C6" s="55">
        <v>469.3</v>
      </c>
      <c r="D6" s="20">
        <v>2874.7</v>
      </c>
      <c r="E6" s="19">
        <v>3344</v>
      </c>
      <c r="F6" s="55">
        <v>302.3</v>
      </c>
      <c r="G6" s="20">
        <v>4069.8</v>
      </c>
      <c r="H6" s="19">
        <v>4372.1000000000004</v>
      </c>
      <c r="I6" s="55">
        <v>3771.6</v>
      </c>
      <c r="J6" s="20">
        <v>1599.4</v>
      </c>
      <c r="K6" s="19">
        <v>5371</v>
      </c>
      <c r="L6" s="21">
        <v>6169.3</v>
      </c>
      <c r="M6" s="20">
        <v>2994.8</v>
      </c>
      <c r="N6" s="19">
        <v>9164.1</v>
      </c>
      <c r="O6" s="21">
        <v>4390.6000000000004</v>
      </c>
      <c r="P6" s="20">
        <v>6285</v>
      </c>
      <c r="Q6" s="19">
        <v>10675.6</v>
      </c>
      <c r="R6" s="21">
        <v>5008.7</v>
      </c>
      <c r="S6" s="20">
        <v>11400</v>
      </c>
      <c r="T6" s="19">
        <v>16408.7</v>
      </c>
      <c r="U6" s="17" t="s">
        <v>60</v>
      </c>
      <c r="V6" s="41" t="s">
        <v>36</v>
      </c>
      <c r="W6" s="21">
        <v>808.5999999999998</v>
      </c>
      <c r="X6" s="20">
        <v>6348.4</v>
      </c>
      <c r="Y6" s="19">
        <v>7156.9999999999991</v>
      </c>
      <c r="Z6" s="17" t="s">
        <v>60</v>
      </c>
      <c r="AA6" s="41" t="s">
        <v>36</v>
      </c>
      <c r="AB6" s="21">
        <v>17352</v>
      </c>
      <c r="AC6" s="20">
        <v>11380</v>
      </c>
      <c r="AD6" s="19">
        <v>28732</v>
      </c>
      <c r="AE6" s="17" t="s">
        <v>60</v>
      </c>
      <c r="AF6" s="41" t="s">
        <v>36</v>
      </c>
      <c r="AG6" s="21">
        <v>2745.4999999999995</v>
      </c>
      <c r="AH6" s="20">
        <v>9433</v>
      </c>
      <c r="AI6" s="19">
        <v>12178.5</v>
      </c>
      <c r="AJ6" s="21">
        <v>4536.7000000000007</v>
      </c>
      <c r="AK6" s="20">
        <v>3538</v>
      </c>
      <c r="AL6" s="19">
        <v>8074.7000000000007</v>
      </c>
      <c r="AM6" s="21">
        <v>23072.799999999999</v>
      </c>
      <c r="AN6" s="20">
        <v>3800</v>
      </c>
      <c r="AO6" s="19">
        <v>26872.799999999999</v>
      </c>
      <c r="AP6" s="21">
        <v>21686.199999999997</v>
      </c>
      <c r="AQ6" s="20">
        <v>1900</v>
      </c>
      <c r="AR6" s="19">
        <v>23586.199999999997</v>
      </c>
      <c r="AS6" s="21">
        <v>21087.199999999997</v>
      </c>
      <c r="AT6" s="20">
        <v>2504</v>
      </c>
      <c r="AU6" s="19">
        <v>23591.199999999997</v>
      </c>
      <c r="AV6" s="79" t="s">
        <v>60</v>
      </c>
      <c r="AW6" s="79" t="s">
        <v>36</v>
      </c>
      <c r="AX6" s="21">
        <v>29613.7</v>
      </c>
      <c r="AY6" s="20">
        <v>2614</v>
      </c>
      <c r="AZ6" s="19">
        <v>32227.7</v>
      </c>
      <c r="BA6" s="79" t="s">
        <v>60</v>
      </c>
      <c r="BB6" s="41" t="s">
        <v>36</v>
      </c>
      <c r="BC6" s="21">
        <v>6853</v>
      </c>
      <c r="BD6" s="20">
        <v>2650</v>
      </c>
      <c r="BE6" s="19">
        <v>9503</v>
      </c>
      <c r="BF6" s="79" t="s">
        <v>60</v>
      </c>
      <c r="BG6" s="41" t="s">
        <v>36</v>
      </c>
      <c r="BH6" s="21">
        <v>1804.6000000000001</v>
      </c>
      <c r="BI6" s="20">
        <v>2820</v>
      </c>
      <c r="BJ6" s="19">
        <v>4624.6000000000004</v>
      </c>
      <c r="BK6" s="81" t="s">
        <v>60</v>
      </c>
      <c r="BL6" s="41" t="s">
        <v>36</v>
      </c>
      <c r="BM6" s="87">
        <v>4958.7000000000007</v>
      </c>
      <c r="BN6" s="88">
        <v>9535</v>
      </c>
      <c r="BO6" s="89">
        <v>14493.7</v>
      </c>
      <c r="BP6" s="87">
        <v>34799.600000000006</v>
      </c>
      <c r="BQ6" s="88">
        <v>6865.6</v>
      </c>
      <c r="BR6" s="89">
        <v>41665.200000000004</v>
      </c>
      <c r="BS6" s="87">
        <v>40824.5</v>
      </c>
      <c r="BT6" s="88">
        <v>3583.8999999999996</v>
      </c>
      <c r="BU6" s="89">
        <v>44408.4</v>
      </c>
    </row>
    <row r="7" spans="1:73" x14ac:dyDescent="0.2">
      <c r="A7" s="51" t="s">
        <v>19</v>
      </c>
      <c r="B7" s="58" t="s">
        <v>37</v>
      </c>
      <c r="C7" s="55">
        <v>384.5</v>
      </c>
      <c r="D7" s="20">
        <v>4860.7</v>
      </c>
      <c r="E7" s="19">
        <v>5245.2</v>
      </c>
      <c r="F7" s="55">
        <v>1145.5999999999999</v>
      </c>
      <c r="G7" s="20">
        <v>7198</v>
      </c>
      <c r="H7" s="19">
        <v>8343.6</v>
      </c>
      <c r="I7" s="55">
        <v>1383.1</v>
      </c>
      <c r="J7" s="20">
        <v>10475.6</v>
      </c>
      <c r="K7" s="19">
        <v>11858.7</v>
      </c>
      <c r="L7" s="21">
        <v>2192.1999999999998</v>
      </c>
      <c r="M7" s="20">
        <v>14900</v>
      </c>
      <c r="N7" s="19">
        <v>17092.2</v>
      </c>
      <c r="O7" s="21">
        <v>6222.3</v>
      </c>
      <c r="P7" s="20">
        <v>10114</v>
      </c>
      <c r="Q7" s="19">
        <v>16336.3</v>
      </c>
      <c r="R7" s="21">
        <v>3343</v>
      </c>
      <c r="S7" s="20">
        <v>16800</v>
      </c>
      <c r="T7" s="19">
        <v>20143</v>
      </c>
      <c r="U7" s="17" t="s">
        <v>19</v>
      </c>
      <c r="V7" s="41" t="s">
        <v>37</v>
      </c>
      <c r="W7" s="21">
        <v>3877.5000000000009</v>
      </c>
      <c r="X7" s="20">
        <v>27160</v>
      </c>
      <c r="Y7" s="19">
        <v>31037.5</v>
      </c>
      <c r="Z7" s="17" t="s">
        <v>19</v>
      </c>
      <c r="AA7" s="41" t="s">
        <v>37</v>
      </c>
      <c r="AB7" s="21">
        <v>3583.7</v>
      </c>
      <c r="AC7" s="20">
        <v>28981.4</v>
      </c>
      <c r="AD7" s="19">
        <v>32565.100000000002</v>
      </c>
      <c r="AE7" s="17" t="s">
        <v>19</v>
      </c>
      <c r="AF7" s="41" t="s">
        <v>37</v>
      </c>
      <c r="AG7" s="21">
        <v>9235.0000000000018</v>
      </c>
      <c r="AH7" s="20">
        <v>23312.799999999999</v>
      </c>
      <c r="AI7" s="19">
        <v>32547.800000000003</v>
      </c>
      <c r="AJ7" s="21">
        <v>14779.2</v>
      </c>
      <c r="AK7" s="20">
        <v>39512</v>
      </c>
      <c r="AL7" s="19">
        <v>54291.199999999997</v>
      </c>
      <c r="AM7" s="21">
        <v>3622.8000000000011</v>
      </c>
      <c r="AN7" s="20">
        <v>33000</v>
      </c>
      <c r="AO7" s="19">
        <v>36622.800000000003</v>
      </c>
      <c r="AP7" s="21">
        <v>3609.4</v>
      </c>
      <c r="AQ7" s="20">
        <v>21900</v>
      </c>
      <c r="AR7" s="19">
        <v>25509.4</v>
      </c>
      <c r="AS7" s="21">
        <v>4189</v>
      </c>
      <c r="AT7" s="20">
        <v>27435.599999999999</v>
      </c>
      <c r="AU7" s="19">
        <v>31624.6</v>
      </c>
      <c r="AV7" s="79" t="s">
        <v>19</v>
      </c>
      <c r="AW7" s="79" t="s">
        <v>78</v>
      </c>
      <c r="AX7" s="21">
        <v>5563.2</v>
      </c>
      <c r="AY7" s="20">
        <v>30190</v>
      </c>
      <c r="AZ7" s="19">
        <v>35753.199999999997</v>
      </c>
      <c r="BA7" s="79" t="s">
        <v>19</v>
      </c>
      <c r="BB7" s="41" t="s">
        <v>87</v>
      </c>
      <c r="BC7" s="21">
        <v>24224.5</v>
      </c>
      <c r="BD7" s="20">
        <v>31000</v>
      </c>
      <c r="BE7" s="19">
        <v>55224.5</v>
      </c>
      <c r="BF7" s="79" t="s">
        <v>19</v>
      </c>
      <c r="BG7" s="41" t="s">
        <v>87</v>
      </c>
      <c r="BH7" s="21">
        <v>3753</v>
      </c>
      <c r="BI7" s="20">
        <v>71260</v>
      </c>
      <c r="BJ7" s="19">
        <v>75013</v>
      </c>
      <c r="BK7" s="81" t="s">
        <v>19</v>
      </c>
      <c r="BL7" s="41" t="s">
        <v>87</v>
      </c>
      <c r="BM7" s="87">
        <v>4837.8999999999996</v>
      </c>
      <c r="BN7" s="88">
        <v>100911</v>
      </c>
      <c r="BO7" s="89">
        <v>105748.9</v>
      </c>
      <c r="BP7" s="87">
        <v>7332.4</v>
      </c>
      <c r="BQ7" s="88">
        <v>44781</v>
      </c>
      <c r="BR7" s="89">
        <v>52113.4</v>
      </c>
      <c r="BS7" s="87">
        <v>8524</v>
      </c>
      <c r="BT7" s="88">
        <v>40532.1</v>
      </c>
      <c r="BU7" s="89">
        <v>49056.1</v>
      </c>
    </row>
    <row r="8" spans="1:73" x14ac:dyDescent="0.2">
      <c r="A8" s="51" t="s">
        <v>18</v>
      </c>
      <c r="B8" s="58" t="s">
        <v>38</v>
      </c>
      <c r="C8" s="55">
        <v>41.4</v>
      </c>
      <c r="D8" s="20">
        <v>40.299999999999997</v>
      </c>
      <c r="E8" s="19">
        <v>81.7</v>
      </c>
      <c r="F8" s="55">
        <v>33.299999999999997</v>
      </c>
      <c r="G8" s="20">
        <v>32.200000000000003</v>
      </c>
      <c r="H8" s="19">
        <v>65.5</v>
      </c>
      <c r="I8" s="55">
        <v>7.8</v>
      </c>
      <c r="J8" s="20">
        <v>7.6</v>
      </c>
      <c r="K8" s="19">
        <v>15.4</v>
      </c>
      <c r="L8" s="21">
        <v>5.4</v>
      </c>
      <c r="M8" s="20">
        <v>5.2</v>
      </c>
      <c r="N8" s="19">
        <v>10.6</v>
      </c>
      <c r="O8" s="21">
        <v>36.9</v>
      </c>
      <c r="P8" s="20">
        <v>4.7</v>
      </c>
      <c r="Q8" s="19">
        <v>41.6</v>
      </c>
      <c r="R8" s="21">
        <v>6.1</v>
      </c>
      <c r="S8" s="20">
        <v>0</v>
      </c>
      <c r="T8" s="19">
        <v>6.1</v>
      </c>
      <c r="U8" s="17" t="s">
        <v>18</v>
      </c>
      <c r="V8" s="41" t="s">
        <v>38</v>
      </c>
      <c r="W8" s="21">
        <v>5</v>
      </c>
      <c r="X8" s="20">
        <v>0</v>
      </c>
      <c r="Y8" s="19">
        <v>5</v>
      </c>
      <c r="Z8" s="17" t="s">
        <v>18</v>
      </c>
      <c r="AA8" s="41" t="s">
        <v>38</v>
      </c>
      <c r="AB8" s="21">
        <v>8.6000000000000014</v>
      </c>
      <c r="AC8" s="20">
        <v>0</v>
      </c>
      <c r="AD8" s="19">
        <v>8.6000000000000014</v>
      </c>
      <c r="AE8" s="17" t="s">
        <v>18</v>
      </c>
      <c r="AF8" s="41" t="s">
        <v>38</v>
      </c>
      <c r="AG8" s="21">
        <v>1.4</v>
      </c>
      <c r="AH8" s="20">
        <v>0</v>
      </c>
      <c r="AI8" s="19">
        <v>1.4</v>
      </c>
      <c r="AJ8" s="21">
        <v>3.5</v>
      </c>
      <c r="AK8" s="20">
        <v>0</v>
      </c>
      <c r="AL8" s="19">
        <v>3.5</v>
      </c>
      <c r="AM8" s="21">
        <v>0</v>
      </c>
      <c r="AN8" s="20">
        <v>0</v>
      </c>
      <c r="AO8" s="19">
        <v>0</v>
      </c>
      <c r="AP8" s="21">
        <v>0</v>
      </c>
      <c r="AQ8" s="20">
        <v>10800</v>
      </c>
      <c r="AR8" s="19">
        <v>10800</v>
      </c>
      <c r="AS8" s="21">
        <v>0</v>
      </c>
      <c r="AT8" s="20">
        <v>13932.1</v>
      </c>
      <c r="AU8" s="19">
        <v>13932.1</v>
      </c>
      <c r="AV8" s="79" t="s">
        <v>18</v>
      </c>
      <c r="AW8" s="79" t="s">
        <v>38</v>
      </c>
      <c r="AX8" s="21">
        <v>0</v>
      </c>
      <c r="AY8" s="20">
        <v>14200</v>
      </c>
      <c r="AZ8" s="19">
        <v>14200</v>
      </c>
      <c r="BA8" s="79" t="s">
        <v>18</v>
      </c>
      <c r="BB8" s="41" t="s">
        <v>67</v>
      </c>
      <c r="BC8" s="21">
        <v>14.9</v>
      </c>
      <c r="BD8" s="20">
        <v>14300</v>
      </c>
      <c r="BE8" s="19">
        <v>14314.9</v>
      </c>
      <c r="BF8" s="79" t="s">
        <v>18</v>
      </c>
      <c r="BG8" s="41" t="s">
        <v>67</v>
      </c>
      <c r="BH8" s="21">
        <v>0</v>
      </c>
      <c r="BI8" s="20">
        <v>0</v>
      </c>
      <c r="BJ8" s="19">
        <v>0</v>
      </c>
      <c r="BK8" s="81" t="s">
        <v>18</v>
      </c>
      <c r="BL8" s="41" t="s">
        <v>67</v>
      </c>
      <c r="BM8" s="87">
        <v>0</v>
      </c>
      <c r="BN8" s="88">
        <v>0</v>
      </c>
      <c r="BO8" s="89">
        <v>0</v>
      </c>
      <c r="BP8" s="87">
        <v>0</v>
      </c>
      <c r="BQ8" s="88">
        <v>0</v>
      </c>
      <c r="BR8" s="89">
        <v>0</v>
      </c>
      <c r="BS8" s="87">
        <v>22.317655999999999</v>
      </c>
      <c r="BT8" s="88">
        <v>0</v>
      </c>
      <c r="BU8" s="89">
        <v>22.317655999999999</v>
      </c>
    </row>
    <row r="9" spans="1:73" x14ac:dyDescent="0.2">
      <c r="A9" s="51" t="s">
        <v>17</v>
      </c>
      <c r="B9" s="58" t="s">
        <v>39</v>
      </c>
      <c r="C9" s="55">
        <v>56.1</v>
      </c>
      <c r="D9" s="20">
        <v>1500</v>
      </c>
      <c r="E9" s="19">
        <v>1556.1</v>
      </c>
      <c r="F9" s="55">
        <v>1000</v>
      </c>
      <c r="G9" s="20">
        <v>1000</v>
      </c>
      <c r="H9" s="19">
        <v>2000</v>
      </c>
      <c r="I9" s="55">
        <v>3097.6</v>
      </c>
      <c r="J9" s="20">
        <v>4000</v>
      </c>
      <c r="K9" s="19">
        <v>7097.6</v>
      </c>
      <c r="L9" s="21">
        <v>3594.6</v>
      </c>
      <c r="M9" s="20">
        <v>1475</v>
      </c>
      <c r="N9" s="19">
        <v>5069.6000000000004</v>
      </c>
      <c r="O9" s="21">
        <v>500.7</v>
      </c>
      <c r="P9" s="20">
        <v>3108</v>
      </c>
      <c r="Q9" s="19">
        <v>3608.7</v>
      </c>
      <c r="R9" s="21">
        <v>1446</v>
      </c>
      <c r="S9" s="20">
        <v>5500</v>
      </c>
      <c r="T9" s="19">
        <v>6946</v>
      </c>
      <c r="U9" s="17" t="s">
        <v>17</v>
      </c>
      <c r="V9" s="41" t="s">
        <v>39</v>
      </c>
      <c r="W9" s="21">
        <v>1080</v>
      </c>
      <c r="X9" s="20">
        <v>4910</v>
      </c>
      <c r="Y9" s="19">
        <v>5990</v>
      </c>
      <c r="Z9" s="17" t="s">
        <v>17</v>
      </c>
      <c r="AA9" s="41" t="s">
        <v>39</v>
      </c>
      <c r="AB9" s="21">
        <v>315.39999999999998</v>
      </c>
      <c r="AC9" s="20">
        <v>2800</v>
      </c>
      <c r="AD9" s="19">
        <v>3115.4</v>
      </c>
      <c r="AE9" s="17" t="s">
        <v>17</v>
      </c>
      <c r="AF9" s="41" t="s">
        <v>39</v>
      </c>
      <c r="AG9" s="21">
        <v>278.3</v>
      </c>
      <c r="AH9" s="20">
        <v>2600</v>
      </c>
      <c r="AI9" s="19">
        <v>2878.3</v>
      </c>
      <c r="AJ9" s="21">
        <v>296.89999999999998</v>
      </c>
      <c r="AK9" s="20">
        <v>9972</v>
      </c>
      <c r="AL9" s="19">
        <v>10268.9</v>
      </c>
      <c r="AM9" s="21">
        <v>607.89999999999941</v>
      </c>
      <c r="AN9" s="20">
        <v>8000</v>
      </c>
      <c r="AO9" s="19">
        <v>8607.9</v>
      </c>
      <c r="AP9" s="21">
        <v>905.2</v>
      </c>
      <c r="AQ9" s="20">
        <v>0</v>
      </c>
      <c r="AR9" s="19">
        <v>905.2</v>
      </c>
      <c r="AS9" s="21">
        <v>648.9</v>
      </c>
      <c r="AT9" s="20">
        <v>0</v>
      </c>
      <c r="AU9" s="19">
        <v>648.9</v>
      </c>
      <c r="AV9" s="79" t="s">
        <v>17</v>
      </c>
      <c r="AW9" s="79" t="s">
        <v>79</v>
      </c>
      <c r="AX9" s="21">
        <v>724.3</v>
      </c>
      <c r="AY9" s="20">
        <v>0</v>
      </c>
      <c r="AZ9" s="19">
        <v>724.3</v>
      </c>
      <c r="BA9" s="79" t="s">
        <v>17</v>
      </c>
      <c r="BB9" s="41" t="s">
        <v>39</v>
      </c>
      <c r="BC9" s="21">
        <v>869.5</v>
      </c>
      <c r="BD9" s="20">
        <v>0</v>
      </c>
      <c r="BE9" s="19">
        <v>869.5</v>
      </c>
      <c r="BF9" s="79" t="s">
        <v>17</v>
      </c>
      <c r="BG9" s="41" t="s">
        <v>39</v>
      </c>
      <c r="BH9" s="21">
        <v>1867.2</v>
      </c>
      <c r="BI9" s="20">
        <v>0</v>
      </c>
      <c r="BJ9" s="19">
        <v>1867.2</v>
      </c>
      <c r="BK9" s="81" t="s">
        <v>17</v>
      </c>
      <c r="BL9" s="41" t="s">
        <v>39</v>
      </c>
      <c r="BM9" s="87">
        <v>3727.6</v>
      </c>
      <c r="BN9" s="88">
        <v>0</v>
      </c>
      <c r="BO9" s="89">
        <v>3727.6</v>
      </c>
      <c r="BP9" s="87">
        <v>2560.6</v>
      </c>
      <c r="BQ9" s="88">
        <v>0</v>
      </c>
      <c r="BR9" s="89">
        <v>2560.6</v>
      </c>
      <c r="BS9" s="87">
        <v>11409</v>
      </c>
      <c r="BT9" s="88">
        <v>0</v>
      </c>
      <c r="BU9" s="89">
        <v>11409</v>
      </c>
    </row>
    <row r="10" spans="1:73" x14ac:dyDescent="0.2">
      <c r="A10" s="51" t="s">
        <v>16</v>
      </c>
      <c r="B10" s="58" t="s">
        <v>40</v>
      </c>
      <c r="C10" s="55">
        <v>2428.1</v>
      </c>
      <c r="D10" s="13">
        <v>3335</v>
      </c>
      <c r="E10" s="19">
        <v>5763.1</v>
      </c>
      <c r="F10" s="55">
        <v>979.9</v>
      </c>
      <c r="G10" s="13">
        <v>3000</v>
      </c>
      <c r="H10" s="19">
        <v>3979.9</v>
      </c>
      <c r="I10" s="55">
        <v>1406.6</v>
      </c>
      <c r="J10" s="13">
        <v>4200</v>
      </c>
      <c r="K10" s="19">
        <v>5606.6</v>
      </c>
      <c r="L10" s="21">
        <v>1434.3</v>
      </c>
      <c r="M10" s="13">
        <v>8000</v>
      </c>
      <c r="N10" s="19">
        <v>9434.2999999999993</v>
      </c>
      <c r="O10" s="21">
        <v>5118.7</v>
      </c>
      <c r="P10" s="13">
        <v>33182</v>
      </c>
      <c r="Q10" s="19">
        <v>38300.699999999997</v>
      </c>
      <c r="R10" s="21">
        <v>4425.3</v>
      </c>
      <c r="S10" s="13">
        <v>30922.7</v>
      </c>
      <c r="T10" s="19">
        <v>35348</v>
      </c>
      <c r="U10" s="17" t="s">
        <v>16</v>
      </c>
      <c r="V10" s="41" t="s">
        <v>40</v>
      </c>
      <c r="W10" s="21">
        <v>5851.4</v>
      </c>
      <c r="X10" s="13">
        <v>17845</v>
      </c>
      <c r="Y10" s="19">
        <v>23696.400000000001</v>
      </c>
      <c r="Z10" s="17" t="s">
        <v>16</v>
      </c>
      <c r="AA10" s="41" t="s">
        <v>40</v>
      </c>
      <c r="AB10" s="21">
        <v>6921.3000000000011</v>
      </c>
      <c r="AC10" s="13">
        <v>15500</v>
      </c>
      <c r="AD10" s="19">
        <v>22421.300000000003</v>
      </c>
      <c r="AE10" s="17" t="s">
        <v>16</v>
      </c>
      <c r="AF10" s="41" t="s">
        <v>40</v>
      </c>
      <c r="AG10" s="21">
        <v>4607.2</v>
      </c>
      <c r="AH10" s="13">
        <v>16280</v>
      </c>
      <c r="AI10" s="19">
        <v>20887.2</v>
      </c>
      <c r="AJ10" s="21">
        <v>2751.5999999999995</v>
      </c>
      <c r="AK10" s="13">
        <v>9505</v>
      </c>
      <c r="AL10" s="19">
        <v>12256.599999999999</v>
      </c>
      <c r="AM10" s="21">
        <v>3414.5999999999995</v>
      </c>
      <c r="AN10" s="13">
        <v>13087.9</v>
      </c>
      <c r="AO10" s="19">
        <v>16502.5</v>
      </c>
      <c r="AP10" s="21">
        <v>5205.2</v>
      </c>
      <c r="AQ10" s="13">
        <v>33437</v>
      </c>
      <c r="AR10" s="19">
        <v>38642.199999999997</v>
      </c>
      <c r="AS10" s="21">
        <v>6283.1</v>
      </c>
      <c r="AT10" s="13">
        <v>35795</v>
      </c>
      <c r="AU10" s="19">
        <v>42078.1</v>
      </c>
      <c r="AV10" s="79" t="s">
        <v>16</v>
      </c>
      <c r="AW10" s="79" t="s">
        <v>40</v>
      </c>
      <c r="AX10" s="21">
        <v>6083.1</v>
      </c>
      <c r="AY10" s="13">
        <v>42000</v>
      </c>
      <c r="AZ10" s="19">
        <v>48083.1</v>
      </c>
      <c r="BA10" s="79" t="s">
        <v>16</v>
      </c>
      <c r="BB10" s="41" t="s">
        <v>68</v>
      </c>
      <c r="BC10" s="21">
        <v>2862.1</v>
      </c>
      <c r="BD10" s="13">
        <v>42200</v>
      </c>
      <c r="BE10" s="19">
        <v>45062.1</v>
      </c>
      <c r="BF10" s="79" t="s">
        <v>16</v>
      </c>
      <c r="BG10" s="41" t="s">
        <v>68</v>
      </c>
      <c r="BH10" s="21">
        <v>5966.4</v>
      </c>
      <c r="BI10" s="13">
        <v>49000</v>
      </c>
      <c r="BJ10" s="19">
        <v>54966.400000000001</v>
      </c>
      <c r="BK10" s="81" t="s">
        <v>16</v>
      </c>
      <c r="BL10" s="41" t="s">
        <v>68</v>
      </c>
      <c r="BM10" s="87">
        <v>49692</v>
      </c>
      <c r="BN10" s="90">
        <v>56000</v>
      </c>
      <c r="BO10" s="89">
        <v>105692</v>
      </c>
      <c r="BP10" s="87">
        <v>46273.4</v>
      </c>
      <c r="BQ10" s="90">
        <v>31266</v>
      </c>
      <c r="BR10" s="89">
        <v>77539.399999999994</v>
      </c>
      <c r="BS10" s="87">
        <v>38249.199999999997</v>
      </c>
      <c r="BT10" s="90">
        <v>21286.799999999999</v>
      </c>
      <c r="BU10" s="89">
        <v>59536</v>
      </c>
    </row>
    <row r="11" spans="1:73" x14ac:dyDescent="0.2">
      <c r="A11" s="51" t="s">
        <v>15</v>
      </c>
      <c r="B11" s="58" t="s">
        <v>41</v>
      </c>
      <c r="C11" s="55">
        <v>3244.9</v>
      </c>
      <c r="D11" s="20">
        <v>665.3</v>
      </c>
      <c r="E11" s="19">
        <v>3910.2</v>
      </c>
      <c r="F11" s="55">
        <v>7148.9</v>
      </c>
      <c r="G11" s="20">
        <v>200</v>
      </c>
      <c r="H11" s="19">
        <v>7348.9</v>
      </c>
      <c r="I11" s="55">
        <v>7951</v>
      </c>
      <c r="J11" s="20">
        <v>0</v>
      </c>
      <c r="K11" s="19">
        <v>7951</v>
      </c>
      <c r="L11" s="21">
        <v>7940.8</v>
      </c>
      <c r="M11" s="20">
        <v>0</v>
      </c>
      <c r="N11" s="19">
        <v>7940.8</v>
      </c>
      <c r="O11" s="21">
        <v>7621.1</v>
      </c>
      <c r="P11" s="20">
        <v>0</v>
      </c>
      <c r="Q11" s="19">
        <v>7621.1</v>
      </c>
      <c r="R11" s="21">
        <v>10724.8</v>
      </c>
      <c r="S11" s="20">
        <v>0</v>
      </c>
      <c r="T11" s="19">
        <v>10724.8</v>
      </c>
      <c r="U11" s="17" t="s">
        <v>15</v>
      </c>
      <c r="V11" s="41" t="s">
        <v>41</v>
      </c>
      <c r="W11" s="21">
        <v>15574.7</v>
      </c>
      <c r="X11" s="20">
        <v>0</v>
      </c>
      <c r="Y11" s="19">
        <v>15574.7</v>
      </c>
      <c r="Z11" s="17" t="s">
        <v>15</v>
      </c>
      <c r="AA11" s="41" t="s">
        <v>41</v>
      </c>
      <c r="AB11" s="21">
        <v>15862.599999999999</v>
      </c>
      <c r="AC11" s="20">
        <v>0</v>
      </c>
      <c r="AD11" s="19">
        <v>15862.599999999999</v>
      </c>
      <c r="AE11" s="17" t="s">
        <v>15</v>
      </c>
      <c r="AF11" s="41" t="s">
        <v>41</v>
      </c>
      <c r="AG11" s="21">
        <v>16880.099999999999</v>
      </c>
      <c r="AH11" s="20">
        <v>0</v>
      </c>
      <c r="AI11" s="19">
        <v>16880.099999999999</v>
      </c>
      <c r="AJ11" s="21">
        <v>18401</v>
      </c>
      <c r="AK11" s="20">
        <v>0</v>
      </c>
      <c r="AL11" s="19">
        <v>18401</v>
      </c>
      <c r="AM11" s="21">
        <v>15662.8</v>
      </c>
      <c r="AN11" s="20">
        <v>0</v>
      </c>
      <c r="AO11" s="19">
        <v>15662.8</v>
      </c>
      <c r="AP11" s="21">
        <v>12139.9</v>
      </c>
      <c r="AQ11" s="20">
        <v>1500</v>
      </c>
      <c r="AR11" s="19">
        <v>13639.9</v>
      </c>
      <c r="AS11" s="21">
        <v>13278.999999999998</v>
      </c>
      <c r="AT11" s="20">
        <v>1500</v>
      </c>
      <c r="AU11" s="19">
        <v>14778.999999999998</v>
      </c>
      <c r="AV11" s="79" t="s">
        <v>15</v>
      </c>
      <c r="AW11" s="79" t="s">
        <v>41</v>
      </c>
      <c r="AX11" s="21">
        <v>17054.899999999998</v>
      </c>
      <c r="AY11" s="20">
        <v>1281.4000000000001</v>
      </c>
      <c r="AZ11" s="19">
        <v>18336.3</v>
      </c>
      <c r="BA11" s="79" t="s">
        <v>15</v>
      </c>
      <c r="BB11" s="41" t="s">
        <v>41</v>
      </c>
      <c r="BC11" s="21">
        <v>124540.7</v>
      </c>
      <c r="BD11" s="20">
        <v>20</v>
      </c>
      <c r="BE11" s="19">
        <v>124560.7</v>
      </c>
      <c r="BF11" s="79" t="s">
        <v>15</v>
      </c>
      <c r="BG11" s="41" t="s">
        <v>41</v>
      </c>
      <c r="BH11" s="21">
        <v>81466.599999999991</v>
      </c>
      <c r="BI11" s="20">
        <v>0</v>
      </c>
      <c r="BJ11" s="19">
        <v>81466.599999999991</v>
      </c>
      <c r="BK11" s="81" t="s">
        <v>15</v>
      </c>
      <c r="BL11" s="41" t="s">
        <v>41</v>
      </c>
      <c r="BM11" s="87">
        <v>66131.51999999999</v>
      </c>
      <c r="BN11" s="88">
        <v>50500</v>
      </c>
      <c r="BO11" s="89">
        <v>116631.51999999999</v>
      </c>
      <c r="BP11" s="87">
        <v>48903.4</v>
      </c>
      <c r="BQ11" s="88">
        <v>17965.2</v>
      </c>
      <c r="BR11" s="89">
        <v>66868.600000000006</v>
      </c>
      <c r="BS11" s="87">
        <v>37787.110999999997</v>
      </c>
      <c r="BT11" s="88">
        <v>2893.3</v>
      </c>
      <c r="BU11" s="89">
        <v>40680.411</v>
      </c>
    </row>
    <row r="12" spans="1:73" x14ac:dyDescent="0.2">
      <c r="A12" s="52" t="s">
        <v>61</v>
      </c>
      <c r="B12" s="59" t="s">
        <v>42</v>
      </c>
      <c r="C12" s="55">
        <v>1104.5999999999999</v>
      </c>
      <c r="D12" s="20">
        <v>0</v>
      </c>
      <c r="E12" s="19">
        <v>1104.5999999999999</v>
      </c>
      <c r="F12" s="55">
        <v>1340.1</v>
      </c>
      <c r="G12" s="20">
        <v>0</v>
      </c>
      <c r="H12" s="19">
        <v>1340.1</v>
      </c>
      <c r="I12" s="55">
        <v>1600.2</v>
      </c>
      <c r="J12" s="20">
        <v>0</v>
      </c>
      <c r="K12" s="19">
        <v>1600.2</v>
      </c>
      <c r="L12" s="21">
        <v>1067.3</v>
      </c>
      <c r="M12" s="20">
        <v>0</v>
      </c>
      <c r="N12" s="19">
        <v>1067.3</v>
      </c>
      <c r="O12" s="21">
        <v>3942</v>
      </c>
      <c r="P12" s="20">
        <v>0</v>
      </c>
      <c r="Q12" s="19">
        <v>3942</v>
      </c>
      <c r="R12" s="21">
        <v>6742.9</v>
      </c>
      <c r="S12" s="20">
        <v>0</v>
      </c>
      <c r="T12" s="19">
        <v>6742.9</v>
      </c>
      <c r="U12" s="22" t="s">
        <v>61</v>
      </c>
      <c r="V12" s="42" t="s">
        <v>42</v>
      </c>
      <c r="W12" s="21">
        <v>8583.7000000000007</v>
      </c>
      <c r="X12" s="20">
        <v>0</v>
      </c>
      <c r="Y12" s="19">
        <v>8583.7000000000007</v>
      </c>
      <c r="Z12" s="22" t="s">
        <v>61</v>
      </c>
      <c r="AA12" s="42" t="s">
        <v>42</v>
      </c>
      <c r="AB12" s="21">
        <v>8414.2000000000007</v>
      </c>
      <c r="AC12" s="20">
        <v>0</v>
      </c>
      <c r="AD12" s="19">
        <v>8414.2000000000007</v>
      </c>
      <c r="AE12" s="22" t="s">
        <v>61</v>
      </c>
      <c r="AF12" s="42" t="s">
        <v>42</v>
      </c>
      <c r="AG12" s="21">
        <v>5196.3999999999996</v>
      </c>
      <c r="AH12" s="20">
        <v>0</v>
      </c>
      <c r="AI12" s="19">
        <v>5196.3999999999996</v>
      </c>
      <c r="AJ12" s="21">
        <v>5102.5</v>
      </c>
      <c r="AK12" s="20">
        <v>0</v>
      </c>
      <c r="AL12" s="19">
        <v>5102.5</v>
      </c>
      <c r="AM12" s="21">
        <v>4684.1000000000004</v>
      </c>
      <c r="AN12" s="20">
        <v>0</v>
      </c>
      <c r="AO12" s="19">
        <v>4684.1000000000004</v>
      </c>
      <c r="AP12" s="21">
        <v>5400.4</v>
      </c>
      <c r="AQ12" s="20">
        <v>0</v>
      </c>
      <c r="AR12" s="19">
        <v>5400.4</v>
      </c>
      <c r="AS12" s="21">
        <v>5662.7000000000007</v>
      </c>
      <c r="AT12" s="20">
        <v>0</v>
      </c>
      <c r="AU12" s="19">
        <v>5662.7000000000007</v>
      </c>
      <c r="AV12" s="80" t="s">
        <v>61</v>
      </c>
      <c r="AW12" s="80" t="s">
        <v>80</v>
      </c>
      <c r="AX12" s="21">
        <v>8496.6999999999989</v>
      </c>
      <c r="AY12" s="20">
        <v>0</v>
      </c>
      <c r="AZ12" s="19">
        <v>8496.6999999999989</v>
      </c>
      <c r="BA12" s="80" t="s">
        <v>61</v>
      </c>
      <c r="BB12" s="42" t="s">
        <v>69</v>
      </c>
      <c r="BC12" s="21">
        <v>7581.2</v>
      </c>
      <c r="BD12" s="20">
        <v>0</v>
      </c>
      <c r="BE12" s="19">
        <v>7581.2</v>
      </c>
      <c r="BF12" s="80" t="s">
        <v>61</v>
      </c>
      <c r="BG12" s="42" t="s">
        <v>69</v>
      </c>
      <c r="BH12" s="21">
        <v>6975.4000000000005</v>
      </c>
      <c r="BI12" s="20">
        <v>0</v>
      </c>
      <c r="BJ12" s="19">
        <v>6975.4000000000005</v>
      </c>
      <c r="BK12" s="101" t="s">
        <v>61</v>
      </c>
      <c r="BL12" s="42" t="s">
        <v>69</v>
      </c>
      <c r="BM12" s="87">
        <v>7124.2999999999993</v>
      </c>
      <c r="BN12" s="88">
        <v>0</v>
      </c>
      <c r="BO12" s="89">
        <v>7124.2999999999993</v>
      </c>
      <c r="BP12" s="87">
        <v>14404.3</v>
      </c>
      <c r="BQ12" s="88">
        <v>0</v>
      </c>
      <c r="BR12" s="89">
        <v>14404.3</v>
      </c>
      <c r="BS12" s="87">
        <v>18502.400000000001</v>
      </c>
      <c r="BT12" s="88">
        <v>0</v>
      </c>
      <c r="BU12" s="89">
        <v>18502.400000000001</v>
      </c>
    </row>
    <row r="13" spans="1:73" x14ac:dyDescent="0.2">
      <c r="A13" s="52" t="s">
        <v>14</v>
      </c>
      <c r="B13" s="59" t="s">
        <v>43</v>
      </c>
      <c r="C13" s="55">
        <v>487.1</v>
      </c>
      <c r="D13" s="20">
        <v>1420</v>
      </c>
      <c r="E13" s="19">
        <v>1907.1</v>
      </c>
      <c r="F13" s="55">
        <v>289.2</v>
      </c>
      <c r="G13" s="20">
        <v>800</v>
      </c>
      <c r="H13" s="19">
        <v>1089.2</v>
      </c>
      <c r="I13" s="55">
        <v>354.3</v>
      </c>
      <c r="J13" s="20">
        <v>835</v>
      </c>
      <c r="K13" s="19">
        <v>1189.3</v>
      </c>
      <c r="L13" s="21">
        <v>420.6</v>
      </c>
      <c r="M13" s="20">
        <v>3715</v>
      </c>
      <c r="N13" s="19">
        <v>4135.6000000000004</v>
      </c>
      <c r="O13" s="21">
        <v>477.5</v>
      </c>
      <c r="P13" s="20">
        <v>2000</v>
      </c>
      <c r="Q13" s="19">
        <v>2477.5</v>
      </c>
      <c r="R13" s="21">
        <v>659.6</v>
      </c>
      <c r="S13" s="20">
        <v>2655</v>
      </c>
      <c r="T13" s="19">
        <v>3314.6</v>
      </c>
      <c r="U13" s="22" t="s">
        <v>14</v>
      </c>
      <c r="V13" s="42" t="s">
        <v>43</v>
      </c>
      <c r="W13" s="21">
        <v>936.7</v>
      </c>
      <c r="X13" s="20">
        <v>2900</v>
      </c>
      <c r="Y13" s="19">
        <v>3836.7</v>
      </c>
      <c r="Z13" s="22" t="s">
        <v>14</v>
      </c>
      <c r="AA13" s="42" t="s">
        <v>43</v>
      </c>
      <c r="AB13" s="21">
        <v>1063.0999999999999</v>
      </c>
      <c r="AC13" s="20">
        <v>3100</v>
      </c>
      <c r="AD13" s="19">
        <v>4163.1000000000004</v>
      </c>
      <c r="AE13" s="22" t="s">
        <v>14</v>
      </c>
      <c r="AF13" s="42" t="s">
        <v>43</v>
      </c>
      <c r="AG13" s="21">
        <v>962.5</v>
      </c>
      <c r="AH13" s="20">
        <v>4800</v>
      </c>
      <c r="AI13" s="19">
        <v>5762.5</v>
      </c>
      <c r="AJ13" s="21">
        <v>809.8</v>
      </c>
      <c r="AK13" s="20">
        <v>890</v>
      </c>
      <c r="AL13" s="19">
        <v>1699.8</v>
      </c>
      <c r="AM13" s="21">
        <v>866.99999999999989</v>
      </c>
      <c r="AN13" s="20">
        <v>2400</v>
      </c>
      <c r="AO13" s="19">
        <v>3267</v>
      </c>
      <c r="AP13" s="21">
        <v>811.00000000000011</v>
      </c>
      <c r="AQ13" s="20">
        <v>1840</v>
      </c>
      <c r="AR13" s="19">
        <v>2651</v>
      </c>
      <c r="AS13" s="21">
        <v>1111.1999999999998</v>
      </c>
      <c r="AT13" s="20">
        <v>2800</v>
      </c>
      <c r="AU13" s="19">
        <v>3911.2</v>
      </c>
      <c r="AV13" s="80" t="s">
        <v>14</v>
      </c>
      <c r="AW13" s="80" t="s">
        <v>43</v>
      </c>
      <c r="AX13" s="21">
        <v>4630</v>
      </c>
      <c r="AY13" s="20">
        <v>7000</v>
      </c>
      <c r="AZ13" s="19">
        <v>11630</v>
      </c>
      <c r="BA13" s="77" t="s">
        <v>2</v>
      </c>
      <c r="BB13" s="42" t="s">
        <v>70</v>
      </c>
      <c r="BC13" s="21">
        <v>11184</v>
      </c>
      <c r="BD13" s="20">
        <v>0</v>
      </c>
      <c r="BE13" s="19">
        <v>11184</v>
      </c>
      <c r="BF13" s="77" t="s">
        <v>2</v>
      </c>
      <c r="BG13" s="42" t="s">
        <v>70</v>
      </c>
      <c r="BH13" s="21">
        <v>9515.9</v>
      </c>
      <c r="BI13" s="20">
        <v>0</v>
      </c>
      <c r="BJ13" s="19">
        <v>9515.9</v>
      </c>
      <c r="BK13" s="71" t="s">
        <v>2</v>
      </c>
      <c r="BL13" s="42" t="s">
        <v>70</v>
      </c>
      <c r="BM13" s="87">
        <v>12137.5</v>
      </c>
      <c r="BN13" s="88">
        <v>0</v>
      </c>
      <c r="BO13" s="89">
        <v>12137.5</v>
      </c>
      <c r="BP13" s="87">
        <v>21609.200000000004</v>
      </c>
      <c r="BQ13" s="88">
        <v>0</v>
      </c>
      <c r="BR13" s="89">
        <v>21609.200000000004</v>
      </c>
      <c r="BS13" s="87">
        <v>30364.099999999995</v>
      </c>
      <c r="BT13" s="88">
        <v>0</v>
      </c>
      <c r="BU13" s="89">
        <v>30364.099999999995</v>
      </c>
    </row>
    <row r="14" spans="1:73" x14ac:dyDescent="0.2">
      <c r="A14" s="51" t="s">
        <v>13</v>
      </c>
      <c r="B14" s="58" t="s">
        <v>44</v>
      </c>
      <c r="C14" s="55">
        <v>8041.5</v>
      </c>
      <c r="D14" s="20">
        <v>1760</v>
      </c>
      <c r="E14" s="19">
        <v>9801.5</v>
      </c>
      <c r="F14" s="55">
        <v>9912.2000000000007</v>
      </c>
      <c r="G14" s="20">
        <v>2716</v>
      </c>
      <c r="H14" s="19">
        <v>12628.2</v>
      </c>
      <c r="I14" s="55">
        <v>10331.200000000001</v>
      </c>
      <c r="J14" s="20">
        <v>2219</v>
      </c>
      <c r="K14" s="19">
        <v>12550.2</v>
      </c>
      <c r="L14" s="21">
        <v>7868.3</v>
      </c>
      <c r="M14" s="20">
        <v>7342.4</v>
      </c>
      <c r="N14" s="19">
        <v>15210.7</v>
      </c>
      <c r="O14" s="21">
        <v>10313.299999999999</v>
      </c>
      <c r="P14" s="20">
        <v>5307.8</v>
      </c>
      <c r="Q14" s="19">
        <v>15621.1</v>
      </c>
      <c r="R14" s="21">
        <v>12902</v>
      </c>
      <c r="S14" s="20">
        <v>12017</v>
      </c>
      <c r="T14" s="19">
        <v>24919</v>
      </c>
      <c r="U14" s="17" t="s">
        <v>13</v>
      </c>
      <c r="V14" s="41" t="s">
        <v>44</v>
      </c>
      <c r="W14" s="21">
        <v>15542.8</v>
      </c>
      <c r="X14" s="20">
        <v>7264.9</v>
      </c>
      <c r="Y14" s="19">
        <v>22807.699999999997</v>
      </c>
      <c r="Z14" s="17" t="s">
        <v>13</v>
      </c>
      <c r="AA14" s="41" t="s">
        <v>44</v>
      </c>
      <c r="AB14" s="21">
        <v>16764.2</v>
      </c>
      <c r="AC14" s="20">
        <v>10316</v>
      </c>
      <c r="AD14" s="19">
        <v>27080.2</v>
      </c>
      <c r="AE14" s="17" t="s">
        <v>13</v>
      </c>
      <c r="AF14" s="41" t="s">
        <v>44</v>
      </c>
      <c r="AG14" s="21">
        <v>15830.300000000001</v>
      </c>
      <c r="AH14" s="20">
        <v>9576.9</v>
      </c>
      <c r="AI14" s="19">
        <v>25407.200000000001</v>
      </c>
      <c r="AJ14" s="21">
        <v>17860.400000000001</v>
      </c>
      <c r="AK14" s="20">
        <v>13034</v>
      </c>
      <c r="AL14" s="19">
        <v>30894.400000000001</v>
      </c>
      <c r="AM14" s="21">
        <v>14443.099999999999</v>
      </c>
      <c r="AN14" s="20">
        <v>7455</v>
      </c>
      <c r="AO14" s="19">
        <v>21898.1</v>
      </c>
      <c r="AP14" s="21">
        <v>16258.4</v>
      </c>
      <c r="AQ14" s="20">
        <v>10202</v>
      </c>
      <c r="AR14" s="19">
        <v>26460.400000000001</v>
      </c>
      <c r="AS14" s="21">
        <v>20846.8</v>
      </c>
      <c r="AT14" s="20">
        <v>13558</v>
      </c>
      <c r="AU14" s="19">
        <v>34404.800000000003</v>
      </c>
      <c r="AV14" s="79" t="s">
        <v>13</v>
      </c>
      <c r="AW14" s="79" t="s">
        <v>81</v>
      </c>
      <c r="AX14" s="21">
        <v>26175.399999999998</v>
      </c>
      <c r="AY14" s="20">
        <v>14500</v>
      </c>
      <c r="AZ14" s="19">
        <v>40675.399999999994</v>
      </c>
      <c r="BA14" s="79" t="s">
        <v>14</v>
      </c>
      <c r="BB14" s="41" t="s">
        <v>43</v>
      </c>
      <c r="BC14" s="21">
        <v>1474.3</v>
      </c>
      <c r="BD14" s="20">
        <v>7200</v>
      </c>
      <c r="BE14" s="19">
        <v>8674.2999999999993</v>
      </c>
      <c r="BF14" s="79" t="s">
        <v>14</v>
      </c>
      <c r="BG14" s="41" t="s">
        <v>43</v>
      </c>
      <c r="BH14" s="21">
        <v>2102.1</v>
      </c>
      <c r="BI14" s="20">
        <v>10500</v>
      </c>
      <c r="BJ14" s="19">
        <v>12602.1</v>
      </c>
      <c r="BK14" s="81" t="s">
        <v>14</v>
      </c>
      <c r="BL14" s="41" t="s">
        <v>43</v>
      </c>
      <c r="BM14" s="87">
        <v>32757.599999999999</v>
      </c>
      <c r="BN14" s="88">
        <v>15980</v>
      </c>
      <c r="BO14" s="89">
        <v>48737.599999999999</v>
      </c>
      <c r="BP14" s="87">
        <v>29649.1</v>
      </c>
      <c r="BQ14" s="88">
        <v>11349</v>
      </c>
      <c r="BR14" s="89">
        <v>40998.1</v>
      </c>
      <c r="BS14" s="87">
        <v>33294.423496000003</v>
      </c>
      <c r="BT14" s="88">
        <v>5880.2</v>
      </c>
      <c r="BU14" s="89">
        <v>39174.623496</v>
      </c>
    </row>
    <row r="15" spans="1:73" x14ac:dyDescent="0.2">
      <c r="A15" s="51" t="s">
        <v>12</v>
      </c>
      <c r="B15" s="58" t="s">
        <v>45</v>
      </c>
      <c r="C15" s="55">
        <v>1566</v>
      </c>
      <c r="D15" s="20">
        <v>1611.2</v>
      </c>
      <c r="E15" s="19">
        <v>3177.2</v>
      </c>
      <c r="F15" s="55">
        <v>2396</v>
      </c>
      <c r="G15" s="20">
        <v>2484</v>
      </c>
      <c r="H15" s="19">
        <v>4880</v>
      </c>
      <c r="I15" s="55">
        <v>2026.2</v>
      </c>
      <c r="J15" s="20">
        <v>4284</v>
      </c>
      <c r="K15" s="19">
        <v>6310.2</v>
      </c>
      <c r="L15" s="21">
        <v>2259.8000000000002</v>
      </c>
      <c r="M15" s="20">
        <v>5343.5</v>
      </c>
      <c r="N15" s="19">
        <v>7603.3</v>
      </c>
      <c r="O15" s="21">
        <v>804</v>
      </c>
      <c r="P15" s="20">
        <v>8817.4</v>
      </c>
      <c r="Q15" s="19">
        <v>9621.4</v>
      </c>
      <c r="R15" s="21">
        <v>1566.1</v>
      </c>
      <c r="S15" s="20">
        <v>11774.3</v>
      </c>
      <c r="T15" s="19">
        <v>13340.4</v>
      </c>
      <c r="U15" s="17" t="s">
        <v>12</v>
      </c>
      <c r="V15" s="41" t="s">
        <v>45</v>
      </c>
      <c r="W15" s="21">
        <v>2142.4</v>
      </c>
      <c r="X15" s="20">
        <v>11822.6</v>
      </c>
      <c r="Y15" s="19">
        <v>13965</v>
      </c>
      <c r="Z15" s="17" t="s">
        <v>12</v>
      </c>
      <c r="AA15" s="41" t="s">
        <v>45</v>
      </c>
      <c r="AB15" s="21">
        <v>2195.1000000000004</v>
      </c>
      <c r="AC15" s="20">
        <v>17256.2</v>
      </c>
      <c r="AD15" s="19">
        <v>19451.300000000003</v>
      </c>
      <c r="AE15" s="17" t="s">
        <v>12</v>
      </c>
      <c r="AF15" s="41" t="s">
        <v>45</v>
      </c>
      <c r="AG15" s="21">
        <v>728</v>
      </c>
      <c r="AH15" s="20">
        <v>16193.9</v>
      </c>
      <c r="AI15" s="19">
        <v>16921.900000000001</v>
      </c>
      <c r="AJ15" s="21">
        <v>479.1</v>
      </c>
      <c r="AK15" s="20">
        <v>13678.5</v>
      </c>
      <c r="AL15" s="19">
        <v>14157.6</v>
      </c>
      <c r="AM15" s="21">
        <v>427.09999999999991</v>
      </c>
      <c r="AN15" s="20">
        <v>12670</v>
      </c>
      <c r="AO15" s="19">
        <v>13097.1</v>
      </c>
      <c r="AP15" s="21">
        <v>361.40000000000009</v>
      </c>
      <c r="AQ15" s="20">
        <v>15769.4</v>
      </c>
      <c r="AR15" s="19">
        <v>16130.800000000001</v>
      </c>
      <c r="AS15" s="21">
        <v>432.69999999999993</v>
      </c>
      <c r="AT15" s="20">
        <v>13124.8</v>
      </c>
      <c r="AU15" s="19">
        <v>13557.5</v>
      </c>
      <c r="AV15" s="79" t="s">
        <v>12</v>
      </c>
      <c r="AW15" s="79" t="s">
        <v>45</v>
      </c>
      <c r="AX15" s="21">
        <v>535</v>
      </c>
      <c r="AY15" s="20">
        <v>14200</v>
      </c>
      <c r="AZ15" s="19">
        <v>14735</v>
      </c>
      <c r="BA15" s="79" t="s">
        <v>13</v>
      </c>
      <c r="BB15" s="41" t="s">
        <v>44</v>
      </c>
      <c r="BC15" s="21">
        <v>30497.599999999999</v>
      </c>
      <c r="BD15" s="20">
        <v>14700</v>
      </c>
      <c r="BE15" s="19">
        <v>45197.599999999999</v>
      </c>
      <c r="BF15" s="79" t="s">
        <v>13</v>
      </c>
      <c r="BG15" s="41" t="s">
        <v>44</v>
      </c>
      <c r="BH15" s="21">
        <v>35870</v>
      </c>
      <c r="BI15" s="20">
        <v>21600</v>
      </c>
      <c r="BJ15" s="19">
        <v>57470</v>
      </c>
      <c r="BK15" s="81" t="s">
        <v>13</v>
      </c>
      <c r="BL15" s="41" t="s">
        <v>44</v>
      </c>
      <c r="BM15" s="87">
        <v>64418.95</v>
      </c>
      <c r="BN15" s="88">
        <v>32500</v>
      </c>
      <c r="BO15" s="89">
        <v>96918.95</v>
      </c>
      <c r="BP15" s="87">
        <v>88412.9</v>
      </c>
      <c r="BQ15" s="88">
        <v>21671.4</v>
      </c>
      <c r="BR15" s="89">
        <v>110084.29999999999</v>
      </c>
      <c r="BS15" s="87">
        <v>105827.08108799999</v>
      </c>
      <c r="BT15" s="88">
        <v>12967.4</v>
      </c>
      <c r="BU15" s="89">
        <v>118794.48108799999</v>
      </c>
    </row>
    <row r="16" spans="1:73" x14ac:dyDescent="0.2">
      <c r="A16" s="51" t="s">
        <v>11</v>
      </c>
      <c r="B16" s="58" t="s">
        <v>46</v>
      </c>
      <c r="C16" s="55">
        <v>385.5</v>
      </c>
      <c r="D16" s="20">
        <v>0</v>
      </c>
      <c r="E16" s="19">
        <v>385.5</v>
      </c>
      <c r="F16" s="55">
        <v>441.4</v>
      </c>
      <c r="G16" s="20">
        <v>0</v>
      </c>
      <c r="H16" s="19">
        <v>441.4</v>
      </c>
      <c r="I16" s="55">
        <v>305.60000000000002</v>
      </c>
      <c r="J16" s="20">
        <v>0</v>
      </c>
      <c r="K16" s="19">
        <v>305.60000000000002</v>
      </c>
      <c r="L16" s="21">
        <v>337.2</v>
      </c>
      <c r="M16" s="20">
        <v>0</v>
      </c>
      <c r="N16" s="19">
        <v>337.2</v>
      </c>
      <c r="O16" s="21">
        <v>333.5</v>
      </c>
      <c r="P16" s="20">
        <v>0</v>
      </c>
      <c r="Q16" s="19">
        <v>333.5</v>
      </c>
      <c r="R16" s="21">
        <v>404.9</v>
      </c>
      <c r="S16" s="20">
        <v>0</v>
      </c>
      <c r="T16" s="19">
        <v>404.9</v>
      </c>
      <c r="U16" s="17" t="s">
        <v>11</v>
      </c>
      <c r="V16" s="41" t="s">
        <v>46</v>
      </c>
      <c r="W16" s="21">
        <v>528.5</v>
      </c>
      <c r="X16" s="20">
        <v>0</v>
      </c>
      <c r="Y16" s="19">
        <v>528.5</v>
      </c>
      <c r="Z16" s="17" t="s">
        <v>11</v>
      </c>
      <c r="AA16" s="41" t="s">
        <v>46</v>
      </c>
      <c r="AB16" s="21">
        <v>564.5</v>
      </c>
      <c r="AC16" s="20">
        <v>0</v>
      </c>
      <c r="AD16" s="19">
        <v>564.5</v>
      </c>
      <c r="AE16" s="17" t="s">
        <v>77</v>
      </c>
      <c r="AF16" s="41" t="s">
        <v>59</v>
      </c>
      <c r="AG16" s="48">
        <v>920.40000000000009</v>
      </c>
      <c r="AH16" s="49">
        <v>2200</v>
      </c>
      <c r="AI16" s="50">
        <v>3120.4</v>
      </c>
      <c r="AJ16" s="48">
        <v>544.5</v>
      </c>
      <c r="AK16" s="49">
        <v>1600</v>
      </c>
      <c r="AL16" s="50">
        <v>2144.5</v>
      </c>
      <c r="AM16" s="48">
        <v>504.80000000000018</v>
      </c>
      <c r="AN16" s="49">
        <v>4100</v>
      </c>
      <c r="AO16" s="50">
        <v>4604.8</v>
      </c>
      <c r="AP16" s="48">
        <v>386.19999999999982</v>
      </c>
      <c r="AQ16" s="49">
        <v>4998</v>
      </c>
      <c r="AR16" s="50">
        <v>5384.2</v>
      </c>
      <c r="AS16" s="48">
        <v>468.8</v>
      </c>
      <c r="AT16" s="49">
        <v>4924.8999999999996</v>
      </c>
      <c r="AU16" s="50">
        <v>5393.7</v>
      </c>
      <c r="AV16" s="79" t="s">
        <v>77</v>
      </c>
      <c r="AW16" s="79" t="s">
        <v>59</v>
      </c>
      <c r="AX16" s="48">
        <v>408.6</v>
      </c>
      <c r="AY16" s="49">
        <v>6300</v>
      </c>
      <c r="AZ16" s="50">
        <v>6708.6</v>
      </c>
      <c r="BA16" s="79" t="s">
        <v>12</v>
      </c>
      <c r="BB16" s="41" t="s">
        <v>45</v>
      </c>
      <c r="BC16" s="48">
        <v>1344</v>
      </c>
      <c r="BD16" s="49">
        <v>14500</v>
      </c>
      <c r="BE16" s="50">
        <v>15844</v>
      </c>
      <c r="BF16" s="79" t="s">
        <v>12</v>
      </c>
      <c r="BG16" s="41" t="s">
        <v>45</v>
      </c>
      <c r="BH16" s="48">
        <v>1243.9000000000001</v>
      </c>
      <c r="BI16" s="49">
        <v>20600</v>
      </c>
      <c r="BJ16" s="50">
        <v>21843.9</v>
      </c>
      <c r="BK16" s="81" t="s">
        <v>12</v>
      </c>
      <c r="BL16" s="41" t="s">
        <v>45</v>
      </c>
      <c r="BM16" s="91">
        <v>3866.5</v>
      </c>
      <c r="BN16" s="92">
        <v>35373</v>
      </c>
      <c r="BO16" s="93">
        <v>39239.5</v>
      </c>
      <c r="BP16" s="91">
        <v>6081.2</v>
      </c>
      <c r="BQ16" s="92">
        <v>31711</v>
      </c>
      <c r="BR16" s="93">
        <v>37792.199999999997</v>
      </c>
      <c r="BS16" s="91">
        <v>15406.370819</v>
      </c>
      <c r="BT16" s="92">
        <v>15111</v>
      </c>
      <c r="BU16" s="93">
        <v>30517.370819</v>
      </c>
    </row>
    <row r="17" spans="1:73" x14ac:dyDescent="0.2">
      <c r="A17" s="51" t="s">
        <v>10</v>
      </c>
      <c r="B17" s="58" t="s">
        <v>47</v>
      </c>
      <c r="C17" s="55">
        <v>90.7</v>
      </c>
      <c r="D17" s="20">
        <v>701</v>
      </c>
      <c r="E17" s="19">
        <v>791.7</v>
      </c>
      <c r="F17" s="55">
        <v>120.6</v>
      </c>
      <c r="G17" s="20">
        <v>600</v>
      </c>
      <c r="H17" s="19">
        <v>720.6</v>
      </c>
      <c r="I17" s="55">
        <v>213.7</v>
      </c>
      <c r="J17" s="20">
        <v>900</v>
      </c>
      <c r="K17" s="19">
        <v>1113.7</v>
      </c>
      <c r="L17" s="21">
        <v>277.7</v>
      </c>
      <c r="M17" s="20">
        <v>1266</v>
      </c>
      <c r="N17" s="19">
        <v>1543.7</v>
      </c>
      <c r="O17" s="21">
        <v>391.8</v>
      </c>
      <c r="P17" s="20">
        <v>2050</v>
      </c>
      <c r="Q17" s="19">
        <v>2441.8000000000002</v>
      </c>
      <c r="R17" s="21">
        <v>274.5</v>
      </c>
      <c r="S17" s="20">
        <v>5000</v>
      </c>
      <c r="T17" s="19">
        <v>5274.5</v>
      </c>
      <c r="U17" s="17" t="s">
        <v>10</v>
      </c>
      <c r="V17" s="41" t="s">
        <v>47</v>
      </c>
      <c r="W17" s="21">
        <v>242.1999999999999</v>
      </c>
      <c r="X17" s="20">
        <v>4150</v>
      </c>
      <c r="Y17" s="19">
        <v>4392.2</v>
      </c>
      <c r="Z17" s="17" t="s">
        <v>10</v>
      </c>
      <c r="AA17" s="41" t="s">
        <v>47</v>
      </c>
      <c r="AB17" s="21">
        <v>237</v>
      </c>
      <c r="AC17" s="20">
        <v>5600</v>
      </c>
      <c r="AD17" s="19">
        <v>5837</v>
      </c>
      <c r="AE17" s="17" t="s">
        <v>11</v>
      </c>
      <c r="AF17" s="41" t="s">
        <v>46</v>
      </c>
      <c r="AG17" s="21">
        <v>475.4</v>
      </c>
      <c r="AH17" s="20">
        <v>0</v>
      </c>
      <c r="AI17" s="19">
        <v>475.4</v>
      </c>
      <c r="AJ17" s="21">
        <v>290.5</v>
      </c>
      <c r="AK17" s="20">
        <v>0</v>
      </c>
      <c r="AL17" s="19">
        <v>290.5</v>
      </c>
      <c r="AM17" s="21">
        <v>352.70000000000005</v>
      </c>
      <c r="AN17" s="20">
        <v>0</v>
      </c>
      <c r="AO17" s="19">
        <v>352.70000000000005</v>
      </c>
      <c r="AP17" s="21">
        <v>434.9</v>
      </c>
      <c r="AQ17" s="20">
        <v>0</v>
      </c>
      <c r="AR17" s="19">
        <v>434.9</v>
      </c>
      <c r="AS17" s="21">
        <v>27468</v>
      </c>
      <c r="AT17" s="20">
        <v>0</v>
      </c>
      <c r="AU17" s="19">
        <v>27468</v>
      </c>
      <c r="AV17" s="79" t="s">
        <v>11</v>
      </c>
      <c r="AW17" s="79" t="s">
        <v>46</v>
      </c>
      <c r="AX17" s="21">
        <v>31447.800000000003</v>
      </c>
      <c r="AY17" s="20">
        <v>0</v>
      </c>
      <c r="AZ17" s="19">
        <v>31447.800000000003</v>
      </c>
      <c r="BA17" s="79" t="s">
        <v>77</v>
      </c>
      <c r="BB17" s="41" t="s">
        <v>59</v>
      </c>
      <c r="BC17" s="21">
        <v>877.6</v>
      </c>
      <c r="BD17" s="20">
        <v>6500</v>
      </c>
      <c r="BE17" s="19">
        <v>7377.6</v>
      </c>
      <c r="BF17" s="79" t="s">
        <v>77</v>
      </c>
      <c r="BG17" s="41" t="s">
        <v>59</v>
      </c>
      <c r="BH17" s="21">
        <v>1144.6000000000001</v>
      </c>
      <c r="BI17" s="20">
        <v>7900</v>
      </c>
      <c r="BJ17" s="19">
        <v>9044.6</v>
      </c>
      <c r="BK17" s="81" t="s">
        <v>77</v>
      </c>
      <c r="BL17" s="41" t="s">
        <v>59</v>
      </c>
      <c r="BM17" s="87">
        <v>1580.1</v>
      </c>
      <c r="BN17" s="88">
        <v>9400</v>
      </c>
      <c r="BO17" s="89">
        <v>10980.1</v>
      </c>
      <c r="BP17" s="87">
        <v>663.8</v>
      </c>
      <c r="BQ17" s="88">
        <v>5690</v>
      </c>
      <c r="BR17" s="89">
        <v>6353.8</v>
      </c>
      <c r="BS17" s="87">
        <v>3867.1</v>
      </c>
      <c r="BT17" s="88">
        <v>3671</v>
      </c>
      <c r="BU17" s="89">
        <v>7538.1</v>
      </c>
    </row>
    <row r="18" spans="1:73" x14ac:dyDescent="0.2">
      <c r="A18" s="51" t="s">
        <v>9</v>
      </c>
      <c r="B18" s="58" t="s">
        <v>48</v>
      </c>
      <c r="C18" s="55">
        <v>244.6</v>
      </c>
      <c r="D18" s="20">
        <v>0</v>
      </c>
      <c r="E18" s="19">
        <v>244.6</v>
      </c>
      <c r="F18" s="55">
        <v>361.4</v>
      </c>
      <c r="G18" s="20">
        <v>0</v>
      </c>
      <c r="H18" s="19">
        <v>361.4</v>
      </c>
      <c r="I18" s="55">
        <v>691.5</v>
      </c>
      <c r="J18" s="20">
        <v>0</v>
      </c>
      <c r="K18" s="19">
        <v>691.5</v>
      </c>
      <c r="L18" s="21">
        <v>348.4</v>
      </c>
      <c r="M18" s="20">
        <v>0</v>
      </c>
      <c r="N18" s="19">
        <v>348.4</v>
      </c>
      <c r="O18" s="21">
        <v>431</v>
      </c>
      <c r="P18" s="20">
        <v>0</v>
      </c>
      <c r="Q18" s="19">
        <v>431</v>
      </c>
      <c r="R18" s="21">
        <v>662.1</v>
      </c>
      <c r="S18" s="20">
        <v>0</v>
      </c>
      <c r="T18" s="19">
        <v>662.1</v>
      </c>
      <c r="U18" s="17" t="s">
        <v>9</v>
      </c>
      <c r="V18" s="41" t="s">
        <v>48</v>
      </c>
      <c r="W18" s="21">
        <v>439.30000000000007</v>
      </c>
      <c r="X18" s="20">
        <v>0</v>
      </c>
      <c r="Y18" s="19">
        <v>439.30000000000007</v>
      </c>
      <c r="Z18" s="17" t="s">
        <v>9</v>
      </c>
      <c r="AA18" s="41" t="s">
        <v>48</v>
      </c>
      <c r="AB18" s="21">
        <v>899.90000000000009</v>
      </c>
      <c r="AC18" s="20">
        <v>0</v>
      </c>
      <c r="AD18" s="19">
        <v>899.90000000000009</v>
      </c>
      <c r="AE18" s="17" t="s">
        <v>10</v>
      </c>
      <c r="AF18" s="41" t="s">
        <v>47</v>
      </c>
      <c r="AG18" s="21">
        <v>240.39999999999992</v>
      </c>
      <c r="AH18" s="20">
        <v>10000</v>
      </c>
      <c r="AI18" s="19">
        <v>10240.4</v>
      </c>
      <c r="AJ18" s="21">
        <v>269.7</v>
      </c>
      <c r="AK18" s="20">
        <v>8520</v>
      </c>
      <c r="AL18" s="19">
        <v>8789.7000000000007</v>
      </c>
      <c r="AM18" s="21">
        <v>494.70000000000005</v>
      </c>
      <c r="AN18" s="20">
        <v>7400</v>
      </c>
      <c r="AO18" s="19">
        <v>7894.7</v>
      </c>
      <c r="AP18" s="21">
        <v>638.79999999999995</v>
      </c>
      <c r="AQ18" s="20">
        <v>7700</v>
      </c>
      <c r="AR18" s="19">
        <v>8338.7999999999993</v>
      </c>
      <c r="AS18" s="21">
        <v>281</v>
      </c>
      <c r="AT18" s="20">
        <v>13500</v>
      </c>
      <c r="AU18" s="19">
        <v>13781</v>
      </c>
      <c r="AV18" s="79" t="s">
        <v>10</v>
      </c>
      <c r="AW18" s="79" t="s">
        <v>47</v>
      </c>
      <c r="AX18" s="21">
        <v>407.29999999999995</v>
      </c>
      <c r="AY18" s="20">
        <v>15000</v>
      </c>
      <c r="AZ18" s="19">
        <v>15407.3</v>
      </c>
      <c r="BA18" s="79" t="s">
        <v>11</v>
      </c>
      <c r="BB18" s="41" t="s">
        <v>46</v>
      </c>
      <c r="BC18" s="21">
        <v>14028.8</v>
      </c>
      <c r="BD18" s="20">
        <v>0</v>
      </c>
      <c r="BE18" s="19">
        <v>14028.8</v>
      </c>
      <c r="BF18" s="79" t="s">
        <v>11</v>
      </c>
      <c r="BG18" s="41" t="s">
        <v>46</v>
      </c>
      <c r="BH18" s="21">
        <v>12224.5</v>
      </c>
      <c r="BI18" s="20">
        <v>0</v>
      </c>
      <c r="BJ18" s="19">
        <v>12224.5</v>
      </c>
      <c r="BK18" s="81" t="s">
        <v>11</v>
      </c>
      <c r="BL18" s="41" t="s">
        <v>46</v>
      </c>
      <c r="BM18" s="87">
        <v>8325.2000000000007</v>
      </c>
      <c r="BN18" s="88">
        <v>0</v>
      </c>
      <c r="BO18" s="89">
        <v>8325.2000000000007</v>
      </c>
      <c r="BP18" s="87">
        <v>10333.4</v>
      </c>
      <c r="BQ18" s="88">
        <v>0</v>
      </c>
      <c r="BR18" s="89">
        <v>10333.4</v>
      </c>
      <c r="BS18" s="87">
        <v>15236.9</v>
      </c>
      <c r="BT18" s="88"/>
      <c r="BU18" s="89">
        <v>15236.9</v>
      </c>
    </row>
    <row r="19" spans="1:73" x14ac:dyDescent="0.2">
      <c r="A19" s="51" t="s">
        <v>8</v>
      </c>
      <c r="B19" s="58" t="s">
        <v>49</v>
      </c>
      <c r="C19" s="55">
        <v>23.4</v>
      </c>
      <c r="D19" s="20">
        <v>0</v>
      </c>
      <c r="E19" s="19">
        <v>23.4</v>
      </c>
      <c r="F19" s="55">
        <v>17.3</v>
      </c>
      <c r="G19" s="20">
        <v>0</v>
      </c>
      <c r="H19" s="19">
        <v>17.3</v>
      </c>
      <c r="I19" s="55">
        <v>38.799999999999997</v>
      </c>
      <c r="J19" s="20">
        <v>0</v>
      </c>
      <c r="K19" s="19">
        <v>38.799999999999997</v>
      </c>
      <c r="L19" s="21">
        <v>48.6</v>
      </c>
      <c r="M19" s="20">
        <v>0</v>
      </c>
      <c r="N19" s="19">
        <v>48.6</v>
      </c>
      <c r="O19" s="21">
        <v>37.4</v>
      </c>
      <c r="P19" s="20">
        <v>0</v>
      </c>
      <c r="Q19" s="19">
        <v>37.4</v>
      </c>
      <c r="R19" s="21">
        <v>130.80000000000001</v>
      </c>
      <c r="S19" s="20">
        <v>0</v>
      </c>
      <c r="T19" s="19">
        <v>130.80000000000001</v>
      </c>
      <c r="U19" s="17" t="s">
        <v>8</v>
      </c>
      <c r="V19" s="41" t="s">
        <v>49</v>
      </c>
      <c r="W19" s="21">
        <v>0</v>
      </c>
      <c r="X19" s="20">
        <v>0</v>
      </c>
      <c r="Y19" s="19">
        <v>0</v>
      </c>
      <c r="Z19" s="17" t="s">
        <v>8</v>
      </c>
      <c r="AA19" s="41" t="s">
        <v>49</v>
      </c>
      <c r="AB19" s="21">
        <v>0</v>
      </c>
      <c r="AC19" s="20">
        <v>0</v>
      </c>
      <c r="AD19" s="19">
        <v>0</v>
      </c>
      <c r="AE19" s="17" t="s">
        <v>9</v>
      </c>
      <c r="AF19" s="41" t="s">
        <v>48</v>
      </c>
      <c r="AG19" s="21">
        <v>874.9</v>
      </c>
      <c r="AH19" s="20">
        <v>0</v>
      </c>
      <c r="AI19" s="19">
        <v>874.9</v>
      </c>
      <c r="AJ19" s="21">
        <v>1437.7000000000003</v>
      </c>
      <c r="AK19" s="20">
        <v>0</v>
      </c>
      <c r="AL19" s="19">
        <v>1437.7000000000003</v>
      </c>
      <c r="AM19" s="21">
        <v>1060.4000000000001</v>
      </c>
      <c r="AN19" s="20">
        <v>0</v>
      </c>
      <c r="AO19" s="19">
        <v>1060.4000000000001</v>
      </c>
      <c r="AP19" s="21">
        <v>972.6</v>
      </c>
      <c r="AQ19" s="20">
        <v>0</v>
      </c>
      <c r="AR19" s="19">
        <v>972.6</v>
      </c>
      <c r="AS19" s="21">
        <v>759.9</v>
      </c>
      <c r="AT19" s="20">
        <v>0</v>
      </c>
      <c r="AU19" s="19">
        <v>759.9</v>
      </c>
      <c r="AV19" s="79" t="s">
        <v>9</v>
      </c>
      <c r="AW19" s="79" t="s">
        <v>82</v>
      </c>
      <c r="AX19" s="21">
        <v>144.6</v>
      </c>
      <c r="AY19" s="20">
        <v>0</v>
      </c>
      <c r="AZ19" s="19">
        <v>144.6</v>
      </c>
      <c r="BA19" s="79" t="s">
        <v>10</v>
      </c>
      <c r="BB19" s="41" t="s">
        <v>47</v>
      </c>
      <c r="BC19" s="21">
        <v>748.5</v>
      </c>
      <c r="BD19" s="20">
        <v>15200</v>
      </c>
      <c r="BE19" s="19">
        <v>15948.5</v>
      </c>
      <c r="BF19" s="79" t="s">
        <v>10</v>
      </c>
      <c r="BG19" s="41" t="s">
        <v>47</v>
      </c>
      <c r="BH19" s="21">
        <v>2076.9</v>
      </c>
      <c r="BI19" s="20">
        <v>17700</v>
      </c>
      <c r="BJ19" s="19">
        <v>19776.900000000001</v>
      </c>
      <c r="BK19" s="81" t="s">
        <v>10</v>
      </c>
      <c r="BL19" s="41" t="s">
        <v>47</v>
      </c>
      <c r="BM19" s="87">
        <v>5306.9</v>
      </c>
      <c r="BN19" s="88">
        <v>26500</v>
      </c>
      <c r="BO19" s="89">
        <v>31806.9</v>
      </c>
      <c r="BP19" s="87">
        <v>801.60000000000014</v>
      </c>
      <c r="BQ19" s="88">
        <v>14145</v>
      </c>
      <c r="BR19" s="89">
        <v>14946.6</v>
      </c>
      <c r="BS19" s="87">
        <v>541.79999999999995</v>
      </c>
      <c r="BT19" s="88">
        <v>11129.6</v>
      </c>
      <c r="BU19" s="89">
        <v>11671.4</v>
      </c>
    </row>
    <row r="20" spans="1:73" ht="20.25" customHeight="1" x14ac:dyDescent="0.2">
      <c r="A20" s="51" t="s">
        <v>7</v>
      </c>
      <c r="B20" s="58" t="s">
        <v>50</v>
      </c>
      <c r="C20" s="55">
        <v>295.2</v>
      </c>
      <c r="D20" s="20">
        <v>1858</v>
      </c>
      <c r="E20" s="19">
        <v>2153.1999999999998</v>
      </c>
      <c r="F20" s="55">
        <v>501.9</v>
      </c>
      <c r="G20" s="20">
        <v>2000</v>
      </c>
      <c r="H20" s="19">
        <v>2501.9</v>
      </c>
      <c r="I20" s="55">
        <v>540.20000000000005</v>
      </c>
      <c r="J20" s="20">
        <v>2200</v>
      </c>
      <c r="K20" s="19">
        <v>2740.2</v>
      </c>
      <c r="L20" s="21">
        <v>245.4</v>
      </c>
      <c r="M20" s="20">
        <v>3000</v>
      </c>
      <c r="N20" s="19">
        <v>3245.4</v>
      </c>
      <c r="O20" s="21">
        <v>374.2</v>
      </c>
      <c r="P20" s="20">
        <v>3450</v>
      </c>
      <c r="Q20" s="19">
        <v>3824.2</v>
      </c>
      <c r="R20" s="21">
        <v>363.9</v>
      </c>
      <c r="S20" s="20">
        <v>4938</v>
      </c>
      <c r="T20" s="19">
        <v>5301.9</v>
      </c>
      <c r="U20" s="17" t="s">
        <v>7</v>
      </c>
      <c r="V20" s="41" t="s">
        <v>50</v>
      </c>
      <c r="W20" s="21">
        <v>634.29999999999995</v>
      </c>
      <c r="X20" s="20">
        <v>4595</v>
      </c>
      <c r="Y20" s="19">
        <v>5229.3</v>
      </c>
      <c r="Z20" s="17" t="s">
        <v>7</v>
      </c>
      <c r="AA20" s="41" t="s">
        <v>50</v>
      </c>
      <c r="AB20" s="21">
        <v>345.5</v>
      </c>
      <c r="AC20" s="20">
        <v>4038</v>
      </c>
      <c r="AD20" s="19">
        <v>4383.5</v>
      </c>
      <c r="AE20" s="17" t="s">
        <v>8</v>
      </c>
      <c r="AF20" s="41" t="s">
        <v>49</v>
      </c>
      <c r="AG20" s="21">
        <v>0</v>
      </c>
      <c r="AH20" s="20">
        <v>0</v>
      </c>
      <c r="AI20" s="19">
        <v>0</v>
      </c>
      <c r="AJ20" s="21">
        <v>70.8</v>
      </c>
      <c r="AK20" s="20">
        <v>0</v>
      </c>
      <c r="AL20" s="19">
        <v>70.8</v>
      </c>
      <c r="AM20" s="21">
        <v>0</v>
      </c>
      <c r="AN20" s="20">
        <v>0</v>
      </c>
      <c r="AO20" s="19">
        <v>0</v>
      </c>
      <c r="AP20" s="21">
        <v>0</v>
      </c>
      <c r="AQ20" s="20">
        <v>0</v>
      </c>
      <c r="AR20" s="19">
        <v>0</v>
      </c>
      <c r="AS20" s="21">
        <v>0</v>
      </c>
      <c r="AT20" s="20">
        <v>0</v>
      </c>
      <c r="AU20" s="19">
        <v>0</v>
      </c>
      <c r="AV20" s="79" t="s">
        <v>8</v>
      </c>
      <c r="AW20" s="79" t="s">
        <v>83</v>
      </c>
      <c r="AX20" s="21">
        <v>0</v>
      </c>
      <c r="AY20" s="20">
        <v>0</v>
      </c>
      <c r="AZ20" s="19">
        <v>0</v>
      </c>
      <c r="BA20" s="81" t="s">
        <v>89</v>
      </c>
      <c r="BB20" s="41" t="s">
        <v>88</v>
      </c>
      <c r="BC20" s="21">
        <v>97.8</v>
      </c>
      <c r="BD20" s="20">
        <v>0</v>
      </c>
      <c r="BE20" s="19">
        <v>97.8</v>
      </c>
      <c r="BF20" s="71" t="s">
        <v>89</v>
      </c>
      <c r="BG20" s="41" t="s">
        <v>91</v>
      </c>
      <c r="BH20" s="21">
        <v>46.300000000000004</v>
      </c>
      <c r="BI20" s="20"/>
      <c r="BJ20" s="19">
        <v>46.300000000000004</v>
      </c>
      <c r="BK20" s="81" t="s">
        <v>89</v>
      </c>
      <c r="BL20" s="41" t="s">
        <v>91</v>
      </c>
      <c r="BM20" s="87">
        <v>546.1</v>
      </c>
      <c r="BN20" s="88">
        <v>0</v>
      </c>
      <c r="BO20" s="89">
        <v>546.1</v>
      </c>
      <c r="BP20" s="87">
        <v>987.6</v>
      </c>
      <c r="BQ20" s="88">
        <v>0</v>
      </c>
      <c r="BR20" s="89">
        <v>987.6</v>
      </c>
      <c r="BS20" s="87">
        <v>69.599999999999994</v>
      </c>
      <c r="BT20" s="88">
        <v>0</v>
      </c>
      <c r="BU20" s="89">
        <v>69.599999999999994</v>
      </c>
    </row>
    <row r="21" spans="1:73" x14ac:dyDescent="0.2">
      <c r="A21" s="51" t="s">
        <v>6</v>
      </c>
      <c r="B21" s="58" t="s">
        <v>51</v>
      </c>
      <c r="C21" s="55">
        <v>113.5</v>
      </c>
      <c r="D21" s="20">
        <v>7107</v>
      </c>
      <c r="E21" s="19">
        <v>7220.5</v>
      </c>
      <c r="F21" s="55">
        <v>138.4</v>
      </c>
      <c r="G21" s="20">
        <v>7220</v>
      </c>
      <c r="H21" s="19">
        <v>7358.4</v>
      </c>
      <c r="I21" s="55">
        <v>135.6</v>
      </c>
      <c r="J21" s="20">
        <v>9600</v>
      </c>
      <c r="K21" s="19">
        <v>9735.6</v>
      </c>
      <c r="L21" s="21">
        <v>155.5</v>
      </c>
      <c r="M21" s="20">
        <v>10454</v>
      </c>
      <c r="N21" s="19">
        <v>10609.5</v>
      </c>
      <c r="O21" s="21">
        <v>84.7</v>
      </c>
      <c r="P21" s="20">
        <v>11500</v>
      </c>
      <c r="Q21" s="19">
        <v>11584.7</v>
      </c>
      <c r="R21" s="21">
        <v>198.2</v>
      </c>
      <c r="S21" s="20">
        <v>12800</v>
      </c>
      <c r="T21" s="19">
        <v>12998.2</v>
      </c>
      <c r="U21" s="17" t="s">
        <v>6</v>
      </c>
      <c r="V21" s="41" t="s">
        <v>51</v>
      </c>
      <c r="W21" s="21">
        <v>689.70000000000016</v>
      </c>
      <c r="X21" s="20">
        <v>12500</v>
      </c>
      <c r="Y21" s="19">
        <v>13189.7</v>
      </c>
      <c r="Z21" s="17" t="s">
        <v>6</v>
      </c>
      <c r="AA21" s="41" t="s">
        <v>51</v>
      </c>
      <c r="AB21" s="21">
        <v>1869.8999999999999</v>
      </c>
      <c r="AC21" s="20">
        <v>15500</v>
      </c>
      <c r="AD21" s="19">
        <v>17369.900000000001</v>
      </c>
      <c r="AE21" s="17" t="s">
        <v>7</v>
      </c>
      <c r="AF21" s="41" t="s">
        <v>50</v>
      </c>
      <c r="AG21" s="21">
        <v>373.29999999999995</v>
      </c>
      <c r="AH21" s="20">
        <v>5371.5</v>
      </c>
      <c r="AI21" s="19">
        <v>5744.8</v>
      </c>
      <c r="AJ21" s="21">
        <v>571</v>
      </c>
      <c r="AK21" s="20">
        <v>5000</v>
      </c>
      <c r="AL21" s="19">
        <v>5571</v>
      </c>
      <c r="AM21" s="21">
        <v>331.39999999999986</v>
      </c>
      <c r="AN21" s="20">
        <v>6300</v>
      </c>
      <c r="AO21" s="19">
        <v>6631.4</v>
      </c>
      <c r="AP21" s="21">
        <v>1338.1</v>
      </c>
      <c r="AQ21" s="20">
        <v>1530</v>
      </c>
      <c r="AR21" s="19">
        <v>2868.1</v>
      </c>
      <c r="AS21" s="21">
        <v>317.29999999999995</v>
      </c>
      <c r="AT21" s="20">
        <v>1760</v>
      </c>
      <c r="AU21" s="19">
        <v>2077.3000000000002</v>
      </c>
      <c r="AV21" s="79" t="s">
        <v>7</v>
      </c>
      <c r="AW21" s="79" t="s">
        <v>50</v>
      </c>
      <c r="AX21" s="21">
        <v>186.3</v>
      </c>
      <c r="AY21" s="20">
        <v>2922.5</v>
      </c>
      <c r="AZ21" s="19">
        <v>3108.8</v>
      </c>
      <c r="BA21" s="79" t="s">
        <v>7</v>
      </c>
      <c r="BB21" s="41" t="s">
        <v>50</v>
      </c>
      <c r="BC21" s="21">
        <v>323.10000000000002</v>
      </c>
      <c r="BD21" s="20">
        <v>3000</v>
      </c>
      <c r="BE21" s="19">
        <v>3323.1</v>
      </c>
      <c r="BF21" s="79" t="s">
        <v>7</v>
      </c>
      <c r="BG21" s="41" t="s">
        <v>50</v>
      </c>
      <c r="BH21" s="21">
        <v>681.8</v>
      </c>
      <c r="BI21" s="20">
        <v>3850</v>
      </c>
      <c r="BJ21" s="19">
        <v>4531.8</v>
      </c>
      <c r="BK21" s="81" t="s">
        <v>7</v>
      </c>
      <c r="BL21" s="41" t="s">
        <v>50</v>
      </c>
      <c r="BM21" s="87">
        <v>1079.5</v>
      </c>
      <c r="BN21" s="88">
        <v>6900</v>
      </c>
      <c r="BO21" s="89">
        <v>7979.5</v>
      </c>
      <c r="BP21" s="87">
        <v>318.8</v>
      </c>
      <c r="BQ21" s="88">
        <v>4953</v>
      </c>
      <c r="BR21" s="89">
        <v>5271.8</v>
      </c>
      <c r="BS21" s="87">
        <v>408.01554699999997</v>
      </c>
      <c r="BT21" s="88">
        <v>5595.7</v>
      </c>
      <c r="BU21" s="89">
        <v>6003.7155469999998</v>
      </c>
    </row>
    <row r="22" spans="1:73" x14ac:dyDescent="0.2">
      <c r="A22" s="51" t="s">
        <v>5</v>
      </c>
      <c r="B22" s="58" t="s">
        <v>52</v>
      </c>
      <c r="C22" s="55">
        <v>3684.2</v>
      </c>
      <c r="D22" s="20">
        <v>735</v>
      </c>
      <c r="E22" s="19">
        <v>4419.2</v>
      </c>
      <c r="F22" s="55">
        <v>3400.2</v>
      </c>
      <c r="G22" s="20">
        <v>500</v>
      </c>
      <c r="H22" s="19">
        <v>3900.2</v>
      </c>
      <c r="I22" s="55">
        <v>2978.2</v>
      </c>
      <c r="J22" s="20">
        <v>480</v>
      </c>
      <c r="K22" s="19">
        <v>3458.2</v>
      </c>
      <c r="L22" s="21">
        <v>2704.5</v>
      </c>
      <c r="M22" s="20">
        <v>1000</v>
      </c>
      <c r="N22" s="19">
        <v>3704.5</v>
      </c>
      <c r="O22" s="21">
        <v>2810.2</v>
      </c>
      <c r="P22" s="20">
        <v>2000</v>
      </c>
      <c r="Q22" s="19">
        <v>4810.2</v>
      </c>
      <c r="R22" s="21">
        <v>3532</v>
      </c>
      <c r="S22" s="20">
        <v>3000</v>
      </c>
      <c r="T22" s="19">
        <v>6532</v>
      </c>
      <c r="U22" s="17" t="s">
        <v>5</v>
      </c>
      <c r="V22" s="41" t="s">
        <v>52</v>
      </c>
      <c r="W22" s="21">
        <v>4358.2</v>
      </c>
      <c r="X22" s="20">
        <v>3600</v>
      </c>
      <c r="Y22" s="19">
        <v>7958.2</v>
      </c>
      <c r="Z22" s="17" t="s">
        <v>5</v>
      </c>
      <c r="AA22" s="41" t="s">
        <v>52</v>
      </c>
      <c r="AB22" s="21">
        <v>4607</v>
      </c>
      <c r="AC22" s="20">
        <v>1600</v>
      </c>
      <c r="AD22" s="19">
        <v>6207</v>
      </c>
      <c r="AE22" s="17" t="s">
        <v>6</v>
      </c>
      <c r="AF22" s="41" t="s">
        <v>51</v>
      </c>
      <c r="AG22" s="21">
        <v>1743.9</v>
      </c>
      <c r="AH22" s="20">
        <v>30550</v>
      </c>
      <c r="AI22" s="19">
        <v>32293.9</v>
      </c>
      <c r="AJ22" s="21">
        <v>1144.8</v>
      </c>
      <c r="AK22" s="20">
        <v>39000</v>
      </c>
      <c r="AL22" s="19">
        <v>40144.800000000003</v>
      </c>
      <c r="AM22" s="21">
        <v>627.39999999999873</v>
      </c>
      <c r="AN22" s="20">
        <v>31200</v>
      </c>
      <c r="AO22" s="19">
        <v>31827.399999999998</v>
      </c>
      <c r="AP22" s="21">
        <v>6101.1999999999989</v>
      </c>
      <c r="AQ22" s="20">
        <v>23520</v>
      </c>
      <c r="AR22" s="19">
        <v>29621.199999999997</v>
      </c>
      <c r="AS22" s="21">
        <v>7390</v>
      </c>
      <c r="AT22" s="20">
        <v>30900</v>
      </c>
      <c r="AU22" s="19">
        <v>38290</v>
      </c>
      <c r="AV22" s="79" t="s">
        <v>6</v>
      </c>
      <c r="AW22" s="79" t="s">
        <v>51</v>
      </c>
      <c r="AX22" s="21">
        <v>7882</v>
      </c>
      <c r="AY22" s="20">
        <v>31300</v>
      </c>
      <c r="AZ22" s="19">
        <v>39182</v>
      </c>
      <c r="BA22" s="79" t="s">
        <v>6</v>
      </c>
      <c r="BB22" s="41" t="s">
        <v>71</v>
      </c>
      <c r="BC22" s="21">
        <v>24495</v>
      </c>
      <c r="BD22" s="20">
        <v>31434</v>
      </c>
      <c r="BE22" s="19">
        <v>55929</v>
      </c>
      <c r="BF22" s="79" t="s">
        <v>6</v>
      </c>
      <c r="BG22" s="41" t="s">
        <v>71</v>
      </c>
      <c r="BH22" s="21">
        <v>17870</v>
      </c>
      <c r="BI22" s="20">
        <v>62570</v>
      </c>
      <c r="BJ22" s="19">
        <v>80440</v>
      </c>
      <c r="BK22" s="81" t="s">
        <v>6</v>
      </c>
      <c r="BL22" s="41" t="s">
        <v>71</v>
      </c>
      <c r="BM22" s="87">
        <v>20384</v>
      </c>
      <c r="BN22" s="88">
        <v>83100</v>
      </c>
      <c r="BO22" s="89">
        <v>103484</v>
      </c>
      <c r="BP22" s="87">
        <v>23517.300000000003</v>
      </c>
      <c r="BQ22" s="88">
        <v>64998</v>
      </c>
      <c r="BR22" s="89">
        <v>88515.3</v>
      </c>
      <c r="BS22" s="87">
        <v>13790.099999999999</v>
      </c>
      <c r="BT22" s="88">
        <v>47379.9</v>
      </c>
      <c r="BU22" s="89">
        <v>61170</v>
      </c>
    </row>
    <row r="23" spans="1:73" x14ac:dyDescent="0.2">
      <c r="A23" s="51" t="s">
        <v>4</v>
      </c>
      <c r="B23" s="58" t="s">
        <v>53</v>
      </c>
      <c r="C23" s="55">
        <v>1539.6</v>
      </c>
      <c r="D23" s="20">
        <v>707</v>
      </c>
      <c r="E23" s="19">
        <v>2246.6</v>
      </c>
      <c r="F23" s="55">
        <v>2019.8</v>
      </c>
      <c r="G23" s="20">
        <v>800</v>
      </c>
      <c r="H23" s="19">
        <v>2819.8</v>
      </c>
      <c r="I23" s="55">
        <v>2423.6999999999998</v>
      </c>
      <c r="J23" s="20">
        <v>700</v>
      </c>
      <c r="K23" s="19">
        <v>3123.7</v>
      </c>
      <c r="L23" s="21">
        <v>1894.8</v>
      </c>
      <c r="M23" s="20">
        <v>795</v>
      </c>
      <c r="N23" s="19">
        <v>2689.8</v>
      </c>
      <c r="O23" s="21">
        <v>1752.9</v>
      </c>
      <c r="P23" s="20">
        <v>1400</v>
      </c>
      <c r="Q23" s="19">
        <v>3152.9</v>
      </c>
      <c r="R23" s="21">
        <v>2903.8</v>
      </c>
      <c r="S23" s="20">
        <v>1875</v>
      </c>
      <c r="T23" s="19">
        <v>4778.8</v>
      </c>
      <c r="U23" s="17" t="s">
        <v>4</v>
      </c>
      <c r="V23" s="41" t="s">
        <v>53</v>
      </c>
      <c r="W23" s="21">
        <v>3215.6</v>
      </c>
      <c r="X23" s="20">
        <v>2400</v>
      </c>
      <c r="Y23" s="19">
        <v>5615.6</v>
      </c>
      <c r="Z23" s="17" t="s">
        <v>4</v>
      </c>
      <c r="AA23" s="41" t="s">
        <v>53</v>
      </c>
      <c r="AB23" s="21">
        <v>3660.2</v>
      </c>
      <c r="AC23" s="20">
        <v>1350</v>
      </c>
      <c r="AD23" s="19">
        <v>5010.2</v>
      </c>
      <c r="AE23" s="17" t="s">
        <v>5</v>
      </c>
      <c r="AF23" s="41" t="s">
        <v>52</v>
      </c>
      <c r="AG23" s="21">
        <v>4627.0999999999995</v>
      </c>
      <c r="AH23" s="20">
        <v>2650</v>
      </c>
      <c r="AI23" s="19">
        <v>7277.0999999999995</v>
      </c>
      <c r="AJ23" s="21">
        <v>4512.7</v>
      </c>
      <c r="AK23" s="20">
        <v>2100</v>
      </c>
      <c r="AL23" s="19">
        <v>6612.7</v>
      </c>
      <c r="AM23" s="21">
        <v>4889.1000000000004</v>
      </c>
      <c r="AN23" s="20">
        <v>2800</v>
      </c>
      <c r="AO23" s="19">
        <v>7689.1</v>
      </c>
      <c r="AP23" s="21">
        <v>6550.5</v>
      </c>
      <c r="AQ23" s="20">
        <v>4000</v>
      </c>
      <c r="AR23" s="19">
        <v>10550.5</v>
      </c>
      <c r="AS23" s="21">
        <v>8218.7999999999993</v>
      </c>
      <c r="AT23" s="20">
        <v>4975.6000000000004</v>
      </c>
      <c r="AU23" s="19">
        <v>13194.4</v>
      </c>
      <c r="AV23" s="79" t="s">
        <v>5</v>
      </c>
      <c r="AW23" s="79" t="s">
        <v>52</v>
      </c>
      <c r="AX23" s="21">
        <v>6418.9</v>
      </c>
      <c r="AY23" s="20">
        <v>5100</v>
      </c>
      <c r="AZ23" s="19">
        <v>11518.9</v>
      </c>
      <c r="BA23" s="79" t="s">
        <v>5</v>
      </c>
      <c r="BB23" s="41" t="s">
        <v>52</v>
      </c>
      <c r="BC23" s="21">
        <v>12702.8</v>
      </c>
      <c r="BD23" s="20">
        <v>5506</v>
      </c>
      <c r="BE23" s="19">
        <v>18208.8</v>
      </c>
      <c r="BF23" s="79" t="s">
        <v>5</v>
      </c>
      <c r="BG23" s="41" t="s">
        <v>52</v>
      </c>
      <c r="BH23" s="21">
        <v>15461.5</v>
      </c>
      <c r="BI23" s="20">
        <v>9650</v>
      </c>
      <c r="BJ23" s="19">
        <v>25111.5</v>
      </c>
      <c r="BK23" s="81" t="s">
        <v>5</v>
      </c>
      <c r="BL23" s="41" t="s">
        <v>52</v>
      </c>
      <c r="BM23" s="87">
        <v>18464.099999999995</v>
      </c>
      <c r="BN23" s="88">
        <v>10500</v>
      </c>
      <c r="BO23" s="89">
        <v>28964.099999999995</v>
      </c>
      <c r="BP23" s="87">
        <v>32405.9</v>
      </c>
      <c r="BQ23" s="88">
        <v>5639</v>
      </c>
      <c r="BR23" s="89">
        <v>38044.9</v>
      </c>
      <c r="BS23" s="87">
        <v>32314.696107000003</v>
      </c>
      <c r="BT23" s="88">
        <v>4067.1</v>
      </c>
      <c r="BU23" s="89">
        <v>36381.796107000002</v>
      </c>
    </row>
    <row r="24" spans="1:73" ht="15" thickBot="1" x14ac:dyDescent="0.25">
      <c r="A24" s="53" t="s">
        <v>1</v>
      </c>
      <c r="B24" s="60" t="s">
        <v>54</v>
      </c>
      <c r="C24" s="56">
        <v>7036.6</v>
      </c>
      <c r="D24" s="10">
        <v>1287.5</v>
      </c>
      <c r="E24" s="9">
        <v>8324.1</v>
      </c>
      <c r="F24" s="56">
        <v>7348.5</v>
      </c>
      <c r="G24" s="10">
        <v>480</v>
      </c>
      <c r="H24" s="9">
        <v>7828.5</v>
      </c>
      <c r="I24" s="56">
        <v>7612.4</v>
      </c>
      <c r="J24" s="10">
        <v>666.3</v>
      </c>
      <c r="K24" s="9">
        <v>8278.7000000000007</v>
      </c>
      <c r="L24" s="11">
        <v>7651.5</v>
      </c>
      <c r="M24" s="10">
        <v>790</v>
      </c>
      <c r="N24" s="9">
        <v>8441.5</v>
      </c>
      <c r="O24" s="11">
        <v>9965.1</v>
      </c>
      <c r="P24" s="10">
        <v>2723.9</v>
      </c>
      <c r="Q24" s="9">
        <v>12689</v>
      </c>
      <c r="R24" s="11">
        <v>12310.5</v>
      </c>
      <c r="S24" s="10">
        <v>5175</v>
      </c>
      <c r="T24" s="9">
        <v>17485.5</v>
      </c>
      <c r="U24" s="15" t="s">
        <v>1</v>
      </c>
      <c r="V24" s="41" t="s">
        <v>54</v>
      </c>
      <c r="W24" s="46">
        <v>15891.4</v>
      </c>
      <c r="X24" s="47">
        <v>4377</v>
      </c>
      <c r="Y24" s="19">
        <v>20268.400000000001</v>
      </c>
      <c r="Z24" s="17" t="s">
        <v>2</v>
      </c>
      <c r="AA24" s="41" t="s">
        <v>57</v>
      </c>
      <c r="AB24" s="46">
        <v>9089.9</v>
      </c>
      <c r="AC24" s="47">
        <v>0</v>
      </c>
      <c r="AD24" s="19">
        <v>9089.9</v>
      </c>
      <c r="AE24" s="17" t="s">
        <v>4</v>
      </c>
      <c r="AF24" s="41" t="s">
        <v>53</v>
      </c>
      <c r="AG24" s="21">
        <v>3207.3</v>
      </c>
      <c r="AH24" s="20">
        <v>2350</v>
      </c>
      <c r="AI24" s="19">
        <v>5557.3</v>
      </c>
      <c r="AJ24" s="21">
        <v>2896.8</v>
      </c>
      <c r="AK24" s="20">
        <v>1850</v>
      </c>
      <c r="AL24" s="19">
        <v>4746.8</v>
      </c>
      <c r="AM24" s="21">
        <v>2740.2999999999997</v>
      </c>
      <c r="AN24" s="20">
        <v>2400</v>
      </c>
      <c r="AO24" s="19">
        <v>5140.2999999999993</v>
      </c>
      <c r="AP24" s="21">
        <v>3687.7</v>
      </c>
      <c r="AQ24" s="20">
        <v>3000</v>
      </c>
      <c r="AR24" s="19">
        <v>6687.6999999999989</v>
      </c>
      <c r="AS24" s="21">
        <v>3400</v>
      </c>
      <c r="AT24" s="20">
        <v>3950</v>
      </c>
      <c r="AU24" s="19">
        <v>7350</v>
      </c>
      <c r="AV24" s="79" t="s">
        <v>4</v>
      </c>
      <c r="AW24" s="79" t="s">
        <v>53</v>
      </c>
      <c r="AX24" s="21">
        <v>3454.7</v>
      </c>
      <c r="AY24" s="20">
        <v>4100</v>
      </c>
      <c r="AZ24" s="19">
        <v>7554.7</v>
      </c>
      <c r="BA24" s="77" t="s">
        <v>4</v>
      </c>
      <c r="BB24" s="41" t="s">
        <v>53</v>
      </c>
      <c r="BC24" s="21">
        <v>8836.7999999999993</v>
      </c>
      <c r="BD24" s="20">
        <v>5000</v>
      </c>
      <c r="BE24" s="19">
        <v>13836.8</v>
      </c>
      <c r="BF24" s="77" t="s">
        <v>4</v>
      </c>
      <c r="BG24" s="41" t="s">
        <v>53</v>
      </c>
      <c r="BH24" s="21">
        <v>5210.3999999999996</v>
      </c>
      <c r="BI24" s="20">
        <v>8650</v>
      </c>
      <c r="BJ24" s="19">
        <v>13860.4</v>
      </c>
      <c r="BK24" s="71" t="s">
        <v>4</v>
      </c>
      <c r="BL24" s="41" t="s">
        <v>53</v>
      </c>
      <c r="BM24" s="87">
        <v>10204</v>
      </c>
      <c r="BN24" s="88">
        <v>9257</v>
      </c>
      <c r="BO24" s="89">
        <v>19461</v>
      </c>
      <c r="BP24" s="87">
        <v>17628.099999999999</v>
      </c>
      <c r="BQ24" s="88">
        <v>7566</v>
      </c>
      <c r="BR24" s="89">
        <v>25194.1</v>
      </c>
      <c r="BS24" s="87">
        <v>22907.570600000003</v>
      </c>
      <c r="BT24" s="88">
        <v>3512.4</v>
      </c>
      <c r="BU24" s="89">
        <v>26419.970600000004</v>
      </c>
    </row>
    <row r="25" spans="1:73" s="16" customFormat="1" ht="30.75" customHeight="1" thickTop="1" thickBot="1" x14ac:dyDescent="0.25">
      <c r="A25" s="61" t="s">
        <v>0</v>
      </c>
      <c r="B25" s="61" t="s">
        <v>55</v>
      </c>
      <c r="C25" s="18">
        <v>34457.1</v>
      </c>
      <c r="D25" s="6">
        <v>33646</v>
      </c>
      <c r="E25" s="5">
        <v>68103.100000000006</v>
      </c>
      <c r="F25" s="18">
        <v>42456</v>
      </c>
      <c r="G25" s="6">
        <v>37100</v>
      </c>
      <c r="H25" s="5">
        <v>79556</v>
      </c>
      <c r="I25" s="18">
        <v>50039.4</v>
      </c>
      <c r="J25" s="6">
        <v>46417</v>
      </c>
      <c r="K25" s="5">
        <v>96456.4</v>
      </c>
      <c r="L25" s="7">
        <v>49415.9</v>
      </c>
      <c r="M25" s="6">
        <v>66325</v>
      </c>
      <c r="N25" s="5">
        <v>115740.9</v>
      </c>
      <c r="O25" s="7">
        <v>58041.599999999999</v>
      </c>
      <c r="P25" s="6">
        <v>97300.3</v>
      </c>
      <c r="Q25" s="5">
        <v>155341.9</v>
      </c>
      <c r="R25" s="74">
        <v>70454.7</v>
      </c>
      <c r="S25" s="76">
        <f>SUM(S5:S24)</f>
        <v>129080</v>
      </c>
      <c r="T25" s="73" t="s">
        <v>3</v>
      </c>
      <c r="U25" s="71" t="s">
        <v>65</v>
      </c>
      <c r="V25" s="72" t="s">
        <v>64</v>
      </c>
      <c r="W25" s="68">
        <v>18515.900000000001</v>
      </c>
      <c r="X25" s="69">
        <v>-18515.900000000001</v>
      </c>
      <c r="Y25" s="70">
        <v>0</v>
      </c>
      <c r="Z25" s="15" t="s">
        <v>1</v>
      </c>
      <c r="AA25" s="72" t="s">
        <v>54</v>
      </c>
      <c r="AB25" s="68">
        <v>8456.7000000000007</v>
      </c>
      <c r="AC25" s="69">
        <v>5451.7</v>
      </c>
      <c r="AD25" s="70">
        <v>13908.400000000001</v>
      </c>
      <c r="AE25" s="17" t="s">
        <v>2</v>
      </c>
      <c r="AF25" s="72" t="s">
        <v>57</v>
      </c>
      <c r="AG25" s="46">
        <v>5734.5</v>
      </c>
      <c r="AH25" s="47">
        <v>0</v>
      </c>
      <c r="AI25" s="19">
        <v>5734.5</v>
      </c>
      <c r="AJ25" s="46">
        <v>5289.8</v>
      </c>
      <c r="AK25" s="47">
        <v>0</v>
      </c>
      <c r="AL25" s="19">
        <v>5289.8</v>
      </c>
      <c r="AM25" s="46">
        <v>5421.1</v>
      </c>
      <c r="AN25" s="47">
        <v>0</v>
      </c>
      <c r="AO25" s="19">
        <v>5421.1</v>
      </c>
      <c r="AP25" s="46">
        <v>6687.2</v>
      </c>
      <c r="AQ25" s="47">
        <v>0</v>
      </c>
      <c r="AR25" s="19">
        <v>6687.2</v>
      </c>
      <c r="AS25" s="46">
        <v>7863.5</v>
      </c>
      <c r="AT25" s="47">
        <v>0</v>
      </c>
      <c r="AU25" s="19">
        <v>7863.5</v>
      </c>
      <c r="AV25" s="77" t="s">
        <v>2</v>
      </c>
      <c r="AW25" s="77" t="s">
        <v>57</v>
      </c>
      <c r="AX25" s="46">
        <v>8041.6</v>
      </c>
      <c r="AY25" s="47">
        <v>0</v>
      </c>
      <c r="AZ25" s="19">
        <v>8041.6</v>
      </c>
      <c r="BA25" s="77" t="s">
        <v>1</v>
      </c>
      <c r="BB25" s="72" t="s">
        <v>72</v>
      </c>
      <c r="BC25" s="46">
        <v>21251.9</v>
      </c>
      <c r="BD25" s="47">
        <v>8952.2999999999993</v>
      </c>
      <c r="BE25" s="19">
        <v>30204.2</v>
      </c>
      <c r="BF25" s="77" t="s">
        <v>1</v>
      </c>
      <c r="BG25" s="72" t="s">
        <v>72</v>
      </c>
      <c r="BH25" s="46">
        <v>21947.8</v>
      </c>
      <c r="BI25" s="47">
        <v>14300</v>
      </c>
      <c r="BJ25" s="19">
        <v>36247.800000000003</v>
      </c>
      <c r="BK25" s="71" t="s">
        <v>1</v>
      </c>
      <c r="BL25" s="72" t="s">
        <v>72</v>
      </c>
      <c r="BM25" s="94">
        <v>52021.029999999992</v>
      </c>
      <c r="BN25" s="95">
        <v>20200</v>
      </c>
      <c r="BO25" s="89">
        <v>72221.03</v>
      </c>
      <c r="BP25" s="94">
        <v>75896.5</v>
      </c>
      <c r="BQ25" s="95">
        <v>24467.5</v>
      </c>
      <c r="BR25" s="89">
        <v>100364</v>
      </c>
      <c r="BS25" s="94">
        <v>82422.264005000005</v>
      </c>
      <c r="BT25" s="95">
        <v>9488.9</v>
      </c>
      <c r="BU25" s="89">
        <v>91911.164004999999</v>
      </c>
    </row>
    <row r="26" spans="1:73" ht="16.5" thickTop="1" thickBot="1" x14ac:dyDescent="0.25">
      <c r="T26" s="99"/>
      <c r="U26" s="8" t="s">
        <v>0</v>
      </c>
      <c r="V26" s="8" t="s">
        <v>74</v>
      </c>
      <c r="W26" s="8">
        <v>101661.19999999998</v>
      </c>
      <c r="X26" s="8">
        <v>95476</v>
      </c>
      <c r="Y26" s="8">
        <v>197137.2</v>
      </c>
      <c r="Z26" s="15" t="s">
        <v>75</v>
      </c>
      <c r="AA26" s="45" t="s">
        <v>58</v>
      </c>
      <c r="AB26" s="11">
        <v>0</v>
      </c>
      <c r="AC26" s="10">
        <v>0</v>
      </c>
      <c r="AD26" s="9">
        <v>0</v>
      </c>
      <c r="AE26" s="15" t="s">
        <v>1</v>
      </c>
      <c r="AF26" s="44" t="s">
        <v>54</v>
      </c>
      <c r="AG26" s="14">
        <v>9452.7000000000007</v>
      </c>
      <c r="AH26" s="13">
        <v>2800</v>
      </c>
      <c r="AI26" s="12">
        <v>12252.7</v>
      </c>
      <c r="AJ26" s="14">
        <v>7824</v>
      </c>
      <c r="AK26" s="13">
        <v>2625</v>
      </c>
      <c r="AL26" s="12">
        <v>10449</v>
      </c>
      <c r="AM26" s="14">
        <v>9725.5</v>
      </c>
      <c r="AN26" s="13">
        <v>5665.3</v>
      </c>
      <c r="AO26" s="12">
        <v>15390.8</v>
      </c>
      <c r="AP26" s="14">
        <v>13153.2</v>
      </c>
      <c r="AQ26" s="13">
        <v>5040.8</v>
      </c>
      <c r="AR26" s="12">
        <v>18194</v>
      </c>
      <c r="AS26" s="14">
        <v>12872.399999999998</v>
      </c>
      <c r="AT26" s="13">
        <v>7055</v>
      </c>
      <c r="AU26" s="12">
        <v>19927.399999999998</v>
      </c>
      <c r="AV26" s="77" t="s">
        <v>1</v>
      </c>
      <c r="AW26" s="77" t="s">
        <v>84</v>
      </c>
      <c r="AX26" s="14">
        <v>19114.700000000026</v>
      </c>
      <c r="AY26" s="13">
        <v>8669</v>
      </c>
      <c r="AZ26" s="12">
        <v>27783.700000000026</v>
      </c>
      <c r="BA26" s="77" t="s">
        <v>75</v>
      </c>
      <c r="BB26" s="44" t="s">
        <v>73</v>
      </c>
      <c r="BC26" s="14">
        <v>0</v>
      </c>
      <c r="BD26" s="13">
        <v>0</v>
      </c>
      <c r="BE26" s="12">
        <v>0</v>
      </c>
      <c r="BF26" s="77" t="s">
        <v>93</v>
      </c>
      <c r="BG26" s="82" t="s">
        <v>92</v>
      </c>
      <c r="BH26" s="14">
        <v>150000</v>
      </c>
      <c r="BI26" s="20">
        <v>0</v>
      </c>
      <c r="BJ26" s="12">
        <v>150000</v>
      </c>
      <c r="BK26" s="71" t="s">
        <v>75</v>
      </c>
      <c r="BL26" s="44" t="s">
        <v>73</v>
      </c>
      <c r="BM26" s="96">
        <v>39070</v>
      </c>
      <c r="BN26" s="90">
        <v>0</v>
      </c>
      <c r="BO26" s="97">
        <v>39070</v>
      </c>
      <c r="BP26" s="96">
        <v>0</v>
      </c>
      <c r="BQ26" s="90">
        <v>0</v>
      </c>
      <c r="BR26" s="97">
        <v>0</v>
      </c>
      <c r="BS26" s="96">
        <v>10000</v>
      </c>
      <c r="BT26" s="90">
        <v>0</v>
      </c>
      <c r="BU26" s="97">
        <v>10000</v>
      </c>
    </row>
    <row r="27" spans="1:73" ht="32.25" customHeight="1" thickTop="1" thickBot="1" x14ac:dyDescent="0.25">
      <c r="S27" s="75"/>
      <c r="T27" s="99"/>
      <c r="V27" s="66"/>
      <c r="Z27" s="8" t="s">
        <v>0</v>
      </c>
      <c r="AA27" s="61" t="s">
        <v>74</v>
      </c>
      <c r="AB27" s="63">
        <v>105088.89999999998</v>
      </c>
      <c r="AC27" s="64">
        <v>126738.29999999999</v>
      </c>
      <c r="AD27" s="65">
        <v>231827.20000000001</v>
      </c>
      <c r="AE27" s="15" t="s">
        <v>75</v>
      </c>
      <c r="AF27" s="44" t="s">
        <v>58</v>
      </c>
      <c r="AG27" s="46">
        <v>0</v>
      </c>
      <c r="AH27" s="47">
        <v>0</v>
      </c>
      <c r="AI27" s="19">
        <v>0</v>
      </c>
      <c r="AJ27" s="11">
        <v>0</v>
      </c>
      <c r="AK27" s="10">
        <v>0</v>
      </c>
      <c r="AL27" s="9">
        <v>0</v>
      </c>
      <c r="AM27" s="11">
        <v>0</v>
      </c>
      <c r="AN27" s="10">
        <v>0</v>
      </c>
      <c r="AO27" s="9">
        <v>0</v>
      </c>
      <c r="AP27" s="11">
        <v>0</v>
      </c>
      <c r="AQ27" s="10">
        <v>0</v>
      </c>
      <c r="AR27" s="9">
        <v>0</v>
      </c>
      <c r="AS27" s="11">
        <v>0</v>
      </c>
      <c r="AT27" s="10">
        <v>0</v>
      </c>
      <c r="AU27" s="9">
        <v>0</v>
      </c>
      <c r="AV27" s="8" t="s">
        <v>0</v>
      </c>
      <c r="AW27" s="8" t="s">
        <v>85</v>
      </c>
      <c r="AX27" s="8">
        <v>181422</v>
      </c>
      <c r="AY27" s="8">
        <v>210616.9</v>
      </c>
      <c r="AZ27" s="8">
        <v>392038.9</v>
      </c>
      <c r="BA27" s="8" t="s">
        <v>0</v>
      </c>
      <c r="BB27" s="8" t="s">
        <v>74</v>
      </c>
      <c r="BC27" s="8">
        <v>300846.7</v>
      </c>
      <c r="BD27" s="8">
        <v>213462.3</v>
      </c>
      <c r="BE27" s="8">
        <v>514309</v>
      </c>
      <c r="BF27" s="77" t="s">
        <v>75</v>
      </c>
      <c r="BG27" s="44" t="s">
        <v>73</v>
      </c>
      <c r="BH27" s="46">
        <v>18800</v>
      </c>
      <c r="BI27" s="20">
        <v>0</v>
      </c>
      <c r="BJ27" s="19">
        <v>18800</v>
      </c>
      <c r="BK27" s="8" t="s">
        <v>0</v>
      </c>
      <c r="BL27" s="8" t="s">
        <v>74</v>
      </c>
      <c r="BM27" s="8">
        <v>438323.79999999993</v>
      </c>
      <c r="BN27" s="8">
        <v>484176</v>
      </c>
      <c r="BO27" s="8">
        <v>922499.79999999993</v>
      </c>
      <c r="BP27" s="83">
        <v>491311.30000000005</v>
      </c>
      <c r="BQ27" s="83">
        <v>305088.7</v>
      </c>
      <c r="BR27" s="83">
        <v>796400</v>
      </c>
      <c r="BS27" s="83">
        <v>560206.00682400004</v>
      </c>
      <c r="BT27" s="83">
        <v>200377.5</v>
      </c>
      <c r="BU27" s="83">
        <v>760583.50682400004</v>
      </c>
    </row>
    <row r="28" spans="1:73" s="4" customFormat="1" ht="29.25" customHeight="1" thickTop="1" thickBot="1" x14ac:dyDescent="0.25">
      <c r="U28" s="1"/>
      <c r="V28" s="66"/>
      <c r="W28" s="1"/>
      <c r="X28" s="1"/>
      <c r="Y28" s="1"/>
      <c r="Z28" s="1"/>
      <c r="AA28" s="1"/>
      <c r="AB28" s="1"/>
      <c r="AC28" s="1"/>
      <c r="AD28" s="3"/>
      <c r="AE28" s="8" t="s">
        <v>0</v>
      </c>
      <c r="AF28" s="8" t="s">
        <v>74</v>
      </c>
      <c r="AG28" s="8">
        <v>87390.299999999988</v>
      </c>
      <c r="AH28" s="8">
        <v>141676.1</v>
      </c>
      <c r="AI28" s="8">
        <v>229066.4</v>
      </c>
      <c r="AJ28" s="63">
        <v>92545.700000000026</v>
      </c>
      <c r="AK28" s="64">
        <v>153522.5</v>
      </c>
      <c r="AL28" s="65">
        <v>246068.2</v>
      </c>
      <c r="AM28" s="63">
        <v>95900</v>
      </c>
      <c r="AN28" s="64">
        <v>145712.19999999998</v>
      </c>
      <c r="AO28" s="65">
        <v>241612.19999999998</v>
      </c>
      <c r="AP28" s="63">
        <v>110473.59999999999</v>
      </c>
      <c r="AQ28" s="64">
        <v>154617.69999999998</v>
      </c>
      <c r="AR28" s="65">
        <v>265091.3</v>
      </c>
      <c r="AS28" s="63">
        <v>147793.29999999999</v>
      </c>
      <c r="AT28" s="64">
        <v>185916</v>
      </c>
      <c r="AU28" s="65">
        <v>333709.30000000005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8" t="s">
        <v>0</v>
      </c>
      <c r="BG28" s="8" t="s">
        <v>74</v>
      </c>
      <c r="BH28" s="63">
        <v>404727.6</v>
      </c>
      <c r="BI28" s="64">
        <v>316400</v>
      </c>
      <c r="BJ28" s="65">
        <v>721127.6</v>
      </c>
      <c r="BK28" s="103" t="s">
        <v>103</v>
      </c>
      <c r="BM28" s="98"/>
      <c r="BN28" s="98"/>
      <c r="BO28" s="98"/>
      <c r="BP28" s="98"/>
      <c r="BQ28" s="98"/>
      <c r="BR28" s="98"/>
      <c r="BS28" s="98"/>
      <c r="BT28" s="98"/>
      <c r="BU28" s="102" t="s">
        <v>102</v>
      </c>
    </row>
    <row r="29" spans="1:73" ht="15.75" thickTop="1" x14ac:dyDescent="0.2">
      <c r="AL29" s="3"/>
      <c r="AO29" s="3"/>
      <c r="AR29" s="3"/>
      <c r="AU29" s="3"/>
      <c r="BJ29" s="3"/>
      <c r="BM29" s="98"/>
      <c r="BN29" s="98"/>
      <c r="BO29" s="98"/>
      <c r="BP29" s="98"/>
      <c r="BQ29" s="98"/>
      <c r="BR29" s="98"/>
      <c r="BS29" s="98"/>
      <c r="BT29" s="98"/>
      <c r="BU29" s="98"/>
    </row>
    <row r="30" spans="1:73" ht="15" x14ac:dyDescent="0.2">
      <c r="AM30" s="3"/>
      <c r="AN30" s="3"/>
      <c r="AU30" s="3"/>
      <c r="BJ30" s="3"/>
      <c r="BM30" s="98"/>
      <c r="BN30" s="98"/>
      <c r="BO30" s="98"/>
      <c r="BP30" s="98"/>
      <c r="BQ30" s="98"/>
      <c r="BR30" s="98"/>
      <c r="BS30" s="98"/>
      <c r="BT30" s="98"/>
      <c r="BU30" s="98"/>
    </row>
    <row r="31" spans="1:73" ht="15" x14ac:dyDescent="0.2">
      <c r="AM31" s="3"/>
      <c r="BM31" s="98"/>
      <c r="BN31" s="98"/>
      <c r="BO31" s="98"/>
      <c r="BP31" s="98"/>
      <c r="BQ31" s="98"/>
      <c r="BR31" s="98"/>
      <c r="BS31" s="98"/>
      <c r="BT31" s="98"/>
      <c r="BU31" s="98"/>
    </row>
    <row r="32" spans="1:73" ht="15" x14ac:dyDescent="0.2">
      <c r="AM32" s="3"/>
      <c r="BM32" s="98"/>
      <c r="BN32" s="98"/>
      <c r="BO32" s="98"/>
      <c r="BP32" s="98"/>
      <c r="BQ32" s="98"/>
      <c r="BR32" s="98"/>
      <c r="BS32" s="98"/>
      <c r="BT32" s="98"/>
      <c r="BU32" s="98"/>
    </row>
    <row r="33" spans="39:73" ht="15" x14ac:dyDescent="0.2">
      <c r="AM33" s="3"/>
      <c r="BM33" s="98"/>
      <c r="BN33" s="98"/>
      <c r="BO33" s="98"/>
      <c r="BP33" s="98"/>
      <c r="BQ33" s="98"/>
      <c r="BR33" s="98"/>
      <c r="BS33" s="98"/>
      <c r="BT33" s="98"/>
      <c r="BU33" s="98"/>
    </row>
    <row r="34" spans="39:73" ht="15" x14ac:dyDescent="0.2">
      <c r="AM34" s="3"/>
      <c r="BM34" s="98"/>
      <c r="BN34" s="98"/>
      <c r="BO34" s="98"/>
      <c r="BP34" s="98"/>
      <c r="BQ34" s="98"/>
      <c r="BR34" s="98"/>
      <c r="BS34" s="98"/>
      <c r="BT34" s="98"/>
      <c r="BU34" s="98"/>
    </row>
    <row r="35" spans="39:73" ht="15" x14ac:dyDescent="0.2">
      <c r="AM35" s="3"/>
      <c r="BM35" s="98"/>
      <c r="BN35" s="98"/>
      <c r="BO35" s="98"/>
      <c r="BP35" s="98"/>
      <c r="BQ35" s="98"/>
      <c r="BR35" s="98"/>
      <c r="BS35" s="98"/>
      <c r="BT35" s="98"/>
      <c r="BU35" s="98"/>
    </row>
    <row r="36" spans="39:73" ht="15" x14ac:dyDescent="0.2">
      <c r="AM36" s="3"/>
      <c r="BM36" s="98"/>
      <c r="BN36" s="98"/>
      <c r="BO36" s="98"/>
      <c r="BP36" s="98"/>
      <c r="BQ36" s="98"/>
      <c r="BR36" s="98"/>
      <c r="BS36" s="98"/>
      <c r="BT36" s="98"/>
      <c r="BU36" s="98"/>
    </row>
    <row r="37" spans="39:73" ht="15" x14ac:dyDescent="0.2">
      <c r="AM37" s="3"/>
      <c r="BM37" s="98"/>
      <c r="BN37" s="98"/>
      <c r="BO37" s="98"/>
      <c r="BP37" s="98"/>
      <c r="BQ37" s="98"/>
      <c r="BR37" s="98"/>
      <c r="BS37" s="98"/>
      <c r="BT37" s="98"/>
      <c r="BU37" s="98"/>
    </row>
    <row r="38" spans="39:73" ht="15" x14ac:dyDescent="0.2">
      <c r="AM38" s="3"/>
      <c r="BM38" s="98"/>
      <c r="BN38" s="98"/>
      <c r="BO38" s="98"/>
      <c r="BP38" s="98"/>
      <c r="BQ38" s="98"/>
      <c r="BR38" s="98"/>
      <c r="BS38" s="98"/>
      <c r="BT38" s="98"/>
      <c r="BU38" s="98"/>
    </row>
    <row r="39" spans="39:73" ht="15" x14ac:dyDescent="0.2">
      <c r="AM39" s="3"/>
      <c r="BM39" s="98"/>
      <c r="BN39" s="98"/>
      <c r="BO39" s="98"/>
      <c r="BP39" s="98"/>
      <c r="BQ39" s="98"/>
      <c r="BR39" s="98"/>
      <c r="BS39" s="98"/>
      <c r="BT39" s="98"/>
      <c r="BU39" s="98"/>
    </row>
    <row r="40" spans="39:73" ht="15" x14ac:dyDescent="0.2">
      <c r="AM40" s="3"/>
      <c r="BM40" s="98"/>
      <c r="BN40" s="98"/>
      <c r="BO40" s="98"/>
      <c r="BP40" s="98"/>
      <c r="BQ40" s="98"/>
      <c r="BR40" s="98"/>
      <c r="BS40" s="98"/>
      <c r="BT40" s="98"/>
      <c r="BU40" s="98"/>
    </row>
    <row r="41" spans="39:73" ht="15" x14ac:dyDescent="0.2">
      <c r="AM41" s="3"/>
      <c r="BM41" s="98"/>
      <c r="BN41" s="98"/>
      <c r="BO41" s="98"/>
      <c r="BP41" s="98"/>
      <c r="BQ41" s="98"/>
      <c r="BR41" s="98"/>
      <c r="BS41" s="98"/>
      <c r="BT41" s="98"/>
      <c r="BU41" s="98"/>
    </row>
    <row r="42" spans="39:73" ht="15" x14ac:dyDescent="0.2">
      <c r="AM42" s="3"/>
      <c r="BM42" s="98"/>
      <c r="BN42" s="98"/>
      <c r="BO42" s="98"/>
      <c r="BP42" s="98"/>
      <c r="BQ42" s="98"/>
      <c r="BR42" s="98"/>
      <c r="BS42" s="98"/>
      <c r="BT42" s="98"/>
      <c r="BU42" s="98"/>
    </row>
    <row r="43" spans="39:73" ht="15" x14ac:dyDescent="0.2">
      <c r="AM43" s="3"/>
      <c r="BM43" s="98"/>
      <c r="BN43" s="98"/>
      <c r="BO43" s="98"/>
      <c r="BP43" s="98"/>
      <c r="BQ43" s="98"/>
      <c r="BR43" s="98"/>
      <c r="BS43" s="98"/>
      <c r="BT43" s="98"/>
      <c r="BU43" s="98"/>
    </row>
    <row r="44" spans="39:73" ht="15" x14ac:dyDescent="0.2">
      <c r="AM44" s="3"/>
      <c r="BM44" s="98"/>
      <c r="BN44" s="98"/>
      <c r="BO44" s="98"/>
      <c r="BP44" s="98"/>
      <c r="BQ44" s="98"/>
      <c r="BR44" s="98"/>
      <c r="BS44" s="98"/>
      <c r="BT44" s="98"/>
      <c r="BU44" s="98"/>
    </row>
    <row r="45" spans="39:73" ht="15" x14ac:dyDescent="0.2">
      <c r="AM45" s="3"/>
      <c r="BM45" s="98"/>
      <c r="BN45" s="98"/>
      <c r="BO45" s="98"/>
      <c r="BP45" s="98"/>
      <c r="BQ45" s="98"/>
      <c r="BR45" s="98"/>
      <c r="BS45" s="98"/>
      <c r="BT45" s="98"/>
      <c r="BU45" s="98"/>
    </row>
    <row r="46" spans="39:73" ht="15" x14ac:dyDescent="0.2">
      <c r="AM46" s="3"/>
      <c r="BM46" s="98"/>
      <c r="BN46" s="98"/>
      <c r="BO46" s="98"/>
      <c r="BP46" s="98"/>
      <c r="BQ46" s="98"/>
      <c r="BR46" s="98"/>
      <c r="BS46" s="98"/>
      <c r="BT46" s="98"/>
      <c r="BU46" s="98"/>
    </row>
    <row r="47" spans="39:73" ht="15" x14ac:dyDescent="0.2">
      <c r="AM47" s="3"/>
      <c r="BM47" s="98"/>
      <c r="BN47" s="98"/>
      <c r="BO47" s="98"/>
      <c r="BP47" s="98"/>
      <c r="BQ47" s="98"/>
      <c r="BR47" s="98"/>
      <c r="BS47" s="98"/>
      <c r="BT47" s="98"/>
      <c r="BU47" s="98"/>
    </row>
    <row r="48" spans="39:73" ht="15" x14ac:dyDescent="0.2">
      <c r="AM48" s="3"/>
      <c r="BM48" s="98"/>
      <c r="BN48" s="98"/>
      <c r="BO48" s="98"/>
      <c r="BP48" s="98"/>
      <c r="BQ48" s="98"/>
      <c r="BR48" s="98"/>
      <c r="BS48" s="98"/>
      <c r="BT48" s="98"/>
      <c r="BU48" s="98"/>
    </row>
    <row r="49" spans="38:73" ht="15" x14ac:dyDescent="0.2">
      <c r="AM49" s="3"/>
      <c r="BM49" s="98"/>
      <c r="BN49" s="98"/>
      <c r="BO49" s="98"/>
      <c r="BP49" s="98"/>
      <c r="BQ49" s="98"/>
      <c r="BR49" s="98"/>
      <c r="BS49" s="98"/>
      <c r="BT49" s="98"/>
      <c r="BU49" s="98"/>
    </row>
    <row r="50" spans="38:73" ht="15" x14ac:dyDescent="0.2">
      <c r="AM50" s="3"/>
      <c r="BM50" s="98"/>
      <c r="BN50" s="98"/>
      <c r="BO50" s="98"/>
      <c r="BP50" s="98"/>
      <c r="BQ50" s="98"/>
      <c r="BR50" s="98"/>
      <c r="BS50" s="98"/>
      <c r="BT50" s="98"/>
      <c r="BU50" s="98"/>
    </row>
    <row r="51" spans="38:73" ht="15" x14ac:dyDescent="0.2">
      <c r="AM51" s="3"/>
      <c r="BM51" s="98"/>
      <c r="BN51" s="98"/>
      <c r="BO51" s="98"/>
      <c r="BP51" s="98"/>
      <c r="BQ51" s="98"/>
      <c r="BR51" s="98"/>
      <c r="BS51" s="98"/>
      <c r="BT51" s="98"/>
      <c r="BU51" s="98"/>
    </row>
    <row r="52" spans="38:73" ht="15" x14ac:dyDescent="0.2">
      <c r="AL52" s="3"/>
      <c r="BM52" s="98"/>
      <c r="BN52" s="98"/>
      <c r="BO52" s="98"/>
      <c r="BP52" s="98"/>
      <c r="BQ52" s="98"/>
      <c r="BR52" s="98"/>
      <c r="BS52" s="98"/>
      <c r="BT52" s="98"/>
      <c r="BU52" s="98"/>
    </row>
    <row r="53" spans="38:73" ht="15" x14ac:dyDescent="0.2">
      <c r="BM53" s="98"/>
      <c r="BN53" s="98"/>
      <c r="BO53" s="98"/>
      <c r="BP53" s="98"/>
      <c r="BQ53" s="98"/>
      <c r="BR53" s="98"/>
      <c r="BS53" s="98"/>
      <c r="BT53" s="98"/>
      <c r="BU53" s="98"/>
    </row>
    <row r="54" spans="38:73" ht="15" x14ac:dyDescent="0.2">
      <c r="BM54" s="98"/>
      <c r="BN54" s="98"/>
      <c r="BO54" s="98"/>
      <c r="BP54" s="98"/>
      <c r="BQ54" s="98"/>
      <c r="BR54" s="98"/>
      <c r="BS54" s="98"/>
      <c r="BT54" s="98"/>
      <c r="BU54" s="98"/>
    </row>
    <row r="55" spans="38:73" ht="15" x14ac:dyDescent="0.2">
      <c r="AM55" s="3"/>
      <c r="AN55" s="3"/>
      <c r="AO55" s="3"/>
      <c r="BM55" s="98"/>
      <c r="BN55" s="98"/>
      <c r="BO55" s="98"/>
      <c r="BP55" s="98"/>
      <c r="BQ55" s="98"/>
      <c r="BR55" s="98"/>
      <c r="BS55" s="98"/>
      <c r="BT55" s="98"/>
      <c r="BU55" s="98"/>
    </row>
    <row r="56" spans="38:73" ht="15" x14ac:dyDescent="0.2">
      <c r="AM56" s="3"/>
      <c r="AN56" s="3"/>
      <c r="AO56" s="3"/>
      <c r="BM56" s="98"/>
      <c r="BN56" s="98"/>
      <c r="BO56" s="98"/>
    </row>
    <row r="57" spans="38:73" ht="15" x14ac:dyDescent="0.2">
      <c r="AM57" s="3"/>
      <c r="AN57" s="3"/>
      <c r="AO57" s="3"/>
      <c r="BM57" s="98"/>
      <c r="BN57" s="98"/>
      <c r="BO57" s="98"/>
    </row>
    <row r="58" spans="38:73" ht="15" x14ac:dyDescent="0.2">
      <c r="AM58" s="3"/>
      <c r="AN58" s="3"/>
      <c r="AO58" s="3"/>
      <c r="BM58" s="98"/>
      <c r="BN58" s="98"/>
      <c r="BO58" s="98"/>
    </row>
    <row r="59" spans="38:73" ht="15" x14ac:dyDescent="0.2">
      <c r="AM59" s="3"/>
      <c r="AN59" s="3"/>
      <c r="AO59" s="3"/>
      <c r="BM59" s="98"/>
      <c r="BN59" s="98"/>
      <c r="BO59" s="98"/>
    </row>
    <row r="60" spans="38:73" ht="15" x14ac:dyDescent="0.2">
      <c r="AM60" s="3"/>
      <c r="AN60" s="3"/>
      <c r="AO60" s="3"/>
      <c r="BM60" s="98"/>
      <c r="BN60" s="98"/>
      <c r="BO60" s="98"/>
    </row>
    <row r="61" spans="38:73" ht="15" x14ac:dyDescent="0.2">
      <c r="AM61" s="3"/>
      <c r="AN61" s="3"/>
      <c r="AO61" s="3"/>
      <c r="BM61" s="98"/>
      <c r="BN61" s="98"/>
      <c r="BO61" s="98"/>
    </row>
    <row r="62" spans="38:73" ht="15" x14ac:dyDescent="0.2">
      <c r="AM62" s="3"/>
      <c r="AN62" s="3"/>
      <c r="AO62" s="3"/>
      <c r="BM62" s="98"/>
      <c r="BN62" s="98"/>
      <c r="BO62" s="98"/>
    </row>
    <row r="63" spans="38:73" ht="15" x14ac:dyDescent="0.2">
      <c r="AM63" s="3"/>
      <c r="AN63" s="3"/>
      <c r="AO63" s="3"/>
      <c r="BM63" s="98"/>
      <c r="BN63" s="98"/>
      <c r="BO63" s="98"/>
    </row>
    <row r="64" spans="38:73" ht="15" x14ac:dyDescent="0.2">
      <c r="AM64" s="3"/>
      <c r="AN64" s="3"/>
      <c r="AO64" s="3"/>
      <c r="BM64" s="98"/>
      <c r="BN64" s="98"/>
      <c r="BO64" s="98"/>
    </row>
    <row r="65" spans="39:67" ht="15" x14ac:dyDescent="0.2">
      <c r="AM65" s="3"/>
      <c r="AN65" s="3"/>
      <c r="AO65" s="3"/>
      <c r="BM65" s="98"/>
      <c r="BN65" s="98"/>
      <c r="BO65" s="98"/>
    </row>
    <row r="66" spans="39:67" ht="15" x14ac:dyDescent="0.2">
      <c r="AM66" s="3"/>
      <c r="AN66" s="3"/>
      <c r="AO66" s="3"/>
      <c r="BM66" s="98"/>
      <c r="BN66" s="98"/>
      <c r="BO66" s="98"/>
    </row>
    <row r="67" spans="39:67" ht="15" x14ac:dyDescent="0.2">
      <c r="AM67" s="3"/>
      <c r="AN67" s="3"/>
      <c r="AO67" s="3"/>
      <c r="BM67" s="98"/>
      <c r="BN67" s="98"/>
      <c r="BO67" s="98"/>
    </row>
    <row r="68" spans="39:67" ht="15" x14ac:dyDescent="0.2">
      <c r="AM68" s="3"/>
      <c r="AN68" s="3"/>
      <c r="AO68" s="3"/>
      <c r="BM68" s="98"/>
      <c r="BN68" s="98"/>
      <c r="BO68" s="98"/>
    </row>
    <row r="69" spans="39:67" ht="15" x14ac:dyDescent="0.2">
      <c r="AM69" s="3"/>
      <c r="AN69" s="3"/>
      <c r="AO69" s="3"/>
      <c r="BM69" s="98"/>
      <c r="BN69" s="98"/>
      <c r="BO69" s="98"/>
    </row>
    <row r="70" spans="39:67" ht="15" x14ac:dyDescent="0.2">
      <c r="AM70" s="3"/>
      <c r="AN70" s="3"/>
      <c r="AO70" s="3"/>
      <c r="BM70" s="98"/>
      <c r="BN70" s="98"/>
      <c r="BO70" s="98"/>
    </row>
    <row r="71" spans="39:67" ht="15" x14ac:dyDescent="0.2">
      <c r="AM71" s="3"/>
      <c r="AN71" s="3"/>
      <c r="AO71" s="3"/>
      <c r="BM71" s="98"/>
      <c r="BN71" s="98"/>
      <c r="BO71" s="98"/>
    </row>
    <row r="72" spans="39:67" ht="15" x14ac:dyDescent="0.2">
      <c r="AM72" s="3"/>
      <c r="AN72" s="3"/>
      <c r="AO72" s="3"/>
      <c r="BM72" s="98"/>
      <c r="BN72" s="98"/>
      <c r="BO72" s="98"/>
    </row>
    <row r="73" spans="39:67" ht="15" x14ac:dyDescent="0.2">
      <c r="AM73" s="3"/>
      <c r="AN73" s="3"/>
      <c r="AO73" s="3"/>
      <c r="BM73" s="98"/>
      <c r="BN73" s="98"/>
      <c r="BO73" s="98"/>
    </row>
    <row r="74" spans="39:67" ht="15" x14ac:dyDescent="0.2">
      <c r="AM74" s="3"/>
      <c r="AN74" s="3"/>
      <c r="AO74" s="3"/>
      <c r="BM74" s="98"/>
      <c r="BN74" s="98"/>
      <c r="BO74" s="98"/>
    </row>
    <row r="75" spans="39:67" x14ac:dyDescent="0.2">
      <c r="AM75" s="3"/>
      <c r="AN75" s="3"/>
      <c r="AO75" s="3"/>
    </row>
    <row r="76" spans="39:67" x14ac:dyDescent="0.2">
      <c r="AM76" s="3"/>
      <c r="AN76" s="3"/>
      <c r="AO76" s="3"/>
    </row>
    <row r="77" spans="39:67" x14ac:dyDescent="0.2">
      <c r="AM77" s="3"/>
      <c r="AN77" s="3"/>
      <c r="AO77" s="3"/>
    </row>
    <row r="78" spans="39:67" x14ac:dyDescent="0.2">
      <c r="AM78" s="3"/>
      <c r="AN78" s="3"/>
      <c r="AO78" s="3"/>
    </row>
    <row r="79" spans="39:67" x14ac:dyDescent="0.2">
      <c r="AM79" s="3"/>
      <c r="AN79" s="3"/>
      <c r="AO79" s="3"/>
    </row>
    <row r="80" spans="39:67" x14ac:dyDescent="0.2">
      <c r="AM80" s="3"/>
      <c r="AN80" s="3"/>
      <c r="AO80" s="3"/>
    </row>
    <row r="81" spans="39:41" x14ac:dyDescent="0.2">
      <c r="AM81" s="3"/>
      <c r="AN81" s="3"/>
      <c r="AO81" s="3"/>
    </row>
    <row r="82" spans="39:41" x14ac:dyDescent="0.2">
      <c r="AM82" s="3"/>
      <c r="AN82" s="3"/>
      <c r="AO82" s="3"/>
    </row>
    <row r="83" spans="39:41" x14ac:dyDescent="0.2">
      <c r="AM83" s="3"/>
      <c r="AN83" s="3"/>
      <c r="AO83" s="3"/>
    </row>
    <row r="84" spans="39:41" x14ac:dyDescent="0.2">
      <c r="AM84" s="3"/>
      <c r="AN84" s="3"/>
      <c r="AO84" s="3"/>
    </row>
    <row r="85" spans="39:41" x14ac:dyDescent="0.2">
      <c r="AM85" s="3"/>
      <c r="AN85" s="3"/>
      <c r="AO85" s="3"/>
    </row>
    <row r="86" spans="39:41" x14ac:dyDescent="0.2">
      <c r="AM86" s="3"/>
      <c r="AN86" s="3"/>
      <c r="AO86" s="3"/>
    </row>
    <row r="87" spans="39:41" x14ac:dyDescent="0.2">
      <c r="AM87" s="3"/>
      <c r="AN87" s="3"/>
      <c r="AO87" s="3"/>
    </row>
    <row r="88" spans="39:41" x14ac:dyDescent="0.2">
      <c r="AM88" s="3"/>
      <c r="AN88" s="3"/>
      <c r="AO88" s="3"/>
    </row>
    <row r="89" spans="39:41" x14ac:dyDescent="0.2">
      <c r="AM89" s="3"/>
      <c r="AN89" s="3"/>
      <c r="AO89" s="3"/>
    </row>
    <row r="90" spans="39:41" x14ac:dyDescent="0.2">
      <c r="AM90" s="3"/>
      <c r="AN90" s="3"/>
      <c r="AO90" s="3"/>
    </row>
    <row r="91" spans="39:41" x14ac:dyDescent="0.2">
      <c r="AM91" s="3"/>
      <c r="AN91" s="3"/>
      <c r="AO91" s="3"/>
    </row>
    <row r="92" spans="39:41" x14ac:dyDescent="0.2">
      <c r="AM92" s="3"/>
      <c r="AN92" s="3"/>
      <c r="AO92" s="3"/>
    </row>
    <row r="93" spans="39:41" x14ac:dyDescent="0.2">
      <c r="AM93" s="3"/>
      <c r="AN93" s="3"/>
      <c r="AO93" s="3"/>
    </row>
  </sheetData>
  <mergeCells count="35">
    <mergeCell ref="BL3:BL4"/>
    <mergeCell ref="BM3:BO3"/>
    <mergeCell ref="BH3:BJ3"/>
    <mergeCell ref="BF3:BF4"/>
    <mergeCell ref="BG3:BG4"/>
    <mergeCell ref="A3:A4"/>
    <mergeCell ref="B3:B4"/>
    <mergeCell ref="AJ3:AL3"/>
    <mergeCell ref="AM3:AO3"/>
    <mergeCell ref="AG3:AI3"/>
    <mergeCell ref="AB3:AD3"/>
    <mergeCell ref="U3:U4"/>
    <mergeCell ref="W3:Y3"/>
    <mergeCell ref="V3:V4"/>
    <mergeCell ref="L3:N3"/>
    <mergeCell ref="R3:T3"/>
    <mergeCell ref="O3:Q3"/>
    <mergeCell ref="I3:K3"/>
    <mergeCell ref="F3:H3"/>
    <mergeCell ref="BP3:BR3"/>
    <mergeCell ref="BS3:BU3"/>
    <mergeCell ref="BA3:BA4"/>
    <mergeCell ref="C3:E3"/>
    <mergeCell ref="AA3:AA4"/>
    <mergeCell ref="AF3:AF4"/>
    <mergeCell ref="AX3:AZ3"/>
    <mergeCell ref="AS3:AU3"/>
    <mergeCell ref="AP3:AR3"/>
    <mergeCell ref="Z3:Z4"/>
    <mergeCell ref="AE3:AE4"/>
    <mergeCell ref="AW3:AW4"/>
    <mergeCell ref="AV3:AV4"/>
    <mergeCell ref="BC3:BE3"/>
    <mergeCell ref="BB3:BB4"/>
    <mergeCell ref="BK3:BK4"/>
  </mergeCells>
  <pageMargins left="0.70866141732283472" right="0.70866141732283472" top="0.74803149606299213" bottom="0.74803149606299213" header="0.31496062992125984" footer="0.31496062992125984"/>
  <pageSetup paperSize="9" scale="73" orientation="landscape" r:id="rId1"/>
  <headerFooter>
    <oddHeader>&amp;L&amp;D&amp;C&amp;F&amp;R&amp;P,&amp;T</oddHeader>
  </headerFooter>
  <colBreaks count="2" manualBreakCount="2">
    <brk id="20" max="27" man="1"/>
    <brk id="35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Investments_Annual</vt:lpstr>
      <vt:lpstr>Investments_Annual!Print_Area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Aziem</dc:creator>
  <cp:lastModifiedBy>Nourhan Fathy</cp:lastModifiedBy>
  <cp:lastPrinted>2014-12-09T09:28:03Z</cp:lastPrinted>
  <dcterms:created xsi:type="dcterms:W3CDTF">2014-08-21T11:39:04Z</dcterms:created>
  <dcterms:modified xsi:type="dcterms:W3CDTF">2023-03-23T10:39:09Z</dcterms:modified>
</cp:coreProperties>
</file>