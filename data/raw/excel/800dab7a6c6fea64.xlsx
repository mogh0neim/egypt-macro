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Time Series\2025\Budget without GDP\Exp\"/>
    </mc:Choice>
  </mc:AlternateContent>
  <xr:revisionPtr revIDLastSave="0" documentId="13_ncr:1_{B225157E-D3A9-4244-98BE-05B1E7DB8B27}" xr6:coauthVersionLast="47" xr6:coauthVersionMax="47" xr10:uidLastSave="{00000000-0000-0000-0000-000000000000}"/>
  <bookViews>
    <workbookView xWindow="-108" yWindow="-108" windowWidth="17496" windowHeight="10560" xr2:uid="{00000000-000D-0000-FFFF-FFFF00000000}"/>
  </bookViews>
  <sheets>
    <sheet name="Expenditures 2024-2025" sheetId="4" r:id="rId1"/>
  </sheets>
  <definedNames>
    <definedName name="_xlnm.Print_Area" localSheetId="0">'Expenditures 2024-2025'!$A$1:$J$40</definedName>
    <definedName name="_xlnm.Print_Titles" localSheetId="0">'Expenditures 2024-2025'!$B:$B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5" i="4" l="1"/>
  <c r="I35" i="4"/>
  <c r="H35" i="4"/>
  <c r="G35" i="4"/>
  <c r="F35" i="4"/>
  <c r="E35" i="4"/>
  <c r="D35" i="4"/>
  <c r="C35" i="4"/>
  <c r="J32" i="4"/>
  <c r="I32" i="4"/>
  <c r="H32" i="4"/>
  <c r="G32" i="4"/>
  <c r="F32" i="4"/>
  <c r="E32" i="4"/>
  <c r="D32" i="4"/>
  <c r="C32" i="4"/>
  <c r="J28" i="4"/>
  <c r="I28" i="4"/>
  <c r="H28" i="4"/>
  <c r="G28" i="4"/>
  <c r="F28" i="4"/>
  <c r="E28" i="4"/>
  <c r="D28" i="4"/>
  <c r="C28" i="4"/>
  <c r="J23" i="4"/>
  <c r="I23" i="4"/>
  <c r="H23" i="4"/>
  <c r="G23" i="4"/>
  <c r="F23" i="4"/>
  <c r="E23" i="4"/>
  <c r="D23" i="4"/>
  <c r="C23" i="4"/>
  <c r="J22" i="4"/>
  <c r="I22" i="4"/>
  <c r="H22" i="4"/>
  <c r="G22" i="4"/>
  <c r="F22" i="4"/>
  <c r="F8" i="4" s="1"/>
  <c r="E22" i="4"/>
  <c r="D22" i="4"/>
  <c r="C22" i="4"/>
  <c r="J18" i="4"/>
  <c r="I18" i="4"/>
  <c r="H18" i="4"/>
  <c r="G18" i="4"/>
  <c r="F18" i="4"/>
  <c r="E18" i="4"/>
  <c r="D18" i="4"/>
  <c r="C18" i="4"/>
  <c r="J17" i="4"/>
  <c r="I17" i="4"/>
  <c r="H17" i="4"/>
  <c r="G17" i="4"/>
  <c r="F17" i="4"/>
  <c r="E17" i="4"/>
  <c r="D17" i="4"/>
  <c r="C17" i="4"/>
  <c r="J13" i="4"/>
  <c r="I13" i="4"/>
  <c r="H13" i="4"/>
  <c r="G13" i="4"/>
  <c r="F13" i="4"/>
  <c r="E13" i="4"/>
  <c r="D13" i="4"/>
  <c r="C13" i="4"/>
  <c r="J9" i="4"/>
  <c r="I9" i="4"/>
  <c r="H9" i="4"/>
  <c r="G9" i="4"/>
  <c r="F9" i="4"/>
  <c r="E9" i="4"/>
  <c r="D9" i="4"/>
  <c r="C9" i="4"/>
  <c r="J8" i="4"/>
  <c r="I8" i="4"/>
  <c r="H8" i="4"/>
  <c r="G8" i="4"/>
  <c r="E8" i="4"/>
  <c r="D8" i="4"/>
  <c r="C8" i="4"/>
</calcChain>
</file>

<file path=xl/sharedStrings.xml><?xml version="1.0" encoding="utf-8"?>
<sst xmlns="http://schemas.openxmlformats.org/spreadsheetml/2006/main" count="83" uniqueCount="70">
  <si>
    <r>
      <t xml:space="preserve">العمليات المالية الموحدة *
 للحكومة العامة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 </t>
    </r>
  </si>
  <si>
    <r>
      <t xml:space="preserve"> Consolidated Fiscal Operations*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 
</t>
    </r>
  </si>
  <si>
    <t>(LE mn)</t>
  </si>
  <si>
    <t xml:space="preserve"> </t>
  </si>
  <si>
    <t>July/Sept.</t>
  </si>
  <si>
    <t>The
 Budget
 Sector</t>
  </si>
  <si>
    <t>The General Government</t>
  </si>
  <si>
    <t>إجمالى النفقات</t>
  </si>
  <si>
    <t>Total Expenditures</t>
  </si>
  <si>
    <t>الأجور وتعويضات العاملين</t>
  </si>
  <si>
    <t>Wages and Compensations of Employees</t>
  </si>
  <si>
    <t>الأجور والبدلات</t>
  </si>
  <si>
    <t xml:space="preserve">Wages and allowances </t>
  </si>
  <si>
    <t>المزايا التأمينية</t>
  </si>
  <si>
    <t>Social contributions</t>
  </si>
  <si>
    <t>أخرى</t>
  </si>
  <si>
    <t>Other</t>
  </si>
  <si>
    <t>شراء السلع و الخدمات</t>
  </si>
  <si>
    <t>Purchases of Goods and Services</t>
  </si>
  <si>
    <t>السلع</t>
  </si>
  <si>
    <t>Goods</t>
  </si>
  <si>
    <t>الخدمات</t>
  </si>
  <si>
    <t>Services</t>
  </si>
  <si>
    <t>الفوائد</t>
  </si>
  <si>
    <t>Interest</t>
  </si>
  <si>
    <t xml:space="preserve">محلية </t>
  </si>
  <si>
    <t xml:space="preserve">Domestic interest </t>
  </si>
  <si>
    <t>بنك الاستثمار القومى وصناديق التأمين الاجتماعى</t>
  </si>
  <si>
    <t>To NIB &amp; SIFs</t>
  </si>
  <si>
    <t>To others</t>
  </si>
  <si>
    <t>خارجية</t>
  </si>
  <si>
    <t>Foreign interest</t>
  </si>
  <si>
    <t>الدعم و المنح و المزايا الاجتماعية</t>
  </si>
  <si>
    <t>Subsidies, Grants and Social Benefits</t>
  </si>
  <si>
    <t xml:space="preserve">الدعم </t>
  </si>
  <si>
    <t>Subsidies</t>
  </si>
  <si>
    <t>هيئة البترول</t>
  </si>
  <si>
    <t xml:space="preserve">   To Petroleum</t>
  </si>
  <si>
    <t>هيئة السلع التموينية</t>
  </si>
  <si>
    <t xml:space="preserve">   To GASC</t>
  </si>
  <si>
    <t xml:space="preserve">   To others</t>
  </si>
  <si>
    <t>المنح</t>
  </si>
  <si>
    <t>Grants</t>
  </si>
  <si>
    <t xml:space="preserve"> المزايا الاجتماعية</t>
  </si>
  <si>
    <t>Social Benefits</t>
  </si>
  <si>
    <t>المساهمة فى صناديق التأمين الاجتماعى</t>
  </si>
  <si>
    <t xml:space="preserve">   Contribution to SIFs</t>
  </si>
  <si>
    <t xml:space="preserve">   Other</t>
  </si>
  <si>
    <t xml:space="preserve"> أخرى </t>
  </si>
  <si>
    <t>النفقات الأخرى</t>
  </si>
  <si>
    <t>Other Expenditures</t>
  </si>
  <si>
    <t>الدفاع</t>
  </si>
  <si>
    <t>Defense</t>
  </si>
  <si>
    <t xml:space="preserve">Other </t>
  </si>
  <si>
    <t>شراء أصول غير مالية ( الاستثمارات )</t>
  </si>
  <si>
    <t>Purchases of Non-Financial Assets (Investments)</t>
  </si>
  <si>
    <t>الأصول الثابتة</t>
  </si>
  <si>
    <t>Fixed assets</t>
  </si>
  <si>
    <t>Others</t>
  </si>
  <si>
    <t>المصدر : وزارة المالية.</t>
  </si>
  <si>
    <t>Source: Ministry of Finance.</t>
  </si>
  <si>
    <r>
      <rPr>
        <sz val="18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</si>
  <si>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sz val="18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</si>
  <si>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vertAlign val="superscript"/>
        <sz val="18"/>
        <rFont val="Arial"/>
        <family val="2"/>
      </rP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</si>
  <si>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</si>
  <si>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t xml:space="preserve"> </t>
    </r>
    <r>
      <rPr>
        <b/>
        <u/>
        <sz val="16"/>
        <rFont val="Arial"/>
        <family val="2"/>
      </rPr>
      <t>Other</t>
    </r>
  </si>
  <si>
    <t>2024/2025</t>
  </si>
  <si>
    <t>July/Dec.</t>
  </si>
  <si>
    <t>July/March</t>
  </si>
  <si>
    <t>July/June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</si>
</sst>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u/>
      <sz val="14"/>
      <name val="Arial"/>
      <family val="2"/>
    </font>
    <font>
      <sz val="18"/>
      <name val="Arial"/>
      <family val="2"/>
    </font>
    <font>
      <vertAlign val="superscript"/>
      <sz val="18"/>
      <name val="Arial"/>
      <family val="2"/>
    </font>
    <font>
      <vertAlign val="superscript"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6" fillId="2" borderId="5" xfId="1" applyFont="1" applyFill="1" applyBorder="1" applyAlignment="1">
      <alignment horizontal="right" vertical="center" indent="1"/>
    </xf>
    <xf numFmtId="0" fontId="2" fillId="2" borderId="5" xfId="1" quotePrefix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 vertical="center"/>
    </xf>
    <xf numFmtId="0" fontId="7" fillId="0" borderId="3" xfId="2" applyFont="1" applyBorder="1" applyAlignment="1">
      <alignment horizontal="right" vertical="center" readingOrder="2"/>
    </xf>
    <xf numFmtId="1" fontId="7" fillId="0" borderId="3" xfId="1" applyNumberFormat="1" applyFont="1" applyBorder="1" applyAlignment="1">
      <alignment horizontal="left" vertical="center" readingOrder="1"/>
    </xf>
    <xf numFmtId="0" fontId="2" fillId="0" borderId="3" xfId="2" applyFont="1" applyBorder="1" applyAlignment="1">
      <alignment horizontal="right" vertical="center" indent="1" readingOrder="2"/>
    </xf>
    <xf numFmtId="1" fontId="2" fillId="0" borderId="3" xfId="1" applyNumberFormat="1" applyFont="1" applyBorder="1" applyAlignment="1">
      <alignment horizontal="left" vertical="center" indent="1" readingOrder="1"/>
    </xf>
    <xf numFmtId="1" fontId="2" fillId="0" borderId="3" xfId="1" applyNumberFormat="1" applyFont="1" applyBorder="1" applyAlignment="1">
      <alignment horizontal="center" vertical="center"/>
    </xf>
    <xf numFmtId="0" fontId="6" fillId="0" borderId="3" xfId="2" applyFont="1" applyBorder="1" applyAlignment="1">
      <alignment horizontal="right" vertical="center" indent="2" readingOrder="2"/>
    </xf>
    <xf numFmtId="1" fontId="6" fillId="0" borderId="3" xfId="1" applyNumberFormat="1" applyFont="1" applyBorder="1" applyAlignment="1">
      <alignment horizontal="left" vertical="center" indent="2" readingOrder="1"/>
    </xf>
    <xf numFmtId="1" fontId="6" fillId="0" borderId="5" xfId="1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2" fillId="0" borderId="0" xfId="1" applyFont="1" applyAlignment="1">
      <alignment horizontal="center" vertical="center" wrapText="1" readingOrder="2"/>
    </xf>
    <xf numFmtId="0" fontId="2" fillId="0" borderId="0" xfId="1" applyFont="1" applyAlignment="1">
      <alignment horizontal="center" vertical="center" wrapText="1" readingOrder="1"/>
    </xf>
    <xf numFmtId="0" fontId="4" fillId="0" borderId="0" xfId="1" applyFont="1" applyAlignment="1">
      <alignment vertical="center" wrapText="1" readingOrder="2"/>
    </xf>
    <xf numFmtId="0" fontId="5" fillId="0" borderId="0" xfId="1" applyFont="1" applyAlignment="1">
      <alignment vertical="center"/>
    </xf>
    <xf numFmtId="0" fontId="6" fillId="0" borderId="0" xfId="1" applyFont="1"/>
    <xf numFmtId="0" fontId="6" fillId="0" borderId="0" xfId="1" applyFont="1" applyAlignment="1">
      <alignment vertic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5" fillId="0" borderId="0" xfId="1" applyFont="1"/>
    <xf numFmtId="0" fontId="6" fillId="2" borderId="3" xfId="1" applyFont="1" applyFill="1" applyBorder="1"/>
    <xf numFmtId="0" fontId="7" fillId="0" borderId="1" xfId="2" applyFont="1" applyBorder="1" applyAlignment="1">
      <alignment horizontal="right" vertical="center" readingOrder="2"/>
    </xf>
    <xf numFmtId="1" fontId="7" fillId="0" borderId="1" xfId="1" applyNumberFormat="1" applyFont="1" applyBorder="1" applyAlignment="1">
      <alignment horizontal="left" vertical="center" readingOrder="1"/>
    </xf>
    <xf numFmtId="0" fontId="8" fillId="0" borderId="0" xfId="1" applyFont="1"/>
    <xf numFmtId="0" fontId="6" fillId="0" borderId="3" xfId="2" applyFont="1" applyBorder="1" applyAlignment="1">
      <alignment horizontal="right" vertical="center" indent="1" readingOrder="2"/>
    </xf>
    <xf numFmtId="1" fontId="6" fillId="0" borderId="3" xfId="1" applyNumberFormat="1" applyFont="1" applyBorder="1" applyAlignment="1">
      <alignment horizontal="left" vertical="center" indent="1" readingOrder="1"/>
    </xf>
    <xf numFmtId="0" fontId="4" fillId="0" borderId="0" xfId="1" applyFont="1"/>
    <xf numFmtId="0" fontId="7" fillId="0" borderId="3" xfId="1" applyFont="1" applyBorder="1" applyAlignment="1">
      <alignment horizontal="right" vertical="center" readingOrder="2"/>
    </xf>
    <xf numFmtId="0" fontId="7" fillId="0" borderId="3" xfId="2" applyFont="1" applyBorder="1" applyAlignment="1">
      <alignment horizontal="right" vertical="center" indent="1" readingOrder="2"/>
    </xf>
    <xf numFmtId="1" fontId="7" fillId="0" borderId="3" xfId="1" applyNumberFormat="1" applyFont="1" applyBorder="1" applyAlignment="1">
      <alignment horizontal="left" vertical="center" indent="1" readingOrder="1"/>
    </xf>
    <xf numFmtId="1" fontId="7" fillId="0" borderId="3" xfId="1" applyNumberFormat="1" applyFont="1" applyBorder="1" applyAlignment="1">
      <alignment horizontal="left" vertical="center" wrapText="1" readingOrder="1"/>
    </xf>
    <xf numFmtId="0" fontId="6" fillId="0" borderId="5" xfId="2" applyFont="1" applyBorder="1" applyAlignment="1">
      <alignment horizontal="right" vertical="center" indent="1" readingOrder="2"/>
    </xf>
    <xf numFmtId="1" fontId="6" fillId="0" borderId="5" xfId="1" applyNumberFormat="1" applyFont="1" applyBorder="1" applyAlignment="1">
      <alignment horizontal="left" vertical="center" indent="1" readingOrder="1"/>
    </xf>
    <xf numFmtId="0" fontId="5" fillId="0" borderId="0" xfId="2" applyFont="1" applyAlignment="1">
      <alignment horizontal="right" vertical="center" readingOrder="2"/>
    </xf>
    <xf numFmtId="1" fontId="5" fillId="0" borderId="0" xfId="1" applyNumberFormat="1" applyFont="1" applyAlignment="1">
      <alignment horizontal="left" vertical="center" readingOrder="1"/>
    </xf>
    <xf numFmtId="0" fontId="5" fillId="0" borderId="0" xfId="1" applyFont="1" applyAlignment="1">
      <alignment horizontal="right" vertical="center" wrapText="1" readingOrder="2"/>
    </xf>
    <xf numFmtId="0" fontId="5" fillId="0" borderId="0" xfId="2" applyFont="1" applyAlignment="1">
      <alignment horizontal="left" vertical="center" wrapText="1" readingOrder="1"/>
    </xf>
    <xf numFmtId="49" fontId="4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6" fillId="2" borderId="1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F06FA1B6-CE7A-4230-A036-BEED0EC5F3EC}"/>
    <cellStyle name="Normal_wafaa file_12_22-24_26-34 2" xfId="1" xr:uid="{1623EA8B-3048-4B61-BC80-7192AF27E8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C5A5-9C0F-4A3E-B9CF-25213D3C7CBB}">
  <sheetPr>
    <pageSetUpPr fitToPage="1"/>
  </sheetPr>
  <dimension ref="A1:J1304"/>
  <sheetViews>
    <sheetView tabSelected="1"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8.44140625" defaultRowHeight="17.399999999999999" x14ac:dyDescent="0.3"/>
  <cols>
    <col min="1" max="1" width="62.6640625" style="24" customWidth="1"/>
    <col min="2" max="2" width="72.6640625" style="24" customWidth="1"/>
    <col min="3" max="10" width="24.6640625" style="22" customWidth="1"/>
    <col min="11" max="16384" width="8.44140625" style="24"/>
  </cols>
  <sheetData>
    <row r="1" spans="1:10" s="19" customFormat="1" ht="66" customHeight="1" x14ac:dyDescent="0.3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</row>
    <row r="2" spans="1:10" ht="22.95" customHeight="1" x14ac:dyDescent="0.35">
      <c r="A2" s="20"/>
      <c r="B2" s="20"/>
      <c r="C2" s="21"/>
      <c r="E2" s="21"/>
      <c r="F2" s="23"/>
      <c r="G2" s="21"/>
      <c r="H2" s="23"/>
      <c r="I2" s="21"/>
      <c r="J2" s="23" t="s">
        <v>2</v>
      </c>
    </row>
    <row r="3" spans="1:10" s="22" customFormat="1" ht="15" customHeight="1" x14ac:dyDescent="0.35">
      <c r="A3" s="14"/>
      <c r="B3" s="44" t="s">
        <v>3</v>
      </c>
      <c r="C3" s="46" t="s">
        <v>66</v>
      </c>
      <c r="D3" s="47"/>
      <c r="E3" s="47"/>
      <c r="F3" s="47"/>
      <c r="G3" s="47"/>
      <c r="H3" s="47"/>
      <c r="I3" s="47"/>
      <c r="J3" s="48"/>
    </row>
    <row r="4" spans="1:10" s="22" customFormat="1" ht="49.95" customHeight="1" x14ac:dyDescent="0.35">
      <c r="A4" s="15"/>
      <c r="B4" s="45"/>
      <c r="C4" s="49"/>
      <c r="D4" s="50"/>
      <c r="E4" s="50"/>
      <c r="F4" s="50"/>
      <c r="G4" s="50"/>
      <c r="H4" s="50"/>
      <c r="I4" s="50"/>
      <c r="J4" s="51"/>
    </row>
    <row r="5" spans="1:10" s="22" customFormat="1" ht="15" customHeight="1" x14ac:dyDescent="0.35">
      <c r="A5" s="15"/>
      <c r="B5" s="15"/>
      <c r="C5" s="52" t="s">
        <v>4</v>
      </c>
      <c r="D5" s="52"/>
      <c r="E5" s="52" t="s">
        <v>67</v>
      </c>
      <c r="F5" s="52"/>
      <c r="G5" s="52" t="s">
        <v>68</v>
      </c>
      <c r="H5" s="54"/>
      <c r="I5" s="55" t="s">
        <v>69</v>
      </c>
      <c r="J5" s="55"/>
    </row>
    <row r="6" spans="1:10" s="22" customFormat="1" ht="15" customHeight="1" x14ac:dyDescent="0.35">
      <c r="A6" s="15"/>
      <c r="B6" s="15"/>
      <c r="C6" s="53"/>
      <c r="D6" s="53"/>
      <c r="E6" s="53"/>
      <c r="F6" s="53"/>
      <c r="G6" s="53"/>
      <c r="H6" s="49"/>
      <c r="I6" s="53"/>
      <c r="J6" s="53"/>
    </row>
    <row r="7" spans="1:10" ht="92.4" customHeight="1" x14ac:dyDescent="0.35">
      <c r="A7" s="25"/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5</v>
      </c>
      <c r="J7" s="2" t="s">
        <v>6</v>
      </c>
    </row>
    <row r="8" spans="1:10" s="28" customFormat="1" ht="40.200000000000003" customHeight="1" x14ac:dyDescent="0.3">
      <c r="A8" s="26" t="s">
        <v>7</v>
      </c>
      <c r="B8" s="27" t="s">
        <v>8</v>
      </c>
      <c r="C8" s="3">
        <f t="shared" ref="C8:J8" si="0">C9+C13+C17+C22+C32+C35</f>
        <v>827748</v>
      </c>
      <c r="D8" s="3">
        <f t="shared" si="0"/>
        <v>870171</v>
      </c>
      <c r="E8" s="3">
        <f t="shared" si="0"/>
        <v>1761561</v>
      </c>
      <c r="F8" s="3">
        <f t="shared" si="0"/>
        <v>1858691</v>
      </c>
      <c r="G8" s="3">
        <f t="shared" si="0"/>
        <v>2765931</v>
      </c>
      <c r="H8" s="3">
        <f t="shared" si="0"/>
        <v>2929603</v>
      </c>
      <c r="I8" s="3">
        <f t="shared" si="0"/>
        <v>3904865</v>
      </c>
      <c r="J8" s="3">
        <f t="shared" si="0"/>
        <v>4111401</v>
      </c>
    </row>
    <row r="9" spans="1:10" s="28" customFormat="1" ht="40.200000000000003" customHeight="1" x14ac:dyDescent="0.3">
      <c r="A9" s="6" t="s">
        <v>9</v>
      </c>
      <c r="B9" s="7" t="s">
        <v>10</v>
      </c>
      <c r="C9" s="4">
        <f t="shared" ref="C9:H9" si="1">SUM(C10:C12)</f>
        <v>146611</v>
      </c>
      <c r="D9" s="4">
        <f t="shared" si="1"/>
        <v>138409</v>
      </c>
      <c r="E9" s="4">
        <f t="shared" si="1"/>
        <v>286277</v>
      </c>
      <c r="F9" s="4">
        <f t="shared" si="1"/>
        <v>263493</v>
      </c>
      <c r="G9" s="4">
        <f t="shared" si="1"/>
        <v>430945</v>
      </c>
      <c r="H9" s="4">
        <f t="shared" si="1"/>
        <v>396662</v>
      </c>
      <c r="I9" s="4">
        <f t="shared" ref="I9:J9" si="2">SUM(I10:I12)</f>
        <v>588055</v>
      </c>
      <c r="J9" s="4">
        <f t="shared" si="2"/>
        <v>543053</v>
      </c>
    </row>
    <row r="10" spans="1:10" s="31" customFormat="1" ht="40.200000000000003" customHeight="1" x14ac:dyDescent="0.3">
      <c r="A10" s="29" t="s">
        <v>11</v>
      </c>
      <c r="B10" s="30" t="s">
        <v>12</v>
      </c>
      <c r="C10" s="5">
        <v>121949</v>
      </c>
      <c r="D10" s="5">
        <v>123133</v>
      </c>
      <c r="E10" s="5">
        <v>234201</v>
      </c>
      <c r="F10" s="5">
        <v>236619</v>
      </c>
      <c r="G10" s="5">
        <v>354544</v>
      </c>
      <c r="H10" s="5">
        <v>358125</v>
      </c>
      <c r="I10" s="5">
        <v>487183</v>
      </c>
      <c r="J10" s="5">
        <v>492047</v>
      </c>
    </row>
    <row r="11" spans="1:10" s="31" customFormat="1" ht="40.200000000000003" customHeight="1" x14ac:dyDescent="0.3">
      <c r="A11" s="29" t="s">
        <v>13</v>
      </c>
      <c r="B11" s="30" t="s">
        <v>14</v>
      </c>
      <c r="C11" s="5">
        <v>17108</v>
      </c>
      <c r="D11" s="5">
        <v>4184</v>
      </c>
      <c r="E11" s="5">
        <v>33415</v>
      </c>
      <c r="F11" s="5">
        <v>8165</v>
      </c>
      <c r="G11" s="5">
        <v>50042</v>
      </c>
      <c r="H11" s="5">
        <v>12114</v>
      </c>
      <c r="I11" s="5">
        <v>66195</v>
      </c>
      <c r="J11" s="5">
        <v>16239</v>
      </c>
    </row>
    <row r="12" spans="1:10" s="31" customFormat="1" ht="40.200000000000003" customHeight="1" x14ac:dyDescent="0.3">
      <c r="A12" s="29" t="s">
        <v>15</v>
      </c>
      <c r="B12" s="30" t="s">
        <v>16</v>
      </c>
      <c r="C12" s="5">
        <v>7554</v>
      </c>
      <c r="D12" s="5">
        <v>11092</v>
      </c>
      <c r="E12" s="5">
        <v>18661</v>
      </c>
      <c r="F12" s="5">
        <v>18709</v>
      </c>
      <c r="G12" s="5">
        <v>26359</v>
      </c>
      <c r="H12" s="5">
        <v>26423</v>
      </c>
      <c r="I12" s="5">
        <v>34677</v>
      </c>
      <c r="J12" s="5">
        <v>34767</v>
      </c>
    </row>
    <row r="13" spans="1:10" s="28" customFormat="1" ht="40.200000000000003" customHeight="1" x14ac:dyDescent="0.3">
      <c r="A13" s="6" t="s">
        <v>17</v>
      </c>
      <c r="B13" s="7" t="s">
        <v>18</v>
      </c>
      <c r="C13" s="4">
        <f t="shared" ref="C13:J13" si="3">SUM(C14:C16)</f>
        <v>40530</v>
      </c>
      <c r="D13" s="4">
        <f t="shared" si="3"/>
        <v>40631</v>
      </c>
      <c r="E13" s="4">
        <f t="shared" si="3"/>
        <v>83760</v>
      </c>
      <c r="F13" s="4">
        <f t="shared" si="3"/>
        <v>84176</v>
      </c>
      <c r="G13" s="4">
        <f t="shared" si="3"/>
        <v>120055</v>
      </c>
      <c r="H13" s="4">
        <f t="shared" si="3"/>
        <v>120653</v>
      </c>
      <c r="I13" s="4">
        <f t="shared" si="3"/>
        <v>186200</v>
      </c>
      <c r="J13" s="4">
        <f t="shared" si="3"/>
        <v>187016</v>
      </c>
    </row>
    <row r="14" spans="1:10" s="31" customFormat="1" ht="40.200000000000003" customHeight="1" x14ac:dyDescent="0.3">
      <c r="A14" s="29" t="s">
        <v>19</v>
      </c>
      <c r="B14" s="30" t="s">
        <v>20</v>
      </c>
      <c r="C14" s="5">
        <v>21102</v>
      </c>
      <c r="D14" s="5">
        <v>21109</v>
      </c>
      <c r="E14" s="5">
        <v>47021</v>
      </c>
      <c r="F14" s="5">
        <v>47044</v>
      </c>
      <c r="G14" s="5">
        <v>66373</v>
      </c>
      <c r="H14" s="5">
        <v>66429</v>
      </c>
      <c r="I14" s="5">
        <v>104346</v>
      </c>
      <c r="J14" s="5">
        <v>104426</v>
      </c>
    </row>
    <row r="15" spans="1:10" s="31" customFormat="1" ht="40.200000000000003" customHeight="1" x14ac:dyDescent="0.3">
      <c r="A15" s="29" t="s">
        <v>21</v>
      </c>
      <c r="B15" s="30" t="s">
        <v>22</v>
      </c>
      <c r="C15" s="5">
        <v>19211</v>
      </c>
      <c r="D15" s="5">
        <v>19271</v>
      </c>
      <c r="E15" s="5">
        <v>36201</v>
      </c>
      <c r="F15" s="5">
        <v>36363</v>
      </c>
      <c r="G15" s="5">
        <v>55370</v>
      </c>
      <c r="H15" s="5">
        <v>55631</v>
      </c>
      <c r="I15" s="5">
        <v>80457</v>
      </c>
      <c r="J15" s="5">
        <v>80828</v>
      </c>
    </row>
    <row r="16" spans="1:10" s="31" customFormat="1" ht="40.200000000000003" customHeight="1" x14ac:dyDescent="0.3">
      <c r="A16" s="29" t="s">
        <v>15</v>
      </c>
      <c r="B16" s="30" t="s">
        <v>16</v>
      </c>
      <c r="C16" s="5">
        <v>217</v>
      </c>
      <c r="D16" s="5">
        <v>251</v>
      </c>
      <c r="E16" s="5">
        <v>538</v>
      </c>
      <c r="F16" s="5">
        <v>769</v>
      </c>
      <c r="G16" s="5">
        <v>-1688</v>
      </c>
      <c r="H16" s="5">
        <v>-1407</v>
      </c>
      <c r="I16" s="5">
        <v>1397</v>
      </c>
      <c r="J16" s="5">
        <v>1762</v>
      </c>
    </row>
    <row r="17" spans="1:10" s="28" customFormat="1" ht="40.200000000000003" customHeight="1" x14ac:dyDescent="0.3">
      <c r="A17" s="6" t="s">
        <v>23</v>
      </c>
      <c r="B17" s="7" t="s">
        <v>24</v>
      </c>
      <c r="C17" s="4">
        <f t="shared" ref="C17:J17" si="4">C18+C21</f>
        <v>451856</v>
      </c>
      <c r="D17" s="4">
        <f t="shared" si="4"/>
        <v>435462</v>
      </c>
      <c r="E17" s="4">
        <f t="shared" si="4"/>
        <v>939088</v>
      </c>
      <c r="F17" s="4">
        <f t="shared" si="4"/>
        <v>901934</v>
      </c>
      <c r="G17" s="4">
        <f t="shared" si="4"/>
        <v>1528811</v>
      </c>
      <c r="H17" s="4">
        <f t="shared" si="4"/>
        <v>1471257</v>
      </c>
      <c r="I17" s="4">
        <f t="shared" si="4"/>
        <v>1919098</v>
      </c>
      <c r="J17" s="4">
        <f t="shared" si="4"/>
        <v>1829511</v>
      </c>
    </row>
    <row r="18" spans="1:10" ht="40.200000000000003" customHeight="1" x14ac:dyDescent="0.3">
      <c r="A18" s="8" t="s">
        <v>25</v>
      </c>
      <c r="B18" s="9" t="s">
        <v>26</v>
      </c>
      <c r="C18" s="10">
        <f>C19+C20</f>
        <v>386169</v>
      </c>
      <c r="D18" s="10">
        <f>D19+D20</f>
        <v>369775</v>
      </c>
      <c r="E18" s="10">
        <f t="shared" ref="E18:J18" si="5">E19+E20</f>
        <v>823619</v>
      </c>
      <c r="F18" s="10">
        <f t="shared" si="5"/>
        <v>786465</v>
      </c>
      <c r="G18" s="10">
        <f t="shared" si="5"/>
        <v>1343460</v>
      </c>
      <c r="H18" s="10">
        <f t="shared" si="5"/>
        <v>1285906</v>
      </c>
      <c r="I18" s="10">
        <f t="shared" si="5"/>
        <v>1687663</v>
      </c>
      <c r="J18" s="10">
        <f t="shared" si="5"/>
        <v>1598076</v>
      </c>
    </row>
    <row r="19" spans="1:10" ht="40.200000000000003" customHeight="1" x14ac:dyDescent="0.3">
      <c r="A19" s="11" t="s">
        <v>27</v>
      </c>
      <c r="B19" s="12" t="s">
        <v>28</v>
      </c>
      <c r="C19" s="5">
        <v>24565</v>
      </c>
      <c r="D19" s="5">
        <v>0</v>
      </c>
      <c r="E19" s="5">
        <v>45894</v>
      </c>
      <c r="F19" s="5">
        <v>0</v>
      </c>
      <c r="G19" s="5">
        <v>66769</v>
      </c>
      <c r="H19" s="5">
        <v>0</v>
      </c>
      <c r="I19" s="5">
        <v>106985</v>
      </c>
      <c r="J19" s="5">
        <v>0</v>
      </c>
    </row>
    <row r="20" spans="1:10" ht="40.200000000000003" customHeight="1" x14ac:dyDescent="0.3">
      <c r="A20" s="11" t="s">
        <v>15</v>
      </c>
      <c r="B20" s="12" t="s">
        <v>29</v>
      </c>
      <c r="C20" s="5">
        <v>361604</v>
      </c>
      <c r="D20" s="5">
        <v>369775</v>
      </c>
      <c r="E20" s="5">
        <v>777725</v>
      </c>
      <c r="F20" s="5">
        <v>786465</v>
      </c>
      <c r="G20" s="5">
        <v>1276691</v>
      </c>
      <c r="H20" s="5">
        <v>1285906</v>
      </c>
      <c r="I20" s="5">
        <v>1580678</v>
      </c>
      <c r="J20" s="5">
        <v>1598076</v>
      </c>
    </row>
    <row r="21" spans="1:10" ht="40.200000000000003" customHeight="1" x14ac:dyDescent="0.3">
      <c r="A21" s="8" t="s">
        <v>30</v>
      </c>
      <c r="B21" s="9" t="s">
        <v>31</v>
      </c>
      <c r="C21" s="10">
        <v>65687</v>
      </c>
      <c r="D21" s="10">
        <v>65687</v>
      </c>
      <c r="E21" s="10">
        <v>115469</v>
      </c>
      <c r="F21" s="10">
        <v>115469</v>
      </c>
      <c r="G21" s="10">
        <v>185351</v>
      </c>
      <c r="H21" s="10">
        <v>185351</v>
      </c>
      <c r="I21" s="10">
        <v>231435</v>
      </c>
      <c r="J21" s="10">
        <v>231435</v>
      </c>
    </row>
    <row r="22" spans="1:10" s="28" customFormat="1" ht="40.200000000000003" customHeight="1" x14ac:dyDescent="0.3">
      <c r="A22" s="32" t="s">
        <v>32</v>
      </c>
      <c r="B22" s="7" t="s">
        <v>33</v>
      </c>
      <c r="C22" s="4">
        <f t="shared" ref="C22:J22" si="6">C23+C27+C28+C31</f>
        <v>133014</v>
      </c>
      <c r="D22" s="4">
        <f t="shared" si="6"/>
        <v>199931</v>
      </c>
      <c r="E22" s="4">
        <f t="shared" si="6"/>
        <v>278690</v>
      </c>
      <c r="F22" s="4">
        <f t="shared" si="6"/>
        <v>435342</v>
      </c>
      <c r="G22" s="4">
        <f t="shared" si="6"/>
        <v>409607</v>
      </c>
      <c r="H22" s="4">
        <f t="shared" si="6"/>
        <v>664513</v>
      </c>
      <c r="I22" s="4">
        <f t="shared" si="6"/>
        <v>645499</v>
      </c>
      <c r="J22" s="4">
        <f t="shared" si="6"/>
        <v>985796</v>
      </c>
    </row>
    <row r="23" spans="1:10" s="28" customFormat="1" ht="40.200000000000003" customHeight="1" x14ac:dyDescent="0.3">
      <c r="A23" s="33" t="s">
        <v>34</v>
      </c>
      <c r="B23" s="34" t="s">
        <v>35</v>
      </c>
      <c r="C23" s="4">
        <f t="shared" ref="C23:J23" si="7">C24+C25+C26</f>
        <v>63180</v>
      </c>
      <c r="D23" s="4">
        <f t="shared" si="7"/>
        <v>63180</v>
      </c>
      <c r="E23" s="4">
        <f t="shared" si="7"/>
        <v>156182</v>
      </c>
      <c r="F23" s="4">
        <f t="shared" si="7"/>
        <v>156182</v>
      </c>
      <c r="G23" s="4">
        <f t="shared" si="7"/>
        <v>242712</v>
      </c>
      <c r="H23" s="4">
        <f t="shared" si="7"/>
        <v>242712</v>
      </c>
      <c r="I23" s="4">
        <f t="shared" si="7"/>
        <v>409091</v>
      </c>
      <c r="J23" s="4">
        <f t="shared" si="7"/>
        <v>409091</v>
      </c>
    </row>
    <row r="24" spans="1:10" ht="40.200000000000003" customHeight="1" x14ac:dyDescent="0.3">
      <c r="A24" s="11" t="s">
        <v>36</v>
      </c>
      <c r="B24" s="12" t="s">
        <v>37</v>
      </c>
      <c r="C24" s="5">
        <v>28473</v>
      </c>
      <c r="D24" s="5">
        <v>28473</v>
      </c>
      <c r="E24" s="5">
        <v>70614</v>
      </c>
      <c r="F24" s="5">
        <v>70614</v>
      </c>
      <c r="G24" s="5">
        <v>104888</v>
      </c>
      <c r="H24" s="5">
        <v>104888</v>
      </c>
      <c r="I24" s="5">
        <v>155573</v>
      </c>
      <c r="J24" s="5">
        <v>155573</v>
      </c>
    </row>
    <row r="25" spans="1:10" ht="40.200000000000003" customHeight="1" x14ac:dyDescent="0.3">
      <c r="A25" s="11" t="s">
        <v>38</v>
      </c>
      <c r="B25" s="12" t="s">
        <v>39</v>
      </c>
      <c r="C25" s="5">
        <v>26096</v>
      </c>
      <c r="D25" s="5">
        <v>26096</v>
      </c>
      <c r="E25" s="5">
        <v>58996</v>
      </c>
      <c r="F25" s="5">
        <v>58996</v>
      </c>
      <c r="G25" s="5">
        <v>95067</v>
      </c>
      <c r="H25" s="5">
        <v>95067</v>
      </c>
      <c r="I25" s="5">
        <v>165401</v>
      </c>
      <c r="J25" s="5">
        <v>165401</v>
      </c>
    </row>
    <row r="26" spans="1:10" ht="40.200000000000003" customHeight="1" x14ac:dyDescent="0.3">
      <c r="A26" s="11" t="s">
        <v>15</v>
      </c>
      <c r="B26" s="12" t="s">
        <v>40</v>
      </c>
      <c r="C26" s="5">
        <v>8611</v>
      </c>
      <c r="D26" s="5">
        <v>8611</v>
      </c>
      <c r="E26" s="5">
        <v>26572</v>
      </c>
      <c r="F26" s="5">
        <v>26572</v>
      </c>
      <c r="G26" s="5">
        <v>42757</v>
      </c>
      <c r="H26" s="5">
        <v>42757</v>
      </c>
      <c r="I26" s="5">
        <v>88117</v>
      </c>
      <c r="J26" s="5">
        <v>88117</v>
      </c>
    </row>
    <row r="27" spans="1:10" s="28" customFormat="1" ht="40.200000000000003" customHeight="1" x14ac:dyDescent="0.3">
      <c r="A27" s="33" t="s">
        <v>41</v>
      </c>
      <c r="B27" s="34" t="s">
        <v>42</v>
      </c>
      <c r="C27" s="4">
        <v>2973</v>
      </c>
      <c r="D27" s="4">
        <v>2973</v>
      </c>
      <c r="E27" s="4">
        <v>6628</v>
      </c>
      <c r="F27" s="4">
        <v>6628</v>
      </c>
      <c r="G27" s="4">
        <v>12752</v>
      </c>
      <c r="H27" s="4">
        <v>12752</v>
      </c>
      <c r="I27" s="4">
        <v>22921</v>
      </c>
      <c r="J27" s="4">
        <v>22921</v>
      </c>
    </row>
    <row r="28" spans="1:10" s="28" customFormat="1" ht="40.200000000000003" customHeight="1" x14ac:dyDescent="0.3">
      <c r="A28" s="33" t="s">
        <v>43</v>
      </c>
      <c r="B28" s="34" t="s">
        <v>44</v>
      </c>
      <c r="C28" s="4">
        <f t="shared" ref="C28:J28" si="8">C29+C30</f>
        <v>66713</v>
      </c>
      <c r="D28" s="4">
        <f t="shared" si="8"/>
        <v>133630</v>
      </c>
      <c r="E28" s="4">
        <f t="shared" si="8"/>
        <v>116377</v>
      </c>
      <c r="F28" s="4">
        <f t="shared" si="8"/>
        <v>273029</v>
      </c>
      <c r="G28" s="4">
        <f t="shared" si="8"/>
        <v>154641</v>
      </c>
      <c r="H28" s="4">
        <f t="shared" si="8"/>
        <v>409547</v>
      </c>
      <c r="I28" s="4">
        <f t="shared" si="8"/>
        <v>212343</v>
      </c>
      <c r="J28" s="4">
        <f t="shared" si="8"/>
        <v>552640</v>
      </c>
    </row>
    <row r="29" spans="1:10" ht="40.200000000000003" customHeight="1" x14ac:dyDescent="0.3">
      <c r="A29" s="11" t="s">
        <v>45</v>
      </c>
      <c r="B29" s="12" t="s">
        <v>46</v>
      </c>
      <c r="C29" s="5">
        <v>53557</v>
      </c>
      <c r="D29" s="5">
        <v>0</v>
      </c>
      <c r="E29" s="5">
        <v>85591</v>
      </c>
      <c r="F29" s="5">
        <v>0</v>
      </c>
      <c r="G29" s="5">
        <v>106946</v>
      </c>
      <c r="H29" s="5">
        <v>0</v>
      </c>
      <c r="I29" s="5">
        <v>142651</v>
      </c>
      <c r="J29" s="5">
        <v>0</v>
      </c>
    </row>
    <row r="30" spans="1:10" ht="40.200000000000003" customHeight="1" x14ac:dyDescent="0.3">
      <c r="A30" s="11" t="s">
        <v>15</v>
      </c>
      <c r="B30" s="12" t="s">
        <v>47</v>
      </c>
      <c r="C30" s="5">
        <v>13156</v>
      </c>
      <c r="D30" s="5">
        <v>133630</v>
      </c>
      <c r="E30" s="5">
        <v>30786</v>
      </c>
      <c r="F30" s="5">
        <v>273029</v>
      </c>
      <c r="G30" s="5">
        <v>47695</v>
      </c>
      <c r="H30" s="5">
        <v>409547</v>
      </c>
      <c r="I30" s="5">
        <v>69692</v>
      </c>
      <c r="J30" s="5">
        <v>552640</v>
      </c>
    </row>
    <row r="31" spans="1:10" s="28" customFormat="1" ht="40.200000000000003" customHeight="1" x14ac:dyDescent="0.3">
      <c r="A31" s="33" t="s">
        <v>48</v>
      </c>
      <c r="B31" s="9" t="s">
        <v>65</v>
      </c>
      <c r="C31" s="4">
        <v>148</v>
      </c>
      <c r="D31" s="4">
        <v>148</v>
      </c>
      <c r="E31" s="4">
        <v>-497</v>
      </c>
      <c r="F31" s="4">
        <v>-497</v>
      </c>
      <c r="G31" s="4">
        <v>-498</v>
      </c>
      <c r="H31" s="4">
        <v>-498</v>
      </c>
      <c r="I31" s="4">
        <v>1144</v>
      </c>
      <c r="J31" s="4">
        <v>1144</v>
      </c>
    </row>
    <row r="32" spans="1:10" s="28" customFormat="1" ht="40.200000000000003" customHeight="1" x14ac:dyDescent="0.3">
      <c r="A32" s="6" t="s">
        <v>49</v>
      </c>
      <c r="B32" s="7" t="s">
        <v>50</v>
      </c>
      <c r="C32" s="4">
        <f t="shared" ref="C32:J32" si="9">C33+C34</f>
        <v>36626</v>
      </c>
      <c r="D32" s="4">
        <f t="shared" si="9"/>
        <v>36627</v>
      </c>
      <c r="E32" s="4">
        <f t="shared" si="9"/>
        <v>81064</v>
      </c>
      <c r="F32" s="4">
        <f t="shared" si="9"/>
        <v>81064</v>
      </c>
      <c r="G32" s="4">
        <f t="shared" si="9"/>
        <v>115210</v>
      </c>
      <c r="H32" s="4">
        <f t="shared" si="9"/>
        <v>115215</v>
      </c>
      <c r="I32" s="4">
        <f t="shared" si="9"/>
        <v>179113</v>
      </c>
      <c r="J32" s="4">
        <f t="shared" si="9"/>
        <v>179125</v>
      </c>
    </row>
    <row r="33" spans="1:10" ht="40.200000000000003" customHeight="1" x14ac:dyDescent="0.3">
      <c r="A33" s="29" t="s">
        <v>51</v>
      </c>
      <c r="B33" s="30" t="s">
        <v>52</v>
      </c>
      <c r="C33" s="5">
        <v>32185</v>
      </c>
      <c r="D33" s="5">
        <v>32185</v>
      </c>
      <c r="E33" s="5">
        <v>66625</v>
      </c>
      <c r="F33" s="5">
        <v>66625</v>
      </c>
      <c r="G33" s="5">
        <v>92999</v>
      </c>
      <c r="H33" s="5">
        <v>92999</v>
      </c>
      <c r="I33" s="5">
        <v>127076</v>
      </c>
      <c r="J33" s="5">
        <v>127076</v>
      </c>
    </row>
    <row r="34" spans="1:10" ht="40.200000000000003" customHeight="1" x14ac:dyDescent="0.3">
      <c r="A34" s="29" t="s">
        <v>15</v>
      </c>
      <c r="B34" s="30" t="s">
        <v>53</v>
      </c>
      <c r="C34" s="5">
        <v>4441</v>
      </c>
      <c r="D34" s="5">
        <v>4442</v>
      </c>
      <c r="E34" s="5">
        <v>14439</v>
      </c>
      <c r="F34" s="5">
        <v>14439</v>
      </c>
      <c r="G34" s="5">
        <v>22211</v>
      </c>
      <c r="H34" s="5">
        <v>22216</v>
      </c>
      <c r="I34" s="5">
        <v>52037</v>
      </c>
      <c r="J34" s="5">
        <v>52049</v>
      </c>
    </row>
    <row r="35" spans="1:10" s="28" customFormat="1" ht="40.200000000000003" customHeight="1" x14ac:dyDescent="0.3">
      <c r="A35" s="6" t="s">
        <v>54</v>
      </c>
      <c r="B35" s="35" t="s">
        <v>55</v>
      </c>
      <c r="C35" s="4">
        <f t="shared" ref="C35:J35" si="10">C36+C37</f>
        <v>19111</v>
      </c>
      <c r="D35" s="4">
        <f t="shared" si="10"/>
        <v>19111</v>
      </c>
      <c r="E35" s="4">
        <f t="shared" si="10"/>
        <v>92682</v>
      </c>
      <c r="F35" s="4">
        <f t="shared" si="10"/>
        <v>92682</v>
      </c>
      <c r="G35" s="4">
        <f t="shared" si="10"/>
        <v>161303</v>
      </c>
      <c r="H35" s="4">
        <f t="shared" si="10"/>
        <v>161303</v>
      </c>
      <c r="I35" s="4">
        <f t="shared" si="10"/>
        <v>386900</v>
      </c>
      <c r="J35" s="4">
        <f t="shared" si="10"/>
        <v>386900</v>
      </c>
    </row>
    <row r="36" spans="1:10" ht="40.200000000000003" customHeight="1" x14ac:dyDescent="0.3">
      <c r="A36" s="29" t="s">
        <v>56</v>
      </c>
      <c r="B36" s="30" t="s">
        <v>57</v>
      </c>
      <c r="C36" s="5">
        <v>16449</v>
      </c>
      <c r="D36" s="5">
        <v>16449</v>
      </c>
      <c r="E36" s="5">
        <v>79731</v>
      </c>
      <c r="F36" s="5">
        <v>79731</v>
      </c>
      <c r="G36" s="5">
        <v>136717</v>
      </c>
      <c r="H36" s="5">
        <v>136717</v>
      </c>
      <c r="I36" s="5">
        <v>320520</v>
      </c>
      <c r="J36" s="5">
        <v>320520</v>
      </c>
    </row>
    <row r="37" spans="1:10" ht="40.200000000000003" customHeight="1" x14ac:dyDescent="0.3">
      <c r="A37" s="36" t="s">
        <v>15</v>
      </c>
      <c r="B37" s="37" t="s">
        <v>58</v>
      </c>
      <c r="C37" s="13">
        <v>2662</v>
      </c>
      <c r="D37" s="13">
        <v>2662</v>
      </c>
      <c r="E37" s="13">
        <v>12951</v>
      </c>
      <c r="F37" s="13">
        <v>12951</v>
      </c>
      <c r="G37" s="13">
        <v>24586</v>
      </c>
      <c r="H37" s="13">
        <v>24586</v>
      </c>
      <c r="I37" s="13">
        <v>66380</v>
      </c>
      <c r="J37" s="13">
        <v>66380</v>
      </c>
    </row>
    <row r="38" spans="1:10" ht="21.9" customHeight="1" x14ac:dyDescent="0.3">
      <c r="A38" s="38" t="s">
        <v>59</v>
      </c>
      <c r="B38" s="39" t="s">
        <v>60</v>
      </c>
    </row>
    <row r="39" spans="1:10" ht="77.25" customHeight="1" x14ac:dyDescent="0.3">
      <c r="A39" s="40" t="s">
        <v>61</v>
      </c>
      <c r="B39" s="41" t="s">
        <v>62</v>
      </c>
    </row>
    <row r="40" spans="1:10" ht="60" customHeight="1" x14ac:dyDescent="0.3">
      <c r="A40" s="40" t="s">
        <v>63</v>
      </c>
      <c r="B40" s="43" t="s">
        <v>64</v>
      </c>
      <c r="C40" s="43"/>
      <c r="E40" s="24"/>
      <c r="G40" s="24"/>
      <c r="I40" s="24"/>
    </row>
    <row r="41" spans="1:10" ht="21.9" customHeight="1" x14ac:dyDescent="0.3">
      <c r="B41" s="42"/>
      <c r="C41" s="42"/>
      <c r="D41" s="42"/>
      <c r="E41" s="42"/>
      <c r="F41" s="42"/>
      <c r="G41" s="42"/>
      <c r="H41" s="42"/>
      <c r="I41" s="42"/>
      <c r="J41" s="42"/>
    </row>
    <row r="42" spans="1:10" ht="21.9" customHeight="1" x14ac:dyDescent="0.3"/>
    <row r="43" spans="1:10" ht="21.9" customHeight="1" x14ac:dyDescent="0.3"/>
    <row r="44" spans="1:10" ht="21.9" customHeight="1" x14ac:dyDescent="0.3"/>
    <row r="45" spans="1:10" ht="21.9" customHeight="1" x14ac:dyDescent="0.3"/>
    <row r="46" spans="1:10" ht="21.9" customHeight="1" x14ac:dyDescent="0.3"/>
    <row r="47" spans="1:10" ht="21.9" customHeight="1" x14ac:dyDescent="0.3"/>
    <row r="48" spans="1:1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</sheetData>
  <mergeCells count="7">
    <mergeCell ref="B40:C40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24" orientation="portrait" horizontalDpi="4294967295" verticalDpi="4294967295" r:id="rId1"/>
  <headerFooter alignWithMargins="0"/>
  <rowBreaks count="1" manualBreakCount="1">
    <brk id="3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2024-2025</vt:lpstr>
      <vt:lpstr>'Expenditures 2024-2025'!Print_Area</vt:lpstr>
      <vt:lpstr>'Expenditures 2024-2025'!Print_Titles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Hames Abdelrashaed</cp:lastModifiedBy>
  <dcterms:created xsi:type="dcterms:W3CDTF">2015-06-05T18:17:20Z</dcterms:created>
  <dcterms:modified xsi:type="dcterms:W3CDTF">2026-03-05T11:04:13Z</dcterms:modified>
</cp:coreProperties>
</file>