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25-2026\جداول الربع الثالث\صادرات\"/>
    </mc:Choice>
  </mc:AlternateContent>
  <xr:revisionPtr revIDLastSave="0" documentId="13_ncr:1_{FC0A43D6-B496-4952-BD87-59479E102211}" xr6:coauthVersionLast="47" xr6:coauthVersionMax="47" xr10:uidLastSave="{00000000-0000-0000-0000-000000000000}"/>
  <bookViews>
    <workbookView xWindow="-120" yWindow="-120" windowWidth="29040" windowHeight="15840" firstSheet="18" activeTab="20" xr2:uid="{00000000-000D-0000-FFFF-FFFF00000000}"/>
  </bookViews>
  <sheets>
    <sheet name="2005-2006" sheetId="2" r:id="rId1"/>
    <sheet name="2006-2007" sheetId="8" r:id="rId2"/>
    <sheet name="2007-2008" sheetId="7" r:id="rId3"/>
    <sheet name="2008-2009" sheetId="6" r:id="rId4"/>
    <sheet name="2009-2010" sheetId="5" r:id="rId5"/>
    <sheet name="2010-2011" sheetId="4" r:id="rId6"/>
    <sheet name="2011-2012" sheetId="9" r:id="rId7"/>
    <sheet name="2012-2013" sheetId="3" r:id="rId8"/>
    <sheet name="2013-2014" sheetId="10" r:id="rId9"/>
    <sheet name="2014-2015" sheetId="11" r:id="rId10"/>
    <sheet name="2015-2016" sheetId="12" r:id="rId11"/>
    <sheet name="2016-2017" sheetId="13" r:id="rId12"/>
    <sheet name="2017-2018" sheetId="14" r:id="rId13"/>
    <sheet name="2018-2019" sheetId="15" r:id="rId14"/>
    <sheet name="2019-2020" sheetId="16" r:id="rId15"/>
    <sheet name="2020-2021" sheetId="17" r:id="rId16"/>
    <sheet name="2021-2022" sheetId="18" r:id="rId17"/>
    <sheet name="2022-2023" sheetId="19" r:id="rId18"/>
    <sheet name="2023-2024 " sheetId="20" r:id="rId19"/>
    <sheet name="2024-2025" sheetId="21" r:id="rId20"/>
    <sheet name="2025-2026" sheetId="22" r:id="rId21"/>
  </sheets>
  <definedNames>
    <definedName name="_xlnm.Print_Area" localSheetId="0">'2005-2006'!$A$1:$F$40</definedName>
    <definedName name="_xlnm.Print_Area" localSheetId="8">'2013-2014'!$A$1:$F$40</definedName>
    <definedName name="_xlnm.Print_Area" localSheetId="11">'2016-2017'!$A$1:$F$41</definedName>
    <definedName name="_xlnm.Print_Area" localSheetId="12">'2017-2018'!$A$1:$F$41</definedName>
    <definedName name="_xlnm.Print_Area" localSheetId="13">'2018-2019'!$A$1:$F$41</definedName>
    <definedName name="_xlnm.Print_Area" localSheetId="14">'2019-2020'!$A$1:$F$41</definedName>
    <definedName name="_xlnm.Print_Area" localSheetId="15">'2020-2021'!$A$1:$F$41</definedName>
    <definedName name="_xlnm.Print_Area" localSheetId="16">'2021-2022'!$A$1:$F$41</definedName>
    <definedName name="_xlnm.Print_Area" localSheetId="17">'2022-2023'!$A$1:$F$41</definedName>
    <definedName name="_xlnm.Print_Area" localSheetId="18">'2023-2024 '!$A$1:$F$42</definedName>
    <definedName name="_xlnm.Print_Area" localSheetId="19">'2024-2025'!$A$1:$F$42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0" l="1"/>
  <c r="C7" i="10"/>
  <c r="F9" i="3"/>
  <c r="F8" i="3"/>
  <c r="F7" i="3"/>
  <c r="E7" i="3"/>
  <c r="E8" i="3"/>
  <c r="E9" i="3"/>
  <c r="E17" i="7"/>
  <c r="E16" i="7"/>
  <c r="E12" i="8"/>
  <c r="D12" i="8"/>
  <c r="C12" i="8"/>
  <c r="F12" i="2"/>
  <c r="E12" i="2"/>
  <c r="D12" i="2"/>
  <c r="C12" i="2"/>
</calcChain>
</file>

<file path=xl/sharedStrings.xml><?xml version="1.0" encoding="utf-8"?>
<sst xmlns="http://schemas.openxmlformats.org/spreadsheetml/2006/main" count="1704" uniqueCount="225">
  <si>
    <t xml:space="preserve"> Proceeds of Merchandise Exports by Degree of Processing *</t>
  </si>
  <si>
    <t>(US$ mn)</t>
  </si>
  <si>
    <t>During</t>
  </si>
  <si>
    <t>Q1</t>
  </si>
  <si>
    <t>Q2</t>
  </si>
  <si>
    <t>Q3</t>
  </si>
  <si>
    <t>Q4</t>
  </si>
  <si>
    <t xml:space="preserve">خــــلال </t>
  </si>
  <si>
    <t>July/Sep.2005</t>
  </si>
  <si>
    <t>Oct./Dec.2005</t>
  </si>
  <si>
    <t>Jan./Mar2006</t>
  </si>
  <si>
    <t>Apr./Jun2006</t>
  </si>
  <si>
    <r>
      <t xml:space="preserve">إجمالى الصادرات </t>
    </r>
    <r>
      <rPr>
        <u/>
        <sz val="16"/>
        <color indexed="61"/>
        <rFont val="Arial"/>
        <family val="2"/>
      </rPr>
      <t xml:space="preserve">*** </t>
    </r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</si>
  <si>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</si>
  <si>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</si>
  <si>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</si>
  <si>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</si>
  <si>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</si>
  <si>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6"/>
        <rFont val="Akhbar MT"/>
        <charset val="178"/>
      </rPr>
      <t>x</t>
    </r>
  </si>
  <si>
    <r>
      <t xml:space="preserve">Petroleum products </t>
    </r>
    <r>
      <rPr>
        <vertAlign val="superscript"/>
        <sz val="16"/>
        <rFont val="Arial"/>
        <family val="2"/>
      </rPr>
      <t>x</t>
    </r>
  </si>
  <si>
    <t>فحم بأنواعه</t>
  </si>
  <si>
    <t>Coal  &amp; types thereof</t>
  </si>
  <si>
    <t>المـــــــواد  الخـــــــــام ، منها :</t>
  </si>
  <si>
    <t>Raw Materials, of which :</t>
  </si>
  <si>
    <t>القطــن الخــــــــام</t>
  </si>
  <si>
    <t>Cotton</t>
  </si>
  <si>
    <t xml:space="preserve">بطاطـس                                  </t>
  </si>
  <si>
    <t>Potatoes</t>
  </si>
  <si>
    <t>موالح</t>
  </si>
  <si>
    <t>Citrus fruits</t>
  </si>
  <si>
    <t xml:space="preserve">نباتات طبية              </t>
  </si>
  <si>
    <t xml:space="preserve">Medicinal plants </t>
  </si>
  <si>
    <t xml:space="preserve">بهارات وفانيليا                         </t>
  </si>
  <si>
    <t>Spices &amp; vanilla</t>
  </si>
  <si>
    <t>البان ومنتجاتها وبيض وعسل</t>
  </si>
  <si>
    <t>Dairy products, eggs and honey</t>
  </si>
  <si>
    <t xml:space="preserve">كتان خام                      </t>
  </si>
  <si>
    <t>Flax, raw</t>
  </si>
  <si>
    <t>الســــــلع  نصف المصنعة ، منها :</t>
  </si>
  <si>
    <t>Semi-finished goods, of which :</t>
  </si>
  <si>
    <t xml:space="preserve">كربون                                   </t>
  </si>
  <si>
    <t>Carbon</t>
  </si>
  <si>
    <t xml:space="preserve">زيوت عطرية ومواد راتنجية                </t>
  </si>
  <si>
    <t>Essential oils &amp; resins</t>
  </si>
  <si>
    <t xml:space="preserve">ألومنيوم غير مخلوط </t>
  </si>
  <si>
    <t>Aluminium, unalloyed</t>
  </si>
  <si>
    <t>غزل القطن</t>
  </si>
  <si>
    <t>Cotton yarn</t>
  </si>
  <si>
    <t>منتجات كيماوية عضوية وغير عضوية</t>
  </si>
  <si>
    <t xml:space="preserve">Organic &amp; inorganic chemicals </t>
  </si>
  <si>
    <t>الســــــلع تامـــة الصنع ، منها :</t>
  </si>
  <si>
    <t>Finished goods, of which :</t>
  </si>
  <si>
    <t>أرز</t>
  </si>
  <si>
    <t>Rice</t>
  </si>
  <si>
    <t>صابون ومحضرات غسيل وشموع اصطناعية</t>
  </si>
  <si>
    <t>Soap, washing preparations &amp; artificial waxes</t>
  </si>
  <si>
    <t>بصـل مجـفف</t>
  </si>
  <si>
    <t>Dried onion</t>
  </si>
  <si>
    <t xml:space="preserve">منتجات صيدلية                          </t>
  </si>
  <si>
    <t xml:space="preserve">Pharmaceuticals </t>
  </si>
  <si>
    <t xml:space="preserve">أسمدة                                  </t>
  </si>
  <si>
    <t>Fertilizers</t>
  </si>
  <si>
    <t xml:space="preserve">سجاد وأغطية أرضيات    </t>
  </si>
  <si>
    <t>Carpets &amp; other floor coverings</t>
  </si>
  <si>
    <t xml:space="preserve">مصنوعات من حديد و صلب </t>
  </si>
  <si>
    <t>Articles of  iron and steel</t>
  </si>
  <si>
    <t xml:space="preserve">مصنوعات من ألومنيوم    </t>
  </si>
  <si>
    <t>Aluminium articles</t>
  </si>
  <si>
    <t>ملابس جاهزة</t>
  </si>
  <si>
    <t>Ready-made clothes</t>
  </si>
  <si>
    <t xml:space="preserve">منسوجات قطنية  </t>
  </si>
  <si>
    <t xml:space="preserve">Cotton textiles </t>
  </si>
  <si>
    <t xml:space="preserve">الصادرات غير الموزعة    </t>
  </si>
  <si>
    <t>Undistributed Exports</t>
  </si>
  <si>
    <r>
      <t>*</t>
    </r>
    <r>
      <rPr>
        <sz val="16"/>
        <rFont val="Akhbar MT"/>
        <charset val="178"/>
      </rPr>
      <t xml:space="preserve">    التصنيف على أساس التعريفة الجمركية المنسقة (درجة التصنيع) .</t>
    </r>
  </si>
  <si>
    <t>*    According to the Harmonized System (Degree of Processing) .</t>
  </si>
  <si>
    <r>
      <t>***</t>
    </r>
    <r>
      <rPr>
        <sz val="16"/>
        <rFont val="Akhbar MT"/>
        <charset val="178"/>
      </rPr>
      <t xml:space="preserve">   تتضمن صادرات المناطق الحرة.</t>
    </r>
  </si>
  <si>
    <t>***  Including exports of free zones.</t>
  </si>
  <si>
    <t>x   تتضمن الغاز الطبيعى ، وتموين السفن والطائرات بالوقود .</t>
  </si>
  <si>
    <t>x    Including natural gas &amp; bunker and jet fuel.</t>
  </si>
  <si>
    <t>July/Sep.2006</t>
  </si>
  <si>
    <t>Oct./Dec.2006</t>
  </si>
  <si>
    <t>Jan./Mar2007</t>
  </si>
  <si>
    <t>Apr./Jun2007</t>
  </si>
  <si>
    <t>July/Sep.2007</t>
  </si>
  <si>
    <t>Oct./Dec.2007</t>
  </si>
  <si>
    <t>Jan./Mar2008</t>
  </si>
  <si>
    <t>Apr./Jun2008</t>
  </si>
  <si>
    <t>July/Sep.2008</t>
  </si>
  <si>
    <t>Oct./Dec.2008</t>
  </si>
  <si>
    <t>Jan./Mar2009</t>
  </si>
  <si>
    <t>Apr./Jun2009</t>
  </si>
  <si>
    <t>July/Sep.2009</t>
  </si>
  <si>
    <t>Oct./Dec.2009</t>
  </si>
  <si>
    <t>Jan./Mar2010</t>
  </si>
  <si>
    <t>Apr./Jun2010</t>
  </si>
  <si>
    <t>July/Sep.2010</t>
  </si>
  <si>
    <t>Oct./Dec.2010</t>
  </si>
  <si>
    <t>Jan./Mar2011</t>
  </si>
  <si>
    <t>Apr./Jun2011</t>
  </si>
  <si>
    <t>July/Sep.2011</t>
  </si>
  <si>
    <t>Oct./Dec.2011</t>
  </si>
  <si>
    <t>Jan./Mar2012</t>
  </si>
  <si>
    <t>Apr./Jun2012</t>
  </si>
  <si>
    <t>July/Sep.2012</t>
  </si>
  <si>
    <t>Oct./Dec.2012</t>
  </si>
  <si>
    <t>Jan./Mar2013</t>
  </si>
  <si>
    <t>Apr./Jun2013</t>
  </si>
  <si>
    <t>July/Sep.2013</t>
  </si>
  <si>
    <t>Oct./Dec.2013</t>
  </si>
  <si>
    <t>Jan./Mar2014</t>
  </si>
  <si>
    <t>Apr./Jun2014</t>
  </si>
  <si>
    <r>
      <t xml:space="preserve">إجمالى الصادرات </t>
    </r>
    <r>
      <rPr>
        <u/>
        <sz val="16"/>
        <color indexed="61"/>
        <rFont val="Arial"/>
        <family val="2"/>
      </rPr>
      <t>**</t>
    </r>
  </si>
  <si>
    <t>Total Exports **</t>
  </si>
  <si>
    <r>
      <t>**</t>
    </r>
    <r>
      <rPr>
        <sz val="16"/>
        <rFont val="Akhbar MT"/>
        <charset val="178"/>
      </rPr>
      <t xml:space="preserve">   تتضمن صادرات المناطق الحرة.</t>
    </r>
  </si>
  <si>
    <t>**  Including exports of free zones.</t>
  </si>
  <si>
    <t>July/Sep.2014</t>
  </si>
  <si>
    <t>Oct./Dec.2014</t>
  </si>
  <si>
    <t>Jan./Mar. 2015</t>
  </si>
  <si>
    <t>Apr./June 2015</t>
  </si>
  <si>
    <t>July/Sep.2015</t>
  </si>
  <si>
    <t>Oct./Dec.2015</t>
  </si>
  <si>
    <t>Jan./Mar.2016</t>
  </si>
  <si>
    <t>Apr./June 2016</t>
  </si>
  <si>
    <r>
      <t xml:space="preserve">منتجات بترولية </t>
    </r>
    <r>
      <rPr>
        <vertAlign val="superscript"/>
        <sz val="10"/>
        <rFont val="Akhbar MT"/>
        <charset val="178"/>
      </rPr>
      <t>x</t>
    </r>
  </si>
  <si>
    <r>
      <t xml:space="preserve">Petroleum products </t>
    </r>
    <r>
      <rPr>
        <vertAlign val="superscript"/>
        <sz val="12"/>
        <rFont val="Arial"/>
        <family val="2"/>
      </rPr>
      <t>x</t>
    </r>
  </si>
  <si>
    <t xml:space="preserve">إجمالى الصادرات *** </t>
  </si>
  <si>
    <r>
      <t xml:space="preserve">منتجات بترولية </t>
    </r>
    <r>
      <rPr>
        <vertAlign val="superscript"/>
        <sz val="14"/>
        <rFont val="Calibri"/>
        <family val="2"/>
        <scheme val="minor"/>
      </rPr>
      <t>x</t>
    </r>
  </si>
  <si>
    <r>
      <t>Oil products</t>
    </r>
    <r>
      <rPr>
        <vertAlign val="superscript"/>
        <sz val="14"/>
        <rFont val="Calibri"/>
        <family val="2"/>
        <scheme val="minor"/>
      </rPr>
      <t xml:space="preserve"> x</t>
    </r>
  </si>
  <si>
    <t>المواد الخام ، منها :</t>
  </si>
  <si>
    <t>خضر طازجة أو مبردة أو مطبوخة</t>
  </si>
  <si>
    <t>Fresh, chilled, or cooked vegetables</t>
  </si>
  <si>
    <t>فواكه طازجة او مجففه</t>
  </si>
  <si>
    <t>Fresh or dried fruits</t>
  </si>
  <si>
    <t>بطاطس</t>
  </si>
  <si>
    <t xml:space="preserve">Potatoes </t>
  </si>
  <si>
    <t>القطن الخام</t>
  </si>
  <si>
    <t>Raw cotton</t>
  </si>
  <si>
    <t>ذهب</t>
  </si>
  <si>
    <t>Gold</t>
  </si>
  <si>
    <t>بوليميرات ايثيلين وبروبيلين</t>
  </si>
  <si>
    <t>Ethylene-propylene polymer</t>
  </si>
  <si>
    <t>مركبات غير عضوية او عضوية</t>
  </si>
  <si>
    <t>Organic and inorganic compounds</t>
  </si>
  <si>
    <t>شحوم وزيوت ودهون نباتية أو حيوانية</t>
  </si>
  <si>
    <t>Animal or vegetable fats, greases, and oils</t>
  </si>
  <si>
    <t>انابيب ومواسير وخراطيم</t>
  </si>
  <si>
    <t>Pipes, tubes, and hoses</t>
  </si>
  <si>
    <t>حديد صب زهر</t>
  </si>
  <si>
    <t>Cast iron</t>
  </si>
  <si>
    <t>أقمشة منسوجة</t>
  </si>
  <si>
    <t>Textiles</t>
  </si>
  <si>
    <t>أجهزة كهربائية للاستعمال المنزلي</t>
  </si>
  <si>
    <t>Household electrical appliances</t>
  </si>
  <si>
    <t>ألبان ومنتجاته وجبن</t>
  </si>
  <si>
    <t>Milk, Dairy products and cheese</t>
  </si>
  <si>
    <t>أسمدة فوسفاتية او معدنية</t>
  </si>
  <si>
    <t>Phosphate or mineral fertilizers</t>
  </si>
  <si>
    <t>ادوية وامصال ولقاحات وأصناف صيدلة</t>
  </si>
  <si>
    <t>Medicines, serums, vaccines, and pharmaceuticals</t>
  </si>
  <si>
    <t xml:space="preserve">اسلاك وكابلات </t>
  </si>
  <si>
    <t>Wires and cables</t>
  </si>
  <si>
    <t>سكر قصب او سكر شوندر (البنجر) والسكروز نقى</t>
  </si>
  <si>
    <t>Cane or beet sugar and pure sucrose</t>
  </si>
  <si>
    <t>الومنيوم ومصنوعاته</t>
  </si>
  <si>
    <t xml:space="preserve">Aluminum and articles thereof </t>
  </si>
  <si>
    <t>أجهزة  للهاتف والاتصالات</t>
  </si>
  <si>
    <t>Communication and telephone equipment</t>
  </si>
  <si>
    <t>سيارات ركوب</t>
  </si>
  <si>
    <t>Passenger vehicles</t>
  </si>
  <si>
    <t>سجاد واغطية ارضيات</t>
  </si>
  <si>
    <t>Carpets and other floor coverings</t>
  </si>
  <si>
    <t>زجاج ومصنوعاته</t>
  </si>
  <si>
    <t>Glass &amp; glassware</t>
  </si>
  <si>
    <t>صابون ومحضرات غواسل عضوية</t>
  </si>
  <si>
    <t>Soap and organic detergents</t>
  </si>
  <si>
    <t>*    التصنيف على أساس التعريفة الجمركية المنسقة (درجة التصنيع) .</t>
  </si>
  <si>
    <t>**    أرقام مبدئية.</t>
  </si>
  <si>
    <t>**   Provisional.</t>
  </si>
  <si>
    <t>***   تتضمن صادرات المناطق الحرة.</t>
  </si>
  <si>
    <r>
      <t xml:space="preserve">Oil products </t>
    </r>
    <r>
      <rPr>
        <vertAlign val="superscript"/>
        <sz val="14"/>
        <rFont val="Calibri"/>
        <family val="2"/>
        <scheme val="minor"/>
      </rPr>
      <t>x</t>
    </r>
  </si>
  <si>
    <r>
      <t>***</t>
    </r>
    <r>
      <rPr>
        <sz val="12"/>
        <rFont val="Calibri"/>
        <family val="2"/>
        <scheme val="minor"/>
      </rPr>
      <t xml:space="preserve">   تتضمن صادرات المناطق الحرة.</t>
    </r>
  </si>
  <si>
    <t>July/Sep.2016</t>
  </si>
  <si>
    <t>Oct./Dec.2016</t>
  </si>
  <si>
    <t>Jan./Mar.2017</t>
  </si>
  <si>
    <t>Apr./June 2017</t>
  </si>
  <si>
    <t>*    التصنيف على أساس التعريفة الجمركية المنسقة (درجة التصنيع).</t>
  </si>
  <si>
    <t>x   تتضمن الغاز الطبيعى ، وتموين السفن والطائرات بالوقود.</t>
  </si>
  <si>
    <t>*    According to the Harmonized System (Degree of Processing).</t>
  </si>
  <si>
    <t>July/Sep.2017</t>
  </si>
  <si>
    <t>Oct./Dec.2017</t>
  </si>
  <si>
    <t>Jan./Mar.2018</t>
  </si>
  <si>
    <t>Apr./June 2018</t>
  </si>
  <si>
    <t>July/Sep.2018</t>
  </si>
  <si>
    <t>Oct./Dec.2018</t>
  </si>
  <si>
    <t>Jan./Mar.2019</t>
  </si>
  <si>
    <t>Apr./June 2019</t>
  </si>
  <si>
    <t>July/Sep. 2019</t>
  </si>
  <si>
    <t>Oct./Dec.2019</t>
  </si>
  <si>
    <t>Jan./Mar.2020</t>
  </si>
  <si>
    <t>Apr./June 2020</t>
  </si>
  <si>
    <t>July/Sep. 2020</t>
  </si>
  <si>
    <t>Oct./Dec. 2020</t>
  </si>
  <si>
    <t>Jan./Mar.2021</t>
  </si>
  <si>
    <t>Apr./June 2021</t>
  </si>
  <si>
    <t>July/Sep. 2023**</t>
  </si>
  <si>
    <t>Oct./Dec. 2023**</t>
  </si>
  <si>
    <t>Jan./Mar. 2024**</t>
  </si>
  <si>
    <t>Apr./June 2024**</t>
  </si>
  <si>
    <t>July/Sep. 2021</t>
  </si>
  <si>
    <t>Oct./Dec. 2021</t>
  </si>
  <si>
    <t>Jan./Mar. 2022</t>
  </si>
  <si>
    <t>Apr./June 2022</t>
  </si>
  <si>
    <t>July/Sep. 2024**</t>
  </si>
  <si>
    <t>Oct./Dec. 2024**</t>
  </si>
  <si>
    <t>Jan./Mar. 2025**</t>
  </si>
  <si>
    <t>Apr./June 2025**</t>
  </si>
  <si>
    <t xml:space="preserve"> Proceeds of Merchandise Exports by Degree of Processing </t>
  </si>
  <si>
    <t>July/Sep. 2022</t>
  </si>
  <si>
    <t>Oct./Dec. 2022</t>
  </si>
  <si>
    <t>Jan./Mar. 2023</t>
  </si>
  <si>
    <t>Apr./June 2023</t>
  </si>
  <si>
    <t>July/Sep. 2025**</t>
  </si>
  <si>
    <t>Oct./Dec. 2025**</t>
  </si>
  <si>
    <t>Jan./Mar. 2026**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</si>
</sst>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35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8"/>
      <name val="Arial"/>
      <family val="2"/>
    </font>
    <font>
      <sz val="16"/>
      <name val="Arial"/>
      <family val="2"/>
      <charset val="178"/>
    </font>
    <font>
      <sz val="16"/>
      <name val="Akhbar MT"/>
      <charset val="178"/>
    </font>
    <font>
      <b/>
      <sz val="16"/>
      <name val="Arial"/>
      <family val="2"/>
    </font>
    <font>
      <b/>
      <sz val="16"/>
      <name val="Akhbar MT"/>
      <charset val="178"/>
    </font>
    <font>
      <sz val="16"/>
      <color indexed="17"/>
      <name val="Arial"/>
      <family val="2"/>
    </font>
    <font>
      <sz val="16"/>
      <color indexed="17"/>
      <name val="Arial"/>
      <family val="2"/>
      <charset val="178"/>
    </font>
    <font>
      <sz val="16"/>
      <color indexed="17"/>
      <name val="Akhbar MT"/>
      <charset val="178"/>
    </font>
    <font>
      <sz val="16"/>
      <color indexed="17"/>
      <name val="Times New Roman"/>
      <family val="1"/>
    </font>
    <font>
      <u/>
      <sz val="16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rial"/>
      <family val="2"/>
    </font>
    <font>
      <sz val="16"/>
      <color indexed="61"/>
      <name val="Akhbar MT"/>
      <charset val="178"/>
    </font>
    <font>
      <vertAlign val="superscript"/>
      <sz val="16"/>
      <name val="Arial"/>
      <family val="2"/>
    </font>
    <font>
      <vertAlign val="superscript"/>
      <sz val="16"/>
      <name val="Akhbar MT"/>
      <charset val="178"/>
    </font>
    <font>
      <sz val="16"/>
      <name val="Times New Roman"/>
      <family val="1"/>
    </font>
    <font>
      <sz val="16"/>
      <name val="Arial Euro"/>
      <family val="2"/>
      <charset val="178"/>
    </font>
    <font>
      <b/>
      <u/>
      <sz val="16"/>
      <name val="Times New (W1)"/>
      <family val="1"/>
    </font>
    <font>
      <b/>
      <sz val="12"/>
      <name val="Arial"/>
      <family val="2"/>
      <charset val="178"/>
    </font>
    <font>
      <b/>
      <u/>
      <sz val="12"/>
      <color indexed="10"/>
      <name val="Arial"/>
      <family val="2"/>
    </font>
    <font>
      <sz val="12"/>
      <name val="Arial"/>
      <family val="2"/>
    </font>
    <font>
      <sz val="10"/>
      <name val="MS Sans Serif"/>
      <family val="2"/>
      <charset val="178"/>
    </font>
    <font>
      <vertAlign val="superscript"/>
      <sz val="12"/>
      <name val="Arial"/>
      <family val="2"/>
    </font>
    <font>
      <vertAlign val="superscript"/>
      <sz val="10"/>
      <name val="Akhbar MT"/>
      <charset val="178"/>
    </font>
    <font>
      <u/>
      <sz val="14"/>
      <color indexed="61"/>
      <name val="Arial"/>
      <family val="2"/>
    </font>
    <font>
      <sz val="14"/>
      <name val="Arial"/>
      <family val="2"/>
    </font>
    <font>
      <sz val="14"/>
      <color indexed="61"/>
      <name val="Calibri"/>
      <family val="2"/>
      <scheme val="minor"/>
    </font>
    <font>
      <sz val="14"/>
      <color indexed="61"/>
      <name val="Arial"/>
      <family val="2"/>
    </font>
    <font>
      <u/>
      <sz val="14"/>
      <color indexed="61"/>
      <name val="Calibri"/>
      <family val="2"/>
      <scheme val="minor"/>
    </font>
    <font>
      <sz val="12"/>
      <name val="Calibri"/>
      <family val="2"/>
      <scheme val="minor"/>
    </font>
    <font>
      <u/>
      <sz val="10"/>
      <color indexed="36"/>
      <name val="Arial"/>
      <family val="2"/>
    </font>
    <font>
      <vertAlign val="superscript"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4DFEC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4" fillId="0" borderId="0"/>
    <xf numFmtId="0" fontId="1" fillId="0" borderId="0"/>
    <xf numFmtId="165" fontId="1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1" xfId="1" quotePrefix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68" fontId="12" fillId="0" borderId="2" xfId="1" applyNumberFormat="1" applyFont="1" applyBorder="1" applyAlignment="1">
      <alignment horizontal="center" vertical="center"/>
    </xf>
    <xf numFmtId="168" fontId="14" fillId="0" borderId="3" xfId="1" quotePrefix="1" applyNumberFormat="1" applyFont="1" applyBorder="1" applyAlignment="1">
      <alignment horizontal="center" vertical="center"/>
    </xf>
    <xf numFmtId="168" fontId="14" fillId="0" borderId="3" xfId="1" applyNumberFormat="1" applyFont="1" applyBorder="1" applyAlignment="1">
      <alignment horizontal="center" vertical="center"/>
    </xf>
    <xf numFmtId="168" fontId="2" fillId="0" borderId="3" xfId="1" applyNumberFormat="1" applyFont="1" applyBorder="1" applyAlignment="1">
      <alignment horizontal="center" vertical="center"/>
    </xf>
    <xf numFmtId="168" fontId="2" fillId="0" borderId="3" xfId="1" quotePrefix="1" applyNumberFormat="1" applyFont="1" applyBorder="1" applyAlignment="1">
      <alignment horizontal="center" vertical="center"/>
    </xf>
    <xf numFmtId="0" fontId="2" fillId="0" borderId="3" xfId="1" applyFont="1" applyBorder="1" applyAlignment="1">
      <alignment horizontal="center"/>
    </xf>
    <xf numFmtId="168" fontId="2" fillId="0" borderId="3" xfId="1" applyNumberFormat="1" applyFont="1" applyBorder="1" applyAlignment="1">
      <alignment horizontal="center"/>
    </xf>
    <xf numFmtId="168" fontId="14" fillId="0" borderId="4" xfId="1" quotePrefix="1" applyNumberFormat="1" applyFont="1" applyBorder="1" applyAlignment="1">
      <alignment horizontal="center" vertical="center"/>
    </xf>
    <xf numFmtId="168" fontId="14" fillId="0" borderId="4" xfId="1" applyNumberFormat="1" applyFont="1" applyBorder="1" applyAlignment="1">
      <alignment horizontal="center" vertical="center"/>
    </xf>
    <xf numFmtId="0" fontId="2" fillId="0" borderId="0" xfId="1" applyFont="1"/>
    <xf numFmtId="0" fontId="18" fillId="0" borderId="0" xfId="1" applyFont="1"/>
    <xf numFmtId="1" fontId="19" fillId="0" borderId="0" xfId="1" applyNumberFormat="1" applyFont="1" applyAlignment="1">
      <alignment vertical="center"/>
    </xf>
    <xf numFmtId="0" fontId="6" fillId="0" borderId="0" xfId="1" applyFont="1"/>
    <xf numFmtId="0" fontId="6" fillId="0" borderId="0" xfId="1" applyFont="1" applyAlignment="1">
      <alignment horizontal="center"/>
    </xf>
    <xf numFmtId="0" fontId="9" fillId="4" borderId="2" xfId="1" applyFont="1" applyFill="1" applyBorder="1"/>
    <xf numFmtId="0" fontId="13" fillId="4" borderId="2" xfId="1" applyFont="1" applyFill="1" applyBorder="1" applyAlignment="1">
      <alignment horizontal="right" vertical="center" indent="1"/>
    </xf>
    <xf numFmtId="0" fontId="12" fillId="4" borderId="2" xfId="1" applyFont="1" applyFill="1" applyBorder="1" applyAlignment="1">
      <alignment horizontal="left" vertical="center" indent="1" readingOrder="1"/>
    </xf>
    <xf numFmtId="0" fontId="15" fillId="4" borderId="3" xfId="1" applyFont="1" applyFill="1" applyBorder="1" applyAlignment="1">
      <alignment horizontal="right" vertical="center" indent="1" readingOrder="2"/>
    </xf>
    <xf numFmtId="0" fontId="14" fillId="4" borderId="3" xfId="1" applyFont="1" applyFill="1" applyBorder="1" applyAlignment="1">
      <alignment horizontal="left" vertical="center" indent="1" readingOrder="1"/>
    </xf>
    <xf numFmtId="0" fontId="5" fillId="4" borderId="3" xfId="1" applyFont="1" applyFill="1" applyBorder="1" applyAlignment="1">
      <alignment horizontal="right" vertical="center" indent="2" readingOrder="2"/>
    </xf>
    <xf numFmtId="0" fontId="4" fillId="4" borderId="3" xfId="1" quotePrefix="1" applyFont="1" applyFill="1" applyBorder="1" applyAlignment="1">
      <alignment horizontal="left" vertical="center" indent="2" readingOrder="1"/>
    </xf>
    <xf numFmtId="0" fontId="4" fillId="4" borderId="3" xfId="1" applyFont="1" applyFill="1" applyBorder="1" applyAlignment="1">
      <alignment horizontal="left" vertical="center" indent="2" readingOrder="1"/>
    </xf>
    <xf numFmtId="0" fontId="15" fillId="4" borderId="4" xfId="1" applyFont="1" applyFill="1" applyBorder="1" applyAlignment="1">
      <alignment horizontal="right" vertical="center" indent="1" readingOrder="2"/>
    </xf>
    <xf numFmtId="0" fontId="14" fillId="4" borderId="4" xfId="1" applyFont="1" applyFill="1" applyBorder="1" applyAlignment="1">
      <alignment horizontal="left" vertical="center" indent="1" readingOrder="1"/>
    </xf>
    <xf numFmtId="0" fontId="20" fillId="2" borderId="5" xfId="0" applyFont="1" applyFill="1" applyBorder="1" applyAlignment="1">
      <alignment horizontal="center" vertical="center" wrapText="1" readingOrder="1"/>
    </xf>
    <xf numFmtId="0" fontId="2" fillId="5" borderId="0" xfId="1" applyFont="1" applyFill="1" applyAlignment="1">
      <alignment vertical="center"/>
    </xf>
    <xf numFmtId="0" fontId="2" fillId="5" borderId="6" xfId="1" applyFont="1" applyFill="1" applyBorder="1" applyAlignment="1">
      <alignment vertical="center"/>
    </xf>
    <xf numFmtId="0" fontId="20" fillId="2" borderId="2" xfId="0" applyFont="1" applyFill="1" applyBorder="1" applyAlignment="1">
      <alignment horizontal="center" vertical="center" wrapText="1" readingOrder="1"/>
    </xf>
    <xf numFmtId="0" fontId="21" fillId="0" borderId="0" xfId="1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2" fillId="0" borderId="0" xfId="0" applyFont="1" applyAlignment="1">
      <alignment vertical="center"/>
    </xf>
    <xf numFmtId="0" fontId="22" fillId="0" borderId="1" xfId="0" applyFont="1" applyBorder="1" applyAlignment="1">
      <alignment vertical="center"/>
    </xf>
    <xf numFmtId="168" fontId="12" fillId="0" borderId="2" xfId="3" applyNumberFormat="1" applyFont="1" applyBorder="1" applyAlignment="1">
      <alignment horizontal="center" vertical="center"/>
    </xf>
    <xf numFmtId="168" fontId="14" fillId="0" borderId="3" xfId="3" quotePrefix="1" applyNumberFormat="1" applyFont="1" applyBorder="1" applyAlignment="1">
      <alignment horizontal="center" vertical="center"/>
    </xf>
    <xf numFmtId="168" fontId="2" fillId="0" borderId="3" xfId="3" applyNumberFormat="1" applyFont="1" applyBorder="1" applyAlignment="1">
      <alignment horizontal="center" vertical="center"/>
    </xf>
    <xf numFmtId="168" fontId="2" fillId="0" borderId="3" xfId="3" quotePrefix="1" applyNumberFormat="1" applyFont="1" applyBorder="1" applyAlignment="1">
      <alignment horizontal="center" vertical="center"/>
    </xf>
    <xf numFmtId="168" fontId="14" fillId="0" borderId="4" xfId="3" quotePrefix="1" applyNumberFormat="1" applyFont="1" applyBorder="1" applyAlignment="1">
      <alignment horizontal="center" vertical="center"/>
    </xf>
    <xf numFmtId="168" fontId="0" fillId="0" borderId="0" xfId="0" applyNumberFormat="1"/>
    <xf numFmtId="0" fontId="2" fillId="0" borderId="0" xfId="0" applyFont="1"/>
    <xf numFmtId="0" fontId="20" fillId="2" borderId="7" xfId="0" applyFont="1" applyFill="1" applyBorder="1" applyAlignment="1">
      <alignment horizontal="center" vertical="center" wrapText="1" readingOrder="1"/>
    </xf>
    <xf numFmtId="168" fontId="7" fillId="0" borderId="1" xfId="1" applyNumberFormat="1" applyFont="1" applyBorder="1" applyAlignment="1">
      <alignment horizontal="center" vertical="center"/>
    </xf>
    <xf numFmtId="168" fontId="2" fillId="0" borderId="0" xfId="0" applyNumberFormat="1" applyFont="1"/>
    <xf numFmtId="0" fontId="23" fillId="0" borderId="0" xfId="0" applyFont="1"/>
    <xf numFmtId="0" fontId="28" fillId="0" borderId="0" xfId="0" applyFont="1"/>
    <xf numFmtId="0" fontId="29" fillId="4" borderId="3" xfId="1" applyFont="1" applyFill="1" applyBorder="1" applyAlignment="1">
      <alignment horizontal="right" vertical="center" indent="1" readingOrder="2"/>
    </xf>
    <xf numFmtId="0" fontId="31" fillId="4" borderId="2" xfId="1" applyFont="1" applyFill="1" applyBorder="1" applyAlignment="1">
      <alignment horizontal="right" vertical="center" indent="1"/>
    </xf>
    <xf numFmtId="0" fontId="31" fillId="4" borderId="2" xfId="1" applyFont="1" applyFill="1" applyBorder="1" applyAlignment="1">
      <alignment horizontal="left" vertical="center" indent="1" readingOrder="1"/>
    </xf>
    <xf numFmtId="0" fontId="29" fillId="4" borderId="3" xfId="1" applyFont="1" applyFill="1" applyBorder="1" applyAlignment="1">
      <alignment horizontal="left" vertical="center" indent="1" readingOrder="1"/>
    </xf>
    <xf numFmtId="0" fontId="32" fillId="4" borderId="3" xfId="1" applyFont="1" applyFill="1" applyBorder="1" applyAlignment="1">
      <alignment horizontal="right" vertical="center" indent="2" readingOrder="2"/>
    </xf>
    <xf numFmtId="0" fontId="32" fillId="4" borderId="3" xfId="1" quotePrefix="1" applyFont="1" applyFill="1" applyBorder="1" applyAlignment="1">
      <alignment horizontal="left" vertical="center" indent="2" readingOrder="1"/>
    </xf>
    <xf numFmtId="0" fontId="32" fillId="4" borderId="3" xfId="1" applyFont="1" applyFill="1" applyBorder="1" applyAlignment="1">
      <alignment horizontal="left" vertical="center" indent="2" readingOrder="1"/>
    </xf>
    <xf numFmtId="0" fontId="29" fillId="4" borderId="4" xfId="1" applyFont="1" applyFill="1" applyBorder="1" applyAlignment="1">
      <alignment horizontal="right" vertical="center" indent="1" readingOrder="2"/>
    </xf>
    <xf numFmtId="0" fontId="29" fillId="4" borderId="4" xfId="1" applyFont="1" applyFill="1" applyBorder="1" applyAlignment="1">
      <alignment horizontal="left" vertical="center" indent="1" readingOrder="1"/>
    </xf>
    <xf numFmtId="0" fontId="32" fillId="0" borderId="0" xfId="1" applyFont="1" applyAlignment="1">
      <alignment horizontal="left" vertical="center" indent="1"/>
    </xf>
    <xf numFmtId="0" fontId="32" fillId="0" borderId="0" xfId="1" applyFont="1"/>
    <xf numFmtId="0" fontId="32" fillId="0" borderId="0" xfId="0" applyFont="1"/>
    <xf numFmtId="0" fontId="32" fillId="0" borderId="0" xfId="1" applyFont="1" applyAlignment="1">
      <alignment horizontal="right" vertical="center" indent="1" readingOrder="2"/>
    </xf>
    <xf numFmtId="1" fontId="32" fillId="0" borderId="0" xfId="1" applyNumberFormat="1" applyFont="1" applyAlignment="1">
      <alignment vertical="center"/>
    </xf>
    <xf numFmtId="168" fontId="27" fillId="0" borderId="2" xfId="3" applyNumberFormat="1" applyFont="1" applyBorder="1" applyAlignment="1">
      <alignment horizontal="center" vertical="center"/>
    </xf>
    <xf numFmtId="168" fontId="30" fillId="0" borderId="3" xfId="3" quotePrefix="1" applyNumberFormat="1" applyFont="1" applyBorder="1" applyAlignment="1">
      <alignment horizontal="center" vertical="center"/>
    </xf>
    <xf numFmtId="168" fontId="23" fillId="0" borderId="3" xfId="3" applyNumberFormat="1" applyFont="1" applyBorder="1" applyAlignment="1">
      <alignment horizontal="center" vertical="center"/>
    </xf>
    <xf numFmtId="168" fontId="23" fillId="0" borderId="3" xfId="3" quotePrefix="1" applyNumberFormat="1" applyFont="1" applyBorder="1" applyAlignment="1">
      <alignment horizontal="center" vertical="center"/>
    </xf>
    <xf numFmtId="168" fontId="30" fillId="0" borderId="4" xfId="3" quotePrefix="1" applyNumberFormat="1" applyFont="1" applyBorder="1" applyAlignment="1">
      <alignment horizontal="center" vertical="center"/>
    </xf>
    <xf numFmtId="168" fontId="28" fillId="0" borderId="0" xfId="0" applyNumberFormat="1" applyFont="1"/>
    <xf numFmtId="0" fontId="21" fillId="0" borderId="0" xfId="1" applyFont="1" applyAlignment="1">
      <alignment horizontal="center" vertical="center"/>
    </xf>
    <xf numFmtId="168" fontId="30" fillId="0" borderId="0" xfId="3" quotePrefix="1" applyNumberFormat="1" applyFont="1" applyAlignment="1">
      <alignment horizontal="center" vertical="center"/>
    </xf>
    <xf numFmtId="0" fontId="32" fillId="0" borderId="0" xfId="1" applyFont="1" applyAlignment="1">
      <alignment horizontal="left" vertical="center" indent="1" readingOrder="1"/>
    </xf>
    <xf numFmtId="168" fontId="27" fillId="0" borderId="2" xfId="3" applyNumberFormat="1" applyFont="1" applyFill="1" applyBorder="1" applyAlignment="1">
      <alignment horizontal="center" vertical="center"/>
    </xf>
    <xf numFmtId="168" fontId="30" fillId="0" borderId="3" xfId="3" quotePrefix="1" applyNumberFormat="1" applyFont="1" applyFill="1" applyBorder="1" applyAlignment="1">
      <alignment horizontal="center" vertical="center"/>
    </xf>
    <xf numFmtId="168" fontId="23" fillId="0" borderId="3" xfId="3" applyNumberFormat="1" applyFont="1" applyFill="1" applyBorder="1" applyAlignment="1">
      <alignment horizontal="center" vertical="center"/>
    </xf>
    <xf numFmtId="168" fontId="23" fillId="0" borderId="3" xfId="3" quotePrefix="1" applyNumberFormat="1" applyFont="1" applyFill="1" applyBorder="1" applyAlignment="1">
      <alignment horizontal="center" vertical="center"/>
    </xf>
    <xf numFmtId="168" fontId="30" fillId="0" borderId="4" xfId="3" quotePrefix="1" applyNumberFormat="1" applyFont="1" applyFill="1" applyBorder="1" applyAlignment="1">
      <alignment horizontal="center" vertical="center"/>
    </xf>
    <xf numFmtId="0" fontId="31" fillId="7" borderId="2" xfId="1" applyFont="1" applyFill="1" applyBorder="1" applyAlignment="1">
      <alignment horizontal="right" vertical="center" indent="1"/>
    </xf>
    <xf numFmtId="0" fontId="31" fillId="7" borderId="2" xfId="1" applyFont="1" applyFill="1" applyBorder="1" applyAlignment="1">
      <alignment horizontal="left" vertical="center" indent="1" readingOrder="1"/>
    </xf>
    <xf numFmtId="0" fontId="29" fillId="7" borderId="3" xfId="1" applyFont="1" applyFill="1" applyBorder="1" applyAlignment="1">
      <alignment horizontal="right" vertical="center" indent="1" readingOrder="2"/>
    </xf>
    <xf numFmtId="0" fontId="29" fillId="7" borderId="3" xfId="1" applyFont="1" applyFill="1" applyBorder="1" applyAlignment="1">
      <alignment horizontal="left" vertical="center" indent="1" readingOrder="1"/>
    </xf>
    <xf numFmtId="0" fontId="32" fillId="7" borderId="3" xfId="1" applyFont="1" applyFill="1" applyBorder="1" applyAlignment="1">
      <alignment horizontal="right" vertical="center" indent="2" readingOrder="2"/>
    </xf>
    <xf numFmtId="0" fontId="32" fillId="7" borderId="3" xfId="1" quotePrefix="1" applyFont="1" applyFill="1" applyBorder="1" applyAlignment="1">
      <alignment horizontal="left" vertical="center" indent="2" readingOrder="1"/>
    </xf>
    <xf numFmtId="0" fontId="32" fillId="7" borderId="3" xfId="1" applyFont="1" applyFill="1" applyBorder="1" applyAlignment="1">
      <alignment horizontal="left" vertical="center" indent="2" readingOrder="1"/>
    </xf>
    <xf numFmtId="0" fontId="29" fillId="7" borderId="4" xfId="1" applyFont="1" applyFill="1" applyBorder="1" applyAlignment="1">
      <alignment horizontal="right" vertical="center" indent="1" readingOrder="2"/>
    </xf>
    <xf numFmtId="0" fontId="29" fillId="7" borderId="4" xfId="1" applyFont="1" applyFill="1" applyBorder="1" applyAlignment="1">
      <alignment horizontal="left" vertical="center" indent="1" readingOrder="1"/>
    </xf>
    <xf numFmtId="0" fontId="2" fillId="3" borderId="0" xfId="1" applyFont="1" applyFill="1" applyAlignment="1">
      <alignment horizontal="center" vertical="center"/>
    </xf>
    <xf numFmtId="0" fontId="20" fillId="6" borderId="3" xfId="0" applyFont="1" applyFill="1" applyBorder="1" applyAlignment="1">
      <alignment horizontal="center" vertical="center" wrapText="1" readingOrder="1"/>
    </xf>
    <xf numFmtId="0" fontId="20" fillId="6" borderId="4" xfId="0" applyFont="1" applyFill="1" applyBorder="1" applyAlignment="1">
      <alignment horizontal="center" vertical="center" wrapText="1" readingOrder="1"/>
    </xf>
    <xf numFmtId="0" fontId="10" fillId="4" borderId="3" xfId="1" applyFont="1" applyFill="1" applyBorder="1" applyAlignment="1">
      <alignment horizontal="center" vertical="center"/>
    </xf>
    <xf numFmtId="0" fontId="11" fillId="4" borderId="4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readingOrder="1"/>
    </xf>
    <xf numFmtId="0" fontId="8" fillId="4" borderId="3" xfId="1" applyFont="1" applyFill="1" applyBorder="1" applyAlignment="1">
      <alignment horizontal="center" vertical="center" readingOrder="1"/>
    </xf>
    <xf numFmtId="0" fontId="8" fillId="4" borderId="4" xfId="1" applyFont="1" applyFill="1" applyBorder="1" applyAlignment="1">
      <alignment horizontal="center" vertical="center" readingOrder="1"/>
    </xf>
    <xf numFmtId="0" fontId="20" fillId="6" borderId="2" xfId="0" applyFont="1" applyFill="1" applyBorder="1" applyAlignment="1">
      <alignment horizontal="center" vertical="center" wrapText="1" readingOrder="1"/>
    </xf>
    <xf numFmtId="0" fontId="10" fillId="4" borderId="2" xfId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 wrapText="1"/>
    </xf>
    <xf numFmtId="0" fontId="10" fillId="7" borderId="2" xfId="1" applyFont="1" applyFill="1" applyBorder="1" applyAlignment="1">
      <alignment horizontal="center" vertical="center"/>
    </xf>
    <xf numFmtId="0" fontId="10" fillId="7" borderId="3" xfId="1" applyFont="1" applyFill="1" applyBorder="1" applyAlignment="1">
      <alignment horizontal="center" vertical="center"/>
    </xf>
    <xf numFmtId="0" fontId="10" fillId="7" borderId="4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 readingOrder="1"/>
    </xf>
    <xf numFmtId="0" fontId="8" fillId="7" borderId="3" xfId="1" applyFont="1" applyFill="1" applyBorder="1" applyAlignment="1">
      <alignment horizontal="center" vertical="center" readingOrder="1"/>
    </xf>
    <xf numFmtId="0" fontId="8" fillId="7" borderId="4" xfId="1" applyFont="1" applyFill="1" applyBorder="1" applyAlignment="1">
      <alignment horizontal="center" vertical="center" readingOrder="1"/>
    </xf>
  </cellXfs>
  <cellStyles count="10">
    <cellStyle name="Normal" xfId="0" builtinId="0"/>
    <cellStyle name="Normal_BOP_11_14-19_21" xfId="1" xr:uid="{00000000-0005-0000-0000-000001000000}"/>
    <cellStyle name="Normal_BOP_11_14-19_21 3" xfId="3" xr:uid="{00000000-0005-0000-0000-000002000000}"/>
    <cellStyle name="Spelling 1033,0" xfId="4" xr:uid="{00000000-0005-0000-0000-000003000000}"/>
    <cellStyle name="ارتباط تشعبي متبع_قطاعات" xfId="5" xr:uid="{00000000-0005-0000-0000-000004000000}"/>
    <cellStyle name="عادي_artim" xfId="2" xr:uid="{00000000-0005-0000-0000-000005000000}"/>
    <cellStyle name="عملة [0]_Book1" xfId="6" xr:uid="{00000000-0005-0000-0000-000006000000}"/>
    <cellStyle name="عملة_Book1" xfId="7" xr:uid="{00000000-0005-0000-0000-000007000000}"/>
    <cellStyle name="فاصلة [0]_Book1" xfId="8" xr:uid="{00000000-0005-0000-0000-000008000000}"/>
    <cellStyle name="فاصلة_Book1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view="pageBreakPreview" zoomScale="75" zoomScaleNormal="75" zoomScaleSheetLayoutView="75" workbookViewId="0">
      <selection sqref="A1:A1048576"/>
    </sheetView>
  </sheetViews>
  <sheetFormatPr defaultRowHeight="20.25"/>
  <cols>
    <col min="1" max="1" width="60.85546875" style="16" customWidth="1"/>
    <col min="2" max="2" width="75.28515625" style="16" customWidth="1"/>
    <col min="3" max="6" width="20.7109375" style="16" customWidth="1"/>
  </cols>
  <sheetData>
    <row r="1" spans="1:8" ht="26.25">
      <c r="A1" s="3"/>
      <c r="B1" s="1"/>
      <c r="C1" s="2"/>
      <c r="D1" s="2"/>
      <c r="E1" s="2"/>
      <c r="F1" s="2"/>
    </row>
    <row r="2" spans="1:8">
      <c r="A2" s="88" t="s">
        <v>0</v>
      </c>
      <c r="B2" s="88"/>
      <c r="C2" s="88"/>
      <c r="D2" s="88"/>
      <c r="E2" s="88"/>
      <c r="F2" s="88"/>
      <c r="G2" s="32"/>
      <c r="H2" s="32"/>
    </row>
    <row r="3" spans="1:8" ht="27.75">
      <c r="A3" s="6"/>
      <c r="B3" s="4"/>
      <c r="C3" s="5"/>
      <c r="D3" s="5"/>
      <c r="E3" s="5"/>
      <c r="F3" s="35" t="s">
        <v>1</v>
      </c>
    </row>
    <row r="4" spans="1:8">
      <c r="A4" s="21"/>
      <c r="B4" s="93" t="s">
        <v>2</v>
      </c>
      <c r="C4" s="31" t="s">
        <v>3</v>
      </c>
      <c r="D4" s="31" t="s">
        <v>4</v>
      </c>
      <c r="E4" s="31" t="s">
        <v>5</v>
      </c>
      <c r="F4" s="31" t="s">
        <v>6</v>
      </c>
    </row>
    <row r="5" spans="1:8" ht="12.75" customHeight="1">
      <c r="A5" s="91" t="s">
        <v>7</v>
      </c>
      <c r="B5" s="94"/>
      <c r="C5" s="89" t="s">
        <v>8</v>
      </c>
      <c r="D5" s="89" t="s">
        <v>9</v>
      </c>
      <c r="E5" s="89" t="s">
        <v>10</v>
      </c>
      <c r="F5" s="89" t="s">
        <v>11</v>
      </c>
    </row>
    <row r="6" spans="1:8" ht="20.25" customHeight="1">
      <c r="A6" s="92"/>
      <c r="B6" s="95"/>
      <c r="C6" s="90"/>
      <c r="D6" s="90"/>
      <c r="E6" s="90"/>
      <c r="F6" s="90"/>
    </row>
    <row r="7" spans="1:8" ht="26.25">
      <c r="A7" s="22" t="s">
        <v>12</v>
      </c>
      <c r="B7" s="23" t="s">
        <v>13</v>
      </c>
      <c r="C7" s="7">
        <v>4031</v>
      </c>
      <c r="D7" s="7">
        <v>4544.5</v>
      </c>
      <c r="E7" s="7">
        <v>4884.8999999999996</v>
      </c>
      <c r="F7" s="7">
        <v>4994.7</v>
      </c>
    </row>
    <row r="8" spans="1:8" ht="26.25">
      <c r="A8" s="24" t="s">
        <v>14</v>
      </c>
      <c r="B8" s="25" t="s">
        <v>15</v>
      </c>
      <c r="C8" s="8">
        <v>2163.6999999999998</v>
      </c>
      <c r="D8" s="9">
        <v>2670.3</v>
      </c>
      <c r="E8" s="8">
        <v>2759.7</v>
      </c>
      <c r="F8" s="8">
        <v>2835.8</v>
      </c>
    </row>
    <row r="9" spans="1:8" ht="26.25">
      <c r="A9" s="26" t="s">
        <v>16</v>
      </c>
      <c r="B9" s="27" t="s">
        <v>17</v>
      </c>
      <c r="C9" s="10">
        <v>759.7</v>
      </c>
      <c r="D9" s="10">
        <v>816.9</v>
      </c>
      <c r="E9" s="10">
        <v>753.4</v>
      </c>
      <c r="F9" s="10">
        <v>883.8</v>
      </c>
    </row>
    <row r="10" spans="1:8" ht="29.25">
      <c r="A10" s="26" t="s">
        <v>18</v>
      </c>
      <c r="B10" s="27" t="s">
        <v>19</v>
      </c>
      <c r="C10" s="10">
        <v>1378.1</v>
      </c>
      <c r="D10" s="10">
        <v>1777.3</v>
      </c>
      <c r="E10" s="10">
        <v>1954.2</v>
      </c>
      <c r="F10" s="10">
        <v>1899</v>
      </c>
    </row>
    <row r="11" spans="1:8" ht="26.25">
      <c r="A11" s="26" t="s">
        <v>20</v>
      </c>
      <c r="B11" s="28" t="s">
        <v>21</v>
      </c>
      <c r="C11" s="10">
        <v>8.5</v>
      </c>
      <c r="D11" s="10">
        <v>2.1</v>
      </c>
      <c r="E11" s="10">
        <v>1.6</v>
      </c>
      <c r="F11" s="10">
        <v>10.1</v>
      </c>
    </row>
    <row r="12" spans="1:8" ht="26.25">
      <c r="A12" s="24" t="s">
        <v>22</v>
      </c>
      <c r="B12" s="25" t="s">
        <v>23</v>
      </c>
      <c r="C12" s="8">
        <f>97.4+32.8</f>
        <v>130.19999999999999</v>
      </c>
      <c r="D12" s="9">
        <f>138.3+20.2</f>
        <v>158.5</v>
      </c>
      <c r="E12" s="8">
        <f>153.2+56.7</f>
        <v>209.89999999999998</v>
      </c>
      <c r="F12" s="8">
        <f>133.3+36.6</f>
        <v>169.9</v>
      </c>
    </row>
    <row r="13" spans="1:8" ht="26.25">
      <c r="A13" s="26" t="s">
        <v>24</v>
      </c>
      <c r="B13" s="28" t="s">
        <v>25</v>
      </c>
      <c r="C13" s="11">
        <v>32.799999999999997</v>
      </c>
      <c r="D13" s="10">
        <v>20.2</v>
      </c>
      <c r="E13" s="11">
        <v>56.7</v>
      </c>
      <c r="F13" s="11">
        <v>36.6</v>
      </c>
    </row>
    <row r="14" spans="1:8" ht="26.25">
      <c r="A14" s="26" t="s">
        <v>26</v>
      </c>
      <c r="B14" s="27" t="s">
        <v>27</v>
      </c>
      <c r="C14" s="11">
        <v>0.5</v>
      </c>
      <c r="D14" s="10">
        <v>0.2</v>
      </c>
      <c r="E14" s="11">
        <v>0.5</v>
      </c>
      <c r="F14" s="11">
        <v>1.1000000000000001</v>
      </c>
    </row>
    <row r="15" spans="1:8" ht="26.25">
      <c r="A15" s="26" t="s">
        <v>28</v>
      </c>
      <c r="B15" s="27" t="s">
        <v>29</v>
      </c>
      <c r="C15" s="10">
        <v>4.5</v>
      </c>
      <c r="D15" s="10">
        <v>4.4000000000000004</v>
      </c>
      <c r="E15" s="10">
        <v>13.8</v>
      </c>
      <c r="F15" s="10">
        <v>15.6</v>
      </c>
    </row>
    <row r="16" spans="1:8" ht="26.25">
      <c r="A16" s="26" t="s">
        <v>30</v>
      </c>
      <c r="B16" s="27" t="s">
        <v>31</v>
      </c>
      <c r="C16" s="10">
        <v>0.9</v>
      </c>
      <c r="D16" s="10">
        <v>0.8</v>
      </c>
      <c r="E16" s="10">
        <v>1.2</v>
      </c>
      <c r="F16" s="10">
        <v>1</v>
      </c>
    </row>
    <row r="17" spans="1:6" ht="26.25">
      <c r="A17" s="26" t="s">
        <v>32</v>
      </c>
      <c r="B17" s="28" t="s">
        <v>33</v>
      </c>
      <c r="C17" s="10">
        <v>0.1</v>
      </c>
      <c r="D17" s="10">
        <v>0</v>
      </c>
      <c r="E17" s="10">
        <v>0</v>
      </c>
      <c r="F17" s="10">
        <v>0.1</v>
      </c>
    </row>
    <row r="18" spans="1:6" ht="26.25">
      <c r="A18" s="26" t="s">
        <v>34</v>
      </c>
      <c r="B18" s="27" t="s">
        <v>35</v>
      </c>
      <c r="C18" s="10">
        <v>4.5</v>
      </c>
      <c r="D18" s="10">
        <v>1.7</v>
      </c>
      <c r="E18" s="10">
        <v>2.4</v>
      </c>
      <c r="F18" s="10">
        <v>3.5</v>
      </c>
    </row>
    <row r="19" spans="1:6" ht="26.25">
      <c r="A19" s="26" t="s">
        <v>36</v>
      </c>
      <c r="B19" s="27" t="s">
        <v>37</v>
      </c>
      <c r="C19" s="10">
        <v>0.9</v>
      </c>
      <c r="D19" s="10">
        <v>0.6</v>
      </c>
      <c r="E19" s="10">
        <v>1</v>
      </c>
      <c r="F19" s="10">
        <v>0.7</v>
      </c>
    </row>
    <row r="20" spans="1:6" ht="26.25">
      <c r="A20" s="24" t="s">
        <v>38</v>
      </c>
      <c r="B20" s="25" t="s">
        <v>39</v>
      </c>
      <c r="C20" s="8">
        <v>283.7</v>
      </c>
      <c r="D20" s="9">
        <v>229</v>
      </c>
      <c r="E20" s="8">
        <v>286.3</v>
      </c>
      <c r="F20" s="8">
        <v>389.4</v>
      </c>
    </row>
    <row r="21" spans="1:6" ht="26.25">
      <c r="A21" s="26" t="s">
        <v>40</v>
      </c>
      <c r="B21" s="27" t="s">
        <v>41</v>
      </c>
      <c r="C21" s="11">
        <v>4.7</v>
      </c>
      <c r="D21" s="10">
        <v>3.6</v>
      </c>
      <c r="E21" s="11">
        <v>5.5</v>
      </c>
      <c r="F21" s="11">
        <v>10.7</v>
      </c>
    </row>
    <row r="22" spans="1:6" ht="26.25">
      <c r="A22" s="26" t="s">
        <v>42</v>
      </c>
      <c r="B22" s="27" t="s">
        <v>43</v>
      </c>
      <c r="C22" s="11">
        <v>1.1000000000000001</v>
      </c>
      <c r="D22" s="10">
        <v>0.7</v>
      </c>
      <c r="E22" s="11">
        <v>1.2</v>
      </c>
      <c r="F22" s="11">
        <v>2.4</v>
      </c>
    </row>
    <row r="23" spans="1:6" ht="26.25">
      <c r="A23" s="26" t="s">
        <v>44</v>
      </c>
      <c r="B23" s="27" t="s">
        <v>45</v>
      </c>
      <c r="C23" s="11">
        <v>38.1</v>
      </c>
      <c r="D23" s="10">
        <v>42.2</v>
      </c>
      <c r="E23" s="11">
        <v>42.6</v>
      </c>
      <c r="F23" s="11">
        <v>74</v>
      </c>
    </row>
    <row r="24" spans="1:6" ht="26.25">
      <c r="A24" s="26" t="s">
        <v>46</v>
      </c>
      <c r="B24" s="27" t="s">
        <v>47</v>
      </c>
      <c r="C24" s="11">
        <v>33.4</v>
      </c>
      <c r="D24" s="10">
        <v>26.8</v>
      </c>
      <c r="E24" s="11">
        <v>24.5</v>
      </c>
      <c r="F24" s="11">
        <v>20</v>
      </c>
    </row>
    <row r="25" spans="1:6" ht="26.25">
      <c r="A25" s="26" t="s">
        <v>48</v>
      </c>
      <c r="B25" s="28" t="s">
        <v>49</v>
      </c>
      <c r="C25" s="11">
        <v>89.1</v>
      </c>
      <c r="D25" s="10">
        <v>32.200000000000003</v>
      </c>
      <c r="E25" s="11">
        <v>63.7</v>
      </c>
      <c r="F25" s="11">
        <v>95.2</v>
      </c>
    </row>
    <row r="26" spans="1:6" ht="26.25">
      <c r="A26" s="24" t="s">
        <v>50</v>
      </c>
      <c r="B26" s="25" t="s">
        <v>51</v>
      </c>
      <c r="C26" s="8">
        <v>1190.9000000000001</v>
      </c>
      <c r="D26" s="9">
        <v>1258.7</v>
      </c>
      <c r="E26" s="8">
        <v>1389.7</v>
      </c>
      <c r="F26" s="8">
        <v>1332.5</v>
      </c>
    </row>
    <row r="27" spans="1:6" ht="26.25">
      <c r="A27" s="26" t="s">
        <v>52</v>
      </c>
      <c r="B27" s="27" t="s">
        <v>53</v>
      </c>
      <c r="C27" s="10">
        <v>21.3</v>
      </c>
      <c r="D27" s="10">
        <v>33.4</v>
      </c>
      <c r="E27" s="10">
        <v>50.1</v>
      </c>
      <c r="F27" s="10">
        <v>31.2</v>
      </c>
    </row>
    <row r="28" spans="1:6" ht="26.25">
      <c r="A28" s="26" t="s">
        <v>54</v>
      </c>
      <c r="B28" s="27" t="s">
        <v>55</v>
      </c>
      <c r="C28" s="10">
        <v>3.8</v>
      </c>
      <c r="D28" s="10">
        <v>6.2</v>
      </c>
      <c r="E28" s="10">
        <v>10.199999999999999</v>
      </c>
      <c r="F28" s="10">
        <v>6.5</v>
      </c>
    </row>
    <row r="29" spans="1:6" ht="26.25">
      <c r="A29" s="26" t="s">
        <v>56</v>
      </c>
      <c r="B29" s="27" t="s">
        <v>57</v>
      </c>
      <c r="C29" s="10">
        <v>1.1000000000000001</v>
      </c>
      <c r="D29" s="10">
        <v>0.8</v>
      </c>
      <c r="E29" s="10">
        <v>0.9</v>
      </c>
      <c r="F29" s="10">
        <v>0.9</v>
      </c>
    </row>
    <row r="30" spans="1:6" ht="26.25">
      <c r="A30" s="26" t="s">
        <v>58</v>
      </c>
      <c r="B30" s="27" t="s">
        <v>59</v>
      </c>
      <c r="C30" s="10">
        <v>24.7</v>
      </c>
      <c r="D30" s="10">
        <v>34.9</v>
      </c>
      <c r="E30" s="10">
        <v>31</v>
      </c>
      <c r="F30" s="10">
        <v>33.9</v>
      </c>
    </row>
    <row r="31" spans="1:6" ht="26.25">
      <c r="A31" s="26" t="s">
        <v>60</v>
      </c>
      <c r="B31" s="27" t="s">
        <v>61</v>
      </c>
      <c r="C31" s="10">
        <v>39.6</v>
      </c>
      <c r="D31" s="10">
        <v>53.9</v>
      </c>
      <c r="E31" s="10">
        <v>22</v>
      </c>
      <c r="F31" s="10">
        <v>23</v>
      </c>
    </row>
    <row r="32" spans="1:6" ht="26.25">
      <c r="A32" s="26" t="s">
        <v>62</v>
      </c>
      <c r="B32" s="27" t="s">
        <v>63</v>
      </c>
      <c r="C32" s="10">
        <v>36.9</v>
      </c>
      <c r="D32" s="10">
        <v>33.1</v>
      </c>
      <c r="E32" s="10">
        <v>23.7</v>
      </c>
      <c r="F32" s="10">
        <v>14</v>
      </c>
    </row>
    <row r="33" spans="1:6" ht="26.25">
      <c r="A33" s="26" t="s">
        <v>64</v>
      </c>
      <c r="B33" s="27" t="s">
        <v>65</v>
      </c>
      <c r="C33" s="10">
        <v>112.7</v>
      </c>
      <c r="D33" s="10">
        <v>94.5</v>
      </c>
      <c r="E33" s="10">
        <v>121.2</v>
      </c>
      <c r="F33" s="10">
        <v>142.9</v>
      </c>
    </row>
    <row r="34" spans="1:6" ht="26.25">
      <c r="A34" s="26" t="s">
        <v>66</v>
      </c>
      <c r="B34" s="27" t="s">
        <v>67</v>
      </c>
      <c r="C34" s="10">
        <v>28.5</v>
      </c>
      <c r="D34" s="10">
        <v>34.9</v>
      </c>
      <c r="E34" s="10">
        <v>38</v>
      </c>
      <c r="F34" s="10">
        <v>30.3</v>
      </c>
    </row>
    <row r="35" spans="1:6" ht="26.25">
      <c r="A35" s="26" t="s">
        <v>68</v>
      </c>
      <c r="B35" s="27" t="s">
        <v>69</v>
      </c>
      <c r="C35" s="10">
        <v>68.5</v>
      </c>
      <c r="D35" s="10">
        <v>77.7</v>
      </c>
      <c r="E35" s="10">
        <v>100.5</v>
      </c>
      <c r="F35" s="10">
        <v>103.8</v>
      </c>
    </row>
    <row r="36" spans="1:6" ht="26.25">
      <c r="A36" s="26" t="s">
        <v>70</v>
      </c>
      <c r="B36" s="27" t="s">
        <v>71</v>
      </c>
      <c r="C36" s="10">
        <v>48.2</v>
      </c>
      <c r="D36" s="10">
        <v>54.5</v>
      </c>
      <c r="E36" s="10">
        <v>59.8</v>
      </c>
      <c r="F36" s="10">
        <v>63.8</v>
      </c>
    </row>
    <row r="37" spans="1:6" ht="26.25">
      <c r="A37" s="29" t="s">
        <v>72</v>
      </c>
      <c r="B37" s="30" t="s">
        <v>73</v>
      </c>
      <c r="C37" s="14">
        <v>262.5</v>
      </c>
      <c r="D37" s="15">
        <v>228</v>
      </c>
      <c r="E37" s="14">
        <v>239.3</v>
      </c>
      <c r="F37" s="14">
        <v>267.10000000000002</v>
      </c>
    </row>
    <row r="38" spans="1:6" ht="26.25">
      <c r="A38" s="63" t="s">
        <v>74</v>
      </c>
      <c r="B38" s="60" t="s">
        <v>75</v>
      </c>
      <c r="C38" s="17"/>
      <c r="D38" s="17"/>
      <c r="E38" s="17"/>
      <c r="F38" s="17"/>
    </row>
    <row r="39" spans="1:6" ht="26.25">
      <c r="A39" s="63" t="s">
        <v>76</v>
      </c>
      <c r="B39" s="60" t="s">
        <v>77</v>
      </c>
      <c r="C39" s="18"/>
      <c r="D39" s="18"/>
      <c r="E39" s="18"/>
      <c r="F39" s="18"/>
    </row>
    <row r="40" spans="1:6">
      <c r="A40" s="63" t="s">
        <v>78</v>
      </c>
      <c r="B40" s="60" t="s">
        <v>79</v>
      </c>
    </row>
    <row r="41" spans="1:6">
      <c r="A41" s="20"/>
      <c r="B41" s="19"/>
      <c r="C41" s="17"/>
      <c r="D41" s="20"/>
      <c r="E41" s="20"/>
      <c r="F41" s="20"/>
    </row>
    <row r="42" spans="1:6">
      <c r="A42" s="45"/>
      <c r="B42" s="45"/>
      <c r="D42" s="45"/>
      <c r="E42" s="45"/>
      <c r="F42" s="45"/>
    </row>
  </sheetData>
  <mergeCells count="7">
    <mergeCell ref="A2:F2"/>
    <mergeCell ref="C5:C6"/>
    <mergeCell ref="D5:D6"/>
    <mergeCell ref="E5:E6"/>
    <mergeCell ref="F5:F6"/>
    <mergeCell ref="A5:A6"/>
    <mergeCell ref="B4:B6"/>
  </mergeCells>
  <phoneticPr fontId="3" type="noConversion"/>
  <pageMargins left="0.74803149606299213" right="0.74803149606299213" top="0.98425196850393704" bottom="0.98425196850393704" header="0.51181102362204722" footer="0.51181102362204722"/>
  <pageSetup paperSize="8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topLeftCell="A28" zoomScale="75" zoomScaleNormal="75" workbookViewId="0">
      <selection activeCell="A28" sqref="A1:A1048576"/>
    </sheetView>
  </sheetViews>
  <sheetFormatPr defaultRowHeight="20.25"/>
  <cols>
    <col min="1" max="1" width="60.85546875" style="16" customWidth="1"/>
    <col min="2" max="2" width="75.28515625" style="16" customWidth="1"/>
    <col min="3" max="6" width="20.7109375" style="16" customWidth="1"/>
  </cols>
  <sheetData>
    <row r="1" spans="1:8" ht="26.25">
      <c r="A1" s="3"/>
      <c r="B1" s="1"/>
      <c r="C1" s="2"/>
      <c r="D1" s="2"/>
      <c r="E1" s="2"/>
      <c r="F1" s="2"/>
    </row>
    <row r="2" spans="1:8">
      <c r="A2" s="88" t="s">
        <v>0</v>
      </c>
      <c r="B2" s="88"/>
      <c r="C2" s="88"/>
      <c r="D2" s="88"/>
      <c r="E2" s="88"/>
      <c r="F2" s="88"/>
      <c r="G2" s="32"/>
      <c r="H2" s="33"/>
    </row>
    <row r="3" spans="1:8" ht="27.75">
      <c r="A3" s="6"/>
      <c r="B3" s="4"/>
      <c r="C3" s="5"/>
      <c r="D3" s="5"/>
      <c r="E3" s="5"/>
      <c r="F3" s="35" t="s">
        <v>1</v>
      </c>
    </row>
    <row r="4" spans="1:8">
      <c r="A4" s="21"/>
      <c r="B4" s="93" t="s">
        <v>2</v>
      </c>
      <c r="C4" s="31" t="s">
        <v>3</v>
      </c>
      <c r="D4" s="31" t="s">
        <v>4</v>
      </c>
      <c r="E4" s="31" t="s">
        <v>5</v>
      </c>
      <c r="F4" s="34" t="s">
        <v>6</v>
      </c>
    </row>
    <row r="5" spans="1:8" ht="12.75" customHeight="1">
      <c r="A5" s="91" t="s">
        <v>7</v>
      </c>
      <c r="B5" s="94"/>
      <c r="C5" s="89" t="s">
        <v>80</v>
      </c>
      <c r="D5" s="89" t="s">
        <v>81</v>
      </c>
      <c r="E5" s="89" t="s">
        <v>82</v>
      </c>
      <c r="F5" s="89" t="s">
        <v>83</v>
      </c>
    </row>
    <row r="6" spans="1:8" ht="20.25" customHeight="1">
      <c r="A6" s="92"/>
      <c r="B6" s="95"/>
      <c r="C6" s="90"/>
      <c r="D6" s="90"/>
      <c r="E6" s="90"/>
      <c r="F6" s="90"/>
    </row>
    <row r="7" spans="1:8" ht="26.1" customHeight="1">
      <c r="A7" s="22" t="s">
        <v>12</v>
      </c>
      <c r="B7" s="23" t="s">
        <v>13</v>
      </c>
      <c r="C7" s="7">
        <v>5410.8</v>
      </c>
      <c r="D7" s="7">
        <v>5255.2</v>
      </c>
      <c r="E7" s="7">
        <v>5232.5</v>
      </c>
      <c r="F7" s="7">
        <v>6119</v>
      </c>
    </row>
    <row r="8" spans="1:8" ht="26.1" customHeight="1">
      <c r="A8" s="24" t="s">
        <v>14</v>
      </c>
      <c r="B8" s="25" t="s">
        <v>15</v>
      </c>
      <c r="C8" s="8">
        <v>2549.1999999999998</v>
      </c>
      <c r="D8" s="8">
        <v>2578.1</v>
      </c>
      <c r="E8" s="8">
        <v>2337.9</v>
      </c>
      <c r="F8" s="8">
        <v>2801.1</v>
      </c>
    </row>
    <row r="9" spans="1:8" ht="26.1" customHeight="1">
      <c r="A9" s="26" t="s">
        <v>16</v>
      </c>
      <c r="B9" s="27" t="s">
        <v>17</v>
      </c>
      <c r="C9" s="10">
        <v>901.8</v>
      </c>
      <c r="D9" s="10">
        <v>811</v>
      </c>
      <c r="E9" s="10">
        <v>578.5</v>
      </c>
      <c r="F9" s="10">
        <v>837</v>
      </c>
    </row>
    <row r="10" spans="1:8" ht="26.1" customHeight="1">
      <c r="A10" s="26" t="s">
        <v>18</v>
      </c>
      <c r="B10" s="27" t="s">
        <v>19</v>
      </c>
      <c r="C10" s="10">
        <v>1610.7</v>
      </c>
      <c r="D10" s="10">
        <v>1733</v>
      </c>
      <c r="E10" s="10">
        <v>1691.4</v>
      </c>
      <c r="F10" s="10">
        <v>1944.5</v>
      </c>
    </row>
    <row r="11" spans="1:8" ht="26.1" customHeight="1">
      <c r="A11" s="26" t="s">
        <v>20</v>
      </c>
      <c r="B11" s="28" t="s">
        <v>21</v>
      </c>
      <c r="C11" s="10">
        <v>8.1999999999999993</v>
      </c>
      <c r="D11" s="10">
        <v>12</v>
      </c>
      <c r="E11" s="10">
        <v>18.399999999999999</v>
      </c>
      <c r="F11" s="10">
        <v>4.9000000000000004</v>
      </c>
    </row>
    <row r="12" spans="1:8" ht="26.1" customHeight="1">
      <c r="A12" s="24" t="s">
        <v>22</v>
      </c>
      <c r="B12" s="25" t="s">
        <v>23</v>
      </c>
      <c r="C12" s="8">
        <f>135.8+22.9</f>
        <v>158.70000000000002</v>
      </c>
      <c r="D12" s="8">
        <f>105.9+14</f>
        <v>119.9</v>
      </c>
      <c r="E12" s="8">
        <f>161.7+35.9</f>
        <v>197.6</v>
      </c>
      <c r="F12" s="8">
        <v>251.1</v>
      </c>
    </row>
    <row r="13" spans="1:8" ht="26.1" customHeight="1">
      <c r="A13" s="26" t="s">
        <v>24</v>
      </c>
      <c r="B13" s="28" t="s">
        <v>25</v>
      </c>
      <c r="C13" s="11">
        <v>22.9</v>
      </c>
      <c r="D13" s="11">
        <v>14</v>
      </c>
      <c r="E13" s="10">
        <v>35.9</v>
      </c>
      <c r="F13" s="10">
        <v>37</v>
      </c>
    </row>
    <row r="14" spans="1:8" ht="26.1" customHeight="1">
      <c r="A14" s="26" t="s">
        <v>26</v>
      </c>
      <c r="B14" s="27" t="s">
        <v>27</v>
      </c>
      <c r="C14" s="11">
        <v>1.3</v>
      </c>
      <c r="D14" s="11">
        <v>1</v>
      </c>
      <c r="E14" s="10">
        <v>6</v>
      </c>
      <c r="F14" s="10">
        <v>8.6999999999999993</v>
      </c>
    </row>
    <row r="15" spans="1:8" ht="26.1" customHeight="1">
      <c r="A15" s="26" t="s">
        <v>28</v>
      </c>
      <c r="B15" s="27" t="s">
        <v>29</v>
      </c>
      <c r="C15" s="10">
        <v>3.9</v>
      </c>
      <c r="D15" s="10">
        <v>3.4</v>
      </c>
      <c r="E15" s="10">
        <v>15.7</v>
      </c>
      <c r="F15" s="10">
        <v>9.1</v>
      </c>
    </row>
    <row r="16" spans="1:8" ht="26.1" customHeight="1">
      <c r="A16" s="26" t="s">
        <v>30</v>
      </c>
      <c r="B16" s="27" t="s">
        <v>31</v>
      </c>
      <c r="C16" s="10">
        <v>0.8</v>
      </c>
      <c r="D16" s="10">
        <v>1.2</v>
      </c>
      <c r="E16" s="10">
        <v>0.4</v>
      </c>
      <c r="F16" s="10">
        <v>1.7</v>
      </c>
    </row>
    <row r="17" spans="1:6" ht="26.1" customHeight="1">
      <c r="A17" s="26" t="s">
        <v>32</v>
      </c>
      <c r="B17" s="28" t="s">
        <v>33</v>
      </c>
      <c r="C17" s="10">
        <v>0</v>
      </c>
      <c r="D17" s="10">
        <v>0.6</v>
      </c>
      <c r="E17" s="10">
        <v>0.1</v>
      </c>
      <c r="F17" s="10">
        <v>0</v>
      </c>
    </row>
    <row r="18" spans="1:6" ht="26.1" customHeight="1">
      <c r="A18" s="26" t="s">
        <v>34</v>
      </c>
      <c r="B18" s="27" t="s">
        <v>35</v>
      </c>
      <c r="C18" s="10">
        <v>2.2000000000000002</v>
      </c>
      <c r="D18" s="10">
        <v>5.3</v>
      </c>
      <c r="E18" s="10">
        <v>3.7</v>
      </c>
      <c r="F18" s="10">
        <v>1.6</v>
      </c>
    </row>
    <row r="19" spans="1:6" ht="26.1" customHeight="1">
      <c r="A19" s="26" t="s">
        <v>36</v>
      </c>
      <c r="B19" s="27" t="s">
        <v>37</v>
      </c>
      <c r="C19" s="10">
        <v>0.9</v>
      </c>
      <c r="D19" s="10">
        <v>0.6</v>
      </c>
      <c r="E19" s="10">
        <v>1.1000000000000001</v>
      </c>
      <c r="F19" s="10">
        <v>4.5</v>
      </c>
    </row>
    <row r="20" spans="1:6" ht="26.1" customHeight="1">
      <c r="A20" s="24" t="s">
        <v>38</v>
      </c>
      <c r="B20" s="25" t="s">
        <v>39</v>
      </c>
      <c r="C20" s="8">
        <v>421.8</v>
      </c>
      <c r="D20" s="8">
        <v>415.4</v>
      </c>
      <c r="E20" s="8">
        <v>527.5</v>
      </c>
      <c r="F20" s="8">
        <v>617.4</v>
      </c>
    </row>
    <row r="21" spans="1:6" ht="26.1" customHeight="1">
      <c r="A21" s="26" t="s">
        <v>40</v>
      </c>
      <c r="B21" s="27" t="s">
        <v>41</v>
      </c>
      <c r="C21" s="11">
        <v>3.7</v>
      </c>
      <c r="D21" s="11">
        <v>9.4</v>
      </c>
      <c r="E21" s="10">
        <v>3.1</v>
      </c>
      <c r="F21" s="10">
        <v>10.7</v>
      </c>
    </row>
    <row r="22" spans="1:6" ht="26.1" customHeight="1">
      <c r="A22" s="26" t="s">
        <v>42</v>
      </c>
      <c r="B22" s="27" t="s">
        <v>43</v>
      </c>
      <c r="C22" s="11">
        <v>2.4</v>
      </c>
      <c r="D22" s="11">
        <v>3.1</v>
      </c>
      <c r="E22" s="10">
        <v>1</v>
      </c>
      <c r="F22" s="10">
        <v>2</v>
      </c>
    </row>
    <row r="23" spans="1:6" ht="26.1" customHeight="1">
      <c r="A23" s="26" t="s">
        <v>44</v>
      </c>
      <c r="B23" s="27" t="s">
        <v>45</v>
      </c>
      <c r="C23" s="11">
        <v>79.7</v>
      </c>
      <c r="D23" s="11">
        <v>65.900000000000006</v>
      </c>
      <c r="E23" s="10">
        <v>92.5</v>
      </c>
      <c r="F23" s="10">
        <v>92.6</v>
      </c>
    </row>
    <row r="24" spans="1:6" ht="26.1" customHeight="1">
      <c r="A24" s="26" t="s">
        <v>46</v>
      </c>
      <c r="B24" s="27" t="s">
        <v>47</v>
      </c>
      <c r="C24" s="11">
        <v>21.5</v>
      </c>
      <c r="D24" s="11">
        <v>28.2</v>
      </c>
      <c r="E24" s="10">
        <v>40.4</v>
      </c>
      <c r="F24" s="10">
        <v>38.799999999999997</v>
      </c>
    </row>
    <row r="25" spans="1:6" ht="26.1" customHeight="1">
      <c r="A25" s="26" t="s">
        <v>48</v>
      </c>
      <c r="B25" s="28" t="s">
        <v>49</v>
      </c>
      <c r="C25" s="11">
        <v>51.6</v>
      </c>
      <c r="D25" s="11">
        <v>72.599999999999994</v>
      </c>
      <c r="E25" s="10">
        <v>71.900000000000006</v>
      </c>
      <c r="F25" s="10">
        <v>148.1</v>
      </c>
    </row>
    <row r="26" spans="1:6" ht="26.1" customHeight="1">
      <c r="A26" s="24" t="s">
        <v>50</v>
      </c>
      <c r="B26" s="25" t="s">
        <v>51</v>
      </c>
      <c r="C26" s="8">
        <v>1858.8</v>
      </c>
      <c r="D26" s="8">
        <v>1707</v>
      </c>
      <c r="E26" s="8">
        <v>1784</v>
      </c>
      <c r="F26" s="8">
        <v>2169.3000000000002</v>
      </c>
    </row>
    <row r="27" spans="1:6" ht="26.1" customHeight="1">
      <c r="A27" s="26" t="s">
        <v>52</v>
      </c>
      <c r="B27" s="27" t="s">
        <v>53</v>
      </c>
      <c r="C27" s="10">
        <v>21.1</v>
      </c>
      <c r="D27" s="12">
        <v>36.1</v>
      </c>
      <c r="E27" s="10">
        <v>46.7</v>
      </c>
      <c r="F27" s="10">
        <v>41.9</v>
      </c>
    </row>
    <row r="28" spans="1:6" ht="26.1" customHeight="1">
      <c r="A28" s="26" t="s">
        <v>54</v>
      </c>
      <c r="B28" s="27" t="s">
        <v>55</v>
      </c>
      <c r="C28" s="10">
        <v>2.6</v>
      </c>
      <c r="D28" s="12">
        <v>2.2999999999999998</v>
      </c>
      <c r="E28" s="10">
        <v>4.9000000000000004</v>
      </c>
      <c r="F28" s="10">
        <v>54.9</v>
      </c>
    </row>
    <row r="29" spans="1:6" ht="26.1" customHeight="1">
      <c r="A29" s="26" t="s">
        <v>56</v>
      </c>
      <c r="B29" s="27" t="s">
        <v>57</v>
      </c>
      <c r="C29" s="10">
        <v>1.1000000000000001</v>
      </c>
      <c r="D29" s="12">
        <v>0.6</v>
      </c>
      <c r="E29" s="10">
        <v>2.4</v>
      </c>
      <c r="F29" s="10">
        <v>2.4</v>
      </c>
    </row>
    <row r="30" spans="1:6" ht="26.1" customHeight="1">
      <c r="A30" s="26" t="s">
        <v>58</v>
      </c>
      <c r="B30" s="27" t="s">
        <v>59</v>
      </c>
      <c r="C30" s="10">
        <v>48.7</v>
      </c>
      <c r="D30" s="12">
        <v>55.7</v>
      </c>
      <c r="E30" s="10">
        <v>66.8</v>
      </c>
      <c r="F30" s="10">
        <v>66.8</v>
      </c>
    </row>
    <row r="31" spans="1:6" ht="26.1" customHeight="1">
      <c r="A31" s="26" t="s">
        <v>60</v>
      </c>
      <c r="B31" s="27" t="s">
        <v>61</v>
      </c>
      <c r="C31" s="10">
        <v>149.69999999999999</v>
      </c>
      <c r="D31" s="12">
        <v>33.299999999999997</v>
      </c>
      <c r="E31" s="10">
        <v>85.5</v>
      </c>
      <c r="F31" s="10">
        <v>37.5</v>
      </c>
    </row>
    <row r="32" spans="1:6" ht="26.1" customHeight="1">
      <c r="A32" s="26" t="s">
        <v>62</v>
      </c>
      <c r="B32" s="27" t="s">
        <v>63</v>
      </c>
      <c r="C32" s="10">
        <v>33.6</v>
      </c>
      <c r="D32" s="13">
        <v>36</v>
      </c>
      <c r="E32" s="10">
        <v>26.2</v>
      </c>
      <c r="F32" s="10">
        <v>28.7</v>
      </c>
    </row>
    <row r="33" spans="1:6" ht="26.1" customHeight="1">
      <c r="A33" s="26" t="s">
        <v>64</v>
      </c>
      <c r="B33" s="27" t="s">
        <v>65</v>
      </c>
      <c r="C33" s="10">
        <v>285.39999999999998</v>
      </c>
      <c r="D33" s="12">
        <v>150.1</v>
      </c>
      <c r="E33" s="10">
        <v>112.7</v>
      </c>
      <c r="F33" s="10">
        <v>94.199999999999932</v>
      </c>
    </row>
    <row r="34" spans="1:6" ht="26.1" customHeight="1">
      <c r="A34" s="26" t="s">
        <v>66</v>
      </c>
      <c r="B34" s="27" t="s">
        <v>67</v>
      </c>
      <c r="C34" s="10">
        <v>19.7</v>
      </c>
      <c r="D34" s="12">
        <v>21.6</v>
      </c>
      <c r="E34" s="10">
        <v>20.6</v>
      </c>
      <c r="F34" s="10">
        <v>57.4</v>
      </c>
    </row>
    <row r="35" spans="1:6" ht="26.1" customHeight="1">
      <c r="A35" s="26" t="s">
        <v>68</v>
      </c>
      <c r="B35" s="27" t="s">
        <v>69</v>
      </c>
      <c r="C35" s="10">
        <v>113.9</v>
      </c>
      <c r="D35" s="13">
        <v>91</v>
      </c>
      <c r="E35" s="10">
        <v>113.2</v>
      </c>
      <c r="F35" s="10">
        <v>135.5</v>
      </c>
    </row>
    <row r="36" spans="1:6" ht="26.1" customHeight="1">
      <c r="A36" s="26" t="s">
        <v>70</v>
      </c>
      <c r="B36" s="27" t="s">
        <v>71</v>
      </c>
      <c r="C36" s="10">
        <v>55.2</v>
      </c>
      <c r="D36" s="12">
        <v>47.8</v>
      </c>
      <c r="E36" s="10">
        <v>80</v>
      </c>
      <c r="F36" s="10">
        <v>75.900000000000006</v>
      </c>
    </row>
    <row r="37" spans="1:6" ht="26.1" customHeight="1">
      <c r="A37" s="29" t="s">
        <v>72</v>
      </c>
      <c r="B37" s="30" t="s">
        <v>73</v>
      </c>
      <c r="C37" s="14">
        <v>422.3</v>
      </c>
      <c r="D37" s="14">
        <v>434.8</v>
      </c>
      <c r="E37" s="14">
        <v>385.5</v>
      </c>
      <c r="F37" s="14">
        <v>280.10000000000002</v>
      </c>
    </row>
    <row r="38" spans="1:6" ht="26.1" customHeight="1">
      <c r="A38" s="63" t="s">
        <v>74</v>
      </c>
      <c r="B38" s="60" t="s">
        <v>75</v>
      </c>
      <c r="C38" s="17"/>
      <c r="D38" s="17"/>
      <c r="E38" s="17"/>
      <c r="F38" s="17"/>
    </row>
    <row r="39" spans="1:6" ht="26.1" customHeight="1">
      <c r="A39" s="63" t="s">
        <v>76</v>
      </c>
      <c r="B39" s="60" t="s">
        <v>77</v>
      </c>
      <c r="C39" s="18"/>
      <c r="D39" s="18"/>
      <c r="E39" s="18"/>
      <c r="F39" s="18"/>
    </row>
    <row r="40" spans="1:6" ht="26.1" customHeight="1">
      <c r="A40" s="63" t="s">
        <v>78</v>
      </c>
      <c r="B40" s="60" t="s">
        <v>79</v>
      </c>
    </row>
    <row r="41" spans="1:6">
      <c r="A41" s="20"/>
      <c r="B41" s="19"/>
      <c r="C41" s="17"/>
      <c r="D41" s="20"/>
      <c r="E41" s="20"/>
      <c r="F41" s="20"/>
    </row>
    <row r="42" spans="1:6">
      <c r="A42" s="45"/>
      <c r="B42" s="45"/>
      <c r="D42" s="45"/>
      <c r="E42" s="45"/>
      <c r="F42" s="45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zoomScale="75" zoomScaleNormal="75" workbookViewId="0">
      <selection sqref="A1:A1048576"/>
    </sheetView>
  </sheetViews>
  <sheetFormatPr defaultRowHeight="20.25"/>
  <cols>
    <col min="1" max="1" width="60.85546875" style="16" customWidth="1"/>
    <col min="2" max="2" width="75.28515625" style="16" customWidth="1"/>
    <col min="3" max="6" width="20.7109375" style="16" customWidth="1"/>
  </cols>
  <sheetData>
    <row r="1" spans="1:8" ht="26.25">
      <c r="A1" s="3"/>
      <c r="B1" s="1"/>
      <c r="C1" s="2"/>
      <c r="D1" s="2"/>
      <c r="E1" s="2"/>
      <c r="F1" s="2"/>
    </row>
    <row r="2" spans="1:8">
      <c r="A2" s="88" t="s">
        <v>0</v>
      </c>
      <c r="B2" s="88"/>
      <c r="C2" s="88"/>
      <c r="D2" s="88"/>
      <c r="E2" s="88"/>
      <c r="F2" s="88"/>
      <c r="G2" s="32"/>
      <c r="H2" s="33"/>
    </row>
    <row r="3" spans="1:8" ht="27.75">
      <c r="A3" s="6"/>
      <c r="B3" s="4"/>
      <c r="C3" s="5"/>
      <c r="D3" s="5"/>
      <c r="E3" s="5"/>
      <c r="F3" s="35" t="s">
        <v>1</v>
      </c>
    </row>
    <row r="4" spans="1:8">
      <c r="A4" s="21"/>
      <c r="B4" s="93" t="s">
        <v>2</v>
      </c>
      <c r="C4" s="31" t="s">
        <v>3</v>
      </c>
      <c r="D4" s="31" t="s">
        <v>4</v>
      </c>
      <c r="E4" s="31" t="s">
        <v>5</v>
      </c>
      <c r="F4" s="34" t="s">
        <v>6</v>
      </c>
    </row>
    <row r="5" spans="1:8" ht="12.75" customHeight="1">
      <c r="A5" s="91" t="s">
        <v>7</v>
      </c>
      <c r="B5" s="94"/>
      <c r="C5" s="89" t="s">
        <v>84</v>
      </c>
      <c r="D5" s="89" t="s">
        <v>85</v>
      </c>
      <c r="E5" s="89" t="s">
        <v>86</v>
      </c>
      <c r="F5" s="89" t="s">
        <v>87</v>
      </c>
    </row>
    <row r="6" spans="1:8" ht="20.25" customHeight="1">
      <c r="A6" s="92"/>
      <c r="B6" s="95"/>
      <c r="C6" s="90"/>
      <c r="D6" s="90"/>
      <c r="E6" s="90"/>
      <c r="F6" s="90"/>
    </row>
    <row r="7" spans="1:8" ht="26.1" customHeight="1">
      <c r="A7" s="22" t="s">
        <v>12</v>
      </c>
      <c r="B7" s="23" t="s">
        <v>13</v>
      </c>
      <c r="C7" s="7">
        <v>5989.8</v>
      </c>
      <c r="D7" s="7">
        <v>7113.3</v>
      </c>
      <c r="E7" s="7">
        <v>7734.7</v>
      </c>
      <c r="F7" s="7">
        <v>8518</v>
      </c>
    </row>
    <row r="8" spans="1:8" ht="26.1" customHeight="1">
      <c r="A8" s="24" t="s">
        <v>14</v>
      </c>
      <c r="B8" s="25" t="s">
        <v>15</v>
      </c>
      <c r="C8" s="8">
        <v>2574.1</v>
      </c>
      <c r="D8" s="8">
        <v>3592.3</v>
      </c>
      <c r="E8" s="8">
        <v>3926.5</v>
      </c>
      <c r="F8" s="8">
        <v>4660.7</v>
      </c>
    </row>
    <row r="9" spans="1:8" ht="26.1" customHeight="1">
      <c r="A9" s="26" t="s">
        <v>16</v>
      </c>
      <c r="B9" s="27" t="s">
        <v>17</v>
      </c>
      <c r="C9" s="10">
        <v>964.2</v>
      </c>
      <c r="D9" s="10">
        <v>1140.7</v>
      </c>
      <c r="E9" s="10">
        <v>1399.3</v>
      </c>
      <c r="F9" s="10">
        <v>1406.3</v>
      </c>
    </row>
    <row r="10" spans="1:8" ht="26.1" customHeight="1">
      <c r="A10" s="26" t="s">
        <v>18</v>
      </c>
      <c r="B10" s="27" t="s">
        <v>19</v>
      </c>
      <c r="C10" s="10">
        <v>1558.7</v>
      </c>
      <c r="D10" s="10">
        <v>2357.9</v>
      </c>
      <c r="E10" s="10">
        <v>2499.4</v>
      </c>
      <c r="F10" s="10">
        <v>3146.1</v>
      </c>
    </row>
    <row r="11" spans="1:8" ht="26.1" customHeight="1">
      <c r="A11" s="26" t="s">
        <v>20</v>
      </c>
      <c r="B11" s="28" t="s">
        <v>21</v>
      </c>
      <c r="C11" s="10">
        <v>23.4</v>
      </c>
      <c r="D11" s="10">
        <v>45</v>
      </c>
      <c r="E11" s="10">
        <v>11.8</v>
      </c>
      <c r="F11" s="10">
        <v>45.8</v>
      </c>
    </row>
    <row r="12" spans="1:8" ht="26.1" customHeight="1">
      <c r="A12" s="24" t="s">
        <v>22</v>
      </c>
      <c r="B12" s="25" t="s">
        <v>23</v>
      </c>
      <c r="C12" s="8">
        <v>286.7</v>
      </c>
      <c r="D12" s="8">
        <v>183</v>
      </c>
      <c r="E12" s="8">
        <v>284.3</v>
      </c>
      <c r="F12" s="8">
        <v>338.5</v>
      </c>
    </row>
    <row r="13" spans="1:8" ht="26.1" customHeight="1">
      <c r="A13" s="26" t="s">
        <v>24</v>
      </c>
      <c r="B13" s="28" t="s">
        <v>25</v>
      </c>
      <c r="C13" s="10">
        <v>34.4</v>
      </c>
      <c r="D13" s="11">
        <v>37.5</v>
      </c>
      <c r="E13" s="11">
        <v>63.8</v>
      </c>
      <c r="F13" s="11">
        <v>57.9</v>
      </c>
    </row>
    <row r="14" spans="1:8" ht="26.1" customHeight="1">
      <c r="A14" s="26" t="s">
        <v>26</v>
      </c>
      <c r="B14" s="27" t="s">
        <v>27</v>
      </c>
      <c r="C14" s="10">
        <v>19.600000000000001</v>
      </c>
      <c r="D14" s="11">
        <v>2.9</v>
      </c>
      <c r="E14" s="11">
        <v>5.9</v>
      </c>
      <c r="F14" s="11">
        <v>4.2</v>
      </c>
    </row>
    <row r="15" spans="1:8" ht="26.1" customHeight="1">
      <c r="A15" s="26" t="s">
        <v>28</v>
      </c>
      <c r="B15" s="27" t="s">
        <v>29</v>
      </c>
      <c r="C15" s="10">
        <v>7.6</v>
      </c>
      <c r="D15" s="10">
        <v>4.5999999999999996</v>
      </c>
      <c r="E15" s="10">
        <v>4.3</v>
      </c>
      <c r="F15" s="10">
        <v>15.7</v>
      </c>
    </row>
    <row r="16" spans="1:8" ht="26.1" customHeight="1">
      <c r="A16" s="26" t="s">
        <v>30</v>
      </c>
      <c r="B16" s="27" t="s">
        <v>31</v>
      </c>
      <c r="C16" s="10">
        <v>2.06</v>
      </c>
      <c r="D16" s="10">
        <v>5.04</v>
      </c>
      <c r="E16" s="10">
        <f>9-C16-D16</f>
        <v>1.8999999999999995</v>
      </c>
      <c r="F16" s="10">
        <v>2.6</v>
      </c>
    </row>
    <row r="17" spans="1:6" ht="26.1" customHeight="1">
      <c r="A17" s="26" t="s">
        <v>32</v>
      </c>
      <c r="B17" s="28" t="s">
        <v>33</v>
      </c>
      <c r="C17" s="10">
        <v>0.1</v>
      </c>
      <c r="D17" s="10">
        <v>0.6</v>
      </c>
      <c r="E17" s="10">
        <f>0.9-C17-D17</f>
        <v>0.20000000000000007</v>
      </c>
      <c r="F17" s="10">
        <v>0.2</v>
      </c>
    </row>
    <row r="18" spans="1:6" ht="26.1" customHeight="1">
      <c r="A18" s="26" t="s">
        <v>34</v>
      </c>
      <c r="B18" s="27" t="s">
        <v>35</v>
      </c>
      <c r="C18" s="10">
        <v>5.3</v>
      </c>
      <c r="D18" s="10">
        <v>8.3000000000000007</v>
      </c>
      <c r="E18" s="10">
        <v>5</v>
      </c>
      <c r="F18" s="10">
        <v>15.8</v>
      </c>
    </row>
    <row r="19" spans="1:6" ht="26.1" customHeight="1">
      <c r="A19" s="26" t="s">
        <v>36</v>
      </c>
      <c r="B19" s="27" t="s">
        <v>37</v>
      </c>
      <c r="C19" s="10">
        <v>0.6</v>
      </c>
      <c r="D19" s="10">
        <v>1.2</v>
      </c>
      <c r="E19" s="10">
        <v>1.7</v>
      </c>
      <c r="F19" s="10">
        <v>0.4</v>
      </c>
    </row>
    <row r="20" spans="1:6" ht="26.1" customHeight="1">
      <c r="A20" s="24" t="s">
        <v>38</v>
      </c>
      <c r="B20" s="25" t="s">
        <v>39</v>
      </c>
      <c r="C20" s="8">
        <v>383.3</v>
      </c>
      <c r="D20" s="8">
        <v>496.9</v>
      </c>
      <c r="E20" s="8">
        <v>445.2</v>
      </c>
      <c r="F20" s="8">
        <v>508.2</v>
      </c>
    </row>
    <row r="21" spans="1:6" ht="26.1" customHeight="1">
      <c r="A21" s="26" t="s">
        <v>40</v>
      </c>
      <c r="B21" s="27" t="s">
        <v>41</v>
      </c>
      <c r="C21" s="10">
        <v>9.6999999999999993</v>
      </c>
      <c r="D21" s="11">
        <v>28.7</v>
      </c>
      <c r="E21" s="11">
        <v>13.6</v>
      </c>
      <c r="F21" s="11">
        <v>22.8</v>
      </c>
    </row>
    <row r="22" spans="1:6" ht="26.1" customHeight="1">
      <c r="A22" s="26" t="s">
        <v>42</v>
      </c>
      <c r="B22" s="27" t="s">
        <v>43</v>
      </c>
      <c r="C22" s="10">
        <v>0.5</v>
      </c>
      <c r="D22" s="11">
        <v>1.7</v>
      </c>
      <c r="E22" s="11">
        <v>2.6</v>
      </c>
      <c r="F22" s="11">
        <v>0.8</v>
      </c>
    </row>
    <row r="23" spans="1:6" ht="26.1" customHeight="1">
      <c r="A23" s="26" t="s">
        <v>44</v>
      </c>
      <c r="B23" s="27" t="s">
        <v>45</v>
      </c>
      <c r="C23" s="10">
        <v>20.399999999999999</v>
      </c>
      <c r="D23" s="11">
        <v>23.2</v>
      </c>
      <c r="E23" s="11">
        <v>3</v>
      </c>
      <c r="F23" s="11">
        <v>6.3</v>
      </c>
    </row>
    <row r="24" spans="1:6" ht="26.1" customHeight="1">
      <c r="A24" s="26" t="s">
        <v>46</v>
      </c>
      <c r="B24" s="27" t="s">
        <v>47</v>
      </c>
      <c r="C24" s="10">
        <v>25.3</v>
      </c>
      <c r="D24" s="11">
        <v>27.6</v>
      </c>
      <c r="E24" s="11">
        <v>18.8</v>
      </c>
      <c r="F24" s="11">
        <v>21</v>
      </c>
    </row>
    <row r="25" spans="1:6" ht="26.1" customHeight="1">
      <c r="A25" s="26" t="s">
        <v>48</v>
      </c>
      <c r="B25" s="28" t="s">
        <v>49</v>
      </c>
      <c r="C25" s="10">
        <v>87.4</v>
      </c>
      <c r="D25" s="11">
        <v>130.69999999999999</v>
      </c>
      <c r="E25" s="11">
        <v>51.8</v>
      </c>
      <c r="F25" s="11">
        <v>101.1</v>
      </c>
    </row>
    <row r="26" spans="1:6" ht="26.1" customHeight="1">
      <c r="A26" s="24" t="s">
        <v>50</v>
      </c>
      <c r="B26" s="25" t="s">
        <v>51</v>
      </c>
      <c r="C26" s="8">
        <v>2504.9</v>
      </c>
      <c r="D26" s="8">
        <v>2708.2</v>
      </c>
      <c r="E26" s="8">
        <v>2888.3</v>
      </c>
      <c r="F26" s="8">
        <v>2830.1</v>
      </c>
    </row>
    <row r="27" spans="1:6" ht="26.1" customHeight="1">
      <c r="A27" s="26" t="s">
        <v>52</v>
      </c>
      <c r="B27" s="27" t="s">
        <v>53</v>
      </c>
      <c r="C27" s="10">
        <v>50.8</v>
      </c>
      <c r="D27" s="10">
        <v>28.8</v>
      </c>
      <c r="E27" s="10">
        <v>44.6</v>
      </c>
      <c r="F27" s="10">
        <v>37.6</v>
      </c>
    </row>
    <row r="28" spans="1:6" ht="26.1" customHeight="1">
      <c r="A28" s="26" t="s">
        <v>54</v>
      </c>
      <c r="B28" s="27" t="s">
        <v>55</v>
      </c>
      <c r="C28" s="10">
        <v>11.3</v>
      </c>
      <c r="D28" s="10">
        <v>47.2</v>
      </c>
      <c r="E28" s="10">
        <v>54.2</v>
      </c>
      <c r="F28" s="10">
        <v>74.8</v>
      </c>
    </row>
    <row r="29" spans="1:6" ht="26.1" customHeight="1">
      <c r="A29" s="26" t="s">
        <v>56</v>
      </c>
      <c r="B29" s="27" t="s">
        <v>57</v>
      </c>
      <c r="C29" s="10">
        <v>2.5</v>
      </c>
      <c r="D29" s="10">
        <v>0.8</v>
      </c>
      <c r="E29" s="10">
        <v>1.3</v>
      </c>
      <c r="F29" s="10">
        <v>3</v>
      </c>
    </row>
    <row r="30" spans="1:6" ht="26.1" customHeight="1">
      <c r="A30" s="26" t="s">
        <v>58</v>
      </c>
      <c r="B30" s="27" t="s">
        <v>59</v>
      </c>
      <c r="C30" s="10">
        <v>179.1</v>
      </c>
      <c r="D30" s="10">
        <v>104.1</v>
      </c>
      <c r="E30" s="10">
        <v>319</v>
      </c>
      <c r="F30" s="10">
        <v>89.3</v>
      </c>
    </row>
    <row r="31" spans="1:6" ht="26.1" customHeight="1">
      <c r="A31" s="26" t="s">
        <v>60</v>
      </c>
      <c r="B31" s="27" t="s">
        <v>61</v>
      </c>
      <c r="C31" s="10">
        <v>94.7</v>
      </c>
      <c r="D31" s="10">
        <v>42.8</v>
      </c>
      <c r="E31" s="10">
        <v>55.2</v>
      </c>
      <c r="F31" s="10">
        <v>191</v>
      </c>
    </row>
    <row r="32" spans="1:6" ht="26.1" customHeight="1">
      <c r="A32" s="26" t="s">
        <v>62</v>
      </c>
      <c r="B32" s="27" t="s">
        <v>63</v>
      </c>
      <c r="C32" s="10">
        <v>27.8</v>
      </c>
      <c r="D32" s="10">
        <v>46</v>
      </c>
      <c r="E32" s="10">
        <v>43.5</v>
      </c>
      <c r="F32" s="10">
        <v>27.5</v>
      </c>
    </row>
    <row r="33" spans="1:6" ht="26.1" customHeight="1">
      <c r="A33" s="26" t="s">
        <v>64</v>
      </c>
      <c r="B33" s="27" t="s">
        <v>65</v>
      </c>
      <c r="C33" s="10">
        <v>157.5</v>
      </c>
      <c r="D33" s="10">
        <v>172</v>
      </c>
      <c r="E33" s="10">
        <v>209.8</v>
      </c>
      <c r="F33" s="10">
        <v>198.1</v>
      </c>
    </row>
    <row r="34" spans="1:6" ht="26.1" customHeight="1">
      <c r="A34" s="26" t="s">
        <v>66</v>
      </c>
      <c r="B34" s="27" t="s">
        <v>67</v>
      </c>
      <c r="C34" s="10">
        <v>89.8</v>
      </c>
      <c r="D34" s="10">
        <v>152.5</v>
      </c>
      <c r="E34" s="10">
        <v>90.5</v>
      </c>
      <c r="F34" s="10">
        <v>124.2</v>
      </c>
    </row>
    <row r="35" spans="1:6" ht="26.1" customHeight="1">
      <c r="A35" s="26" t="s">
        <v>68</v>
      </c>
      <c r="B35" s="27" t="s">
        <v>69</v>
      </c>
      <c r="C35" s="10">
        <v>115.8</v>
      </c>
      <c r="D35" s="10">
        <v>106.7</v>
      </c>
      <c r="E35" s="10">
        <v>103.4</v>
      </c>
      <c r="F35" s="10">
        <v>105.1</v>
      </c>
    </row>
    <row r="36" spans="1:6" ht="26.1" customHeight="1">
      <c r="A36" s="26" t="s">
        <v>70</v>
      </c>
      <c r="B36" s="27" t="s">
        <v>71</v>
      </c>
      <c r="C36" s="10">
        <v>77.7</v>
      </c>
      <c r="D36" s="10">
        <v>79.599999999999994</v>
      </c>
      <c r="E36" s="10">
        <v>98</v>
      </c>
      <c r="F36" s="10">
        <v>241</v>
      </c>
    </row>
    <row r="37" spans="1:6" ht="26.1" customHeight="1">
      <c r="A37" s="29" t="s">
        <v>72</v>
      </c>
      <c r="B37" s="30" t="s">
        <v>73</v>
      </c>
      <c r="C37" s="14">
        <v>240.8</v>
      </c>
      <c r="D37" s="14">
        <v>132.9</v>
      </c>
      <c r="E37" s="14">
        <v>190.4</v>
      </c>
      <c r="F37" s="14">
        <v>180.5</v>
      </c>
    </row>
    <row r="38" spans="1:6" ht="26.1" customHeight="1">
      <c r="A38" s="63" t="s">
        <v>74</v>
      </c>
      <c r="B38" s="60" t="s">
        <v>75</v>
      </c>
      <c r="C38" s="17"/>
      <c r="D38" s="17"/>
      <c r="E38" s="17"/>
      <c r="F38" s="17"/>
    </row>
    <row r="39" spans="1:6" ht="26.1" customHeight="1">
      <c r="A39" s="63" t="s">
        <v>76</v>
      </c>
      <c r="B39" s="60" t="s">
        <v>77</v>
      </c>
      <c r="C39" s="18"/>
      <c r="D39" s="18"/>
      <c r="E39" s="18"/>
      <c r="F39" s="18"/>
    </row>
    <row r="40" spans="1:6" ht="26.1" customHeight="1">
      <c r="A40" s="63" t="s">
        <v>78</v>
      </c>
      <c r="B40" s="60" t="s">
        <v>79</v>
      </c>
    </row>
    <row r="41" spans="1:6">
      <c r="A41" s="20"/>
      <c r="B41" s="19"/>
      <c r="C41" s="17"/>
      <c r="D41" s="20"/>
      <c r="E41" s="20"/>
      <c r="F41" s="20"/>
    </row>
    <row r="42" spans="1:6">
      <c r="A42" s="45"/>
      <c r="B42" s="45"/>
      <c r="D42" s="45"/>
      <c r="E42" s="45"/>
      <c r="F42" s="45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topLeftCell="A25" zoomScale="75" zoomScaleNormal="75" workbookViewId="0">
      <selection activeCell="A25" sqref="A1:A1048576"/>
    </sheetView>
  </sheetViews>
  <sheetFormatPr defaultRowHeight="20.25"/>
  <cols>
    <col min="1" max="1" width="60.85546875" style="16" customWidth="1"/>
    <col min="2" max="2" width="75.28515625" style="16" customWidth="1"/>
    <col min="3" max="6" width="20.7109375" style="16" customWidth="1"/>
  </cols>
  <sheetData>
    <row r="1" spans="1:8" ht="26.25">
      <c r="A1" s="3"/>
      <c r="B1" s="1"/>
      <c r="C1" s="2"/>
      <c r="D1" s="2"/>
      <c r="E1" s="2"/>
      <c r="F1" s="2"/>
    </row>
    <row r="2" spans="1:8">
      <c r="A2" s="88" t="s">
        <v>0</v>
      </c>
      <c r="B2" s="88"/>
      <c r="C2" s="88"/>
      <c r="D2" s="88"/>
      <c r="E2" s="88"/>
      <c r="F2" s="88"/>
      <c r="G2" s="32"/>
      <c r="H2" s="33"/>
    </row>
    <row r="3" spans="1:8" ht="27.75">
      <c r="A3" s="6"/>
      <c r="B3" s="4"/>
      <c r="C3" s="5"/>
      <c r="D3" s="5"/>
      <c r="E3" s="5"/>
      <c r="F3" s="35" t="s">
        <v>1</v>
      </c>
    </row>
    <row r="4" spans="1:8">
      <c r="A4" s="21"/>
      <c r="B4" s="93" t="s">
        <v>2</v>
      </c>
      <c r="C4" s="31" t="s">
        <v>3</v>
      </c>
      <c r="D4" s="31" t="s">
        <v>4</v>
      </c>
      <c r="E4" s="31" t="s">
        <v>5</v>
      </c>
      <c r="F4" s="34" t="s">
        <v>6</v>
      </c>
    </row>
    <row r="5" spans="1:8" ht="12.75" customHeight="1">
      <c r="A5" s="91" t="s">
        <v>7</v>
      </c>
      <c r="B5" s="94"/>
      <c r="C5" s="89" t="s">
        <v>88</v>
      </c>
      <c r="D5" s="89" t="s">
        <v>89</v>
      </c>
      <c r="E5" s="89" t="s">
        <v>90</v>
      </c>
      <c r="F5" s="89" t="s">
        <v>91</v>
      </c>
    </row>
    <row r="6" spans="1:8" ht="20.25" customHeight="1">
      <c r="A6" s="92"/>
      <c r="B6" s="95"/>
      <c r="C6" s="90"/>
      <c r="D6" s="90"/>
      <c r="E6" s="90"/>
      <c r="F6" s="90"/>
    </row>
    <row r="7" spans="1:8" ht="26.1" customHeight="1">
      <c r="A7" s="22" t="s">
        <v>12</v>
      </c>
      <c r="B7" s="23" t="s">
        <v>13</v>
      </c>
      <c r="C7" s="7">
        <v>8162.9</v>
      </c>
      <c r="D7" s="7">
        <v>5433.4</v>
      </c>
      <c r="E7" s="7">
        <v>5657.8</v>
      </c>
      <c r="F7" s="7">
        <v>5914.8</v>
      </c>
    </row>
    <row r="8" spans="1:8" ht="26.1" customHeight="1">
      <c r="A8" s="24" t="s">
        <v>14</v>
      </c>
      <c r="B8" s="25" t="s">
        <v>15</v>
      </c>
      <c r="C8" s="8">
        <v>4236.7</v>
      </c>
      <c r="D8" s="8">
        <v>1972.7</v>
      </c>
      <c r="E8" s="8">
        <v>2676.9</v>
      </c>
      <c r="F8" s="8">
        <v>2479.1</v>
      </c>
    </row>
    <row r="9" spans="1:8" ht="26.1" customHeight="1">
      <c r="A9" s="26" t="s">
        <v>16</v>
      </c>
      <c r="B9" s="27" t="s">
        <v>17</v>
      </c>
      <c r="C9" s="10">
        <v>1556</v>
      </c>
      <c r="D9" s="10">
        <v>103</v>
      </c>
      <c r="E9" s="10">
        <v>1322.5</v>
      </c>
      <c r="F9" s="10">
        <v>1022.8</v>
      </c>
    </row>
    <row r="10" spans="1:8" ht="26.1" customHeight="1">
      <c r="A10" s="26" t="s">
        <v>18</v>
      </c>
      <c r="B10" s="27" t="s">
        <v>19</v>
      </c>
      <c r="C10" s="10">
        <v>2553.4</v>
      </c>
      <c r="D10" s="10">
        <v>1768.4</v>
      </c>
      <c r="E10" s="10">
        <v>1284.8</v>
      </c>
      <c r="F10" s="10">
        <v>1393.6</v>
      </c>
    </row>
    <row r="11" spans="1:8" ht="26.1" customHeight="1">
      <c r="A11" s="26" t="s">
        <v>20</v>
      </c>
      <c r="B11" s="28" t="s">
        <v>21</v>
      </c>
      <c r="C11" s="10">
        <v>49.4</v>
      </c>
      <c r="D11" s="10">
        <v>3.1</v>
      </c>
      <c r="E11" s="10">
        <v>5.9</v>
      </c>
      <c r="F11" s="10">
        <v>9.3000000000000007</v>
      </c>
    </row>
    <row r="12" spans="1:8" ht="26.1" customHeight="1">
      <c r="A12" s="24" t="s">
        <v>22</v>
      </c>
      <c r="B12" s="25" t="s">
        <v>23</v>
      </c>
      <c r="C12" s="8">
        <v>223.6</v>
      </c>
      <c r="D12" s="8">
        <v>212.4</v>
      </c>
      <c r="E12" s="8">
        <v>241.6</v>
      </c>
      <c r="F12" s="8">
        <v>242.6</v>
      </c>
    </row>
    <row r="13" spans="1:8" ht="26.1" customHeight="1">
      <c r="A13" s="26" t="s">
        <v>24</v>
      </c>
      <c r="B13" s="28" t="s">
        <v>25</v>
      </c>
      <c r="C13" s="11">
        <v>35.5</v>
      </c>
      <c r="D13" s="11">
        <v>22.6</v>
      </c>
      <c r="E13" s="11">
        <v>13.8</v>
      </c>
      <c r="F13" s="11">
        <v>11</v>
      </c>
    </row>
    <row r="14" spans="1:8" ht="26.1" customHeight="1">
      <c r="A14" s="26" t="s">
        <v>26</v>
      </c>
      <c r="B14" s="27" t="s">
        <v>27</v>
      </c>
      <c r="C14" s="11">
        <v>1.5</v>
      </c>
      <c r="D14" s="11">
        <v>0.8</v>
      </c>
      <c r="E14" s="11">
        <v>3.2</v>
      </c>
      <c r="F14" s="11">
        <v>5</v>
      </c>
    </row>
    <row r="15" spans="1:8" ht="26.1" customHeight="1">
      <c r="A15" s="26" t="s">
        <v>28</v>
      </c>
      <c r="B15" s="27" t="s">
        <v>29</v>
      </c>
      <c r="C15" s="10">
        <v>3.7</v>
      </c>
      <c r="D15" s="10">
        <v>3.4</v>
      </c>
      <c r="E15" s="10">
        <v>5.5</v>
      </c>
      <c r="F15" s="10">
        <v>0.8</v>
      </c>
    </row>
    <row r="16" spans="1:8" ht="26.1" customHeight="1">
      <c r="A16" s="26" t="s">
        <v>30</v>
      </c>
      <c r="B16" s="27" t="s">
        <v>31</v>
      </c>
      <c r="C16" s="10">
        <v>2.5</v>
      </c>
      <c r="D16" s="10">
        <v>12.1</v>
      </c>
      <c r="E16" s="10">
        <v>2.7</v>
      </c>
      <c r="F16" s="10">
        <v>4.2</v>
      </c>
    </row>
    <row r="17" spans="1:6" ht="26.1" customHeight="1">
      <c r="A17" s="26" t="s">
        <v>32</v>
      </c>
      <c r="B17" s="28" t="s">
        <v>33</v>
      </c>
      <c r="C17" s="10">
        <v>0.2</v>
      </c>
      <c r="D17" s="10">
        <v>0.3</v>
      </c>
      <c r="E17" s="10">
        <v>0.8</v>
      </c>
      <c r="F17" s="10">
        <v>0.8</v>
      </c>
    </row>
    <row r="18" spans="1:6" ht="26.1" customHeight="1">
      <c r="A18" s="26" t="s">
        <v>34</v>
      </c>
      <c r="B18" s="27" t="s">
        <v>35</v>
      </c>
      <c r="C18" s="10">
        <v>22.9</v>
      </c>
      <c r="D18" s="10">
        <v>23.2</v>
      </c>
      <c r="E18" s="10">
        <v>19.100000000000001</v>
      </c>
      <c r="F18" s="10">
        <v>13.3</v>
      </c>
    </row>
    <row r="19" spans="1:6" ht="26.1" customHeight="1">
      <c r="A19" s="26" t="s">
        <v>36</v>
      </c>
      <c r="B19" s="27" t="s">
        <v>37</v>
      </c>
      <c r="C19" s="10">
        <v>0.4</v>
      </c>
      <c r="D19" s="10">
        <v>0.6</v>
      </c>
      <c r="E19" s="10">
        <v>0.1</v>
      </c>
      <c r="F19" s="10">
        <v>9.9999999999999867E-2</v>
      </c>
    </row>
    <row r="20" spans="1:6" ht="26.1" customHeight="1">
      <c r="A20" s="24" t="s">
        <v>38</v>
      </c>
      <c r="B20" s="25" t="s">
        <v>39</v>
      </c>
      <c r="C20" s="8">
        <v>590.4</v>
      </c>
      <c r="D20" s="8">
        <v>486.9</v>
      </c>
      <c r="E20" s="8">
        <v>400.8</v>
      </c>
      <c r="F20" s="8">
        <v>431.8</v>
      </c>
    </row>
    <row r="21" spans="1:6" ht="26.1" customHeight="1">
      <c r="A21" s="26" t="s">
        <v>40</v>
      </c>
      <c r="B21" s="27" t="s">
        <v>41</v>
      </c>
      <c r="C21" s="11">
        <v>18.100000000000001</v>
      </c>
      <c r="D21" s="11">
        <v>13.8</v>
      </c>
      <c r="E21" s="11">
        <v>16</v>
      </c>
      <c r="F21" s="11">
        <v>25.6</v>
      </c>
    </row>
    <row r="22" spans="1:6" ht="26.1" customHeight="1">
      <c r="A22" s="26" t="s">
        <v>42</v>
      </c>
      <c r="B22" s="27" t="s">
        <v>43</v>
      </c>
      <c r="C22" s="11">
        <v>0.7</v>
      </c>
      <c r="D22" s="11">
        <v>1.6</v>
      </c>
      <c r="E22" s="11">
        <v>4.5999999999999996</v>
      </c>
      <c r="F22" s="11">
        <v>1.2</v>
      </c>
    </row>
    <row r="23" spans="1:6" ht="26.1" customHeight="1">
      <c r="A23" s="26" t="s">
        <v>44</v>
      </c>
      <c r="B23" s="27" t="s">
        <v>45</v>
      </c>
      <c r="C23" s="11">
        <v>35.4</v>
      </c>
      <c r="D23" s="11">
        <v>8.6</v>
      </c>
      <c r="E23" s="11">
        <v>1.6</v>
      </c>
      <c r="F23" s="11">
        <v>11.1</v>
      </c>
    </row>
    <row r="24" spans="1:6" ht="26.1" customHeight="1">
      <c r="A24" s="26" t="s">
        <v>46</v>
      </c>
      <c r="B24" s="27" t="s">
        <v>47</v>
      </c>
      <c r="C24" s="11">
        <v>19.2</v>
      </c>
      <c r="D24" s="11">
        <v>21.6</v>
      </c>
      <c r="E24" s="11">
        <v>30.2</v>
      </c>
      <c r="F24" s="11">
        <v>30.9</v>
      </c>
    </row>
    <row r="25" spans="1:6" ht="26.1" customHeight="1">
      <c r="A25" s="26" t="s">
        <v>48</v>
      </c>
      <c r="B25" s="28" t="s">
        <v>49</v>
      </c>
      <c r="C25" s="11">
        <v>161.19999999999999</v>
      </c>
      <c r="D25" s="11">
        <v>88.2</v>
      </c>
      <c r="E25" s="11">
        <v>160.9</v>
      </c>
      <c r="F25" s="11">
        <v>138</v>
      </c>
    </row>
    <row r="26" spans="1:6" ht="26.1" customHeight="1">
      <c r="A26" s="24" t="s">
        <v>50</v>
      </c>
      <c r="B26" s="25" t="s">
        <v>51</v>
      </c>
      <c r="C26" s="8">
        <v>2947.4</v>
      </c>
      <c r="D26" s="8">
        <v>2709.8</v>
      </c>
      <c r="E26" s="8">
        <v>2223.1</v>
      </c>
      <c r="F26" s="8">
        <v>2674.5</v>
      </c>
    </row>
    <row r="27" spans="1:6" ht="26.1" customHeight="1">
      <c r="A27" s="26" t="s">
        <v>52</v>
      </c>
      <c r="B27" s="27" t="s">
        <v>53</v>
      </c>
      <c r="C27" s="10">
        <v>14.4</v>
      </c>
      <c r="D27" s="10">
        <v>12.7</v>
      </c>
      <c r="E27" s="10">
        <v>14</v>
      </c>
      <c r="F27" s="10">
        <v>36.1</v>
      </c>
    </row>
    <row r="28" spans="1:6" ht="26.1" customHeight="1">
      <c r="A28" s="26" t="s">
        <v>54</v>
      </c>
      <c r="B28" s="27" t="s">
        <v>55</v>
      </c>
      <c r="C28" s="10">
        <v>60.6</v>
      </c>
      <c r="D28" s="10">
        <v>56.7</v>
      </c>
      <c r="E28" s="10">
        <v>48.6</v>
      </c>
      <c r="F28" s="10">
        <v>37.799999999999997</v>
      </c>
    </row>
    <row r="29" spans="1:6" ht="26.1" customHeight="1">
      <c r="A29" s="26" t="s">
        <v>56</v>
      </c>
      <c r="B29" s="27" t="s">
        <v>57</v>
      </c>
      <c r="C29" s="10">
        <v>0.9</v>
      </c>
      <c r="D29" s="10">
        <v>0.8</v>
      </c>
      <c r="E29" s="10">
        <v>0.9</v>
      </c>
      <c r="F29" s="10">
        <v>1</v>
      </c>
    </row>
    <row r="30" spans="1:6" ht="26.1" customHeight="1">
      <c r="A30" s="26" t="s">
        <v>58</v>
      </c>
      <c r="B30" s="27" t="s">
        <v>59</v>
      </c>
      <c r="C30" s="10">
        <v>106.1</v>
      </c>
      <c r="D30" s="10">
        <v>132.6</v>
      </c>
      <c r="E30" s="10">
        <v>116.1</v>
      </c>
      <c r="F30" s="10">
        <v>100.1</v>
      </c>
    </row>
    <row r="31" spans="1:6" ht="26.1" customHeight="1">
      <c r="A31" s="26" t="s">
        <v>60</v>
      </c>
      <c r="B31" s="27" t="s">
        <v>61</v>
      </c>
      <c r="C31" s="10">
        <v>278.89999999999998</v>
      </c>
      <c r="D31" s="10">
        <v>198.3</v>
      </c>
      <c r="E31" s="10">
        <v>102.6</v>
      </c>
      <c r="F31" s="10">
        <v>159.80000000000001</v>
      </c>
    </row>
    <row r="32" spans="1:6" ht="26.1" customHeight="1">
      <c r="A32" s="26" t="s">
        <v>62</v>
      </c>
      <c r="B32" s="27" t="s">
        <v>63</v>
      </c>
      <c r="C32" s="10">
        <v>25</v>
      </c>
      <c r="D32" s="10">
        <v>33.4</v>
      </c>
      <c r="E32" s="10">
        <v>33.200000000000003</v>
      </c>
      <c r="F32" s="10">
        <v>43.6</v>
      </c>
    </row>
    <row r="33" spans="1:6" ht="26.1" customHeight="1">
      <c r="A33" s="26" t="s">
        <v>64</v>
      </c>
      <c r="B33" s="27" t="s">
        <v>65</v>
      </c>
      <c r="C33" s="10">
        <v>170.1</v>
      </c>
      <c r="D33" s="10">
        <v>110.5</v>
      </c>
      <c r="E33" s="10">
        <v>117.6</v>
      </c>
      <c r="F33" s="10">
        <v>91.4</v>
      </c>
    </row>
    <row r="34" spans="1:6" ht="26.1" customHeight="1">
      <c r="A34" s="26" t="s">
        <v>66</v>
      </c>
      <c r="B34" s="27" t="s">
        <v>67</v>
      </c>
      <c r="C34" s="10">
        <v>85</v>
      </c>
      <c r="D34" s="10">
        <v>91.3</v>
      </c>
      <c r="E34" s="10">
        <v>68.3</v>
      </c>
      <c r="F34" s="10">
        <v>92.4</v>
      </c>
    </row>
    <row r="35" spans="1:6" ht="26.1" customHeight="1">
      <c r="A35" s="26" t="s">
        <v>68</v>
      </c>
      <c r="B35" s="27" t="s">
        <v>69</v>
      </c>
      <c r="C35" s="10">
        <v>135.1</v>
      </c>
      <c r="D35" s="10">
        <v>149.4</v>
      </c>
      <c r="E35" s="10">
        <v>187.6</v>
      </c>
      <c r="F35" s="10">
        <v>136.1</v>
      </c>
    </row>
    <row r="36" spans="1:6" ht="26.1" customHeight="1">
      <c r="A36" s="26" t="s">
        <v>70</v>
      </c>
      <c r="B36" s="27" t="s">
        <v>71</v>
      </c>
      <c r="C36" s="10">
        <v>159.6</v>
      </c>
      <c r="D36" s="10">
        <v>116.5</v>
      </c>
      <c r="E36" s="10">
        <v>122.9</v>
      </c>
      <c r="F36" s="10">
        <v>120.2</v>
      </c>
    </row>
    <row r="37" spans="1:6" ht="26.1" customHeight="1">
      <c r="A37" s="29" t="s">
        <v>72</v>
      </c>
      <c r="B37" s="30" t="s">
        <v>73</v>
      </c>
      <c r="C37" s="14">
        <v>164.8</v>
      </c>
      <c r="D37" s="14">
        <v>51.6</v>
      </c>
      <c r="E37" s="14">
        <v>115.4</v>
      </c>
      <c r="F37" s="14">
        <v>86.8000000000022</v>
      </c>
    </row>
    <row r="38" spans="1:6" ht="26.1" customHeight="1">
      <c r="A38" s="63" t="s">
        <v>74</v>
      </c>
      <c r="B38" s="60" t="s">
        <v>75</v>
      </c>
      <c r="C38" s="17"/>
      <c r="D38" s="17"/>
      <c r="E38" s="17"/>
      <c r="F38" s="17"/>
    </row>
    <row r="39" spans="1:6" ht="26.1" customHeight="1">
      <c r="A39" s="63" t="s">
        <v>76</v>
      </c>
      <c r="B39" s="60" t="s">
        <v>77</v>
      </c>
      <c r="C39" s="18"/>
      <c r="D39" s="18"/>
      <c r="E39" s="18"/>
      <c r="F39" s="18"/>
    </row>
    <row r="40" spans="1:6" ht="26.1" customHeight="1">
      <c r="A40" s="63" t="s">
        <v>78</v>
      </c>
      <c r="B40" s="60" t="s">
        <v>79</v>
      </c>
    </row>
    <row r="41" spans="1:6">
      <c r="A41" s="20"/>
      <c r="B41" s="19"/>
      <c r="C41" s="17"/>
      <c r="D41" s="20"/>
      <c r="E41" s="20"/>
      <c r="F41" s="20"/>
    </row>
    <row r="42" spans="1:6">
      <c r="A42" s="45"/>
      <c r="B42" s="45"/>
      <c r="D42" s="45"/>
      <c r="E42" s="45"/>
      <c r="F42" s="45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zoomScale="75" zoomScaleNormal="75" workbookViewId="0">
      <selection sqref="A1:A1048576"/>
    </sheetView>
  </sheetViews>
  <sheetFormatPr defaultRowHeight="20.25"/>
  <cols>
    <col min="1" max="1" width="60.85546875" style="16" customWidth="1"/>
    <col min="2" max="2" width="75.28515625" style="16" customWidth="1"/>
    <col min="3" max="6" width="20.7109375" style="16" customWidth="1"/>
  </cols>
  <sheetData>
    <row r="1" spans="1:8" ht="26.25">
      <c r="A1" s="3"/>
      <c r="B1" s="1"/>
      <c r="C1" s="2"/>
      <c r="D1" s="2"/>
      <c r="E1" s="2"/>
      <c r="F1" s="2"/>
    </row>
    <row r="2" spans="1:8">
      <c r="A2" s="88" t="s">
        <v>0</v>
      </c>
      <c r="B2" s="88"/>
      <c r="C2" s="88"/>
      <c r="D2" s="88"/>
      <c r="E2" s="88"/>
      <c r="F2" s="88"/>
      <c r="G2" s="32"/>
      <c r="H2" s="33"/>
    </row>
    <row r="3" spans="1:8" ht="27.75">
      <c r="A3" s="6"/>
      <c r="B3" s="4"/>
      <c r="C3" s="5"/>
      <c r="D3" s="5"/>
      <c r="E3" s="5"/>
      <c r="F3" s="35" t="s">
        <v>1</v>
      </c>
    </row>
    <row r="4" spans="1:8">
      <c r="A4" s="21"/>
      <c r="B4" s="93" t="s">
        <v>2</v>
      </c>
      <c r="C4" s="31" t="s">
        <v>3</v>
      </c>
      <c r="D4" s="31" t="s">
        <v>4</v>
      </c>
      <c r="E4" s="31" t="s">
        <v>5</v>
      </c>
      <c r="F4" s="34" t="s">
        <v>6</v>
      </c>
    </row>
    <row r="5" spans="1:8" ht="12.75" customHeight="1">
      <c r="A5" s="91" t="s">
        <v>7</v>
      </c>
      <c r="B5" s="94"/>
      <c r="C5" s="89" t="s">
        <v>92</v>
      </c>
      <c r="D5" s="89" t="s">
        <v>93</v>
      </c>
      <c r="E5" s="89" t="s">
        <v>94</v>
      </c>
      <c r="F5" s="89" t="s">
        <v>95</v>
      </c>
    </row>
    <row r="6" spans="1:8" ht="20.25" customHeight="1">
      <c r="A6" s="92"/>
      <c r="B6" s="95"/>
      <c r="C6" s="90"/>
      <c r="D6" s="90"/>
      <c r="E6" s="90"/>
      <c r="F6" s="90"/>
    </row>
    <row r="7" spans="1:8" ht="26.1" customHeight="1">
      <c r="A7" s="22" t="s">
        <v>12</v>
      </c>
      <c r="B7" s="23" t="s">
        <v>13</v>
      </c>
      <c r="C7" s="7">
        <v>5390.3</v>
      </c>
      <c r="D7" s="7">
        <v>6126.4</v>
      </c>
      <c r="E7" s="7">
        <v>5450.4</v>
      </c>
      <c r="F7" s="7">
        <v>6906</v>
      </c>
    </row>
    <row r="8" spans="1:8" ht="26.1" customHeight="1">
      <c r="A8" s="24" t="s">
        <v>14</v>
      </c>
      <c r="B8" s="25" t="s">
        <v>15</v>
      </c>
      <c r="C8" s="8">
        <v>2498.1</v>
      </c>
      <c r="D8" s="8">
        <v>2648.2</v>
      </c>
      <c r="E8" s="8">
        <v>2201.9</v>
      </c>
      <c r="F8" s="8">
        <v>3286.4</v>
      </c>
    </row>
    <row r="9" spans="1:8" ht="26.1" customHeight="1">
      <c r="A9" s="26" t="s">
        <v>16</v>
      </c>
      <c r="B9" s="27" t="s">
        <v>17</v>
      </c>
      <c r="C9" s="10">
        <v>1137</v>
      </c>
      <c r="D9" s="10">
        <v>1063.0999999999999</v>
      </c>
      <c r="E9" s="10">
        <v>641.9</v>
      </c>
      <c r="F9" s="10">
        <v>1633</v>
      </c>
    </row>
    <row r="10" spans="1:8" ht="26.1" customHeight="1">
      <c r="A10" s="26" t="s">
        <v>18</v>
      </c>
      <c r="B10" s="27" t="s">
        <v>19</v>
      </c>
      <c r="C10" s="10">
        <v>1290.3</v>
      </c>
      <c r="D10" s="10">
        <v>1496.3</v>
      </c>
      <c r="E10" s="10">
        <v>1421.4</v>
      </c>
      <c r="F10" s="10">
        <v>1575.6</v>
      </c>
    </row>
    <row r="11" spans="1:8" ht="26.1" customHeight="1">
      <c r="A11" s="26" t="s">
        <v>20</v>
      </c>
      <c r="B11" s="28" t="s">
        <v>21</v>
      </c>
      <c r="C11" s="10">
        <v>16.3</v>
      </c>
      <c r="D11" s="10">
        <v>10.6</v>
      </c>
      <c r="E11" s="10">
        <v>33.5</v>
      </c>
      <c r="F11" s="10">
        <v>15.3</v>
      </c>
    </row>
    <row r="12" spans="1:8" ht="26.1" customHeight="1">
      <c r="A12" s="24" t="s">
        <v>22</v>
      </c>
      <c r="B12" s="25" t="s">
        <v>23</v>
      </c>
      <c r="C12" s="8">
        <v>348.2</v>
      </c>
      <c r="D12" s="8">
        <v>287.7</v>
      </c>
      <c r="E12" s="8">
        <v>303.89999999999998</v>
      </c>
      <c r="F12" s="8">
        <v>332.8</v>
      </c>
    </row>
    <row r="13" spans="1:8" ht="26.1" customHeight="1">
      <c r="A13" s="26" t="s">
        <v>24</v>
      </c>
      <c r="B13" s="28" t="s">
        <v>25</v>
      </c>
      <c r="C13" s="11">
        <v>14.7</v>
      </c>
      <c r="D13" s="11">
        <v>27.5</v>
      </c>
      <c r="E13" s="11">
        <v>45.52</v>
      </c>
      <c r="F13" s="11">
        <v>37.28</v>
      </c>
    </row>
    <row r="14" spans="1:8" ht="26.1" customHeight="1">
      <c r="A14" s="26" t="s">
        <v>26</v>
      </c>
      <c r="B14" s="27" t="s">
        <v>27</v>
      </c>
      <c r="C14" s="11">
        <v>3.3</v>
      </c>
      <c r="D14" s="11">
        <v>4.9000000000000004</v>
      </c>
      <c r="E14" s="11">
        <v>8.94</v>
      </c>
      <c r="F14" s="11">
        <v>28.76</v>
      </c>
    </row>
    <row r="15" spans="1:8" ht="26.1" customHeight="1">
      <c r="A15" s="26" t="s">
        <v>28</v>
      </c>
      <c r="B15" s="27" t="s">
        <v>29</v>
      </c>
      <c r="C15" s="10">
        <v>0.1</v>
      </c>
      <c r="D15" s="10">
        <v>1.3</v>
      </c>
      <c r="E15" s="10">
        <v>4.6100000000000003</v>
      </c>
      <c r="F15" s="10">
        <v>12.39</v>
      </c>
    </row>
    <row r="16" spans="1:8" ht="26.1" customHeight="1">
      <c r="A16" s="26" t="s">
        <v>30</v>
      </c>
      <c r="B16" s="27" t="s">
        <v>31</v>
      </c>
      <c r="C16" s="10">
        <v>2.4</v>
      </c>
      <c r="D16" s="10">
        <v>9.1</v>
      </c>
      <c r="E16" s="10">
        <v>3.99</v>
      </c>
      <c r="F16" s="10">
        <v>5.1100000000000003</v>
      </c>
    </row>
    <row r="17" spans="1:6" ht="26.1" customHeight="1">
      <c r="A17" s="26" t="s">
        <v>32</v>
      </c>
      <c r="B17" s="28" t="s">
        <v>33</v>
      </c>
      <c r="C17" s="10">
        <v>2.6</v>
      </c>
      <c r="D17" s="10">
        <v>1.7</v>
      </c>
      <c r="E17" s="10">
        <v>1.28</v>
      </c>
      <c r="F17" s="10">
        <v>1.52</v>
      </c>
    </row>
    <row r="18" spans="1:6" ht="26.1" customHeight="1">
      <c r="A18" s="26" t="s">
        <v>34</v>
      </c>
      <c r="B18" s="27" t="s">
        <v>35</v>
      </c>
      <c r="C18" s="10">
        <v>11.2</v>
      </c>
      <c r="D18" s="10">
        <v>33.4</v>
      </c>
      <c r="E18" s="10">
        <v>37.6</v>
      </c>
      <c r="F18" s="10">
        <v>37.6</v>
      </c>
    </row>
    <row r="19" spans="1:6" ht="26.1" customHeight="1">
      <c r="A19" s="26" t="s">
        <v>36</v>
      </c>
      <c r="B19" s="27" t="s">
        <v>37</v>
      </c>
      <c r="C19" s="10">
        <v>0.7</v>
      </c>
      <c r="D19" s="10">
        <v>0.5</v>
      </c>
      <c r="E19" s="10">
        <v>10.44</v>
      </c>
      <c r="F19" s="10">
        <v>0.26000000000000156</v>
      </c>
    </row>
    <row r="20" spans="1:6" ht="26.1" customHeight="1">
      <c r="A20" s="24" t="s">
        <v>38</v>
      </c>
      <c r="B20" s="25" t="s">
        <v>39</v>
      </c>
      <c r="C20" s="8">
        <v>313.2</v>
      </c>
      <c r="D20" s="8">
        <v>493.2</v>
      </c>
      <c r="E20" s="8">
        <v>400</v>
      </c>
      <c r="F20" s="8">
        <v>418.4</v>
      </c>
    </row>
    <row r="21" spans="1:6" ht="26.1" customHeight="1">
      <c r="A21" s="26" t="s">
        <v>40</v>
      </c>
      <c r="B21" s="27" t="s">
        <v>41</v>
      </c>
      <c r="C21" s="11">
        <v>22.7</v>
      </c>
      <c r="D21" s="11">
        <v>15.8</v>
      </c>
      <c r="E21" s="11">
        <v>19.2</v>
      </c>
      <c r="F21" s="11">
        <v>24.4</v>
      </c>
    </row>
    <row r="22" spans="1:6" ht="26.1" customHeight="1">
      <c r="A22" s="26" t="s">
        <v>42</v>
      </c>
      <c r="B22" s="27" t="s">
        <v>43</v>
      </c>
      <c r="C22" s="11">
        <v>1.9</v>
      </c>
      <c r="D22" s="11">
        <v>7.3</v>
      </c>
      <c r="E22" s="11">
        <v>3.72</v>
      </c>
      <c r="F22" s="11">
        <v>3.38</v>
      </c>
    </row>
    <row r="23" spans="1:6" ht="26.1" customHeight="1">
      <c r="A23" s="26" t="s">
        <v>44</v>
      </c>
      <c r="B23" s="27" t="s">
        <v>45</v>
      </c>
      <c r="C23" s="11">
        <v>8.3000000000000007</v>
      </c>
      <c r="D23" s="11">
        <v>14.4</v>
      </c>
      <c r="E23" s="11">
        <v>10.67</v>
      </c>
      <c r="F23" s="11">
        <v>13.03</v>
      </c>
    </row>
    <row r="24" spans="1:6" ht="26.1" customHeight="1">
      <c r="A24" s="26" t="s">
        <v>46</v>
      </c>
      <c r="B24" s="27" t="s">
        <v>47</v>
      </c>
      <c r="C24" s="11">
        <v>29</v>
      </c>
      <c r="D24" s="11">
        <v>37.299999999999997</v>
      </c>
      <c r="E24" s="11">
        <v>28.91</v>
      </c>
      <c r="F24" s="11">
        <v>31.79</v>
      </c>
    </row>
    <row r="25" spans="1:6" ht="26.1" customHeight="1">
      <c r="A25" s="26" t="s">
        <v>48</v>
      </c>
      <c r="B25" s="28" t="s">
        <v>49</v>
      </c>
      <c r="C25" s="11">
        <v>78.8</v>
      </c>
      <c r="D25" s="11">
        <v>169.9</v>
      </c>
      <c r="E25" s="11">
        <v>135.30000000000001</v>
      </c>
      <c r="F25" s="11">
        <v>103.5</v>
      </c>
    </row>
    <row r="26" spans="1:6" ht="26.1" customHeight="1">
      <c r="A26" s="24" t="s">
        <v>50</v>
      </c>
      <c r="B26" s="25" t="s">
        <v>51</v>
      </c>
      <c r="C26" s="8">
        <v>2150</v>
      </c>
      <c r="D26" s="8">
        <v>2644.5</v>
      </c>
      <c r="E26" s="8">
        <v>2443.7600000000002</v>
      </c>
      <c r="F26" s="8">
        <v>2832.64</v>
      </c>
    </row>
    <row r="27" spans="1:6" ht="26.1" customHeight="1">
      <c r="A27" s="26" t="s">
        <v>52</v>
      </c>
      <c r="B27" s="27" t="s">
        <v>53</v>
      </c>
      <c r="C27" s="10">
        <v>54.8</v>
      </c>
      <c r="D27" s="10">
        <v>24.8</v>
      </c>
      <c r="E27" s="10">
        <v>56.3</v>
      </c>
      <c r="F27" s="10">
        <v>79.5</v>
      </c>
    </row>
    <row r="28" spans="1:6" ht="26.1" customHeight="1">
      <c r="A28" s="26" t="s">
        <v>54</v>
      </c>
      <c r="B28" s="27" t="s">
        <v>55</v>
      </c>
      <c r="C28" s="10">
        <v>37.1</v>
      </c>
      <c r="D28" s="10">
        <v>66.099999999999994</v>
      </c>
      <c r="E28" s="10">
        <v>46.5</v>
      </c>
      <c r="F28" s="10">
        <v>83.2</v>
      </c>
    </row>
    <row r="29" spans="1:6" ht="26.1" customHeight="1">
      <c r="A29" s="26" t="s">
        <v>56</v>
      </c>
      <c r="B29" s="27" t="s">
        <v>57</v>
      </c>
      <c r="C29" s="10">
        <v>1.5</v>
      </c>
      <c r="D29" s="10">
        <v>1.7</v>
      </c>
      <c r="E29" s="10">
        <v>1.38</v>
      </c>
      <c r="F29" s="10">
        <v>1.1000000000000001</v>
      </c>
    </row>
    <row r="30" spans="1:6" ht="26.1" customHeight="1">
      <c r="A30" s="26" t="s">
        <v>58</v>
      </c>
      <c r="B30" s="27" t="s">
        <v>59</v>
      </c>
      <c r="C30" s="10">
        <v>65.599999999999994</v>
      </c>
      <c r="D30" s="10">
        <v>136.30000000000001</v>
      </c>
      <c r="E30" s="10">
        <v>111.92</v>
      </c>
      <c r="F30" s="10">
        <v>79.680000000000007</v>
      </c>
    </row>
    <row r="31" spans="1:6" ht="26.1" customHeight="1">
      <c r="A31" s="26" t="s">
        <v>60</v>
      </c>
      <c r="B31" s="27" t="s">
        <v>61</v>
      </c>
      <c r="C31" s="10">
        <v>105.9</v>
      </c>
      <c r="D31" s="10">
        <v>165.7</v>
      </c>
      <c r="E31" s="10">
        <v>262.73</v>
      </c>
      <c r="F31" s="10">
        <v>190.67</v>
      </c>
    </row>
    <row r="32" spans="1:6" ht="26.1" customHeight="1">
      <c r="A32" s="26" t="s">
        <v>62</v>
      </c>
      <c r="B32" s="27" t="s">
        <v>63</v>
      </c>
      <c r="C32" s="10">
        <v>48.2</v>
      </c>
      <c r="D32" s="10">
        <v>48.2</v>
      </c>
      <c r="E32" s="10">
        <v>37.229999999999997</v>
      </c>
      <c r="F32" s="10">
        <v>35.97</v>
      </c>
    </row>
    <row r="33" spans="1:6" ht="26.1" customHeight="1">
      <c r="A33" s="26" t="s">
        <v>64</v>
      </c>
      <c r="B33" s="27" t="s">
        <v>65</v>
      </c>
      <c r="C33" s="10">
        <v>134.30000000000001</v>
      </c>
      <c r="D33" s="10">
        <v>123.6</v>
      </c>
      <c r="E33" s="10">
        <v>115.56</v>
      </c>
      <c r="F33" s="10">
        <v>203.54</v>
      </c>
    </row>
    <row r="34" spans="1:6" ht="26.1" customHeight="1">
      <c r="A34" s="26" t="s">
        <v>66</v>
      </c>
      <c r="B34" s="27" t="s">
        <v>67</v>
      </c>
      <c r="C34" s="10">
        <v>63</v>
      </c>
      <c r="D34" s="10">
        <v>149.69999999999999</v>
      </c>
      <c r="E34" s="10">
        <v>70.999999999999943</v>
      </c>
      <c r="F34" s="10">
        <v>74.500000000000057</v>
      </c>
    </row>
    <row r="35" spans="1:6" ht="26.1" customHeight="1">
      <c r="A35" s="26" t="s">
        <v>68</v>
      </c>
      <c r="B35" s="27" t="s">
        <v>69</v>
      </c>
      <c r="C35" s="10">
        <v>141</v>
      </c>
      <c r="D35" s="10">
        <v>186.5</v>
      </c>
      <c r="E35" s="10">
        <v>167.42</v>
      </c>
      <c r="F35" s="10">
        <v>170.88</v>
      </c>
    </row>
    <row r="36" spans="1:6" ht="26.1" customHeight="1">
      <c r="A36" s="26" t="s">
        <v>70</v>
      </c>
      <c r="B36" s="27" t="s">
        <v>71</v>
      </c>
      <c r="C36" s="10">
        <v>119.4</v>
      </c>
      <c r="D36" s="10">
        <v>69.599999999999994</v>
      </c>
      <c r="E36" s="10">
        <v>137.31</v>
      </c>
      <c r="F36" s="10">
        <v>157.79</v>
      </c>
    </row>
    <row r="37" spans="1:6" ht="26.1" customHeight="1">
      <c r="A37" s="29" t="s">
        <v>72</v>
      </c>
      <c r="B37" s="30" t="s">
        <v>73</v>
      </c>
      <c r="C37" s="14">
        <v>80.8</v>
      </c>
      <c r="D37" s="14">
        <v>52.8</v>
      </c>
      <c r="E37" s="14">
        <v>100.83999999999924</v>
      </c>
      <c r="F37" s="14">
        <v>35.75999999999965</v>
      </c>
    </row>
    <row r="38" spans="1:6" ht="26.1" customHeight="1">
      <c r="A38" s="63" t="s">
        <v>74</v>
      </c>
      <c r="B38" s="60" t="s">
        <v>75</v>
      </c>
      <c r="C38" s="17"/>
      <c r="D38" s="17"/>
      <c r="E38" s="17"/>
      <c r="F38" s="17"/>
    </row>
    <row r="39" spans="1:6" ht="26.1" customHeight="1">
      <c r="A39" s="63" t="s">
        <v>76</v>
      </c>
      <c r="B39" s="60" t="s">
        <v>77</v>
      </c>
      <c r="C39" s="18"/>
      <c r="D39" s="18"/>
      <c r="E39" s="18"/>
      <c r="F39" s="18"/>
    </row>
    <row r="40" spans="1:6" ht="26.1" customHeight="1">
      <c r="A40" s="63" t="s">
        <v>78</v>
      </c>
      <c r="B40" s="60" t="s">
        <v>79</v>
      </c>
    </row>
    <row r="41" spans="1:6">
      <c r="A41" s="20"/>
      <c r="B41" s="19"/>
      <c r="C41" s="17"/>
      <c r="D41" s="20"/>
      <c r="E41" s="20"/>
      <c r="F41" s="20"/>
    </row>
    <row r="42" spans="1:6">
      <c r="A42" s="45"/>
      <c r="B42" s="45"/>
      <c r="D42" s="45"/>
      <c r="E42" s="45"/>
      <c r="F42" s="45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"/>
  <sheetViews>
    <sheetView topLeftCell="A22" zoomScale="75" zoomScaleNormal="75" workbookViewId="0">
      <selection activeCell="B38" sqref="A38:B40"/>
    </sheetView>
  </sheetViews>
  <sheetFormatPr defaultRowHeight="20.25"/>
  <cols>
    <col min="1" max="1" width="60.85546875" style="16" customWidth="1"/>
    <col min="2" max="2" width="75.28515625" style="16" customWidth="1"/>
    <col min="3" max="3" width="27.28515625" style="16" bestFit="1" customWidth="1"/>
    <col min="4" max="4" width="27" style="16" bestFit="1" customWidth="1"/>
    <col min="5" max="5" width="25.5703125" style="16" bestFit="1" customWidth="1"/>
    <col min="6" max="6" width="25.85546875" style="16" bestFit="1" customWidth="1"/>
  </cols>
  <sheetData>
    <row r="1" spans="1:8" ht="26.25">
      <c r="A1" s="3"/>
      <c r="B1" s="1"/>
      <c r="C1" s="2"/>
      <c r="D1" s="2"/>
      <c r="E1" s="2"/>
      <c r="F1" s="2"/>
    </row>
    <row r="2" spans="1:8">
      <c r="A2" s="88" t="s">
        <v>0</v>
      </c>
      <c r="B2" s="88"/>
      <c r="C2" s="88"/>
      <c r="D2" s="88"/>
      <c r="E2" s="88"/>
      <c r="F2" s="88"/>
      <c r="G2" s="32"/>
      <c r="H2" s="33"/>
    </row>
    <row r="3" spans="1:8" ht="27.75">
      <c r="A3" s="6"/>
      <c r="B3" s="4"/>
      <c r="C3" s="5"/>
      <c r="D3" s="5"/>
      <c r="E3" s="5"/>
      <c r="F3" s="35" t="s">
        <v>1</v>
      </c>
    </row>
    <row r="4" spans="1:8">
      <c r="A4" s="21"/>
      <c r="B4" s="93" t="s">
        <v>2</v>
      </c>
      <c r="C4" s="31" t="s">
        <v>3</v>
      </c>
      <c r="D4" s="31" t="s">
        <v>4</v>
      </c>
      <c r="E4" s="31" t="s">
        <v>5</v>
      </c>
      <c r="F4" s="34" t="s">
        <v>6</v>
      </c>
    </row>
    <row r="5" spans="1:8" ht="12.75" customHeight="1">
      <c r="A5" s="91" t="s">
        <v>7</v>
      </c>
      <c r="B5" s="94"/>
      <c r="C5" s="89" t="s">
        <v>96</v>
      </c>
      <c r="D5" s="89" t="s">
        <v>97</v>
      </c>
      <c r="E5" s="89" t="s">
        <v>98</v>
      </c>
      <c r="F5" s="89" t="s">
        <v>99</v>
      </c>
    </row>
    <row r="6" spans="1:8" ht="20.25" customHeight="1">
      <c r="A6" s="92"/>
      <c r="B6" s="95"/>
      <c r="C6" s="90"/>
      <c r="D6" s="90"/>
      <c r="E6" s="90"/>
      <c r="F6" s="90"/>
    </row>
    <row r="7" spans="1:8" ht="26.1" customHeight="1">
      <c r="A7" s="22" t="s">
        <v>12</v>
      </c>
      <c r="B7" s="23" t="s">
        <v>13</v>
      </c>
      <c r="C7" s="7">
        <v>6102</v>
      </c>
      <c r="D7" s="7">
        <v>6565.8</v>
      </c>
      <c r="E7" s="7">
        <v>6243.3</v>
      </c>
      <c r="F7" s="7">
        <v>8081.4</v>
      </c>
    </row>
    <row r="8" spans="1:8" ht="26.1" customHeight="1">
      <c r="A8" s="24" t="s">
        <v>14</v>
      </c>
      <c r="B8" s="25" t="s">
        <v>15</v>
      </c>
      <c r="C8" s="8">
        <v>2887.1</v>
      </c>
      <c r="D8" s="8">
        <v>2765.5</v>
      </c>
      <c r="E8" s="8">
        <v>2977.9</v>
      </c>
      <c r="F8" s="8">
        <v>3974.6</v>
      </c>
    </row>
    <row r="9" spans="1:8" ht="26.1" customHeight="1">
      <c r="A9" s="26" t="s">
        <v>16</v>
      </c>
      <c r="B9" s="27" t="s">
        <v>17</v>
      </c>
      <c r="C9" s="10">
        <v>1270</v>
      </c>
      <c r="D9" s="10">
        <v>974</v>
      </c>
      <c r="E9" s="10">
        <v>1207</v>
      </c>
      <c r="F9" s="10">
        <v>2211</v>
      </c>
    </row>
    <row r="10" spans="1:8" ht="26.1" customHeight="1">
      <c r="A10" s="26" t="s">
        <v>18</v>
      </c>
      <c r="B10" s="27" t="s">
        <v>19</v>
      </c>
      <c r="C10" s="10">
        <v>1523.6</v>
      </c>
      <c r="D10" s="10">
        <v>1662.3</v>
      </c>
      <c r="E10" s="10">
        <v>1624.8</v>
      </c>
      <c r="F10" s="10">
        <v>1663</v>
      </c>
    </row>
    <row r="11" spans="1:8" ht="26.1" customHeight="1">
      <c r="A11" s="26" t="s">
        <v>20</v>
      </c>
      <c r="B11" s="28" t="s">
        <v>21</v>
      </c>
      <c r="C11" s="10">
        <v>9.9</v>
      </c>
      <c r="D11" s="10">
        <v>25.5</v>
      </c>
      <c r="E11" s="10">
        <v>17.399999999999999</v>
      </c>
      <c r="F11" s="10">
        <v>11.1</v>
      </c>
    </row>
    <row r="12" spans="1:8" ht="26.1" customHeight="1">
      <c r="A12" s="24" t="s">
        <v>22</v>
      </c>
      <c r="B12" s="25" t="s">
        <v>23</v>
      </c>
      <c r="C12" s="8">
        <v>238.8</v>
      </c>
      <c r="D12" s="8">
        <v>291.89999999999998</v>
      </c>
      <c r="E12" s="8">
        <v>425.7</v>
      </c>
      <c r="F12" s="8">
        <v>458.4</v>
      </c>
    </row>
    <row r="13" spans="1:8" ht="26.1" customHeight="1">
      <c r="A13" s="26" t="s">
        <v>24</v>
      </c>
      <c r="B13" s="28" t="s">
        <v>25</v>
      </c>
      <c r="C13" s="11">
        <v>28.3</v>
      </c>
      <c r="D13" s="11">
        <v>42.4</v>
      </c>
      <c r="E13" s="11">
        <v>70.8</v>
      </c>
      <c r="F13" s="11">
        <v>79.400000000000006</v>
      </c>
    </row>
    <row r="14" spans="1:8" ht="26.1" customHeight="1">
      <c r="A14" s="26" t="s">
        <v>26</v>
      </c>
      <c r="B14" s="27" t="s">
        <v>27</v>
      </c>
      <c r="C14" s="11">
        <v>5.3</v>
      </c>
      <c r="D14" s="11">
        <v>6.2</v>
      </c>
      <c r="E14" s="11">
        <v>9.6</v>
      </c>
      <c r="F14" s="11">
        <v>21.6</v>
      </c>
    </row>
    <row r="15" spans="1:8" ht="26.1" customHeight="1">
      <c r="A15" s="26" t="s">
        <v>28</v>
      </c>
      <c r="B15" s="27" t="s">
        <v>29</v>
      </c>
      <c r="C15" s="10">
        <v>2</v>
      </c>
      <c r="D15" s="10">
        <v>4.5</v>
      </c>
      <c r="E15" s="10">
        <v>6.9</v>
      </c>
      <c r="F15" s="10">
        <v>17.3</v>
      </c>
    </row>
    <row r="16" spans="1:8" ht="26.1" customHeight="1">
      <c r="A16" s="26" t="s">
        <v>30</v>
      </c>
      <c r="B16" s="27" t="s">
        <v>31</v>
      </c>
      <c r="C16" s="10">
        <v>3.4</v>
      </c>
      <c r="D16" s="10">
        <v>5.3</v>
      </c>
      <c r="E16" s="10">
        <v>0.7</v>
      </c>
      <c r="F16" s="10">
        <v>9.1999999999999993</v>
      </c>
    </row>
    <row r="17" spans="1:6" ht="26.1" customHeight="1">
      <c r="A17" s="26" t="s">
        <v>32</v>
      </c>
      <c r="B17" s="28" t="s">
        <v>33</v>
      </c>
      <c r="C17" s="10">
        <v>1.5</v>
      </c>
      <c r="D17" s="10">
        <v>1.7</v>
      </c>
      <c r="E17" s="10">
        <v>1.7</v>
      </c>
      <c r="F17" s="10">
        <v>1.5</v>
      </c>
    </row>
    <row r="18" spans="1:6" ht="26.1" customHeight="1">
      <c r="A18" s="26" t="s">
        <v>34</v>
      </c>
      <c r="B18" s="27" t="s">
        <v>35</v>
      </c>
      <c r="C18" s="10">
        <v>32.299999999999997</v>
      </c>
      <c r="D18" s="10">
        <v>51.4</v>
      </c>
      <c r="E18" s="10">
        <v>34.5</v>
      </c>
      <c r="F18" s="10">
        <v>33.6</v>
      </c>
    </row>
    <row r="19" spans="1:6" ht="26.1" customHeight="1">
      <c r="A19" s="26" t="s">
        <v>36</v>
      </c>
      <c r="B19" s="27" t="s">
        <v>37</v>
      </c>
      <c r="C19" s="10">
        <v>0.2</v>
      </c>
      <c r="D19" s="10">
        <v>0.2</v>
      </c>
      <c r="E19" s="10">
        <v>0.4</v>
      </c>
      <c r="F19" s="10">
        <v>0.4</v>
      </c>
    </row>
    <row r="20" spans="1:6" ht="26.1" customHeight="1">
      <c r="A20" s="24" t="s">
        <v>38</v>
      </c>
      <c r="B20" s="25" t="s">
        <v>39</v>
      </c>
      <c r="C20" s="8">
        <v>422.9</v>
      </c>
      <c r="D20" s="8">
        <v>551.20000000000005</v>
      </c>
      <c r="E20" s="8">
        <v>486.5</v>
      </c>
      <c r="F20" s="8">
        <v>621.29999999999995</v>
      </c>
    </row>
    <row r="21" spans="1:6" ht="26.1" customHeight="1">
      <c r="A21" s="26" t="s">
        <v>40</v>
      </c>
      <c r="B21" s="27" t="s">
        <v>41</v>
      </c>
      <c r="C21" s="11">
        <v>34.299999999999997</v>
      </c>
      <c r="D21" s="11">
        <v>27</v>
      </c>
      <c r="E21" s="11">
        <v>23.7</v>
      </c>
      <c r="F21" s="11">
        <v>28.6</v>
      </c>
    </row>
    <row r="22" spans="1:6" ht="26.1" customHeight="1">
      <c r="A22" s="26" t="s">
        <v>42</v>
      </c>
      <c r="B22" s="27" t="s">
        <v>43</v>
      </c>
      <c r="C22" s="11">
        <v>11.4</v>
      </c>
      <c r="D22" s="11">
        <v>9.1</v>
      </c>
      <c r="E22" s="11">
        <v>7.6</v>
      </c>
      <c r="F22" s="11">
        <v>12</v>
      </c>
    </row>
    <row r="23" spans="1:6" ht="26.1" customHeight="1">
      <c r="A23" s="26" t="s">
        <v>44</v>
      </c>
      <c r="B23" s="27" t="s">
        <v>45</v>
      </c>
      <c r="C23" s="11">
        <v>9.3000000000000007</v>
      </c>
      <c r="D23" s="11">
        <v>20.2</v>
      </c>
      <c r="E23" s="11">
        <v>8.1</v>
      </c>
      <c r="F23" s="11">
        <v>36.299999999999997</v>
      </c>
    </row>
    <row r="24" spans="1:6" ht="26.1" customHeight="1">
      <c r="A24" s="26" t="s">
        <v>46</v>
      </c>
      <c r="B24" s="27" t="s">
        <v>47</v>
      </c>
      <c r="C24" s="11">
        <v>44.6</v>
      </c>
      <c r="D24" s="11">
        <v>59.1</v>
      </c>
      <c r="E24" s="11">
        <v>56.6</v>
      </c>
      <c r="F24" s="11">
        <v>52</v>
      </c>
    </row>
    <row r="25" spans="1:6" ht="26.1" customHeight="1">
      <c r="A25" s="26" t="s">
        <v>48</v>
      </c>
      <c r="B25" s="28" t="s">
        <v>49</v>
      </c>
      <c r="C25" s="11">
        <v>93.6</v>
      </c>
      <c r="D25" s="11">
        <v>152.19999999999999</v>
      </c>
      <c r="E25" s="11">
        <v>165.6</v>
      </c>
      <c r="F25" s="11">
        <v>174.5</v>
      </c>
    </row>
    <row r="26" spans="1:6" ht="26.1" customHeight="1">
      <c r="A26" s="24" t="s">
        <v>50</v>
      </c>
      <c r="B26" s="25" t="s">
        <v>51</v>
      </c>
      <c r="C26" s="8">
        <v>2536.6</v>
      </c>
      <c r="D26" s="8">
        <v>2939.8</v>
      </c>
      <c r="E26" s="8">
        <v>2353</v>
      </c>
      <c r="F26" s="8">
        <v>3020.8</v>
      </c>
    </row>
    <row r="27" spans="1:6" ht="26.1" customHeight="1">
      <c r="A27" s="26" t="s">
        <v>52</v>
      </c>
      <c r="B27" s="27" t="s">
        <v>53</v>
      </c>
      <c r="C27" s="10">
        <v>11.2</v>
      </c>
      <c r="D27" s="10">
        <v>3.1</v>
      </c>
      <c r="E27" s="10">
        <v>3.8</v>
      </c>
      <c r="F27" s="10">
        <v>7.8</v>
      </c>
    </row>
    <row r="28" spans="1:6" ht="26.1" customHeight="1">
      <c r="A28" s="26" t="s">
        <v>54</v>
      </c>
      <c r="B28" s="27" t="s">
        <v>55</v>
      </c>
      <c r="C28" s="10">
        <v>81.099999999999994</v>
      </c>
      <c r="D28" s="10">
        <v>84</v>
      </c>
      <c r="E28" s="10">
        <v>66.2</v>
      </c>
      <c r="F28" s="10">
        <v>98.1</v>
      </c>
    </row>
    <row r="29" spans="1:6" ht="26.1" customHeight="1">
      <c r="A29" s="26" t="s">
        <v>56</v>
      </c>
      <c r="B29" s="27" t="s">
        <v>57</v>
      </c>
      <c r="C29" s="10">
        <v>3.9</v>
      </c>
      <c r="D29" s="10">
        <v>2.2999999999999998</v>
      </c>
      <c r="E29" s="10">
        <v>2</v>
      </c>
      <c r="F29" s="10">
        <v>5.8</v>
      </c>
    </row>
    <row r="30" spans="1:6" ht="26.1" customHeight="1">
      <c r="A30" s="26" t="s">
        <v>58</v>
      </c>
      <c r="B30" s="27" t="s">
        <v>59</v>
      </c>
      <c r="C30" s="10">
        <v>106.7</v>
      </c>
      <c r="D30" s="10">
        <v>139.4</v>
      </c>
      <c r="E30" s="10">
        <v>87.3</v>
      </c>
      <c r="F30" s="10">
        <v>124.7</v>
      </c>
    </row>
    <row r="31" spans="1:6" ht="26.1" customHeight="1">
      <c r="A31" s="26" t="s">
        <v>60</v>
      </c>
      <c r="B31" s="27" t="s">
        <v>61</v>
      </c>
      <c r="C31" s="10">
        <v>290.3</v>
      </c>
      <c r="D31" s="10">
        <v>318.10000000000002</v>
      </c>
      <c r="E31" s="10">
        <v>265.2</v>
      </c>
      <c r="F31" s="10">
        <v>262.10000000000002</v>
      </c>
    </row>
    <row r="32" spans="1:6" ht="26.1" customHeight="1">
      <c r="A32" s="26" t="s">
        <v>62</v>
      </c>
      <c r="B32" s="27" t="s">
        <v>63</v>
      </c>
      <c r="C32" s="10">
        <v>42.1</v>
      </c>
      <c r="D32" s="10">
        <v>52</v>
      </c>
      <c r="E32" s="10">
        <v>50.2</v>
      </c>
      <c r="F32" s="10">
        <v>54.2</v>
      </c>
    </row>
    <row r="33" spans="1:6" ht="26.1" customHeight="1">
      <c r="A33" s="26" t="s">
        <v>64</v>
      </c>
      <c r="B33" s="27" t="s">
        <v>65</v>
      </c>
      <c r="C33" s="10">
        <v>146.30000000000001</v>
      </c>
      <c r="D33" s="10">
        <v>143.19999999999999</v>
      </c>
      <c r="E33" s="10">
        <v>106.2</v>
      </c>
      <c r="F33" s="10">
        <v>131</v>
      </c>
    </row>
    <row r="34" spans="1:6" ht="26.1" customHeight="1">
      <c r="A34" s="26" t="s">
        <v>66</v>
      </c>
      <c r="B34" s="27" t="s">
        <v>67</v>
      </c>
      <c r="C34" s="10">
        <v>72</v>
      </c>
      <c r="D34" s="10">
        <v>73.900000000000006</v>
      </c>
      <c r="E34" s="10">
        <v>67.400000000000006</v>
      </c>
      <c r="F34" s="10">
        <v>114.8</v>
      </c>
    </row>
    <row r="35" spans="1:6" ht="26.1" customHeight="1">
      <c r="A35" s="26" t="s">
        <v>68</v>
      </c>
      <c r="B35" s="27" t="s">
        <v>69</v>
      </c>
      <c r="C35" s="10">
        <v>182.5</v>
      </c>
      <c r="D35" s="10">
        <v>185.5</v>
      </c>
      <c r="E35" s="10">
        <v>182</v>
      </c>
      <c r="F35" s="10">
        <v>221.2</v>
      </c>
    </row>
    <row r="36" spans="1:6" ht="26.1" customHeight="1">
      <c r="A36" s="26" t="s">
        <v>70</v>
      </c>
      <c r="B36" s="27" t="s">
        <v>71</v>
      </c>
      <c r="C36" s="10">
        <v>121.9</v>
      </c>
      <c r="D36" s="10">
        <v>169.3</v>
      </c>
      <c r="E36" s="10">
        <v>168.6</v>
      </c>
      <c r="F36" s="10">
        <v>168.2</v>
      </c>
    </row>
    <row r="37" spans="1:6" ht="26.1" customHeight="1">
      <c r="A37" s="29" t="s">
        <v>72</v>
      </c>
      <c r="B37" s="30" t="s">
        <v>73</v>
      </c>
      <c r="C37" s="14">
        <v>16.600000000000001</v>
      </c>
      <c r="D37" s="14">
        <v>17.399999999999999</v>
      </c>
      <c r="E37" s="14">
        <v>0.2</v>
      </c>
      <c r="F37" s="14">
        <v>6.3</v>
      </c>
    </row>
    <row r="38" spans="1:6" ht="26.1" customHeight="1">
      <c r="A38" s="63" t="s">
        <v>74</v>
      </c>
      <c r="B38" s="60" t="s">
        <v>75</v>
      </c>
      <c r="C38" s="17"/>
      <c r="D38" s="17"/>
      <c r="E38" s="17"/>
      <c r="F38" s="17"/>
    </row>
    <row r="39" spans="1:6" ht="26.1" customHeight="1">
      <c r="A39" s="63" t="s">
        <v>76</v>
      </c>
      <c r="B39" s="60" t="s">
        <v>77</v>
      </c>
      <c r="C39" s="18"/>
      <c r="D39" s="18"/>
      <c r="E39" s="18"/>
      <c r="F39" s="18"/>
    </row>
    <row r="40" spans="1:6" ht="26.1" customHeight="1">
      <c r="A40" s="63" t="s">
        <v>78</v>
      </c>
      <c r="B40" s="60" t="s">
        <v>79</v>
      </c>
    </row>
    <row r="41" spans="1:6">
      <c r="A41" s="20"/>
      <c r="B41" s="19"/>
      <c r="C41" s="17"/>
      <c r="D41" s="20"/>
      <c r="E41" s="20"/>
      <c r="F41" s="20"/>
    </row>
    <row r="42" spans="1:6">
      <c r="A42" s="45"/>
      <c r="B42" s="45"/>
      <c r="D42" s="45"/>
      <c r="E42" s="45"/>
      <c r="F42" s="45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2"/>
  <sheetViews>
    <sheetView topLeftCell="A19" zoomScale="75" zoomScaleNormal="75" workbookViewId="0">
      <selection activeCell="B38" sqref="A38:B40"/>
    </sheetView>
  </sheetViews>
  <sheetFormatPr defaultRowHeight="20.25"/>
  <cols>
    <col min="1" max="1" width="60.85546875" style="16" customWidth="1"/>
    <col min="2" max="2" width="75.28515625" style="16" customWidth="1"/>
    <col min="3" max="3" width="27" style="16" bestFit="1" customWidth="1"/>
    <col min="4" max="4" width="26.7109375" style="16" bestFit="1" customWidth="1"/>
    <col min="5" max="5" width="25.85546875" style="16" bestFit="1" customWidth="1"/>
    <col min="6" max="6" width="26.140625" style="16" bestFit="1" customWidth="1"/>
  </cols>
  <sheetData>
    <row r="1" spans="1:8" ht="26.25">
      <c r="A1" s="3"/>
      <c r="B1" s="1"/>
      <c r="C1" s="2"/>
      <c r="D1" s="2"/>
      <c r="E1" s="2"/>
      <c r="F1" s="2"/>
    </row>
    <row r="2" spans="1:8">
      <c r="A2" s="88" t="s">
        <v>0</v>
      </c>
      <c r="B2" s="88"/>
      <c r="C2" s="88"/>
      <c r="D2" s="88"/>
      <c r="E2" s="88"/>
      <c r="F2" s="88"/>
      <c r="G2" s="32"/>
      <c r="H2" s="33"/>
    </row>
    <row r="3" spans="1:8" ht="27.75">
      <c r="A3" s="6"/>
      <c r="B3" s="4"/>
      <c r="C3" s="5"/>
      <c r="D3" s="5"/>
      <c r="E3" s="5"/>
      <c r="F3" s="35" t="s">
        <v>1</v>
      </c>
    </row>
    <row r="4" spans="1:8">
      <c r="A4" s="21"/>
      <c r="B4" s="93" t="s">
        <v>2</v>
      </c>
      <c r="C4" s="31" t="s">
        <v>3</v>
      </c>
      <c r="D4" s="31" t="s">
        <v>4</v>
      </c>
      <c r="E4" s="31" t="s">
        <v>5</v>
      </c>
      <c r="F4" s="34" t="s">
        <v>6</v>
      </c>
    </row>
    <row r="5" spans="1:8" ht="12.75" customHeight="1">
      <c r="A5" s="91" t="s">
        <v>7</v>
      </c>
      <c r="B5" s="94"/>
      <c r="C5" s="89" t="s">
        <v>100</v>
      </c>
      <c r="D5" s="89" t="s">
        <v>101</v>
      </c>
      <c r="E5" s="89" t="s">
        <v>102</v>
      </c>
      <c r="F5" s="89" t="s">
        <v>103</v>
      </c>
    </row>
    <row r="6" spans="1:8" ht="20.25" customHeight="1">
      <c r="A6" s="92"/>
      <c r="B6" s="95"/>
      <c r="C6" s="90"/>
      <c r="D6" s="90"/>
      <c r="E6" s="90"/>
      <c r="F6" s="90"/>
    </row>
    <row r="7" spans="1:8" ht="26.1" customHeight="1">
      <c r="A7" s="22" t="s">
        <v>12</v>
      </c>
      <c r="B7" s="23" t="s">
        <v>13</v>
      </c>
      <c r="C7" s="7">
        <v>6764.8</v>
      </c>
      <c r="D7" s="7">
        <v>6823.9</v>
      </c>
      <c r="E7" s="7">
        <v>5532.1</v>
      </c>
      <c r="F7" s="7">
        <v>5951.1</v>
      </c>
    </row>
    <row r="8" spans="1:8" ht="26.1" customHeight="1">
      <c r="A8" s="24" t="s">
        <v>14</v>
      </c>
      <c r="B8" s="25" t="s">
        <v>15</v>
      </c>
      <c r="C8" s="8">
        <v>3330.08</v>
      </c>
      <c r="D8" s="8">
        <v>3579.62</v>
      </c>
      <c r="E8" s="8">
        <v>2225.3000000000002</v>
      </c>
      <c r="F8" s="8">
        <v>2463.1999999999998</v>
      </c>
    </row>
    <row r="9" spans="1:8" ht="26.1" customHeight="1">
      <c r="A9" s="26" t="s">
        <v>16</v>
      </c>
      <c r="B9" s="27" t="s">
        <v>17</v>
      </c>
      <c r="C9" s="10">
        <v>1765</v>
      </c>
      <c r="D9" s="10">
        <v>1822</v>
      </c>
      <c r="E9" s="10">
        <v>764</v>
      </c>
      <c r="F9" s="10">
        <v>860</v>
      </c>
    </row>
    <row r="10" spans="1:8" ht="26.1" customHeight="1">
      <c r="A10" s="26" t="s">
        <v>18</v>
      </c>
      <c r="B10" s="27" t="s">
        <v>19</v>
      </c>
      <c r="C10" s="10">
        <v>1468.7</v>
      </c>
      <c r="D10" s="10">
        <v>1683.5</v>
      </c>
      <c r="E10" s="10">
        <v>1348.2</v>
      </c>
      <c r="F10" s="10">
        <v>1513.6</v>
      </c>
    </row>
    <row r="11" spans="1:8" ht="26.1" customHeight="1">
      <c r="A11" s="26" t="s">
        <v>20</v>
      </c>
      <c r="B11" s="28" t="s">
        <v>21</v>
      </c>
      <c r="C11" s="10">
        <v>13.28</v>
      </c>
      <c r="D11" s="10">
        <v>6.32</v>
      </c>
      <c r="E11" s="10">
        <v>11.5</v>
      </c>
      <c r="F11" s="10">
        <v>8.1999999999999993</v>
      </c>
    </row>
    <row r="12" spans="1:8" ht="26.1" customHeight="1">
      <c r="A12" s="24" t="s">
        <v>22</v>
      </c>
      <c r="B12" s="25" t="s">
        <v>23</v>
      </c>
      <c r="C12" s="8">
        <v>260.3</v>
      </c>
      <c r="D12" s="8">
        <v>210.1</v>
      </c>
      <c r="E12" s="8">
        <v>325.5</v>
      </c>
      <c r="F12" s="8">
        <v>374.8</v>
      </c>
    </row>
    <row r="13" spans="1:8" ht="26.1" customHeight="1">
      <c r="A13" s="26" t="s">
        <v>24</v>
      </c>
      <c r="B13" s="28" t="s">
        <v>25</v>
      </c>
      <c r="C13" s="11">
        <v>18.899999999999999</v>
      </c>
      <c r="D13" s="11">
        <v>32.200000000000003</v>
      </c>
      <c r="E13" s="11">
        <v>42.7</v>
      </c>
      <c r="F13" s="11">
        <v>41.3</v>
      </c>
    </row>
    <row r="14" spans="1:8" ht="26.1" customHeight="1">
      <c r="A14" s="26" t="s">
        <v>26</v>
      </c>
      <c r="B14" s="27" t="s">
        <v>27</v>
      </c>
      <c r="C14" s="11">
        <v>14.4</v>
      </c>
      <c r="D14" s="11">
        <v>6.4</v>
      </c>
      <c r="E14" s="11">
        <v>12.6</v>
      </c>
      <c r="F14" s="11">
        <v>20.100000000000001</v>
      </c>
    </row>
    <row r="15" spans="1:8" ht="26.1" customHeight="1">
      <c r="A15" s="26" t="s">
        <v>28</v>
      </c>
      <c r="B15" s="27" t="s">
        <v>29</v>
      </c>
      <c r="C15" s="10">
        <v>10.6</v>
      </c>
      <c r="D15" s="10">
        <v>1</v>
      </c>
      <c r="E15" s="10">
        <v>15.7</v>
      </c>
      <c r="F15" s="10">
        <v>38.299999999999997</v>
      </c>
    </row>
    <row r="16" spans="1:8" ht="26.1" customHeight="1">
      <c r="A16" s="26" t="s">
        <v>30</v>
      </c>
      <c r="B16" s="27" t="s">
        <v>31</v>
      </c>
      <c r="C16" s="10">
        <v>7.1</v>
      </c>
      <c r="D16" s="10">
        <v>6.4</v>
      </c>
      <c r="E16" s="10">
        <v>6.8</v>
      </c>
      <c r="F16" s="10">
        <v>8.8000000000000007</v>
      </c>
    </row>
    <row r="17" spans="1:6" ht="26.1" customHeight="1">
      <c r="A17" s="26" t="s">
        <v>32</v>
      </c>
      <c r="B17" s="28" t="s">
        <v>33</v>
      </c>
      <c r="C17" s="10">
        <v>1.5</v>
      </c>
      <c r="D17" s="10">
        <v>1.5</v>
      </c>
      <c r="E17" s="10">
        <v>1.3</v>
      </c>
      <c r="F17" s="10">
        <v>1</v>
      </c>
    </row>
    <row r="18" spans="1:6" ht="26.1" customHeight="1">
      <c r="A18" s="26" t="s">
        <v>34</v>
      </c>
      <c r="B18" s="27" t="s">
        <v>35</v>
      </c>
      <c r="C18" s="10">
        <v>42.4</v>
      </c>
      <c r="D18" s="10">
        <v>43.6</v>
      </c>
      <c r="E18" s="10">
        <v>46</v>
      </c>
      <c r="F18" s="10">
        <v>43.8</v>
      </c>
    </row>
    <row r="19" spans="1:6" ht="26.1" customHeight="1">
      <c r="A19" s="26" t="s">
        <v>36</v>
      </c>
      <c r="B19" s="27" t="s">
        <v>37</v>
      </c>
      <c r="C19" s="10">
        <v>0</v>
      </c>
      <c r="D19" s="10">
        <v>0.3</v>
      </c>
      <c r="E19" s="10">
        <v>0.4</v>
      </c>
      <c r="F19" s="10">
        <v>0.5</v>
      </c>
    </row>
    <row r="20" spans="1:6" ht="26.1" customHeight="1">
      <c r="A20" s="24" t="s">
        <v>38</v>
      </c>
      <c r="B20" s="25" t="s">
        <v>39</v>
      </c>
      <c r="C20" s="8">
        <v>560.20000000000005</v>
      </c>
      <c r="D20" s="8">
        <v>428.6</v>
      </c>
      <c r="E20" s="8">
        <v>430.8</v>
      </c>
      <c r="F20" s="8">
        <v>523.79999999999995</v>
      </c>
    </row>
    <row r="21" spans="1:6" ht="26.1" customHeight="1">
      <c r="A21" s="26" t="s">
        <v>40</v>
      </c>
      <c r="B21" s="27" t="s">
        <v>41</v>
      </c>
      <c r="C21" s="11">
        <v>53.23</v>
      </c>
      <c r="D21" s="11">
        <v>32.67</v>
      </c>
      <c r="E21" s="11">
        <v>36.1</v>
      </c>
      <c r="F21" s="11">
        <v>64</v>
      </c>
    </row>
    <row r="22" spans="1:6" ht="26.1" customHeight="1">
      <c r="A22" s="26" t="s">
        <v>42</v>
      </c>
      <c r="B22" s="27" t="s">
        <v>43</v>
      </c>
      <c r="C22" s="11">
        <v>10.29</v>
      </c>
      <c r="D22" s="11">
        <v>11.21</v>
      </c>
      <c r="E22" s="11">
        <v>10.1</v>
      </c>
      <c r="F22" s="11">
        <v>9</v>
      </c>
    </row>
    <row r="23" spans="1:6" ht="26.1" customHeight="1">
      <c r="A23" s="26" t="s">
        <v>44</v>
      </c>
      <c r="B23" s="27" t="s">
        <v>45</v>
      </c>
      <c r="C23" s="11">
        <v>30.2</v>
      </c>
      <c r="D23" s="11">
        <v>11.1</v>
      </c>
      <c r="E23" s="11">
        <v>19</v>
      </c>
      <c r="F23" s="11">
        <v>28.3</v>
      </c>
    </row>
    <row r="24" spans="1:6" ht="26.1" customHeight="1">
      <c r="A24" s="26" t="s">
        <v>46</v>
      </c>
      <c r="B24" s="27" t="s">
        <v>47</v>
      </c>
      <c r="C24" s="11">
        <v>21.3</v>
      </c>
      <c r="D24" s="11">
        <v>25.8</v>
      </c>
      <c r="E24" s="11">
        <v>18.8</v>
      </c>
      <c r="F24" s="11">
        <v>26.9</v>
      </c>
    </row>
    <row r="25" spans="1:6" ht="26.1" customHeight="1">
      <c r="A25" s="26" t="s">
        <v>48</v>
      </c>
      <c r="B25" s="28" t="s">
        <v>49</v>
      </c>
      <c r="C25" s="11">
        <v>149.9</v>
      </c>
      <c r="D25" s="11">
        <v>141.19999999999999</v>
      </c>
      <c r="E25" s="11">
        <v>152.80000000000001</v>
      </c>
      <c r="F25" s="11">
        <v>120.9</v>
      </c>
    </row>
    <row r="26" spans="1:6" ht="26.1" customHeight="1">
      <c r="A26" s="24" t="s">
        <v>50</v>
      </c>
      <c r="B26" s="25" t="s">
        <v>51</v>
      </c>
      <c r="C26" s="8">
        <v>2612.9</v>
      </c>
      <c r="D26" s="8">
        <v>2604.4</v>
      </c>
      <c r="E26" s="8">
        <v>2548.5</v>
      </c>
      <c r="F26" s="8">
        <v>2587.6999999999998</v>
      </c>
    </row>
    <row r="27" spans="1:6" ht="26.1" customHeight="1">
      <c r="A27" s="26" t="s">
        <v>52</v>
      </c>
      <c r="B27" s="27" t="s">
        <v>53</v>
      </c>
      <c r="C27" s="10">
        <v>4.7</v>
      </c>
      <c r="D27" s="10">
        <v>0.8</v>
      </c>
      <c r="E27" s="10">
        <v>1.7</v>
      </c>
      <c r="F27" s="10">
        <v>23.8</v>
      </c>
    </row>
    <row r="28" spans="1:6" ht="26.1" customHeight="1">
      <c r="A28" s="26" t="s">
        <v>54</v>
      </c>
      <c r="B28" s="27" t="s">
        <v>55</v>
      </c>
      <c r="C28" s="10">
        <v>88.9</v>
      </c>
      <c r="D28" s="10">
        <v>94.8</v>
      </c>
      <c r="E28" s="10">
        <v>103.4</v>
      </c>
      <c r="F28" s="10">
        <v>120.2</v>
      </c>
    </row>
    <row r="29" spans="1:6" ht="26.1" customHeight="1">
      <c r="A29" s="26" t="s">
        <v>56</v>
      </c>
      <c r="B29" s="27" t="s">
        <v>57</v>
      </c>
      <c r="C29" s="10">
        <v>5.2</v>
      </c>
      <c r="D29" s="10">
        <v>2.2999999999999998</v>
      </c>
      <c r="E29" s="10">
        <v>6.3</v>
      </c>
      <c r="F29" s="10">
        <v>5.4</v>
      </c>
    </row>
    <row r="30" spans="1:6" ht="26.1" customHeight="1">
      <c r="A30" s="26" t="s">
        <v>58</v>
      </c>
      <c r="B30" s="27" t="s">
        <v>59</v>
      </c>
      <c r="C30" s="10">
        <v>93.5</v>
      </c>
      <c r="D30" s="10">
        <v>103.8</v>
      </c>
      <c r="E30" s="10">
        <v>78.400000000000006</v>
      </c>
      <c r="F30" s="10">
        <v>90.7</v>
      </c>
    </row>
    <row r="31" spans="1:6" ht="26.1" customHeight="1">
      <c r="A31" s="26" t="s">
        <v>60</v>
      </c>
      <c r="B31" s="27" t="s">
        <v>61</v>
      </c>
      <c r="C31" s="10">
        <v>209.41</v>
      </c>
      <c r="D31" s="10">
        <v>241.79</v>
      </c>
      <c r="E31" s="10">
        <v>206.1</v>
      </c>
      <c r="F31" s="10">
        <v>196.5</v>
      </c>
    </row>
    <row r="32" spans="1:6" ht="26.1" customHeight="1">
      <c r="A32" s="26" t="s">
        <v>62</v>
      </c>
      <c r="B32" s="27" t="s">
        <v>63</v>
      </c>
      <c r="C32" s="10">
        <v>50.21</v>
      </c>
      <c r="D32" s="10">
        <v>38.99</v>
      </c>
      <c r="E32" s="10">
        <v>40.5</v>
      </c>
      <c r="F32" s="10">
        <v>40.5</v>
      </c>
    </row>
    <row r="33" spans="1:6" ht="26.1" customHeight="1">
      <c r="A33" s="26" t="s">
        <v>64</v>
      </c>
      <c r="B33" s="27" t="s">
        <v>65</v>
      </c>
      <c r="C33" s="10">
        <v>92.31</v>
      </c>
      <c r="D33" s="10">
        <v>88.39</v>
      </c>
      <c r="E33" s="10">
        <v>51.3</v>
      </c>
      <c r="F33" s="10">
        <v>50.4</v>
      </c>
    </row>
    <row r="34" spans="1:6" ht="26.1" customHeight="1">
      <c r="A34" s="26" t="s">
        <v>66</v>
      </c>
      <c r="B34" s="27" t="s">
        <v>67</v>
      </c>
      <c r="C34" s="10">
        <v>94.66</v>
      </c>
      <c r="D34" s="10">
        <v>86.84</v>
      </c>
      <c r="E34" s="10">
        <v>61.5</v>
      </c>
      <c r="F34" s="10">
        <v>66.8</v>
      </c>
    </row>
    <row r="35" spans="1:6" ht="26.1" customHeight="1">
      <c r="A35" s="26" t="s">
        <v>68</v>
      </c>
      <c r="B35" s="27" t="s">
        <v>69</v>
      </c>
      <c r="C35" s="10">
        <v>200.1</v>
      </c>
      <c r="D35" s="10">
        <v>187.1</v>
      </c>
      <c r="E35" s="10">
        <v>165.5</v>
      </c>
      <c r="F35" s="10">
        <v>186.4</v>
      </c>
    </row>
    <row r="36" spans="1:6" ht="26.1" customHeight="1">
      <c r="A36" s="26" t="s">
        <v>70</v>
      </c>
      <c r="B36" s="27" t="s">
        <v>71</v>
      </c>
      <c r="C36" s="10">
        <v>169.6</v>
      </c>
      <c r="D36" s="10">
        <v>143.6</v>
      </c>
      <c r="E36" s="10">
        <v>134.5</v>
      </c>
      <c r="F36" s="10">
        <v>128.4</v>
      </c>
    </row>
    <row r="37" spans="1:6" ht="26.1" customHeight="1">
      <c r="A37" s="29" t="s">
        <v>72</v>
      </c>
      <c r="B37" s="30" t="s">
        <v>73</v>
      </c>
      <c r="C37" s="14">
        <v>1.3200000000001566</v>
      </c>
      <c r="D37" s="14">
        <v>1.1799999999998434</v>
      </c>
      <c r="E37" s="14">
        <v>2</v>
      </c>
      <c r="F37" s="14">
        <v>1.6</v>
      </c>
    </row>
    <row r="38" spans="1:6" ht="26.1" customHeight="1">
      <c r="A38" s="63" t="s">
        <v>74</v>
      </c>
      <c r="B38" s="60" t="s">
        <v>75</v>
      </c>
      <c r="C38" s="17"/>
      <c r="D38" s="17"/>
      <c r="E38" s="17"/>
      <c r="F38" s="17"/>
    </row>
    <row r="39" spans="1:6" ht="26.1" customHeight="1">
      <c r="A39" s="63" t="s">
        <v>76</v>
      </c>
      <c r="B39" s="60" t="s">
        <v>77</v>
      </c>
      <c r="C39" s="18"/>
      <c r="D39" s="18"/>
      <c r="E39" s="18"/>
      <c r="F39" s="18"/>
    </row>
    <row r="40" spans="1:6" ht="26.1" customHeight="1">
      <c r="A40" s="63" t="s">
        <v>78</v>
      </c>
      <c r="B40" s="60" t="s">
        <v>79</v>
      </c>
    </row>
    <row r="41" spans="1:6">
      <c r="A41" s="20"/>
      <c r="B41" s="19"/>
      <c r="C41" s="17"/>
      <c r="D41" s="20"/>
      <c r="E41" s="20"/>
      <c r="F41" s="20"/>
    </row>
    <row r="42" spans="1:6">
      <c r="A42" s="45"/>
      <c r="B42" s="45"/>
      <c r="D42" s="45"/>
      <c r="E42" s="45"/>
      <c r="F42" s="45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2"/>
  <sheetViews>
    <sheetView view="pageBreakPreview" topLeftCell="A22" zoomScale="75" zoomScaleNormal="100" zoomScaleSheetLayoutView="75" workbookViewId="0">
      <selection activeCell="B38" sqref="A38:B40"/>
    </sheetView>
  </sheetViews>
  <sheetFormatPr defaultRowHeight="20.25"/>
  <cols>
    <col min="1" max="1" width="60.85546875" style="16" customWidth="1"/>
    <col min="2" max="2" width="75.28515625" style="16" customWidth="1"/>
    <col min="3" max="3" width="24.42578125" style="16" customWidth="1"/>
    <col min="4" max="4" width="24.5703125" style="16" customWidth="1"/>
    <col min="5" max="5" width="24.42578125" style="16" customWidth="1"/>
    <col min="6" max="6" width="25.28515625" style="16" customWidth="1"/>
  </cols>
  <sheetData>
    <row r="1" spans="1:6" ht="26.25">
      <c r="A1" s="3"/>
      <c r="B1" s="1"/>
      <c r="C1" s="2"/>
      <c r="D1" s="2"/>
      <c r="E1" s="2"/>
      <c r="F1" s="2"/>
    </row>
    <row r="2" spans="1:6">
      <c r="A2" s="88" t="s">
        <v>0</v>
      </c>
      <c r="B2" s="88"/>
      <c r="C2" s="88"/>
      <c r="D2" s="88"/>
      <c r="E2" s="88"/>
      <c r="F2" s="88"/>
    </row>
    <row r="3" spans="1:6" ht="27.75">
      <c r="A3" s="6"/>
      <c r="B3" s="4"/>
      <c r="C3" s="5"/>
      <c r="D3" s="5"/>
      <c r="E3" s="5"/>
      <c r="F3" s="35" t="s">
        <v>1</v>
      </c>
    </row>
    <row r="4" spans="1:6">
      <c r="A4" s="21"/>
      <c r="B4" s="93" t="s">
        <v>2</v>
      </c>
      <c r="C4" s="31" t="s">
        <v>3</v>
      </c>
      <c r="D4" s="31" t="s">
        <v>4</v>
      </c>
      <c r="E4" s="31" t="s">
        <v>5</v>
      </c>
      <c r="F4" s="34" t="s">
        <v>6</v>
      </c>
    </row>
    <row r="5" spans="1:6" ht="12.75" customHeight="1">
      <c r="A5" s="91" t="s">
        <v>7</v>
      </c>
      <c r="B5" s="94"/>
      <c r="C5" s="89" t="s">
        <v>104</v>
      </c>
      <c r="D5" s="89" t="s">
        <v>105</v>
      </c>
      <c r="E5" s="89" t="s">
        <v>106</v>
      </c>
      <c r="F5" s="89" t="s">
        <v>107</v>
      </c>
    </row>
    <row r="6" spans="1:6" ht="20.25" customHeight="1">
      <c r="A6" s="92"/>
      <c r="B6" s="95"/>
      <c r="C6" s="90"/>
      <c r="D6" s="90"/>
      <c r="E6" s="90"/>
      <c r="F6" s="90"/>
    </row>
    <row r="7" spans="1:6" ht="26.1" customHeight="1">
      <c r="A7" s="22" t="s">
        <v>12</v>
      </c>
      <c r="B7" s="23" t="s">
        <v>13</v>
      </c>
      <c r="C7" s="7">
        <v>6775.0999999999995</v>
      </c>
      <c r="D7" s="7">
        <v>6833.5000000000009</v>
      </c>
      <c r="E7" s="7">
        <f>6804.9-155</f>
        <v>6649.9</v>
      </c>
      <c r="F7" s="7">
        <f>6574.61+155</f>
        <v>6729.61</v>
      </c>
    </row>
    <row r="8" spans="1:6" ht="26.1" customHeight="1">
      <c r="A8" s="24" t="s">
        <v>14</v>
      </c>
      <c r="B8" s="25" t="s">
        <v>15</v>
      </c>
      <c r="C8" s="8">
        <v>3242.3</v>
      </c>
      <c r="D8" s="8">
        <v>3435.9</v>
      </c>
      <c r="E8" s="8">
        <f>3483.4-155</f>
        <v>3328.4</v>
      </c>
      <c r="F8" s="8">
        <f>3010.1+155</f>
        <v>3165.1</v>
      </c>
    </row>
    <row r="9" spans="1:6" ht="26.1" customHeight="1">
      <c r="A9" s="26" t="s">
        <v>16</v>
      </c>
      <c r="B9" s="27" t="s">
        <v>17</v>
      </c>
      <c r="C9" s="10">
        <v>1861.4</v>
      </c>
      <c r="D9" s="10">
        <v>1849.1</v>
      </c>
      <c r="E9" s="10">
        <f>2037.6-155</f>
        <v>1882.6</v>
      </c>
      <c r="F9" s="10">
        <f>1555.1+155</f>
        <v>1710.1</v>
      </c>
    </row>
    <row r="10" spans="1:6" ht="26.1" customHeight="1">
      <c r="A10" s="26" t="s">
        <v>18</v>
      </c>
      <c r="B10" s="27" t="s">
        <v>19</v>
      </c>
      <c r="C10" s="10">
        <v>1338.5</v>
      </c>
      <c r="D10" s="10">
        <v>1544.8</v>
      </c>
      <c r="E10" s="10">
        <v>1410.1</v>
      </c>
      <c r="F10" s="10">
        <v>1426.4</v>
      </c>
    </row>
    <row r="11" spans="1:6" ht="26.1" customHeight="1">
      <c r="A11" s="26" t="s">
        <v>20</v>
      </c>
      <c r="B11" s="28" t="s">
        <v>21</v>
      </c>
      <c r="C11" s="10">
        <v>9.5</v>
      </c>
      <c r="D11" s="10">
        <v>8.8000000000000007</v>
      </c>
      <c r="E11" s="10">
        <v>11.3</v>
      </c>
      <c r="F11" s="10">
        <v>10.02</v>
      </c>
    </row>
    <row r="12" spans="1:6" ht="26.1" customHeight="1">
      <c r="A12" s="24" t="s">
        <v>22</v>
      </c>
      <c r="B12" s="25" t="s">
        <v>23</v>
      </c>
      <c r="C12" s="8">
        <v>289.5</v>
      </c>
      <c r="D12" s="8">
        <v>263.8</v>
      </c>
      <c r="E12" s="8">
        <v>373.4</v>
      </c>
      <c r="F12" s="8">
        <v>412.31</v>
      </c>
    </row>
    <row r="13" spans="1:6" ht="26.1" customHeight="1">
      <c r="A13" s="26" t="s">
        <v>24</v>
      </c>
      <c r="B13" s="28" t="s">
        <v>25</v>
      </c>
      <c r="C13" s="11">
        <v>27.1</v>
      </c>
      <c r="D13" s="11">
        <v>31.4</v>
      </c>
      <c r="E13" s="11">
        <v>27.7</v>
      </c>
      <c r="F13" s="11">
        <v>34.1</v>
      </c>
    </row>
    <row r="14" spans="1:6" ht="26.1" customHeight="1">
      <c r="A14" s="26" t="s">
        <v>26</v>
      </c>
      <c r="B14" s="27" t="s">
        <v>27</v>
      </c>
      <c r="C14" s="11">
        <v>20.7</v>
      </c>
      <c r="D14" s="11">
        <v>14</v>
      </c>
      <c r="E14" s="11">
        <v>11.8</v>
      </c>
      <c r="F14" s="11">
        <v>46.2</v>
      </c>
    </row>
    <row r="15" spans="1:6" ht="26.1" customHeight="1">
      <c r="A15" s="26" t="s">
        <v>28</v>
      </c>
      <c r="B15" s="27" t="s">
        <v>29</v>
      </c>
      <c r="C15" s="10">
        <v>6</v>
      </c>
      <c r="D15" s="10">
        <v>3.1</v>
      </c>
      <c r="E15" s="10">
        <v>24.2</v>
      </c>
      <c r="F15" s="10">
        <v>29</v>
      </c>
    </row>
    <row r="16" spans="1:6" ht="26.1" customHeight="1">
      <c r="A16" s="26" t="s">
        <v>30</v>
      </c>
      <c r="B16" s="27" t="s">
        <v>31</v>
      </c>
      <c r="C16" s="10">
        <v>7.2</v>
      </c>
      <c r="D16" s="10">
        <v>5.2</v>
      </c>
      <c r="E16" s="10">
        <v>5.7</v>
      </c>
      <c r="F16" s="10">
        <v>8.1999999999999993</v>
      </c>
    </row>
    <row r="17" spans="1:6" ht="26.1" customHeight="1">
      <c r="A17" s="26" t="s">
        <v>32</v>
      </c>
      <c r="B17" s="28" t="s">
        <v>33</v>
      </c>
      <c r="C17" s="10">
        <v>1.3</v>
      </c>
      <c r="D17" s="10">
        <v>1.7</v>
      </c>
      <c r="E17" s="10">
        <v>0.9</v>
      </c>
      <c r="F17" s="10">
        <v>3.6</v>
      </c>
    </row>
    <row r="18" spans="1:6" ht="26.1" customHeight="1">
      <c r="A18" s="26" t="s">
        <v>34</v>
      </c>
      <c r="B18" s="27" t="s">
        <v>35</v>
      </c>
      <c r="C18" s="10">
        <v>56.7</v>
      </c>
      <c r="D18" s="10">
        <v>42.2</v>
      </c>
      <c r="E18" s="10">
        <v>34.9</v>
      </c>
      <c r="F18" s="10">
        <v>43.3</v>
      </c>
    </row>
    <row r="19" spans="1:6" ht="26.1" customHeight="1">
      <c r="A19" s="26" t="s">
        <v>36</v>
      </c>
      <c r="B19" s="27" t="s">
        <v>37</v>
      </c>
      <c r="C19" s="10">
        <v>0.2</v>
      </c>
      <c r="D19" s="10">
        <v>0.4</v>
      </c>
      <c r="E19" s="10">
        <v>0.2</v>
      </c>
      <c r="F19" s="10">
        <v>0.3</v>
      </c>
    </row>
    <row r="20" spans="1:6" ht="26.1" customHeight="1">
      <c r="A20" s="24" t="s">
        <v>38</v>
      </c>
      <c r="B20" s="25" t="s">
        <v>39</v>
      </c>
      <c r="C20" s="8">
        <v>523.70000000000005</v>
      </c>
      <c r="D20" s="8">
        <v>490.9</v>
      </c>
      <c r="E20" s="8">
        <v>476.7</v>
      </c>
      <c r="F20" s="8">
        <v>504.5</v>
      </c>
    </row>
    <row r="21" spans="1:6" ht="26.1" customHeight="1">
      <c r="A21" s="26" t="s">
        <v>40</v>
      </c>
      <c r="B21" s="27" t="s">
        <v>41</v>
      </c>
      <c r="C21" s="11">
        <v>46.4</v>
      </c>
      <c r="D21" s="11">
        <v>51.7</v>
      </c>
      <c r="E21" s="11">
        <v>46.2</v>
      </c>
      <c r="F21" s="11">
        <v>41.8</v>
      </c>
    </row>
    <row r="22" spans="1:6" ht="26.1" customHeight="1">
      <c r="A22" s="26" t="s">
        <v>42</v>
      </c>
      <c r="B22" s="27" t="s">
        <v>43</v>
      </c>
      <c r="C22" s="11">
        <v>6.1</v>
      </c>
      <c r="D22" s="11">
        <v>6.3</v>
      </c>
      <c r="E22" s="11">
        <v>6</v>
      </c>
      <c r="F22" s="11">
        <v>8.4</v>
      </c>
    </row>
    <row r="23" spans="1:6" ht="26.1" customHeight="1">
      <c r="A23" s="26" t="s">
        <v>44</v>
      </c>
      <c r="B23" s="27" t="s">
        <v>45</v>
      </c>
      <c r="C23" s="11">
        <v>30</v>
      </c>
      <c r="D23" s="11">
        <v>25.3</v>
      </c>
      <c r="E23" s="11">
        <v>33.799999999999997</v>
      </c>
      <c r="F23" s="11">
        <v>24.6</v>
      </c>
    </row>
    <row r="24" spans="1:6" ht="26.1" customHeight="1">
      <c r="A24" s="26" t="s">
        <v>46</v>
      </c>
      <c r="B24" s="27" t="s">
        <v>47</v>
      </c>
      <c r="C24" s="11">
        <v>18.899999999999999</v>
      </c>
      <c r="D24" s="11">
        <v>19.3</v>
      </c>
      <c r="E24" s="11">
        <v>24.2</v>
      </c>
      <c r="F24" s="11">
        <v>28.8</v>
      </c>
    </row>
    <row r="25" spans="1:6" ht="26.1" customHeight="1">
      <c r="A25" s="26" t="s">
        <v>48</v>
      </c>
      <c r="B25" s="28" t="s">
        <v>49</v>
      </c>
      <c r="C25" s="11">
        <v>123.8</v>
      </c>
      <c r="D25" s="11">
        <v>148.9</v>
      </c>
      <c r="E25" s="11">
        <v>119.1</v>
      </c>
      <c r="F25" s="11">
        <v>127.2</v>
      </c>
    </row>
    <row r="26" spans="1:6" ht="26.1" customHeight="1">
      <c r="A26" s="24" t="s">
        <v>50</v>
      </c>
      <c r="B26" s="25" t="s">
        <v>51</v>
      </c>
      <c r="C26" s="8">
        <v>2718.7</v>
      </c>
      <c r="D26" s="8">
        <v>2641.8</v>
      </c>
      <c r="E26" s="8">
        <v>2470.6</v>
      </c>
      <c r="F26" s="8">
        <v>2646.5</v>
      </c>
    </row>
    <row r="27" spans="1:6" ht="26.1" customHeight="1">
      <c r="A27" s="26" t="s">
        <v>52</v>
      </c>
      <c r="B27" s="27" t="s">
        <v>53</v>
      </c>
      <c r="C27" s="10">
        <v>2.4</v>
      </c>
      <c r="D27" s="10">
        <v>8.5</v>
      </c>
      <c r="E27" s="10">
        <v>18.100000000000001</v>
      </c>
      <c r="F27" s="10">
        <v>23.9</v>
      </c>
    </row>
    <row r="28" spans="1:6" ht="26.1" customHeight="1">
      <c r="A28" s="26" t="s">
        <v>54</v>
      </c>
      <c r="B28" s="27" t="s">
        <v>55</v>
      </c>
      <c r="C28" s="10">
        <v>78.7</v>
      </c>
      <c r="D28" s="10">
        <v>94.4</v>
      </c>
      <c r="E28" s="10">
        <v>75.8</v>
      </c>
      <c r="F28" s="10">
        <v>94.3</v>
      </c>
    </row>
    <row r="29" spans="1:6" ht="26.1" customHeight="1">
      <c r="A29" s="26" t="s">
        <v>56</v>
      </c>
      <c r="B29" s="27" t="s">
        <v>57</v>
      </c>
      <c r="C29" s="10">
        <v>4.5</v>
      </c>
      <c r="D29" s="10">
        <v>3.4</v>
      </c>
      <c r="E29" s="10">
        <v>4.9000000000000004</v>
      </c>
      <c r="F29" s="10">
        <v>5.8</v>
      </c>
    </row>
    <row r="30" spans="1:6" ht="26.1" customHeight="1">
      <c r="A30" s="26" t="s">
        <v>58</v>
      </c>
      <c r="B30" s="27" t="s">
        <v>59</v>
      </c>
      <c r="C30" s="10">
        <v>95.1</v>
      </c>
      <c r="D30" s="10">
        <v>100.5</v>
      </c>
      <c r="E30" s="10">
        <v>104.8</v>
      </c>
      <c r="F30" s="10">
        <v>79.800000000000068</v>
      </c>
    </row>
    <row r="31" spans="1:6" ht="26.1" customHeight="1">
      <c r="A31" s="26" t="s">
        <v>60</v>
      </c>
      <c r="B31" s="27" t="s">
        <v>61</v>
      </c>
      <c r="C31" s="10">
        <v>223.6</v>
      </c>
      <c r="D31" s="10">
        <v>240.7</v>
      </c>
      <c r="E31" s="10">
        <v>218.1</v>
      </c>
      <c r="F31" s="10">
        <v>167.7</v>
      </c>
    </row>
    <row r="32" spans="1:6" ht="26.1" customHeight="1">
      <c r="A32" s="26" t="s">
        <v>62</v>
      </c>
      <c r="B32" s="27" t="s">
        <v>63</v>
      </c>
      <c r="C32" s="10">
        <v>39.5</v>
      </c>
      <c r="D32" s="10">
        <v>39.799999999999997</v>
      </c>
      <c r="E32" s="10">
        <v>37</v>
      </c>
      <c r="F32" s="10">
        <v>43.2</v>
      </c>
    </row>
    <row r="33" spans="1:6" ht="26.1" customHeight="1">
      <c r="A33" s="26" t="s">
        <v>64</v>
      </c>
      <c r="B33" s="27" t="s">
        <v>65</v>
      </c>
      <c r="C33" s="10">
        <v>72.3</v>
      </c>
      <c r="D33" s="10">
        <v>85.9</v>
      </c>
      <c r="E33" s="10">
        <v>100.8</v>
      </c>
      <c r="F33" s="10">
        <v>130.30000000000001</v>
      </c>
    </row>
    <row r="34" spans="1:6" ht="26.1" customHeight="1">
      <c r="A34" s="26" t="s">
        <v>66</v>
      </c>
      <c r="B34" s="27" t="s">
        <v>67</v>
      </c>
      <c r="C34" s="10">
        <v>59.6</v>
      </c>
      <c r="D34" s="10">
        <v>40.5</v>
      </c>
      <c r="E34" s="10">
        <v>52</v>
      </c>
      <c r="F34" s="10">
        <v>61.4</v>
      </c>
    </row>
    <row r="35" spans="1:6" ht="26.1" customHeight="1">
      <c r="A35" s="26" t="s">
        <v>68</v>
      </c>
      <c r="B35" s="27" t="s">
        <v>69</v>
      </c>
      <c r="C35" s="10">
        <v>181</v>
      </c>
      <c r="D35" s="10">
        <v>186.2</v>
      </c>
      <c r="E35" s="10">
        <v>164.2</v>
      </c>
      <c r="F35" s="10">
        <v>186.3</v>
      </c>
    </row>
    <row r="36" spans="1:6" ht="26.1" customHeight="1">
      <c r="A36" s="26" t="s">
        <v>70</v>
      </c>
      <c r="B36" s="27" t="s">
        <v>71</v>
      </c>
      <c r="C36" s="10">
        <v>163.30000000000001</v>
      </c>
      <c r="D36" s="10">
        <v>204.3</v>
      </c>
      <c r="E36" s="10">
        <v>191.9</v>
      </c>
      <c r="F36" s="10">
        <v>223.1</v>
      </c>
    </row>
    <row r="37" spans="1:6" ht="26.1" customHeight="1">
      <c r="A37" s="29" t="s">
        <v>72</v>
      </c>
      <c r="B37" s="30" t="s">
        <v>73</v>
      </c>
      <c r="C37" s="14">
        <v>0.89999999999991331</v>
      </c>
      <c r="D37" s="14">
        <v>1.1000000000000001</v>
      </c>
      <c r="E37" s="14">
        <v>0.8</v>
      </c>
      <c r="F37" s="14">
        <v>1.2</v>
      </c>
    </row>
    <row r="38" spans="1:6" ht="26.1" customHeight="1">
      <c r="A38" s="63" t="s">
        <v>74</v>
      </c>
      <c r="B38" s="60" t="s">
        <v>75</v>
      </c>
      <c r="C38" s="17"/>
      <c r="D38" s="17"/>
      <c r="E38" s="17"/>
      <c r="F38" s="17"/>
    </row>
    <row r="39" spans="1:6" ht="26.1" customHeight="1">
      <c r="A39" s="63" t="s">
        <v>76</v>
      </c>
      <c r="B39" s="60" t="s">
        <v>77</v>
      </c>
      <c r="C39" s="18"/>
      <c r="D39" s="18"/>
      <c r="E39" s="18"/>
      <c r="F39" s="18"/>
    </row>
    <row r="40" spans="1:6" ht="26.1" customHeight="1">
      <c r="A40" s="63" t="s">
        <v>78</v>
      </c>
      <c r="B40" s="60" t="s">
        <v>79</v>
      </c>
    </row>
    <row r="41" spans="1:6">
      <c r="A41" s="20"/>
      <c r="B41" s="19"/>
      <c r="C41" s="17"/>
      <c r="D41" s="20"/>
      <c r="E41" s="20"/>
      <c r="F41" s="20"/>
    </row>
    <row r="42" spans="1:6">
      <c r="A42" s="45"/>
      <c r="B42" s="45"/>
      <c r="D42" s="45"/>
      <c r="E42" s="45"/>
      <c r="F42" s="45"/>
    </row>
  </sheetData>
  <mergeCells count="7">
    <mergeCell ref="A2:F2"/>
    <mergeCell ref="B4:B6"/>
    <mergeCell ref="A5:A6"/>
    <mergeCell ref="C5:C6"/>
    <mergeCell ref="D5:D6"/>
    <mergeCell ref="E5:E6"/>
    <mergeCell ref="F5:F6"/>
  </mergeCells>
  <phoneticPr fontId="3" type="noConversion"/>
  <pageMargins left="0.75" right="0.75" top="1" bottom="1" header="0.5" footer="0.5"/>
  <pageSetup paperSize="9" scale="41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2"/>
  <sheetViews>
    <sheetView view="pageBreakPreview" topLeftCell="A28" zoomScale="75" zoomScaleNormal="100" zoomScaleSheetLayoutView="75" workbookViewId="0">
      <selection activeCell="B38" sqref="A38:B40"/>
    </sheetView>
  </sheetViews>
  <sheetFormatPr defaultRowHeight="20.25"/>
  <cols>
    <col min="1" max="1" width="60.85546875" style="16" customWidth="1"/>
    <col min="2" max="2" width="75.28515625" style="16" customWidth="1"/>
    <col min="3" max="3" width="24.5703125" style="16" customWidth="1"/>
    <col min="4" max="4" width="24.7109375" style="16" customWidth="1"/>
    <col min="5" max="5" width="23.7109375" style="16" customWidth="1"/>
    <col min="6" max="6" width="23.5703125" style="16" customWidth="1"/>
    <col min="7" max="7" width="13.85546875" customWidth="1"/>
  </cols>
  <sheetData>
    <row r="1" spans="1:7" ht="26.25">
      <c r="A1" s="3"/>
      <c r="B1" s="1"/>
      <c r="C1" s="2"/>
      <c r="D1" s="2"/>
      <c r="E1" s="2"/>
      <c r="F1" s="2"/>
    </row>
    <row r="2" spans="1:7">
      <c r="A2" s="88" t="s">
        <v>0</v>
      </c>
      <c r="B2" s="88"/>
      <c r="C2" s="88"/>
      <c r="D2" s="88"/>
      <c r="E2" s="88"/>
      <c r="F2" s="88"/>
    </row>
    <row r="3" spans="1:7" ht="27.75">
      <c r="A3" s="6"/>
      <c r="B3" s="4"/>
      <c r="C3" s="47"/>
      <c r="D3" s="47"/>
      <c r="E3" s="5"/>
      <c r="F3" s="35" t="s">
        <v>1</v>
      </c>
    </row>
    <row r="4" spans="1:7">
      <c r="A4" s="21"/>
      <c r="B4" s="93" t="s">
        <v>2</v>
      </c>
      <c r="C4" s="31" t="s">
        <v>3</v>
      </c>
      <c r="D4" s="31" t="s">
        <v>4</v>
      </c>
      <c r="E4" s="31" t="s">
        <v>5</v>
      </c>
      <c r="F4" s="34" t="s">
        <v>6</v>
      </c>
    </row>
    <row r="5" spans="1:7" ht="12.75" customHeight="1">
      <c r="A5" s="91" t="s">
        <v>7</v>
      </c>
      <c r="B5" s="94"/>
      <c r="C5" s="89" t="s">
        <v>108</v>
      </c>
      <c r="D5" s="89" t="s">
        <v>109</v>
      </c>
      <c r="E5" s="89" t="s">
        <v>110</v>
      </c>
      <c r="F5" s="89" t="s">
        <v>111</v>
      </c>
    </row>
    <row r="6" spans="1:7" ht="20.25" customHeight="1">
      <c r="A6" s="92"/>
      <c r="B6" s="95"/>
      <c r="C6" s="90"/>
      <c r="D6" s="90"/>
      <c r="E6" s="90"/>
      <c r="F6" s="90"/>
    </row>
    <row r="7" spans="1:7" ht="26.1" customHeight="1">
      <c r="A7" s="22" t="s">
        <v>112</v>
      </c>
      <c r="B7" s="23" t="s">
        <v>113</v>
      </c>
      <c r="C7" s="7">
        <f>C8+C12+C20+C26+C37</f>
        <v>6187.9</v>
      </c>
      <c r="D7" s="7">
        <f>D8+D12+D20+D26+D37</f>
        <v>6910.4</v>
      </c>
      <c r="E7" s="7">
        <v>6403.4299999999985</v>
      </c>
      <c r="F7" s="7">
        <v>6520.9000000000005</v>
      </c>
      <c r="G7" s="48"/>
    </row>
    <row r="8" spans="1:7" ht="26.1" customHeight="1">
      <c r="A8" s="24" t="s">
        <v>14</v>
      </c>
      <c r="B8" s="25" t="s">
        <v>15</v>
      </c>
      <c r="C8" s="8">
        <v>3054.3999999999996</v>
      </c>
      <c r="D8" s="8">
        <v>3570.3</v>
      </c>
      <c r="E8" s="8">
        <v>2879.7</v>
      </c>
      <c r="F8" s="8">
        <v>2966.9</v>
      </c>
    </row>
    <row r="9" spans="1:7" ht="26.1" customHeight="1">
      <c r="A9" s="26" t="s">
        <v>16</v>
      </c>
      <c r="B9" s="27" t="s">
        <v>17</v>
      </c>
      <c r="C9" s="10">
        <v>1868</v>
      </c>
      <c r="D9" s="10">
        <v>2182</v>
      </c>
      <c r="E9" s="10">
        <v>1837</v>
      </c>
      <c r="F9" s="10">
        <v>1828</v>
      </c>
    </row>
    <row r="10" spans="1:7" ht="26.1" customHeight="1">
      <c r="A10" s="26" t="s">
        <v>18</v>
      </c>
      <c r="B10" s="27" t="s">
        <v>19</v>
      </c>
      <c r="C10" s="10">
        <v>1167</v>
      </c>
      <c r="D10" s="10">
        <v>1353.6</v>
      </c>
      <c r="E10" s="10">
        <v>1023.2</v>
      </c>
      <c r="F10" s="10">
        <v>1097.0999999999999</v>
      </c>
    </row>
    <row r="11" spans="1:7" ht="26.1" customHeight="1">
      <c r="A11" s="26" t="s">
        <v>20</v>
      </c>
      <c r="B11" s="28" t="s">
        <v>21</v>
      </c>
      <c r="C11" s="10">
        <v>6.6</v>
      </c>
      <c r="D11" s="10">
        <v>6.5</v>
      </c>
      <c r="E11" s="10">
        <v>12.7</v>
      </c>
      <c r="F11" s="10">
        <v>12.9</v>
      </c>
    </row>
    <row r="12" spans="1:7" ht="26.1" customHeight="1">
      <c r="A12" s="24" t="s">
        <v>22</v>
      </c>
      <c r="B12" s="25" t="s">
        <v>23</v>
      </c>
      <c r="C12" s="8">
        <v>270.2</v>
      </c>
      <c r="D12" s="8">
        <v>297.8</v>
      </c>
      <c r="E12" s="8">
        <v>396.3</v>
      </c>
      <c r="F12" s="8">
        <v>527.70000000000005</v>
      </c>
    </row>
    <row r="13" spans="1:7" ht="26.1" customHeight="1">
      <c r="A13" s="26" t="s">
        <v>24</v>
      </c>
      <c r="B13" s="28" t="s">
        <v>25</v>
      </c>
      <c r="C13" s="11">
        <v>20.9</v>
      </c>
      <c r="D13" s="11">
        <v>24.6</v>
      </c>
      <c r="E13" s="11">
        <v>19</v>
      </c>
      <c r="F13" s="11">
        <v>19.3</v>
      </c>
    </row>
    <row r="14" spans="1:7" ht="26.1" customHeight="1">
      <c r="A14" s="26" t="s">
        <v>26</v>
      </c>
      <c r="B14" s="27" t="s">
        <v>27</v>
      </c>
      <c r="C14" s="11">
        <v>24.9</v>
      </c>
      <c r="D14" s="11">
        <v>14.5</v>
      </c>
      <c r="E14" s="11">
        <v>39.5</v>
      </c>
      <c r="F14" s="11">
        <v>74.8</v>
      </c>
    </row>
    <row r="15" spans="1:7" ht="26.1" customHeight="1">
      <c r="A15" s="26" t="s">
        <v>28</v>
      </c>
      <c r="B15" s="27" t="s">
        <v>29</v>
      </c>
      <c r="C15" s="10">
        <v>8.9</v>
      </c>
      <c r="D15" s="10">
        <v>7.3</v>
      </c>
      <c r="E15" s="10">
        <v>34.299999999999997</v>
      </c>
      <c r="F15" s="10">
        <v>50.3</v>
      </c>
    </row>
    <row r="16" spans="1:7" ht="26.1" customHeight="1">
      <c r="A16" s="26" t="s">
        <v>30</v>
      </c>
      <c r="B16" s="27" t="s">
        <v>31</v>
      </c>
      <c r="C16" s="10">
        <v>6</v>
      </c>
      <c r="D16" s="10">
        <v>5.7</v>
      </c>
      <c r="E16" s="10">
        <v>6.2</v>
      </c>
      <c r="F16" s="10">
        <v>6.5</v>
      </c>
    </row>
    <row r="17" spans="1:6" ht="26.1" customHeight="1">
      <c r="A17" s="26" t="s">
        <v>32</v>
      </c>
      <c r="B17" s="28" t="s">
        <v>33</v>
      </c>
      <c r="C17" s="10">
        <v>2.6</v>
      </c>
      <c r="D17" s="10">
        <v>3.3</v>
      </c>
      <c r="E17" s="10">
        <v>4.4000000000000004</v>
      </c>
      <c r="F17" s="10">
        <v>5.3</v>
      </c>
    </row>
    <row r="18" spans="1:6" ht="26.1" customHeight="1">
      <c r="A18" s="26" t="s">
        <v>34</v>
      </c>
      <c r="B18" s="27" t="s">
        <v>35</v>
      </c>
      <c r="C18" s="10">
        <v>45.1</v>
      </c>
      <c r="D18" s="10">
        <v>67.900000000000006</v>
      </c>
      <c r="E18" s="10">
        <v>60.7</v>
      </c>
      <c r="F18" s="10">
        <v>69.900000000000006</v>
      </c>
    </row>
    <row r="19" spans="1:6" ht="26.1" customHeight="1">
      <c r="A19" s="26" t="s">
        <v>36</v>
      </c>
      <c r="B19" s="27" t="s">
        <v>37</v>
      </c>
      <c r="C19" s="10">
        <v>0.1</v>
      </c>
      <c r="D19" s="10">
        <v>0.3</v>
      </c>
      <c r="E19" s="10">
        <v>1.6</v>
      </c>
      <c r="F19" s="10">
        <v>2</v>
      </c>
    </row>
    <row r="20" spans="1:6" ht="26.1" customHeight="1">
      <c r="A20" s="24" t="s">
        <v>38</v>
      </c>
      <c r="B20" s="25" t="s">
        <v>39</v>
      </c>
      <c r="C20" s="8">
        <v>504.7</v>
      </c>
      <c r="D20" s="8">
        <v>595.9</v>
      </c>
      <c r="E20" s="8">
        <v>579.70000000000005</v>
      </c>
      <c r="F20" s="8">
        <v>538.29999999999995</v>
      </c>
    </row>
    <row r="21" spans="1:6" ht="26.1" customHeight="1">
      <c r="A21" s="26" t="s">
        <v>40</v>
      </c>
      <c r="B21" s="27" t="s">
        <v>41</v>
      </c>
      <c r="C21" s="11">
        <v>34.1</v>
      </c>
      <c r="D21" s="11">
        <v>33.5</v>
      </c>
      <c r="E21" s="11">
        <v>31.1</v>
      </c>
      <c r="F21" s="11">
        <v>34.9</v>
      </c>
    </row>
    <row r="22" spans="1:6" ht="26.1" customHeight="1">
      <c r="A22" s="26" t="s">
        <v>42</v>
      </c>
      <c r="B22" s="27" t="s">
        <v>43</v>
      </c>
      <c r="C22" s="11">
        <v>6.6</v>
      </c>
      <c r="D22" s="11">
        <v>4.2</v>
      </c>
      <c r="E22" s="11">
        <v>10.199999999999999</v>
      </c>
      <c r="F22" s="11">
        <v>7.9</v>
      </c>
    </row>
    <row r="23" spans="1:6" ht="26.1" customHeight="1">
      <c r="A23" s="26" t="s">
        <v>44</v>
      </c>
      <c r="B23" s="27" t="s">
        <v>45</v>
      </c>
      <c r="C23" s="11">
        <v>8</v>
      </c>
      <c r="D23" s="11">
        <v>6.7</v>
      </c>
      <c r="E23" s="11">
        <v>7</v>
      </c>
      <c r="F23" s="11">
        <v>10.3</v>
      </c>
    </row>
    <row r="24" spans="1:6" ht="26.1" customHeight="1">
      <c r="A24" s="26" t="s">
        <v>46</v>
      </c>
      <c r="B24" s="27" t="s">
        <v>47</v>
      </c>
      <c r="C24" s="11">
        <v>27.9</v>
      </c>
      <c r="D24" s="11">
        <v>39.9</v>
      </c>
      <c r="E24" s="11">
        <v>47.1</v>
      </c>
      <c r="F24" s="11">
        <v>28</v>
      </c>
    </row>
    <row r="25" spans="1:6" ht="26.1" customHeight="1">
      <c r="A25" s="26" t="s">
        <v>48</v>
      </c>
      <c r="B25" s="28" t="s">
        <v>49</v>
      </c>
      <c r="C25" s="11">
        <v>113.5</v>
      </c>
      <c r="D25" s="11">
        <v>178.1</v>
      </c>
      <c r="E25" s="11">
        <v>117.4</v>
      </c>
      <c r="F25" s="11">
        <v>127.5</v>
      </c>
    </row>
    <row r="26" spans="1:6" ht="26.1" customHeight="1">
      <c r="A26" s="24" t="s">
        <v>50</v>
      </c>
      <c r="B26" s="25" t="s">
        <v>51</v>
      </c>
      <c r="C26" s="8">
        <v>2357.6</v>
      </c>
      <c r="D26" s="8">
        <v>2445.4</v>
      </c>
      <c r="E26" s="8">
        <v>2546.6999999999998</v>
      </c>
      <c r="F26" s="8">
        <v>2486</v>
      </c>
    </row>
    <row r="27" spans="1:6" ht="26.1" customHeight="1">
      <c r="A27" s="26" t="s">
        <v>52</v>
      </c>
      <c r="B27" s="27" t="s">
        <v>53</v>
      </c>
      <c r="C27" s="10">
        <v>6.8</v>
      </c>
      <c r="D27" s="10">
        <v>13.8</v>
      </c>
      <c r="E27" s="10">
        <v>11.4</v>
      </c>
      <c r="F27" s="10">
        <v>9.5</v>
      </c>
    </row>
    <row r="28" spans="1:6" ht="26.1" customHeight="1">
      <c r="A28" s="26" t="s">
        <v>54</v>
      </c>
      <c r="B28" s="27" t="s">
        <v>55</v>
      </c>
      <c r="C28" s="10">
        <v>80.400000000000006</v>
      </c>
      <c r="D28" s="10">
        <v>67.400000000000006</v>
      </c>
      <c r="E28" s="10">
        <v>72.7</v>
      </c>
      <c r="F28" s="10">
        <v>52.3</v>
      </c>
    </row>
    <row r="29" spans="1:6" ht="26.1" customHeight="1">
      <c r="A29" s="26" t="s">
        <v>56</v>
      </c>
      <c r="B29" s="27" t="s">
        <v>57</v>
      </c>
      <c r="C29" s="10">
        <v>2.2000000000000002</v>
      </c>
      <c r="D29" s="10">
        <v>0</v>
      </c>
      <c r="E29" s="10">
        <v>5.6</v>
      </c>
      <c r="F29" s="10">
        <v>5.7</v>
      </c>
    </row>
    <row r="30" spans="1:6" ht="26.1" customHeight="1">
      <c r="A30" s="26" t="s">
        <v>58</v>
      </c>
      <c r="B30" s="27" t="s">
        <v>59</v>
      </c>
      <c r="C30" s="10">
        <v>64.8</v>
      </c>
      <c r="D30" s="10">
        <v>75.2</v>
      </c>
      <c r="E30" s="10">
        <v>81.900000000000006</v>
      </c>
      <c r="F30" s="10">
        <v>68.2</v>
      </c>
    </row>
    <row r="31" spans="1:6" ht="26.1" customHeight="1">
      <c r="A31" s="26" t="s">
        <v>60</v>
      </c>
      <c r="B31" s="27" t="s">
        <v>61</v>
      </c>
      <c r="C31" s="10">
        <v>196.9</v>
      </c>
      <c r="D31" s="10">
        <v>172.6</v>
      </c>
      <c r="E31" s="10">
        <v>166.8</v>
      </c>
      <c r="F31" s="10">
        <v>168.8</v>
      </c>
    </row>
    <row r="32" spans="1:6" ht="26.1" customHeight="1">
      <c r="A32" s="26" t="s">
        <v>62</v>
      </c>
      <c r="B32" s="27" t="s">
        <v>63</v>
      </c>
      <c r="C32" s="10">
        <v>33</v>
      </c>
      <c r="D32" s="10">
        <v>48.3</v>
      </c>
      <c r="E32" s="10">
        <v>55.5</v>
      </c>
      <c r="F32" s="10">
        <v>53.8</v>
      </c>
    </row>
    <row r="33" spans="1:6" ht="26.1" customHeight="1">
      <c r="A33" s="26" t="s">
        <v>64</v>
      </c>
      <c r="B33" s="27" t="s">
        <v>65</v>
      </c>
      <c r="C33" s="10">
        <v>106.5</v>
      </c>
      <c r="D33" s="10">
        <v>107.9</v>
      </c>
      <c r="E33" s="10">
        <v>56.6</v>
      </c>
      <c r="F33" s="10">
        <v>63.5</v>
      </c>
    </row>
    <row r="34" spans="1:6" ht="26.1" customHeight="1">
      <c r="A34" s="26" t="s">
        <v>66</v>
      </c>
      <c r="B34" s="27" t="s">
        <v>67</v>
      </c>
      <c r="C34" s="10">
        <v>53</v>
      </c>
      <c r="D34" s="10">
        <v>69.3</v>
      </c>
      <c r="E34" s="10">
        <v>61.1</v>
      </c>
      <c r="F34" s="10">
        <v>67.5</v>
      </c>
    </row>
    <row r="35" spans="1:6" ht="26.1" customHeight="1">
      <c r="A35" s="26" t="s">
        <v>68</v>
      </c>
      <c r="B35" s="27" t="s">
        <v>69</v>
      </c>
      <c r="C35" s="10">
        <v>166.6</v>
      </c>
      <c r="D35" s="10">
        <v>208.9</v>
      </c>
      <c r="E35" s="10">
        <v>199.6</v>
      </c>
      <c r="F35" s="10">
        <v>199.2</v>
      </c>
    </row>
    <row r="36" spans="1:6" ht="26.1" customHeight="1">
      <c r="A36" s="26" t="s">
        <v>70</v>
      </c>
      <c r="B36" s="27" t="s">
        <v>71</v>
      </c>
      <c r="C36" s="10">
        <v>189.8</v>
      </c>
      <c r="D36" s="10">
        <v>192.7</v>
      </c>
      <c r="E36" s="10">
        <v>196.4</v>
      </c>
      <c r="F36" s="10">
        <v>182.2</v>
      </c>
    </row>
    <row r="37" spans="1:6" ht="26.1" customHeight="1">
      <c r="A37" s="29" t="s">
        <v>72</v>
      </c>
      <c r="B37" s="30" t="s">
        <v>73</v>
      </c>
      <c r="C37" s="14">
        <v>0.99999999999972644</v>
      </c>
      <c r="D37" s="14">
        <v>1</v>
      </c>
      <c r="E37" s="14">
        <v>1</v>
      </c>
      <c r="F37" s="14">
        <v>2</v>
      </c>
    </row>
    <row r="38" spans="1:6" ht="26.1" customHeight="1">
      <c r="A38" s="63" t="s">
        <v>74</v>
      </c>
      <c r="B38" s="60" t="s">
        <v>75</v>
      </c>
      <c r="C38" s="17"/>
      <c r="D38" s="17"/>
      <c r="E38" s="17"/>
      <c r="F38" s="17"/>
    </row>
    <row r="39" spans="1:6" ht="26.1" customHeight="1">
      <c r="A39" s="63" t="s">
        <v>114</v>
      </c>
      <c r="B39" s="60" t="s">
        <v>115</v>
      </c>
      <c r="C39" s="18"/>
      <c r="D39" s="18"/>
      <c r="E39" s="18"/>
      <c r="F39" s="18"/>
    </row>
    <row r="40" spans="1:6" ht="26.1" customHeight="1">
      <c r="A40" s="63" t="s">
        <v>78</v>
      </c>
      <c r="B40" s="60" t="s">
        <v>79</v>
      </c>
    </row>
    <row r="41" spans="1:6">
      <c r="A41" s="20"/>
      <c r="B41" s="19"/>
      <c r="C41" s="17"/>
      <c r="D41" s="20"/>
      <c r="E41" s="20"/>
      <c r="F41" s="20"/>
    </row>
    <row r="42" spans="1:6">
      <c r="A42" s="45"/>
      <c r="B42" s="45"/>
      <c r="D42" s="45"/>
      <c r="E42" s="45"/>
      <c r="F42" s="45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" right="0.7" top="0.75" bottom="0.75" header="0.3" footer="0.3"/>
  <pageSetup paperSize="8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6"/>
  <sheetViews>
    <sheetView topLeftCell="A32" zoomScale="75" zoomScaleNormal="75" workbookViewId="0">
      <selection activeCell="B38" sqref="A38:B40"/>
    </sheetView>
  </sheetViews>
  <sheetFormatPr defaultRowHeight="20.25"/>
  <cols>
    <col min="1" max="1" width="60.85546875" style="16" customWidth="1"/>
    <col min="2" max="2" width="75.28515625" style="16" customWidth="1"/>
    <col min="3" max="3" width="24.5703125" style="16" customWidth="1"/>
    <col min="4" max="4" width="24.7109375" style="16" customWidth="1"/>
    <col min="5" max="5" width="24.5703125" style="16" customWidth="1"/>
    <col min="6" max="6" width="29.42578125" style="16" customWidth="1"/>
    <col min="7" max="9" width="9.140625" customWidth="1"/>
  </cols>
  <sheetData>
    <row r="1" spans="1:12" ht="26.25">
      <c r="A1" s="3"/>
      <c r="B1" s="1"/>
      <c r="C1" s="2"/>
      <c r="D1" s="2"/>
      <c r="E1" s="2"/>
      <c r="F1" s="2"/>
    </row>
    <row r="2" spans="1:12">
      <c r="A2" s="88" t="s">
        <v>0</v>
      </c>
      <c r="B2" s="88"/>
      <c r="C2" s="88"/>
      <c r="D2" s="88"/>
      <c r="E2" s="88"/>
      <c r="F2" s="88"/>
    </row>
    <row r="3" spans="1:12" ht="27.75">
      <c r="A3" s="6"/>
      <c r="B3" s="4"/>
      <c r="C3" s="5"/>
      <c r="D3" s="5"/>
      <c r="E3" s="5"/>
      <c r="F3" s="35" t="s">
        <v>1</v>
      </c>
    </row>
    <row r="4" spans="1:12">
      <c r="A4" s="21"/>
      <c r="B4" s="93" t="s">
        <v>2</v>
      </c>
      <c r="C4" s="31" t="s">
        <v>3</v>
      </c>
      <c r="D4" s="31" t="s">
        <v>4</v>
      </c>
      <c r="E4" s="31" t="s">
        <v>5</v>
      </c>
      <c r="F4" s="34" t="s">
        <v>6</v>
      </c>
    </row>
    <row r="5" spans="1:12" ht="12.75" customHeight="1">
      <c r="A5" s="91" t="s">
        <v>7</v>
      </c>
      <c r="B5" s="94"/>
      <c r="C5" s="89" t="s">
        <v>116</v>
      </c>
      <c r="D5" s="89" t="s">
        <v>117</v>
      </c>
      <c r="E5" s="89" t="s">
        <v>118</v>
      </c>
      <c r="F5" s="89" t="s">
        <v>119</v>
      </c>
    </row>
    <row r="6" spans="1:12" ht="20.25" customHeight="1">
      <c r="A6" s="92"/>
      <c r="B6" s="95"/>
      <c r="C6" s="90"/>
      <c r="D6" s="90"/>
      <c r="E6" s="90"/>
      <c r="F6" s="90"/>
    </row>
    <row r="7" spans="1:12" ht="26.1" customHeight="1">
      <c r="A7" s="22" t="s">
        <v>12</v>
      </c>
      <c r="B7" s="23" t="s">
        <v>13</v>
      </c>
      <c r="C7" s="39">
        <v>6414.4000000000005</v>
      </c>
      <c r="D7" s="39">
        <v>5929.9999999999973</v>
      </c>
      <c r="E7" s="7">
        <v>4752.2999999999965</v>
      </c>
      <c r="F7" s="7">
        <v>5148.3999999999996</v>
      </c>
      <c r="K7" s="44"/>
      <c r="L7" s="44"/>
    </row>
    <row r="8" spans="1:12" ht="26.1" customHeight="1">
      <c r="A8" s="24" t="s">
        <v>14</v>
      </c>
      <c r="B8" s="25" t="s">
        <v>15</v>
      </c>
      <c r="C8" s="40">
        <v>2889.6</v>
      </c>
      <c r="D8" s="40">
        <v>2564.4999999999995</v>
      </c>
      <c r="E8" s="8">
        <v>1605.9</v>
      </c>
      <c r="F8" s="8">
        <v>1967.4</v>
      </c>
      <c r="K8" s="44"/>
      <c r="L8" s="44"/>
    </row>
    <row r="9" spans="1:12" ht="26.1" customHeight="1">
      <c r="A9" s="26" t="s">
        <v>16</v>
      </c>
      <c r="B9" s="27" t="s">
        <v>17</v>
      </c>
      <c r="C9" s="41">
        <v>2020.6</v>
      </c>
      <c r="D9" s="41">
        <v>1722.6</v>
      </c>
      <c r="E9" s="10">
        <v>1070.3</v>
      </c>
      <c r="F9" s="10">
        <v>1344.7</v>
      </c>
      <c r="K9" s="44"/>
      <c r="L9" s="44"/>
    </row>
    <row r="10" spans="1:12" ht="26.1" customHeight="1">
      <c r="A10" s="26" t="s">
        <v>18</v>
      </c>
      <c r="B10" s="27" t="s">
        <v>19</v>
      </c>
      <c r="C10" s="41">
        <v>837.5</v>
      </c>
      <c r="D10" s="41">
        <v>787.8</v>
      </c>
      <c r="E10" s="10">
        <v>499</v>
      </c>
      <c r="F10" s="10">
        <v>609.4</v>
      </c>
      <c r="K10" s="44"/>
      <c r="L10" s="44"/>
    </row>
    <row r="11" spans="1:12" ht="26.1" customHeight="1">
      <c r="A11" s="26" t="s">
        <v>20</v>
      </c>
      <c r="B11" s="28" t="s">
        <v>21</v>
      </c>
      <c r="C11" s="41">
        <v>12.4</v>
      </c>
      <c r="D11" s="41">
        <v>11.999999999999998</v>
      </c>
      <c r="E11" s="10">
        <v>10.600000000000003</v>
      </c>
      <c r="F11" s="10">
        <v>7.1</v>
      </c>
      <c r="K11" s="44"/>
      <c r="L11" s="44"/>
    </row>
    <row r="12" spans="1:12" ht="26.1" customHeight="1">
      <c r="A12" s="24" t="s">
        <v>22</v>
      </c>
      <c r="B12" s="25" t="s">
        <v>23</v>
      </c>
      <c r="C12" s="40">
        <v>427.9</v>
      </c>
      <c r="D12" s="40">
        <v>334.30000000000007</v>
      </c>
      <c r="E12" s="8">
        <v>433.7</v>
      </c>
      <c r="F12" s="8">
        <v>536.1</v>
      </c>
      <c r="K12" s="44"/>
      <c r="L12" s="44"/>
    </row>
    <row r="13" spans="1:12" ht="26.1" customHeight="1">
      <c r="A13" s="26" t="s">
        <v>24</v>
      </c>
      <c r="B13" s="28" t="s">
        <v>25</v>
      </c>
      <c r="C13" s="42">
        <v>8.5</v>
      </c>
      <c r="D13" s="42">
        <v>9.1999999999999993</v>
      </c>
      <c r="E13" s="11">
        <v>12.900000000000002</v>
      </c>
      <c r="F13" s="11">
        <v>11.9</v>
      </c>
      <c r="K13" s="44"/>
      <c r="L13" s="44"/>
    </row>
    <row r="14" spans="1:12" ht="26.1" customHeight="1">
      <c r="A14" s="26" t="s">
        <v>26</v>
      </c>
      <c r="B14" s="27" t="s">
        <v>27</v>
      </c>
      <c r="C14" s="42">
        <v>32.6</v>
      </c>
      <c r="D14" s="42">
        <v>14.600000000000001</v>
      </c>
      <c r="E14" s="11">
        <v>32.099999999999994</v>
      </c>
      <c r="F14" s="11">
        <v>59.8</v>
      </c>
      <c r="K14" s="44"/>
      <c r="L14" s="44"/>
    </row>
    <row r="15" spans="1:12" ht="26.1" customHeight="1">
      <c r="A15" s="26" t="s">
        <v>28</v>
      </c>
      <c r="B15" s="27" t="s">
        <v>29</v>
      </c>
      <c r="C15" s="42">
        <v>22.1</v>
      </c>
      <c r="D15" s="42">
        <v>9.8999999999999986</v>
      </c>
      <c r="E15" s="10">
        <v>41.199999999999989</v>
      </c>
      <c r="F15" s="10">
        <v>73.3</v>
      </c>
      <c r="K15" s="44"/>
      <c r="L15" s="44"/>
    </row>
    <row r="16" spans="1:12" ht="26.1" customHeight="1">
      <c r="A16" s="26" t="s">
        <v>30</v>
      </c>
      <c r="B16" s="27" t="s">
        <v>31</v>
      </c>
      <c r="C16" s="41">
        <v>5.6</v>
      </c>
      <c r="D16" s="41">
        <v>7.3000000000000007</v>
      </c>
      <c r="E16" s="10">
        <v>6.9</v>
      </c>
      <c r="F16" s="10">
        <v>9.1999999999999993</v>
      </c>
      <c r="K16" s="44"/>
      <c r="L16" s="44"/>
    </row>
    <row r="17" spans="1:12" ht="26.1" customHeight="1">
      <c r="A17" s="26" t="s">
        <v>32</v>
      </c>
      <c r="B17" s="28" t="s">
        <v>33</v>
      </c>
      <c r="C17" s="41">
        <v>5.4</v>
      </c>
      <c r="D17" s="41">
        <v>4.9000000000000004</v>
      </c>
      <c r="E17" s="10">
        <v>5</v>
      </c>
      <c r="F17" s="10">
        <v>5.7</v>
      </c>
      <c r="K17" s="44"/>
      <c r="L17" s="44"/>
    </row>
    <row r="18" spans="1:12" ht="26.1" customHeight="1">
      <c r="A18" s="26" t="s">
        <v>34</v>
      </c>
      <c r="B18" s="27" t="s">
        <v>35</v>
      </c>
      <c r="C18" s="41">
        <v>63</v>
      </c>
      <c r="D18" s="41">
        <v>74.799999999999983</v>
      </c>
      <c r="E18" s="10">
        <v>76.000000000000028</v>
      </c>
      <c r="F18" s="10">
        <v>55.9</v>
      </c>
      <c r="K18" s="44"/>
      <c r="L18" s="44"/>
    </row>
    <row r="19" spans="1:12" ht="26.1" customHeight="1">
      <c r="A19" s="26" t="s">
        <v>36</v>
      </c>
      <c r="B19" s="27" t="s">
        <v>37</v>
      </c>
      <c r="C19" s="41">
        <v>1.6</v>
      </c>
      <c r="D19" s="41">
        <v>0.6</v>
      </c>
      <c r="E19" s="10">
        <v>0.4</v>
      </c>
      <c r="F19" s="10">
        <v>1.9</v>
      </c>
      <c r="K19" s="44"/>
      <c r="L19" s="44"/>
    </row>
    <row r="20" spans="1:12" ht="26.1" customHeight="1">
      <c r="A20" s="24" t="s">
        <v>38</v>
      </c>
      <c r="B20" s="25" t="s">
        <v>39</v>
      </c>
      <c r="C20" s="40">
        <v>522.4</v>
      </c>
      <c r="D20" s="40">
        <v>522.80000000000007</v>
      </c>
      <c r="E20" s="8">
        <v>465.09999999999991</v>
      </c>
      <c r="F20" s="8">
        <v>443.1</v>
      </c>
      <c r="K20" s="44"/>
      <c r="L20" s="44"/>
    </row>
    <row r="21" spans="1:12" ht="26.1" customHeight="1">
      <c r="A21" s="26" t="s">
        <v>40</v>
      </c>
      <c r="B21" s="27" t="s">
        <v>41</v>
      </c>
      <c r="C21" s="42">
        <v>39.700000000000003</v>
      </c>
      <c r="D21" s="42">
        <v>24.9</v>
      </c>
      <c r="E21" s="11">
        <v>43.800000000000011</v>
      </c>
      <c r="F21" s="11">
        <v>24.1</v>
      </c>
      <c r="K21" s="44"/>
      <c r="L21" s="44"/>
    </row>
    <row r="22" spans="1:12" ht="26.1" customHeight="1">
      <c r="A22" s="26" t="s">
        <v>42</v>
      </c>
      <c r="B22" s="27" t="s">
        <v>43</v>
      </c>
      <c r="C22" s="42">
        <v>8.9</v>
      </c>
      <c r="D22" s="42">
        <v>11.3</v>
      </c>
      <c r="E22" s="11">
        <v>14.500000000000002</v>
      </c>
      <c r="F22" s="11">
        <v>14.4</v>
      </c>
      <c r="K22" s="44"/>
      <c r="L22" s="44"/>
    </row>
    <row r="23" spans="1:12" ht="26.1" customHeight="1">
      <c r="A23" s="26" t="s">
        <v>44</v>
      </c>
      <c r="B23" s="27" t="s">
        <v>45</v>
      </c>
      <c r="C23" s="42">
        <v>4.0999999999999996</v>
      </c>
      <c r="D23" s="42">
        <v>7.8</v>
      </c>
      <c r="E23" s="11">
        <v>9.1999999999999993</v>
      </c>
      <c r="F23" s="11">
        <v>6.9</v>
      </c>
      <c r="K23" s="44"/>
      <c r="L23" s="44"/>
    </row>
    <row r="24" spans="1:12" ht="26.1" customHeight="1">
      <c r="A24" s="26" t="s">
        <v>46</v>
      </c>
      <c r="B24" s="27" t="s">
        <v>47</v>
      </c>
      <c r="C24" s="42">
        <v>25</v>
      </c>
      <c r="D24" s="42">
        <v>25.1</v>
      </c>
      <c r="E24" s="11">
        <v>24.799999999999997</v>
      </c>
      <c r="F24" s="11">
        <v>24.8</v>
      </c>
      <c r="K24" s="44"/>
      <c r="L24" s="44"/>
    </row>
    <row r="25" spans="1:12" ht="26.1" customHeight="1">
      <c r="A25" s="26" t="s">
        <v>48</v>
      </c>
      <c r="B25" s="28" t="s">
        <v>49</v>
      </c>
      <c r="C25" s="42">
        <v>148.89999999999998</v>
      </c>
      <c r="D25" s="42">
        <v>170.4</v>
      </c>
      <c r="E25" s="11">
        <v>116.39999999999998</v>
      </c>
      <c r="F25" s="11">
        <v>112.1</v>
      </c>
      <c r="K25" s="44"/>
      <c r="L25" s="44"/>
    </row>
    <row r="26" spans="1:12" ht="26.1" customHeight="1">
      <c r="A26" s="24" t="s">
        <v>50</v>
      </c>
      <c r="B26" s="25" t="s">
        <v>51</v>
      </c>
      <c r="C26" s="40">
        <v>2573.1999999999998</v>
      </c>
      <c r="D26" s="40">
        <v>2507.6999999999998</v>
      </c>
      <c r="E26" s="8">
        <v>2246.6000000000004</v>
      </c>
      <c r="F26" s="8">
        <v>2200.8000000000002</v>
      </c>
      <c r="K26" s="44"/>
      <c r="L26" s="44"/>
    </row>
    <row r="27" spans="1:12" ht="26.1" customHeight="1">
      <c r="A27" s="26" t="s">
        <v>52</v>
      </c>
      <c r="B27" s="27" t="s">
        <v>53</v>
      </c>
      <c r="C27" s="41">
        <v>33.700000000000003</v>
      </c>
      <c r="D27" s="41">
        <v>9.9</v>
      </c>
      <c r="E27" s="10">
        <v>28.4</v>
      </c>
      <c r="F27" s="10">
        <v>34.5</v>
      </c>
      <c r="K27" s="44"/>
      <c r="L27" s="44"/>
    </row>
    <row r="28" spans="1:12" ht="26.1" customHeight="1">
      <c r="A28" s="26" t="s">
        <v>54</v>
      </c>
      <c r="B28" s="27" t="s">
        <v>55</v>
      </c>
      <c r="C28" s="41">
        <v>98.1</v>
      </c>
      <c r="D28" s="41">
        <v>23.4</v>
      </c>
      <c r="E28" s="10">
        <v>41.400000000000006</v>
      </c>
      <c r="F28" s="10">
        <v>38.299999999999997</v>
      </c>
      <c r="K28" s="44"/>
      <c r="L28" s="44"/>
    </row>
    <row r="29" spans="1:12" ht="26.1" customHeight="1">
      <c r="A29" s="26" t="s">
        <v>56</v>
      </c>
      <c r="B29" s="27" t="s">
        <v>57</v>
      </c>
      <c r="C29" s="41">
        <v>2.4</v>
      </c>
      <c r="D29" s="41">
        <v>2.7</v>
      </c>
      <c r="E29" s="10">
        <v>6.4</v>
      </c>
      <c r="F29" s="10">
        <v>3.9</v>
      </c>
      <c r="K29" s="44"/>
      <c r="L29" s="44"/>
    </row>
    <row r="30" spans="1:12" ht="26.1" customHeight="1">
      <c r="A30" s="26" t="s">
        <v>58</v>
      </c>
      <c r="B30" s="27" t="s">
        <v>59</v>
      </c>
      <c r="C30" s="41">
        <v>76.3</v>
      </c>
      <c r="D30" s="41">
        <v>70.7</v>
      </c>
      <c r="E30" s="10">
        <v>54.80000000000004</v>
      </c>
      <c r="F30" s="10">
        <v>65.400000000000006</v>
      </c>
      <c r="K30" s="44"/>
      <c r="L30" s="44"/>
    </row>
    <row r="31" spans="1:12" ht="26.1" customHeight="1">
      <c r="A31" s="26" t="s">
        <v>60</v>
      </c>
      <c r="B31" s="27" t="s">
        <v>61</v>
      </c>
      <c r="C31" s="41">
        <v>97.5</v>
      </c>
      <c r="D31" s="41">
        <v>121.1</v>
      </c>
      <c r="E31" s="10">
        <v>74.500000000000028</v>
      </c>
      <c r="F31" s="10">
        <v>71.900000000000006</v>
      </c>
      <c r="K31" s="44"/>
      <c r="L31" s="44"/>
    </row>
    <row r="32" spans="1:12" ht="26.1" customHeight="1">
      <c r="A32" s="26" t="s">
        <v>62</v>
      </c>
      <c r="B32" s="27" t="s">
        <v>63</v>
      </c>
      <c r="C32" s="41">
        <v>52.8</v>
      </c>
      <c r="D32" s="41">
        <v>48.8</v>
      </c>
      <c r="E32" s="10">
        <v>43.5</v>
      </c>
      <c r="F32" s="10">
        <v>48</v>
      </c>
      <c r="K32" s="44"/>
      <c r="L32" s="44"/>
    </row>
    <row r="33" spans="1:12" ht="26.1" customHeight="1">
      <c r="A33" s="26" t="s">
        <v>64</v>
      </c>
      <c r="B33" s="27" t="s">
        <v>65</v>
      </c>
      <c r="C33" s="41">
        <v>68.2</v>
      </c>
      <c r="D33" s="41">
        <v>47.2</v>
      </c>
      <c r="E33" s="10">
        <v>56.400000000000006</v>
      </c>
      <c r="F33" s="10">
        <v>76.5</v>
      </c>
      <c r="K33" s="44"/>
      <c r="L33" s="44"/>
    </row>
    <row r="34" spans="1:12" ht="26.1" customHeight="1">
      <c r="A34" s="26" t="s">
        <v>66</v>
      </c>
      <c r="B34" s="27" t="s">
        <v>67</v>
      </c>
      <c r="C34" s="41">
        <v>56.7</v>
      </c>
      <c r="D34" s="41">
        <v>90.8</v>
      </c>
      <c r="E34" s="10">
        <v>66.2</v>
      </c>
      <c r="F34" s="10">
        <v>75.900000000000006</v>
      </c>
      <c r="K34" s="44"/>
      <c r="L34" s="44"/>
    </row>
    <row r="35" spans="1:12" ht="26.1" customHeight="1">
      <c r="A35" s="26" t="s">
        <v>68</v>
      </c>
      <c r="B35" s="27" t="s">
        <v>69</v>
      </c>
      <c r="C35" s="41">
        <v>206.10000000000002</v>
      </c>
      <c r="D35" s="41">
        <v>208.5</v>
      </c>
      <c r="E35" s="10">
        <v>204.39999999999998</v>
      </c>
      <c r="F35" s="10">
        <v>191.3</v>
      </c>
      <c r="K35" s="44"/>
      <c r="L35" s="44"/>
    </row>
    <row r="36" spans="1:12" ht="26.1" customHeight="1">
      <c r="A36" s="26" t="s">
        <v>70</v>
      </c>
      <c r="B36" s="27" t="s">
        <v>71</v>
      </c>
      <c r="C36" s="41">
        <v>183.6</v>
      </c>
      <c r="D36" s="41">
        <v>177.5</v>
      </c>
      <c r="E36" s="10">
        <v>177.79999999999998</v>
      </c>
      <c r="F36" s="10">
        <v>197.1</v>
      </c>
      <c r="K36" s="44"/>
      <c r="L36" s="44"/>
    </row>
    <row r="37" spans="1:12" ht="26.1" customHeight="1">
      <c r="A37" s="29" t="s">
        <v>72</v>
      </c>
      <c r="B37" s="30" t="s">
        <v>73</v>
      </c>
      <c r="C37" s="43">
        <v>1.299999999999546</v>
      </c>
      <c r="D37" s="43">
        <v>0.7</v>
      </c>
      <c r="E37" s="14">
        <v>0.9999999999962057</v>
      </c>
      <c r="F37" s="14">
        <v>1</v>
      </c>
      <c r="K37" s="44"/>
      <c r="L37" s="44"/>
    </row>
    <row r="38" spans="1:12" ht="26.1" customHeight="1">
      <c r="A38" s="63" t="s">
        <v>74</v>
      </c>
      <c r="B38" s="60" t="s">
        <v>75</v>
      </c>
      <c r="C38" s="17"/>
      <c r="D38" s="17"/>
      <c r="E38" s="17"/>
      <c r="F38" s="17"/>
      <c r="G38" s="36"/>
    </row>
    <row r="39" spans="1:12" ht="26.1" customHeight="1">
      <c r="A39" s="63" t="s">
        <v>76</v>
      </c>
      <c r="B39" s="60" t="s">
        <v>77</v>
      </c>
      <c r="C39" s="18"/>
      <c r="D39" s="18"/>
      <c r="E39" s="18"/>
      <c r="F39" s="18"/>
      <c r="G39" s="36"/>
    </row>
    <row r="40" spans="1:12" ht="26.1" customHeight="1">
      <c r="A40" s="63" t="s">
        <v>78</v>
      </c>
      <c r="B40" s="60" t="s">
        <v>79</v>
      </c>
      <c r="G40" s="36"/>
    </row>
    <row r="41" spans="1:12">
      <c r="A41" s="45"/>
      <c r="B41" s="45"/>
      <c r="D41" s="45"/>
      <c r="E41" s="45"/>
      <c r="F41" s="45"/>
      <c r="G41" s="36"/>
    </row>
    <row r="42" spans="1:12">
      <c r="G42" s="36"/>
    </row>
    <row r="43" spans="1:12">
      <c r="G43" s="36"/>
    </row>
    <row r="44" spans="1:12">
      <c r="G44" s="36"/>
    </row>
    <row r="45" spans="1:12">
      <c r="G45" s="36"/>
    </row>
    <row r="46" spans="1:12" ht="15">
      <c r="A46"/>
      <c r="B46"/>
      <c r="C46"/>
      <c r="D46"/>
      <c r="E46"/>
      <c r="F46"/>
      <c r="G46" s="36"/>
    </row>
    <row r="47" spans="1:12" ht="15">
      <c r="A47"/>
      <c r="B47"/>
      <c r="C47"/>
      <c r="D47"/>
      <c r="E47"/>
      <c r="F47"/>
      <c r="G47" s="36"/>
    </row>
    <row r="48" spans="1:12" ht="15">
      <c r="A48"/>
      <c r="B48"/>
      <c r="C48"/>
      <c r="D48"/>
      <c r="E48"/>
      <c r="F48"/>
      <c r="G48" s="36"/>
    </row>
    <row r="49" spans="1:7" ht="15">
      <c r="A49"/>
      <c r="B49"/>
      <c r="C49"/>
      <c r="D49"/>
      <c r="E49"/>
      <c r="F49"/>
      <c r="G49" s="36"/>
    </row>
    <row r="50" spans="1:7" ht="15">
      <c r="A50"/>
      <c r="B50"/>
      <c r="C50"/>
      <c r="D50"/>
      <c r="E50"/>
      <c r="F50"/>
      <c r="G50" s="36"/>
    </row>
    <row r="51" spans="1:7" ht="15">
      <c r="A51"/>
      <c r="B51"/>
      <c r="C51"/>
      <c r="D51"/>
      <c r="E51"/>
      <c r="F51"/>
      <c r="G51" s="36"/>
    </row>
    <row r="52" spans="1:7" ht="15">
      <c r="A52"/>
      <c r="B52"/>
      <c r="C52"/>
      <c r="D52"/>
      <c r="E52"/>
      <c r="F52"/>
      <c r="G52" s="36"/>
    </row>
    <row r="53" spans="1:7" ht="15">
      <c r="A53"/>
      <c r="B53"/>
      <c r="C53"/>
      <c r="D53"/>
      <c r="E53"/>
      <c r="F53"/>
      <c r="G53" s="36"/>
    </row>
    <row r="54" spans="1:7" ht="15">
      <c r="A54"/>
      <c r="B54"/>
      <c r="C54"/>
      <c r="D54"/>
      <c r="E54"/>
      <c r="F54"/>
      <c r="G54" s="36"/>
    </row>
    <row r="55" spans="1:7" ht="15">
      <c r="A55"/>
      <c r="B55"/>
      <c r="C55"/>
      <c r="D55"/>
      <c r="E55"/>
      <c r="F55"/>
      <c r="G55" s="36"/>
    </row>
    <row r="56" spans="1:7" ht="15">
      <c r="A56"/>
      <c r="B56"/>
      <c r="C56"/>
      <c r="D56"/>
      <c r="E56"/>
      <c r="F56"/>
      <c r="G56" s="36"/>
    </row>
    <row r="57" spans="1:7" ht="15">
      <c r="A57"/>
      <c r="B57"/>
      <c r="C57"/>
      <c r="D57"/>
      <c r="E57"/>
      <c r="F57"/>
      <c r="G57" s="36"/>
    </row>
    <row r="58" spans="1:7" ht="15">
      <c r="A58"/>
      <c r="B58"/>
      <c r="C58"/>
      <c r="D58"/>
      <c r="E58"/>
      <c r="F58"/>
      <c r="G58" s="36"/>
    </row>
    <row r="59" spans="1:7" ht="15">
      <c r="A59"/>
      <c r="B59"/>
      <c r="C59"/>
      <c r="D59"/>
      <c r="E59"/>
      <c r="F59"/>
      <c r="G59" s="36"/>
    </row>
    <row r="60" spans="1:7" ht="15">
      <c r="A60"/>
      <c r="B60"/>
      <c r="C60"/>
      <c r="D60"/>
      <c r="E60"/>
      <c r="F60"/>
      <c r="G60" s="36"/>
    </row>
    <row r="61" spans="1:7" ht="15">
      <c r="A61"/>
      <c r="B61"/>
      <c r="C61"/>
      <c r="D61"/>
      <c r="E61"/>
      <c r="F61"/>
      <c r="G61" s="36"/>
    </row>
    <row r="62" spans="1:7" ht="15">
      <c r="A62"/>
      <c r="B62"/>
      <c r="C62"/>
      <c r="D62"/>
      <c r="E62"/>
      <c r="F62"/>
      <c r="G62" s="36"/>
    </row>
    <row r="63" spans="1:7" ht="15">
      <c r="A63"/>
      <c r="B63"/>
      <c r="C63"/>
      <c r="D63"/>
      <c r="E63"/>
      <c r="F63"/>
      <c r="G63" s="36"/>
    </row>
    <row r="64" spans="1:7" ht="15">
      <c r="A64"/>
      <c r="B64"/>
      <c r="C64"/>
      <c r="D64"/>
      <c r="E64"/>
      <c r="F64"/>
      <c r="G64" s="36"/>
    </row>
    <row r="65" spans="1:7" ht="15.75">
      <c r="A65"/>
      <c r="B65"/>
      <c r="C65"/>
      <c r="D65"/>
      <c r="E65"/>
      <c r="F65"/>
      <c r="G65" s="37"/>
    </row>
    <row r="66" spans="1:7" ht="15.75">
      <c r="A66"/>
      <c r="B66"/>
      <c r="C66"/>
      <c r="D66"/>
      <c r="E66"/>
      <c r="F66"/>
      <c r="G66" s="38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0866141732283472" right="0.70866141732283472" top="0.74803149606299213" bottom="0.74803149606299213" header="0.31496062992125984" footer="0.31496062992125984"/>
  <pageSetup paperSize="8" scale="6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7"/>
  <sheetViews>
    <sheetView topLeftCell="A13" zoomScale="75" zoomScaleNormal="75" workbookViewId="0">
      <selection activeCell="B38" sqref="A38:B40"/>
    </sheetView>
  </sheetViews>
  <sheetFormatPr defaultRowHeight="20.25"/>
  <cols>
    <col min="1" max="1" width="60.85546875" style="16" customWidth="1"/>
    <col min="2" max="2" width="75.28515625" style="16" customWidth="1"/>
    <col min="3" max="3" width="24.5703125" style="16" customWidth="1"/>
    <col min="4" max="4" width="23.5703125" customWidth="1"/>
    <col min="5" max="5" width="23.85546875" customWidth="1"/>
    <col min="6" max="6" width="24.42578125" customWidth="1"/>
  </cols>
  <sheetData>
    <row r="1" spans="1:6" ht="26.25">
      <c r="A1" s="3"/>
      <c r="B1" s="1"/>
      <c r="C1" s="2"/>
    </row>
    <row r="2" spans="1:6">
      <c r="A2" s="88" t="s">
        <v>0</v>
      </c>
      <c r="B2" s="88"/>
      <c r="C2" s="88"/>
      <c r="D2" s="88"/>
      <c r="E2" s="88"/>
      <c r="F2" s="88"/>
    </row>
    <row r="3" spans="1:6" ht="26.25">
      <c r="A3" s="6"/>
      <c r="B3" s="4"/>
      <c r="F3" s="35" t="s">
        <v>1</v>
      </c>
    </row>
    <row r="4" spans="1:6">
      <c r="A4" s="21"/>
      <c r="B4" s="93" t="s">
        <v>2</v>
      </c>
      <c r="C4" s="46" t="s">
        <v>3</v>
      </c>
      <c r="D4" s="46" t="s">
        <v>4</v>
      </c>
      <c r="E4" s="46" t="s">
        <v>5</v>
      </c>
      <c r="F4" s="46" t="s">
        <v>6</v>
      </c>
    </row>
    <row r="5" spans="1:6" ht="12.75" customHeight="1">
      <c r="A5" s="91" t="s">
        <v>7</v>
      </c>
      <c r="B5" s="94"/>
      <c r="C5" s="89" t="s">
        <v>120</v>
      </c>
      <c r="D5" s="96" t="s">
        <v>121</v>
      </c>
      <c r="E5" s="96" t="s">
        <v>122</v>
      </c>
      <c r="F5" s="89" t="s">
        <v>123</v>
      </c>
    </row>
    <row r="6" spans="1:6" ht="20.25" customHeight="1">
      <c r="A6" s="92"/>
      <c r="B6" s="95"/>
      <c r="C6" s="90"/>
      <c r="D6" s="90"/>
      <c r="E6" s="90"/>
      <c r="F6" s="90"/>
    </row>
    <row r="7" spans="1:6" ht="26.1" customHeight="1">
      <c r="A7" s="22" t="s">
        <v>12</v>
      </c>
      <c r="B7" s="23" t="s">
        <v>13</v>
      </c>
      <c r="C7" s="39">
        <v>4731.0999999999995</v>
      </c>
      <c r="D7" s="39">
        <v>4399.1000000000013</v>
      </c>
      <c r="E7" s="39">
        <v>4275.5</v>
      </c>
      <c r="F7" s="39">
        <v>5298.9</v>
      </c>
    </row>
    <row r="8" spans="1:6" ht="26.1" customHeight="1">
      <c r="A8" s="24" t="s">
        <v>14</v>
      </c>
      <c r="B8" s="25" t="s">
        <v>15</v>
      </c>
      <c r="C8" s="40">
        <v>1678.9999999999998</v>
      </c>
      <c r="D8" s="40">
        <v>1484.3000000000004</v>
      </c>
      <c r="E8" s="40">
        <v>1103.5</v>
      </c>
      <c r="F8" s="40">
        <v>1500.5</v>
      </c>
    </row>
    <row r="9" spans="1:6" ht="26.1" customHeight="1">
      <c r="A9" s="26" t="s">
        <v>16</v>
      </c>
      <c r="B9" s="27" t="s">
        <v>17</v>
      </c>
      <c r="C9" s="41">
        <v>1125.1999999999998</v>
      </c>
      <c r="D9" s="41">
        <v>887.60000000000014</v>
      </c>
      <c r="E9" s="41">
        <v>615</v>
      </c>
      <c r="F9" s="41">
        <v>930.10000000000036</v>
      </c>
    </row>
    <row r="10" spans="1:6" ht="26.1" customHeight="1">
      <c r="A10" s="26" t="s">
        <v>124</v>
      </c>
      <c r="B10" s="27" t="s">
        <v>125</v>
      </c>
      <c r="C10" s="41">
        <v>537.09999999999991</v>
      </c>
      <c r="D10" s="41">
        <v>577.10000000000014</v>
      </c>
      <c r="E10" s="41">
        <v>469.1</v>
      </c>
      <c r="F10" s="41">
        <v>533.10000000000059</v>
      </c>
    </row>
    <row r="11" spans="1:6" ht="26.1" customHeight="1">
      <c r="A11" s="26" t="s">
        <v>20</v>
      </c>
      <c r="B11" s="28" t="s">
        <v>21</v>
      </c>
      <c r="C11" s="41">
        <v>9.1999999999999993</v>
      </c>
      <c r="D11" s="41">
        <v>11</v>
      </c>
      <c r="E11" s="41">
        <v>7.3</v>
      </c>
      <c r="F11" s="41">
        <v>12.299999999999997</v>
      </c>
    </row>
    <row r="12" spans="1:6" ht="26.1" customHeight="1">
      <c r="A12" s="24" t="s">
        <v>22</v>
      </c>
      <c r="B12" s="25" t="s">
        <v>23</v>
      </c>
      <c r="C12" s="40">
        <v>447.90000000000003</v>
      </c>
      <c r="D12" s="40">
        <v>358.7</v>
      </c>
      <c r="E12" s="40">
        <v>474.3</v>
      </c>
      <c r="F12" s="40">
        <v>552.10000000000014</v>
      </c>
    </row>
    <row r="13" spans="1:6" ht="26.1" customHeight="1">
      <c r="A13" s="26" t="s">
        <v>24</v>
      </c>
      <c r="B13" s="28" t="s">
        <v>25</v>
      </c>
      <c r="C13" s="42">
        <v>4.4000000000000004</v>
      </c>
      <c r="D13" s="42">
        <v>5.9</v>
      </c>
      <c r="E13" s="42">
        <v>12.8</v>
      </c>
      <c r="F13" s="42">
        <v>34.299999999999997</v>
      </c>
    </row>
    <row r="14" spans="1:6" ht="26.1" customHeight="1">
      <c r="A14" s="26" t="s">
        <v>26</v>
      </c>
      <c r="B14" s="27" t="s">
        <v>27</v>
      </c>
      <c r="C14" s="42">
        <v>43</v>
      </c>
      <c r="D14" s="42">
        <v>34.599999999999994</v>
      </c>
      <c r="E14" s="42">
        <v>44.5</v>
      </c>
      <c r="F14" s="42">
        <v>55.599999999999994</v>
      </c>
    </row>
    <row r="15" spans="1:6" ht="26.1" customHeight="1">
      <c r="A15" s="26" t="s">
        <v>28</v>
      </c>
      <c r="B15" s="27" t="s">
        <v>29</v>
      </c>
      <c r="C15" s="42">
        <v>28.6</v>
      </c>
      <c r="D15" s="42">
        <v>16.599999999999994</v>
      </c>
      <c r="E15" s="42">
        <v>63.7</v>
      </c>
      <c r="F15" s="42">
        <v>94.40000000000002</v>
      </c>
    </row>
    <row r="16" spans="1:6" ht="26.1" customHeight="1">
      <c r="A16" s="26" t="s">
        <v>30</v>
      </c>
      <c r="B16" s="27" t="s">
        <v>31</v>
      </c>
      <c r="C16" s="41">
        <v>10.1</v>
      </c>
      <c r="D16" s="41">
        <v>8.7000000000000011</v>
      </c>
      <c r="E16" s="41">
        <v>9.6</v>
      </c>
      <c r="F16" s="41">
        <v>8.0999999999999979</v>
      </c>
    </row>
    <row r="17" spans="1:6" ht="26.1" customHeight="1">
      <c r="A17" s="26" t="s">
        <v>32</v>
      </c>
      <c r="B17" s="28" t="s">
        <v>33</v>
      </c>
      <c r="C17" s="41">
        <v>5.9</v>
      </c>
      <c r="D17" s="41">
        <v>7.6</v>
      </c>
      <c r="E17" s="41">
        <v>7.1</v>
      </c>
      <c r="F17" s="41">
        <v>9.4</v>
      </c>
    </row>
    <row r="18" spans="1:6" ht="26.1" customHeight="1">
      <c r="A18" s="26" t="s">
        <v>34</v>
      </c>
      <c r="B18" s="27" t="s">
        <v>35</v>
      </c>
      <c r="C18" s="41">
        <v>59.6</v>
      </c>
      <c r="D18" s="41">
        <v>60.1</v>
      </c>
      <c r="E18" s="41">
        <v>48.4</v>
      </c>
      <c r="F18" s="41">
        <v>30.799999999999983</v>
      </c>
    </row>
    <row r="19" spans="1:6" ht="26.1" customHeight="1">
      <c r="A19" s="26" t="s">
        <v>36</v>
      </c>
      <c r="B19" s="27" t="s">
        <v>37</v>
      </c>
      <c r="C19" s="41">
        <v>3.6</v>
      </c>
      <c r="D19" s="41">
        <v>0.89999999999999991</v>
      </c>
      <c r="E19" s="41">
        <v>0</v>
      </c>
      <c r="F19" s="41">
        <v>0.1</v>
      </c>
    </row>
    <row r="20" spans="1:6" ht="26.1" customHeight="1">
      <c r="A20" s="24" t="s">
        <v>38</v>
      </c>
      <c r="B20" s="25" t="s">
        <v>39</v>
      </c>
      <c r="C20" s="40">
        <v>411.29999999999995</v>
      </c>
      <c r="D20" s="40">
        <v>406.50000000000011</v>
      </c>
      <c r="E20" s="40">
        <v>373.3</v>
      </c>
      <c r="F20" s="40">
        <v>486</v>
      </c>
    </row>
    <row r="21" spans="1:6" ht="26.1" customHeight="1">
      <c r="A21" s="26" t="s">
        <v>40</v>
      </c>
      <c r="B21" s="27" t="s">
        <v>41</v>
      </c>
      <c r="C21" s="42">
        <v>27.5</v>
      </c>
      <c r="D21" s="42">
        <v>43.2</v>
      </c>
      <c r="E21" s="42">
        <v>15.7</v>
      </c>
      <c r="F21" s="42">
        <v>7.0999999999999943</v>
      </c>
    </row>
    <row r="22" spans="1:6" ht="26.1" customHeight="1">
      <c r="A22" s="26" t="s">
        <v>42</v>
      </c>
      <c r="B22" s="27" t="s">
        <v>43</v>
      </c>
      <c r="C22" s="42">
        <v>12.6</v>
      </c>
      <c r="D22" s="42">
        <v>14.500000000000002</v>
      </c>
      <c r="E22" s="42">
        <v>13.2</v>
      </c>
      <c r="F22" s="42">
        <v>7.6000000000000014</v>
      </c>
    </row>
    <row r="23" spans="1:6" ht="26.1" customHeight="1">
      <c r="A23" s="26" t="s">
        <v>44</v>
      </c>
      <c r="B23" s="27" t="s">
        <v>45</v>
      </c>
      <c r="C23" s="42">
        <v>14.3</v>
      </c>
      <c r="D23" s="42">
        <v>12.899999999999999</v>
      </c>
      <c r="E23" s="42">
        <v>11.5</v>
      </c>
      <c r="F23" s="42">
        <v>12.5</v>
      </c>
    </row>
    <row r="24" spans="1:6" ht="26.1" customHeight="1">
      <c r="A24" s="26" t="s">
        <v>46</v>
      </c>
      <c r="B24" s="27" t="s">
        <v>47</v>
      </c>
      <c r="C24" s="42">
        <v>21</v>
      </c>
      <c r="D24" s="42">
        <v>18.899999999999999</v>
      </c>
      <c r="E24" s="42">
        <v>22.3</v>
      </c>
      <c r="F24" s="42">
        <v>16.699999999999989</v>
      </c>
    </row>
    <row r="25" spans="1:6" ht="26.1" customHeight="1">
      <c r="A25" s="26" t="s">
        <v>48</v>
      </c>
      <c r="B25" s="28" t="s">
        <v>49</v>
      </c>
      <c r="C25" s="42">
        <v>77.099999999999994</v>
      </c>
      <c r="D25" s="42">
        <v>66.199999999999989</v>
      </c>
      <c r="E25" s="42">
        <v>102.7</v>
      </c>
      <c r="F25" s="42">
        <v>114.19999999999996</v>
      </c>
    </row>
    <row r="26" spans="1:6" ht="26.1" customHeight="1">
      <c r="A26" s="24" t="s">
        <v>50</v>
      </c>
      <c r="B26" s="25" t="s">
        <v>51</v>
      </c>
      <c r="C26" s="40">
        <v>2192.6</v>
      </c>
      <c r="D26" s="40">
        <v>2149.2000000000003</v>
      </c>
      <c r="E26" s="40">
        <v>2322.8000000000002</v>
      </c>
      <c r="F26" s="40">
        <v>2759.9</v>
      </c>
    </row>
    <row r="27" spans="1:6" ht="26.1" customHeight="1">
      <c r="A27" s="26" t="s">
        <v>52</v>
      </c>
      <c r="B27" s="27" t="s">
        <v>53</v>
      </c>
      <c r="C27" s="41">
        <v>8.6</v>
      </c>
      <c r="D27" s="41">
        <v>5.8000000000000007</v>
      </c>
      <c r="E27" s="41">
        <v>9.6999999999999993</v>
      </c>
      <c r="F27" s="41">
        <v>4.8000000000000007</v>
      </c>
    </row>
    <row r="28" spans="1:6" ht="26.1" customHeight="1">
      <c r="A28" s="26" t="s">
        <v>54</v>
      </c>
      <c r="B28" s="27" t="s">
        <v>55</v>
      </c>
      <c r="C28" s="41">
        <v>35.4</v>
      </c>
      <c r="D28" s="41">
        <v>75.800000000000011</v>
      </c>
      <c r="E28" s="41">
        <v>68.8</v>
      </c>
      <c r="F28" s="41">
        <v>69.800000000000011</v>
      </c>
    </row>
    <row r="29" spans="1:6" ht="26.1" customHeight="1">
      <c r="A29" s="26" t="s">
        <v>56</v>
      </c>
      <c r="B29" s="27" t="s">
        <v>57</v>
      </c>
      <c r="C29" s="41">
        <v>0.7</v>
      </c>
      <c r="D29" s="41">
        <v>1.1000000000000001</v>
      </c>
      <c r="E29" s="41">
        <v>1.5</v>
      </c>
      <c r="F29" s="41">
        <v>2</v>
      </c>
    </row>
    <row r="30" spans="1:6" ht="26.1" customHeight="1">
      <c r="A30" s="26" t="s">
        <v>58</v>
      </c>
      <c r="B30" s="27" t="s">
        <v>59</v>
      </c>
      <c r="C30" s="41">
        <v>46</v>
      </c>
      <c r="D30" s="41">
        <v>57.599999999999994</v>
      </c>
      <c r="E30" s="41">
        <v>49.4</v>
      </c>
      <c r="F30" s="41">
        <v>75.299999999999983</v>
      </c>
    </row>
    <row r="31" spans="1:6" ht="26.1" customHeight="1">
      <c r="A31" s="26" t="s">
        <v>60</v>
      </c>
      <c r="B31" s="27" t="s">
        <v>61</v>
      </c>
      <c r="C31" s="41">
        <v>59.5</v>
      </c>
      <c r="D31" s="41">
        <v>143.89999999999998</v>
      </c>
      <c r="E31" s="41">
        <v>164.8</v>
      </c>
      <c r="F31" s="41">
        <v>146.80000000000013</v>
      </c>
    </row>
    <row r="32" spans="1:6" ht="26.1" customHeight="1">
      <c r="A32" s="26" t="s">
        <v>62</v>
      </c>
      <c r="B32" s="27" t="s">
        <v>63</v>
      </c>
      <c r="C32" s="41">
        <v>40.200000000000003</v>
      </c>
      <c r="D32" s="41">
        <v>50.999999999999986</v>
      </c>
      <c r="E32" s="41">
        <v>39.200000000000003</v>
      </c>
      <c r="F32" s="41">
        <v>38.899999999999977</v>
      </c>
    </row>
    <row r="33" spans="1:6" ht="26.1" customHeight="1">
      <c r="A33" s="26" t="s">
        <v>64</v>
      </c>
      <c r="B33" s="27" t="s">
        <v>65</v>
      </c>
      <c r="C33" s="41">
        <v>57.699999999999996</v>
      </c>
      <c r="D33" s="41">
        <v>52.300000000000004</v>
      </c>
      <c r="E33" s="41">
        <v>47.1</v>
      </c>
      <c r="F33" s="41">
        <v>47.599999999999994</v>
      </c>
    </row>
    <row r="34" spans="1:6" ht="26.1" customHeight="1">
      <c r="A34" s="26" t="s">
        <v>66</v>
      </c>
      <c r="B34" s="27" t="s">
        <v>67</v>
      </c>
      <c r="C34" s="41">
        <v>45.8</v>
      </c>
      <c r="D34" s="41">
        <v>44.8</v>
      </c>
      <c r="E34" s="41">
        <v>54.5</v>
      </c>
      <c r="F34" s="41">
        <v>53.099999999999994</v>
      </c>
    </row>
    <row r="35" spans="1:6" ht="26.1" customHeight="1">
      <c r="A35" s="26" t="s">
        <v>68</v>
      </c>
      <c r="B35" s="27" t="s">
        <v>69</v>
      </c>
      <c r="C35" s="41">
        <v>188</v>
      </c>
      <c r="D35" s="41">
        <v>174.49999999999994</v>
      </c>
      <c r="E35" s="41">
        <v>168.8</v>
      </c>
      <c r="F35" s="41">
        <v>159.49999999999989</v>
      </c>
    </row>
    <row r="36" spans="1:6" ht="26.1" customHeight="1">
      <c r="A36" s="26" t="s">
        <v>70</v>
      </c>
      <c r="B36" s="27" t="s">
        <v>71</v>
      </c>
      <c r="C36" s="41">
        <v>187.79999999999998</v>
      </c>
      <c r="D36" s="41">
        <v>159.20000000000007</v>
      </c>
      <c r="E36" s="41">
        <v>164.7</v>
      </c>
      <c r="F36" s="41">
        <v>171.3</v>
      </c>
    </row>
    <row r="37" spans="1:6" ht="26.1" customHeight="1">
      <c r="A37" s="29" t="s">
        <v>72</v>
      </c>
      <c r="B37" s="30" t="s">
        <v>73</v>
      </c>
      <c r="C37" s="43">
        <v>0.30000000000049987</v>
      </c>
      <c r="D37" s="43">
        <v>0.39999999999931823</v>
      </c>
      <c r="E37" s="43">
        <v>1.6</v>
      </c>
      <c r="F37" s="43">
        <v>0.4</v>
      </c>
    </row>
    <row r="38" spans="1:6" ht="26.1" customHeight="1">
      <c r="A38" s="63" t="s">
        <v>74</v>
      </c>
      <c r="B38" s="60" t="s">
        <v>75</v>
      </c>
      <c r="C38" s="17"/>
      <c r="D38" s="36"/>
    </row>
    <row r="39" spans="1:6" ht="26.1" customHeight="1">
      <c r="A39" s="63" t="s">
        <v>76</v>
      </c>
      <c r="B39" s="60" t="s">
        <v>77</v>
      </c>
      <c r="C39" s="18"/>
      <c r="D39" s="36"/>
    </row>
    <row r="40" spans="1:6" ht="26.1" customHeight="1">
      <c r="A40" s="63" t="s">
        <v>78</v>
      </c>
      <c r="B40" s="60" t="s">
        <v>79</v>
      </c>
      <c r="D40" s="36"/>
    </row>
    <row r="41" spans="1:6">
      <c r="A41" s="20"/>
      <c r="B41" s="19"/>
      <c r="C41" s="17"/>
      <c r="D41" s="36"/>
    </row>
    <row r="42" spans="1:6">
      <c r="A42" s="45"/>
      <c r="B42" s="45"/>
      <c r="D42" s="36"/>
    </row>
    <row r="43" spans="1:6">
      <c r="D43" s="36"/>
    </row>
    <row r="44" spans="1:6">
      <c r="D44" s="36"/>
    </row>
    <row r="45" spans="1:6">
      <c r="D45" s="36"/>
    </row>
    <row r="46" spans="1:6">
      <c r="D46" s="36"/>
    </row>
    <row r="47" spans="1:6" ht="15">
      <c r="A47"/>
      <c r="B47"/>
      <c r="C47"/>
      <c r="D47" s="36"/>
    </row>
    <row r="48" spans="1:6" ht="15">
      <c r="A48"/>
      <c r="B48"/>
      <c r="C48"/>
      <c r="D48" s="36"/>
    </row>
    <row r="49" spans="1:4" ht="15">
      <c r="A49"/>
      <c r="B49"/>
      <c r="C49"/>
      <c r="D49" s="36"/>
    </row>
    <row r="50" spans="1:4" ht="15">
      <c r="A50"/>
      <c r="B50"/>
      <c r="C50"/>
      <c r="D50" s="36"/>
    </row>
    <row r="51" spans="1:4" ht="15">
      <c r="A51"/>
      <c r="B51"/>
      <c r="C51"/>
      <c r="D51" s="36"/>
    </row>
    <row r="52" spans="1:4" ht="15">
      <c r="A52"/>
      <c r="B52"/>
      <c r="C52"/>
      <c r="D52" s="36"/>
    </row>
    <row r="53" spans="1:4" ht="15">
      <c r="A53"/>
      <c r="B53"/>
      <c r="C53"/>
      <c r="D53" s="36"/>
    </row>
    <row r="54" spans="1:4" ht="15">
      <c r="A54"/>
      <c r="B54"/>
      <c r="C54"/>
      <c r="D54" s="36"/>
    </row>
    <row r="55" spans="1:4" ht="15">
      <c r="A55"/>
      <c r="B55"/>
      <c r="C55"/>
      <c r="D55" s="36"/>
    </row>
    <row r="56" spans="1:4" ht="15">
      <c r="A56"/>
      <c r="B56"/>
      <c r="C56"/>
      <c r="D56" s="36"/>
    </row>
    <row r="57" spans="1:4" ht="15">
      <c r="A57"/>
      <c r="B57"/>
      <c r="C57"/>
      <c r="D57" s="36"/>
    </row>
    <row r="58" spans="1:4" ht="15">
      <c r="A58"/>
      <c r="B58"/>
      <c r="C58"/>
      <c r="D58" s="36"/>
    </row>
    <row r="59" spans="1:4" ht="15">
      <c r="A59"/>
      <c r="B59"/>
      <c r="C59"/>
      <c r="D59" s="36"/>
    </row>
    <row r="60" spans="1:4" ht="15">
      <c r="A60"/>
      <c r="B60"/>
      <c r="C60"/>
      <c r="D60" s="36"/>
    </row>
    <row r="61" spans="1:4" ht="15">
      <c r="A61"/>
      <c r="B61"/>
      <c r="C61"/>
      <c r="D61" s="36"/>
    </row>
    <row r="62" spans="1:4" ht="15">
      <c r="A62"/>
      <c r="B62"/>
      <c r="C62"/>
      <c r="D62" s="36"/>
    </row>
    <row r="63" spans="1:4" ht="15">
      <c r="A63"/>
      <c r="B63"/>
      <c r="C63"/>
      <c r="D63" s="36"/>
    </row>
    <row r="64" spans="1:4" ht="15">
      <c r="A64"/>
      <c r="B64"/>
      <c r="C64"/>
      <c r="D64" s="36"/>
    </row>
    <row r="65" spans="1:4" ht="15">
      <c r="A65"/>
      <c r="B65"/>
      <c r="C65"/>
      <c r="D65" s="36"/>
    </row>
    <row r="66" spans="1:4" ht="15.75">
      <c r="A66"/>
      <c r="B66"/>
      <c r="C66"/>
      <c r="D66" s="37"/>
    </row>
    <row r="67" spans="1:4" ht="15.75">
      <c r="A67"/>
      <c r="B67"/>
      <c r="C67"/>
      <c r="D67" s="37"/>
    </row>
  </sheetData>
  <mergeCells count="7">
    <mergeCell ref="F5:F6"/>
    <mergeCell ref="A2:F2"/>
    <mergeCell ref="E5:E6"/>
    <mergeCell ref="B4:B6"/>
    <mergeCell ref="A5:A6"/>
    <mergeCell ref="C5:C6"/>
    <mergeCell ref="D5:D6"/>
  </mergeCells>
  <pageMargins left="0.70866141732283505" right="0.70866141732283505" top="0.74803149606299202" bottom="0.74803149606299202" header="0.31496062992126" footer="0.31496062992126"/>
  <pageSetup paperSize="8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68"/>
  <sheetViews>
    <sheetView view="pageBreakPreview" zoomScale="75" zoomScaleNormal="80" zoomScaleSheetLayoutView="75" workbookViewId="0"/>
  </sheetViews>
  <sheetFormatPr defaultRowHeight="20.25"/>
  <cols>
    <col min="1" max="1" width="60.85546875" style="16" customWidth="1"/>
    <col min="2" max="2" width="75.28515625" style="16" customWidth="1"/>
    <col min="3" max="3" width="24.5703125" style="16" customWidth="1"/>
    <col min="4" max="4" width="23.85546875" customWidth="1"/>
    <col min="5" max="5" width="24.7109375" customWidth="1"/>
    <col min="6" max="6" width="26.140625" customWidth="1"/>
    <col min="7" max="10" width="0" hidden="1" customWidth="1"/>
    <col min="11" max="12" width="19.28515625" customWidth="1"/>
    <col min="13" max="14" width="21" customWidth="1"/>
    <col min="15" max="16" width="20.5703125" customWidth="1"/>
    <col min="17" max="17" width="26.7109375" customWidth="1"/>
  </cols>
  <sheetData>
    <row r="1" spans="1:18" ht="26.25">
      <c r="A1" s="3"/>
      <c r="B1" s="1"/>
      <c r="C1" s="2"/>
    </row>
    <row r="2" spans="1:18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</row>
    <row r="3" spans="1:18" ht="26.25">
      <c r="A3" s="6"/>
      <c r="B3" s="4"/>
      <c r="F3" s="71" t="s">
        <v>1</v>
      </c>
    </row>
    <row r="4" spans="1:18">
      <c r="A4" s="97" t="s">
        <v>7</v>
      </c>
      <c r="B4" s="93" t="s">
        <v>2</v>
      </c>
      <c r="C4" s="46" t="s">
        <v>3</v>
      </c>
      <c r="D4" s="46" t="s">
        <v>4</v>
      </c>
      <c r="E4" s="46" t="s">
        <v>5</v>
      </c>
      <c r="F4" s="46" t="s">
        <v>6</v>
      </c>
    </row>
    <row r="5" spans="1:18" ht="12.75" customHeight="1">
      <c r="A5" s="91"/>
      <c r="B5" s="94"/>
      <c r="C5" s="89" t="s">
        <v>182</v>
      </c>
      <c r="D5" s="96" t="s">
        <v>183</v>
      </c>
      <c r="E5" s="96" t="s">
        <v>184</v>
      </c>
      <c r="F5" s="96" t="s">
        <v>185</v>
      </c>
    </row>
    <row r="6" spans="1:18" ht="20.25" customHeight="1">
      <c r="A6" s="98"/>
      <c r="B6" s="95"/>
      <c r="C6" s="90"/>
      <c r="D6" s="90"/>
      <c r="E6" s="90"/>
      <c r="F6" s="90"/>
    </row>
    <row r="7" spans="1:18" s="50" customFormat="1" ht="26.1" customHeight="1">
      <c r="A7" s="52" t="s">
        <v>126</v>
      </c>
      <c r="B7" s="53" t="s">
        <v>13</v>
      </c>
      <c r="C7" s="65">
        <v>5261.4000000000024</v>
      </c>
      <c r="D7" s="65">
        <v>5182.5000000000009</v>
      </c>
      <c r="E7" s="65">
        <v>5486.1</v>
      </c>
      <c r="F7" s="65">
        <v>5798.2000000000007</v>
      </c>
      <c r="K7" s="70"/>
      <c r="L7" s="70"/>
      <c r="M7" s="70"/>
      <c r="N7" s="70"/>
      <c r="P7" s="70"/>
      <c r="R7" s="70"/>
    </row>
    <row r="8" spans="1:18" s="50" customFormat="1" ht="26.1" customHeight="1">
      <c r="A8" s="51" t="s">
        <v>14</v>
      </c>
      <c r="B8" s="54" t="s">
        <v>15</v>
      </c>
      <c r="C8" s="66">
        <v>1583.4999999999995</v>
      </c>
      <c r="D8" s="66">
        <v>1455.9</v>
      </c>
      <c r="E8" s="66">
        <v>1722.6000000000004</v>
      </c>
      <c r="F8" s="66">
        <v>2034.6000000000001</v>
      </c>
      <c r="K8" s="70"/>
      <c r="L8" s="70"/>
      <c r="M8" s="70"/>
      <c r="N8" s="70"/>
      <c r="P8" s="70"/>
      <c r="R8" s="70"/>
    </row>
    <row r="9" spans="1:18" s="49" customFormat="1" ht="26.1" customHeight="1">
      <c r="A9" s="55" t="s">
        <v>16</v>
      </c>
      <c r="B9" s="56" t="s">
        <v>17</v>
      </c>
      <c r="C9" s="67">
        <v>907.99999999999977</v>
      </c>
      <c r="D9" s="67">
        <v>857.7</v>
      </c>
      <c r="E9" s="67">
        <v>1004.9</v>
      </c>
      <c r="F9" s="67">
        <v>1105.4000000000001</v>
      </c>
      <c r="L9" s="70"/>
      <c r="M9" s="70"/>
      <c r="N9" s="70"/>
      <c r="P9" s="70"/>
      <c r="R9" s="70"/>
    </row>
    <row r="10" spans="1:18" s="49" customFormat="1" ht="25.5" customHeight="1">
      <c r="A10" s="55" t="s">
        <v>127</v>
      </c>
      <c r="B10" s="56" t="s">
        <v>128</v>
      </c>
      <c r="C10" s="67">
        <v>617.9</v>
      </c>
      <c r="D10" s="67">
        <v>549.1</v>
      </c>
      <c r="E10" s="67">
        <v>655</v>
      </c>
      <c r="F10" s="67">
        <v>891.5</v>
      </c>
      <c r="L10" s="70"/>
      <c r="M10" s="70"/>
      <c r="N10" s="70"/>
      <c r="P10" s="70"/>
      <c r="R10" s="70"/>
    </row>
    <row r="11" spans="1:18" s="50" customFormat="1" ht="26.1" customHeight="1">
      <c r="A11" s="51" t="s">
        <v>129</v>
      </c>
      <c r="B11" s="54" t="s">
        <v>23</v>
      </c>
      <c r="C11" s="66">
        <v>393.3</v>
      </c>
      <c r="D11" s="66">
        <v>349.6</v>
      </c>
      <c r="E11" s="66">
        <v>585</v>
      </c>
      <c r="F11" s="66">
        <v>563.6</v>
      </c>
      <c r="L11" s="70"/>
      <c r="M11" s="70"/>
      <c r="N11" s="70"/>
      <c r="P11" s="70"/>
      <c r="R11" s="70"/>
    </row>
    <row r="12" spans="1:18" s="49" customFormat="1" ht="26.1" customHeight="1">
      <c r="A12" s="55" t="s">
        <v>130</v>
      </c>
      <c r="B12" s="57" t="s">
        <v>131</v>
      </c>
      <c r="C12" s="68">
        <v>109.70000000000002</v>
      </c>
      <c r="D12" s="68">
        <v>68.599999999999994</v>
      </c>
      <c r="E12" s="67">
        <v>132.19999999999999</v>
      </c>
      <c r="F12" s="67">
        <v>105.4</v>
      </c>
      <c r="L12" s="70"/>
      <c r="M12" s="70"/>
      <c r="N12" s="70"/>
      <c r="P12" s="70"/>
      <c r="R12" s="70"/>
    </row>
    <row r="13" spans="1:18" s="49" customFormat="1" ht="26.1" customHeight="1">
      <c r="A13" s="55" t="s">
        <v>132</v>
      </c>
      <c r="B13" s="57" t="s">
        <v>133</v>
      </c>
      <c r="C13" s="68">
        <v>81.100000000000023</v>
      </c>
      <c r="D13" s="68">
        <v>63.599999999999994</v>
      </c>
      <c r="E13" s="67">
        <v>101.9</v>
      </c>
      <c r="F13" s="67">
        <v>106.2</v>
      </c>
      <c r="L13" s="70"/>
      <c r="M13" s="70"/>
      <c r="N13" s="70"/>
      <c r="P13" s="70"/>
      <c r="R13" s="70"/>
    </row>
    <row r="14" spans="1:18" s="49" customFormat="1" ht="26.1" customHeight="1">
      <c r="A14" s="55" t="s">
        <v>134</v>
      </c>
      <c r="B14" s="56" t="s">
        <v>135</v>
      </c>
      <c r="C14" s="68">
        <v>41.300000000000004</v>
      </c>
      <c r="D14" s="68">
        <v>33.6</v>
      </c>
      <c r="E14" s="67">
        <v>52.4</v>
      </c>
      <c r="F14" s="67">
        <v>75.599999999999994</v>
      </c>
      <c r="L14" s="70"/>
      <c r="M14" s="70"/>
      <c r="N14" s="70"/>
      <c r="P14" s="70"/>
      <c r="R14" s="70"/>
    </row>
    <row r="15" spans="1:18" s="49" customFormat="1" ht="26.1" customHeight="1">
      <c r="A15" s="55" t="s">
        <v>136</v>
      </c>
      <c r="B15" s="56" t="s">
        <v>137</v>
      </c>
      <c r="C15" s="68">
        <v>11.29999999999999</v>
      </c>
      <c r="D15" s="68">
        <v>12.600000000000001</v>
      </c>
      <c r="E15" s="67">
        <v>12.100000000000009</v>
      </c>
      <c r="F15" s="67">
        <v>24.2</v>
      </c>
      <c r="L15" s="70"/>
      <c r="M15" s="70"/>
      <c r="N15" s="70"/>
      <c r="P15" s="70"/>
      <c r="R15" s="70"/>
    </row>
    <row r="16" spans="1:18" s="50" customFormat="1" ht="26.1" customHeight="1">
      <c r="A16" s="51" t="s">
        <v>38</v>
      </c>
      <c r="B16" s="54" t="s">
        <v>39</v>
      </c>
      <c r="C16" s="66">
        <v>977.69999999999982</v>
      </c>
      <c r="D16" s="66">
        <v>962</v>
      </c>
      <c r="E16" s="66">
        <v>1181</v>
      </c>
      <c r="F16" s="66">
        <v>885.5</v>
      </c>
      <c r="L16" s="70"/>
      <c r="M16" s="70"/>
      <c r="N16" s="70"/>
      <c r="P16" s="70"/>
      <c r="R16" s="70"/>
    </row>
    <row r="17" spans="1:18" s="49" customFormat="1" ht="26.1" customHeight="1">
      <c r="A17" s="55" t="s">
        <v>138</v>
      </c>
      <c r="B17" s="57" t="s">
        <v>139</v>
      </c>
      <c r="C17" s="67">
        <v>575.49999999999977</v>
      </c>
      <c r="D17" s="67">
        <v>403.20000000000005</v>
      </c>
      <c r="E17" s="68">
        <v>515.40000000000009</v>
      </c>
      <c r="F17" s="68">
        <v>376</v>
      </c>
      <c r="L17" s="70"/>
      <c r="M17" s="70"/>
      <c r="N17" s="70"/>
      <c r="P17" s="70"/>
      <c r="R17" s="70"/>
    </row>
    <row r="18" spans="1:18" s="49" customFormat="1" ht="26.1" customHeight="1">
      <c r="A18" s="55" t="s">
        <v>140</v>
      </c>
      <c r="B18" s="56" t="s">
        <v>141</v>
      </c>
      <c r="C18" s="67">
        <v>104.49999999999997</v>
      </c>
      <c r="D18" s="67">
        <v>150.89999999999998</v>
      </c>
      <c r="E18" s="68">
        <v>138.4</v>
      </c>
      <c r="F18" s="68">
        <v>122.1</v>
      </c>
      <c r="L18" s="70"/>
      <c r="M18" s="70"/>
      <c r="N18" s="70"/>
      <c r="P18" s="70"/>
      <c r="R18" s="70"/>
    </row>
    <row r="19" spans="1:18" s="49" customFormat="1" ht="26.1" customHeight="1">
      <c r="A19" s="55" t="s">
        <v>142</v>
      </c>
      <c r="B19" s="56" t="s">
        <v>143</v>
      </c>
      <c r="C19" s="67">
        <v>111.99999999999994</v>
      </c>
      <c r="D19" s="67">
        <v>138.1</v>
      </c>
      <c r="E19" s="68">
        <v>173.9</v>
      </c>
      <c r="F19" s="68">
        <v>115.3</v>
      </c>
      <c r="L19" s="70"/>
      <c r="M19" s="70"/>
      <c r="N19" s="70"/>
      <c r="P19" s="70"/>
      <c r="R19" s="70"/>
    </row>
    <row r="20" spans="1:18" s="49" customFormat="1" ht="26.1" customHeight="1">
      <c r="A20" s="55" t="s">
        <v>144</v>
      </c>
      <c r="B20" s="56" t="s">
        <v>145</v>
      </c>
      <c r="C20" s="67">
        <v>31</v>
      </c>
      <c r="D20" s="67">
        <v>28.5</v>
      </c>
      <c r="E20" s="68">
        <v>44.899999999999991</v>
      </c>
      <c r="F20" s="68">
        <v>38.799999999999997</v>
      </c>
      <c r="L20" s="70"/>
      <c r="M20" s="70"/>
      <c r="N20" s="70"/>
      <c r="P20" s="70"/>
      <c r="R20" s="70"/>
    </row>
    <row r="21" spans="1:18" s="49" customFormat="1" ht="26.1" customHeight="1">
      <c r="A21" s="55" t="s">
        <v>146</v>
      </c>
      <c r="B21" s="56" t="s">
        <v>147</v>
      </c>
      <c r="C21" s="68">
        <v>15.400000000000007</v>
      </c>
      <c r="D21" s="68">
        <v>9.7000000000000011</v>
      </c>
      <c r="E21" s="68">
        <v>10.199999999999996</v>
      </c>
      <c r="F21" s="68">
        <v>5.8</v>
      </c>
      <c r="L21" s="70"/>
      <c r="M21" s="70"/>
      <c r="N21" s="70"/>
      <c r="P21" s="70"/>
      <c r="R21" s="70"/>
    </row>
    <row r="22" spans="1:18" s="49" customFormat="1" ht="26.1" customHeight="1">
      <c r="A22" s="55" t="s">
        <v>148</v>
      </c>
      <c r="B22" s="56" t="s">
        <v>149</v>
      </c>
      <c r="C22" s="68">
        <v>32.600000000000023</v>
      </c>
      <c r="D22" s="68">
        <v>79.599999999999994</v>
      </c>
      <c r="E22" s="68">
        <v>115.5</v>
      </c>
      <c r="F22" s="68">
        <v>120.9</v>
      </c>
      <c r="L22" s="70"/>
      <c r="M22" s="70"/>
      <c r="N22" s="70"/>
      <c r="P22" s="70"/>
      <c r="R22" s="70"/>
    </row>
    <row r="23" spans="1:18" s="49" customFormat="1" ht="26.1" customHeight="1">
      <c r="A23" s="51" t="s">
        <v>50</v>
      </c>
      <c r="B23" s="54" t="s">
        <v>51</v>
      </c>
      <c r="C23" s="66">
        <v>2304.3999999999996</v>
      </c>
      <c r="D23" s="66">
        <v>2413.5</v>
      </c>
      <c r="E23" s="66">
        <v>1995.5</v>
      </c>
      <c r="F23" s="66">
        <v>2314.2000000000003</v>
      </c>
      <c r="L23" s="70"/>
      <c r="M23" s="70"/>
      <c r="N23" s="70"/>
      <c r="P23" s="70"/>
      <c r="R23" s="70"/>
    </row>
    <row r="24" spans="1:18" s="50" customFormat="1" ht="26.1" customHeight="1">
      <c r="A24" s="55" t="s">
        <v>150</v>
      </c>
      <c r="B24" s="57" t="s">
        <v>151</v>
      </c>
      <c r="C24" s="68">
        <v>204.00000000000011</v>
      </c>
      <c r="D24" s="68">
        <v>184.3</v>
      </c>
      <c r="E24" s="68">
        <v>191.99999999999994</v>
      </c>
      <c r="F24" s="68">
        <v>190.9</v>
      </c>
      <c r="L24" s="70"/>
      <c r="M24" s="70"/>
      <c r="N24" s="70"/>
      <c r="P24" s="70"/>
      <c r="R24" s="70"/>
    </row>
    <row r="25" spans="1:18" s="49" customFormat="1" ht="26.1" customHeight="1">
      <c r="A25" s="55" t="s">
        <v>152</v>
      </c>
      <c r="B25" s="57" t="s">
        <v>153</v>
      </c>
      <c r="C25" s="68">
        <v>170.4</v>
      </c>
      <c r="D25" s="68">
        <v>118.29999999999998</v>
      </c>
      <c r="E25" s="68">
        <v>83</v>
      </c>
      <c r="F25" s="68">
        <v>124.7</v>
      </c>
      <c r="L25" s="70"/>
      <c r="M25" s="70"/>
      <c r="N25" s="70"/>
      <c r="P25" s="70"/>
      <c r="R25" s="70"/>
    </row>
    <row r="26" spans="1:18" s="49" customFormat="1" ht="26.1" customHeight="1">
      <c r="A26" s="55" t="s">
        <v>68</v>
      </c>
      <c r="B26" s="57" t="s">
        <v>69</v>
      </c>
      <c r="C26" s="68">
        <v>163.30000000000001</v>
      </c>
      <c r="D26" s="68">
        <v>159.39999999999998</v>
      </c>
      <c r="E26" s="68">
        <v>159.39999999999998</v>
      </c>
      <c r="F26" s="68">
        <v>167.7</v>
      </c>
      <c r="L26" s="70"/>
      <c r="M26" s="70"/>
      <c r="N26" s="70"/>
      <c r="P26" s="70"/>
      <c r="R26" s="70"/>
    </row>
    <row r="27" spans="1:18" s="49" customFormat="1" ht="26.1" customHeight="1">
      <c r="A27" s="55" t="s">
        <v>154</v>
      </c>
      <c r="B27" s="56" t="s">
        <v>155</v>
      </c>
      <c r="C27" s="67">
        <v>116.6</v>
      </c>
      <c r="D27" s="67">
        <v>66.200000000000017</v>
      </c>
      <c r="E27" s="68">
        <v>55.799999999999983</v>
      </c>
      <c r="F27" s="68">
        <v>53.1</v>
      </c>
      <c r="L27" s="70"/>
      <c r="M27" s="70"/>
      <c r="N27" s="70"/>
      <c r="P27" s="70"/>
      <c r="R27" s="70"/>
    </row>
    <row r="28" spans="1:18" s="49" customFormat="1" ht="26.1" customHeight="1">
      <c r="A28" s="55" t="s">
        <v>156</v>
      </c>
      <c r="B28" s="56" t="s">
        <v>157</v>
      </c>
      <c r="C28" s="67">
        <v>138.39999999999984</v>
      </c>
      <c r="D28" s="67">
        <v>252.30000000000004</v>
      </c>
      <c r="E28" s="68">
        <v>193.2000000000001</v>
      </c>
      <c r="F28" s="68">
        <v>177.6</v>
      </c>
      <c r="L28" s="70"/>
      <c r="M28" s="70"/>
      <c r="N28" s="70"/>
      <c r="P28" s="70"/>
      <c r="R28" s="70"/>
    </row>
    <row r="29" spans="1:18" s="49" customFormat="1" ht="26.1" customHeight="1">
      <c r="A29" s="55" t="s">
        <v>158</v>
      </c>
      <c r="B29" s="56" t="s">
        <v>159</v>
      </c>
      <c r="C29" s="67">
        <v>87.199999999999974</v>
      </c>
      <c r="D29" s="67">
        <v>74.999999999999986</v>
      </c>
      <c r="E29" s="68">
        <v>55.700000000000017</v>
      </c>
      <c r="F29" s="68">
        <v>83.5</v>
      </c>
      <c r="L29" s="70"/>
      <c r="M29" s="70"/>
      <c r="N29" s="70"/>
      <c r="P29" s="70"/>
      <c r="R29" s="70"/>
    </row>
    <row r="30" spans="1:18" s="49" customFormat="1" ht="26.1" customHeight="1">
      <c r="A30" s="55" t="s">
        <v>160</v>
      </c>
      <c r="B30" s="56" t="s">
        <v>161</v>
      </c>
      <c r="C30" s="67">
        <v>110.99999999999994</v>
      </c>
      <c r="D30" s="67">
        <v>123</v>
      </c>
      <c r="E30" s="68">
        <v>87.700000000000045</v>
      </c>
      <c r="F30" s="68">
        <v>136.69999999999999</v>
      </c>
      <c r="L30" s="70"/>
      <c r="M30" s="70"/>
      <c r="N30" s="70"/>
      <c r="P30" s="70"/>
      <c r="R30" s="70"/>
    </row>
    <row r="31" spans="1:18" s="49" customFormat="1" ht="26.1" customHeight="1">
      <c r="A31" s="55" t="s">
        <v>162</v>
      </c>
      <c r="B31" s="56" t="s">
        <v>163</v>
      </c>
      <c r="C31" s="67">
        <v>80.599999999999994</v>
      </c>
      <c r="D31" s="67">
        <v>54.200000000000017</v>
      </c>
      <c r="E31" s="68">
        <v>19</v>
      </c>
      <c r="F31" s="68">
        <v>56.2</v>
      </c>
      <c r="L31" s="70"/>
      <c r="M31" s="70"/>
      <c r="N31" s="70"/>
      <c r="P31" s="70"/>
      <c r="R31" s="70"/>
    </row>
    <row r="32" spans="1:18" s="49" customFormat="1" ht="26.1" customHeight="1">
      <c r="A32" s="55" t="s">
        <v>164</v>
      </c>
      <c r="B32" s="56" t="s">
        <v>165</v>
      </c>
      <c r="C32" s="67">
        <v>74.100000000000023</v>
      </c>
      <c r="D32" s="67">
        <v>62.300000000000011</v>
      </c>
      <c r="E32" s="68">
        <v>63.199999999999989</v>
      </c>
      <c r="F32" s="68">
        <v>64.5</v>
      </c>
      <c r="L32" s="70"/>
      <c r="M32" s="70"/>
      <c r="N32" s="70"/>
      <c r="P32" s="70"/>
      <c r="R32" s="70"/>
    </row>
    <row r="33" spans="1:18" s="49" customFormat="1" ht="26.1" customHeight="1">
      <c r="A33" s="55" t="s">
        <v>166</v>
      </c>
      <c r="B33" s="56" t="s">
        <v>167</v>
      </c>
      <c r="C33" s="67">
        <v>74.100000000000023</v>
      </c>
      <c r="D33" s="67">
        <v>88.9</v>
      </c>
      <c r="E33" s="68">
        <v>83.1</v>
      </c>
      <c r="F33" s="68">
        <v>51</v>
      </c>
      <c r="L33" s="70"/>
      <c r="M33" s="70"/>
      <c r="N33" s="70"/>
      <c r="P33" s="70"/>
      <c r="R33" s="70"/>
    </row>
    <row r="34" spans="1:18" s="49" customFormat="1" ht="26.1" customHeight="1">
      <c r="A34" s="55" t="s">
        <v>168</v>
      </c>
      <c r="B34" s="56" t="s">
        <v>169</v>
      </c>
      <c r="C34" s="67">
        <v>60.900000000000006</v>
      </c>
      <c r="D34" s="67">
        <v>97.299999999999983</v>
      </c>
      <c r="E34" s="68">
        <v>36.900000000000006</v>
      </c>
      <c r="F34" s="68">
        <v>18</v>
      </c>
      <c r="L34" s="70"/>
      <c r="M34" s="70"/>
      <c r="N34" s="70"/>
      <c r="P34" s="70"/>
      <c r="R34" s="70"/>
    </row>
    <row r="35" spans="1:18" s="49" customFormat="1" ht="26.1" customHeight="1">
      <c r="A35" s="55" t="s">
        <v>170</v>
      </c>
      <c r="B35" s="56" t="s">
        <v>171</v>
      </c>
      <c r="C35" s="67">
        <v>43.300000000000026</v>
      </c>
      <c r="D35" s="67">
        <v>43.3</v>
      </c>
      <c r="E35" s="68">
        <v>54.5</v>
      </c>
      <c r="F35" s="68">
        <v>39.799999999999997</v>
      </c>
      <c r="L35" s="70"/>
      <c r="M35" s="70"/>
      <c r="N35" s="70"/>
      <c r="P35" s="70"/>
      <c r="R35" s="70"/>
    </row>
    <row r="36" spans="1:18" s="49" customFormat="1" ht="26.1" customHeight="1">
      <c r="A36" s="55" t="s">
        <v>172</v>
      </c>
      <c r="B36" s="56" t="s">
        <v>173</v>
      </c>
      <c r="C36" s="67">
        <v>40.800000000000018</v>
      </c>
      <c r="D36" s="67">
        <v>51.4</v>
      </c>
      <c r="E36" s="68">
        <v>64.099999999999994</v>
      </c>
      <c r="F36" s="68">
        <v>56.6</v>
      </c>
      <c r="L36" s="70"/>
      <c r="M36" s="70"/>
      <c r="N36" s="70"/>
      <c r="P36" s="70"/>
      <c r="R36" s="70"/>
    </row>
    <row r="37" spans="1:18" s="50" customFormat="1" ht="26.1" customHeight="1">
      <c r="A37" s="55" t="s">
        <v>174</v>
      </c>
      <c r="B37" s="56" t="s">
        <v>175</v>
      </c>
      <c r="C37" s="67">
        <v>40.800000000000011</v>
      </c>
      <c r="D37" s="67">
        <v>70.599999999999994</v>
      </c>
      <c r="E37" s="68">
        <v>69.400000000000006</v>
      </c>
      <c r="F37" s="68">
        <v>56</v>
      </c>
      <c r="L37" s="70"/>
      <c r="M37" s="70"/>
      <c r="N37" s="70"/>
      <c r="P37" s="70"/>
      <c r="R37" s="70"/>
    </row>
    <row r="38" spans="1:18" s="50" customFormat="1" ht="26.1" customHeight="1">
      <c r="A38" s="58" t="s">
        <v>72</v>
      </c>
      <c r="B38" s="59" t="s">
        <v>73</v>
      </c>
      <c r="C38" s="69">
        <v>2.4999999999992735</v>
      </c>
      <c r="D38" s="69">
        <v>1.5000000000007265</v>
      </c>
      <c r="E38" s="69">
        <v>2</v>
      </c>
      <c r="F38" s="69">
        <v>0.3</v>
      </c>
      <c r="L38" s="70"/>
      <c r="M38" s="70"/>
      <c r="N38" s="70"/>
      <c r="P38" s="70"/>
      <c r="R38" s="70"/>
    </row>
    <row r="39" spans="1:18" s="62" customFormat="1" ht="26.1" customHeight="1">
      <c r="A39" s="63" t="s">
        <v>176</v>
      </c>
      <c r="B39" s="60" t="s">
        <v>75</v>
      </c>
      <c r="C39" s="61"/>
    </row>
    <row r="40" spans="1:18" s="62" customFormat="1" ht="26.1" customHeight="1">
      <c r="A40" s="63" t="s">
        <v>179</v>
      </c>
      <c r="B40" s="60" t="s">
        <v>77</v>
      </c>
      <c r="C40" s="64"/>
    </row>
    <row r="41" spans="1:18" s="62" customFormat="1" ht="26.1" customHeight="1">
      <c r="A41" s="63" t="s">
        <v>78</v>
      </c>
      <c r="B41" s="60" t="s">
        <v>79</v>
      </c>
      <c r="C41" s="61"/>
    </row>
    <row r="42" spans="1:18">
      <c r="A42" s="20"/>
      <c r="B42" s="19"/>
      <c r="C42" s="17"/>
    </row>
    <row r="43" spans="1:18">
      <c r="A43" s="45"/>
      <c r="B43" s="45"/>
    </row>
    <row r="48" spans="1:18" ht="12.75">
      <c r="A48"/>
      <c r="B48"/>
      <c r="C48"/>
    </row>
    <row r="49" customFormat="1" ht="12.75"/>
    <row r="50" customFormat="1" ht="12.75"/>
    <row r="51" customFormat="1" ht="12.75"/>
    <row r="52" customFormat="1" ht="12.75"/>
    <row r="53" customFormat="1" ht="12.75"/>
    <row r="54" customFormat="1" ht="12.75"/>
    <row r="55" customFormat="1" ht="12.75"/>
    <row r="56" customFormat="1" ht="12.75"/>
    <row r="57" customFormat="1" ht="12.75"/>
    <row r="58" customFormat="1" ht="12.75"/>
    <row r="59" customFormat="1" ht="12.75"/>
    <row r="60" customFormat="1" ht="12.75"/>
    <row r="61" customFormat="1" ht="12.75"/>
    <row r="62" customFormat="1" ht="12.75"/>
    <row r="63" customFormat="1" ht="12.75"/>
    <row r="64" customFormat="1" ht="12.75"/>
    <row r="65" customFormat="1" ht="12.75"/>
    <row r="66" customFormat="1" ht="12.75"/>
    <row r="67" customFormat="1" ht="12.75"/>
    <row r="68" customFormat="1" ht="12.75"/>
  </sheetData>
  <mergeCells count="7">
    <mergeCell ref="A2:J2"/>
    <mergeCell ref="F5:F6"/>
    <mergeCell ref="E5:E6"/>
    <mergeCell ref="B4:B6"/>
    <mergeCell ref="C5:C6"/>
    <mergeCell ref="A4:A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scale="7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68"/>
  <sheetViews>
    <sheetView view="pageBreakPreview" zoomScale="75" zoomScaleNormal="100" zoomScaleSheetLayoutView="75" workbookViewId="0">
      <selection activeCell="F1" sqref="F1"/>
    </sheetView>
  </sheetViews>
  <sheetFormatPr defaultRowHeight="20.25"/>
  <cols>
    <col min="1" max="1" width="60.85546875" style="16" customWidth="1"/>
    <col min="2" max="2" width="75.28515625" style="16" customWidth="1"/>
    <col min="3" max="3" width="24.5703125" style="16" customWidth="1"/>
    <col min="4" max="4" width="25.140625" customWidth="1"/>
    <col min="5" max="5" width="26.28515625" customWidth="1"/>
    <col min="6" max="6" width="26.140625" customWidth="1"/>
  </cols>
  <sheetData>
    <row r="1" spans="1:8" ht="26.25">
      <c r="A1" s="3"/>
      <c r="B1" s="1"/>
      <c r="D1" s="2"/>
      <c r="E1" s="2"/>
    </row>
    <row r="2" spans="1:8" ht="20.45" customHeight="1">
      <c r="A2" s="99" t="s">
        <v>0</v>
      </c>
      <c r="B2" s="99"/>
      <c r="C2" s="99"/>
      <c r="D2" s="99"/>
      <c r="E2" s="99"/>
      <c r="F2" s="99"/>
    </row>
    <row r="3" spans="1:8" ht="26.25">
      <c r="A3" s="6"/>
      <c r="B3" s="4"/>
      <c r="E3" s="35"/>
      <c r="F3" s="71" t="s">
        <v>1</v>
      </c>
    </row>
    <row r="4" spans="1:8">
      <c r="A4" s="97" t="s">
        <v>7</v>
      </c>
      <c r="B4" s="93" t="s">
        <v>2</v>
      </c>
      <c r="C4" s="46" t="s">
        <v>3</v>
      </c>
      <c r="D4" s="46" t="s">
        <v>4</v>
      </c>
      <c r="E4" s="46" t="s">
        <v>5</v>
      </c>
      <c r="F4" s="46" t="s">
        <v>6</v>
      </c>
    </row>
    <row r="5" spans="1:8" ht="12.75" customHeight="1">
      <c r="A5" s="91"/>
      <c r="B5" s="94"/>
      <c r="C5" s="89" t="s">
        <v>189</v>
      </c>
      <c r="D5" s="89" t="s">
        <v>190</v>
      </c>
      <c r="E5" s="89" t="s">
        <v>191</v>
      </c>
      <c r="F5" s="96" t="s">
        <v>192</v>
      </c>
    </row>
    <row r="6" spans="1:8" ht="20.25" customHeight="1">
      <c r="A6" s="98"/>
      <c r="B6" s="95"/>
      <c r="C6" s="90"/>
      <c r="D6" s="90"/>
      <c r="E6" s="90"/>
      <c r="F6" s="90"/>
    </row>
    <row r="7" spans="1:8" s="50" customFormat="1" ht="26.1" customHeight="1">
      <c r="A7" s="52" t="s">
        <v>126</v>
      </c>
      <c r="B7" s="53" t="s">
        <v>13</v>
      </c>
      <c r="C7" s="65">
        <v>5839.4</v>
      </c>
      <c r="D7" s="65">
        <v>6215.7</v>
      </c>
      <c r="E7" s="65">
        <v>6755.8</v>
      </c>
      <c r="F7" s="65">
        <v>7016.1</v>
      </c>
      <c r="H7" s="70"/>
    </row>
    <row r="8" spans="1:8" s="50" customFormat="1" ht="26.1" customHeight="1">
      <c r="A8" s="51" t="s">
        <v>14</v>
      </c>
      <c r="B8" s="54" t="s">
        <v>15</v>
      </c>
      <c r="C8" s="66">
        <v>1848.8000000000002</v>
      </c>
      <c r="D8" s="66">
        <v>2075</v>
      </c>
      <c r="E8" s="66">
        <v>2238.6999999999998</v>
      </c>
      <c r="F8" s="66">
        <v>2799.2999999999993</v>
      </c>
      <c r="H8" s="70"/>
    </row>
    <row r="9" spans="1:8" s="49" customFormat="1" ht="26.1" customHeight="1">
      <c r="A9" s="55" t="s">
        <v>16</v>
      </c>
      <c r="B9" s="56" t="s">
        <v>17</v>
      </c>
      <c r="C9" s="67">
        <v>969</v>
      </c>
      <c r="D9" s="67">
        <v>945.9</v>
      </c>
      <c r="E9" s="67">
        <v>1362.4</v>
      </c>
      <c r="F9" s="67">
        <v>1323.4999999999991</v>
      </c>
      <c r="H9" s="70"/>
    </row>
    <row r="10" spans="1:8" s="49" customFormat="1" ht="26.1" customHeight="1">
      <c r="A10" s="55" t="s">
        <v>127</v>
      </c>
      <c r="B10" s="56" t="s">
        <v>180</v>
      </c>
      <c r="C10" s="67">
        <v>813.5</v>
      </c>
      <c r="D10" s="67">
        <v>1083.2</v>
      </c>
      <c r="E10" s="67">
        <v>840.1</v>
      </c>
      <c r="F10" s="67">
        <v>1435.3999999999996</v>
      </c>
      <c r="H10" s="70"/>
    </row>
    <row r="11" spans="1:8" s="50" customFormat="1" ht="26.1" customHeight="1">
      <c r="A11" s="51" t="s">
        <v>129</v>
      </c>
      <c r="B11" s="54" t="s">
        <v>23</v>
      </c>
      <c r="C11" s="66">
        <v>475.1</v>
      </c>
      <c r="D11" s="66">
        <v>440.7</v>
      </c>
      <c r="E11" s="66">
        <v>658.7</v>
      </c>
      <c r="F11" s="66">
        <v>661.1</v>
      </c>
      <c r="H11" s="70"/>
    </row>
    <row r="12" spans="1:8" s="49" customFormat="1" ht="26.1" customHeight="1">
      <c r="A12" s="55" t="s">
        <v>130</v>
      </c>
      <c r="B12" s="57" t="s">
        <v>131</v>
      </c>
      <c r="C12" s="68">
        <v>108.3</v>
      </c>
      <c r="D12" s="68">
        <v>111.9</v>
      </c>
      <c r="E12" s="68">
        <v>147.30000000000001</v>
      </c>
      <c r="F12" s="68">
        <v>156.40000000000003</v>
      </c>
      <c r="H12" s="70"/>
    </row>
    <row r="13" spans="1:8" s="49" customFormat="1" ht="26.1" customHeight="1">
      <c r="A13" s="55" t="s">
        <v>132</v>
      </c>
      <c r="B13" s="57" t="s">
        <v>133</v>
      </c>
      <c r="C13" s="68">
        <v>106.9</v>
      </c>
      <c r="D13" s="68">
        <v>72.099999999999994</v>
      </c>
      <c r="E13" s="68">
        <v>142.30000000000001</v>
      </c>
      <c r="F13" s="68">
        <v>153.49999999999997</v>
      </c>
      <c r="H13" s="70"/>
    </row>
    <row r="14" spans="1:8" s="49" customFormat="1" ht="26.1" customHeight="1">
      <c r="A14" s="55" t="s">
        <v>134</v>
      </c>
      <c r="B14" s="56" t="s">
        <v>135</v>
      </c>
      <c r="C14" s="68">
        <v>54.3</v>
      </c>
      <c r="D14" s="68">
        <v>36.6</v>
      </c>
      <c r="E14" s="68">
        <v>52.6</v>
      </c>
      <c r="F14" s="68">
        <v>54.499999999999986</v>
      </c>
      <c r="H14" s="70"/>
    </row>
    <row r="15" spans="1:8" s="49" customFormat="1" ht="26.1" customHeight="1">
      <c r="A15" s="55" t="s">
        <v>136</v>
      </c>
      <c r="B15" s="56" t="s">
        <v>137</v>
      </c>
      <c r="C15" s="68">
        <v>12.4</v>
      </c>
      <c r="D15" s="68">
        <v>22.9</v>
      </c>
      <c r="E15" s="68">
        <v>34</v>
      </c>
      <c r="F15" s="68">
        <v>15.499999999999998</v>
      </c>
      <c r="H15" s="70"/>
    </row>
    <row r="16" spans="1:8" s="50" customFormat="1" ht="26.1" customHeight="1">
      <c r="A16" s="51" t="s">
        <v>38</v>
      </c>
      <c r="B16" s="54" t="s">
        <v>39</v>
      </c>
      <c r="C16" s="66">
        <v>1048.9000000000001</v>
      </c>
      <c r="D16" s="66">
        <v>983.2</v>
      </c>
      <c r="E16" s="66">
        <v>1261.4000000000001</v>
      </c>
      <c r="F16" s="66">
        <v>983.8</v>
      </c>
      <c r="H16" s="70"/>
    </row>
    <row r="17" spans="1:8" s="49" customFormat="1" ht="26.1" customHeight="1">
      <c r="A17" s="55" t="s">
        <v>138</v>
      </c>
      <c r="B17" s="57" t="s">
        <v>139</v>
      </c>
      <c r="C17" s="67">
        <v>431.9</v>
      </c>
      <c r="D17" s="67">
        <v>324.10000000000002</v>
      </c>
      <c r="E17" s="67">
        <v>638.79999999999995</v>
      </c>
      <c r="F17" s="67">
        <v>354.40000000000009</v>
      </c>
      <c r="H17" s="70"/>
    </row>
    <row r="18" spans="1:8" s="49" customFormat="1" ht="26.1" customHeight="1">
      <c r="A18" s="55" t="s">
        <v>140</v>
      </c>
      <c r="B18" s="56" t="s">
        <v>141</v>
      </c>
      <c r="C18" s="67">
        <v>188.5</v>
      </c>
      <c r="D18" s="67">
        <v>185.8</v>
      </c>
      <c r="E18" s="67">
        <v>152.1</v>
      </c>
      <c r="F18" s="67">
        <v>179.09999999999997</v>
      </c>
      <c r="H18" s="70"/>
    </row>
    <row r="19" spans="1:8" s="49" customFormat="1" ht="26.1" customHeight="1">
      <c r="A19" s="55" t="s">
        <v>142</v>
      </c>
      <c r="B19" s="56" t="s">
        <v>143</v>
      </c>
      <c r="C19" s="67">
        <v>112.1</v>
      </c>
      <c r="D19" s="67">
        <v>131.5</v>
      </c>
      <c r="E19" s="67">
        <v>170.9</v>
      </c>
      <c r="F19" s="67">
        <v>154.39999999999998</v>
      </c>
      <c r="H19" s="70"/>
    </row>
    <row r="20" spans="1:8" s="49" customFormat="1" ht="26.1" customHeight="1">
      <c r="A20" s="55" t="s">
        <v>144</v>
      </c>
      <c r="B20" s="56" t="s">
        <v>145</v>
      </c>
      <c r="C20" s="67">
        <v>24.5</v>
      </c>
      <c r="D20" s="67">
        <v>32.799999999999997</v>
      </c>
      <c r="E20" s="67">
        <v>24.5</v>
      </c>
      <c r="F20" s="67">
        <v>24.799999999999997</v>
      </c>
      <c r="H20" s="70"/>
    </row>
    <row r="21" spans="1:8" s="49" customFormat="1" ht="26.1" customHeight="1">
      <c r="A21" s="55" t="s">
        <v>146</v>
      </c>
      <c r="B21" s="56" t="s">
        <v>147</v>
      </c>
      <c r="C21" s="68">
        <v>7.2</v>
      </c>
      <c r="D21" s="68">
        <v>9.5</v>
      </c>
      <c r="E21" s="68">
        <v>5</v>
      </c>
      <c r="F21" s="68">
        <v>3.9999999999999991</v>
      </c>
      <c r="H21" s="70"/>
    </row>
    <row r="22" spans="1:8" s="49" customFormat="1" ht="26.1" customHeight="1">
      <c r="A22" s="55" t="s">
        <v>148</v>
      </c>
      <c r="B22" s="56" t="s">
        <v>149</v>
      </c>
      <c r="C22" s="68">
        <v>72.3</v>
      </c>
      <c r="D22" s="68">
        <v>56.4</v>
      </c>
      <c r="E22" s="68">
        <v>92.6</v>
      </c>
      <c r="F22" s="68">
        <v>144.80000000000001</v>
      </c>
      <c r="H22" s="70"/>
    </row>
    <row r="23" spans="1:8" s="49" customFormat="1" ht="26.1" customHeight="1">
      <c r="A23" s="51" t="s">
        <v>50</v>
      </c>
      <c r="B23" s="54" t="s">
        <v>51</v>
      </c>
      <c r="C23" s="66">
        <v>2466.3000000000002</v>
      </c>
      <c r="D23" s="66">
        <v>2716.6</v>
      </c>
      <c r="E23" s="66">
        <v>2596.8000000000002</v>
      </c>
      <c r="F23" s="66">
        <v>2571.6999999999998</v>
      </c>
      <c r="H23" s="70"/>
    </row>
    <row r="24" spans="1:8" s="50" customFormat="1" ht="26.1" customHeight="1">
      <c r="A24" s="55" t="s">
        <v>150</v>
      </c>
      <c r="B24" s="57" t="s">
        <v>151</v>
      </c>
      <c r="C24" s="68">
        <v>205.4</v>
      </c>
      <c r="D24" s="68">
        <v>226.5</v>
      </c>
      <c r="E24" s="68">
        <v>226.1</v>
      </c>
      <c r="F24" s="68">
        <v>237.49999999999997</v>
      </c>
      <c r="H24" s="70"/>
    </row>
    <row r="25" spans="1:8" s="49" customFormat="1" ht="26.1" customHeight="1">
      <c r="A25" s="55" t="s">
        <v>152</v>
      </c>
      <c r="B25" s="57" t="s">
        <v>153</v>
      </c>
      <c r="C25" s="68">
        <v>202.4</v>
      </c>
      <c r="D25" s="68">
        <v>201.1</v>
      </c>
      <c r="E25" s="68">
        <v>159.1</v>
      </c>
      <c r="F25" s="68">
        <v>177.79999999999993</v>
      </c>
      <c r="H25" s="70"/>
    </row>
    <row r="26" spans="1:8" s="49" customFormat="1" ht="26.1" customHeight="1">
      <c r="A26" s="55" t="s">
        <v>68</v>
      </c>
      <c r="B26" s="57" t="s">
        <v>69</v>
      </c>
      <c r="C26" s="68">
        <v>172.7</v>
      </c>
      <c r="D26" s="68">
        <v>170.6</v>
      </c>
      <c r="E26" s="68">
        <v>191.5</v>
      </c>
      <c r="F26" s="68">
        <v>181.4</v>
      </c>
      <c r="H26" s="70"/>
    </row>
    <row r="27" spans="1:8" s="49" customFormat="1" ht="26.1" customHeight="1">
      <c r="A27" s="55" t="s">
        <v>154</v>
      </c>
      <c r="B27" s="56" t="s">
        <v>155</v>
      </c>
      <c r="C27" s="67">
        <v>46.4</v>
      </c>
      <c r="D27" s="67">
        <v>63.1</v>
      </c>
      <c r="E27" s="67">
        <v>63.6</v>
      </c>
      <c r="F27" s="67">
        <v>53.200000000000024</v>
      </c>
      <c r="H27" s="70"/>
    </row>
    <row r="28" spans="1:8" s="49" customFormat="1" ht="26.1" customHeight="1">
      <c r="A28" s="55" t="s">
        <v>156</v>
      </c>
      <c r="B28" s="56" t="s">
        <v>157</v>
      </c>
      <c r="C28" s="67">
        <v>209.6</v>
      </c>
      <c r="D28" s="67">
        <v>293.89999999999998</v>
      </c>
      <c r="E28" s="67">
        <v>213.3</v>
      </c>
      <c r="F28" s="67">
        <v>248.00000000000003</v>
      </c>
      <c r="H28" s="70"/>
    </row>
    <row r="29" spans="1:8" s="49" customFormat="1" ht="26.1" customHeight="1">
      <c r="A29" s="55" t="s">
        <v>158</v>
      </c>
      <c r="B29" s="56" t="s">
        <v>159</v>
      </c>
      <c r="C29" s="67">
        <v>100.2</v>
      </c>
      <c r="D29" s="67">
        <v>100.3</v>
      </c>
      <c r="E29" s="67">
        <v>111.4</v>
      </c>
      <c r="F29" s="67">
        <v>79.999999999999986</v>
      </c>
      <c r="H29" s="70"/>
    </row>
    <row r="30" spans="1:8" s="49" customFormat="1" ht="26.1" customHeight="1">
      <c r="A30" s="55" t="s">
        <v>160</v>
      </c>
      <c r="B30" s="56" t="s">
        <v>161</v>
      </c>
      <c r="C30" s="67">
        <v>129.19999999999999</v>
      </c>
      <c r="D30" s="67">
        <v>119.4</v>
      </c>
      <c r="E30" s="67">
        <v>149</v>
      </c>
      <c r="F30" s="67">
        <v>145.30000000000001</v>
      </c>
      <c r="H30" s="70"/>
    </row>
    <row r="31" spans="1:8" s="49" customFormat="1" ht="26.1" customHeight="1">
      <c r="A31" s="55" t="s">
        <v>162</v>
      </c>
      <c r="B31" s="56" t="s">
        <v>163</v>
      </c>
      <c r="C31" s="67">
        <v>59.6</v>
      </c>
      <c r="D31" s="67">
        <v>33.200000000000003</v>
      </c>
      <c r="E31" s="67">
        <v>37</v>
      </c>
      <c r="F31" s="67">
        <v>46.899999999999984</v>
      </c>
      <c r="H31" s="70"/>
    </row>
    <row r="32" spans="1:8" s="49" customFormat="1" ht="26.1" customHeight="1">
      <c r="A32" s="55" t="s">
        <v>164</v>
      </c>
      <c r="B32" s="56" t="s">
        <v>165</v>
      </c>
      <c r="C32" s="67">
        <v>60.2</v>
      </c>
      <c r="D32" s="67">
        <v>75.3</v>
      </c>
      <c r="E32" s="67">
        <v>100.7</v>
      </c>
      <c r="F32" s="67">
        <v>107.89999999999996</v>
      </c>
      <c r="H32" s="70"/>
    </row>
    <row r="33" spans="1:8" s="49" customFormat="1" ht="26.1" customHeight="1">
      <c r="A33" s="55" t="s">
        <v>166</v>
      </c>
      <c r="B33" s="56" t="s">
        <v>167</v>
      </c>
      <c r="C33" s="67">
        <v>46.1</v>
      </c>
      <c r="D33" s="67">
        <v>21.5</v>
      </c>
      <c r="E33" s="67">
        <v>14.8</v>
      </c>
      <c r="F33" s="67">
        <v>26.9</v>
      </c>
      <c r="H33" s="70"/>
    </row>
    <row r="34" spans="1:8" s="49" customFormat="1" ht="26.1" customHeight="1">
      <c r="A34" s="55" t="s">
        <v>168</v>
      </c>
      <c r="B34" s="56" t="s">
        <v>169</v>
      </c>
      <c r="C34" s="67">
        <v>23.7</v>
      </c>
      <c r="D34" s="67">
        <v>13.7</v>
      </c>
      <c r="E34" s="67">
        <v>25.5</v>
      </c>
      <c r="F34" s="67">
        <v>13.3</v>
      </c>
      <c r="H34" s="70"/>
    </row>
    <row r="35" spans="1:8" s="49" customFormat="1" ht="26.1" customHeight="1">
      <c r="A35" s="55" t="s">
        <v>170</v>
      </c>
      <c r="B35" s="56" t="s">
        <v>171</v>
      </c>
      <c r="C35" s="67">
        <v>61.099999999999994</v>
      </c>
      <c r="D35" s="67">
        <v>68.400000000000006</v>
      </c>
      <c r="E35" s="67">
        <v>63.3</v>
      </c>
      <c r="F35" s="67">
        <v>58.699999999999989</v>
      </c>
      <c r="H35" s="70"/>
    </row>
    <row r="36" spans="1:8" s="49" customFormat="1" ht="26.1" customHeight="1">
      <c r="A36" s="55" t="s">
        <v>172</v>
      </c>
      <c r="B36" s="56" t="s">
        <v>173</v>
      </c>
      <c r="C36" s="67">
        <v>69.3</v>
      </c>
      <c r="D36" s="67">
        <v>77</v>
      </c>
      <c r="E36" s="67">
        <v>67.400000000000006</v>
      </c>
      <c r="F36" s="67">
        <v>83.7</v>
      </c>
      <c r="H36" s="70"/>
    </row>
    <row r="37" spans="1:8" s="50" customFormat="1" ht="26.1" customHeight="1">
      <c r="A37" s="55" t="s">
        <v>174</v>
      </c>
      <c r="B37" s="56" t="s">
        <v>175</v>
      </c>
      <c r="C37" s="67">
        <v>64.2</v>
      </c>
      <c r="D37" s="67">
        <v>72.599999999999994</v>
      </c>
      <c r="E37" s="67">
        <v>58.2</v>
      </c>
      <c r="F37" s="67">
        <v>38.6</v>
      </c>
      <c r="H37" s="70"/>
    </row>
    <row r="38" spans="1:8" s="62" customFormat="1" ht="26.1" customHeight="1">
      <c r="A38" s="58" t="s">
        <v>72</v>
      </c>
      <c r="B38" s="59" t="s">
        <v>73</v>
      </c>
      <c r="C38" s="69">
        <v>0.29999999999954241</v>
      </c>
      <c r="D38" s="69">
        <v>0.2</v>
      </c>
      <c r="E38" s="69">
        <v>0.2</v>
      </c>
      <c r="F38" s="69">
        <v>0.20000000000101048</v>
      </c>
      <c r="H38" s="70"/>
    </row>
    <row r="39" spans="1:8" s="62" customFormat="1" ht="26.1" customHeight="1">
      <c r="A39" s="63" t="s">
        <v>176</v>
      </c>
      <c r="B39" s="60" t="s">
        <v>75</v>
      </c>
      <c r="C39" s="72"/>
      <c r="D39" s="72"/>
      <c r="E39" s="72"/>
      <c r="F39" s="72"/>
      <c r="H39" s="70"/>
    </row>
    <row r="40" spans="1:8" s="62" customFormat="1" ht="26.1" customHeight="1">
      <c r="A40" s="63" t="s">
        <v>181</v>
      </c>
      <c r="B40" s="60" t="s">
        <v>77</v>
      </c>
      <c r="C40" s="64"/>
      <c r="H40" s="70"/>
    </row>
    <row r="41" spans="1:8" s="62" customFormat="1" ht="26.1" customHeight="1">
      <c r="A41" s="63" t="s">
        <v>78</v>
      </c>
      <c r="B41" s="60" t="s">
        <v>79</v>
      </c>
      <c r="C41" s="61"/>
      <c r="H41" s="70"/>
    </row>
    <row r="42" spans="1:8">
      <c r="A42" s="20"/>
      <c r="B42" s="19"/>
      <c r="C42" s="17"/>
    </row>
    <row r="43" spans="1:8">
      <c r="A43" s="45"/>
      <c r="B43" s="45"/>
    </row>
    <row r="48" spans="1:8" ht="12.75">
      <c r="A48"/>
      <c r="B48"/>
      <c r="C48"/>
    </row>
    <row r="49" customFormat="1" ht="12.75"/>
    <row r="50" customFormat="1" ht="12.75"/>
    <row r="51" customFormat="1" ht="12.75"/>
    <row r="52" customFormat="1" ht="12.75"/>
    <row r="53" customFormat="1" ht="12.75"/>
    <row r="54" customFormat="1" ht="12.75"/>
    <row r="55" customFormat="1" ht="12.75"/>
    <row r="56" customFormat="1" ht="12.75"/>
    <row r="57" customFormat="1" ht="12.75"/>
    <row r="58" customFormat="1" ht="12.75"/>
    <row r="59" customFormat="1" ht="12.75"/>
    <row r="60" customFormat="1" ht="12.75"/>
    <row r="61" customFormat="1" ht="12.75"/>
    <row r="62" customFormat="1" ht="12.75"/>
    <row r="63" customFormat="1" ht="12.75"/>
    <row r="64" customFormat="1" ht="12.75"/>
    <row r="65" customFormat="1" ht="12.75"/>
    <row r="66" customFormat="1" ht="12.75"/>
    <row r="67" customFormat="1" ht="12.75"/>
    <row r="68" customFormat="1" ht="12.75"/>
  </sheetData>
  <mergeCells count="7">
    <mergeCell ref="A2:F2"/>
    <mergeCell ref="F5:F6"/>
    <mergeCell ref="E5:E6"/>
    <mergeCell ref="D5:D6"/>
    <mergeCell ref="A4:A6"/>
    <mergeCell ref="B4:B6"/>
    <mergeCell ref="C5:C6"/>
  </mergeCells>
  <printOptions horizontalCentered="1"/>
  <pageMargins left="0.19685039370078741" right="0.19685039370078741" top="0.74803149606299213" bottom="0.55118110236220474" header="0.31496062992125984" footer="0.31496062992125984"/>
  <pageSetup paperSize="8" scale="74" fitToWidth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N71"/>
  <sheetViews>
    <sheetView view="pageBreakPreview" topLeftCell="A28" zoomScale="75" zoomScaleNormal="100" zoomScaleSheetLayoutView="75" workbookViewId="0">
      <selection activeCell="B44" sqref="B44"/>
    </sheetView>
  </sheetViews>
  <sheetFormatPr defaultRowHeight="12.75"/>
  <cols>
    <col min="1" max="1" width="60.85546875" customWidth="1"/>
    <col min="2" max="2" width="75.28515625" customWidth="1"/>
    <col min="3" max="4" width="26.28515625" customWidth="1"/>
    <col min="5" max="5" width="25.42578125" customWidth="1"/>
    <col min="6" max="6" width="24.42578125" customWidth="1"/>
  </cols>
  <sheetData>
    <row r="2" spans="1:14" ht="20.25" customHeight="1">
      <c r="A2" s="99" t="s">
        <v>0</v>
      </c>
      <c r="B2" s="99"/>
      <c r="C2" s="99"/>
      <c r="D2" s="99"/>
      <c r="E2" s="99"/>
      <c r="F2" s="99"/>
    </row>
    <row r="3" spans="1:14" ht="26.25">
      <c r="A3" s="6"/>
      <c r="B3" s="4"/>
      <c r="E3" s="71"/>
      <c r="F3" s="71" t="s">
        <v>1</v>
      </c>
    </row>
    <row r="4" spans="1:14" ht="20.25">
      <c r="A4" s="97" t="s">
        <v>7</v>
      </c>
      <c r="B4" s="93" t="s">
        <v>2</v>
      </c>
      <c r="C4" s="46" t="s">
        <v>3</v>
      </c>
      <c r="D4" s="46" t="s">
        <v>4</v>
      </c>
      <c r="E4" s="46" t="s">
        <v>5</v>
      </c>
      <c r="F4" s="46" t="s">
        <v>6</v>
      </c>
    </row>
    <row r="5" spans="1:14" ht="13.15" customHeight="1">
      <c r="A5" s="91"/>
      <c r="B5" s="94"/>
      <c r="C5" s="89" t="s">
        <v>193</v>
      </c>
      <c r="D5" s="89" t="s">
        <v>194</v>
      </c>
      <c r="E5" s="89" t="s">
        <v>195</v>
      </c>
      <c r="F5" s="96" t="s">
        <v>196</v>
      </c>
    </row>
    <row r="6" spans="1:14" ht="13.15" customHeight="1">
      <c r="A6" s="98"/>
      <c r="B6" s="95"/>
      <c r="C6" s="90"/>
      <c r="D6" s="90"/>
      <c r="E6" s="90"/>
      <c r="F6" s="90"/>
    </row>
    <row r="7" spans="1:14" ht="26.1" customHeight="1">
      <c r="A7" s="52" t="s">
        <v>126</v>
      </c>
      <c r="B7" s="53" t="s">
        <v>13</v>
      </c>
      <c r="C7" s="65">
        <v>6785.2</v>
      </c>
      <c r="D7" s="65">
        <v>7488.7</v>
      </c>
      <c r="E7" s="65">
        <v>6638.0999999999995</v>
      </c>
      <c r="F7" s="65">
        <v>7583.0000000000009</v>
      </c>
      <c r="G7" s="44"/>
      <c r="H7" s="44"/>
      <c r="I7" s="44"/>
      <c r="J7" s="44"/>
      <c r="K7" s="44"/>
      <c r="L7" s="44"/>
      <c r="M7" s="44"/>
      <c r="N7" s="44"/>
    </row>
    <row r="8" spans="1:14" ht="26.1" customHeight="1">
      <c r="A8" s="51" t="s">
        <v>14</v>
      </c>
      <c r="B8" s="54" t="s">
        <v>15</v>
      </c>
      <c r="C8" s="66">
        <v>2886.5000000000009</v>
      </c>
      <c r="D8" s="66">
        <v>3290.7999999999993</v>
      </c>
      <c r="E8" s="66">
        <v>2544.9999999999991</v>
      </c>
      <c r="F8" s="66">
        <v>3116.5999999999995</v>
      </c>
      <c r="G8" s="44"/>
      <c r="H8" s="44"/>
      <c r="I8" s="44"/>
      <c r="J8" s="44"/>
      <c r="K8" s="44"/>
      <c r="L8" s="44"/>
      <c r="M8" s="44"/>
      <c r="N8" s="44"/>
    </row>
    <row r="9" spans="1:14" ht="26.1" customHeight="1">
      <c r="A9" s="55" t="s">
        <v>16</v>
      </c>
      <c r="B9" s="56" t="s">
        <v>17</v>
      </c>
      <c r="C9" s="67">
        <v>1305.4000000000001</v>
      </c>
      <c r="D9" s="67">
        <v>1369.4</v>
      </c>
      <c r="E9" s="67">
        <v>914.29999999999973</v>
      </c>
      <c r="F9" s="67">
        <v>1262.2000000000003</v>
      </c>
      <c r="G9" s="44"/>
      <c r="H9" s="44"/>
      <c r="I9" s="44"/>
      <c r="J9" s="44"/>
      <c r="K9" s="44"/>
      <c r="L9" s="44"/>
      <c r="M9" s="44"/>
      <c r="N9" s="44"/>
    </row>
    <row r="10" spans="1:14" ht="26.1" customHeight="1">
      <c r="A10" s="55" t="s">
        <v>127</v>
      </c>
      <c r="B10" s="56" t="s">
        <v>180</v>
      </c>
      <c r="C10" s="67">
        <v>1504.6000000000004</v>
      </c>
      <c r="D10" s="67">
        <v>1829.2999999999993</v>
      </c>
      <c r="E10" s="67">
        <v>1590.1000000000004</v>
      </c>
      <c r="F10" s="67">
        <v>1781.6999999999998</v>
      </c>
      <c r="G10" s="44"/>
      <c r="H10" s="44"/>
      <c r="I10" s="44"/>
      <c r="J10" s="44"/>
      <c r="K10" s="44"/>
      <c r="L10" s="44"/>
      <c r="M10" s="44"/>
      <c r="N10" s="44"/>
    </row>
    <row r="11" spans="1:14" ht="26.1" customHeight="1">
      <c r="A11" s="51" t="s">
        <v>129</v>
      </c>
      <c r="B11" s="54" t="s">
        <v>23</v>
      </c>
      <c r="C11" s="66">
        <v>518.1</v>
      </c>
      <c r="D11" s="66">
        <v>403.7</v>
      </c>
      <c r="E11" s="66">
        <v>667.90000000000009</v>
      </c>
      <c r="F11" s="66">
        <v>804.3</v>
      </c>
      <c r="G11" s="44"/>
      <c r="H11" s="44"/>
      <c r="I11" s="44"/>
      <c r="J11" s="44"/>
      <c r="K11" s="44"/>
      <c r="L11" s="44"/>
      <c r="M11" s="44"/>
      <c r="N11" s="44"/>
    </row>
    <row r="12" spans="1:14" ht="26.1" customHeight="1">
      <c r="A12" s="55" t="s">
        <v>130</v>
      </c>
      <c r="B12" s="57" t="s">
        <v>131</v>
      </c>
      <c r="C12" s="68">
        <v>118</v>
      </c>
      <c r="D12" s="68">
        <v>99.9</v>
      </c>
      <c r="E12" s="68">
        <v>140.6</v>
      </c>
      <c r="F12" s="68">
        <v>157.9</v>
      </c>
      <c r="G12" s="44"/>
      <c r="H12" s="44"/>
      <c r="I12" s="44"/>
      <c r="J12" s="44"/>
      <c r="K12" s="44"/>
      <c r="L12" s="44"/>
      <c r="M12" s="44"/>
      <c r="N12" s="44"/>
    </row>
    <row r="13" spans="1:14" ht="26.1" customHeight="1">
      <c r="A13" s="55" t="s">
        <v>132</v>
      </c>
      <c r="B13" s="57" t="s">
        <v>133</v>
      </c>
      <c r="C13" s="68">
        <v>120.7</v>
      </c>
      <c r="D13" s="68">
        <v>69.899999999999991</v>
      </c>
      <c r="E13" s="68">
        <v>139.70000000000005</v>
      </c>
      <c r="F13" s="68">
        <v>156.39999999999998</v>
      </c>
      <c r="G13" s="44"/>
      <c r="H13" s="44"/>
      <c r="I13" s="44"/>
      <c r="J13" s="44"/>
      <c r="K13" s="44"/>
      <c r="L13" s="44"/>
      <c r="M13" s="44"/>
      <c r="N13" s="44"/>
    </row>
    <row r="14" spans="1:14" ht="26.1" customHeight="1">
      <c r="A14" s="55" t="s">
        <v>134</v>
      </c>
      <c r="B14" s="56" t="s">
        <v>135</v>
      </c>
      <c r="C14" s="68">
        <v>46</v>
      </c>
      <c r="D14" s="68">
        <v>28.700000000000003</v>
      </c>
      <c r="E14" s="68">
        <v>65.7</v>
      </c>
      <c r="F14" s="68">
        <v>130.80000000000007</v>
      </c>
      <c r="G14" s="44"/>
      <c r="H14" s="44"/>
      <c r="I14" s="44"/>
      <c r="J14" s="44"/>
      <c r="K14" s="44"/>
      <c r="L14" s="44"/>
      <c r="M14" s="44"/>
      <c r="N14" s="44"/>
    </row>
    <row r="15" spans="1:14" ht="26.1" customHeight="1">
      <c r="A15" s="55" t="s">
        <v>136</v>
      </c>
      <c r="B15" s="56" t="s">
        <v>137</v>
      </c>
      <c r="C15" s="68">
        <v>14.1</v>
      </c>
      <c r="D15" s="68">
        <v>22.4</v>
      </c>
      <c r="E15" s="68">
        <v>42.9</v>
      </c>
      <c r="F15" s="68">
        <v>33.500000000000007</v>
      </c>
      <c r="G15" s="44"/>
      <c r="H15" s="44"/>
      <c r="I15" s="44"/>
      <c r="J15" s="44"/>
      <c r="K15" s="44"/>
      <c r="L15" s="44"/>
      <c r="M15" s="44"/>
      <c r="N15" s="44"/>
    </row>
    <row r="16" spans="1:14" ht="26.1" customHeight="1">
      <c r="A16" s="51" t="s">
        <v>38</v>
      </c>
      <c r="B16" s="54" t="s">
        <v>39</v>
      </c>
      <c r="C16" s="66">
        <v>782.1</v>
      </c>
      <c r="D16" s="66">
        <v>967.6</v>
      </c>
      <c r="E16" s="66">
        <v>931.70000000000016</v>
      </c>
      <c r="F16" s="66">
        <v>975.6</v>
      </c>
      <c r="G16" s="44"/>
      <c r="H16" s="44"/>
      <c r="I16" s="44"/>
      <c r="J16" s="44"/>
      <c r="K16" s="44"/>
      <c r="L16" s="44"/>
      <c r="M16" s="44"/>
      <c r="N16" s="44"/>
    </row>
    <row r="17" spans="1:14" ht="26.1" customHeight="1">
      <c r="A17" s="55" t="s">
        <v>138</v>
      </c>
      <c r="B17" s="57" t="s">
        <v>139</v>
      </c>
      <c r="C17" s="67">
        <v>141.30000000000001</v>
      </c>
      <c r="D17" s="67">
        <v>328</v>
      </c>
      <c r="E17" s="67">
        <v>365.70000000000005</v>
      </c>
      <c r="F17" s="67">
        <v>386.5</v>
      </c>
      <c r="G17" s="44"/>
      <c r="H17" s="44"/>
      <c r="I17" s="44"/>
      <c r="J17" s="44"/>
      <c r="K17" s="44"/>
      <c r="L17" s="44"/>
      <c r="M17" s="44"/>
      <c r="N17" s="44"/>
    </row>
    <row r="18" spans="1:14" ht="26.1" customHeight="1">
      <c r="A18" s="55" t="s">
        <v>140</v>
      </c>
      <c r="B18" s="56" t="s">
        <v>141</v>
      </c>
      <c r="C18" s="67">
        <v>202.3</v>
      </c>
      <c r="D18" s="67">
        <v>212.5</v>
      </c>
      <c r="E18" s="67">
        <v>160.90000000000003</v>
      </c>
      <c r="F18" s="67">
        <v>169.59999999999997</v>
      </c>
      <c r="G18" s="44"/>
      <c r="H18" s="44"/>
      <c r="I18" s="44"/>
      <c r="J18" s="44"/>
      <c r="K18" s="44"/>
      <c r="L18" s="44"/>
      <c r="M18" s="44"/>
      <c r="N18" s="44"/>
    </row>
    <row r="19" spans="1:14" ht="26.1" customHeight="1">
      <c r="A19" s="55" t="s">
        <v>142</v>
      </c>
      <c r="B19" s="56" t="s">
        <v>143</v>
      </c>
      <c r="C19" s="67">
        <v>184.29999999999998</v>
      </c>
      <c r="D19" s="67">
        <v>159.9</v>
      </c>
      <c r="E19" s="67">
        <v>165.1</v>
      </c>
      <c r="F19" s="67">
        <v>171.9</v>
      </c>
      <c r="G19" s="44"/>
      <c r="H19" s="44"/>
      <c r="I19" s="44"/>
      <c r="J19" s="44"/>
      <c r="K19" s="44"/>
      <c r="L19" s="44"/>
      <c r="M19" s="44"/>
      <c r="N19" s="44"/>
    </row>
    <row r="20" spans="1:14" ht="26.1" customHeight="1">
      <c r="A20" s="55" t="s">
        <v>144</v>
      </c>
      <c r="B20" s="56" t="s">
        <v>145</v>
      </c>
      <c r="C20" s="67">
        <v>24.2</v>
      </c>
      <c r="D20" s="67">
        <v>30.7</v>
      </c>
      <c r="E20" s="67">
        <v>34.599999999999994</v>
      </c>
      <c r="F20" s="67">
        <v>31.400000000000006</v>
      </c>
      <c r="G20" s="44"/>
      <c r="H20" s="44"/>
      <c r="I20" s="44"/>
      <c r="J20" s="44"/>
      <c r="K20" s="44"/>
      <c r="L20" s="44"/>
      <c r="M20" s="44"/>
      <c r="N20" s="44"/>
    </row>
    <row r="21" spans="1:14" ht="26.1" customHeight="1">
      <c r="A21" s="55" t="s">
        <v>146</v>
      </c>
      <c r="B21" s="56" t="s">
        <v>147</v>
      </c>
      <c r="C21" s="68">
        <v>5</v>
      </c>
      <c r="D21" s="68">
        <v>7</v>
      </c>
      <c r="E21" s="68">
        <v>6.1000000000000014</v>
      </c>
      <c r="F21" s="68">
        <v>3.7999999999999972</v>
      </c>
      <c r="G21" s="44"/>
      <c r="H21" s="44"/>
      <c r="I21" s="44"/>
      <c r="J21" s="44"/>
      <c r="K21" s="44"/>
      <c r="L21" s="44"/>
      <c r="M21" s="44"/>
      <c r="N21" s="44"/>
    </row>
    <row r="22" spans="1:14" ht="26.1" customHeight="1">
      <c r="A22" s="55" t="s">
        <v>148</v>
      </c>
      <c r="B22" s="56" t="s">
        <v>149</v>
      </c>
      <c r="C22" s="68">
        <v>88.199999999999989</v>
      </c>
      <c r="D22" s="68">
        <v>57.599999999999994</v>
      </c>
      <c r="E22" s="68">
        <v>55</v>
      </c>
      <c r="F22" s="68">
        <v>45.100000000000023</v>
      </c>
      <c r="G22" s="44"/>
      <c r="H22" s="44"/>
      <c r="I22" s="44"/>
      <c r="J22" s="44"/>
      <c r="K22" s="44"/>
      <c r="L22" s="44"/>
      <c r="M22" s="44"/>
      <c r="N22" s="44"/>
    </row>
    <row r="23" spans="1:14" ht="26.1" customHeight="1">
      <c r="A23" s="51" t="s">
        <v>50</v>
      </c>
      <c r="B23" s="54" t="s">
        <v>51</v>
      </c>
      <c r="C23" s="66">
        <v>2598.2000000000003</v>
      </c>
      <c r="D23" s="66">
        <v>2826.5</v>
      </c>
      <c r="E23" s="66">
        <v>2493</v>
      </c>
      <c r="F23" s="66">
        <v>2686.5000000000018</v>
      </c>
      <c r="G23" s="44"/>
      <c r="H23" s="44"/>
      <c r="I23" s="44"/>
      <c r="J23" s="44"/>
      <c r="K23" s="44"/>
      <c r="L23" s="44"/>
      <c r="M23" s="44"/>
      <c r="N23" s="44"/>
    </row>
    <row r="24" spans="1:14" ht="26.1" customHeight="1">
      <c r="A24" s="55" t="s">
        <v>150</v>
      </c>
      <c r="B24" s="57" t="s">
        <v>151</v>
      </c>
      <c r="C24" s="68">
        <v>248.79999999999998</v>
      </c>
      <c r="D24" s="68">
        <v>237.10000000000005</v>
      </c>
      <c r="E24" s="68">
        <v>281.40000000000009</v>
      </c>
      <c r="F24" s="68">
        <v>235.5</v>
      </c>
      <c r="G24" s="44"/>
      <c r="H24" s="44"/>
      <c r="I24" s="44"/>
      <c r="J24" s="44"/>
      <c r="K24" s="44"/>
      <c r="L24" s="44"/>
      <c r="M24" s="44"/>
      <c r="N24" s="44"/>
    </row>
    <row r="25" spans="1:14" ht="26.1" customHeight="1">
      <c r="A25" s="55" t="s">
        <v>152</v>
      </c>
      <c r="B25" s="57" t="s">
        <v>153</v>
      </c>
      <c r="C25" s="68">
        <v>195.6</v>
      </c>
      <c r="D25" s="68">
        <v>220.4</v>
      </c>
      <c r="E25" s="68">
        <v>161.6</v>
      </c>
      <c r="F25" s="68">
        <v>70.600000000000023</v>
      </c>
      <c r="G25" s="44"/>
      <c r="H25" s="44"/>
      <c r="I25" s="44"/>
      <c r="J25" s="44"/>
      <c r="K25" s="44"/>
      <c r="L25" s="44"/>
      <c r="M25" s="44"/>
      <c r="N25" s="44"/>
    </row>
    <row r="26" spans="1:14" ht="26.1" customHeight="1">
      <c r="A26" s="55" t="s">
        <v>68</v>
      </c>
      <c r="B26" s="57" t="s">
        <v>69</v>
      </c>
      <c r="C26" s="68">
        <v>184.3</v>
      </c>
      <c r="D26" s="68">
        <v>188.89999999999998</v>
      </c>
      <c r="E26" s="68">
        <v>182.8</v>
      </c>
      <c r="F26" s="68">
        <v>192.00000000000006</v>
      </c>
      <c r="G26" s="44"/>
      <c r="H26" s="44"/>
      <c r="I26" s="44"/>
      <c r="J26" s="44"/>
      <c r="K26" s="44"/>
      <c r="L26" s="44"/>
      <c r="M26" s="44"/>
      <c r="N26" s="44"/>
    </row>
    <row r="27" spans="1:14" ht="26.1" customHeight="1">
      <c r="A27" s="55" t="s">
        <v>154</v>
      </c>
      <c r="B27" s="56" t="s">
        <v>155</v>
      </c>
      <c r="C27" s="67">
        <v>48.7</v>
      </c>
      <c r="D27" s="67">
        <v>70.699999999999989</v>
      </c>
      <c r="E27" s="67">
        <v>64.600000000000023</v>
      </c>
      <c r="F27" s="67">
        <v>66.699999999999989</v>
      </c>
      <c r="G27" s="44"/>
      <c r="H27" s="44"/>
      <c r="I27" s="44"/>
      <c r="J27" s="44"/>
      <c r="K27" s="44"/>
      <c r="L27" s="44"/>
      <c r="M27" s="44"/>
      <c r="N27" s="44"/>
    </row>
    <row r="28" spans="1:14" ht="26.1" customHeight="1">
      <c r="A28" s="55" t="s">
        <v>156</v>
      </c>
      <c r="B28" s="56" t="s">
        <v>157</v>
      </c>
      <c r="C28" s="67">
        <v>208.4</v>
      </c>
      <c r="D28" s="67">
        <v>281.20000000000005</v>
      </c>
      <c r="E28" s="67">
        <v>195.5</v>
      </c>
      <c r="F28" s="67">
        <v>335.29999999999995</v>
      </c>
      <c r="G28" s="44"/>
      <c r="H28" s="44"/>
      <c r="I28" s="44"/>
      <c r="J28" s="44"/>
      <c r="K28" s="44"/>
      <c r="L28" s="44"/>
      <c r="M28" s="44"/>
      <c r="N28" s="44"/>
    </row>
    <row r="29" spans="1:14" ht="26.1" customHeight="1">
      <c r="A29" s="55" t="s">
        <v>158</v>
      </c>
      <c r="B29" s="56" t="s">
        <v>159</v>
      </c>
      <c r="C29" s="67">
        <v>77.900000000000006</v>
      </c>
      <c r="D29" s="67">
        <v>87.5</v>
      </c>
      <c r="E29" s="67">
        <v>81.299999999999983</v>
      </c>
      <c r="F29" s="67">
        <v>84.800000000000011</v>
      </c>
      <c r="G29" s="44"/>
      <c r="H29" s="44"/>
      <c r="I29" s="44"/>
      <c r="J29" s="44"/>
      <c r="K29" s="44"/>
      <c r="L29" s="44"/>
      <c r="M29" s="44"/>
      <c r="N29" s="44"/>
    </row>
    <row r="30" spans="1:14" ht="26.1" customHeight="1">
      <c r="A30" s="55" t="s">
        <v>160</v>
      </c>
      <c r="B30" s="56" t="s">
        <v>161</v>
      </c>
      <c r="C30" s="67">
        <v>117.8</v>
      </c>
      <c r="D30" s="67">
        <v>204.59999999999997</v>
      </c>
      <c r="E30" s="67">
        <v>93.400000000000034</v>
      </c>
      <c r="F30" s="67">
        <v>93.099999999999966</v>
      </c>
      <c r="G30" s="44"/>
      <c r="H30" s="44"/>
      <c r="I30" s="44"/>
      <c r="J30" s="44"/>
      <c r="K30" s="44"/>
      <c r="L30" s="44"/>
      <c r="M30" s="44"/>
      <c r="N30" s="44"/>
    </row>
    <row r="31" spans="1:14" ht="26.1" customHeight="1">
      <c r="A31" s="55" t="s">
        <v>162</v>
      </c>
      <c r="B31" s="56" t="s">
        <v>163</v>
      </c>
      <c r="C31" s="67">
        <v>46.6</v>
      </c>
      <c r="D31" s="67">
        <v>42.499999999999993</v>
      </c>
      <c r="E31" s="67">
        <v>36.6</v>
      </c>
      <c r="F31" s="67">
        <v>58.4</v>
      </c>
      <c r="G31" s="44"/>
      <c r="H31" s="44"/>
      <c r="I31" s="44"/>
      <c r="J31" s="44"/>
      <c r="K31" s="44"/>
      <c r="L31" s="44"/>
      <c r="M31" s="44"/>
      <c r="N31" s="44"/>
    </row>
    <row r="32" spans="1:14" ht="26.1" customHeight="1">
      <c r="A32" s="55" t="s">
        <v>164</v>
      </c>
      <c r="B32" s="56" t="s">
        <v>165</v>
      </c>
      <c r="C32" s="67">
        <v>111.4</v>
      </c>
      <c r="D32" s="67">
        <v>102.19999999999999</v>
      </c>
      <c r="E32" s="67">
        <v>98.000000000000028</v>
      </c>
      <c r="F32" s="67">
        <v>88.000000000000028</v>
      </c>
      <c r="G32" s="44"/>
      <c r="H32" s="44"/>
      <c r="I32" s="44"/>
      <c r="J32" s="44"/>
      <c r="K32" s="44"/>
      <c r="L32" s="44"/>
      <c r="M32" s="44"/>
      <c r="N32" s="44"/>
    </row>
    <row r="33" spans="1:14" ht="26.1" customHeight="1">
      <c r="A33" s="55" t="s">
        <v>166</v>
      </c>
      <c r="B33" s="56" t="s">
        <v>167</v>
      </c>
      <c r="C33" s="67">
        <v>46.699999999999996</v>
      </c>
      <c r="D33" s="67">
        <v>15.5</v>
      </c>
      <c r="E33" s="67">
        <v>41.300000000000004</v>
      </c>
      <c r="F33" s="67">
        <v>12.000000000000007</v>
      </c>
      <c r="G33" s="44"/>
      <c r="H33" s="44"/>
      <c r="I33" s="44"/>
      <c r="J33" s="44"/>
      <c r="K33" s="44"/>
      <c r="L33" s="44"/>
      <c r="M33" s="44"/>
      <c r="N33" s="44"/>
    </row>
    <row r="34" spans="1:14" ht="26.1" customHeight="1">
      <c r="A34" s="55" t="s">
        <v>168</v>
      </c>
      <c r="B34" s="56" t="s">
        <v>169</v>
      </c>
      <c r="C34" s="67">
        <v>14.6</v>
      </c>
      <c r="D34" s="67">
        <v>30.299999999999997</v>
      </c>
      <c r="E34" s="67">
        <v>27.300000000000004</v>
      </c>
      <c r="F34" s="67">
        <v>17.100000000000001</v>
      </c>
      <c r="G34" s="44"/>
      <c r="H34" s="44"/>
      <c r="I34" s="44"/>
      <c r="J34" s="44"/>
      <c r="K34" s="44"/>
      <c r="L34" s="44"/>
      <c r="M34" s="44"/>
      <c r="N34" s="44"/>
    </row>
    <row r="35" spans="1:14" ht="26.1" customHeight="1">
      <c r="A35" s="55" t="s">
        <v>170</v>
      </c>
      <c r="B35" s="56" t="s">
        <v>171</v>
      </c>
      <c r="C35" s="67">
        <v>46.5</v>
      </c>
      <c r="D35" s="67">
        <v>60.099999999999994</v>
      </c>
      <c r="E35" s="67">
        <v>58.599999999999994</v>
      </c>
      <c r="F35" s="67">
        <v>54.599999999999994</v>
      </c>
      <c r="G35" s="44"/>
      <c r="H35" s="44"/>
      <c r="I35" s="44"/>
      <c r="J35" s="44"/>
      <c r="K35" s="44"/>
      <c r="L35" s="44"/>
      <c r="M35" s="44"/>
      <c r="N35" s="44"/>
    </row>
    <row r="36" spans="1:14" ht="26.1" customHeight="1">
      <c r="A36" s="55" t="s">
        <v>172</v>
      </c>
      <c r="B36" s="56" t="s">
        <v>173</v>
      </c>
      <c r="C36" s="67">
        <v>73.2</v>
      </c>
      <c r="D36" s="67">
        <v>69.7</v>
      </c>
      <c r="E36" s="67">
        <v>53.799999999999983</v>
      </c>
      <c r="F36" s="67">
        <v>73.500000000000014</v>
      </c>
      <c r="G36" s="44"/>
      <c r="H36" s="44"/>
      <c r="I36" s="44"/>
      <c r="J36" s="44"/>
      <c r="K36" s="44"/>
      <c r="L36" s="44"/>
      <c r="M36" s="44"/>
      <c r="N36" s="44"/>
    </row>
    <row r="37" spans="1:14" ht="26.1" customHeight="1">
      <c r="A37" s="55" t="s">
        <v>174</v>
      </c>
      <c r="B37" s="56" t="s">
        <v>175</v>
      </c>
      <c r="C37" s="67">
        <v>71</v>
      </c>
      <c r="D37" s="67">
        <v>85.699999999999989</v>
      </c>
      <c r="E37" s="67">
        <v>57.900000000000006</v>
      </c>
      <c r="F37" s="67">
        <v>66.900000000000006</v>
      </c>
      <c r="G37" s="44"/>
      <c r="H37" s="44"/>
      <c r="I37" s="44"/>
      <c r="J37" s="44"/>
      <c r="K37" s="44"/>
      <c r="L37" s="44"/>
      <c r="M37" s="44"/>
      <c r="N37" s="44"/>
    </row>
    <row r="38" spans="1:14" ht="26.1" customHeight="1">
      <c r="A38" s="58" t="s">
        <v>72</v>
      </c>
      <c r="B38" s="59" t="s">
        <v>73</v>
      </c>
      <c r="C38" s="69">
        <v>0.3</v>
      </c>
      <c r="D38" s="69">
        <v>0.1</v>
      </c>
      <c r="E38" s="69">
        <v>0.5</v>
      </c>
      <c r="F38" s="69">
        <v>0</v>
      </c>
      <c r="G38" s="44"/>
      <c r="H38" s="44"/>
      <c r="I38" s="44"/>
      <c r="J38" s="44"/>
      <c r="K38" s="44"/>
      <c r="L38" s="44"/>
      <c r="M38" s="44"/>
      <c r="N38" s="44"/>
    </row>
    <row r="39" spans="1:14" ht="26.1" customHeight="1">
      <c r="A39" s="63" t="s">
        <v>176</v>
      </c>
      <c r="B39" s="73" t="s">
        <v>75</v>
      </c>
      <c r="C39" s="72"/>
      <c r="D39" s="72"/>
      <c r="F39" s="72"/>
      <c r="G39" s="44"/>
      <c r="H39" s="44"/>
      <c r="I39" s="44"/>
      <c r="J39" s="44"/>
      <c r="K39" s="44"/>
      <c r="L39" s="44"/>
      <c r="M39" s="44"/>
      <c r="N39" s="44"/>
    </row>
    <row r="40" spans="1:14" ht="26.1" customHeight="1">
      <c r="A40" s="63" t="s">
        <v>181</v>
      </c>
      <c r="B40" s="73" t="s">
        <v>77</v>
      </c>
      <c r="C40" s="64"/>
      <c r="D40" s="64"/>
      <c r="F40" s="62"/>
      <c r="G40" s="44"/>
      <c r="H40" s="44"/>
      <c r="I40" s="44"/>
      <c r="J40" s="44"/>
      <c r="K40" s="44"/>
      <c r="L40" s="44"/>
      <c r="M40" s="44"/>
      <c r="N40" s="44"/>
    </row>
    <row r="41" spans="1:14" ht="26.1" customHeight="1">
      <c r="A41" s="63" t="s">
        <v>78</v>
      </c>
      <c r="B41" s="73" t="s">
        <v>79</v>
      </c>
      <c r="C41" s="61"/>
      <c r="D41" s="61"/>
      <c r="F41" s="62"/>
      <c r="G41" s="44"/>
      <c r="H41" s="44"/>
      <c r="I41" s="44"/>
      <c r="J41" s="44"/>
      <c r="K41" s="44"/>
      <c r="L41" s="44"/>
      <c r="M41" s="44"/>
      <c r="N41" s="44"/>
    </row>
    <row r="42" spans="1:14" ht="26.1" customHeight="1"/>
    <row r="43" spans="1:14" ht="26.1" customHeight="1"/>
    <row r="44" spans="1:14" ht="26.1" customHeight="1"/>
    <row r="45" spans="1:14" ht="26.1" customHeight="1"/>
    <row r="46" spans="1:14" ht="26.1" customHeight="1"/>
    <row r="47" spans="1:14" ht="26.1" customHeight="1"/>
    <row r="48" spans="1:14" ht="26.1" customHeight="1"/>
    <row r="49" ht="26.1" customHeight="1"/>
    <row r="50" ht="26.1" customHeight="1"/>
    <row r="51" ht="26.1" customHeight="1"/>
    <row r="52" ht="26.1" customHeight="1"/>
    <row r="53" ht="26.1" customHeight="1"/>
    <row r="54" ht="26.1" customHeight="1"/>
    <row r="55" ht="26.1" customHeight="1"/>
    <row r="56" ht="26.1" customHeight="1"/>
    <row r="57" ht="26.1" customHeight="1"/>
    <row r="58" ht="26.1" customHeight="1"/>
    <row r="59" ht="26.1" customHeight="1"/>
    <row r="60" ht="26.1" customHeight="1"/>
    <row r="61" ht="26.1" customHeight="1"/>
    <row r="62" ht="26.1" customHeight="1"/>
    <row r="63" ht="26.1" customHeight="1"/>
    <row r="64" ht="26.1" customHeight="1"/>
    <row r="65" ht="26.1" customHeight="1"/>
    <row r="66" ht="26.1" customHeight="1"/>
    <row r="67" ht="26.1" customHeight="1"/>
    <row r="68" ht="26.1" customHeight="1"/>
    <row r="69" ht="26.1" customHeight="1"/>
    <row r="70" ht="26.1" customHeight="1"/>
    <row r="71" ht="26.1" customHeight="1"/>
  </sheetData>
  <mergeCells count="7">
    <mergeCell ref="F5:F6"/>
    <mergeCell ref="A2:F2"/>
    <mergeCell ref="E5:E6"/>
    <mergeCell ref="A4:A6"/>
    <mergeCell ref="B4:B6"/>
    <mergeCell ref="C5:C6"/>
    <mergeCell ref="D5:D6"/>
  </mergeCells>
  <pageMargins left="0.31496062992125984" right="0.31496062992125984" top="0.74803149606299213" bottom="0.74803149606299213" header="0.31496062992125984" footer="0.31496062992125984"/>
  <pageSetup paperSize="8" scale="74" fitToWidth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O71"/>
  <sheetViews>
    <sheetView view="pageBreakPreview" topLeftCell="A28" zoomScale="75" zoomScaleNormal="100" zoomScaleSheetLayoutView="75" workbookViewId="0">
      <selection activeCell="G7" sqref="G7"/>
    </sheetView>
  </sheetViews>
  <sheetFormatPr defaultRowHeight="12.75"/>
  <cols>
    <col min="1" max="1" width="60.85546875" customWidth="1"/>
    <col min="2" max="2" width="75.28515625" customWidth="1"/>
    <col min="3" max="3" width="26.28515625" customWidth="1"/>
    <col min="4" max="5" width="25.5703125" customWidth="1"/>
    <col min="6" max="6" width="24.140625" customWidth="1"/>
    <col min="7" max="7" width="11" customWidth="1"/>
  </cols>
  <sheetData>
    <row r="2" spans="1:15" ht="20.25" customHeight="1">
      <c r="A2" s="99" t="s">
        <v>0</v>
      </c>
      <c r="B2" s="99"/>
      <c r="C2" s="99"/>
      <c r="D2" s="99"/>
      <c r="E2" s="99"/>
      <c r="F2" s="99"/>
    </row>
    <row r="3" spans="1:15" ht="26.25">
      <c r="A3" s="6"/>
      <c r="B3" s="4"/>
      <c r="F3" s="71" t="s">
        <v>1</v>
      </c>
    </row>
    <row r="4" spans="1:15" ht="20.25">
      <c r="A4" s="97" t="s">
        <v>7</v>
      </c>
      <c r="B4" s="93" t="s">
        <v>2</v>
      </c>
      <c r="C4" s="46" t="s">
        <v>3</v>
      </c>
      <c r="D4" s="46" t="s">
        <v>4</v>
      </c>
      <c r="E4" s="46" t="s">
        <v>5</v>
      </c>
      <c r="F4" s="46" t="s">
        <v>6</v>
      </c>
    </row>
    <row r="5" spans="1:15" ht="13.15" customHeight="1">
      <c r="A5" s="91"/>
      <c r="B5" s="94"/>
      <c r="C5" s="89" t="s">
        <v>197</v>
      </c>
      <c r="D5" s="89" t="s">
        <v>198</v>
      </c>
      <c r="E5" s="89" t="s">
        <v>199</v>
      </c>
      <c r="F5" s="96" t="s">
        <v>200</v>
      </c>
    </row>
    <row r="6" spans="1:15" ht="13.15" customHeight="1">
      <c r="A6" s="98"/>
      <c r="B6" s="95"/>
      <c r="C6" s="90"/>
      <c r="D6" s="90"/>
      <c r="E6" s="90"/>
      <c r="F6" s="90"/>
    </row>
    <row r="7" spans="1:15" ht="26.1" customHeight="1">
      <c r="A7" s="52" t="s">
        <v>126</v>
      </c>
      <c r="B7" s="53" t="s">
        <v>13</v>
      </c>
      <c r="C7" s="65">
        <v>7120.8</v>
      </c>
      <c r="D7" s="74">
        <v>7130.2</v>
      </c>
      <c r="E7" s="74">
        <v>6702.5999999999976</v>
      </c>
      <c r="F7" s="65">
        <v>5422.4000000000015</v>
      </c>
      <c r="G7" s="44"/>
      <c r="H7" s="44"/>
      <c r="I7" s="44"/>
      <c r="L7" s="44"/>
      <c r="M7" s="44"/>
      <c r="N7" s="44"/>
      <c r="O7" s="44"/>
    </row>
    <row r="8" spans="1:15" ht="26.1" customHeight="1">
      <c r="A8" s="51" t="s">
        <v>14</v>
      </c>
      <c r="B8" s="54" t="s">
        <v>15</v>
      </c>
      <c r="C8" s="66">
        <v>2485.6</v>
      </c>
      <c r="D8" s="75">
        <v>2652.4</v>
      </c>
      <c r="E8" s="75">
        <v>2307.9</v>
      </c>
      <c r="F8" s="66">
        <v>1176.3000000000011</v>
      </c>
      <c r="G8" s="44"/>
      <c r="H8" s="44"/>
      <c r="I8" s="44"/>
      <c r="L8" s="44"/>
      <c r="M8" s="44"/>
      <c r="N8" s="44"/>
      <c r="O8" s="44"/>
    </row>
    <row r="9" spans="1:15" ht="26.1" customHeight="1">
      <c r="A9" s="55" t="s">
        <v>16</v>
      </c>
      <c r="B9" s="56" t="s">
        <v>17</v>
      </c>
      <c r="C9" s="67">
        <v>1064.9000000000001</v>
      </c>
      <c r="D9" s="76">
        <v>1037.2999999999997</v>
      </c>
      <c r="E9" s="76">
        <v>699.90000000000009</v>
      </c>
      <c r="F9" s="67">
        <v>442.90000000000009</v>
      </c>
      <c r="G9" s="44"/>
      <c r="H9" s="44"/>
      <c r="I9" s="44"/>
      <c r="L9" s="44"/>
      <c r="M9" s="44"/>
      <c r="N9" s="44"/>
      <c r="O9" s="44"/>
    </row>
    <row r="10" spans="1:15" ht="26.1" customHeight="1">
      <c r="A10" s="55" t="s">
        <v>127</v>
      </c>
      <c r="B10" s="56" t="s">
        <v>180</v>
      </c>
      <c r="C10" s="67">
        <v>1373.4</v>
      </c>
      <c r="D10" s="76">
        <v>1569.2999999999997</v>
      </c>
      <c r="E10" s="76">
        <v>1582.1000000000004</v>
      </c>
      <c r="F10" s="67">
        <v>710.1</v>
      </c>
      <c r="G10" s="44"/>
      <c r="H10" s="44"/>
      <c r="I10" s="44"/>
      <c r="L10" s="44"/>
      <c r="M10" s="44"/>
      <c r="N10" s="44"/>
      <c r="O10" s="44"/>
    </row>
    <row r="11" spans="1:15" ht="26.1" customHeight="1">
      <c r="A11" s="51" t="s">
        <v>129</v>
      </c>
      <c r="B11" s="54" t="s">
        <v>23</v>
      </c>
      <c r="C11" s="66">
        <v>614.29999999999995</v>
      </c>
      <c r="D11" s="75">
        <v>540.80000000000018</v>
      </c>
      <c r="E11" s="75">
        <v>734.99999999999977</v>
      </c>
      <c r="F11" s="66">
        <v>813.70000000000027</v>
      </c>
      <c r="G11" s="44"/>
      <c r="H11" s="44"/>
      <c r="I11" s="44"/>
      <c r="L11" s="44"/>
      <c r="M11" s="44"/>
      <c r="N11" s="44"/>
      <c r="O11" s="44"/>
    </row>
    <row r="12" spans="1:15" ht="26.1" customHeight="1">
      <c r="A12" s="55" t="s">
        <v>130</v>
      </c>
      <c r="B12" s="57" t="s">
        <v>131</v>
      </c>
      <c r="C12" s="68">
        <v>129.69999999999999</v>
      </c>
      <c r="D12" s="77">
        <v>117.9</v>
      </c>
      <c r="E12" s="77">
        <v>164.60000000000008</v>
      </c>
      <c r="F12" s="68">
        <v>152.60000000000002</v>
      </c>
      <c r="G12" s="44"/>
      <c r="H12" s="44"/>
      <c r="I12" s="44"/>
      <c r="L12" s="44"/>
      <c r="M12" s="44"/>
      <c r="N12" s="44"/>
      <c r="O12" s="44"/>
    </row>
    <row r="13" spans="1:15" ht="26.1" customHeight="1">
      <c r="A13" s="55" t="s">
        <v>132</v>
      </c>
      <c r="B13" s="57" t="s">
        <v>133</v>
      </c>
      <c r="C13" s="68">
        <v>125.6</v>
      </c>
      <c r="D13" s="77">
        <v>91.4</v>
      </c>
      <c r="E13" s="77">
        <v>145.4</v>
      </c>
      <c r="F13" s="68">
        <v>153.00000000000011</v>
      </c>
      <c r="G13" s="44"/>
      <c r="H13" s="44"/>
      <c r="I13" s="44"/>
      <c r="L13" s="44"/>
      <c r="M13" s="44"/>
      <c r="N13" s="44"/>
      <c r="O13" s="44"/>
    </row>
    <row r="14" spans="1:15" ht="26.1" customHeight="1">
      <c r="A14" s="55" t="s">
        <v>134</v>
      </c>
      <c r="B14" s="56" t="s">
        <v>135</v>
      </c>
      <c r="C14" s="68">
        <v>90.8</v>
      </c>
      <c r="D14" s="77">
        <v>57.499999999999986</v>
      </c>
      <c r="E14" s="77">
        <v>91.100000000000037</v>
      </c>
      <c r="F14" s="68">
        <v>125.29999999999995</v>
      </c>
      <c r="G14" s="44"/>
      <c r="H14" s="44"/>
      <c r="I14" s="44"/>
      <c r="L14" s="44"/>
      <c r="M14" s="44"/>
      <c r="N14" s="44"/>
      <c r="O14" s="44"/>
    </row>
    <row r="15" spans="1:15" ht="26.1" customHeight="1">
      <c r="A15" s="55" t="s">
        <v>136</v>
      </c>
      <c r="B15" s="56" t="s">
        <v>137</v>
      </c>
      <c r="C15" s="68">
        <v>21.1</v>
      </c>
      <c r="D15" s="77">
        <v>21.299999999999997</v>
      </c>
      <c r="E15" s="77">
        <v>27.500000000000007</v>
      </c>
      <c r="F15" s="68">
        <v>21.899999999999991</v>
      </c>
      <c r="G15" s="44"/>
      <c r="H15" s="44"/>
      <c r="I15" s="44"/>
      <c r="L15" s="44"/>
      <c r="M15" s="44"/>
      <c r="N15" s="44"/>
      <c r="O15" s="44"/>
    </row>
    <row r="16" spans="1:15" ht="26.1" customHeight="1">
      <c r="A16" s="51" t="s">
        <v>38</v>
      </c>
      <c r="B16" s="54" t="s">
        <v>39</v>
      </c>
      <c r="C16" s="66">
        <v>1247.0999999999999</v>
      </c>
      <c r="D16" s="75">
        <v>1186.0000000000005</v>
      </c>
      <c r="E16" s="75">
        <v>1366.6</v>
      </c>
      <c r="F16" s="66">
        <v>1440.2999999999997</v>
      </c>
      <c r="G16" s="44"/>
      <c r="H16" s="44"/>
      <c r="I16" s="44"/>
      <c r="L16" s="44"/>
      <c r="M16" s="44"/>
      <c r="N16" s="44"/>
      <c r="O16" s="44"/>
    </row>
    <row r="17" spans="1:15" ht="26.1" customHeight="1">
      <c r="A17" s="55" t="s">
        <v>138</v>
      </c>
      <c r="B17" s="57" t="s">
        <v>139</v>
      </c>
      <c r="C17" s="67">
        <v>579</v>
      </c>
      <c r="D17" s="76">
        <v>517.09999999999991</v>
      </c>
      <c r="E17" s="76">
        <v>769.20000000000027</v>
      </c>
      <c r="F17" s="67">
        <v>921.59999999999991</v>
      </c>
      <c r="G17" s="44"/>
      <c r="H17" s="44"/>
      <c r="I17" s="44"/>
      <c r="L17" s="44"/>
      <c r="M17" s="44"/>
      <c r="N17" s="44"/>
      <c r="O17" s="44"/>
    </row>
    <row r="18" spans="1:15" ht="26.1" customHeight="1">
      <c r="A18" s="55" t="s">
        <v>140</v>
      </c>
      <c r="B18" s="56" t="s">
        <v>141</v>
      </c>
      <c r="C18" s="67">
        <v>167.3</v>
      </c>
      <c r="D18" s="76">
        <v>142.89999999999998</v>
      </c>
      <c r="E18" s="76">
        <v>115.90000000000003</v>
      </c>
      <c r="F18" s="67">
        <v>73.699999999999989</v>
      </c>
      <c r="G18" s="44"/>
      <c r="H18" s="44"/>
      <c r="I18" s="44"/>
      <c r="L18" s="44"/>
      <c r="M18" s="44"/>
      <c r="N18" s="44"/>
      <c r="O18" s="44"/>
    </row>
    <row r="19" spans="1:15" ht="26.1" customHeight="1">
      <c r="A19" s="55" t="s">
        <v>142</v>
      </c>
      <c r="B19" s="56" t="s">
        <v>143</v>
      </c>
      <c r="C19" s="67">
        <v>240.5</v>
      </c>
      <c r="D19" s="76">
        <v>208.60000000000002</v>
      </c>
      <c r="E19" s="76">
        <v>220.19999999999993</v>
      </c>
      <c r="F19" s="67">
        <v>197.39999999999998</v>
      </c>
      <c r="G19" s="44"/>
      <c r="H19" s="44"/>
      <c r="I19" s="44"/>
      <c r="L19" s="44"/>
      <c r="M19" s="44"/>
      <c r="N19" s="44"/>
      <c r="O19" s="44"/>
    </row>
    <row r="20" spans="1:15" ht="26.1" customHeight="1">
      <c r="A20" s="55" t="s">
        <v>144</v>
      </c>
      <c r="B20" s="56" t="s">
        <v>145</v>
      </c>
      <c r="C20" s="67">
        <v>36.700000000000003</v>
      </c>
      <c r="D20" s="76">
        <v>75.3</v>
      </c>
      <c r="E20" s="76">
        <v>56.099999999999994</v>
      </c>
      <c r="F20" s="67">
        <v>32.300000000000011</v>
      </c>
      <c r="G20" s="44"/>
      <c r="H20" s="44"/>
      <c r="I20" s="44"/>
      <c r="L20" s="44"/>
      <c r="M20" s="44"/>
      <c r="N20" s="44"/>
      <c r="O20" s="44"/>
    </row>
    <row r="21" spans="1:15" ht="26.1" customHeight="1">
      <c r="A21" s="55" t="s">
        <v>146</v>
      </c>
      <c r="B21" s="56" t="s">
        <v>147</v>
      </c>
      <c r="C21" s="68">
        <v>3.8</v>
      </c>
      <c r="D21" s="77">
        <v>2.1000000000000005</v>
      </c>
      <c r="E21" s="77">
        <v>3.6999999999999993</v>
      </c>
      <c r="F21" s="68">
        <v>1.9000000000000004</v>
      </c>
      <c r="G21" s="44"/>
      <c r="H21" s="44"/>
      <c r="I21" s="44"/>
      <c r="L21" s="44"/>
      <c r="M21" s="44"/>
      <c r="N21" s="44"/>
      <c r="O21" s="44"/>
    </row>
    <row r="22" spans="1:15" ht="26.1" customHeight="1">
      <c r="A22" s="55" t="s">
        <v>148</v>
      </c>
      <c r="B22" s="56" t="s">
        <v>149</v>
      </c>
      <c r="C22" s="68">
        <v>54.9</v>
      </c>
      <c r="D22" s="77">
        <v>63.499999999999993</v>
      </c>
      <c r="E22" s="77">
        <v>40.699999999999996</v>
      </c>
      <c r="F22" s="68">
        <v>43.700000000000017</v>
      </c>
      <c r="G22" s="44"/>
      <c r="H22" s="44"/>
      <c r="I22" s="44"/>
      <c r="L22" s="44"/>
      <c r="M22" s="44"/>
      <c r="N22" s="44"/>
      <c r="O22" s="44"/>
    </row>
    <row r="23" spans="1:15" ht="26.1" customHeight="1">
      <c r="A23" s="51" t="s">
        <v>50</v>
      </c>
      <c r="B23" s="54" t="s">
        <v>51</v>
      </c>
      <c r="C23" s="66">
        <v>2773.6</v>
      </c>
      <c r="D23" s="75">
        <v>2750.7000000000003</v>
      </c>
      <c r="E23" s="75">
        <v>2292.599999999999</v>
      </c>
      <c r="F23" s="66">
        <v>1991.8999999999996</v>
      </c>
      <c r="G23" s="44"/>
      <c r="H23" s="44"/>
      <c r="I23" s="44"/>
      <c r="L23" s="44"/>
      <c r="M23" s="44"/>
      <c r="N23" s="44"/>
      <c r="O23" s="44"/>
    </row>
    <row r="24" spans="1:15" ht="26.1" customHeight="1">
      <c r="A24" s="55" t="s">
        <v>150</v>
      </c>
      <c r="B24" s="57" t="s">
        <v>151</v>
      </c>
      <c r="C24" s="68">
        <v>264.7</v>
      </c>
      <c r="D24" s="77">
        <v>269.2</v>
      </c>
      <c r="E24" s="77">
        <v>204.20000000000005</v>
      </c>
      <c r="F24" s="68">
        <v>110.19999999999993</v>
      </c>
      <c r="G24" s="44"/>
      <c r="H24" s="44"/>
      <c r="I24" s="44"/>
      <c r="L24" s="44"/>
      <c r="M24" s="44"/>
      <c r="N24" s="44"/>
      <c r="O24" s="44"/>
    </row>
    <row r="25" spans="1:15" ht="26.1" customHeight="1">
      <c r="A25" s="55" t="s">
        <v>152</v>
      </c>
      <c r="B25" s="57" t="s">
        <v>153</v>
      </c>
      <c r="C25" s="68">
        <v>147.4</v>
      </c>
      <c r="D25" s="77">
        <v>57.399999999999977</v>
      </c>
      <c r="E25" s="77">
        <v>126.4</v>
      </c>
      <c r="F25" s="68">
        <v>146.69999999999999</v>
      </c>
      <c r="G25" s="44"/>
      <c r="H25" s="44"/>
      <c r="I25" s="44"/>
      <c r="L25" s="44"/>
      <c r="M25" s="44"/>
      <c r="N25" s="44"/>
      <c r="O25" s="44"/>
    </row>
    <row r="26" spans="1:15" ht="26.1" customHeight="1">
      <c r="A26" s="55" t="s">
        <v>68</v>
      </c>
      <c r="B26" s="57" t="s">
        <v>69</v>
      </c>
      <c r="C26" s="68">
        <v>200.7</v>
      </c>
      <c r="D26" s="77">
        <v>246.70000000000005</v>
      </c>
      <c r="E26" s="77">
        <v>214.8</v>
      </c>
      <c r="F26" s="68">
        <v>130.79999999999995</v>
      </c>
      <c r="G26" s="44"/>
      <c r="H26" s="44"/>
      <c r="I26" s="44"/>
      <c r="L26" s="44"/>
      <c r="M26" s="44"/>
      <c r="N26" s="44"/>
      <c r="O26" s="44"/>
    </row>
    <row r="27" spans="1:15" ht="26.1" customHeight="1">
      <c r="A27" s="55" t="s">
        <v>154</v>
      </c>
      <c r="B27" s="56" t="s">
        <v>155</v>
      </c>
      <c r="C27" s="67">
        <v>53.1</v>
      </c>
      <c r="D27" s="76">
        <v>67.400000000000006</v>
      </c>
      <c r="E27" s="76">
        <v>45.099999999999987</v>
      </c>
      <c r="F27" s="67">
        <v>46.5</v>
      </c>
      <c r="G27" s="44"/>
      <c r="H27" s="44"/>
      <c r="I27" s="44"/>
      <c r="L27" s="44"/>
      <c r="M27" s="44"/>
      <c r="N27" s="44"/>
      <c r="O27" s="44"/>
    </row>
    <row r="28" spans="1:15" ht="26.1" customHeight="1">
      <c r="A28" s="55" t="s">
        <v>156</v>
      </c>
      <c r="B28" s="56" t="s">
        <v>157</v>
      </c>
      <c r="C28" s="67">
        <v>257.7</v>
      </c>
      <c r="D28" s="76">
        <v>272.09999999999997</v>
      </c>
      <c r="E28" s="76">
        <v>211.80000000000007</v>
      </c>
      <c r="F28" s="67">
        <v>225.20000000000005</v>
      </c>
      <c r="G28" s="44"/>
      <c r="H28" s="44"/>
      <c r="I28" s="44"/>
      <c r="L28" s="44"/>
      <c r="M28" s="44"/>
      <c r="N28" s="44"/>
      <c r="O28" s="44"/>
    </row>
    <row r="29" spans="1:15" ht="26.1" customHeight="1">
      <c r="A29" s="55" t="s">
        <v>158</v>
      </c>
      <c r="B29" s="56" t="s">
        <v>159</v>
      </c>
      <c r="C29" s="67">
        <v>188.7</v>
      </c>
      <c r="D29" s="76">
        <v>122.5</v>
      </c>
      <c r="E29" s="76">
        <v>108.39999999999998</v>
      </c>
      <c r="F29" s="67">
        <v>80.100000000000023</v>
      </c>
      <c r="G29" s="44"/>
      <c r="H29" s="44"/>
      <c r="I29" s="44"/>
      <c r="L29" s="44"/>
      <c r="M29" s="44"/>
      <c r="N29" s="44"/>
      <c r="O29" s="44"/>
    </row>
    <row r="30" spans="1:15" ht="26.1" customHeight="1">
      <c r="A30" s="55" t="s">
        <v>160</v>
      </c>
      <c r="B30" s="56" t="s">
        <v>161</v>
      </c>
      <c r="C30" s="67">
        <v>103.3</v>
      </c>
      <c r="D30" s="76">
        <v>85.100000000000009</v>
      </c>
      <c r="E30" s="76">
        <v>69.899999999999991</v>
      </c>
      <c r="F30" s="67">
        <v>61.300000000000011</v>
      </c>
      <c r="G30" s="44"/>
      <c r="H30" s="44"/>
      <c r="I30" s="44"/>
      <c r="L30" s="44"/>
      <c r="M30" s="44"/>
      <c r="N30" s="44"/>
      <c r="O30" s="44"/>
    </row>
    <row r="31" spans="1:15" ht="26.1" customHeight="1">
      <c r="A31" s="55" t="s">
        <v>162</v>
      </c>
      <c r="B31" s="56" t="s">
        <v>163</v>
      </c>
      <c r="C31" s="67">
        <v>35.9</v>
      </c>
      <c r="D31" s="76">
        <v>35.79999999999999</v>
      </c>
      <c r="E31" s="76">
        <v>37.000000000000007</v>
      </c>
      <c r="F31" s="67">
        <v>54.500000000000028</v>
      </c>
      <c r="G31" s="44"/>
      <c r="H31" s="44"/>
      <c r="I31" s="44"/>
      <c r="L31" s="44"/>
      <c r="M31" s="44"/>
      <c r="N31" s="44"/>
      <c r="O31" s="44"/>
    </row>
    <row r="32" spans="1:15" ht="26.1" customHeight="1">
      <c r="A32" s="55" t="s">
        <v>164</v>
      </c>
      <c r="B32" s="56" t="s">
        <v>165</v>
      </c>
      <c r="C32" s="67">
        <v>89.9</v>
      </c>
      <c r="D32" s="76">
        <v>71.299999999999983</v>
      </c>
      <c r="E32" s="76">
        <v>83.5</v>
      </c>
      <c r="F32" s="67">
        <v>50.100000000000023</v>
      </c>
      <c r="G32" s="44"/>
      <c r="H32" s="44"/>
      <c r="I32" s="44"/>
      <c r="L32" s="44"/>
      <c r="M32" s="44"/>
      <c r="N32" s="44"/>
      <c r="O32" s="44"/>
    </row>
    <row r="33" spans="1:15" ht="26.1" customHeight="1">
      <c r="A33" s="55" t="s">
        <v>166</v>
      </c>
      <c r="B33" s="56" t="s">
        <v>167</v>
      </c>
      <c r="C33" s="67">
        <v>5.4</v>
      </c>
      <c r="D33" s="76">
        <v>4.5999999999999996</v>
      </c>
      <c r="E33" s="76">
        <v>16.600000000000001</v>
      </c>
      <c r="F33" s="67">
        <v>18</v>
      </c>
      <c r="G33" s="44"/>
      <c r="H33" s="44"/>
      <c r="I33" s="44"/>
      <c r="L33" s="44"/>
      <c r="M33" s="44"/>
      <c r="N33" s="44"/>
      <c r="O33" s="44"/>
    </row>
    <row r="34" spans="1:15" ht="26.1" customHeight="1">
      <c r="A34" s="55" t="s">
        <v>168</v>
      </c>
      <c r="B34" s="56" t="s">
        <v>169</v>
      </c>
      <c r="C34" s="67">
        <v>30.4</v>
      </c>
      <c r="D34" s="76">
        <v>9.9</v>
      </c>
      <c r="E34" s="76">
        <v>18.399999999999999</v>
      </c>
      <c r="F34" s="67">
        <v>12.899999999999991</v>
      </c>
      <c r="G34" s="44"/>
      <c r="H34" s="44"/>
      <c r="I34" s="44"/>
      <c r="L34" s="44"/>
      <c r="M34" s="44"/>
      <c r="N34" s="44"/>
      <c r="O34" s="44"/>
    </row>
    <row r="35" spans="1:15" ht="26.1" customHeight="1">
      <c r="A35" s="55" t="s">
        <v>170</v>
      </c>
      <c r="B35" s="56" t="s">
        <v>171</v>
      </c>
      <c r="C35" s="67">
        <v>56.9</v>
      </c>
      <c r="D35" s="76">
        <v>63.9</v>
      </c>
      <c r="E35" s="76">
        <v>57.1</v>
      </c>
      <c r="F35" s="67">
        <v>44.400000000000006</v>
      </c>
      <c r="G35" s="44"/>
      <c r="H35" s="44"/>
      <c r="I35" s="44"/>
      <c r="L35" s="44"/>
      <c r="M35" s="44"/>
      <c r="N35" s="44"/>
      <c r="O35" s="44"/>
    </row>
    <row r="36" spans="1:15" ht="26.1" customHeight="1">
      <c r="A36" s="55" t="s">
        <v>172</v>
      </c>
      <c r="B36" s="56" t="s">
        <v>173</v>
      </c>
      <c r="C36" s="67">
        <v>74.7</v>
      </c>
      <c r="D36" s="76">
        <v>70.90000000000002</v>
      </c>
      <c r="E36" s="76">
        <v>63.3</v>
      </c>
      <c r="F36" s="67">
        <v>64.300000000000011</v>
      </c>
      <c r="G36" s="44"/>
      <c r="H36" s="44"/>
      <c r="I36" s="44"/>
      <c r="L36" s="44"/>
      <c r="M36" s="44"/>
      <c r="N36" s="44"/>
      <c r="O36" s="44"/>
    </row>
    <row r="37" spans="1:15" ht="26.1" customHeight="1">
      <c r="A37" s="55" t="s">
        <v>174</v>
      </c>
      <c r="B37" s="56" t="s">
        <v>175</v>
      </c>
      <c r="C37" s="67">
        <v>53.2</v>
      </c>
      <c r="D37" s="76">
        <v>63.7</v>
      </c>
      <c r="E37" s="76">
        <v>51.400000000000006</v>
      </c>
      <c r="F37" s="67">
        <v>57.599999999999994</v>
      </c>
      <c r="G37" s="44"/>
      <c r="H37" s="44"/>
      <c r="I37" s="44"/>
      <c r="L37" s="44"/>
      <c r="M37" s="44"/>
      <c r="N37" s="44"/>
      <c r="O37" s="44"/>
    </row>
    <row r="38" spans="1:15" ht="26.1" customHeight="1">
      <c r="A38" s="58" t="s">
        <v>72</v>
      </c>
      <c r="B38" s="59" t="s">
        <v>73</v>
      </c>
      <c r="C38" s="69">
        <v>0.2</v>
      </c>
      <c r="D38" s="78">
        <v>0.3</v>
      </c>
      <c r="E38" s="78">
        <v>0.5</v>
      </c>
      <c r="F38" s="69">
        <v>0.2</v>
      </c>
      <c r="G38" s="44"/>
      <c r="H38" s="44"/>
      <c r="I38" s="44"/>
      <c r="L38" s="44"/>
      <c r="M38" s="44"/>
      <c r="N38" s="44"/>
      <c r="O38" s="44"/>
    </row>
    <row r="39" spans="1:15" ht="26.1" customHeight="1">
      <c r="A39" s="63" t="s">
        <v>186</v>
      </c>
      <c r="B39" s="73" t="s">
        <v>188</v>
      </c>
      <c r="C39" s="72"/>
      <c r="E39" s="44"/>
      <c r="G39" s="44"/>
      <c r="H39" s="44"/>
      <c r="I39" s="44"/>
      <c r="L39" s="44"/>
      <c r="M39" s="44"/>
      <c r="N39" s="44"/>
      <c r="O39" s="44"/>
    </row>
    <row r="40" spans="1:15" ht="26.1" customHeight="1">
      <c r="A40" s="63" t="s">
        <v>181</v>
      </c>
      <c r="B40" s="73" t="s">
        <v>77</v>
      </c>
      <c r="C40" s="64"/>
      <c r="E40" s="44"/>
      <c r="G40" s="44"/>
      <c r="H40" s="44"/>
      <c r="I40" s="44"/>
      <c r="L40" s="44"/>
      <c r="M40" s="44"/>
      <c r="N40" s="44"/>
      <c r="O40" s="44"/>
    </row>
    <row r="41" spans="1:15" ht="26.1" customHeight="1">
      <c r="A41" s="63" t="s">
        <v>187</v>
      </c>
      <c r="B41" s="73" t="s">
        <v>79</v>
      </c>
      <c r="C41" s="61"/>
      <c r="E41" s="44"/>
      <c r="G41" s="44"/>
      <c r="H41" s="44"/>
      <c r="I41" s="44"/>
      <c r="L41" s="44"/>
      <c r="M41" s="44"/>
      <c r="N41" s="44"/>
      <c r="O41" s="44"/>
    </row>
    <row r="42" spans="1:15" ht="26.1" customHeight="1"/>
    <row r="43" spans="1:15" ht="26.1" customHeight="1"/>
    <row r="44" spans="1:15" ht="26.1" customHeight="1"/>
    <row r="45" spans="1:15" ht="26.1" customHeight="1"/>
    <row r="46" spans="1:15" ht="26.1" customHeight="1"/>
    <row r="47" spans="1:15" ht="26.1" customHeight="1"/>
    <row r="48" spans="1:15" ht="26.1" customHeight="1"/>
    <row r="49" ht="26.1" customHeight="1"/>
    <row r="50" ht="26.1" customHeight="1"/>
    <row r="51" ht="26.1" customHeight="1"/>
    <row r="52" ht="26.1" customHeight="1"/>
    <row r="53" ht="26.1" customHeight="1"/>
    <row r="54" ht="26.1" customHeight="1"/>
    <row r="55" ht="26.1" customHeight="1"/>
    <row r="56" ht="26.1" customHeight="1"/>
    <row r="57" ht="26.1" customHeight="1"/>
    <row r="58" ht="26.1" customHeight="1"/>
    <row r="59" ht="26.1" customHeight="1"/>
    <row r="60" ht="26.1" customHeight="1"/>
    <row r="61" ht="26.1" customHeight="1"/>
    <row r="62" ht="26.1" customHeight="1"/>
    <row r="63" ht="26.1" customHeight="1"/>
    <row r="64" ht="26.1" customHeight="1"/>
    <row r="65" ht="26.1" customHeight="1"/>
    <row r="66" ht="26.1" customHeight="1"/>
    <row r="67" ht="26.1" customHeight="1"/>
    <row r="68" ht="26.1" customHeight="1"/>
    <row r="69" ht="26.1" customHeight="1"/>
    <row r="70" ht="26.1" customHeight="1"/>
    <row r="71" ht="26.1" customHeight="1"/>
  </sheetData>
  <mergeCells count="7">
    <mergeCell ref="F5:F6"/>
    <mergeCell ref="A2:F2"/>
    <mergeCell ref="A4:A6"/>
    <mergeCell ref="B4:B6"/>
    <mergeCell ref="C5:C6"/>
    <mergeCell ref="D5:D6"/>
    <mergeCell ref="E5:E6"/>
  </mergeCells>
  <pageMargins left="0.31496062992125984" right="0.31496062992125984" top="0.74803149606299213" bottom="0.74803149606299213" header="0.31496062992125984" footer="0.31496062992125984"/>
  <pageSetup paperSize="8" scale="74" fitToWidth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K71"/>
  <sheetViews>
    <sheetView view="pageBreakPreview" topLeftCell="A16" zoomScale="59" zoomScaleNormal="100" zoomScaleSheetLayoutView="59" workbookViewId="0">
      <selection activeCell="A40" sqref="A40:XFD40"/>
    </sheetView>
  </sheetViews>
  <sheetFormatPr defaultRowHeight="12.75"/>
  <cols>
    <col min="1" max="1" width="60.85546875" customWidth="1"/>
    <col min="2" max="2" width="75.28515625" customWidth="1"/>
    <col min="3" max="3" width="26.28515625" customWidth="1"/>
    <col min="4" max="4" width="26.5703125" customWidth="1"/>
    <col min="5" max="6" width="29" customWidth="1"/>
  </cols>
  <sheetData>
    <row r="2" spans="1:11" ht="20.25" customHeight="1">
      <c r="A2" s="99" t="s">
        <v>0</v>
      </c>
      <c r="B2" s="99"/>
      <c r="C2" s="99"/>
      <c r="D2" s="99"/>
      <c r="E2" s="99"/>
      <c r="F2" s="99"/>
    </row>
    <row r="3" spans="1:11" ht="26.25">
      <c r="A3" s="6"/>
      <c r="B3" s="4"/>
      <c r="E3" s="71"/>
      <c r="F3" s="71" t="s">
        <v>1</v>
      </c>
    </row>
    <row r="4" spans="1:11" ht="20.25">
      <c r="A4" s="97" t="s">
        <v>7</v>
      </c>
      <c r="B4" s="93" t="s">
        <v>2</v>
      </c>
      <c r="C4" s="46" t="s">
        <v>3</v>
      </c>
      <c r="D4" s="46" t="s">
        <v>4</v>
      </c>
      <c r="E4" s="46" t="s">
        <v>5</v>
      </c>
      <c r="F4" s="46" t="s">
        <v>6</v>
      </c>
    </row>
    <row r="5" spans="1:11" ht="13.15" customHeight="1">
      <c r="A5" s="91"/>
      <c r="B5" s="94"/>
      <c r="C5" s="89" t="s">
        <v>201</v>
      </c>
      <c r="D5" s="89" t="s">
        <v>202</v>
      </c>
      <c r="E5" s="89" t="s">
        <v>203</v>
      </c>
      <c r="F5" s="96" t="s">
        <v>204</v>
      </c>
    </row>
    <row r="6" spans="1:11" ht="20.25" customHeight="1">
      <c r="A6" s="98"/>
      <c r="B6" s="95"/>
      <c r="C6" s="90"/>
      <c r="D6" s="90"/>
      <c r="E6" s="90"/>
      <c r="F6" s="90"/>
    </row>
    <row r="7" spans="1:11" ht="26.1" customHeight="1">
      <c r="A7" s="52" t="s">
        <v>126</v>
      </c>
      <c r="B7" s="53" t="s">
        <v>13</v>
      </c>
      <c r="C7" s="65">
        <v>6280.6</v>
      </c>
      <c r="D7" s="65">
        <v>6643.4</v>
      </c>
      <c r="E7" s="65">
        <v>7649.5</v>
      </c>
      <c r="F7" s="65">
        <v>8103</v>
      </c>
      <c r="G7" s="44"/>
      <c r="H7" s="44"/>
      <c r="I7" s="44"/>
      <c r="J7" s="44"/>
      <c r="K7" s="44"/>
    </row>
    <row r="8" spans="1:11" ht="26.1" customHeight="1">
      <c r="A8" s="51" t="s">
        <v>14</v>
      </c>
      <c r="B8" s="54" t="s">
        <v>15</v>
      </c>
      <c r="C8" s="66">
        <v>1634.8000000000002</v>
      </c>
      <c r="D8" s="66">
        <v>2014.1999999999998</v>
      </c>
      <c r="E8" s="66">
        <v>2397.8000000000002</v>
      </c>
      <c r="F8" s="66">
        <v>2728.4000000000005</v>
      </c>
      <c r="G8" s="44"/>
      <c r="H8" s="44"/>
      <c r="I8" s="44"/>
      <c r="J8" s="44"/>
      <c r="K8" s="44"/>
    </row>
    <row r="9" spans="1:11" ht="26.1" customHeight="1">
      <c r="A9" s="55" t="s">
        <v>16</v>
      </c>
      <c r="B9" s="56" t="s">
        <v>17</v>
      </c>
      <c r="C9" s="67">
        <v>643.20000000000005</v>
      </c>
      <c r="D9" s="67">
        <v>670.39999999999986</v>
      </c>
      <c r="E9" s="67">
        <v>504.60000000000014</v>
      </c>
      <c r="F9" s="67">
        <v>859.59999999999991</v>
      </c>
      <c r="G9" s="44"/>
      <c r="H9" s="44"/>
      <c r="I9" s="44"/>
      <c r="J9" s="44"/>
      <c r="K9" s="44"/>
    </row>
    <row r="10" spans="1:11" ht="26.1" customHeight="1">
      <c r="A10" s="55" t="s">
        <v>127</v>
      </c>
      <c r="B10" s="56" t="s">
        <v>180</v>
      </c>
      <c r="C10" s="67">
        <v>956.9</v>
      </c>
      <c r="D10" s="67">
        <v>1315.9</v>
      </c>
      <c r="E10" s="67">
        <v>1840.1</v>
      </c>
      <c r="F10" s="67">
        <v>1806.5000000000005</v>
      </c>
      <c r="G10" s="44"/>
      <c r="H10" s="44"/>
      <c r="I10" s="44"/>
      <c r="J10" s="44"/>
      <c r="K10" s="44"/>
    </row>
    <row r="11" spans="1:11" ht="26.1" customHeight="1">
      <c r="A11" s="51" t="s">
        <v>129</v>
      </c>
      <c r="B11" s="54" t="s">
        <v>23</v>
      </c>
      <c r="C11" s="66">
        <v>616.69999999999993</v>
      </c>
      <c r="D11" s="66">
        <v>540.30000000000007</v>
      </c>
      <c r="E11" s="66">
        <v>932.29999999999961</v>
      </c>
      <c r="F11" s="66">
        <v>1077.7000000000003</v>
      </c>
      <c r="G11" s="44"/>
      <c r="H11" s="44"/>
      <c r="I11" s="44"/>
      <c r="J11" s="44"/>
      <c r="K11" s="44"/>
    </row>
    <row r="12" spans="1:11" ht="26.1" customHeight="1">
      <c r="A12" s="55" t="s">
        <v>130</v>
      </c>
      <c r="B12" s="57" t="s">
        <v>131</v>
      </c>
      <c r="C12" s="68">
        <v>111.1</v>
      </c>
      <c r="D12" s="68">
        <v>101.9</v>
      </c>
      <c r="E12" s="68">
        <v>143</v>
      </c>
      <c r="F12" s="68">
        <v>177.00000000000003</v>
      </c>
      <c r="G12" s="44"/>
      <c r="H12" s="44"/>
      <c r="I12" s="44"/>
      <c r="J12" s="44"/>
      <c r="K12" s="44"/>
    </row>
    <row r="13" spans="1:11" ht="26.1" customHeight="1">
      <c r="A13" s="55" t="s">
        <v>132</v>
      </c>
      <c r="B13" s="57" t="s">
        <v>133</v>
      </c>
      <c r="C13" s="68">
        <v>123.7</v>
      </c>
      <c r="D13" s="68">
        <v>81.899999999999991</v>
      </c>
      <c r="E13" s="68">
        <v>145.30000000000001</v>
      </c>
      <c r="F13" s="68">
        <v>171.39999999999998</v>
      </c>
      <c r="G13" s="44"/>
      <c r="H13" s="44"/>
      <c r="I13" s="44"/>
      <c r="J13" s="44"/>
      <c r="K13" s="44"/>
    </row>
    <row r="14" spans="1:11" ht="26.1" customHeight="1">
      <c r="A14" s="55" t="s">
        <v>134</v>
      </c>
      <c r="B14" s="56" t="s">
        <v>135</v>
      </c>
      <c r="C14" s="68">
        <v>101.6</v>
      </c>
      <c r="D14" s="68">
        <v>65.800000000000011</v>
      </c>
      <c r="E14" s="68">
        <v>98.4</v>
      </c>
      <c r="F14" s="68">
        <v>127.39999999999995</v>
      </c>
      <c r="G14" s="44"/>
      <c r="H14" s="44"/>
      <c r="I14" s="44"/>
      <c r="J14" s="44"/>
      <c r="K14" s="44"/>
    </row>
    <row r="15" spans="1:11" ht="26.1" customHeight="1">
      <c r="A15" s="55" t="s">
        <v>136</v>
      </c>
      <c r="B15" s="56" t="s">
        <v>137</v>
      </c>
      <c r="C15" s="68">
        <v>20.900000000000002</v>
      </c>
      <c r="D15" s="68">
        <v>40.599999999999994</v>
      </c>
      <c r="E15" s="68">
        <v>48.399999999999991</v>
      </c>
      <c r="F15" s="68">
        <v>59.7</v>
      </c>
      <c r="G15" s="44"/>
      <c r="H15" s="44"/>
      <c r="I15" s="44"/>
      <c r="J15" s="44"/>
      <c r="K15" s="44"/>
    </row>
    <row r="16" spans="1:11" ht="26.1" customHeight="1">
      <c r="A16" s="51" t="s">
        <v>38</v>
      </c>
      <c r="B16" s="54" t="s">
        <v>39</v>
      </c>
      <c r="C16" s="66">
        <v>1679.6000000000001</v>
      </c>
      <c r="D16" s="66">
        <v>1194.5999999999997</v>
      </c>
      <c r="E16" s="66">
        <v>1372.3000000000004</v>
      </c>
      <c r="F16" s="66">
        <v>1193.200000000001</v>
      </c>
      <c r="G16" s="44"/>
      <c r="H16" s="44"/>
      <c r="I16" s="44"/>
      <c r="J16" s="44"/>
      <c r="K16" s="44"/>
    </row>
    <row r="17" spans="1:11" ht="26.1" customHeight="1">
      <c r="A17" s="55" t="s">
        <v>138</v>
      </c>
      <c r="B17" s="57" t="s">
        <v>139</v>
      </c>
      <c r="C17" s="67">
        <v>901.80000000000007</v>
      </c>
      <c r="D17" s="67">
        <v>479.30000000000007</v>
      </c>
      <c r="E17" s="67">
        <v>368.39999999999975</v>
      </c>
      <c r="F17" s="67">
        <v>267.60000000000002</v>
      </c>
      <c r="G17" s="44"/>
      <c r="H17" s="44"/>
      <c r="I17" s="44"/>
      <c r="J17" s="44"/>
      <c r="K17" s="44"/>
    </row>
    <row r="18" spans="1:11" ht="26.1" customHeight="1">
      <c r="A18" s="55" t="s">
        <v>140</v>
      </c>
      <c r="B18" s="56" t="s">
        <v>141</v>
      </c>
      <c r="C18" s="67">
        <v>104.1</v>
      </c>
      <c r="D18" s="67">
        <v>104.69999999999999</v>
      </c>
      <c r="E18" s="67">
        <v>150.70000000000002</v>
      </c>
      <c r="F18" s="67">
        <v>143.99999999999997</v>
      </c>
      <c r="G18" s="44"/>
      <c r="H18" s="44"/>
      <c r="I18" s="44"/>
      <c r="J18" s="44"/>
      <c r="K18" s="44"/>
    </row>
    <row r="19" spans="1:11" ht="26.1" customHeight="1">
      <c r="A19" s="55" t="s">
        <v>142</v>
      </c>
      <c r="B19" s="56" t="s">
        <v>143</v>
      </c>
      <c r="C19" s="67">
        <v>260.39999999999998</v>
      </c>
      <c r="D19" s="67">
        <v>243</v>
      </c>
      <c r="E19" s="67">
        <v>335</v>
      </c>
      <c r="F19" s="67">
        <v>318.10000000000002</v>
      </c>
      <c r="G19" s="44"/>
      <c r="H19" s="44"/>
      <c r="I19" s="44"/>
      <c r="J19" s="44"/>
      <c r="K19" s="44"/>
    </row>
    <row r="20" spans="1:11" ht="26.1" customHeight="1">
      <c r="A20" s="55" t="s">
        <v>144</v>
      </c>
      <c r="B20" s="56" t="s">
        <v>145</v>
      </c>
      <c r="C20" s="67">
        <v>93.3</v>
      </c>
      <c r="D20" s="67">
        <v>65.100000000000009</v>
      </c>
      <c r="E20" s="67">
        <v>120.89999999999999</v>
      </c>
      <c r="F20" s="67">
        <v>90.2</v>
      </c>
      <c r="G20" s="44"/>
      <c r="H20" s="44"/>
      <c r="I20" s="44"/>
      <c r="J20" s="44"/>
      <c r="K20" s="44"/>
    </row>
    <row r="21" spans="1:11" ht="26.1" customHeight="1">
      <c r="A21" s="55" t="s">
        <v>146</v>
      </c>
      <c r="B21" s="56" t="s">
        <v>147</v>
      </c>
      <c r="C21" s="68">
        <v>3.5</v>
      </c>
      <c r="D21" s="68">
        <v>2.6999999999999993</v>
      </c>
      <c r="E21" s="68">
        <v>3.0999999999999996</v>
      </c>
      <c r="F21" s="68">
        <v>2.9000000000000004</v>
      </c>
      <c r="G21" s="44"/>
      <c r="H21" s="44"/>
      <c r="I21" s="44"/>
      <c r="J21" s="44"/>
      <c r="K21" s="44"/>
    </row>
    <row r="22" spans="1:11" ht="26.1" customHeight="1">
      <c r="A22" s="55" t="s">
        <v>148</v>
      </c>
      <c r="B22" s="56" t="s">
        <v>149</v>
      </c>
      <c r="C22" s="68">
        <v>85.7</v>
      </c>
      <c r="D22" s="68">
        <v>80.999999999999986</v>
      </c>
      <c r="E22" s="68">
        <v>127.89999999999996</v>
      </c>
      <c r="F22" s="68">
        <v>86.40000000000002</v>
      </c>
      <c r="G22" s="44"/>
      <c r="H22" s="44"/>
      <c r="I22" s="44"/>
      <c r="J22" s="44"/>
      <c r="K22" s="44"/>
    </row>
    <row r="23" spans="1:11" ht="26.1" customHeight="1">
      <c r="A23" s="51" t="s">
        <v>50</v>
      </c>
      <c r="B23" s="54" t="s">
        <v>51</v>
      </c>
      <c r="C23" s="66">
        <v>2349.4</v>
      </c>
      <c r="D23" s="66">
        <v>2894.2000000000003</v>
      </c>
      <c r="E23" s="66">
        <v>2946.3999999999992</v>
      </c>
      <c r="F23" s="66">
        <v>3103.1</v>
      </c>
      <c r="G23" s="44"/>
      <c r="H23" s="44"/>
      <c r="I23" s="44"/>
      <c r="J23" s="44"/>
      <c r="K23" s="44"/>
    </row>
    <row r="24" spans="1:11" ht="26.1" customHeight="1">
      <c r="A24" s="55" t="s">
        <v>150</v>
      </c>
      <c r="B24" s="57" t="s">
        <v>151</v>
      </c>
      <c r="C24" s="68">
        <v>150.10000000000002</v>
      </c>
      <c r="D24" s="68">
        <v>146.29999999999995</v>
      </c>
      <c r="E24" s="68">
        <v>177.5</v>
      </c>
      <c r="F24" s="68">
        <v>172.40000000000009</v>
      </c>
      <c r="G24" s="44"/>
      <c r="H24" s="44"/>
      <c r="I24" s="44"/>
      <c r="J24" s="44"/>
      <c r="K24" s="44"/>
    </row>
    <row r="25" spans="1:11" ht="26.1" customHeight="1">
      <c r="A25" s="55" t="s">
        <v>152</v>
      </c>
      <c r="B25" s="57" t="s">
        <v>153</v>
      </c>
      <c r="C25" s="68">
        <v>207.79999999999998</v>
      </c>
      <c r="D25" s="68">
        <v>259.29999999999995</v>
      </c>
      <c r="E25" s="68">
        <v>190.50000000000009</v>
      </c>
      <c r="F25" s="68">
        <v>197.1</v>
      </c>
      <c r="G25" s="44"/>
      <c r="H25" s="44"/>
      <c r="I25" s="44"/>
      <c r="J25" s="44"/>
      <c r="K25" s="44"/>
    </row>
    <row r="26" spans="1:11" ht="26.1" customHeight="1">
      <c r="A26" s="55" t="s">
        <v>68</v>
      </c>
      <c r="B26" s="57" t="s">
        <v>69</v>
      </c>
      <c r="C26" s="68">
        <v>195.79999999999998</v>
      </c>
      <c r="D26" s="68">
        <v>220.80000000000004</v>
      </c>
      <c r="E26" s="68">
        <v>217.70000000000002</v>
      </c>
      <c r="F26" s="68">
        <v>226.49999999999997</v>
      </c>
      <c r="G26" s="44"/>
      <c r="H26" s="44"/>
      <c r="I26" s="44"/>
      <c r="J26" s="44"/>
      <c r="K26" s="44"/>
    </row>
    <row r="27" spans="1:11" ht="26.1" customHeight="1">
      <c r="A27" s="55" t="s">
        <v>154</v>
      </c>
      <c r="B27" s="56" t="s">
        <v>155</v>
      </c>
      <c r="C27" s="67">
        <v>49.4</v>
      </c>
      <c r="D27" s="67">
        <v>58.1</v>
      </c>
      <c r="E27" s="67">
        <v>51.800000000000018</v>
      </c>
      <c r="F27" s="67">
        <v>48.199999999999996</v>
      </c>
      <c r="G27" s="44"/>
      <c r="H27" s="44"/>
      <c r="I27" s="44"/>
      <c r="J27" s="44"/>
      <c r="K27" s="44"/>
    </row>
    <row r="28" spans="1:11" ht="26.1" customHeight="1">
      <c r="A28" s="55" t="s">
        <v>156</v>
      </c>
      <c r="B28" s="56" t="s">
        <v>157</v>
      </c>
      <c r="C28" s="67">
        <v>167.79999999999998</v>
      </c>
      <c r="D28" s="67">
        <v>380.30000000000007</v>
      </c>
      <c r="E28" s="67">
        <v>307.10000000000002</v>
      </c>
      <c r="F28" s="67">
        <v>328.70000000000005</v>
      </c>
      <c r="G28" s="44"/>
      <c r="H28" s="44"/>
      <c r="I28" s="44"/>
      <c r="J28" s="44"/>
      <c r="K28" s="44"/>
    </row>
    <row r="29" spans="1:11" ht="26.1" customHeight="1">
      <c r="A29" s="55" t="s">
        <v>158</v>
      </c>
      <c r="B29" s="56" t="s">
        <v>159</v>
      </c>
      <c r="C29" s="67">
        <v>169.29999999999998</v>
      </c>
      <c r="D29" s="67">
        <v>123.79999999999998</v>
      </c>
      <c r="E29" s="67">
        <v>99.80000000000004</v>
      </c>
      <c r="F29" s="67">
        <v>108.90000000000006</v>
      </c>
      <c r="G29" s="44"/>
      <c r="H29" s="44"/>
      <c r="I29" s="44"/>
      <c r="J29" s="44"/>
      <c r="K29" s="44"/>
    </row>
    <row r="30" spans="1:11" ht="26.1" customHeight="1">
      <c r="A30" s="55" t="s">
        <v>160</v>
      </c>
      <c r="B30" s="56" t="s">
        <v>161</v>
      </c>
      <c r="C30" s="67">
        <v>113.7</v>
      </c>
      <c r="D30" s="67">
        <v>151.80000000000001</v>
      </c>
      <c r="E30" s="67">
        <v>179</v>
      </c>
      <c r="F30" s="67">
        <v>140.30000000000007</v>
      </c>
      <c r="G30" s="44"/>
      <c r="H30" s="44"/>
      <c r="I30" s="44"/>
      <c r="J30" s="44"/>
      <c r="K30" s="44"/>
    </row>
    <row r="31" spans="1:11" ht="26.1" customHeight="1">
      <c r="A31" s="55" t="s">
        <v>162</v>
      </c>
      <c r="B31" s="56" t="s">
        <v>163</v>
      </c>
      <c r="C31" s="67">
        <v>34</v>
      </c>
      <c r="D31" s="67">
        <v>33.700000000000003</v>
      </c>
      <c r="E31" s="67">
        <v>45.7</v>
      </c>
      <c r="F31" s="67">
        <v>84.40000000000002</v>
      </c>
      <c r="G31" s="44"/>
      <c r="H31" s="44"/>
      <c r="I31" s="44"/>
      <c r="J31" s="44"/>
      <c r="K31" s="44"/>
    </row>
    <row r="32" spans="1:11" ht="26.1" customHeight="1">
      <c r="A32" s="55" t="s">
        <v>164</v>
      </c>
      <c r="B32" s="56" t="s">
        <v>165</v>
      </c>
      <c r="C32" s="67">
        <v>78.3</v>
      </c>
      <c r="D32" s="67">
        <v>98.90000000000002</v>
      </c>
      <c r="E32" s="67">
        <v>129.49999999999994</v>
      </c>
      <c r="F32" s="67">
        <v>138.60000000000002</v>
      </c>
      <c r="G32" s="44"/>
      <c r="H32" s="44"/>
      <c r="I32" s="44"/>
      <c r="J32" s="44"/>
      <c r="K32" s="44"/>
    </row>
    <row r="33" spans="1:11" ht="26.1" customHeight="1">
      <c r="A33" s="55" t="s">
        <v>166</v>
      </c>
      <c r="B33" s="56" t="s">
        <v>167</v>
      </c>
      <c r="C33" s="67">
        <v>12.3</v>
      </c>
      <c r="D33" s="67">
        <v>36.900000000000006</v>
      </c>
      <c r="E33" s="67">
        <v>17.499999999999982</v>
      </c>
      <c r="F33" s="67">
        <v>26.000000000000011</v>
      </c>
      <c r="G33" s="44"/>
      <c r="H33" s="44"/>
      <c r="I33" s="44"/>
      <c r="J33" s="44"/>
      <c r="K33" s="44"/>
    </row>
    <row r="34" spans="1:11" ht="26.1" customHeight="1">
      <c r="A34" s="55" t="s">
        <v>168</v>
      </c>
      <c r="B34" s="56" t="s">
        <v>169</v>
      </c>
      <c r="C34" s="67">
        <v>20.3</v>
      </c>
      <c r="D34" s="67">
        <v>2.3000000000000007</v>
      </c>
      <c r="E34" s="67">
        <v>11.200000000000003</v>
      </c>
      <c r="F34" s="67">
        <v>22.999999999999996</v>
      </c>
      <c r="G34" s="44"/>
      <c r="H34" s="44"/>
      <c r="I34" s="44"/>
      <c r="J34" s="44"/>
      <c r="K34" s="44"/>
    </row>
    <row r="35" spans="1:11" ht="26.1" customHeight="1">
      <c r="A35" s="55" t="s">
        <v>170</v>
      </c>
      <c r="B35" s="56" t="s">
        <v>171</v>
      </c>
      <c r="C35" s="67">
        <v>82.1</v>
      </c>
      <c r="D35" s="67">
        <v>94.300000000000011</v>
      </c>
      <c r="E35" s="67">
        <v>80.499999999999972</v>
      </c>
      <c r="F35" s="67">
        <v>79.5</v>
      </c>
      <c r="G35" s="44"/>
      <c r="H35" s="44"/>
      <c r="I35" s="44"/>
      <c r="J35" s="44"/>
      <c r="K35" s="44"/>
    </row>
    <row r="36" spans="1:11" ht="26.1" customHeight="1">
      <c r="A36" s="55" t="s">
        <v>172</v>
      </c>
      <c r="B36" s="56" t="s">
        <v>173</v>
      </c>
      <c r="C36" s="67">
        <v>50.7</v>
      </c>
      <c r="D36" s="67">
        <v>80.8</v>
      </c>
      <c r="E36" s="67">
        <v>78.8</v>
      </c>
      <c r="F36" s="67">
        <v>99.90000000000002</v>
      </c>
      <c r="G36" s="44"/>
      <c r="H36" s="44"/>
      <c r="I36" s="44"/>
      <c r="J36" s="44"/>
      <c r="K36" s="44"/>
    </row>
    <row r="37" spans="1:11" ht="26.1" customHeight="1">
      <c r="A37" s="55" t="s">
        <v>174</v>
      </c>
      <c r="B37" s="56" t="s">
        <v>175</v>
      </c>
      <c r="C37" s="67">
        <v>43.4</v>
      </c>
      <c r="D37" s="67">
        <v>56.6</v>
      </c>
      <c r="E37" s="67">
        <v>56.900000000000013</v>
      </c>
      <c r="F37" s="67">
        <v>55.400000000000013</v>
      </c>
      <c r="G37" s="44"/>
      <c r="H37" s="44"/>
      <c r="I37" s="44"/>
      <c r="J37" s="44"/>
      <c r="K37" s="44"/>
    </row>
    <row r="38" spans="1:11" ht="26.1" customHeight="1">
      <c r="A38" s="58" t="s">
        <v>72</v>
      </c>
      <c r="B38" s="59" t="s">
        <v>73</v>
      </c>
      <c r="C38" s="69">
        <v>0.1</v>
      </c>
      <c r="D38" s="78">
        <v>0.1</v>
      </c>
      <c r="E38" s="78">
        <v>0.7</v>
      </c>
      <c r="F38" s="78">
        <v>0.60000000000000009</v>
      </c>
      <c r="G38" s="44"/>
      <c r="H38" s="44"/>
      <c r="I38" s="44"/>
      <c r="J38" s="44"/>
      <c r="K38" s="44"/>
    </row>
    <row r="39" spans="1:11" ht="26.1" customHeight="1">
      <c r="A39" s="63" t="s">
        <v>186</v>
      </c>
      <c r="B39" s="73" t="s">
        <v>188</v>
      </c>
      <c r="C39" s="72"/>
      <c r="D39" s="44"/>
      <c r="G39" s="44"/>
      <c r="H39" s="44"/>
      <c r="I39" s="44"/>
      <c r="J39" s="44"/>
    </row>
    <row r="40" spans="1:11" ht="26.1" customHeight="1">
      <c r="A40" s="63" t="s">
        <v>181</v>
      </c>
      <c r="B40" s="73" t="s">
        <v>77</v>
      </c>
      <c r="C40" s="64"/>
      <c r="D40" s="44"/>
      <c r="G40" s="44"/>
      <c r="H40" s="44"/>
      <c r="I40" s="44"/>
      <c r="J40" s="44"/>
    </row>
    <row r="41" spans="1:11" ht="26.1" customHeight="1">
      <c r="A41" s="63" t="s">
        <v>187</v>
      </c>
      <c r="B41" s="73" t="s">
        <v>79</v>
      </c>
      <c r="C41" s="61"/>
      <c r="D41" s="44"/>
      <c r="G41" s="44"/>
      <c r="H41" s="44"/>
      <c r="I41" s="44"/>
      <c r="J41" s="44"/>
    </row>
    <row r="42" spans="1:11" ht="26.1" customHeight="1"/>
    <row r="43" spans="1:11" ht="26.1" customHeight="1"/>
    <row r="44" spans="1:11" ht="26.1" customHeight="1"/>
    <row r="45" spans="1:11" ht="26.1" customHeight="1"/>
    <row r="46" spans="1:11" ht="26.1" customHeight="1"/>
    <row r="47" spans="1:11" ht="26.1" customHeight="1"/>
    <row r="48" spans="1:11" ht="26.1" customHeight="1"/>
    <row r="49" ht="26.1" customHeight="1"/>
    <row r="50" ht="26.1" customHeight="1"/>
    <row r="51" ht="26.1" customHeight="1"/>
    <row r="52" ht="26.1" customHeight="1"/>
    <row r="53" ht="26.1" customHeight="1"/>
    <row r="54" ht="26.1" customHeight="1"/>
    <row r="55" ht="26.1" customHeight="1"/>
    <row r="56" ht="26.1" customHeight="1"/>
    <row r="57" ht="26.1" customHeight="1"/>
    <row r="58" ht="26.1" customHeight="1"/>
    <row r="59" ht="26.1" customHeight="1"/>
    <row r="60" ht="26.1" customHeight="1"/>
    <row r="61" ht="26.1" customHeight="1"/>
    <row r="62" ht="26.1" customHeight="1"/>
    <row r="63" ht="26.1" customHeight="1"/>
    <row r="64" ht="26.1" customHeight="1"/>
    <row r="65" ht="26.1" customHeight="1"/>
    <row r="66" ht="26.1" customHeight="1"/>
    <row r="67" ht="26.1" customHeight="1"/>
    <row r="68" ht="26.1" customHeight="1"/>
    <row r="69" ht="26.1" customHeight="1"/>
    <row r="70" ht="26.1" customHeight="1"/>
    <row r="71" ht="26.1" customHeight="1"/>
  </sheetData>
  <mergeCells count="7">
    <mergeCell ref="F5:F6"/>
    <mergeCell ref="A2:F2"/>
    <mergeCell ref="E5:E6"/>
    <mergeCell ref="A4:A6"/>
    <mergeCell ref="B4:B6"/>
    <mergeCell ref="C5:C6"/>
    <mergeCell ref="D5:D6"/>
  </mergeCells>
  <pageMargins left="0.31496062992125984" right="0.31496062992125984" top="0.74803149606299213" bottom="0.74803149606299213" header="0.31496062992125984" footer="0.31496062992125984"/>
  <pageSetup paperSize="8" scale="74" fitToWidth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H71"/>
  <sheetViews>
    <sheetView view="pageBreakPreview" topLeftCell="B28" zoomScale="90" zoomScaleNormal="100" zoomScaleSheetLayoutView="90" workbookViewId="0">
      <selection activeCell="B40" sqref="A40:XFD40"/>
    </sheetView>
  </sheetViews>
  <sheetFormatPr defaultRowHeight="12.75"/>
  <cols>
    <col min="1" max="1" width="60.85546875" customWidth="1"/>
    <col min="2" max="2" width="71.28515625" bestFit="1" customWidth="1"/>
    <col min="3" max="3" width="26.28515625" customWidth="1"/>
    <col min="4" max="5" width="25.42578125" customWidth="1"/>
    <col min="6" max="6" width="28" customWidth="1"/>
  </cols>
  <sheetData>
    <row r="2" spans="1:8" ht="20.25" customHeight="1">
      <c r="A2" s="99" t="s">
        <v>0</v>
      </c>
      <c r="B2" s="99"/>
      <c r="C2" s="99"/>
      <c r="D2" s="99"/>
      <c r="E2" s="99"/>
      <c r="F2" s="99"/>
    </row>
    <row r="3" spans="1:8" ht="26.25">
      <c r="A3" s="6"/>
      <c r="B3" s="4"/>
      <c r="F3" s="71" t="s">
        <v>1</v>
      </c>
    </row>
    <row r="4" spans="1:8" ht="20.25">
      <c r="A4" s="97" t="s">
        <v>7</v>
      </c>
      <c r="B4" s="93" t="s">
        <v>2</v>
      </c>
      <c r="C4" s="46" t="s">
        <v>3</v>
      </c>
      <c r="D4" s="46" t="s">
        <v>4</v>
      </c>
      <c r="E4" s="46" t="s">
        <v>5</v>
      </c>
      <c r="F4" s="46" t="s">
        <v>6</v>
      </c>
    </row>
    <row r="5" spans="1:8" ht="13.15" customHeight="1">
      <c r="A5" s="91"/>
      <c r="B5" s="94"/>
      <c r="C5" s="89" t="s">
        <v>209</v>
      </c>
      <c r="D5" s="89" t="s">
        <v>210</v>
      </c>
      <c r="E5" s="89" t="s">
        <v>211</v>
      </c>
      <c r="F5" s="89" t="s">
        <v>212</v>
      </c>
    </row>
    <row r="6" spans="1:8" ht="20.25" customHeight="1">
      <c r="A6" s="98"/>
      <c r="B6" s="95"/>
      <c r="C6" s="90"/>
      <c r="D6" s="90"/>
      <c r="E6" s="90"/>
      <c r="F6" s="90"/>
    </row>
    <row r="7" spans="1:8" ht="26.1" customHeight="1">
      <c r="A7" s="52" t="s">
        <v>126</v>
      </c>
      <c r="B7" s="53" t="s">
        <v>13</v>
      </c>
      <c r="C7" s="65">
        <v>8852.2999999999993</v>
      </c>
      <c r="D7" s="65">
        <v>11837.400000000001</v>
      </c>
      <c r="E7" s="65">
        <v>11779.8</v>
      </c>
      <c r="F7" s="65">
        <v>11436.900000000001</v>
      </c>
      <c r="H7" s="44"/>
    </row>
    <row r="8" spans="1:8" ht="26.1" customHeight="1">
      <c r="A8" s="51" t="s">
        <v>14</v>
      </c>
      <c r="B8" s="54" t="s">
        <v>15</v>
      </c>
      <c r="C8" s="66">
        <v>2950.9</v>
      </c>
      <c r="D8" s="66">
        <v>5069.3000000000011</v>
      </c>
      <c r="E8" s="66">
        <v>5188.4999999999982</v>
      </c>
      <c r="F8" s="66">
        <v>4962.8000000000011</v>
      </c>
      <c r="H8" s="44"/>
    </row>
    <row r="9" spans="1:8" ht="26.1" customHeight="1">
      <c r="A9" s="55" t="s">
        <v>16</v>
      </c>
      <c r="B9" s="56" t="s">
        <v>17</v>
      </c>
      <c r="C9" s="67">
        <v>1020.9</v>
      </c>
      <c r="D9" s="67">
        <v>897.30000000000007</v>
      </c>
      <c r="E9" s="67">
        <v>976.79999999999984</v>
      </c>
      <c r="F9" s="67">
        <v>950.29999999999973</v>
      </c>
      <c r="H9" s="44"/>
    </row>
    <row r="10" spans="1:8" ht="26.1" customHeight="1">
      <c r="A10" s="55" t="s">
        <v>127</v>
      </c>
      <c r="B10" s="56" t="s">
        <v>180</v>
      </c>
      <c r="C10" s="67">
        <v>1880.1000000000001</v>
      </c>
      <c r="D10" s="67">
        <v>4128.6999999999989</v>
      </c>
      <c r="E10" s="67">
        <v>4168.9000000000015</v>
      </c>
      <c r="F10" s="67">
        <v>3954.2000000000007</v>
      </c>
      <c r="H10" s="44"/>
    </row>
    <row r="11" spans="1:8" ht="26.1" customHeight="1">
      <c r="A11" s="51" t="s">
        <v>129</v>
      </c>
      <c r="B11" s="54" t="s">
        <v>23</v>
      </c>
      <c r="C11" s="66">
        <v>761.4</v>
      </c>
      <c r="D11" s="66">
        <v>716.19999999999993</v>
      </c>
      <c r="E11" s="66">
        <v>971.4000000000002</v>
      </c>
      <c r="F11" s="66">
        <v>1055.9000000000001</v>
      </c>
      <c r="H11" s="44"/>
    </row>
    <row r="12" spans="1:8" ht="26.1" customHeight="1">
      <c r="A12" s="55" t="s">
        <v>130</v>
      </c>
      <c r="B12" s="57" t="s">
        <v>131</v>
      </c>
      <c r="C12" s="68">
        <v>142.30000000000001</v>
      </c>
      <c r="D12" s="68">
        <v>118.39999999999998</v>
      </c>
      <c r="E12" s="68">
        <v>160.90000000000003</v>
      </c>
      <c r="F12" s="68">
        <v>162.29999999999995</v>
      </c>
      <c r="H12" s="44"/>
    </row>
    <row r="13" spans="1:8" ht="26.1" customHeight="1">
      <c r="A13" s="55" t="s">
        <v>132</v>
      </c>
      <c r="B13" s="57" t="s">
        <v>133</v>
      </c>
      <c r="C13" s="68">
        <v>139.6</v>
      </c>
      <c r="D13" s="68">
        <v>86.199999999999989</v>
      </c>
      <c r="E13" s="68">
        <v>156.50000000000003</v>
      </c>
      <c r="F13" s="68">
        <v>203.40000000000003</v>
      </c>
      <c r="H13" s="44"/>
    </row>
    <row r="14" spans="1:8" ht="26.1" customHeight="1">
      <c r="A14" s="55" t="s">
        <v>134</v>
      </c>
      <c r="B14" s="56" t="s">
        <v>135</v>
      </c>
      <c r="C14" s="68">
        <v>99.6</v>
      </c>
      <c r="D14" s="68">
        <v>69.500000000000028</v>
      </c>
      <c r="E14" s="68">
        <v>111.39999999999998</v>
      </c>
      <c r="F14" s="68">
        <v>143.59999999999997</v>
      </c>
      <c r="H14" s="44"/>
    </row>
    <row r="15" spans="1:8" ht="26.1" customHeight="1">
      <c r="A15" s="55" t="s">
        <v>136</v>
      </c>
      <c r="B15" s="56" t="s">
        <v>137</v>
      </c>
      <c r="C15" s="68">
        <v>20.200000000000003</v>
      </c>
      <c r="D15" s="68">
        <v>25.199999999999996</v>
      </c>
      <c r="E15" s="68">
        <v>66.100000000000009</v>
      </c>
      <c r="F15" s="68">
        <v>44.599999999999994</v>
      </c>
      <c r="H15" s="44"/>
    </row>
    <row r="16" spans="1:8" ht="26.1" customHeight="1">
      <c r="A16" s="51" t="s">
        <v>38</v>
      </c>
      <c r="B16" s="54" t="s">
        <v>39</v>
      </c>
      <c r="C16" s="66">
        <v>1466.9</v>
      </c>
      <c r="D16" s="66">
        <v>1605.5</v>
      </c>
      <c r="E16" s="66">
        <v>1632.1</v>
      </c>
      <c r="F16" s="66">
        <v>1231.5</v>
      </c>
      <c r="H16" s="44"/>
    </row>
    <row r="17" spans="1:8" ht="26.1" customHeight="1">
      <c r="A17" s="55" t="s">
        <v>138</v>
      </c>
      <c r="B17" s="57" t="s">
        <v>139</v>
      </c>
      <c r="C17" s="67">
        <v>193.5</v>
      </c>
      <c r="D17" s="67">
        <v>374.4</v>
      </c>
      <c r="E17" s="67">
        <v>410.20000000000005</v>
      </c>
      <c r="F17" s="67">
        <v>217.50000000000011</v>
      </c>
      <c r="H17" s="44"/>
    </row>
    <row r="18" spans="1:8" ht="26.1" customHeight="1">
      <c r="A18" s="55" t="s">
        <v>140</v>
      </c>
      <c r="B18" s="56" t="s">
        <v>141</v>
      </c>
      <c r="C18" s="67">
        <v>194.6</v>
      </c>
      <c r="D18" s="67">
        <v>165.50000000000003</v>
      </c>
      <c r="E18" s="67">
        <v>339.80000000000007</v>
      </c>
      <c r="F18" s="67">
        <v>219.29999999999995</v>
      </c>
      <c r="H18" s="44"/>
    </row>
    <row r="19" spans="1:8" ht="26.1" customHeight="1">
      <c r="A19" s="55" t="s">
        <v>142</v>
      </c>
      <c r="B19" s="56" t="s">
        <v>143</v>
      </c>
      <c r="C19" s="67">
        <v>455</v>
      </c>
      <c r="D19" s="67">
        <v>429.90000000000009</v>
      </c>
      <c r="E19" s="67">
        <v>427.40000000000009</v>
      </c>
      <c r="F19" s="67">
        <v>396.99999999999977</v>
      </c>
      <c r="H19" s="44"/>
    </row>
    <row r="20" spans="1:8" ht="26.1" customHeight="1">
      <c r="A20" s="55" t="s">
        <v>144</v>
      </c>
      <c r="B20" s="56" t="s">
        <v>145</v>
      </c>
      <c r="C20" s="67">
        <v>99.600000000000009</v>
      </c>
      <c r="D20" s="67">
        <v>84.399999999999991</v>
      </c>
      <c r="E20" s="67">
        <v>100.50000000000001</v>
      </c>
      <c r="F20" s="67">
        <v>25</v>
      </c>
      <c r="H20" s="44"/>
    </row>
    <row r="21" spans="1:8" ht="26.1" customHeight="1">
      <c r="A21" s="55" t="s">
        <v>146</v>
      </c>
      <c r="B21" s="56" t="s">
        <v>147</v>
      </c>
      <c r="C21" s="68">
        <v>9.1999999999999993</v>
      </c>
      <c r="D21" s="68">
        <v>1</v>
      </c>
      <c r="E21" s="68">
        <v>2.5</v>
      </c>
      <c r="F21" s="68">
        <v>1.8000000000000007</v>
      </c>
      <c r="H21" s="44"/>
    </row>
    <row r="22" spans="1:8" ht="26.1" customHeight="1">
      <c r="A22" s="55" t="s">
        <v>148</v>
      </c>
      <c r="B22" s="56" t="s">
        <v>149</v>
      </c>
      <c r="C22" s="68">
        <v>139.5</v>
      </c>
      <c r="D22" s="68">
        <v>128.10000000000002</v>
      </c>
      <c r="E22" s="68">
        <v>102.5</v>
      </c>
      <c r="F22" s="68">
        <v>98.899999999999977</v>
      </c>
      <c r="H22" s="44"/>
    </row>
    <row r="23" spans="1:8" ht="26.1" customHeight="1">
      <c r="A23" s="51" t="s">
        <v>50</v>
      </c>
      <c r="B23" s="54" t="s">
        <v>51</v>
      </c>
      <c r="C23" s="66">
        <v>3673.0000000000005</v>
      </c>
      <c r="D23" s="66">
        <v>4446.2000000000007</v>
      </c>
      <c r="E23" s="66">
        <v>3987.5999999999981</v>
      </c>
      <c r="F23" s="66">
        <v>4186.6000000000004</v>
      </c>
      <c r="H23" s="44"/>
    </row>
    <row r="24" spans="1:8" ht="26.1" customHeight="1">
      <c r="A24" s="55" t="s">
        <v>150</v>
      </c>
      <c r="B24" s="57" t="s">
        <v>151</v>
      </c>
      <c r="C24" s="68">
        <v>160.10000000000002</v>
      </c>
      <c r="D24" s="68">
        <v>235.2</v>
      </c>
      <c r="E24" s="68">
        <v>266.99999999999994</v>
      </c>
      <c r="F24" s="68">
        <v>186.10000000000014</v>
      </c>
      <c r="H24" s="44"/>
    </row>
    <row r="25" spans="1:8" ht="26.1" customHeight="1">
      <c r="A25" s="55" t="s">
        <v>152</v>
      </c>
      <c r="B25" s="57" t="s">
        <v>153</v>
      </c>
      <c r="C25" s="68">
        <v>265.3</v>
      </c>
      <c r="D25" s="68">
        <v>449.8</v>
      </c>
      <c r="E25" s="68">
        <v>170.5</v>
      </c>
      <c r="F25" s="68">
        <v>217.89999999999998</v>
      </c>
      <c r="H25" s="44"/>
    </row>
    <row r="26" spans="1:8" ht="26.1" customHeight="1">
      <c r="A26" s="55" t="s">
        <v>68</v>
      </c>
      <c r="B26" s="57" t="s">
        <v>69</v>
      </c>
      <c r="C26" s="68">
        <v>274.8</v>
      </c>
      <c r="D26" s="68">
        <v>325.2999999999999</v>
      </c>
      <c r="E26" s="68">
        <v>293.90000000000003</v>
      </c>
      <c r="F26" s="68">
        <v>327.10000000000014</v>
      </c>
      <c r="H26" s="44"/>
    </row>
    <row r="27" spans="1:8" ht="26.1" customHeight="1">
      <c r="A27" s="55" t="s">
        <v>154</v>
      </c>
      <c r="B27" s="56" t="s">
        <v>155</v>
      </c>
      <c r="C27" s="67">
        <v>45.4</v>
      </c>
      <c r="D27" s="67">
        <v>65.5</v>
      </c>
      <c r="E27" s="67">
        <v>63.1</v>
      </c>
      <c r="F27" s="67">
        <v>62.700000000000017</v>
      </c>
      <c r="H27" s="44"/>
    </row>
    <row r="28" spans="1:8" ht="26.1" customHeight="1">
      <c r="A28" s="55" t="s">
        <v>156</v>
      </c>
      <c r="B28" s="56" t="s">
        <v>157</v>
      </c>
      <c r="C28" s="67">
        <v>328.8</v>
      </c>
      <c r="D28" s="67">
        <v>558.29999999999995</v>
      </c>
      <c r="E28" s="67">
        <v>599.30000000000018</v>
      </c>
      <c r="F28" s="67">
        <v>583</v>
      </c>
      <c r="H28" s="44"/>
    </row>
    <row r="29" spans="1:8" ht="26.1" customHeight="1">
      <c r="A29" s="55" t="s">
        <v>158</v>
      </c>
      <c r="B29" s="56" t="s">
        <v>159</v>
      </c>
      <c r="C29" s="67">
        <v>146.29999999999998</v>
      </c>
      <c r="D29" s="67">
        <v>338.5</v>
      </c>
      <c r="E29" s="67">
        <v>150.70000000000002</v>
      </c>
      <c r="F29" s="67">
        <v>141.19999999999993</v>
      </c>
      <c r="H29" s="44"/>
    </row>
    <row r="30" spans="1:8" ht="26.1" customHeight="1">
      <c r="A30" s="55" t="s">
        <v>160</v>
      </c>
      <c r="B30" s="56" t="s">
        <v>161</v>
      </c>
      <c r="C30" s="67">
        <v>208.2</v>
      </c>
      <c r="D30" s="67">
        <v>174.59999999999997</v>
      </c>
      <c r="E30" s="67">
        <v>184</v>
      </c>
      <c r="F30" s="67">
        <v>201.5</v>
      </c>
      <c r="H30" s="44"/>
    </row>
    <row r="31" spans="1:8" ht="26.1" customHeight="1">
      <c r="A31" s="55" t="s">
        <v>162</v>
      </c>
      <c r="B31" s="56" t="s">
        <v>163</v>
      </c>
      <c r="C31" s="67">
        <v>95.100000000000009</v>
      </c>
      <c r="D31" s="67">
        <v>46.3</v>
      </c>
      <c r="E31" s="67">
        <v>45.7</v>
      </c>
      <c r="F31" s="67">
        <v>116</v>
      </c>
      <c r="H31" s="44"/>
    </row>
    <row r="32" spans="1:8" ht="26.1" customHeight="1">
      <c r="A32" s="55" t="s">
        <v>164</v>
      </c>
      <c r="B32" s="56" t="s">
        <v>165</v>
      </c>
      <c r="C32" s="67">
        <v>142.30000000000001</v>
      </c>
      <c r="D32" s="67">
        <v>142.39999999999998</v>
      </c>
      <c r="E32" s="67">
        <v>118.10000000000002</v>
      </c>
      <c r="F32" s="67">
        <v>120.30000000000001</v>
      </c>
      <c r="H32" s="44"/>
    </row>
    <row r="33" spans="1:8" ht="26.1" customHeight="1">
      <c r="A33" s="55" t="s">
        <v>166</v>
      </c>
      <c r="B33" s="56" t="s">
        <v>167</v>
      </c>
      <c r="C33" s="67">
        <v>31.6</v>
      </c>
      <c r="D33" s="67">
        <v>18.600000000000001</v>
      </c>
      <c r="E33" s="67">
        <v>5.1999999999999957</v>
      </c>
      <c r="F33" s="67">
        <v>7.6000000000000014</v>
      </c>
      <c r="H33" s="44"/>
    </row>
    <row r="34" spans="1:8" ht="26.1" customHeight="1">
      <c r="A34" s="55" t="s">
        <v>168</v>
      </c>
      <c r="B34" s="56" t="s">
        <v>169</v>
      </c>
      <c r="C34" s="67">
        <v>20.6</v>
      </c>
      <c r="D34" s="67">
        <v>25.5</v>
      </c>
      <c r="E34" s="67">
        <v>18.300000000000004</v>
      </c>
      <c r="F34" s="67">
        <v>21.299999999999997</v>
      </c>
      <c r="H34" s="44"/>
    </row>
    <row r="35" spans="1:8" ht="26.1" customHeight="1">
      <c r="A35" s="55" t="s">
        <v>170</v>
      </c>
      <c r="B35" s="56" t="s">
        <v>171</v>
      </c>
      <c r="C35" s="67">
        <v>85.5</v>
      </c>
      <c r="D35" s="67">
        <v>69</v>
      </c>
      <c r="E35" s="67">
        <v>83.9</v>
      </c>
      <c r="F35" s="67">
        <v>91.9</v>
      </c>
      <c r="H35" s="44"/>
    </row>
    <row r="36" spans="1:8" ht="26.1" customHeight="1">
      <c r="A36" s="55" t="s">
        <v>172</v>
      </c>
      <c r="B36" s="56" t="s">
        <v>173</v>
      </c>
      <c r="C36" s="67">
        <v>121.8</v>
      </c>
      <c r="D36" s="67">
        <v>114.8</v>
      </c>
      <c r="E36" s="67">
        <v>110.30000000000003</v>
      </c>
      <c r="F36" s="67">
        <v>110.09999999999997</v>
      </c>
      <c r="H36" s="44"/>
    </row>
    <row r="37" spans="1:8" ht="26.1" customHeight="1">
      <c r="A37" s="55" t="s">
        <v>174</v>
      </c>
      <c r="B37" s="56" t="s">
        <v>175</v>
      </c>
      <c r="C37" s="67">
        <v>64.099999999999994</v>
      </c>
      <c r="D37" s="67">
        <v>78.800000000000011</v>
      </c>
      <c r="E37" s="67">
        <v>93.1</v>
      </c>
      <c r="F37" s="67">
        <v>87</v>
      </c>
      <c r="H37" s="44"/>
    </row>
    <row r="38" spans="1:8" ht="26.1" customHeight="1">
      <c r="A38" s="58" t="s">
        <v>72</v>
      </c>
      <c r="B38" s="59" t="s">
        <v>73</v>
      </c>
      <c r="C38" s="78">
        <v>0.1</v>
      </c>
      <c r="D38" s="78">
        <v>0.2</v>
      </c>
      <c r="E38" s="78">
        <v>0.2</v>
      </c>
      <c r="F38" s="78">
        <v>0.1</v>
      </c>
      <c r="H38" s="44"/>
    </row>
    <row r="39" spans="1:8" ht="26.1" customHeight="1">
      <c r="A39" s="63" t="s">
        <v>186</v>
      </c>
      <c r="B39" s="73" t="s">
        <v>188</v>
      </c>
      <c r="C39" s="72"/>
      <c r="D39" s="44"/>
      <c r="H39" s="44"/>
    </row>
    <row r="40" spans="1:8" ht="26.1" customHeight="1">
      <c r="A40" s="63" t="s">
        <v>181</v>
      </c>
      <c r="B40" s="73" t="s">
        <v>77</v>
      </c>
      <c r="C40" s="64"/>
      <c r="D40" s="44"/>
      <c r="H40" s="44"/>
    </row>
    <row r="41" spans="1:8" ht="26.1" customHeight="1">
      <c r="A41" s="63" t="s">
        <v>187</v>
      </c>
      <c r="B41" s="73" t="s">
        <v>79</v>
      </c>
      <c r="C41" s="61"/>
      <c r="D41" s="44"/>
      <c r="H41" s="44"/>
    </row>
    <row r="42" spans="1:8" ht="26.1" customHeight="1"/>
    <row r="43" spans="1:8" ht="26.1" customHeight="1"/>
    <row r="44" spans="1:8" ht="26.1" customHeight="1"/>
    <row r="45" spans="1:8" ht="26.1" customHeight="1"/>
    <row r="46" spans="1:8" ht="26.1" customHeight="1"/>
    <row r="47" spans="1:8" ht="26.1" customHeight="1"/>
    <row r="48" spans="1:8" ht="26.1" customHeight="1"/>
    <row r="49" ht="26.1" customHeight="1"/>
    <row r="50" ht="26.1" customHeight="1"/>
    <row r="51" ht="26.1" customHeight="1"/>
    <row r="52" ht="26.1" customHeight="1"/>
    <row r="53" ht="26.1" customHeight="1"/>
    <row r="54" ht="26.1" customHeight="1"/>
    <row r="55" ht="26.1" customHeight="1"/>
    <row r="56" ht="26.1" customHeight="1"/>
    <row r="57" ht="26.1" customHeight="1"/>
    <row r="58" ht="26.1" customHeight="1"/>
    <row r="59" ht="26.1" customHeight="1"/>
    <row r="60" ht="26.1" customHeight="1"/>
    <row r="61" ht="26.1" customHeight="1"/>
    <row r="62" ht="26.1" customHeight="1"/>
    <row r="63" ht="26.1" customHeight="1"/>
    <row r="64" ht="26.1" customHeight="1"/>
    <row r="65" ht="26.1" customHeight="1"/>
    <row r="66" ht="26.1" customHeight="1"/>
    <row r="67" ht="26.1" customHeight="1"/>
    <row r="68" ht="26.1" customHeight="1"/>
    <row r="69" ht="26.1" customHeight="1"/>
    <row r="70" ht="26.1" customHeight="1"/>
    <row r="71" ht="26.1" customHeight="1"/>
  </sheetData>
  <mergeCells count="7">
    <mergeCell ref="F5:F6"/>
    <mergeCell ref="A2:F2"/>
    <mergeCell ref="E5:E6"/>
    <mergeCell ref="A4:A6"/>
    <mergeCell ref="B4:B6"/>
    <mergeCell ref="C5:C6"/>
    <mergeCell ref="D5:D6"/>
  </mergeCells>
  <pageMargins left="0.31496062992125984" right="0.31496062992125984" top="0.74803149606299213" bottom="0.74803149606299213" header="0.31496062992125984" footer="0.31496062992125984"/>
  <pageSetup paperSize="8" scale="74" fitToWidth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1580-074D-42FC-81F3-2BFA356B62BB}">
  <sheetPr>
    <pageSetUpPr fitToPage="1"/>
  </sheetPr>
  <dimension ref="A2:H71"/>
  <sheetViews>
    <sheetView view="pageBreakPreview" zoomScale="80" zoomScaleNormal="100" zoomScaleSheetLayoutView="80" workbookViewId="0">
      <selection activeCell="B9" sqref="B9"/>
    </sheetView>
  </sheetViews>
  <sheetFormatPr defaultRowHeight="12.75"/>
  <cols>
    <col min="1" max="1" width="60.85546875" customWidth="1"/>
    <col min="2" max="2" width="71.28515625" bestFit="1" customWidth="1"/>
    <col min="3" max="3" width="26.28515625" customWidth="1"/>
    <col min="4" max="5" width="30.42578125" customWidth="1"/>
    <col min="6" max="6" width="28.7109375" customWidth="1"/>
  </cols>
  <sheetData>
    <row r="2" spans="1:8" ht="20.25" customHeight="1">
      <c r="A2" s="99" t="s">
        <v>217</v>
      </c>
      <c r="B2" s="99"/>
      <c r="C2" s="99"/>
      <c r="D2" s="99"/>
      <c r="E2" s="99"/>
      <c r="F2" s="99"/>
    </row>
    <row r="3" spans="1:8" ht="26.25">
      <c r="A3" s="6"/>
      <c r="B3" s="4"/>
      <c r="F3" s="71" t="s">
        <v>1</v>
      </c>
    </row>
    <row r="4" spans="1:8" ht="20.25">
      <c r="A4" s="97" t="s">
        <v>7</v>
      </c>
      <c r="B4" s="93" t="s">
        <v>2</v>
      </c>
      <c r="C4" s="46" t="s">
        <v>3</v>
      </c>
      <c r="D4" s="46" t="s">
        <v>4</v>
      </c>
      <c r="E4" s="46" t="s">
        <v>5</v>
      </c>
      <c r="F4" s="46" t="s">
        <v>6</v>
      </c>
    </row>
    <row r="5" spans="1:8" ht="13.15" customHeight="1">
      <c r="A5" s="91"/>
      <c r="B5" s="94"/>
      <c r="C5" s="89" t="s">
        <v>218</v>
      </c>
      <c r="D5" s="89" t="s">
        <v>219</v>
      </c>
      <c r="E5" s="89" t="s">
        <v>220</v>
      </c>
      <c r="F5" s="89" t="s">
        <v>221</v>
      </c>
    </row>
    <row r="6" spans="1:8" ht="20.25" customHeight="1">
      <c r="A6" s="98"/>
      <c r="B6" s="95"/>
      <c r="C6" s="90"/>
      <c r="D6" s="90"/>
      <c r="E6" s="90"/>
      <c r="F6" s="90"/>
    </row>
    <row r="7" spans="1:8" ht="26.1" customHeight="1">
      <c r="A7" s="52" t="s">
        <v>126</v>
      </c>
      <c r="B7" s="53" t="s">
        <v>13</v>
      </c>
      <c r="C7" s="65">
        <v>9965.2000000000007</v>
      </c>
      <c r="D7" s="65">
        <v>11539.899999999998</v>
      </c>
      <c r="E7" s="65">
        <v>9551.1000000000022</v>
      </c>
      <c r="F7" s="65">
        <v>8567.7999999999993</v>
      </c>
      <c r="G7" s="44"/>
      <c r="H7" s="44"/>
    </row>
    <row r="8" spans="1:8" ht="26.1" customHeight="1">
      <c r="A8" s="51" t="s">
        <v>14</v>
      </c>
      <c r="B8" s="54" t="s">
        <v>15</v>
      </c>
      <c r="C8" s="66">
        <v>3747.8</v>
      </c>
      <c r="D8" s="66">
        <v>4963.6000000000013</v>
      </c>
      <c r="E8" s="66">
        <v>3182.0999999999985</v>
      </c>
      <c r="F8" s="66">
        <v>2106.9000000000024</v>
      </c>
      <c r="G8" s="44"/>
      <c r="H8" s="44"/>
    </row>
    <row r="9" spans="1:8" ht="26.1" customHeight="1">
      <c r="A9" s="55" t="s">
        <v>16</v>
      </c>
      <c r="B9" s="56" t="s">
        <v>17</v>
      </c>
      <c r="C9" s="67">
        <v>571</v>
      </c>
      <c r="D9" s="67">
        <v>656.7</v>
      </c>
      <c r="E9" s="67">
        <v>419</v>
      </c>
      <c r="F9" s="67">
        <v>685.89999999999986</v>
      </c>
      <c r="G9" s="44"/>
      <c r="H9" s="44"/>
    </row>
    <row r="10" spans="1:8" ht="26.1" customHeight="1">
      <c r="A10" s="55" t="s">
        <v>127</v>
      </c>
      <c r="B10" s="56" t="s">
        <v>180</v>
      </c>
      <c r="C10" s="67">
        <v>3137.3</v>
      </c>
      <c r="D10" s="67">
        <v>4252.5999999999995</v>
      </c>
      <c r="E10" s="67">
        <v>2725.3999999999996</v>
      </c>
      <c r="F10" s="67">
        <v>1368.5999999999995</v>
      </c>
      <c r="G10" s="44"/>
      <c r="H10" s="44"/>
    </row>
    <row r="11" spans="1:8" ht="26.1" customHeight="1">
      <c r="A11" s="51" t="s">
        <v>129</v>
      </c>
      <c r="B11" s="54" t="s">
        <v>23</v>
      </c>
      <c r="C11" s="66">
        <v>773.19999999999993</v>
      </c>
      <c r="D11" s="66">
        <v>765.4000000000002</v>
      </c>
      <c r="E11" s="66">
        <v>1143.9000000000001</v>
      </c>
      <c r="F11" s="66">
        <v>1167.3000000000002</v>
      </c>
      <c r="G11" s="44"/>
      <c r="H11" s="44"/>
    </row>
    <row r="12" spans="1:8" ht="26.1" customHeight="1">
      <c r="A12" s="55" t="s">
        <v>130</v>
      </c>
      <c r="B12" s="57" t="s">
        <v>131</v>
      </c>
      <c r="C12" s="68">
        <v>104</v>
      </c>
      <c r="D12" s="68">
        <v>125.30000000000001</v>
      </c>
      <c r="E12" s="68">
        <v>207.79999999999995</v>
      </c>
      <c r="F12" s="68">
        <v>256.2000000000001</v>
      </c>
      <c r="G12" s="44"/>
      <c r="H12" s="44"/>
    </row>
    <row r="13" spans="1:8" ht="26.1" customHeight="1">
      <c r="A13" s="55" t="s">
        <v>132</v>
      </c>
      <c r="B13" s="57" t="s">
        <v>133</v>
      </c>
      <c r="C13" s="68">
        <v>144.5</v>
      </c>
      <c r="D13" s="68">
        <v>102.1</v>
      </c>
      <c r="E13" s="68">
        <v>140.39999999999998</v>
      </c>
      <c r="F13" s="68">
        <v>136.89999999999998</v>
      </c>
      <c r="G13" s="44"/>
      <c r="H13" s="44"/>
    </row>
    <row r="14" spans="1:8" ht="26.1" customHeight="1">
      <c r="A14" s="55" t="s">
        <v>134</v>
      </c>
      <c r="B14" s="56" t="s">
        <v>135</v>
      </c>
      <c r="C14" s="68">
        <v>124.69999999999999</v>
      </c>
      <c r="D14" s="68">
        <v>111.80000000000001</v>
      </c>
      <c r="E14" s="68">
        <v>122.40000000000003</v>
      </c>
      <c r="F14" s="68">
        <v>188.7999999999999</v>
      </c>
      <c r="G14" s="44"/>
      <c r="H14" s="44"/>
    </row>
    <row r="15" spans="1:8" ht="26.1" customHeight="1">
      <c r="A15" s="55" t="s">
        <v>136</v>
      </c>
      <c r="B15" s="56" t="s">
        <v>137</v>
      </c>
      <c r="C15" s="68">
        <v>16.600000000000001</v>
      </c>
      <c r="D15" s="68">
        <v>18.100000000000001</v>
      </c>
      <c r="E15" s="68">
        <v>50.599999999999987</v>
      </c>
      <c r="F15" s="68">
        <v>52.300000000000018</v>
      </c>
      <c r="G15" s="44"/>
      <c r="H15" s="44"/>
    </row>
    <row r="16" spans="1:8" ht="26.1" customHeight="1">
      <c r="A16" s="51" t="s">
        <v>38</v>
      </c>
      <c r="B16" s="54" t="s">
        <v>39</v>
      </c>
      <c r="C16" s="66">
        <v>1551.8</v>
      </c>
      <c r="D16" s="66">
        <v>1667.2</v>
      </c>
      <c r="E16" s="66">
        <v>1332.200000000001</v>
      </c>
      <c r="F16" s="66">
        <v>1341.0999999999992</v>
      </c>
      <c r="G16" s="44"/>
      <c r="H16" s="44"/>
    </row>
    <row r="17" spans="1:8" ht="26.1" customHeight="1">
      <c r="A17" s="55" t="s">
        <v>138</v>
      </c>
      <c r="B17" s="57" t="s">
        <v>139</v>
      </c>
      <c r="C17" s="67">
        <v>468.3</v>
      </c>
      <c r="D17" s="67">
        <v>724.5</v>
      </c>
      <c r="E17" s="67">
        <v>303.40000000000003</v>
      </c>
      <c r="F17" s="67">
        <v>292.90000000000015</v>
      </c>
      <c r="G17" s="44"/>
      <c r="H17" s="44"/>
    </row>
    <row r="18" spans="1:8" ht="26.1" customHeight="1">
      <c r="A18" s="55" t="s">
        <v>140</v>
      </c>
      <c r="B18" s="56" t="s">
        <v>141</v>
      </c>
      <c r="C18" s="67">
        <v>238</v>
      </c>
      <c r="D18" s="67">
        <v>205.39999999999998</v>
      </c>
      <c r="E18" s="67">
        <v>215.79999999999995</v>
      </c>
      <c r="F18" s="67">
        <v>199.30000000000007</v>
      </c>
      <c r="G18" s="44"/>
      <c r="H18" s="44"/>
    </row>
    <row r="19" spans="1:8" ht="26.1" customHeight="1">
      <c r="A19" s="55" t="s">
        <v>142</v>
      </c>
      <c r="B19" s="56" t="s">
        <v>143</v>
      </c>
      <c r="C19" s="67">
        <v>371.8</v>
      </c>
      <c r="D19" s="67">
        <v>250.7</v>
      </c>
      <c r="E19" s="67">
        <v>252.40000000000003</v>
      </c>
      <c r="F19" s="67">
        <v>238.80000000000007</v>
      </c>
      <c r="G19" s="44"/>
      <c r="H19" s="44"/>
    </row>
    <row r="20" spans="1:8" ht="26.1" customHeight="1">
      <c r="A20" s="55" t="s">
        <v>144</v>
      </c>
      <c r="B20" s="56" t="s">
        <v>145</v>
      </c>
      <c r="C20" s="67">
        <v>32.1</v>
      </c>
      <c r="D20" s="67">
        <v>61.800000000000004</v>
      </c>
      <c r="E20" s="67">
        <v>35.89999999999997</v>
      </c>
      <c r="F20" s="67">
        <v>34.500000000000007</v>
      </c>
      <c r="G20" s="44"/>
      <c r="H20" s="44"/>
    </row>
    <row r="21" spans="1:8" ht="26.1" customHeight="1">
      <c r="A21" s="55" t="s">
        <v>146</v>
      </c>
      <c r="B21" s="56" t="s">
        <v>147</v>
      </c>
      <c r="C21" s="68">
        <v>1.2</v>
      </c>
      <c r="D21" s="68">
        <v>3.5999999999999996</v>
      </c>
      <c r="E21" s="68">
        <v>2</v>
      </c>
      <c r="F21" s="68">
        <v>1.7000000000000002</v>
      </c>
      <c r="G21" s="44"/>
      <c r="H21" s="44"/>
    </row>
    <row r="22" spans="1:8" ht="26.1" customHeight="1">
      <c r="A22" s="55" t="s">
        <v>148</v>
      </c>
      <c r="B22" s="56" t="s">
        <v>149</v>
      </c>
      <c r="C22" s="68">
        <v>109.39999999999999</v>
      </c>
      <c r="D22" s="68">
        <v>90.600000000000009</v>
      </c>
      <c r="E22" s="68">
        <v>116.59999999999995</v>
      </c>
      <c r="F22" s="68">
        <v>179.00000000000006</v>
      </c>
      <c r="G22" s="44"/>
      <c r="H22" s="44"/>
    </row>
    <row r="23" spans="1:8" ht="26.1" customHeight="1">
      <c r="A23" s="51" t="s">
        <v>50</v>
      </c>
      <c r="B23" s="54" t="s">
        <v>51</v>
      </c>
      <c r="C23" s="66">
        <v>3892.2999999999997</v>
      </c>
      <c r="D23" s="66">
        <v>4143.7000000000007</v>
      </c>
      <c r="E23" s="66">
        <v>3892.8999999999992</v>
      </c>
      <c r="F23" s="66">
        <v>3952.4</v>
      </c>
      <c r="G23" s="44"/>
      <c r="H23" s="44"/>
    </row>
    <row r="24" spans="1:8" ht="26.1" customHeight="1">
      <c r="A24" s="55" t="s">
        <v>150</v>
      </c>
      <c r="B24" s="57" t="s">
        <v>151</v>
      </c>
      <c r="C24" s="68">
        <v>189.4</v>
      </c>
      <c r="D24" s="68">
        <v>227.79999999999998</v>
      </c>
      <c r="E24" s="68">
        <v>154.30000000000004</v>
      </c>
      <c r="F24" s="68">
        <v>192.8000000000001</v>
      </c>
      <c r="G24" s="44"/>
      <c r="H24" s="44"/>
    </row>
    <row r="25" spans="1:8" ht="26.1" customHeight="1">
      <c r="A25" s="55" t="s">
        <v>152</v>
      </c>
      <c r="B25" s="57" t="s">
        <v>153</v>
      </c>
      <c r="C25" s="68">
        <v>167.6</v>
      </c>
      <c r="D25" s="68">
        <v>132.20000000000002</v>
      </c>
      <c r="E25" s="68">
        <v>223.79999999999998</v>
      </c>
      <c r="F25" s="68">
        <v>205.6999999999999</v>
      </c>
      <c r="G25" s="44"/>
      <c r="H25" s="44"/>
    </row>
    <row r="26" spans="1:8" ht="26.1" customHeight="1">
      <c r="A26" s="55" t="s">
        <v>68</v>
      </c>
      <c r="B26" s="57" t="s">
        <v>69</v>
      </c>
      <c r="C26" s="68">
        <v>320.5</v>
      </c>
      <c r="D26" s="68">
        <v>254.39999999999998</v>
      </c>
      <c r="E26" s="68">
        <v>273.70000000000005</v>
      </c>
      <c r="F26" s="68">
        <v>227.89999999999998</v>
      </c>
      <c r="G26" s="44"/>
      <c r="H26" s="44"/>
    </row>
    <row r="27" spans="1:8" ht="26.1" customHeight="1">
      <c r="A27" s="55" t="s">
        <v>154</v>
      </c>
      <c r="B27" s="56" t="s">
        <v>155</v>
      </c>
      <c r="C27" s="67">
        <v>63.2</v>
      </c>
      <c r="D27" s="67">
        <v>67.3</v>
      </c>
      <c r="E27" s="67">
        <v>62.300000000000011</v>
      </c>
      <c r="F27" s="67">
        <v>60.59999999999998</v>
      </c>
      <c r="G27" s="44"/>
      <c r="H27" s="44"/>
    </row>
    <row r="28" spans="1:8" ht="26.1" customHeight="1">
      <c r="A28" s="55" t="s">
        <v>156</v>
      </c>
      <c r="B28" s="56" t="s">
        <v>157</v>
      </c>
      <c r="C28" s="67">
        <v>607.9</v>
      </c>
      <c r="D28" s="67">
        <v>832.69999999999993</v>
      </c>
      <c r="E28" s="67">
        <v>390.30000000000018</v>
      </c>
      <c r="F28" s="67">
        <v>422.20000000000016</v>
      </c>
      <c r="G28" s="44"/>
      <c r="H28" s="44"/>
    </row>
    <row r="29" spans="1:8" ht="26.1" customHeight="1">
      <c r="A29" s="55" t="s">
        <v>158</v>
      </c>
      <c r="B29" s="56" t="s">
        <v>159</v>
      </c>
      <c r="C29" s="67">
        <v>159</v>
      </c>
      <c r="D29" s="67">
        <v>201.3</v>
      </c>
      <c r="E29" s="67">
        <v>194.3</v>
      </c>
      <c r="F29" s="67">
        <v>160.69999999999993</v>
      </c>
      <c r="G29" s="44"/>
      <c r="H29" s="44"/>
    </row>
    <row r="30" spans="1:8" ht="26.1" customHeight="1">
      <c r="A30" s="55" t="s">
        <v>160</v>
      </c>
      <c r="B30" s="56" t="s">
        <v>161</v>
      </c>
      <c r="C30" s="67">
        <v>149.30000000000001</v>
      </c>
      <c r="D30" s="67">
        <v>153.30000000000001</v>
      </c>
      <c r="E30" s="67">
        <v>154.39999999999998</v>
      </c>
      <c r="F30" s="67">
        <v>195.70000000000005</v>
      </c>
      <c r="G30" s="44"/>
      <c r="H30" s="44"/>
    </row>
    <row r="31" spans="1:8" ht="26.1" customHeight="1">
      <c r="A31" s="55" t="s">
        <v>162</v>
      </c>
      <c r="B31" s="56" t="s">
        <v>163</v>
      </c>
      <c r="C31" s="67">
        <v>74.8</v>
      </c>
      <c r="D31" s="67">
        <v>38.700000000000003</v>
      </c>
      <c r="E31" s="67">
        <v>60.399999999999991</v>
      </c>
      <c r="F31" s="67">
        <v>106.99999999999999</v>
      </c>
      <c r="G31" s="44"/>
      <c r="H31" s="44"/>
    </row>
    <row r="32" spans="1:8" ht="26.1" customHeight="1">
      <c r="A32" s="55" t="s">
        <v>164</v>
      </c>
      <c r="B32" s="56" t="s">
        <v>165</v>
      </c>
      <c r="C32" s="67">
        <v>111.2</v>
      </c>
      <c r="D32" s="67">
        <v>79.499999999999986</v>
      </c>
      <c r="E32" s="67">
        <v>122.8</v>
      </c>
      <c r="F32" s="67">
        <v>140.19999999999999</v>
      </c>
      <c r="G32" s="44"/>
      <c r="H32" s="44"/>
    </row>
    <row r="33" spans="1:8" ht="26.1" customHeight="1">
      <c r="A33" s="55" t="s">
        <v>166</v>
      </c>
      <c r="B33" s="56" t="s">
        <v>167</v>
      </c>
      <c r="C33" s="67">
        <v>8.6</v>
      </c>
      <c r="D33" s="67">
        <v>1.8000000000000007</v>
      </c>
      <c r="E33" s="67">
        <v>1.2999999999999989</v>
      </c>
      <c r="F33" s="67">
        <v>0.3</v>
      </c>
      <c r="G33" s="44"/>
      <c r="H33" s="44"/>
    </row>
    <row r="34" spans="1:8" ht="26.1" customHeight="1">
      <c r="A34" s="55" t="s">
        <v>168</v>
      </c>
      <c r="B34" s="56" t="s">
        <v>169</v>
      </c>
      <c r="C34" s="67">
        <v>30.2</v>
      </c>
      <c r="D34" s="67">
        <v>44.399999999999991</v>
      </c>
      <c r="E34" s="67">
        <v>16.700000000000006</v>
      </c>
      <c r="F34" s="67">
        <v>23.100000000000005</v>
      </c>
      <c r="G34" s="44"/>
      <c r="H34" s="44"/>
    </row>
    <row r="35" spans="1:8" ht="26.1" customHeight="1">
      <c r="A35" s="55" t="s">
        <v>170</v>
      </c>
      <c r="B35" s="56" t="s">
        <v>171</v>
      </c>
      <c r="C35" s="67">
        <v>81.5</v>
      </c>
      <c r="D35" s="67">
        <v>75.400000000000006</v>
      </c>
      <c r="E35" s="67">
        <v>79.5</v>
      </c>
      <c r="F35" s="67">
        <v>62.599999999999994</v>
      </c>
      <c r="G35" s="44"/>
      <c r="H35" s="44"/>
    </row>
    <row r="36" spans="1:8" ht="26.1" customHeight="1">
      <c r="A36" s="55" t="s">
        <v>172</v>
      </c>
      <c r="B36" s="56" t="s">
        <v>173</v>
      </c>
      <c r="C36" s="67">
        <v>120.6</v>
      </c>
      <c r="D36" s="67">
        <v>118.4</v>
      </c>
      <c r="E36" s="67">
        <v>97.300000000000011</v>
      </c>
      <c r="F36" s="67">
        <v>108.60000000000005</v>
      </c>
      <c r="G36" s="44"/>
      <c r="H36" s="44"/>
    </row>
    <row r="37" spans="1:8" ht="26.1" customHeight="1">
      <c r="A37" s="55" t="s">
        <v>174</v>
      </c>
      <c r="B37" s="56" t="s">
        <v>175</v>
      </c>
      <c r="C37" s="67">
        <v>54</v>
      </c>
      <c r="D37" s="67">
        <v>63.5</v>
      </c>
      <c r="E37" s="67">
        <v>42.199999999999989</v>
      </c>
      <c r="F37" s="67">
        <v>54.100000000000023</v>
      </c>
      <c r="G37" s="44"/>
      <c r="H37" s="44"/>
    </row>
    <row r="38" spans="1:8" ht="26.1" customHeight="1">
      <c r="A38" s="58" t="s">
        <v>72</v>
      </c>
      <c r="B38" s="59" t="s">
        <v>73</v>
      </c>
      <c r="C38" s="78">
        <v>0.1</v>
      </c>
      <c r="D38" s="78">
        <v>0</v>
      </c>
      <c r="E38" s="78">
        <v>0</v>
      </c>
      <c r="F38" s="78">
        <v>0.1</v>
      </c>
      <c r="G38" s="44"/>
      <c r="H38" s="44"/>
    </row>
    <row r="39" spans="1:8" ht="26.1" customHeight="1">
      <c r="A39" s="63" t="s">
        <v>186</v>
      </c>
      <c r="B39" s="73" t="s">
        <v>188</v>
      </c>
      <c r="C39" s="72"/>
      <c r="H39" s="44"/>
    </row>
    <row r="40" spans="1:8" ht="26.1" customHeight="1">
      <c r="A40" s="63" t="s">
        <v>181</v>
      </c>
      <c r="B40" s="73" t="s">
        <v>77</v>
      </c>
      <c r="C40" s="64"/>
      <c r="H40" s="44"/>
    </row>
    <row r="41" spans="1:8" ht="26.1" customHeight="1">
      <c r="A41" s="63" t="s">
        <v>187</v>
      </c>
      <c r="B41" s="73" t="s">
        <v>79</v>
      </c>
      <c r="C41" s="61"/>
      <c r="H41" s="44"/>
    </row>
    <row r="42" spans="1:8" ht="26.1" customHeight="1"/>
    <row r="43" spans="1:8" ht="26.1" customHeight="1"/>
    <row r="44" spans="1:8" ht="26.1" customHeight="1"/>
    <row r="45" spans="1:8" ht="26.1" customHeight="1"/>
    <row r="46" spans="1:8" ht="26.1" customHeight="1"/>
    <row r="47" spans="1:8" ht="26.1" customHeight="1"/>
    <row r="48" spans="1:8" ht="26.1" customHeight="1"/>
    <row r="49" ht="26.1" customHeight="1"/>
    <row r="50" ht="26.1" customHeight="1"/>
    <row r="51" ht="26.1" customHeight="1"/>
    <row r="52" ht="26.1" customHeight="1"/>
    <row r="53" ht="26.1" customHeight="1"/>
    <row r="54" ht="26.1" customHeight="1"/>
    <row r="55" ht="26.1" customHeight="1"/>
    <row r="56" ht="26.1" customHeight="1"/>
    <row r="57" ht="26.1" customHeight="1"/>
    <row r="58" ht="26.1" customHeight="1"/>
    <row r="59" ht="26.1" customHeight="1"/>
    <row r="60" ht="26.1" customHeight="1"/>
    <row r="61" ht="26.1" customHeight="1"/>
    <row r="62" ht="26.1" customHeight="1"/>
    <row r="63" ht="26.1" customHeight="1"/>
    <row r="64" ht="26.1" customHeight="1"/>
    <row r="65" ht="26.1" customHeight="1"/>
    <row r="66" ht="26.1" customHeight="1"/>
    <row r="67" ht="26.1" customHeight="1"/>
    <row r="68" ht="26.1" customHeight="1"/>
    <row r="69" ht="26.1" customHeight="1"/>
    <row r="70" ht="26.1" customHeight="1"/>
    <row r="71" ht="26.1" customHeight="1"/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7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49EC-C79D-417A-8A60-68C26F688EF2}">
  <sheetPr>
    <pageSetUpPr fitToPage="1"/>
  </sheetPr>
  <dimension ref="A2:G72"/>
  <sheetViews>
    <sheetView view="pageBreakPreview" topLeftCell="B1" zoomScale="80" zoomScaleNormal="100" zoomScaleSheetLayoutView="80" workbookViewId="0">
      <selection activeCell="F4" sqref="F4:F6"/>
    </sheetView>
  </sheetViews>
  <sheetFormatPr defaultRowHeight="12.75"/>
  <cols>
    <col min="1" max="1" width="60.85546875" customWidth="1"/>
    <col min="2" max="2" width="71" customWidth="1"/>
    <col min="3" max="4" width="28.42578125" customWidth="1"/>
    <col min="5" max="6" width="27.140625" customWidth="1"/>
  </cols>
  <sheetData>
    <row r="2" spans="1:6" ht="20.25" customHeight="1">
      <c r="A2" s="99" t="s">
        <v>0</v>
      </c>
      <c r="B2" s="99"/>
      <c r="C2" s="99"/>
      <c r="D2" s="99"/>
      <c r="E2" s="99"/>
      <c r="F2" s="99"/>
    </row>
    <row r="3" spans="1:6" ht="26.25">
      <c r="A3" s="6"/>
      <c r="B3" s="4"/>
      <c r="F3" s="71" t="s">
        <v>1</v>
      </c>
    </row>
    <row r="4" spans="1:6" ht="20.25" customHeight="1">
      <c r="A4" s="100" t="s">
        <v>7</v>
      </c>
      <c r="B4" s="103" t="s">
        <v>2</v>
      </c>
      <c r="C4" s="46" t="s">
        <v>3</v>
      </c>
      <c r="D4" s="46" t="s">
        <v>4</v>
      </c>
      <c r="E4" s="46" t="s">
        <v>5</v>
      </c>
      <c r="F4" s="46" t="s">
        <v>6</v>
      </c>
    </row>
    <row r="5" spans="1:6" ht="13.15" customHeight="1">
      <c r="A5" s="101"/>
      <c r="B5" s="104"/>
      <c r="C5" s="89" t="s">
        <v>205</v>
      </c>
      <c r="D5" s="89" t="s">
        <v>206</v>
      </c>
      <c r="E5" s="89" t="s">
        <v>207</v>
      </c>
      <c r="F5" s="89" t="s">
        <v>208</v>
      </c>
    </row>
    <row r="6" spans="1:6" ht="20.25" customHeight="1">
      <c r="A6" s="102"/>
      <c r="B6" s="105"/>
      <c r="C6" s="90"/>
      <c r="D6" s="90"/>
      <c r="E6" s="90"/>
      <c r="F6" s="90"/>
    </row>
    <row r="7" spans="1:6" ht="26.1" customHeight="1">
      <c r="A7" s="79" t="s">
        <v>126</v>
      </c>
      <c r="B7" s="80" t="s">
        <v>13</v>
      </c>
      <c r="C7" s="65">
        <v>8325.2000000000007</v>
      </c>
      <c r="D7" s="65">
        <v>8124.3999999999978</v>
      </c>
      <c r="E7" s="65">
        <v>7670</v>
      </c>
      <c r="F7" s="65">
        <v>8441.4000000000015</v>
      </c>
    </row>
    <row r="8" spans="1:6" ht="26.1" customHeight="1">
      <c r="A8" s="81" t="s">
        <v>14</v>
      </c>
      <c r="B8" s="82" t="s">
        <v>15</v>
      </c>
      <c r="C8" s="66">
        <v>1642.3000000000002</v>
      </c>
      <c r="D8" s="66">
        <v>1644.7999999999997</v>
      </c>
      <c r="E8" s="66">
        <v>1423.1999999999994</v>
      </c>
      <c r="F8" s="66">
        <v>1148.3000000000011</v>
      </c>
    </row>
    <row r="9" spans="1:6" ht="26.1" customHeight="1">
      <c r="A9" s="83" t="s">
        <v>16</v>
      </c>
      <c r="B9" s="84" t="s">
        <v>17</v>
      </c>
      <c r="C9" s="67">
        <v>870.6</v>
      </c>
      <c r="D9" s="67">
        <v>665.99999999999989</v>
      </c>
      <c r="E9" s="67">
        <v>291.19999999999982</v>
      </c>
      <c r="F9" s="67">
        <v>262</v>
      </c>
    </row>
    <row r="10" spans="1:6" ht="26.1" customHeight="1">
      <c r="A10" s="83" t="s">
        <v>127</v>
      </c>
      <c r="B10" s="84" t="s">
        <v>180</v>
      </c>
      <c r="C10" s="67">
        <v>738.80000000000007</v>
      </c>
      <c r="D10" s="67">
        <v>941.99999999999989</v>
      </c>
      <c r="E10" s="67">
        <v>1096.7999999999997</v>
      </c>
      <c r="F10" s="67">
        <v>855.10000000000036</v>
      </c>
    </row>
    <row r="11" spans="1:6" ht="26.1" customHeight="1">
      <c r="A11" s="81" t="s">
        <v>129</v>
      </c>
      <c r="B11" s="82" t="s">
        <v>23</v>
      </c>
      <c r="C11" s="66">
        <v>989.1</v>
      </c>
      <c r="D11" s="66">
        <v>934.19999999999993</v>
      </c>
      <c r="E11" s="66">
        <v>1146.7000000000003</v>
      </c>
      <c r="F11" s="66">
        <v>1482.2000000000007</v>
      </c>
    </row>
    <row r="12" spans="1:6" ht="26.1" customHeight="1">
      <c r="A12" s="83" t="s">
        <v>130</v>
      </c>
      <c r="B12" s="85" t="s">
        <v>131</v>
      </c>
      <c r="C12" s="68">
        <v>257.90000000000003</v>
      </c>
      <c r="D12" s="68">
        <v>254.59999999999997</v>
      </c>
      <c r="E12" s="68">
        <v>324.40000000000003</v>
      </c>
      <c r="F12" s="68">
        <v>394.00000000000006</v>
      </c>
    </row>
    <row r="13" spans="1:6" ht="26.1" customHeight="1">
      <c r="A13" s="83" t="s">
        <v>132</v>
      </c>
      <c r="B13" s="85" t="s">
        <v>133</v>
      </c>
      <c r="C13" s="68">
        <v>150.5</v>
      </c>
      <c r="D13" s="68">
        <v>107</v>
      </c>
      <c r="E13" s="68">
        <v>160.59999999999997</v>
      </c>
      <c r="F13" s="68">
        <v>188.2</v>
      </c>
    </row>
    <row r="14" spans="1:6" ht="26.1" customHeight="1">
      <c r="A14" s="83" t="s">
        <v>134</v>
      </c>
      <c r="B14" s="84" t="s">
        <v>135</v>
      </c>
      <c r="C14" s="68">
        <v>146.1</v>
      </c>
      <c r="D14" s="68">
        <v>74.400000000000006</v>
      </c>
      <c r="E14" s="68">
        <v>100</v>
      </c>
      <c r="F14" s="68">
        <v>155.1</v>
      </c>
    </row>
    <row r="15" spans="1:6" ht="26.1" customHeight="1">
      <c r="A15" s="83" t="s">
        <v>136</v>
      </c>
      <c r="B15" s="84" t="s">
        <v>137</v>
      </c>
      <c r="C15" s="68">
        <v>44.2</v>
      </c>
      <c r="D15" s="68">
        <v>17.899999999999999</v>
      </c>
      <c r="E15" s="68">
        <v>38.4</v>
      </c>
      <c r="F15" s="68">
        <v>48.400000000000013</v>
      </c>
    </row>
    <row r="16" spans="1:6" ht="26.1" customHeight="1">
      <c r="A16" s="81" t="s">
        <v>38</v>
      </c>
      <c r="B16" s="82" t="s">
        <v>39</v>
      </c>
      <c r="C16" s="66">
        <v>1588.6</v>
      </c>
      <c r="D16" s="66">
        <v>1310.7000000000003</v>
      </c>
      <c r="E16" s="66">
        <v>1130</v>
      </c>
      <c r="F16" s="75">
        <v>1699.099999999999</v>
      </c>
    </row>
    <row r="17" spans="1:7" ht="26.1" customHeight="1">
      <c r="A17" s="83" t="s">
        <v>138</v>
      </c>
      <c r="B17" s="85" t="s">
        <v>139</v>
      </c>
      <c r="C17" s="67">
        <v>619.80000000000007</v>
      </c>
      <c r="D17" s="67">
        <v>431.69999999999993</v>
      </c>
      <c r="E17" s="67">
        <v>257.5</v>
      </c>
      <c r="F17" s="76">
        <v>599.4</v>
      </c>
    </row>
    <row r="18" spans="1:7" ht="26.1" customHeight="1">
      <c r="A18" s="83" t="s">
        <v>140</v>
      </c>
      <c r="B18" s="84" t="s">
        <v>141</v>
      </c>
      <c r="C18" s="67">
        <v>165.70000000000002</v>
      </c>
      <c r="D18" s="67">
        <v>112.20000000000002</v>
      </c>
      <c r="E18" s="67">
        <v>200.4</v>
      </c>
      <c r="F18" s="76">
        <v>189.2</v>
      </c>
      <c r="G18" s="44"/>
    </row>
    <row r="19" spans="1:7" ht="26.1" customHeight="1">
      <c r="A19" s="83" t="s">
        <v>142</v>
      </c>
      <c r="B19" s="84" t="s">
        <v>143</v>
      </c>
      <c r="C19" s="67">
        <v>290.2</v>
      </c>
      <c r="D19" s="67">
        <v>286.3</v>
      </c>
      <c r="E19" s="67">
        <v>212.19999999999993</v>
      </c>
      <c r="F19" s="76">
        <v>296.8</v>
      </c>
    </row>
    <row r="20" spans="1:7" ht="26.1" customHeight="1">
      <c r="A20" s="83" t="s">
        <v>144</v>
      </c>
      <c r="B20" s="84" t="s">
        <v>145</v>
      </c>
      <c r="C20" s="67">
        <v>45.6</v>
      </c>
      <c r="D20" s="67">
        <v>31.499999999999993</v>
      </c>
      <c r="E20" s="67">
        <v>22.600000000000009</v>
      </c>
      <c r="F20" s="67">
        <v>29.800000000000004</v>
      </c>
    </row>
    <row r="21" spans="1:7" ht="26.1" customHeight="1">
      <c r="A21" s="83" t="s">
        <v>146</v>
      </c>
      <c r="B21" s="84" t="s">
        <v>147</v>
      </c>
      <c r="C21" s="68">
        <v>2.8</v>
      </c>
      <c r="D21" s="68">
        <v>2.7</v>
      </c>
      <c r="E21" s="68">
        <v>1.3999999999999995</v>
      </c>
      <c r="F21" s="68">
        <v>2.6000000000000005</v>
      </c>
    </row>
    <row r="22" spans="1:7" ht="26.1" customHeight="1">
      <c r="A22" s="83" t="s">
        <v>148</v>
      </c>
      <c r="B22" s="84" t="s">
        <v>149</v>
      </c>
      <c r="C22" s="68">
        <v>150.5</v>
      </c>
      <c r="D22" s="68">
        <v>172.8</v>
      </c>
      <c r="E22" s="68">
        <v>136.10000000000002</v>
      </c>
      <c r="F22" s="68">
        <v>175.7</v>
      </c>
    </row>
    <row r="23" spans="1:7" ht="26.1" customHeight="1">
      <c r="A23" s="81" t="s">
        <v>50</v>
      </c>
      <c r="B23" s="82" t="s">
        <v>51</v>
      </c>
      <c r="C23" s="66">
        <v>4105.2</v>
      </c>
      <c r="D23" s="66">
        <v>4234.7</v>
      </c>
      <c r="E23" s="66">
        <v>3970.0999999999995</v>
      </c>
      <c r="F23" s="66">
        <v>4111.7999999999993</v>
      </c>
    </row>
    <row r="24" spans="1:7" ht="26.1" customHeight="1">
      <c r="A24" s="83" t="s">
        <v>150</v>
      </c>
      <c r="B24" s="85" t="s">
        <v>151</v>
      </c>
      <c r="C24" s="68">
        <v>253.9</v>
      </c>
      <c r="D24" s="68">
        <v>262.80000000000007</v>
      </c>
      <c r="E24" s="68">
        <v>233.89999999999986</v>
      </c>
      <c r="F24" s="68">
        <v>225.50000000000011</v>
      </c>
    </row>
    <row r="25" spans="1:7" ht="26.1" customHeight="1">
      <c r="A25" s="83" t="s">
        <v>152</v>
      </c>
      <c r="B25" s="85" t="s">
        <v>153</v>
      </c>
      <c r="C25" s="68">
        <v>277</v>
      </c>
      <c r="D25" s="68">
        <v>298.60000000000002</v>
      </c>
      <c r="E25" s="68">
        <v>195.29999999999995</v>
      </c>
      <c r="F25" s="68">
        <v>293.60000000000002</v>
      </c>
    </row>
    <row r="26" spans="1:7" ht="26.1" customHeight="1">
      <c r="A26" s="83" t="s">
        <v>68</v>
      </c>
      <c r="B26" s="85" t="s">
        <v>69</v>
      </c>
      <c r="C26" s="68">
        <v>260.39999999999998</v>
      </c>
      <c r="D26" s="68">
        <v>222.3</v>
      </c>
      <c r="E26" s="68">
        <v>231.90000000000003</v>
      </c>
      <c r="F26" s="68">
        <v>256</v>
      </c>
    </row>
    <row r="27" spans="1:7" ht="26.1" customHeight="1">
      <c r="A27" s="83" t="s">
        <v>154</v>
      </c>
      <c r="B27" s="84" t="s">
        <v>155</v>
      </c>
      <c r="C27" s="67">
        <v>61.8</v>
      </c>
      <c r="D27" s="67">
        <v>56.8</v>
      </c>
      <c r="E27" s="67">
        <v>50</v>
      </c>
      <c r="F27" s="67">
        <v>49.399999999999991</v>
      </c>
    </row>
    <row r="28" spans="1:7" ht="26.1" customHeight="1">
      <c r="A28" s="83" t="s">
        <v>156</v>
      </c>
      <c r="B28" s="84" t="s">
        <v>157</v>
      </c>
      <c r="C28" s="67">
        <v>389.2</v>
      </c>
      <c r="D28" s="67">
        <v>513.60000000000014</v>
      </c>
      <c r="E28" s="67">
        <v>413.09999999999991</v>
      </c>
      <c r="F28" s="67">
        <v>354.59999999999991</v>
      </c>
    </row>
    <row r="29" spans="1:7" ht="26.1" customHeight="1">
      <c r="A29" s="83" t="s">
        <v>158</v>
      </c>
      <c r="B29" s="84" t="s">
        <v>159</v>
      </c>
      <c r="C29" s="67">
        <v>189</v>
      </c>
      <c r="D29" s="67">
        <v>278.8</v>
      </c>
      <c r="E29" s="67">
        <v>130.39999999999992</v>
      </c>
      <c r="F29" s="67">
        <v>200.30000000000007</v>
      </c>
    </row>
    <row r="30" spans="1:7" ht="26.1" customHeight="1">
      <c r="A30" s="83" t="s">
        <v>160</v>
      </c>
      <c r="B30" s="84" t="s">
        <v>161</v>
      </c>
      <c r="C30" s="67">
        <v>334.5</v>
      </c>
      <c r="D30" s="67">
        <v>281.70000000000005</v>
      </c>
      <c r="E30" s="67">
        <v>277.59999999999991</v>
      </c>
      <c r="F30" s="67">
        <v>378.20000000000005</v>
      </c>
    </row>
    <row r="31" spans="1:7" ht="26.1" customHeight="1">
      <c r="A31" s="83" t="s">
        <v>162</v>
      </c>
      <c r="B31" s="84" t="s">
        <v>163</v>
      </c>
      <c r="C31" s="67">
        <v>116.1</v>
      </c>
      <c r="D31" s="67">
        <v>89</v>
      </c>
      <c r="E31" s="67">
        <v>110.49999999999997</v>
      </c>
      <c r="F31" s="67">
        <v>70.099999999999994</v>
      </c>
    </row>
    <row r="32" spans="1:7" ht="26.1" customHeight="1">
      <c r="A32" s="83" t="s">
        <v>164</v>
      </c>
      <c r="B32" s="84" t="s">
        <v>165</v>
      </c>
      <c r="C32" s="67">
        <v>101.3</v>
      </c>
      <c r="D32" s="67">
        <v>119.89999999999999</v>
      </c>
      <c r="E32" s="67">
        <v>141.30000000000001</v>
      </c>
      <c r="F32" s="67">
        <v>144.39999999999998</v>
      </c>
    </row>
    <row r="33" spans="1:6" ht="26.1" customHeight="1">
      <c r="A33" s="83" t="s">
        <v>166</v>
      </c>
      <c r="B33" s="84" t="s">
        <v>167</v>
      </c>
      <c r="C33" s="67">
        <v>1</v>
      </c>
      <c r="D33" s="67">
        <v>1.2000000000000002</v>
      </c>
      <c r="E33" s="67">
        <v>3</v>
      </c>
      <c r="F33" s="67">
        <v>0.9</v>
      </c>
    </row>
    <row r="34" spans="1:6" ht="26.1" customHeight="1">
      <c r="A34" s="83" t="s">
        <v>168</v>
      </c>
      <c r="B34" s="84" t="s">
        <v>169</v>
      </c>
      <c r="C34" s="67">
        <v>37.700000000000003</v>
      </c>
      <c r="D34" s="67">
        <v>36.299999999999997</v>
      </c>
      <c r="E34" s="67">
        <v>16.299999999999997</v>
      </c>
      <c r="F34" s="67">
        <v>12.700000000000003</v>
      </c>
    </row>
    <row r="35" spans="1:6" ht="26.1" customHeight="1">
      <c r="A35" s="83" t="s">
        <v>170</v>
      </c>
      <c r="B35" s="84" t="s">
        <v>171</v>
      </c>
      <c r="C35" s="67">
        <v>73</v>
      </c>
      <c r="D35" s="67">
        <v>71.399999999999977</v>
      </c>
      <c r="E35" s="67">
        <v>73.800000000000011</v>
      </c>
      <c r="F35" s="67">
        <v>72.300000000000011</v>
      </c>
    </row>
    <row r="36" spans="1:6" ht="26.1" customHeight="1">
      <c r="A36" s="83" t="s">
        <v>172</v>
      </c>
      <c r="B36" s="84" t="s">
        <v>173</v>
      </c>
      <c r="C36" s="67">
        <v>111.4</v>
      </c>
      <c r="D36" s="67">
        <v>106.4</v>
      </c>
      <c r="E36" s="67">
        <v>82.699999999999989</v>
      </c>
      <c r="F36" s="67">
        <v>97.299999999999983</v>
      </c>
    </row>
    <row r="37" spans="1:6" ht="26.1" customHeight="1">
      <c r="A37" s="83" t="s">
        <v>174</v>
      </c>
      <c r="B37" s="84" t="s">
        <v>175</v>
      </c>
      <c r="C37" s="67">
        <v>52</v>
      </c>
      <c r="D37" s="67">
        <v>58.900000000000006</v>
      </c>
      <c r="E37" s="67">
        <v>47.199999999999989</v>
      </c>
      <c r="F37" s="67">
        <v>50.099999999999994</v>
      </c>
    </row>
    <row r="38" spans="1:6" ht="26.1" customHeight="1">
      <c r="A38" s="86" t="s">
        <v>72</v>
      </c>
      <c r="B38" s="87" t="s">
        <v>73</v>
      </c>
      <c r="C38" s="78">
        <v>0</v>
      </c>
      <c r="D38" s="78">
        <v>0</v>
      </c>
      <c r="E38" s="78">
        <v>0</v>
      </c>
      <c r="F38" s="78">
        <v>0</v>
      </c>
    </row>
    <row r="39" spans="1:6" ht="26.1" customHeight="1">
      <c r="A39" s="63" t="s">
        <v>186</v>
      </c>
      <c r="B39" s="73" t="s">
        <v>188</v>
      </c>
      <c r="C39" s="72"/>
      <c r="D39" s="72"/>
      <c r="E39" s="44"/>
    </row>
    <row r="40" spans="1:6" ht="26.1" customHeight="1">
      <c r="A40" s="63" t="s">
        <v>177</v>
      </c>
      <c r="B40" s="73" t="s">
        <v>178</v>
      </c>
      <c r="C40" s="64"/>
      <c r="D40" s="64"/>
      <c r="E40" s="44"/>
    </row>
    <row r="41" spans="1:6" ht="26.1" customHeight="1">
      <c r="A41" s="63" t="s">
        <v>181</v>
      </c>
      <c r="B41" s="73" t="s">
        <v>77</v>
      </c>
      <c r="C41" s="64"/>
      <c r="D41" s="64"/>
      <c r="E41" s="44"/>
    </row>
    <row r="42" spans="1:6" ht="26.1" customHeight="1">
      <c r="A42" s="63" t="s">
        <v>187</v>
      </c>
      <c r="B42" s="73" t="s">
        <v>79</v>
      </c>
      <c r="C42" s="61"/>
      <c r="D42" s="61"/>
      <c r="E42" s="44"/>
    </row>
    <row r="43" spans="1:6" ht="26.1" customHeight="1"/>
    <row r="44" spans="1:6" ht="26.1" customHeight="1"/>
    <row r="45" spans="1:6" ht="26.1" customHeight="1"/>
    <row r="46" spans="1:6" ht="26.1" customHeight="1"/>
    <row r="47" spans="1:6" ht="26.1" customHeight="1"/>
    <row r="48" spans="1:6" ht="26.1" customHeight="1"/>
    <row r="49" ht="26.1" customHeight="1"/>
    <row r="50" ht="26.1" customHeight="1"/>
    <row r="51" ht="26.1" customHeight="1"/>
    <row r="52" ht="26.1" customHeight="1"/>
    <row r="53" ht="26.1" customHeight="1"/>
    <row r="54" ht="26.1" customHeight="1"/>
    <row r="55" ht="26.1" customHeight="1"/>
    <row r="56" ht="26.1" customHeight="1"/>
    <row r="57" ht="26.1" customHeight="1"/>
    <row r="58" ht="26.1" customHeight="1"/>
    <row r="59" ht="26.1" customHeight="1"/>
    <row r="60" ht="26.1" customHeight="1"/>
    <row r="61" ht="26.1" customHeight="1"/>
    <row r="62" ht="26.1" customHeight="1"/>
    <row r="63" ht="26.1" customHeight="1"/>
    <row r="64" ht="26.1" customHeight="1"/>
    <row r="65" ht="26.1" customHeight="1"/>
    <row r="66" ht="26.1" customHeight="1"/>
    <row r="67" ht="26.1" customHeight="1"/>
    <row r="68" ht="26.1" customHeight="1"/>
    <row r="69" ht="26.1" customHeight="1"/>
    <row r="70" ht="26.1" customHeight="1"/>
    <row r="71" ht="26.1" customHeight="1"/>
    <row r="72" ht="26.1" customHeight="1"/>
  </sheetData>
  <mergeCells count="7">
    <mergeCell ref="A2:F2"/>
    <mergeCell ref="F5:F6"/>
    <mergeCell ref="E5:E6"/>
    <mergeCell ref="A4:A6"/>
    <mergeCell ref="B4:B6"/>
    <mergeCell ref="C5:C6"/>
    <mergeCell ref="D5:D6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8" scale="72" fitToWidth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C013-CA21-4656-8649-2BFDF9A87460}">
  <sheetPr>
    <pageSetUpPr fitToPage="1"/>
  </sheetPr>
  <dimension ref="A2:N72"/>
  <sheetViews>
    <sheetView view="pageBreakPreview" topLeftCell="C1" zoomScale="80" zoomScaleNormal="100" zoomScaleSheetLayoutView="80" workbookViewId="0">
      <selection activeCell="E4" sqref="E4:E6"/>
    </sheetView>
  </sheetViews>
  <sheetFormatPr defaultRowHeight="12.75"/>
  <cols>
    <col min="1" max="1" width="60.85546875" customWidth="1"/>
    <col min="2" max="2" width="71" customWidth="1"/>
    <col min="3" max="6" width="28.28515625" customWidth="1"/>
  </cols>
  <sheetData>
    <row r="2" spans="1:14" ht="20.25" customHeight="1">
      <c r="A2" s="99" t="s">
        <v>0</v>
      </c>
      <c r="B2" s="99"/>
      <c r="C2" s="99"/>
      <c r="D2" s="99"/>
      <c r="E2" s="99"/>
      <c r="F2" s="99"/>
    </row>
    <row r="3" spans="1:14" ht="26.25">
      <c r="A3" s="6"/>
      <c r="B3" s="4"/>
      <c r="F3" s="71" t="s">
        <v>1</v>
      </c>
    </row>
    <row r="4" spans="1:14" ht="20.25" customHeight="1">
      <c r="A4" s="100" t="s">
        <v>7</v>
      </c>
      <c r="B4" s="103" t="s">
        <v>2</v>
      </c>
      <c r="C4" s="46" t="s">
        <v>3</v>
      </c>
      <c r="D4" s="46" t="s">
        <v>4</v>
      </c>
      <c r="E4" s="46" t="s">
        <v>5</v>
      </c>
      <c r="F4" s="46" t="s">
        <v>6</v>
      </c>
    </row>
    <row r="5" spans="1:14" ht="13.15" customHeight="1">
      <c r="A5" s="101"/>
      <c r="B5" s="104"/>
      <c r="C5" s="89" t="s">
        <v>213</v>
      </c>
      <c r="D5" s="89" t="s">
        <v>214</v>
      </c>
      <c r="E5" s="89" t="s">
        <v>215</v>
      </c>
      <c r="F5" s="89" t="s">
        <v>216</v>
      </c>
    </row>
    <row r="6" spans="1:14" ht="20.25" customHeight="1">
      <c r="A6" s="102"/>
      <c r="B6" s="105"/>
      <c r="C6" s="90"/>
      <c r="D6" s="90"/>
      <c r="E6" s="90"/>
      <c r="F6" s="90"/>
    </row>
    <row r="7" spans="1:14" ht="26.1" customHeight="1">
      <c r="A7" s="79" t="s">
        <v>126</v>
      </c>
      <c r="B7" s="80" t="s">
        <v>13</v>
      </c>
      <c r="C7" s="65">
        <v>9088.7999999999993</v>
      </c>
      <c r="D7" s="65">
        <v>9622.5</v>
      </c>
      <c r="E7" s="65">
        <v>11038.900000000001</v>
      </c>
      <c r="F7" s="65">
        <v>10454.999999999996</v>
      </c>
      <c r="K7" s="44"/>
      <c r="L7" s="44"/>
      <c r="M7" s="44"/>
      <c r="N7" s="44"/>
    </row>
    <row r="8" spans="1:14" ht="26.1" customHeight="1">
      <c r="A8" s="81" t="s">
        <v>14</v>
      </c>
      <c r="B8" s="82" t="s">
        <v>15</v>
      </c>
      <c r="C8" s="66">
        <v>1330.1</v>
      </c>
      <c r="D8" s="66">
        <v>1840.5</v>
      </c>
      <c r="E8" s="66">
        <v>1218.8000000000006</v>
      </c>
      <c r="F8" s="66">
        <v>1487.1999999999994</v>
      </c>
      <c r="K8" s="44"/>
      <c r="L8" s="44"/>
      <c r="M8" s="44"/>
      <c r="N8" s="44"/>
    </row>
    <row r="9" spans="1:14" ht="26.1" customHeight="1">
      <c r="A9" s="83" t="s">
        <v>16</v>
      </c>
      <c r="B9" s="84" t="s">
        <v>17</v>
      </c>
      <c r="C9" s="67">
        <v>344</v>
      </c>
      <c r="D9" s="67">
        <v>478.29999999999995</v>
      </c>
      <c r="E9" s="67">
        <v>221.30000000000018</v>
      </c>
      <c r="F9" s="67">
        <v>347.89999999999986</v>
      </c>
      <c r="K9" s="44"/>
      <c r="L9" s="44"/>
      <c r="M9" s="44"/>
      <c r="N9" s="44"/>
    </row>
    <row r="10" spans="1:14" ht="26.1" customHeight="1">
      <c r="A10" s="83" t="s">
        <v>127</v>
      </c>
      <c r="B10" s="84" t="s">
        <v>180</v>
      </c>
      <c r="C10" s="67">
        <v>849.6</v>
      </c>
      <c r="D10" s="67">
        <v>1320.9</v>
      </c>
      <c r="E10" s="67">
        <v>960.80000000000018</v>
      </c>
      <c r="F10" s="67">
        <v>1071.5</v>
      </c>
      <c r="K10" s="44"/>
      <c r="L10" s="44"/>
      <c r="M10" s="44"/>
      <c r="N10" s="44"/>
    </row>
    <row r="11" spans="1:14" ht="26.1" customHeight="1">
      <c r="A11" s="81" t="s">
        <v>129</v>
      </c>
      <c r="B11" s="82" t="s">
        <v>23</v>
      </c>
      <c r="C11" s="66">
        <v>1336.8</v>
      </c>
      <c r="D11" s="66">
        <v>1122.2000000000005</v>
      </c>
      <c r="E11" s="66">
        <v>1566.2999999999995</v>
      </c>
      <c r="F11" s="66">
        <v>1884.1000000000006</v>
      </c>
      <c r="K11" s="44"/>
      <c r="L11" s="44"/>
      <c r="M11" s="44"/>
      <c r="N11" s="44"/>
    </row>
    <row r="12" spans="1:14" ht="26.1" customHeight="1">
      <c r="A12" s="83" t="s">
        <v>130</v>
      </c>
      <c r="B12" s="85" t="s">
        <v>131</v>
      </c>
      <c r="C12" s="68">
        <v>330.9</v>
      </c>
      <c r="D12" s="68">
        <v>299.39999999999998</v>
      </c>
      <c r="E12" s="68">
        <v>392.4</v>
      </c>
      <c r="F12" s="68">
        <v>486.29999999999995</v>
      </c>
      <c r="K12" s="44"/>
      <c r="L12" s="44"/>
      <c r="M12" s="44"/>
      <c r="N12" s="44"/>
    </row>
    <row r="13" spans="1:14" ht="26.1" customHeight="1">
      <c r="A13" s="83" t="s">
        <v>132</v>
      </c>
      <c r="B13" s="85" t="s">
        <v>133</v>
      </c>
      <c r="C13" s="68">
        <v>240.1</v>
      </c>
      <c r="D13" s="68">
        <v>154.99999999999997</v>
      </c>
      <c r="E13" s="68">
        <v>301.29999999999995</v>
      </c>
      <c r="F13" s="68">
        <v>376.49999999999989</v>
      </c>
      <c r="K13" s="44"/>
      <c r="L13" s="44"/>
      <c r="M13" s="44"/>
      <c r="N13" s="44"/>
    </row>
    <row r="14" spans="1:14" ht="26.1" customHeight="1">
      <c r="A14" s="83" t="s">
        <v>134</v>
      </c>
      <c r="B14" s="84" t="s">
        <v>135</v>
      </c>
      <c r="C14" s="68">
        <v>164.79999999999998</v>
      </c>
      <c r="D14" s="68">
        <v>86.30000000000004</v>
      </c>
      <c r="E14" s="68">
        <v>96</v>
      </c>
      <c r="F14" s="68">
        <v>146.89999999999995</v>
      </c>
      <c r="K14" s="44"/>
      <c r="L14" s="44"/>
      <c r="M14" s="44"/>
      <c r="N14" s="44"/>
    </row>
    <row r="15" spans="1:14" ht="26.1" customHeight="1">
      <c r="A15" s="83" t="s">
        <v>136</v>
      </c>
      <c r="B15" s="84" t="s">
        <v>137</v>
      </c>
      <c r="C15" s="68">
        <v>19.399999999999999</v>
      </c>
      <c r="D15" s="68">
        <v>13.100000000000001</v>
      </c>
      <c r="E15" s="68">
        <v>30.599999999999994</v>
      </c>
      <c r="F15" s="68">
        <v>45.500000000000007</v>
      </c>
      <c r="K15" s="44"/>
      <c r="L15" s="44"/>
      <c r="M15" s="44"/>
      <c r="N15" s="44"/>
    </row>
    <row r="16" spans="1:14" ht="26.1" customHeight="1">
      <c r="A16" s="81" t="s">
        <v>38</v>
      </c>
      <c r="B16" s="82" t="s">
        <v>39</v>
      </c>
      <c r="C16" s="66">
        <v>1749.8000000000002</v>
      </c>
      <c r="D16" s="66">
        <v>1729.2999999999997</v>
      </c>
      <c r="E16" s="66">
        <v>3406.7000000000003</v>
      </c>
      <c r="F16" s="66">
        <v>1918.5000000000005</v>
      </c>
      <c r="K16" s="44"/>
      <c r="L16" s="44"/>
      <c r="M16" s="44"/>
      <c r="N16" s="44"/>
    </row>
    <row r="17" spans="1:14" ht="26.1" customHeight="1">
      <c r="A17" s="83" t="s">
        <v>138</v>
      </c>
      <c r="B17" s="85" t="s">
        <v>139</v>
      </c>
      <c r="C17" s="67">
        <v>554.5</v>
      </c>
      <c r="D17" s="67">
        <v>620.5</v>
      </c>
      <c r="E17" s="67">
        <v>2229</v>
      </c>
      <c r="F17" s="67">
        <v>640.5</v>
      </c>
      <c r="K17" s="44"/>
      <c r="L17" s="44"/>
      <c r="M17" s="44"/>
      <c r="N17" s="44"/>
    </row>
    <row r="18" spans="1:14" ht="26.1" customHeight="1">
      <c r="A18" s="83" t="s">
        <v>140</v>
      </c>
      <c r="B18" s="84" t="s">
        <v>141</v>
      </c>
      <c r="C18" s="67">
        <v>211.29999999999998</v>
      </c>
      <c r="D18" s="67">
        <v>180.49999999999997</v>
      </c>
      <c r="E18" s="67">
        <v>222.20000000000007</v>
      </c>
      <c r="F18" s="67">
        <v>214.09999999999988</v>
      </c>
      <c r="K18" s="44"/>
      <c r="L18" s="44"/>
      <c r="M18" s="44"/>
      <c r="N18" s="44"/>
    </row>
    <row r="19" spans="1:14" ht="26.1" customHeight="1">
      <c r="A19" s="83" t="s">
        <v>142</v>
      </c>
      <c r="B19" s="84" t="s">
        <v>143</v>
      </c>
      <c r="C19" s="67">
        <v>258.3</v>
      </c>
      <c r="D19" s="67">
        <v>181.3</v>
      </c>
      <c r="E19" s="67">
        <v>284</v>
      </c>
      <c r="F19" s="67">
        <v>266.60000000000008</v>
      </c>
      <c r="G19" s="44"/>
      <c r="K19" s="44"/>
      <c r="L19" s="44"/>
      <c r="M19" s="44"/>
      <c r="N19" s="44"/>
    </row>
    <row r="20" spans="1:14" ht="26.1" customHeight="1">
      <c r="A20" s="83" t="s">
        <v>144</v>
      </c>
      <c r="B20" s="84" t="s">
        <v>145</v>
      </c>
      <c r="C20" s="67">
        <v>61</v>
      </c>
      <c r="D20" s="67">
        <v>54.599999999999994</v>
      </c>
      <c r="E20" s="67">
        <v>48.800000000000011</v>
      </c>
      <c r="F20" s="67">
        <v>61.5</v>
      </c>
      <c r="K20" s="44"/>
      <c r="L20" s="44"/>
      <c r="M20" s="44"/>
      <c r="N20" s="44"/>
    </row>
    <row r="21" spans="1:14" ht="26.1" customHeight="1">
      <c r="A21" s="83" t="s">
        <v>146</v>
      </c>
      <c r="B21" s="84" t="s">
        <v>147</v>
      </c>
      <c r="C21" s="68">
        <v>5.3000000000000007</v>
      </c>
      <c r="D21" s="68">
        <v>5.1999999999999993</v>
      </c>
      <c r="E21" s="68">
        <v>10.199999999999999</v>
      </c>
      <c r="F21" s="68">
        <v>5.5</v>
      </c>
      <c r="K21" s="44"/>
      <c r="L21" s="44"/>
      <c r="M21" s="44"/>
      <c r="N21" s="44"/>
    </row>
    <row r="22" spans="1:14" ht="26.1" customHeight="1">
      <c r="A22" s="83" t="s">
        <v>148</v>
      </c>
      <c r="B22" s="84" t="s">
        <v>149</v>
      </c>
      <c r="C22" s="68">
        <v>145.5</v>
      </c>
      <c r="D22" s="68">
        <v>139</v>
      </c>
      <c r="E22" s="68">
        <v>111.19999999999999</v>
      </c>
      <c r="F22" s="68">
        <v>175.09999999999997</v>
      </c>
      <c r="K22" s="44"/>
      <c r="L22" s="44"/>
      <c r="M22" s="44"/>
      <c r="N22" s="44"/>
    </row>
    <row r="23" spans="1:14" ht="26.1" customHeight="1">
      <c r="A23" s="81" t="s">
        <v>50</v>
      </c>
      <c r="B23" s="82" t="s">
        <v>51</v>
      </c>
      <c r="C23" s="66">
        <v>4672.1000000000004</v>
      </c>
      <c r="D23" s="66">
        <v>4930.4999999999982</v>
      </c>
      <c r="E23" s="66">
        <v>4847.1000000000004</v>
      </c>
      <c r="F23" s="66">
        <v>5165.1999999999989</v>
      </c>
      <c r="K23" s="44"/>
      <c r="L23" s="44"/>
      <c r="M23" s="44"/>
      <c r="N23" s="44"/>
    </row>
    <row r="24" spans="1:14" ht="26.1" customHeight="1">
      <c r="A24" s="83" t="s">
        <v>150</v>
      </c>
      <c r="B24" s="85" t="s">
        <v>151</v>
      </c>
      <c r="C24" s="68">
        <v>238.7</v>
      </c>
      <c r="D24" s="68">
        <v>186.60000000000002</v>
      </c>
      <c r="E24" s="68">
        <v>236.40000000000003</v>
      </c>
      <c r="F24" s="68">
        <v>220.7999999999999</v>
      </c>
      <c r="K24" s="44"/>
      <c r="L24" s="44"/>
      <c r="M24" s="44"/>
      <c r="N24" s="44"/>
    </row>
    <row r="25" spans="1:14" ht="26.1" customHeight="1">
      <c r="A25" s="83" t="s">
        <v>152</v>
      </c>
      <c r="B25" s="85" t="s">
        <v>153</v>
      </c>
      <c r="C25" s="68">
        <v>192.9</v>
      </c>
      <c r="D25" s="68">
        <v>177.4</v>
      </c>
      <c r="E25" s="68">
        <v>227.70000000000002</v>
      </c>
      <c r="F25" s="68">
        <v>294</v>
      </c>
      <c r="K25" s="44"/>
      <c r="L25" s="44"/>
      <c r="M25" s="44"/>
      <c r="N25" s="44"/>
    </row>
    <row r="26" spans="1:14" ht="26.1" customHeight="1">
      <c r="A26" s="83" t="s">
        <v>68</v>
      </c>
      <c r="B26" s="85" t="s">
        <v>69</v>
      </c>
      <c r="C26" s="68">
        <v>319.7</v>
      </c>
      <c r="D26" s="68">
        <v>336.59999999999997</v>
      </c>
      <c r="E26" s="68">
        <v>358.2</v>
      </c>
      <c r="F26" s="68">
        <v>361.8</v>
      </c>
      <c r="K26" s="44"/>
      <c r="L26" s="44"/>
      <c r="M26" s="44"/>
      <c r="N26" s="44"/>
    </row>
    <row r="27" spans="1:14" ht="26.1" customHeight="1">
      <c r="A27" s="83" t="s">
        <v>154</v>
      </c>
      <c r="B27" s="84" t="s">
        <v>155</v>
      </c>
      <c r="C27" s="67">
        <v>68.100000000000009</v>
      </c>
      <c r="D27" s="67">
        <v>80.7</v>
      </c>
      <c r="E27" s="67">
        <v>72.999999999999986</v>
      </c>
      <c r="F27" s="67">
        <v>69.800000000000026</v>
      </c>
      <c r="K27" s="44"/>
      <c r="L27" s="44"/>
      <c r="M27" s="44"/>
      <c r="N27" s="44"/>
    </row>
    <row r="28" spans="1:14" ht="26.1" customHeight="1">
      <c r="A28" s="83" t="s">
        <v>156</v>
      </c>
      <c r="B28" s="84" t="s">
        <v>157</v>
      </c>
      <c r="C28" s="67">
        <v>420.1</v>
      </c>
      <c r="D28" s="67">
        <v>359.5</v>
      </c>
      <c r="E28" s="67">
        <v>370.49999999999989</v>
      </c>
      <c r="F28" s="67">
        <v>354.10000000000025</v>
      </c>
      <c r="K28" s="44"/>
      <c r="L28" s="44"/>
      <c r="M28" s="44"/>
      <c r="N28" s="44"/>
    </row>
    <row r="29" spans="1:14" ht="26.1" customHeight="1">
      <c r="A29" s="83" t="s">
        <v>158</v>
      </c>
      <c r="B29" s="84" t="s">
        <v>159</v>
      </c>
      <c r="C29" s="67">
        <v>203.4</v>
      </c>
      <c r="D29" s="67">
        <v>299.39999999999998</v>
      </c>
      <c r="E29" s="67">
        <v>167.20000000000005</v>
      </c>
      <c r="F29" s="67">
        <v>254.6999999999999</v>
      </c>
      <c r="K29" s="44"/>
      <c r="L29" s="44"/>
      <c r="M29" s="44"/>
      <c r="N29" s="44"/>
    </row>
    <row r="30" spans="1:14" ht="26.1" customHeight="1">
      <c r="A30" s="83" t="s">
        <v>160</v>
      </c>
      <c r="B30" s="84" t="s">
        <v>161</v>
      </c>
      <c r="C30" s="67">
        <v>396.2</v>
      </c>
      <c r="D30" s="67">
        <v>410.00000000000006</v>
      </c>
      <c r="E30" s="67">
        <v>338.2</v>
      </c>
      <c r="F30" s="67">
        <v>344.7000000000001</v>
      </c>
      <c r="K30" s="44"/>
      <c r="L30" s="44"/>
      <c r="M30" s="44"/>
      <c r="N30" s="44"/>
    </row>
    <row r="31" spans="1:14" ht="26.1" customHeight="1">
      <c r="A31" s="83" t="s">
        <v>162</v>
      </c>
      <c r="B31" s="84" t="s">
        <v>163</v>
      </c>
      <c r="C31" s="67">
        <v>107.3</v>
      </c>
      <c r="D31" s="67">
        <v>59.499999999999986</v>
      </c>
      <c r="E31" s="67">
        <v>103.60000000000004</v>
      </c>
      <c r="F31" s="67">
        <v>133.89999999999998</v>
      </c>
      <c r="K31" s="44"/>
      <c r="L31" s="44"/>
      <c r="M31" s="44"/>
      <c r="N31" s="44"/>
    </row>
    <row r="32" spans="1:14" ht="26.1" customHeight="1">
      <c r="A32" s="83" t="s">
        <v>164</v>
      </c>
      <c r="B32" s="84" t="s">
        <v>165</v>
      </c>
      <c r="C32" s="67">
        <v>179.20000000000002</v>
      </c>
      <c r="D32" s="67">
        <v>186.6</v>
      </c>
      <c r="E32" s="67">
        <v>191.09999999999994</v>
      </c>
      <c r="F32" s="67">
        <v>209.70000000000007</v>
      </c>
      <c r="K32" s="44"/>
      <c r="L32" s="44"/>
      <c r="M32" s="44"/>
      <c r="N32" s="44"/>
    </row>
    <row r="33" spans="1:14" ht="26.1" customHeight="1">
      <c r="A33" s="83" t="s">
        <v>166</v>
      </c>
      <c r="B33" s="84" t="s">
        <v>167</v>
      </c>
      <c r="C33" s="67">
        <v>2.4</v>
      </c>
      <c r="D33" s="67">
        <v>5.6</v>
      </c>
      <c r="E33" s="67">
        <v>4.8000000000000007</v>
      </c>
      <c r="F33" s="67">
        <v>6.0999999999999979</v>
      </c>
      <c r="K33" s="44"/>
      <c r="L33" s="44"/>
      <c r="M33" s="44"/>
      <c r="N33" s="44"/>
    </row>
    <row r="34" spans="1:14" ht="26.1" customHeight="1">
      <c r="A34" s="83" t="s">
        <v>168</v>
      </c>
      <c r="B34" s="84" t="s">
        <v>169</v>
      </c>
      <c r="C34" s="67">
        <v>41</v>
      </c>
      <c r="D34" s="67">
        <v>41.599999999999994</v>
      </c>
      <c r="E34" s="67">
        <v>27.100000000000009</v>
      </c>
      <c r="F34" s="67">
        <v>6.6</v>
      </c>
      <c r="K34" s="44"/>
      <c r="L34" s="44"/>
      <c r="M34" s="44"/>
      <c r="N34" s="44"/>
    </row>
    <row r="35" spans="1:14" ht="26.1" customHeight="1">
      <c r="A35" s="83" t="s">
        <v>170</v>
      </c>
      <c r="B35" s="84" t="s">
        <v>171</v>
      </c>
      <c r="C35" s="67">
        <v>81.3</v>
      </c>
      <c r="D35" s="67">
        <v>79.000000000000014</v>
      </c>
      <c r="E35" s="67">
        <v>86.999999999999986</v>
      </c>
      <c r="F35" s="67">
        <v>87.800000000000026</v>
      </c>
      <c r="K35" s="44"/>
      <c r="L35" s="44"/>
      <c r="M35" s="44"/>
      <c r="N35" s="44"/>
    </row>
    <row r="36" spans="1:14" ht="26.1" customHeight="1">
      <c r="A36" s="83" t="s">
        <v>172</v>
      </c>
      <c r="B36" s="84" t="s">
        <v>173</v>
      </c>
      <c r="C36" s="67">
        <v>136.9</v>
      </c>
      <c r="D36" s="67">
        <v>134.6</v>
      </c>
      <c r="E36" s="67">
        <v>115.40000000000003</v>
      </c>
      <c r="F36" s="67">
        <v>159.40000000000006</v>
      </c>
      <c r="K36" s="44"/>
      <c r="L36" s="44"/>
      <c r="M36" s="44"/>
      <c r="N36" s="44"/>
    </row>
    <row r="37" spans="1:14" ht="26.1" customHeight="1">
      <c r="A37" s="83" t="s">
        <v>174</v>
      </c>
      <c r="B37" s="84" t="s">
        <v>175</v>
      </c>
      <c r="C37" s="67">
        <v>64.599999999999994</v>
      </c>
      <c r="D37" s="67">
        <v>65.599999999999994</v>
      </c>
      <c r="E37" s="67">
        <v>70.5</v>
      </c>
      <c r="F37" s="67">
        <v>80.199999999999989</v>
      </c>
      <c r="K37" s="44"/>
      <c r="L37" s="44"/>
      <c r="M37" s="44"/>
      <c r="N37" s="44"/>
    </row>
    <row r="38" spans="1:14" ht="26.1" customHeight="1">
      <c r="A38" s="86" t="s">
        <v>72</v>
      </c>
      <c r="B38" s="87" t="s">
        <v>73</v>
      </c>
      <c r="C38" s="78">
        <v>0</v>
      </c>
      <c r="D38" s="78">
        <v>0</v>
      </c>
      <c r="E38" s="78">
        <v>0</v>
      </c>
      <c r="F38" s="78">
        <v>0</v>
      </c>
      <c r="K38" s="44"/>
      <c r="L38" s="44"/>
      <c r="M38" s="44"/>
      <c r="N38" s="44"/>
    </row>
    <row r="39" spans="1:14" ht="26.1" customHeight="1">
      <c r="A39" s="63" t="s">
        <v>186</v>
      </c>
      <c r="B39" s="73" t="s">
        <v>188</v>
      </c>
      <c r="C39" s="72"/>
      <c r="D39" s="44"/>
    </row>
    <row r="40" spans="1:14" ht="26.1" customHeight="1">
      <c r="A40" s="63" t="s">
        <v>177</v>
      </c>
      <c r="B40" s="73" t="s">
        <v>178</v>
      </c>
      <c r="C40" s="64"/>
      <c r="D40" s="44"/>
    </row>
    <row r="41" spans="1:14" ht="26.1" customHeight="1">
      <c r="A41" s="63" t="s">
        <v>181</v>
      </c>
      <c r="B41" s="73" t="s">
        <v>77</v>
      </c>
      <c r="C41" s="64"/>
      <c r="D41" s="44"/>
    </row>
    <row r="42" spans="1:14" ht="26.1" customHeight="1">
      <c r="A42" s="63" t="s">
        <v>187</v>
      </c>
      <c r="B42" s="73" t="s">
        <v>79</v>
      </c>
      <c r="C42" s="61"/>
      <c r="D42" s="44"/>
    </row>
    <row r="43" spans="1:14" ht="26.1" customHeight="1"/>
    <row r="44" spans="1:14" ht="26.1" customHeight="1"/>
    <row r="45" spans="1:14" ht="26.1" customHeight="1"/>
    <row r="46" spans="1:14" ht="26.1" customHeight="1"/>
    <row r="47" spans="1:14" ht="26.1" customHeight="1"/>
    <row r="48" spans="1:14" ht="26.1" customHeight="1"/>
    <row r="49" ht="26.1" customHeight="1"/>
    <row r="50" ht="26.1" customHeight="1"/>
    <row r="51" ht="26.1" customHeight="1"/>
    <row r="52" ht="26.1" customHeight="1"/>
    <row r="53" ht="26.1" customHeight="1"/>
    <row r="54" ht="26.1" customHeight="1"/>
    <row r="55" ht="26.1" customHeight="1"/>
    <row r="56" ht="26.1" customHeight="1"/>
    <row r="57" ht="26.1" customHeight="1"/>
    <row r="58" ht="26.1" customHeight="1"/>
    <row r="59" ht="26.1" customHeight="1"/>
    <row r="60" ht="26.1" customHeight="1"/>
    <row r="61" ht="26.1" customHeight="1"/>
    <row r="62" ht="26.1" customHeight="1"/>
    <row r="63" ht="26.1" customHeight="1"/>
    <row r="64" ht="26.1" customHeight="1"/>
    <row r="65" ht="26.1" customHeight="1"/>
    <row r="66" ht="26.1" customHeight="1"/>
    <row r="67" ht="26.1" customHeight="1"/>
    <row r="68" ht="26.1" customHeight="1"/>
    <row r="69" ht="26.1" customHeight="1"/>
    <row r="70" ht="26.1" customHeight="1"/>
    <row r="71" ht="26.1" customHeight="1"/>
    <row r="72" ht="26.1" customHeight="1"/>
  </sheetData>
  <mergeCells count="7">
    <mergeCell ref="A2:F2"/>
    <mergeCell ref="F5:F6"/>
    <mergeCell ref="E5:E6"/>
    <mergeCell ref="A4:A6"/>
    <mergeCell ref="B4:B6"/>
    <mergeCell ref="C5:C6"/>
    <mergeCell ref="D5:D6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8" scale="7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228F-F199-4AAD-B94C-B1154EBA71A2}">
  <dimension ref="A2:E72"/>
  <sheetViews>
    <sheetView tabSelected="1" view="pageBreakPreview" topLeftCell="A14" zoomScale="80" zoomScaleNormal="100" zoomScaleSheetLayoutView="80" workbookViewId="0">
      <selection activeCell="E40" sqref="E40"/>
    </sheetView>
  </sheetViews>
  <sheetFormatPr defaultRowHeight="12.75"/>
  <cols>
    <col min="1" max="1" width="60.85546875" customWidth="1"/>
    <col min="2" max="2" width="71" customWidth="1"/>
    <col min="3" max="3" width="28.28515625" customWidth="1"/>
    <col min="4" max="5" width="29.5703125" customWidth="1"/>
  </cols>
  <sheetData>
    <row r="2" spans="1:5" ht="20.25" customHeight="1">
      <c r="A2" s="99" t="s">
        <v>0</v>
      </c>
      <c r="B2" s="99"/>
      <c r="C2" s="99"/>
      <c r="D2" s="99"/>
      <c r="E2" s="99"/>
    </row>
    <row r="3" spans="1:5" ht="26.25">
      <c r="A3" s="6"/>
      <c r="B3" s="4"/>
      <c r="E3" s="71" t="s">
        <v>1</v>
      </c>
    </row>
    <row r="4" spans="1:5" ht="20.25" customHeight="1">
      <c r="A4" s="100" t="s">
        <v>7</v>
      </c>
      <c r="B4" s="103" t="s">
        <v>2</v>
      </c>
      <c r="C4" s="46" t="s">
        <v>3</v>
      </c>
      <c r="D4" s="46" t="s">
        <v>4</v>
      </c>
      <c r="E4" s="46" t="s">
        <v>5</v>
      </c>
    </row>
    <row r="5" spans="1:5" ht="13.15" customHeight="1">
      <c r="A5" s="101"/>
      <c r="B5" s="104"/>
      <c r="C5" s="89" t="s">
        <v>222</v>
      </c>
      <c r="D5" s="89" t="s">
        <v>223</v>
      </c>
      <c r="E5" s="89" t="s">
        <v>224</v>
      </c>
    </row>
    <row r="6" spans="1:5" ht="20.25" customHeight="1">
      <c r="A6" s="102"/>
      <c r="B6" s="105"/>
      <c r="C6" s="90"/>
      <c r="D6" s="90"/>
      <c r="E6" s="90"/>
    </row>
    <row r="7" spans="1:5" ht="26.1" customHeight="1">
      <c r="A7" s="79" t="s">
        <v>126</v>
      </c>
      <c r="B7" s="80" t="s">
        <v>13</v>
      </c>
      <c r="C7" s="65">
        <v>11089.5</v>
      </c>
      <c r="D7" s="65">
        <v>9804.2999999999993</v>
      </c>
      <c r="E7" s="65">
        <v>10592.5</v>
      </c>
    </row>
    <row r="8" spans="1:5" ht="26.1" customHeight="1">
      <c r="A8" s="81" t="s">
        <v>14</v>
      </c>
      <c r="B8" s="82" t="s">
        <v>15</v>
      </c>
      <c r="C8" s="66">
        <v>1310.0999999999999</v>
      </c>
      <c r="D8" s="66">
        <v>1433.5</v>
      </c>
      <c r="E8" s="66">
        <v>1710.7999999999997</v>
      </c>
    </row>
    <row r="9" spans="1:5" ht="26.1" customHeight="1">
      <c r="A9" s="83" t="s">
        <v>16</v>
      </c>
      <c r="B9" s="84" t="s">
        <v>17</v>
      </c>
      <c r="C9" s="67">
        <v>286.2</v>
      </c>
      <c r="D9" s="67">
        <v>193</v>
      </c>
      <c r="E9" s="67">
        <v>234.2</v>
      </c>
    </row>
    <row r="10" spans="1:5" ht="26.1" customHeight="1">
      <c r="A10" s="83" t="s">
        <v>127</v>
      </c>
      <c r="B10" s="84" t="s">
        <v>180</v>
      </c>
      <c r="C10" s="67">
        <v>971</v>
      </c>
      <c r="D10" s="67">
        <v>1190.3000000000002</v>
      </c>
      <c r="E10" s="67">
        <v>1355.1999999999998</v>
      </c>
    </row>
    <row r="11" spans="1:5" ht="26.1" customHeight="1">
      <c r="A11" s="81" t="s">
        <v>129</v>
      </c>
      <c r="B11" s="82" t="s">
        <v>23</v>
      </c>
      <c r="C11" s="66">
        <v>1616</v>
      </c>
      <c r="D11" s="66">
        <v>1342.3999999999996</v>
      </c>
      <c r="E11" s="66">
        <v>1768.1000000000004</v>
      </c>
    </row>
    <row r="12" spans="1:5" ht="26.1" customHeight="1">
      <c r="A12" s="83" t="s">
        <v>130</v>
      </c>
      <c r="B12" s="85" t="s">
        <v>131</v>
      </c>
      <c r="C12" s="68">
        <v>438.8</v>
      </c>
      <c r="D12" s="68">
        <v>394.40000000000003</v>
      </c>
      <c r="E12" s="68">
        <v>510.2999999999999</v>
      </c>
    </row>
    <row r="13" spans="1:5" ht="26.1" customHeight="1">
      <c r="A13" s="83" t="s">
        <v>132</v>
      </c>
      <c r="B13" s="85" t="s">
        <v>133</v>
      </c>
      <c r="C13" s="68">
        <v>343.1</v>
      </c>
      <c r="D13" s="68">
        <v>210.69999999999993</v>
      </c>
      <c r="E13" s="68">
        <v>332.50000000000011</v>
      </c>
    </row>
    <row r="14" spans="1:5" ht="26.1" customHeight="1">
      <c r="A14" s="83" t="s">
        <v>134</v>
      </c>
      <c r="B14" s="84" t="s">
        <v>135</v>
      </c>
      <c r="C14" s="68">
        <v>143</v>
      </c>
      <c r="D14" s="68">
        <v>97</v>
      </c>
      <c r="E14" s="68">
        <v>109.90000000000003</v>
      </c>
    </row>
    <row r="15" spans="1:5" ht="26.1" customHeight="1">
      <c r="A15" s="83" t="s">
        <v>136</v>
      </c>
      <c r="B15" s="84" t="s">
        <v>137</v>
      </c>
      <c r="C15" s="68">
        <v>26.700000000000003</v>
      </c>
      <c r="D15" s="68">
        <v>20</v>
      </c>
      <c r="E15" s="68">
        <v>45.699999999999989</v>
      </c>
    </row>
    <row r="16" spans="1:5" ht="26.1" customHeight="1">
      <c r="A16" s="81" t="s">
        <v>38</v>
      </c>
      <c r="B16" s="82" t="s">
        <v>39</v>
      </c>
      <c r="C16" s="66">
        <v>2969</v>
      </c>
      <c r="D16" s="66">
        <v>1930.1000000000004</v>
      </c>
      <c r="E16" s="66">
        <v>2111.7999999999993</v>
      </c>
    </row>
    <row r="17" spans="1:5" ht="26.1" customHeight="1">
      <c r="A17" s="83" t="s">
        <v>138</v>
      </c>
      <c r="B17" s="85" t="s">
        <v>139</v>
      </c>
      <c r="C17" s="67">
        <v>1784.2</v>
      </c>
      <c r="D17" s="67">
        <v>677.2</v>
      </c>
      <c r="E17" s="67">
        <v>890.19999999999959</v>
      </c>
    </row>
    <row r="18" spans="1:5" ht="26.1" customHeight="1">
      <c r="A18" s="83" t="s">
        <v>140</v>
      </c>
      <c r="B18" s="84" t="s">
        <v>141</v>
      </c>
      <c r="C18" s="67">
        <v>201.7</v>
      </c>
      <c r="D18" s="67">
        <v>188.50000000000006</v>
      </c>
      <c r="E18" s="67">
        <v>230.5</v>
      </c>
    </row>
    <row r="19" spans="1:5" ht="26.1" customHeight="1">
      <c r="A19" s="83" t="s">
        <v>142</v>
      </c>
      <c r="B19" s="84" t="s">
        <v>143</v>
      </c>
      <c r="C19" s="67">
        <v>223.3</v>
      </c>
      <c r="D19" s="67">
        <v>203.8</v>
      </c>
      <c r="E19" s="67">
        <v>202.19999999999993</v>
      </c>
    </row>
    <row r="20" spans="1:5" ht="26.1" customHeight="1">
      <c r="A20" s="83" t="s">
        <v>144</v>
      </c>
      <c r="B20" s="84" t="s">
        <v>145</v>
      </c>
      <c r="C20" s="67">
        <v>86.9</v>
      </c>
      <c r="D20" s="67">
        <v>125.19999999999999</v>
      </c>
      <c r="E20" s="67">
        <v>60.900000000000006</v>
      </c>
    </row>
    <row r="21" spans="1:5" ht="26.1" customHeight="1">
      <c r="A21" s="83" t="s">
        <v>146</v>
      </c>
      <c r="B21" s="84" t="s">
        <v>147</v>
      </c>
      <c r="C21" s="68">
        <v>3.6</v>
      </c>
      <c r="D21" s="68">
        <v>9.9</v>
      </c>
      <c r="E21" s="68">
        <v>2.1999999999999988</v>
      </c>
    </row>
    <row r="22" spans="1:5" ht="26.1" customHeight="1">
      <c r="A22" s="83" t="s">
        <v>148</v>
      </c>
      <c r="B22" s="84" t="s">
        <v>149</v>
      </c>
      <c r="C22" s="68">
        <v>128.1</v>
      </c>
      <c r="D22" s="68">
        <v>142.1</v>
      </c>
      <c r="E22" s="68">
        <v>163.70000000000007</v>
      </c>
    </row>
    <row r="23" spans="1:5" ht="26.1" customHeight="1">
      <c r="A23" s="81" t="s">
        <v>50</v>
      </c>
      <c r="B23" s="82" t="s">
        <v>51</v>
      </c>
      <c r="C23" s="66">
        <v>5194.3999999999996</v>
      </c>
      <c r="D23" s="66">
        <v>5098.2999999999993</v>
      </c>
      <c r="E23" s="66">
        <v>5001.8000000000011</v>
      </c>
    </row>
    <row r="24" spans="1:5" ht="26.1" customHeight="1">
      <c r="A24" s="83" t="s">
        <v>150</v>
      </c>
      <c r="B24" s="85" t="s">
        <v>151</v>
      </c>
      <c r="C24" s="68">
        <v>246</v>
      </c>
      <c r="D24" s="68">
        <v>246.40000000000003</v>
      </c>
      <c r="E24" s="68">
        <v>230.19999999999987</v>
      </c>
    </row>
    <row r="25" spans="1:5" ht="26.1" customHeight="1">
      <c r="A25" s="83" t="s">
        <v>152</v>
      </c>
      <c r="B25" s="85" t="s">
        <v>153</v>
      </c>
      <c r="C25" s="68">
        <v>313.60000000000002</v>
      </c>
      <c r="D25" s="68">
        <v>283</v>
      </c>
      <c r="E25" s="68">
        <v>267.5</v>
      </c>
    </row>
    <row r="26" spans="1:5" ht="26.1" customHeight="1">
      <c r="A26" s="83" t="s">
        <v>68</v>
      </c>
      <c r="B26" s="85" t="s">
        <v>69</v>
      </c>
      <c r="C26" s="68">
        <v>386.6</v>
      </c>
      <c r="D26" s="68">
        <v>419.5</v>
      </c>
      <c r="E26" s="68">
        <v>431.69999999999993</v>
      </c>
    </row>
    <row r="27" spans="1:5" ht="26.1" customHeight="1">
      <c r="A27" s="83" t="s">
        <v>154</v>
      </c>
      <c r="B27" s="84" t="s">
        <v>155</v>
      </c>
      <c r="C27" s="67">
        <v>66.7</v>
      </c>
      <c r="D27" s="67">
        <v>78.2</v>
      </c>
      <c r="E27" s="67">
        <v>60.599999999999994</v>
      </c>
    </row>
    <row r="28" spans="1:5" ht="26.1" customHeight="1">
      <c r="A28" s="83" t="s">
        <v>156</v>
      </c>
      <c r="B28" s="84" t="s">
        <v>157</v>
      </c>
      <c r="C28" s="67">
        <v>223.5</v>
      </c>
      <c r="D28" s="67">
        <v>221.2</v>
      </c>
      <c r="E28" s="67">
        <v>346.5</v>
      </c>
    </row>
    <row r="29" spans="1:5" ht="26.1" customHeight="1">
      <c r="A29" s="83" t="s">
        <v>158</v>
      </c>
      <c r="B29" s="84" t="s">
        <v>159</v>
      </c>
      <c r="C29" s="67">
        <v>257.8</v>
      </c>
      <c r="D29" s="67">
        <v>205.5</v>
      </c>
      <c r="E29" s="67">
        <v>175.00000000000006</v>
      </c>
    </row>
    <row r="30" spans="1:5" ht="26.1" customHeight="1">
      <c r="A30" s="83" t="s">
        <v>160</v>
      </c>
      <c r="B30" s="84" t="s">
        <v>161</v>
      </c>
      <c r="C30" s="67">
        <v>334.1</v>
      </c>
      <c r="D30" s="67">
        <v>422.79999999999995</v>
      </c>
      <c r="E30" s="67">
        <v>387.9</v>
      </c>
    </row>
    <row r="31" spans="1:5" ht="26.1" customHeight="1">
      <c r="A31" s="83" t="s">
        <v>162</v>
      </c>
      <c r="B31" s="84" t="s">
        <v>163</v>
      </c>
      <c r="C31" s="67">
        <v>87.4</v>
      </c>
      <c r="D31" s="67">
        <v>57.199999999999989</v>
      </c>
      <c r="E31" s="67">
        <v>67</v>
      </c>
    </row>
    <row r="32" spans="1:5" ht="26.1" customHeight="1">
      <c r="A32" s="83" t="s">
        <v>164</v>
      </c>
      <c r="B32" s="84" t="s">
        <v>165</v>
      </c>
      <c r="C32" s="67">
        <v>178</v>
      </c>
      <c r="D32" s="67">
        <v>198.5</v>
      </c>
      <c r="E32" s="67">
        <v>168.60000000000002</v>
      </c>
    </row>
    <row r="33" spans="1:5" ht="26.1" customHeight="1">
      <c r="A33" s="83" t="s">
        <v>166</v>
      </c>
      <c r="B33" s="84" t="s">
        <v>167</v>
      </c>
      <c r="C33" s="67">
        <v>4</v>
      </c>
      <c r="D33" s="67">
        <v>1.7999999999999998</v>
      </c>
      <c r="E33" s="67">
        <v>0.59999999999999964</v>
      </c>
    </row>
    <row r="34" spans="1:5" ht="26.1" customHeight="1">
      <c r="A34" s="83" t="s">
        <v>168</v>
      </c>
      <c r="B34" s="84" t="s">
        <v>169</v>
      </c>
      <c r="C34" s="67">
        <v>13.2</v>
      </c>
      <c r="D34" s="67">
        <v>17.8</v>
      </c>
      <c r="E34" s="67">
        <v>22.699999999999992</v>
      </c>
    </row>
    <row r="35" spans="1:5" ht="26.1" customHeight="1">
      <c r="A35" s="83" t="s">
        <v>170</v>
      </c>
      <c r="B35" s="84" t="s">
        <v>171</v>
      </c>
      <c r="C35" s="67">
        <v>82</v>
      </c>
      <c r="D35" s="67">
        <v>76.699999999999989</v>
      </c>
      <c r="E35" s="67">
        <v>84.100000000000023</v>
      </c>
    </row>
    <row r="36" spans="1:5" ht="26.1" customHeight="1">
      <c r="A36" s="83" t="s">
        <v>172</v>
      </c>
      <c r="B36" s="84" t="s">
        <v>173</v>
      </c>
      <c r="C36" s="67">
        <v>129.79999999999998</v>
      </c>
      <c r="D36" s="67">
        <v>148.60000000000005</v>
      </c>
      <c r="E36" s="67">
        <v>130.20000000000002</v>
      </c>
    </row>
    <row r="37" spans="1:5" ht="26.1" customHeight="1">
      <c r="A37" s="83" t="s">
        <v>174</v>
      </c>
      <c r="B37" s="84" t="s">
        <v>175</v>
      </c>
      <c r="C37" s="67">
        <v>74.599999999999994</v>
      </c>
      <c r="D37" s="67">
        <v>82.4</v>
      </c>
      <c r="E37" s="67">
        <v>87.4</v>
      </c>
    </row>
    <row r="38" spans="1:5" ht="26.1" customHeight="1">
      <c r="A38" s="86" t="s">
        <v>72</v>
      </c>
      <c r="B38" s="87" t="s">
        <v>73</v>
      </c>
      <c r="C38" s="78">
        <v>0</v>
      </c>
      <c r="D38" s="78">
        <v>0</v>
      </c>
      <c r="E38" s="78">
        <v>0</v>
      </c>
    </row>
    <row r="39" spans="1:5" ht="26.1" customHeight="1">
      <c r="A39" s="63" t="s">
        <v>186</v>
      </c>
      <c r="B39" s="73" t="s">
        <v>188</v>
      </c>
      <c r="C39" s="72"/>
    </row>
    <row r="40" spans="1:5" ht="26.1" customHeight="1">
      <c r="A40" s="63" t="s">
        <v>177</v>
      </c>
      <c r="B40" s="73" t="s">
        <v>178</v>
      </c>
      <c r="C40" s="64"/>
    </row>
    <row r="41" spans="1:5" ht="26.1" customHeight="1">
      <c r="A41" s="63" t="s">
        <v>181</v>
      </c>
      <c r="B41" s="73" t="s">
        <v>77</v>
      </c>
      <c r="C41" s="64"/>
    </row>
    <row r="42" spans="1:5" ht="26.1" customHeight="1">
      <c r="A42" s="63" t="s">
        <v>187</v>
      </c>
      <c r="B42" s="73" t="s">
        <v>79</v>
      </c>
      <c r="C42" s="61"/>
    </row>
    <row r="43" spans="1:5" ht="26.1" customHeight="1"/>
    <row r="44" spans="1:5" ht="26.1" customHeight="1"/>
    <row r="45" spans="1:5" ht="26.1" customHeight="1"/>
    <row r="46" spans="1:5" ht="26.1" customHeight="1"/>
    <row r="47" spans="1:5" ht="26.1" customHeight="1"/>
    <row r="48" spans="1:5" ht="26.1" customHeight="1"/>
    <row r="49" ht="26.1" customHeight="1"/>
    <row r="50" ht="26.1" customHeight="1"/>
    <row r="51" ht="26.1" customHeight="1"/>
    <row r="52" ht="26.1" customHeight="1"/>
    <row r="53" ht="26.1" customHeight="1"/>
    <row r="54" ht="26.1" customHeight="1"/>
    <row r="55" ht="26.1" customHeight="1"/>
    <row r="56" ht="26.1" customHeight="1"/>
    <row r="57" ht="26.1" customHeight="1"/>
    <row r="58" ht="26.1" customHeight="1"/>
    <row r="59" ht="26.1" customHeight="1"/>
    <row r="60" ht="26.1" customHeight="1"/>
    <row r="61" ht="26.1" customHeight="1"/>
    <row r="62" ht="26.1" customHeight="1"/>
    <row r="63" ht="26.1" customHeight="1"/>
    <row r="64" ht="26.1" customHeight="1"/>
    <row r="65" ht="26.1" customHeight="1"/>
    <row r="66" ht="26.1" customHeight="1"/>
    <row r="67" ht="26.1" customHeight="1"/>
    <row r="68" ht="26.1" customHeight="1"/>
    <row r="69" ht="26.1" customHeight="1"/>
    <row r="70" ht="26.1" customHeight="1"/>
    <row r="71" ht="26.1" customHeight="1"/>
    <row r="72" ht="26.1" customHeight="1"/>
  </sheetData>
  <mergeCells count="6">
    <mergeCell ref="E5:E6"/>
    <mergeCell ref="A2:E2"/>
    <mergeCell ref="A4:A6"/>
    <mergeCell ref="B4:B6"/>
    <mergeCell ref="C5:C6"/>
    <mergeCell ref="D5:D6"/>
  </mergeCells>
  <pageMargins left="0.70866141732283472" right="0.70866141732283472" top="0.74803149606299213" bottom="0.74803149606299213" header="0.31496062992125984" footer="0.31496062992125984"/>
  <pageSetup paperSize="8" scale="7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Quarterly</Frequency>
    <_dlc_DocId xmlns="806035d9-ad3b-44db-92a1-1ed4b9daec3e">7NQWTN4WQ7WA-971242747-1927</_dlc_DocId>
    <_dlc_DocIdUrl xmlns="806035d9-ad3b-44db-92a1-1ed4b9daec3e">
      <Url>https://admin.cbe.org.eg/_layouts/15/DocIdRedir.aspx?ID=7NQWTN4WQ7WA-971242747-1927</Url>
      <Description>7NQWTN4WQ7WA-971242747-1927</Description>
    </_dlc_DocIdUrl>
  </documentManagement>
</p:properties>
</file>

<file path=customXml/itemProps1.xml><?xml version="1.0" encoding="utf-8"?>
<ds:datastoreItem xmlns:ds="http://schemas.openxmlformats.org/officeDocument/2006/customXml" ds:itemID="{4A2F5FC3-6F0D-4F33-B60B-FF77864552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FECE3E-CE5D-4F5E-B107-26B2B29AD39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528F408-B4DD-4B9A-890C-227E0E6094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9236E03-1ACD-4A15-9E11-D403F5E7B255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806035d9-ad3b-44db-92a1-1ed4b9daec3e"/>
    <ds:schemaRef ds:uri="http://schemas.microsoft.com/office/infopath/2007/PartnerControls"/>
    <ds:schemaRef ds:uri="4a1cef21-950b-48ce-bef3-2690db20137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11</vt:i4>
      </vt:variant>
    </vt:vector>
  </HeadingPairs>
  <TitlesOfParts>
    <vt:vector size="32" baseType="lpstr"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 </vt:lpstr>
      <vt:lpstr>2024-2025</vt:lpstr>
      <vt:lpstr>2025-2026</vt:lpstr>
      <vt:lpstr>'2005-2006'!Print_Area</vt:lpstr>
      <vt:lpstr>'2013-2014'!Print_Area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  <vt:lpstr>'2023-2024 '!Print_Area</vt:lpstr>
      <vt:lpstr>'2024-2025'!Print_Area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MerchandiseExports_Quarter</dc:title>
  <dc:subject/>
  <dc:creator>Internet Research</dc:creator>
  <cp:keywords/>
  <dc:description/>
  <cp:lastModifiedBy>Ahmed Khaled</cp:lastModifiedBy>
  <cp:revision/>
  <cp:lastPrinted>2026-02-22T10:23:06Z</cp:lastPrinted>
  <dcterms:created xsi:type="dcterms:W3CDTF">1996-10-14T23:33:28Z</dcterms:created>
  <dcterms:modified xsi:type="dcterms:W3CDTF">2026-07-08T09:36:53Z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8d6ae6f9-b079-484f-9424-61c4450f3a76</vt:lpwstr>
  </property>
</Properties>
</file>