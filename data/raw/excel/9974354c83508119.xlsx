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65" windowWidth="9210" windowHeight="11520" tabRatio="722"/>
  </bookViews>
  <sheets>
    <sheet name="2013-2014" sheetId="30" r:id="rId1"/>
  </sheets>
  <definedNames>
    <definedName name="_xlnm.Print_Area" localSheetId="0">'2013-2014'!$A$4:$F$21</definedName>
  </definedNames>
  <calcPr calcId="145621" fullPrecision="0"/>
</workbook>
</file>

<file path=xl/calcChain.xml><?xml version="1.0" encoding="utf-8"?>
<calcChain xmlns="http://schemas.openxmlformats.org/spreadsheetml/2006/main">
  <c r="F21" i="30" l="1"/>
  <c r="E21" i="30"/>
  <c r="D21" i="30"/>
  <c r="C21" i="30"/>
</calcChain>
</file>

<file path=xl/sharedStrings.xml><?xml version="1.0" encoding="utf-8"?>
<sst xmlns="http://schemas.openxmlformats.org/spreadsheetml/2006/main" count="43" uniqueCount="40">
  <si>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</si>
  <si>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</si>
  <si>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</si>
  <si>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</si>
  <si>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</si>
  <si>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</si>
  <si>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</si>
  <si>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The Outstanding Balance of Treasury Bills (Quarterly)</t>
  </si>
  <si>
    <t>89 days</t>
  </si>
  <si>
    <t>91 days</t>
  </si>
  <si>
    <t>182 days</t>
  </si>
  <si>
    <t>252 days</t>
  </si>
  <si>
    <t>259 days</t>
  </si>
  <si>
    <t>266 days</t>
  </si>
  <si>
    <t>273 days</t>
  </si>
  <si>
    <t>280 days</t>
  </si>
  <si>
    <t>343 days</t>
  </si>
  <si>
    <t>350 days</t>
  </si>
  <si>
    <t>357 days</t>
  </si>
  <si>
    <t>364 days</t>
  </si>
  <si>
    <t>371 days</t>
  </si>
  <si>
    <t>Total</t>
  </si>
  <si>
    <t xml:space="preserve"> 89 يوم</t>
  </si>
  <si>
    <t xml:space="preserve"> 91 يوم</t>
  </si>
  <si>
    <t xml:space="preserve"> 182 يوم</t>
  </si>
  <si>
    <t xml:space="preserve"> 252 يوم</t>
  </si>
  <si>
    <t xml:space="preserve"> 259 يوم</t>
  </si>
  <si>
    <t xml:space="preserve"> 266 يوم</t>
  </si>
  <si>
    <t xml:space="preserve"> 273 يوم</t>
  </si>
  <si>
    <t>280 يوم</t>
  </si>
  <si>
    <t xml:space="preserve"> 343 يوم</t>
  </si>
  <si>
    <t xml:space="preserve"> 350 يوم</t>
  </si>
  <si>
    <t xml:space="preserve"> 357 يوم</t>
  </si>
  <si>
    <t>364 يوم</t>
  </si>
  <si>
    <t>371 يوم</t>
  </si>
  <si>
    <t>-</t>
  </si>
  <si>
    <t xml:space="preserve"> Sept. 2013</t>
  </si>
  <si>
    <t xml:space="preserve"> Dec. 2013</t>
  </si>
  <si>
    <t xml:space="preserve"> March 2014</t>
  </si>
  <si>
    <t xml:space="preserve"> June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</si>
</sst>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0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b/>
      <i/>
      <sz val="16"/>
      <name val="Times New (W1)"/>
      <charset val="178"/>
    </font>
    <font>
      <b/>
      <sz val="16"/>
      <name val="Times New (W1)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/>
      <right/>
      <top/>
      <bottom style="double">
        <color indexed="41"/>
      </bottom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10">
    <xf numFmtId="0" fontId="0" fillId="0" borderId="0"/>
    <xf numFmtId="0" fontId="11" fillId="0" borderId="0" applyNumberFormat="0">
      <alignment horizontal="right"/>
    </xf>
    <xf numFmtId="0" fontId="14" fillId="0" borderId="0"/>
    <xf numFmtId="0" fontId="14" fillId="0" borderId="0"/>
    <xf numFmtId="0" fontId="14" fillId="0" borderId="0"/>
    <xf numFmtId="0" fontId="18" fillId="0" borderId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168" fontId="0" fillId="0" borderId="0" xfId="0" applyNumberFormat="1"/>
    <xf numFmtId="0" fontId="0" fillId="0" borderId="0" xfId="0" applyFill="1"/>
    <xf numFmtId="0" fontId="5" fillId="2" borderId="2" xfId="0" applyFont="1" applyFill="1" applyBorder="1" applyAlignment="1">
      <alignment horizontal="center" vertical="center" wrapText="1" readingOrder="1"/>
    </xf>
    <xf numFmtId="168" fontId="13" fillId="0" borderId="0" xfId="0" applyNumberFormat="1" applyFont="1"/>
    <xf numFmtId="0" fontId="13" fillId="0" borderId="0" xfId="0" applyFont="1"/>
    <xf numFmtId="0" fontId="7" fillId="0" borderId="0" xfId="0" applyFont="1"/>
    <xf numFmtId="168" fontId="7" fillId="0" borderId="0" xfId="0" applyNumberFormat="1" applyFont="1"/>
    <xf numFmtId="0" fontId="0" fillId="3" borderId="3" xfId="0" applyFill="1" applyBorder="1" applyAlignment="1">
      <alignment readingOrder="2"/>
    </xf>
    <xf numFmtId="0" fontId="2" fillId="3" borderId="5" xfId="0" applyFont="1" applyFill="1" applyBorder="1" applyAlignment="1">
      <alignment horizontal="center"/>
    </xf>
    <xf numFmtId="1" fontId="4" fillId="0" borderId="0" xfId="0" applyNumberFormat="1" applyFont="1" applyFill="1" applyAlignment="1">
      <alignment horizontal="center" readingOrder="1"/>
    </xf>
    <xf numFmtId="0" fontId="0" fillId="0" borderId="0" xfId="0" applyBorder="1"/>
    <xf numFmtId="0" fontId="0" fillId="0" borderId="0" xfId="0" applyFill="1" applyBorder="1"/>
    <xf numFmtId="0" fontId="15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7" fillId="0" borderId="0" xfId="0" applyNumberFormat="1" applyFont="1" applyBorder="1"/>
    <xf numFmtId="0" fontId="7" fillId="0" borderId="0" xfId="0" applyFont="1" applyBorder="1"/>
    <xf numFmtId="168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168" fontId="9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15" fillId="0" borderId="6" xfId="2" quotePrefix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readingOrder="1"/>
    </xf>
    <xf numFmtId="0" fontId="16" fillId="3" borderId="4" xfId="0" quotePrefix="1" applyFont="1" applyFill="1" applyBorder="1" applyAlignment="1">
      <alignment horizontal="left" readingOrder="1"/>
    </xf>
    <xf numFmtId="0" fontId="12" fillId="4" borderId="7" xfId="0" quotePrefix="1" applyFont="1" applyFill="1" applyBorder="1" applyAlignment="1">
      <alignment horizontal="right" readingOrder="2"/>
    </xf>
    <xf numFmtId="0" fontId="16" fillId="4" borderId="7" xfId="0" quotePrefix="1" applyFont="1" applyFill="1" applyBorder="1" applyAlignment="1">
      <alignment horizontal="left" readingOrder="1"/>
    </xf>
    <xf numFmtId="0" fontId="16" fillId="3" borderId="4" xfId="0" applyFont="1" applyFill="1" applyBorder="1" applyAlignment="1">
      <alignment horizontal="right" readingOrder="2"/>
    </xf>
    <xf numFmtId="1" fontId="17" fillId="4" borderId="7" xfId="0" applyNumberFormat="1" applyFont="1" applyFill="1" applyBorder="1" applyAlignment="1">
      <alignment horizontal="center" readingOrder="1"/>
    </xf>
    <xf numFmtId="169" fontId="3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10">
    <cellStyle name="MS_Arabic" xfId="1"/>
    <cellStyle name="Normal" xfId="0" builtinId="0"/>
    <cellStyle name="Normal 2" xfId="4"/>
    <cellStyle name="Normal 3" xfId="3"/>
    <cellStyle name="Normal_wafaa file_12_22-24_26-34" xfId="2"/>
    <cellStyle name="عادي_artim" xfId="5"/>
    <cellStyle name="عملة [0]_رسم" xfId="6"/>
    <cellStyle name="عملة_رسم" xfId="7"/>
    <cellStyle name="فاصلة [0]_رسم" xfId="8"/>
    <cellStyle name="فاصلة_رسم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E5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"/>
  <sheetViews>
    <sheetView tabSelected="1" view="pageBreakPreview" topLeftCell="A4" zoomScale="88" zoomScaleNormal="75" zoomScaleSheetLayoutView="88" workbookViewId="0">
      <selection activeCell="P8" sqref="P8"/>
    </sheetView>
  </sheetViews>
  <sheetFormatPr defaultRowHeight="12.75"/>
  <cols>
    <col min="1" max="1" width="17.5703125" customWidth="1"/>
    <col min="2" max="2" width="29.42578125" style="1" customWidth="1"/>
    <col min="3" max="6" width="18.4257812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5" max="25" width="9.28515625" bestFit="1" customWidth="1"/>
  </cols>
  <sheetData>
    <row r="1" spans="1:25" ht="15" hidden="1" customHeight="1"/>
    <row r="2" spans="1:25" ht="23.25" hidden="1">
      <c r="B2" s="35" t="s">
        <v>5</v>
      </c>
      <c r="C2" s="35"/>
      <c r="D2" s="35"/>
      <c r="E2" s="35"/>
      <c r="F2" s="35"/>
    </row>
    <row r="3" spans="1:25" ht="23.25" hidden="1">
      <c r="B3" s="36" t="s">
        <v>4</v>
      </c>
      <c r="C3" s="36"/>
      <c r="D3" s="36"/>
      <c r="E3" s="36"/>
      <c r="F3" s="36"/>
    </row>
    <row r="4" spans="1:25" s="5" customFormat="1" ht="45" customHeight="1">
      <c r="A4" s="37" t="s">
        <v>7</v>
      </c>
      <c r="B4" s="37"/>
      <c r="C4" s="37"/>
      <c r="D4" s="37"/>
      <c r="E4" s="37"/>
      <c r="F4" s="3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7"/>
    </row>
    <row r="7" spans="1:25" ht="36" customHeight="1" thickTop="1" thickBot="1">
      <c r="A7" s="11"/>
      <c r="B7" s="12"/>
      <c r="C7" s="33" t="s">
        <v>36</v>
      </c>
      <c r="D7" s="33" t="s">
        <v>37</v>
      </c>
      <c r="E7" s="33" t="s">
        <v>38</v>
      </c>
      <c r="F7" s="33" t="s">
        <v>39</v>
      </c>
    </row>
    <row r="8" spans="1:25" ht="27.95" customHeight="1" thickTop="1">
      <c r="A8" s="31" t="s">
        <v>22</v>
      </c>
      <c r="B8" s="27" t="s">
        <v>8</v>
      </c>
      <c r="C8" s="13" t="s">
        <v>35</v>
      </c>
      <c r="D8" s="13" t="s">
        <v>35</v>
      </c>
      <c r="E8" s="13" t="s">
        <v>35</v>
      </c>
      <c r="F8" s="13" t="s">
        <v>35</v>
      </c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9" customFormat="1" ht="27.95" customHeight="1">
      <c r="A9" s="31" t="s">
        <v>23</v>
      </c>
      <c r="B9" s="28" t="s">
        <v>9</v>
      </c>
      <c r="C9" s="13">
        <v>26000</v>
      </c>
      <c r="D9" s="13">
        <v>26500</v>
      </c>
      <c r="E9" s="13">
        <v>26500</v>
      </c>
      <c r="F9" s="13">
        <v>27406</v>
      </c>
      <c r="G9" s="18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10"/>
      <c r="U9" s="10"/>
      <c r="V9" s="10"/>
      <c r="W9" s="10"/>
      <c r="X9" s="10"/>
      <c r="Y9" s="10"/>
    </row>
    <row r="10" spans="1:25" s="8" customFormat="1" ht="27.95" customHeight="1">
      <c r="A10" s="31" t="s">
        <v>24</v>
      </c>
      <c r="B10" s="27" t="s">
        <v>10</v>
      </c>
      <c r="C10" s="13">
        <v>97147</v>
      </c>
      <c r="D10" s="13">
        <v>90578</v>
      </c>
      <c r="E10" s="13">
        <v>91578</v>
      </c>
      <c r="F10" s="13">
        <v>96016</v>
      </c>
      <c r="G10" s="19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7"/>
      <c r="U10" s="7"/>
      <c r="V10" s="7"/>
      <c r="W10" s="7"/>
      <c r="X10" s="7"/>
      <c r="Y10" s="7"/>
    </row>
    <row r="11" spans="1:25" s="8" customFormat="1" ht="27.95" customHeight="1">
      <c r="A11" s="31" t="s">
        <v>25</v>
      </c>
      <c r="B11" s="27" t="s">
        <v>11</v>
      </c>
      <c r="C11" s="13">
        <v>0</v>
      </c>
      <c r="D11" s="13">
        <v>0</v>
      </c>
      <c r="E11" s="13">
        <v>0</v>
      </c>
      <c r="F11" s="13">
        <v>0</v>
      </c>
      <c r="G11" s="21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7"/>
      <c r="U11" s="7"/>
      <c r="V11" s="7"/>
      <c r="W11" s="7"/>
      <c r="X11" s="7"/>
      <c r="Y11" s="7"/>
    </row>
    <row r="12" spans="1:25" s="9" customFormat="1" ht="27.95" customHeight="1">
      <c r="A12" s="31" t="s">
        <v>26</v>
      </c>
      <c r="B12" s="28" t="s">
        <v>12</v>
      </c>
      <c r="C12" s="13">
        <v>0</v>
      </c>
      <c r="D12" s="13">
        <v>0</v>
      </c>
      <c r="E12" s="13">
        <v>0</v>
      </c>
      <c r="F12" s="13">
        <v>0</v>
      </c>
      <c r="G12" s="22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10"/>
      <c r="U12" s="10"/>
      <c r="V12" s="10"/>
      <c r="W12" s="10"/>
      <c r="X12" s="10"/>
      <c r="Y12" s="10"/>
    </row>
    <row r="13" spans="1:25" s="8" customFormat="1" ht="27.95" customHeight="1">
      <c r="A13" s="31" t="s">
        <v>27</v>
      </c>
      <c r="B13" s="27" t="s">
        <v>13</v>
      </c>
      <c r="C13" s="13">
        <v>61366</v>
      </c>
      <c r="D13" s="13">
        <v>62866</v>
      </c>
      <c r="E13" s="13">
        <v>69500</v>
      </c>
      <c r="F13" s="13">
        <v>63874</v>
      </c>
      <c r="G13" s="20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7"/>
      <c r="U13" s="7"/>
      <c r="V13" s="7"/>
      <c r="W13" s="7"/>
      <c r="X13" s="7"/>
      <c r="Y13" s="7"/>
    </row>
    <row r="14" spans="1:25" s="8" customFormat="1" ht="27.95" customHeight="1">
      <c r="A14" s="31" t="s">
        <v>28</v>
      </c>
      <c r="B14" s="27" t="s">
        <v>14</v>
      </c>
      <c r="C14" s="13">
        <v>65962</v>
      </c>
      <c r="D14" s="13">
        <v>62798</v>
      </c>
      <c r="E14" s="13">
        <v>67508</v>
      </c>
      <c r="F14" s="13">
        <v>63053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7"/>
      <c r="U14" s="7"/>
      <c r="V14" s="7"/>
      <c r="W14" s="7"/>
      <c r="X14" s="7"/>
      <c r="Y14" s="7"/>
    </row>
    <row r="15" spans="1:25" ht="27.95" customHeight="1">
      <c r="A15" s="31" t="s">
        <v>29</v>
      </c>
      <c r="B15" s="27" t="s">
        <v>15</v>
      </c>
      <c r="C15" s="13">
        <v>0</v>
      </c>
      <c r="D15" s="13">
        <v>0</v>
      </c>
      <c r="E15" s="13">
        <v>0</v>
      </c>
      <c r="F15" s="13">
        <v>0</v>
      </c>
      <c r="G15" s="22"/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7.95" customHeight="1">
      <c r="A16" s="31" t="s">
        <v>30</v>
      </c>
      <c r="B16" s="28" t="s">
        <v>16</v>
      </c>
      <c r="C16" s="13">
        <v>0</v>
      </c>
      <c r="D16" s="13">
        <v>0</v>
      </c>
      <c r="E16" s="13">
        <v>0</v>
      </c>
      <c r="F16" s="13">
        <v>0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7.95" customHeight="1">
      <c r="A17" s="31" t="s">
        <v>31</v>
      </c>
      <c r="B17" s="28" t="s">
        <v>17</v>
      </c>
      <c r="C17" s="13">
        <v>0</v>
      </c>
      <c r="D17" s="13">
        <v>0</v>
      </c>
      <c r="E17" s="13">
        <v>0</v>
      </c>
      <c r="F17" s="1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7.95" customHeight="1">
      <c r="A18" s="31" t="s">
        <v>32</v>
      </c>
      <c r="B18" s="28" t="s">
        <v>18</v>
      </c>
      <c r="C18" s="13">
        <v>89500</v>
      </c>
      <c r="D18" s="13">
        <v>98300</v>
      </c>
      <c r="E18" s="13">
        <v>99800</v>
      </c>
      <c r="F18" s="13">
        <v>103782</v>
      </c>
      <c r="G18" s="14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7.95" customHeight="1">
      <c r="A19" s="31" t="s">
        <v>33</v>
      </c>
      <c r="B19" s="28" t="s">
        <v>19</v>
      </c>
      <c r="C19" s="13">
        <v>106290</v>
      </c>
      <c r="D19" s="13">
        <v>112890</v>
      </c>
      <c r="E19" s="13">
        <v>112390</v>
      </c>
      <c r="F19" s="13">
        <v>117390</v>
      </c>
      <c r="G19" s="23"/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7.95" customHeight="1" thickBot="1">
      <c r="A20" s="31" t="s">
        <v>34</v>
      </c>
      <c r="B20" s="28" t="s">
        <v>20</v>
      </c>
      <c r="C20" s="13">
        <v>0</v>
      </c>
      <c r="D20" s="13">
        <v>0</v>
      </c>
      <c r="E20" s="13">
        <v>0</v>
      </c>
      <c r="F20" s="13">
        <v>0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27.95" customHeight="1" thickTop="1" thickBot="1">
      <c r="A21" s="29"/>
      <c r="B21" s="30" t="s">
        <v>21</v>
      </c>
      <c r="C21" s="32">
        <f>SUM(C9:C20)</f>
        <v>446265</v>
      </c>
      <c r="D21" s="32">
        <f>SUM(D9:D20)</f>
        <v>453932</v>
      </c>
      <c r="E21" s="32">
        <f>SUM(E9:E20)</f>
        <v>467276</v>
      </c>
      <c r="F21" s="32">
        <f>SUM(F9:F20)</f>
        <v>471521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 ht="13.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7NQWTN4WQ7WA-971242747-890</_dlc_DocId>
    <_dlc_DocIdUrl xmlns="806035d9-ad3b-44db-92a1-1ed4b9daec3e">
      <Url>http://cbe-test-spsql:4050/_layouts/15/DocIdRedir.aspx?ID=7NQWTN4WQ7WA-971242747-890</Url>
      <Description>7NQWTN4WQ7WA-971242747-890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A8CD05-0464-49EF-94F7-C0FDD3965D57}"/>
</file>

<file path=customXml/itemProps2.xml><?xml version="1.0" encoding="utf-8"?>
<ds:datastoreItem xmlns:ds="http://schemas.openxmlformats.org/officeDocument/2006/customXml" ds:itemID="{97E96076-938E-4934-B4D4-36CFF766EADF}"/>
</file>

<file path=customXml/itemProps3.xml><?xml version="1.0" encoding="utf-8"?>
<ds:datastoreItem xmlns:ds="http://schemas.openxmlformats.org/officeDocument/2006/customXml" ds:itemID="{8D52AAAA-1D64-4ED2-A653-269CF01531DA}"/>
</file>

<file path=customXml/itemProps4.xml><?xml version="1.0" encoding="utf-8"?>
<ds:datastoreItem xmlns:ds="http://schemas.openxmlformats.org/officeDocument/2006/customXml" ds:itemID="{97E96076-938E-4934-B4D4-36CFF766EADF}"/>
</file>

<file path=customXml/itemProps5.xml><?xml version="1.0" encoding="utf-8"?>
<ds:datastoreItem xmlns:ds="http://schemas.openxmlformats.org/officeDocument/2006/customXml" ds:itemID="{59A16C52-2E37-441E-8628-E0F378399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- Quarter 2013 2014</dc:title>
  <dc:creator>mamdouh.marghany</dc:creator>
  <cp:lastModifiedBy>Wafaa Ismail</cp:lastModifiedBy>
  <cp:lastPrinted>2014-08-13T09:12:41Z</cp:lastPrinted>
  <dcterms:created xsi:type="dcterms:W3CDTF">2009-04-23T10:41:14Z</dcterms:created>
  <dcterms:modified xsi:type="dcterms:W3CDTF">2016-01-04T07:17:28Z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3e461f55-9203-4ddd-84ee-913f4ef9bd3f</vt:lpwstr>
  </property>
</Properties>
</file>