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16" i="1" l="1"/>
  <c r="N11" i="1"/>
  <c r="G11" i="1"/>
  <c r="N9" i="1"/>
  <c r="M9" i="1"/>
  <c r="L9" i="1"/>
  <c r="I9" i="1"/>
  <c r="H9" i="1"/>
  <c r="E9" i="1"/>
  <c r="N8" i="1"/>
  <c r="M8" i="1"/>
  <c r="K8" i="1"/>
  <c r="G8" i="1"/>
  <c r="F8" i="1"/>
  <c r="E8" i="1"/>
  <c r="D8" i="1"/>
</calcChain>
</file>

<file path=xl/sharedStrings.xml><?xml version="1.0" encoding="utf-8"?>
<sst xmlns="http://schemas.openxmlformats.org/spreadsheetml/2006/main" count="161" uniqueCount="142">
  <si>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</si>
  <si>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</si>
  <si>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</si>
  <si>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</si>
  <si>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</si>
  <si>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</si>
  <si>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</si>
  <si>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</si>
  <si>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</si>
  <si>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</si>
  <si>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</si>
  <si>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</si>
  <si>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</si>
  <si>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r>
      <t>Feb.</t>
    </r>
    <r>
      <rPr>
        <vertAlign val="superscript"/>
        <sz val="13"/>
        <rFont val="Arial"/>
        <family val="2"/>
      </rPr>
      <t>+</t>
    </r>
  </si>
  <si>
    <r>
      <t>Mar.</t>
    </r>
    <r>
      <rPr>
        <vertAlign val="superscript"/>
        <sz val="13"/>
        <rFont val="Arial"/>
        <family val="2"/>
      </rPr>
      <t>+</t>
    </r>
  </si>
  <si>
    <t>April</t>
  </si>
  <si>
    <t>May</t>
  </si>
  <si>
    <t>June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</si>
  <si>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</si>
  <si>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</si>
  <si>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</si>
  <si>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</si>
  <si>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</si>
  <si>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</si>
  <si>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</si>
  <si>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</si>
  <si>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</si>
  <si>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</si>
  <si>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</si>
  <si>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</si>
  <si>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</si>
  <si>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</si>
  <si>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</si>
  <si>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</si>
  <si>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</si>
  <si>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</si>
  <si>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</si>
  <si>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</si>
  <si>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</si>
  <si>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</si>
  <si>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</si>
  <si>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</si>
  <si>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</si>
  <si>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</si>
  <si>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</si>
  <si>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</si>
  <si>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</si>
  <si>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</si>
  <si>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</si>
  <si>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</si>
  <si>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</si>
  <si>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</si>
  <si>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</si>
  <si>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</si>
  <si>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</si>
  <si>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</si>
  <si>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</si>
  <si>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</si>
  <si>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</si>
  <si>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</si>
  <si>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</si>
  <si>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</si>
  <si>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</si>
  <si>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</si>
  <si>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</si>
  <si>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</si>
  <si>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</si>
  <si>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</si>
  <si>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</si>
  <si>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</si>
  <si>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</si>
  <si>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</si>
  <si>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</si>
  <si>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</si>
  <si>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</si>
  <si>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</si>
  <si>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</si>
  <si>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</si>
  <si>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</si>
  <si>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</si>
  <si>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</si>
  <si>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</si>
  <si>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</si>
  <si>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</si>
  <si>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</si>
  <si>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</si>
  <si>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</si>
  <si>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</si>
  <si>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</si>
  <si>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</si>
  <si>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</si>
  <si>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</si>
  <si>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</si>
  <si>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</si>
  <si>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</si>
  <si>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</si>
  <si>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</si>
  <si>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</si>
  <si>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</si>
  <si>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</si>
  <si>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</si>
  <si>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</si>
  <si>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</si>
  <si>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</si>
  <si>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</si>
  <si>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</si>
  <si>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</si>
  <si>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</si>
  <si>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</si>
  <si>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</si>
  <si>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</si>
  <si>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</si>
  <si>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</si>
  <si>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</si>
  <si>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</si>
  <si>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</si>
  <si>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</si>
  <si>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</si>
  <si>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</si>
  <si>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</si>
  <si>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</si>
  <si>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</si>
  <si>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</si>
  <si>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</si>
  <si>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</si>
  <si>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</si>
  <si>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</si>
  <si>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</si>
  <si>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</si>
  <si>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</si>
  <si>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</si>
  <si>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</si>
  <si>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</si>
  <si>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</si>
  <si>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</si>
  <si>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</si>
  <si>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</si>
  <si>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</si>
  <si>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</si>
  <si>
    <t>+ The Egyptian Exchange was closed during the period 28/1- 22/3/2011 in the</t>
  </si>
  <si>
    <r>
      <t xml:space="preserve"> + </t>
    </r>
    <r>
      <rPr>
        <sz val="10"/>
        <rFont val="Akhbar MT"/>
        <charset val="178"/>
      </rPr>
      <t xml:space="preserve"> ت</t>
    </r>
    <r>
      <rPr>
        <sz val="12"/>
        <rFont val="Akhbar MT"/>
        <charset val="178"/>
      </rPr>
      <t xml:space="preserve">م إغلاق البورصة المصرية خلال الفترة من 2011/1/28 وحتى 2011/3/22 عقب أحداث ثورة 25 يناير.
</t>
    </r>
  </si>
  <si>
    <t xml:space="preserve"> wake of the revolution of 25th of January 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</si>
</sst>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8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vertAlign val="superscript"/>
      <sz val="13"/>
      <name val="Arial"/>
      <family val="2"/>
    </font>
    <font>
      <b/>
      <u/>
      <sz val="14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10"/>
      <name val="Akhbar MT"/>
      <charset val="178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 style="double">
        <color indexed="4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25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10" fillId="5" borderId="14" xfId="0" applyFont="1" applyFill="1" applyBorder="1" applyAlignment="1">
      <alignment readingOrder="2"/>
    </xf>
    <xf numFmtId="0" fontId="11" fillId="0" borderId="0" xfId="0" applyFont="1" applyFill="1" applyBorder="1" applyAlignment="1">
      <alignment readingOrder="1"/>
    </xf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12" fillId="5" borderId="14" xfId="0" applyFont="1" applyFill="1" applyBorder="1" applyAlignment="1">
      <alignment readingOrder="1"/>
    </xf>
    <xf numFmtId="0" fontId="12" fillId="5" borderId="14" xfId="0" applyFont="1" applyFill="1" applyBorder="1" applyAlignment="1">
      <alignment readingOrder="2"/>
    </xf>
    <xf numFmtId="1" fontId="2" fillId="0" borderId="17" xfId="2" applyNumberFormat="1" applyFont="1" applyBorder="1" applyAlignment="1">
      <alignment horizontal="center" vertical="center"/>
    </xf>
    <xf numFmtId="164" fontId="0" fillId="0" borderId="0" xfId="0" applyNumberFormat="1"/>
    <xf numFmtId="0" fontId="13" fillId="5" borderId="14" xfId="0" applyFont="1" applyFill="1" applyBorder="1" applyAlignment="1">
      <alignment horizontal="left" readingOrder="1"/>
    </xf>
    <xf numFmtId="0" fontId="14" fillId="5" borderId="14" xfId="0" quotePrefix="1" applyFont="1" applyFill="1" applyBorder="1" applyAlignment="1">
      <alignment horizontal="right" readingOrder="2"/>
    </xf>
    <xf numFmtId="1" fontId="15" fillId="0" borderId="18" xfId="2" applyNumberFormat="1" applyFont="1" applyBorder="1" applyAlignment="1">
      <alignment horizontal="center" vertical="center"/>
    </xf>
    <xf numFmtId="1" fontId="15" fillId="0" borderId="0" xfId="2" applyNumberFormat="1" applyFont="1" applyBorder="1" applyAlignment="1">
      <alignment horizontal="center" vertical="center"/>
    </xf>
    <xf numFmtId="1" fontId="15" fillId="0" borderId="15" xfId="2" applyNumberFormat="1" applyFont="1" applyBorder="1" applyAlignment="1">
      <alignment horizontal="center" vertical="center"/>
    </xf>
    <xf numFmtId="1" fontId="15" fillId="0" borderId="17" xfId="2" applyNumberFormat="1" applyFont="1" applyBorder="1" applyAlignment="1">
      <alignment horizontal="center" vertical="center"/>
    </xf>
    <xf numFmtId="0" fontId="15" fillId="0" borderId="18" xfId="0" applyFont="1" applyFill="1" applyBorder="1" applyAlignment="1">
      <alignment horizontal="center" readingOrder="1"/>
    </xf>
    <xf numFmtId="0" fontId="15" fillId="0" borderId="0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1" fontId="16" fillId="0" borderId="18" xfId="2" applyNumberFormat="1" applyFont="1" applyBorder="1" applyAlignment="1">
      <alignment horizontal="center" vertical="center"/>
    </xf>
    <xf numFmtId="1" fontId="16" fillId="0" borderId="0" xfId="2" applyNumberFormat="1" applyFont="1" applyBorder="1" applyAlignment="1">
      <alignment horizontal="center" vertical="center"/>
    </xf>
    <xf numFmtId="1" fontId="16" fillId="0" borderId="15" xfId="2" applyNumberFormat="1" applyFont="1" applyBorder="1" applyAlignment="1">
      <alignment horizontal="center" vertical="center"/>
    </xf>
    <xf numFmtId="1" fontId="16" fillId="0" borderId="17" xfId="2" applyNumberFormat="1" applyFont="1" applyBorder="1" applyAlignment="1">
      <alignment horizontal="center" vertical="center"/>
    </xf>
    <xf numFmtId="0" fontId="20" fillId="5" borderId="14" xfId="0" applyFont="1" applyFill="1" applyBorder="1" applyAlignment="1">
      <alignment horizontal="left" readingOrder="1"/>
    </xf>
    <xf numFmtId="0" fontId="21" fillId="5" borderId="14" xfId="0" quotePrefix="1" applyFont="1" applyFill="1" applyBorder="1" applyAlignment="1">
      <alignment horizontal="right" readingOrder="2"/>
    </xf>
    <xf numFmtId="0" fontId="22" fillId="0" borderId="0" xfId="0" applyFont="1"/>
    <xf numFmtId="1" fontId="16" fillId="0" borderId="18" xfId="2" applyNumberFormat="1" applyFont="1" applyBorder="1" applyAlignment="1">
      <alignment horizontal="center"/>
    </xf>
    <xf numFmtId="1" fontId="16" fillId="0" borderId="0" xfId="2" applyNumberFormat="1" applyFont="1" applyBorder="1" applyAlignment="1">
      <alignment horizontal="center"/>
    </xf>
    <xf numFmtId="1" fontId="16" fillId="0" borderId="15" xfId="2" applyNumberFormat="1" applyFont="1" applyBorder="1" applyAlignment="1">
      <alignment horizontal="center"/>
    </xf>
    <xf numFmtId="1" fontId="16" fillId="0" borderId="17" xfId="2" applyNumberFormat="1" applyFont="1" applyBorder="1" applyAlignment="1">
      <alignment horizontal="center"/>
    </xf>
    <xf numFmtId="1" fontId="23" fillId="0" borderId="18" xfId="2" applyNumberFormat="1" applyFont="1" applyBorder="1" applyAlignment="1">
      <alignment horizontal="center"/>
    </xf>
    <xf numFmtId="1" fontId="23" fillId="0" borderId="0" xfId="2" applyNumberFormat="1" applyFont="1" applyBorder="1" applyAlignment="1">
      <alignment horizontal="center"/>
    </xf>
    <xf numFmtId="1" fontId="23" fillId="0" borderId="15" xfId="2" applyNumberFormat="1" applyFont="1" applyBorder="1" applyAlignment="1">
      <alignment horizontal="center"/>
    </xf>
    <xf numFmtId="1" fontId="23" fillId="0" borderId="17" xfId="2" applyNumberFormat="1" applyFont="1" applyBorder="1" applyAlignment="1">
      <alignment horizontal="center"/>
    </xf>
    <xf numFmtId="0" fontId="11" fillId="0" borderId="18" xfId="0" applyFont="1" applyFill="1" applyBorder="1" applyAlignment="1">
      <alignment horizontal="center" readingOrder="1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24" fillId="5" borderId="14" xfId="0" applyFont="1" applyFill="1" applyBorder="1" applyAlignment="1">
      <alignment readingOrder="1"/>
    </xf>
    <xf numFmtId="0" fontId="0" fillId="5" borderId="0" xfId="0" applyFill="1"/>
    <xf numFmtId="0" fontId="0" fillId="5" borderId="0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15" fillId="5" borderId="18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/>
    </xf>
    <xf numFmtId="0" fontId="15" fillId="5" borderId="15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4" fillId="5" borderId="14" xfId="0" quotePrefix="1" applyFont="1" applyFill="1" applyBorder="1" applyAlignment="1">
      <alignment horizontal="right" readingOrder="1"/>
    </xf>
    <xf numFmtId="2" fontId="15" fillId="0" borderId="18" xfId="2" applyNumberFormat="1" applyFont="1" applyBorder="1" applyAlignment="1">
      <alignment horizontal="center" vertical="center"/>
    </xf>
    <xf numFmtId="2" fontId="15" fillId="0" borderId="0" xfId="2" applyNumberFormat="1" applyFont="1" applyBorder="1" applyAlignment="1">
      <alignment horizontal="center" vertical="center"/>
    </xf>
    <xf numFmtId="2" fontId="15" fillId="0" borderId="15" xfId="2" applyNumberFormat="1" applyFont="1" applyBorder="1" applyAlignment="1">
      <alignment horizontal="center" vertical="center"/>
    </xf>
    <xf numFmtId="2" fontId="15" fillId="0" borderId="17" xfId="2" applyNumberFormat="1" applyFont="1" applyBorder="1" applyAlignment="1">
      <alignment horizontal="center" vertical="center"/>
    </xf>
    <xf numFmtId="0" fontId="11" fillId="5" borderId="0" xfId="0" applyFont="1" applyFill="1" applyBorder="1" applyAlignment="1">
      <alignment horizontal="center" readingOrder="1"/>
    </xf>
    <xf numFmtId="0" fontId="15" fillId="5" borderId="0" xfId="0" applyFont="1" applyFill="1" applyBorder="1" applyAlignment="1">
      <alignment horizontal="center" readingOrder="1"/>
    </xf>
    <xf numFmtId="0" fontId="15" fillId="5" borderId="0" xfId="0" applyFont="1" applyFill="1" applyAlignment="1">
      <alignment horizontal="center"/>
    </xf>
    <xf numFmtId="1" fontId="15" fillId="5" borderId="0" xfId="0" applyNumberFormat="1" applyFont="1" applyFill="1" applyBorder="1" applyAlignment="1">
      <alignment horizontal="center" readingOrder="1"/>
    </xf>
    <xf numFmtId="1" fontId="15" fillId="5" borderId="0" xfId="0" applyNumberFormat="1" applyFont="1" applyFill="1" applyBorder="1" applyAlignment="1">
      <alignment horizontal="center"/>
    </xf>
    <xf numFmtId="1" fontId="15" fillId="5" borderId="15" xfId="0" applyNumberFormat="1" applyFont="1" applyFill="1" applyBorder="1" applyAlignment="1">
      <alignment horizontal="center"/>
    </xf>
    <xf numFmtId="1" fontId="15" fillId="5" borderId="0" xfId="0" applyNumberFormat="1" applyFont="1" applyFill="1" applyAlignment="1">
      <alignment horizontal="center"/>
    </xf>
    <xf numFmtId="1" fontId="15" fillId="5" borderId="17" xfId="0" applyNumberFormat="1" applyFont="1" applyFill="1" applyBorder="1" applyAlignment="1">
      <alignment horizontal="center"/>
    </xf>
    <xf numFmtId="0" fontId="13" fillId="5" borderId="18" xfId="0" applyFont="1" applyFill="1" applyBorder="1" applyAlignment="1">
      <alignment horizontal="left" readingOrder="1"/>
    </xf>
    <xf numFmtId="0" fontId="10" fillId="5" borderId="14" xfId="0" applyFont="1" applyFill="1" applyBorder="1" applyAlignment="1">
      <alignment readingOrder="1"/>
    </xf>
    <xf numFmtId="0" fontId="13" fillId="5" borderId="14" xfId="0" applyFont="1" applyFill="1" applyBorder="1" applyAlignment="1">
      <alignment horizontal="right" readingOrder="1"/>
    </xf>
    <xf numFmtId="164" fontId="15" fillId="0" borderId="19" xfId="2" applyNumberFormat="1" applyFont="1" applyBorder="1" applyAlignment="1">
      <alignment horizontal="center" vertical="center"/>
    </xf>
    <xf numFmtId="164" fontId="15" fillId="0" borderId="0" xfId="2" applyNumberFormat="1" applyFont="1" applyFill="1" applyBorder="1" applyAlignment="1">
      <alignment horizontal="center" vertical="center"/>
    </xf>
    <xf numFmtId="164" fontId="15" fillId="0" borderId="17" xfId="2" applyNumberFormat="1" applyFont="1" applyFill="1" applyBorder="1" applyAlignment="1">
      <alignment horizontal="center" vertical="center"/>
    </xf>
    <xf numFmtId="164" fontId="15" fillId="0" borderId="18" xfId="2" applyNumberFormat="1" applyFont="1" applyBorder="1" applyAlignment="1">
      <alignment horizontal="center" vertical="center"/>
    </xf>
    <xf numFmtId="164" fontId="15" fillId="0" borderId="0" xfId="2" applyNumberFormat="1" applyFont="1" applyBorder="1" applyAlignment="1">
      <alignment horizontal="center" vertical="center"/>
    </xf>
    <xf numFmtId="164" fontId="15" fillId="0" borderId="15" xfId="2" applyNumberFormat="1" applyFont="1" applyBorder="1" applyAlignment="1">
      <alignment horizontal="center" vertical="center"/>
    </xf>
    <xf numFmtId="0" fontId="15" fillId="5" borderId="18" xfId="0" applyFont="1" applyFill="1" applyBorder="1" applyAlignment="1">
      <alignment horizontal="center" readingOrder="1"/>
    </xf>
    <xf numFmtId="164" fontId="15" fillId="0" borderId="19" xfId="2" applyNumberFormat="1" applyFont="1" applyFill="1" applyBorder="1" applyAlignment="1">
      <alignment horizontal="center" vertical="center"/>
    </xf>
    <xf numFmtId="0" fontId="14" fillId="5" borderId="14" xfId="0" quotePrefix="1" applyFont="1" applyFill="1" applyBorder="1" applyAlignment="1">
      <alignment horizontal="left" readingOrder="2"/>
    </xf>
    <xf numFmtId="0" fontId="31" fillId="5" borderId="14" xfId="0" applyFont="1" applyFill="1" applyBorder="1" applyAlignment="1">
      <alignment readingOrder="1"/>
    </xf>
    <xf numFmtId="0" fontId="24" fillId="5" borderId="14" xfId="0" quotePrefix="1" applyFont="1" applyFill="1" applyBorder="1" applyAlignment="1">
      <alignment horizontal="right" readingOrder="2"/>
    </xf>
    <xf numFmtId="0" fontId="24" fillId="5" borderId="20" xfId="0" applyFont="1" applyFill="1" applyBorder="1" applyAlignment="1">
      <alignment readingOrder="1"/>
    </xf>
    <xf numFmtId="0" fontId="24" fillId="5" borderId="20" xfId="0" quotePrefix="1" applyFont="1" applyFill="1" applyBorder="1" applyAlignment="1">
      <alignment horizontal="right" readingOrder="2"/>
    </xf>
    <xf numFmtId="1" fontId="15" fillId="0" borderId="1" xfId="2" applyNumberFormat="1" applyFont="1" applyBorder="1" applyAlignment="1">
      <alignment horizontal="center" vertical="center"/>
    </xf>
    <xf numFmtId="1" fontId="15" fillId="0" borderId="21" xfId="2" applyNumberFormat="1" applyFont="1" applyBorder="1" applyAlignment="1">
      <alignment horizontal="center" vertical="center"/>
    </xf>
    <xf numFmtId="1" fontId="15" fillId="0" borderId="22" xfId="2" applyNumberFormat="1" applyFont="1" applyBorder="1" applyAlignment="1">
      <alignment horizontal="center" vertical="center"/>
    </xf>
    <xf numFmtId="0" fontId="11" fillId="0" borderId="23" xfId="2" applyFont="1" applyBorder="1" applyAlignment="1">
      <alignment horizontal="left" vertical="center"/>
    </xf>
    <xf numFmtId="0" fontId="27" fillId="0" borderId="0" xfId="2" applyFont="1" applyAlignment="1">
      <alignment vertical="center"/>
    </xf>
    <xf numFmtId="0" fontId="11" fillId="5" borderId="0" xfId="0" applyFont="1" applyFill="1" applyAlignment="1">
      <alignment readingOrder="1"/>
    </xf>
    <xf numFmtId="0" fontId="2" fillId="0" borderId="0" xfId="2" applyFont="1" applyBorder="1" applyAlignment="1">
      <alignment horizontal="left" vertical="center"/>
    </xf>
    <xf numFmtId="49" fontId="27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7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7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quotePrefix="1" applyFont="1" applyAlignment="1">
      <alignment horizontal="left" vertical="center" indent="1" readingOrder="1"/>
    </xf>
    <xf numFmtId="0" fontId="2" fillId="0" borderId="0" xfId="2" quotePrefix="1" applyFont="1" applyBorder="1" applyAlignment="1">
      <alignment horizontal="right" vertical="center" readingOrder="2"/>
    </xf>
    <xf numFmtId="0" fontId="2" fillId="0" borderId="0" xfId="2" quotePrefix="1" applyFont="1" applyBorder="1" applyAlignment="1">
      <alignment vertical="center"/>
    </xf>
    <xf numFmtId="0" fontId="34" fillId="0" borderId="0" xfId="2" applyFont="1" applyBorder="1" applyAlignment="1">
      <alignment vertical="center"/>
    </xf>
    <xf numFmtId="0" fontId="36" fillId="0" borderId="0" xfId="2" applyFont="1" applyFill="1" applyAlignment="1">
      <alignment vertical="center"/>
    </xf>
    <xf numFmtId="0" fontId="37" fillId="0" borderId="0" xfId="2" applyFont="1" applyBorder="1" applyAlignment="1">
      <alignment vertical="center"/>
    </xf>
    <xf numFmtId="0" fontId="11" fillId="0" borderId="0" xfId="0" applyFont="1" applyFill="1" applyAlignment="1">
      <alignment readingOrder="1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48"/>
  <sheetViews>
    <sheetView tabSelected="1" workbookViewId="0">
      <selection sqref="A1:XFD1048576"/>
    </sheetView>
  </sheetViews>
  <sheetFormatPr defaultRowHeight="15"/>
  <cols>
    <col min="1" max="1" width="101.42578125" style="122" customWidth="1"/>
    <col min="2" max="2" width="81.140625" style="121" customWidth="1"/>
    <col min="3" max="3" width="12.7109375" style="123" customWidth="1"/>
    <col min="4" max="9" width="12.7109375" customWidth="1"/>
    <col min="10" max="10" width="12.7109375" style="124" customWidth="1"/>
    <col min="11" max="11" width="11.28515625" style="124" customWidth="1"/>
    <col min="12" max="12" width="11.42578125" style="124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9.5" thickBot="1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N2" s="8"/>
    </row>
    <row r="3" spans="1:30" s="4" customFormat="1" ht="21.75" thickTop="1" thickBot="1">
      <c r="A3" s="9" t="s">
        <v>2</v>
      </c>
      <c r="B3" s="10" t="s">
        <v>3</v>
      </c>
      <c r="C3" s="11">
        <v>2010</v>
      </c>
      <c r="D3" s="12"/>
      <c r="E3" s="12"/>
      <c r="F3" s="12"/>
      <c r="G3" s="12"/>
      <c r="H3" s="13"/>
      <c r="I3" s="12">
        <v>2011</v>
      </c>
      <c r="J3" s="12"/>
      <c r="K3" s="12"/>
      <c r="L3" s="12"/>
      <c r="M3" s="12"/>
      <c r="N3" s="14"/>
    </row>
    <row r="4" spans="1:30" s="4" customFormat="1" ht="21.75" thickTop="1" thickBot="1">
      <c r="A4" s="15" t="s">
        <v>4</v>
      </c>
      <c r="B4" s="10" t="s">
        <v>5</v>
      </c>
      <c r="C4" s="16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8" t="s">
        <v>11</v>
      </c>
      <c r="I4" s="19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20" t="s">
        <v>17</v>
      </c>
    </row>
    <row r="5" spans="1:30" ht="19.5" thickTop="1">
      <c r="A5" s="21"/>
      <c r="B5" s="21"/>
      <c r="C5" s="22"/>
      <c r="D5" s="23"/>
      <c r="E5" s="23"/>
      <c r="F5" s="23"/>
      <c r="G5" s="23"/>
      <c r="H5" s="24"/>
      <c r="J5"/>
      <c r="K5"/>
      <c r="L5"/>
      <c r="N5" s="25"/>
    </row>
    <row r="6" spans="1:30" ht="18.75">
      <c r="A6" s="26" t="s">
        <v>18</v>
      </c>
      <c r="B6" s="27" t="s">
        <v>19</v>
      </c>
      <c r="C6" s="22"/>
      <c r="D6" s="23"/>
      <c r="E6" s="23"/>
      <c r="F6" s="23"/>
      <c r="G6" s="23"/>
      <c r="H6" s="24"/>
      <c r="J6"/>
      <c r="K6"/>
      <c r="L6"/>
      <c r="N6" s="28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 spans="1:30" ht="18.75">
      <c r="A7" s="30" t="s">
        <v>20</v>
      </c>
      <c r="B7" s="31" t="s">
        <v>21</v>
      </c>
      <c r="C7" s="32">
        <v>214</v>
      </c>
      <c r="D7" s="33">
        <v>212</v>
      </c>
      <c r="E7" s="33">
        <v>213</v>
      </c>
      <c r="F7" s="33">
        <v>213</v>
      </c>
      <c r="G7" s="33">
        <v>213</v>
      </c>
      <c r="H7" s="34">
        <v>212</v>
      </c>
      <c r="I7" s="33">
        <v>212</v>
      </c>
      <c r="J7" s="33"/>
      <c r="K7" s="33">
        <v>212</v>
      </c>
      <c r="L7" s="33">
        <v>212</v>
      </c>
      <c r="M7" s="33">
        <v>211</v>
      </c>
      <c r="N7" s="35">
        <v>211</v>
      </c>
      <c r="U7" s="29"/>
      <c r="V7" s="29"/>
      <c r="W7" s="29"/>
      <c r="X7" s="29"/>
      <c r="Y7" s="29"/>
      <c r="Z7" s="29"/>
      <c r="AA7" s="29"/>
      <c r="AB7" s="29"/>
      <c r="AC7" s="29"/>
      <c r="AD7" s="29"/>
    </row>
    <row r="8" spans="1:30" ht="18.75">
      <c r="A8" s="30" t="s">
        <v>22</v>
      </c>
      <c r="B8" s="31" t="s">
        <v>23</v>
      </c>
      <c r="C8" s="32">
        <v>29481</v>
      </c>
      <c r="D8" s="33">
        <f>29587.670319+2.964533+0.15+165.40625</f>
        <v>29756.191102000001</v>
      </c>
      <c r="E8" s="33">
        <f>29171.401016+464.39316+2.964533+0.15+165.40625</f>
        <v>29804.314958999999</v>
      </c>
      <c r="F8" s="33">
        <f>29301.527875+464.39316+2.964533+0.15+165.40625</f>
        <v>29934.441817999999</v>
      </c>
      <c r="G8" s="33">
        <f>30937.111549+464.39316+2.964533+0.15+165.40625</f>
        <v>31570.025492000001</v>
      </c>
      <c r="H8" s="34">
        <v>31749</v>
      </c>
      <c r="I8" s="33">
        <v>32109</v>
      </c>
      <c r="J8" s="33"/>
      <c r="K8" s="33">
        <f>31376.928404+564.26236+2.964533+0.15+165.40625</f>
        <v>32109.711546999999</v>
      </c>
      <c r="L8" s="33">
        <v>32228</v>
      </c>
      <c r="M8" s="33">
        <f>31540.383119+564.26236+2.964533+165.40625</f>
        <v>32273.016261999997</v>
      </c>
      <c r="N8" s="35">
        <f>31631.07462+564.26236+2.964533+165.40625</f>
        <v>32363.707762999999</v>
      </c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 spans="1:30" ht="18.75">
      <c r="A9" s="30" t="s">
        <v>24</v>
      </c>
      <c r="B9" s="31" t="s">
        <v>25</v>
      </c>
      <c r="C9" s="32">
        <v>139853</v>
      </c>
      <c r="D9" s="33">
        <v>139788</v>
      </c>
      <c r="E9" s="33">
        <f>128076+(2113*5.6945)</f>
        <v>140108.4785</v>
      </c>
      <c r="F9" s="33">
        <v>141167</v>
      </c>
      <c r="G9" s="33">
        <v>141402</v>
      </c>
      <c r="H9" s="34">
        <f>130188+(2107*5.8049)</f>
        <v>142418.92430000001</v>
      </c>
      <c r="I9" s="33">
        <f>130551+(2107*5.8496)</f>
        <v>142876.1072</v>
      </c>
      <c r="J9" s="33"/>
      <c r="K9" s="33"/>
      <c r="L9" s="33">
        <f>130642+(2107*5.9467)</f>
        <v>143171.69690000001</v>
      </c>
      <c r="M9" s="33">
        <f>130597+(2107*5.9441)</f>
        <v>143121.2187</v>
      </c>
      <c r="N9" s="35">
        <f>132122+(2107*5.969)</f>
        <v>144698.68299999999</v>
      </c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 spans="1:30" ht="18.75">
      <c r="A10" s="30"/>
      <c r="B10" s="31"/>
      <c r="C10" s="36"/>
      <c r="D10" s="37"/>
      <c r="E10" s="37"/>
      <c r="F10" s="37"/>
      <c r="G10" s="37"/>
      <c r="H10" s="38"/>
      <c r="I10" s="37"/>
      <c r="J10" s="37"/>
      <c r="K10" s="37"/>
      <c r="L10" s="37"/>
      <c r="M10" s="37"/>
      <c r="N10" s="3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 spans="1:30" ht="18.75">
      <c r="A11" s="26" t="s">
        <v>26</v>
      </c>
      <c r="B11" s="27" t="s">
        <v>27</v>
      </c>
      <c r="C11" s="40">
        <v>175398</v>
      </c>
      <c r="D11" s="41">
        <v>178372</v>
      </c>
      <c r="E11" s="41">
        <v>193272</v>
      </c>
      <c r="F11" s="41">
        <v>198069</v>
      </c>
      <c r="G11" s="41">
        <f>206901</f>
        <v>206901</v>
      </c>
      <c r="H11" s="42">
        <v>226799</v>
      </c>
      <c r="I11" s="41">
        <v>233969</v>
      </c>
      <c r="J11" s="41"/>
      <c r="K11" s="41">
        <v>230285</v>
      </c>
      <c r="L11" s="41">
        <v>230085</v>
      </c>
      <c r="M11" s="41">
        <v>229858</v>
      </c>
      <c r="N11" s="43">
        <f>229836.968883-5000</f>
        <v>224836.96888299999</v>
      </c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spans="1:30" ht="24">
      <c r="A12" s="30" t="s">
        <v>28</v>
      </c>
      <c r="B12" s="31" t="s">
        <v>29</v>
      </c>
      <c r="C12" s="32">
        <v>163890</v>
      </c>
      <c r="D12" s="33">
        <v>166891</v>
      </c>
      <c r="E12" s="33">
        <v>181391</v>
      </c>
      <c r="F12" s="33">
        <v>186391</v>
      </c>
      <c r="G12" s="33">
        <v>194890</v>
      </c>
      <c r="H12" s="34">
        <v>203391</v>
      </c>
      <c r="I12" s="33">
        <v>210891</v>
      </c>
      <c r="J12" s="33"/>
      <c r="K12" s="33">
        <v>206891</v>
      </c>
      <c r="L12" s="33">
        <v>206891</v>
      </c>
      <c r="M12" s="33">
        <v>206891</v>
      </c>
      <c r="N12" s="35">
        <v>206891</v>
      </c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 spans="1:30" ht="15.75">
      <c r="A13" s="44" t="s">
        <v>30</v>
      </c>
      <c r="B13" s="45" t="s">
        <v>31</v>
      </c>
      <c r="C13" s="32">
        <v>163767</v>
      </c>
      <c r="D13" s="33">
        <v>166767</v>
      </c>
      <c r="E13" s="33">
        <v>181267</v>
      </c>
      <c r="F13" s="33">
        <v>186267</v>
      </c>
      <c r="G13" s="33">
        <v>194767</v>
      </c>
      <c r="H13" s="34">
        <v>203267</v>
      </c>
      <c r="I13" s="33">
        <v>210767</v>
      </c>
      <c r="J13" s="33"/>
      <c r="K13" s="33">
        <v>206767</v>
      </c>
      <c r="L13" s="33">
        <v>206767</v>
      </c>
      <c r="M13" s="33">
        <v>206767</v>
      </c>
      <c r="N13" s="35">
        <v>206767</v>
      </c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 spans="1:30" s="46" customFormat="1" ht="18.75">
      <c r="A14" s="30" t="s">
        <v>32</v>
      </c>
      <c r="B14" s="31" t="s">
        <v>33</v>
      </c>
      <c r="C14" s="32">
        <v>5315</v>
      </c>
      <c r="D14" s="33">
        <v>5316</v>
      </c>
      <c r="E14" s="33">
        <v>5316</v>
      </c>
      <c r="F14" s="33">
        <v>5316</v>
      </c>
      <c r="G14" s="33">
        <v>5316</v>
      </c>
      <c r="H14" s="34">
        <v>6966</v>
      </c>
      <c r="I14" s="33">
        <v>6689</v>
      </c>
      <c r="J14" s="33"/>
      <c r="K14" s="33">
        <v>6718.27</v>
      </c>
      <c r="L14" s="33">
        <v>6713</v>
      </c>
      <c r="M14" s="33">
        <v>6712</v>
      </c>
      <c r="N14" s="35">
        <v>6718</v>
      </c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0" ht="18.75">
      <c r="A15" s="30" t="s">
        <v>34</v>
      </c>
      <c r="B15" s="31" t="s">
        <v>35</v>
      </c>
      <c r="C15" s="32">
        <v>6193</v>
      </c>
      <c r="D15" s="33">
        <v>6165</v>
      </c>
      <c r="E15" s="33">
        <v>6565</v>
      </c>
      <c r="F15" s="33">
        <v>6362</v>
      </c>
      <c r="G15" s="33">
        <v>6695</v>
      </c>
      <c r="H15" s="34">
        <v>6442</v>
      </c>
      <c r="I15" s="33">
        <v>6389</v>
      </c>
      <c r="J15" s="33"/>
      <c r="K15" s="33">
        <v>6676</v>
      </c>
      <c r="L15" s="33">
        <v>6481</v>
      </c>
      <c r="M15" s="33">
        <v>6255</v>
      </c>
      <c r="N15" s="35">
        <v>6228</v>
      </c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spans="1:30" ht="20.25">
      <c r="A16" s="30" t="s">
        <v>36</v>
      </c>
      <c r="B16" s="31" t="s">
        <v>37</v>
      </c>
      <c r="C16" s="32"/>
      <c r="D16" s="33"/>
      <c r="E16" s="33"/>
      <c r="F16" s="33"/>
      <c r="G16" s="33"/>
      <c r="H16" s="34">
        <v>10000</v>
      </c>
      <c r="I16" s="33">
        <v>10000</v>
      </c>
      <c r="J16" s="33"/>
      <c r="K16" s="33">
        <v>10000</v>
      </c>
      <c r="L16" s="33">
        <v>7500</v>
      </c>
      <c r="M16" s="33">
        <v>7500</v>
      </c>
      <c r="N16" s="35">
        <f t="shared" ref="N16" si="0">10000-5000</f>
        <v>5000</v>
      </c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 ht="18.75">
      <c r="A17" s="30"/>
      <c r="B17" s="31"/>
      <c r="C17" s="32"/>
      <c r="D17" s="33"/>
      <c r="E17" s="33"/>
      <c r="F17" s="33"/>
      <c r="G17" s="33"/>
      <c r="H17" s="34"/>
      <c r="I17" s="33"/>
      <c r="J17" s="33"/>
      <c r="K17" s="33"/>
      <c r="L17" s="33"/>
      <c r="M17" s="33"/>
      <c r="N17" s="35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 ht="18.75">
      <c r="A18" s="26" t="s">
        <v>38</v>
      </c>
      <c r="B18" s="27" t="s">
        <v>39</v>
      </c>
      <c r="C18" s="47"/>
      <c r="D18" s="48"/>
      <c r="E18" s="48"/>
      <c r="F18" s="48"/>
      <c r="G18" s="48"/>
      <c r="H18" s="49"/>
      <c r="I18" s="48"/>
      <c r="J18" s="48"/>
      <c r="K18" s="48"/>
      <c r="L18" s="48"/>
      <c r="M18" s="48"/>
      <c r="N18" s="50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spans="1:30" ht="18.75">
      <c r="A19" s="26" t="s">
        <v>40</v>
      </c>
      <c r="B19" s="27" t="s">
        <v>41</v>
      </c>
      <c r="C19" s="51">
        <v>19480</v>
      </c>
      <c r="D19" s="52">
        <v>17228</v>
      </c>
      <c r="E19" s="52">
        <v>22543</v>
      </c>
      <c r="F19" s="52">
        <v>22838</v>
      </c>
      <c r="G19" s="52">
        <v>24032</v>
      </c>
      <c r="H19" s="53">
        <v>21212</v>
      </c>
      <c r="I19" s="52">
        <v>23579</v>
      </c>
      <c r="J19" s="52"/>
      <c r="K19" s="52"/>
      <c r="L19" s="52">
        <v>10828</v>
      </c>
      <c r="M19" s="52">
        <v>18107</v>
      </c>
      <c r="N19" s="54">
        <v>20502</v>
      </c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 spans="1:30" ht="18.75">
      <c r="A20" s="26" t="s">
        <v>42</v>
      </c>
      <c r="B20" s="27" t="s">
        <v>43</v>
      </c>
      <c r="C20" s="55"/>
      <c r="D20" s="56"/>
      <c r="E20" s="56"/>
      <c r="F20" s="56"/>
      <c r="G20" s="56"/>
      <c r="H20" s="57"/>
      <c r="I20" s="56"/>
      <c r="J20" s="56"/>
      <c r="K20" s="56"/>
      <c r="L20" s="56"/>
      <c r="M20" s="56"/>
      <c r="N20" s="58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spans="1:30" ht="18.75">
      <c r="A21" s="30" t="s">
        <v>44</v>
      </c>
      <c r="B21" s="31" t="s">
        <v>45</v>
      </c>
      <c r="C21" s="32">
        <v>12291</v>
      </c>
      <c r="D21" s="33">
        <v>11650</v>
      </c>
      <c r="E21" s="33">
        <v>14332</v>
      </c>
      <c r="F21" s="33">
        <v>16381</v>
      </c>
      <c r="G21" s="33">
        <v>15615</v>
      </c>
      <c r="H21" s="34">
        <v>13759</v>
      </c>
      <c r="I21" s="33">
        <v>18030</v>
      </c>
      <c r="J21" s="33"/>
      <c r="K21" s="33"/>
      <c r="L21" s="33">
        <v>8968</v>
      </c>
      <c r="M21" s="33">
        <v>12122.4</v>
      </c>
      <c r="N21" s="35">
        <v>14628</v>
      </c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spans="1:30" ht="18.75">
      <c r="A22" s="30" t="s">
        <v>46</v>
      </c>
      <c r="B22" s="31" t="s">
        <v>47</v>
      </c>
      <c r="C22" s="32">
        <v>6091</v>
      </c>
      <c r="D22" s="33">
        <v>4055</v>
      </c>
      <c r="E22" s="33">
        <v>6278</v>
      </c>
      <c r="F22" s="33">
        <v>5187</v>
      </c>
      <c r="G22" s="33">
        <v>7529</v>
      </c>
      <c r="H22" s="34">
        <v>4334</v>
      </c>
      <c r="I22" s="33">
        <v>3959</v>
      </c>
      <c r="J22" s="33"/>
      <c r="K22" s="33"/>
      <c r="L22" s="33">
        <v>771</v>
      </c>
      <c r="M22" s="33">
        <v>4149.3</v>
      </c>
      <c r="N22" s="35">
        <v>2761</v>
      </c>
    </row>
    <row r="23" spans="1:30" s="60" customFormat="1" ht="15.75">
      <c r="A23" s="59" t="s">
        <v>30</v>
      </c>
      <c r="B23" s="45" t="s">
        <v>31</v>
      </c>
      <c r="C23" s="32">
        <v>6091</v>
      </c>
      <c r="D23" s="33">
        <v>4055</v>
      </c>
      <c r="E23" s="33">
        <v>6278</v>
      </c>
      <c r="F23" s="33">
        <v>5187</v>
      </c>
      <c r="G23" s="33">
        <v>7529</v>
      </c>
      <c r="H23" s="34">
        <v>4243</v>
      </c>
      <c r="I23" s="33">
        <v>3936</v>
      </c>
      <c r="J23" s="33"/>
      <c r="K23" s="33"/>
      <c r="L23" s="33">
        <v>768</v>
      </c>
      <c r="M23" s="33">
        <v>4141</v>
      </c>
      <c r="N23" s="35">
        <v>2747</v>
      </c>
    </row>
    <row r="24" spans="1:30" s="60" customFormat="1" ht="18.75">
      <c r="A24" s="30" t="s">
        <v>48</v>
      </c>
      <c r="B24" s="31" t="s">
        <v>49</v>
      </c>
      <c r="C24" s="32">
        <v>0</v>
      </c>
      <c r="D24" s="33">
        <v>0</v>
      </c>
      <c r="E24" s="33">
        <v>0</v>
      </c>
      <c r="F24" s="33">
        <v>0</v>
      </c>
      <c r="G24" s="33">
        <v>0</v>
      </c>
      <c r="H24" s="34">
        <v>0</v>
      </c>
      <c r="I24" s="33">
        <v>0</v>
      </c>
      <c r="J24" s="33"/>
      <c r="K24" s="33"/>
      <c r="L24" s="33">
        <v>0</v>
      </c>
      <c r="M24" s="33">
        <v>0</v>
      </c>
      <c r="N24" s="35">
        <v>0</v>
      </c>
    </row>
    <row r="25" spans="1:30" s="60" customFormat="1" ht="18.75">
      <c r="A25" s="26" t="s">
        <v>50</v>
      </c>
      <c r="B25" s="27" t="s">
        <v>51</v>
      </c>
      <c r="C25" s="40"/>
      <c r="D25" s="41"/>
      <c r="E25" s="41"/>
      <c r="F25" s="41"/>
      <c r="G25" s="41"/>
      <c r="H25" s="42"/>
      <c r="I25" s="41"/>
      <c r="J25" s="41"/>
      <c r="K25" s="41"/>
      <c r="L25" s="41"/>
      <c r="M25" s="41"/>
      <c r="N25" s="43"/>
    </row>
    <row r="26" spans="1:30" s="60" customFormat="1" ht="18.75">
      <c r="A26" s="30" t="s">
        <v>44</v>
      </c>
      <c r="B26" s="31" t="s">
        <v>45</v>
      </c>
      <c r="C26" s="32">
        <v>1098</v>
      </c>
      <c r="D26" s="33">
        <v>1523</v>
      </c>
      <c r="E26" s="33">
        <v>1933</v>
      </c>
      <c r="F26" s="33">
        <v>1270</v>
      </c>
      <c r="G26" s="33">
        <v>888</v>
      </c>
      <c r="H26" s="34">
        <v>3119</v>
      </c>
      <c r="I26" s="33">
        <v>1590</v>
      </c>
      <c r="J26" s="33"/>
      <c r="K26" s="33"/>
      <c r="L26" s="33">
        <v>1089</v>
      </c>
      <c r="M26" s="33">
        <v>1836.1</v>
      </c>
      <c r="N26" s="35">
        <v>3113</v>
      </c>
    </row>
    <row r="27" spans="1:30" s="60" customFormat="1" ht="18.75">
      <c r="A27" s="30" t="s">
        <v>52</v>
      </c>
      <c r="B27" s="31" t="s">
        <v>53</v>
      </c>
      <c r="C27" s="32">
        <v>0</v>
      </c>
      <c r="D27" s="33">
        <v>0</v>
      </c>
      <c r="E27" s="33">
        <v>0</v>
      </c>
      <c r="F27" s="33">
        <v>0</v>
      </c>
      <c r="G27" s="33">
        <v>0</v>
      </c>
      <c r="H27" s="34">
        <v>0</v>
      </c>
      <c r="I27" s="33">
        <v>0</v>
      </c>
      <c r="J27" s="33"/>
      <c r="K27" s="33"/>
      <c r="L27" s="33">
        <v>0</v>
      </c>
      <c r="M27" s="33">
        <v>0</v>
      </c>
      <c r="N27" s="35">
        <v>0</v>
      </c>
    </row>
    <row r="28" spans="1:30" s="60" customFormat="1" ht="18.75">
      <c r="A28" s="30" t="s">
        <v>48</v>
      </c>
      <c r="B28" s="31" t="s">
        <v>49</v>
      </c>
      <c r="C28" s="32">
        <v>0</v>
      </c>
      <c r="D28" s="33">
        <v>0</v>
      </c>
      <c r="E28" s="33">
        <v>0</v>
      </c>
      <c r="F28" s="33">
        <v>0</v>
      </c>
      <c r="G28" s="33">
        <v>0</v>
      </c>
      <c r="H28" s="34">
        <v>0</v>
      </c>
      <c r="I28" s="33">
        <v>0</v>
      </c>
      <c r="J28" s="33"/>
      <c r="K28" s="33"/>
      <c r="L28" s="33">
        <v>0</v>
      </c>
      <c r="M28" s="33">
        <v>0</v>
      </c>
      <c r="N28" s="35">
        <v>0</v>
      </c>
    </row>
    <row r="29" spans="1:30" s="60" customFormat="1" ht="18.75">
      <c r="A29" s="30"/>
      <c r="B29" s="31"/>
      <c r="C29" s="61"/>
      <c r="D29" s="61"/>
      <c r="E29" s="61"/>
      <c r="F29" s="61"/>
      <c r="G29" s="61"/>
      <c r="H29" s="62"/>
      <c r="I29" s="63"/>
      <c r="J29" s="63"/>
      <c r="K29" s="63"/>
      <c r="L29" s="63"/>
      <c r="M29" s="63"/>
      <c r="N29" s="64"/>
    </row>
    <row r="30" spans="1:30" s="60" customFormat="1" ht="18.75">
      <c r="A30" s="26" t="s">
        <v>54</v>
      </c>
      <c r="B30" s="27" t="s">
        <v>55</v>
      </c>
      <c r="C30" s="65"/>
      <c r="D30" s="61"/>
      <c r="E30" s="61"/>
      <c r="F30" s="61"/>
      <c r="G30" s="61"/>
      <c r="H30" s="62"/>
      <c r="I30" s="61"/>
      <c r="J30" s="61"/>
      <c r="K30" s="61"/>
      <c r="L30" s="61"/>
      <c r="M30" s="61"/>
      <c r="N30" s="64"/>
    </row>
    <row r="31" spans="1:30" s="60" customFormat="1" ht="18.75">
      <c r="A31" s="30" t="s">
        <v>56</v>
      </c>
      <c r="B31" s="31" t="s">
        <v>57</v>
      </c>
      <c r="C31" s="66">
        <v>419314</v>
      </c>
      <c r="D31" s="67">
        <v>430823</v>
      </c>
      <c r="E31" s="67">
        <v>447857</v>
      </c>
      <c r="F31" s="67">
        <v>452771</v>
      </c>
      <c r="G31" s="67">
        <v>478013</v>
      </c>
      <c r="H31" s="68">
        <v>488209</v>
      </c>
      <c r="I31" s="67">
        <v>407037</v>
      </c>
      <c r="J31" s="67"/>
      <c r="K31" s="67">
        <v>407736</v>
      </c>
      <c r="L31" s="67">
        <v>387644</v>
      </c>
      <c r="M31" s="67">
        <v>410020</v>
      </c>
      <c r="N31" s="69">
        <v>399756</v>
      </c>
    </row>
    <row r="32" spans="1:30" s="60" customFormat="1" ht="22.5">
      <c r="A32" s="30" t="s">
        <v>58</v>
      </c>
      <c r="B32" s="70" t="s">
        <v>59</v>
      </c>
      <c r="C32" s="71">
        <v>13.5</v>
      </c>
      <c r="D32" s="72">
        <v>13.4</v>
      </c>
      <c r="E32" s="72">
        <v>13.9</v>
      </c>
      <c r="F32" s="72">
        <v>14.1</v>
      </c>
      <c r="G32" s="72">
        <v>14.1</v>
      </c>
      <c r="H32" s="73">
        <v>14.7</v>
      </c>
      <c r="I32" s="72"/>
      <c r="J32" s="72"/>
      <c r="K32" s="72">
        <v>12.4</v>
      </c>
      <c r="L32" s="72">
        <v>12.9</v>
      </c>
      <c r="M32" s="72">
        <v>14.9</v>
      </c>
      <c r="N32" s="74">
        <v>12.98</v>
      </c>
    </row>
    <row r="33" spans="1:14" s="60" customFormat="1" ht="21.75">
      <c r="A33" s="26" t="s">
        <v>60</v>
      </c>
      <c r="B33" s="27" t="s">
        <v>61</v>
      </c>
      <c r="C33" s="75"/>
      <c r="D33" s="61"/>
      <c r="E33" s="61"/>
      <c r="F33" s="61"/>
      <c r="G33" s="61"/>
      <c r="H33" s="62"/>
      <c r="I33" s="63"/>
      <c r="J33" s="63"/>
      <c r="K33" s="63"/>
      <c r="L33" s="63"/>
      <c r="M33" s="63"/>
      <c r="N33" s="64"/>
    </row>
    <row r="34" spans="1:14" s="60" customFormat="1" ht="18.75">
      <c r="A34" s="30" t="s">
        <v>20</v>
      </c>
      <c r="B34" s="31" t="s">
        <v>21</v>
      </c>
      <c r="C34" s="76">
        <v>13</v>
      </c>
      <c r="D34" s="67">
        <v>13</v>
      </c>
      <c r="E34" s="67">
        <v>16</v>
      </c>
      <c r="F34" s="67">
        <v>16</v>
      </c>
      <c r="G34" s="67">
        <v>16</v>
      </c>
      <c r="H34" s="68">
        <v>16</v>
      </c>
      <c r="I34" s="77">
        <v>17</v>
      </c>
      <c r="J34" s="77"/>
      <c r="K34" s="77">
        <v>18</v>
      </c>
      <c r="L34" s="77">
        <v>18</v>
      </c>
      <c r="M34" s="77">
        <v>18</v>
      </c>
      <c r="N34" s="69">
        <v>18</v>
      </c>
    </row>
    <row r="35" spans="1:14" s="60" customFormat="1" ht="18.75">
      <c r="A35" s="30" t="s">
        <v>22</v>
      </c>
      <c r="B35" s="31" t="s">
        <v>23</v>
      </c>
      <c r="C35" s="76">
        <v>72</v>
      </c>
      <c r="D35" s="67">
        <v>72</v>
      </c>
      <c r="E35" s="67">
        <v>110</v>
      </c>
      <c r="F35" s="67">
        <v>110</v>
      </c>
      <c r="G35" s="67">
        <v>110</v>
      </c>
      <c r="H35" s="68">
        <v>109</v>
      </c>
      <c r="I35" s="77">
        <v>112</v>
      </c>
      <c r="J35" s="77"/>
      <c r="K35" s="77">
        <v>106</v>
      </c>
      <c r="L35" s="77">
        <v>152</v>
      </c>
      <c r="M35" s="77">
        <v>152</v>
      </c>
      <c r="N35" s="69">
        <v>152</v>
      </c>
    </row>
    <row r="36" spans="1:14" s="60" customFormat="1" ht="18.75">
      <c r="A36" s="30" t="s">
        <v>62</v>
      </c>
      <c r="B36" s="31" t="s">
        <v>63</v>
      </c>
      <c r="C36" s="78">
        <v>19</v>
      </c>
      <c r="D36" s="79">
        <v>4</v>
      </c>
      <c r="E36" s="79">
        <v>22</v>
      </c>
      <c r="F36" s="79">
        <v>13</v>
      </c>
      <c r="G36" s="79">
        <v>30</v>
      </c>
      <c r="H36" s="80">
        <v>26</v>
      </c>
      <c r="I36" s="81">
        <v>36</v>
      </c>
      <c r="J36" s="81"/>
      <c r="K36" s="81">
        <v>25</v>
      </c>
      <c r="L36" s="81">
        <v>18</v>
      </c>
      <c r="M36" s="81">
        <v>21</v>
      </c>
      <c r="N36" s="82">
        <v>14</v>
      </c>
    </row>
    <row r="37" spans="1:14" s="60" customFormat="1" ht="18.75">
      <c r="A37" s="83" t="s">
        <v>64</v>
      </c>
      <c r="B37" s="31" t="s">
        <v>57</v>
      </c>
      <c r="C37" s="78">
        <v>509.75314500000002</v>
      </c>
      <c r="D37" s="79">
        <v>518</v>
      </c>
      <c r="E37" s="79">
        <v>601</v>
      </c>
      <c r="F37" s="79">
        <v>674.86</v>
      </c>
      <c r="G37" s="79">
        <v>843.47</v>
      </c>
      <c r="H37" s="80">
        <v>1017.7809999999999</v>
      </c>
      <c r="I37" s="81">
        <v>961</v>
      </c>
      <c r="J37" s="81"/>
      <c r="K37" s="81">
        <v>966</v>
      </c>
      <c r="L37" s="81">
        <v>806</v>
      </c>
      <c r="M37" s="81">
        <v>976</v>
      </c>
      <c r="N37" s="82">
        <v>1007</v>
      </c>
    </row>
    <row r="38" spans="1:14" s="60" customFormat="1" ht="18.75">
      <c r="A38" s="84"/>
      <c r="B38" s="31"/>
      <c r="C38" s="76"/>
      <c r="D38" s="67"/>
      <c r="E38" s="67"/>
      <c r="F38" s="67"/>
      <c r="G38" s="67"/>
      <c r="H38" s="68"/>
      <c r="I38" s="77"/>
      <c r="J38" s="77"/>
      <c r="K38" s="77"/>
      <c r="L38" s="77"/>
      <c r="M38" s="77"/>
      <c r="N38" s="69"/>
    </row>
    <row r="39" spans="1:14" s="60" customFormat="1" ht="21.75">
      <c r="A39" s="26" t="s">
        <v>65</v>
      </c>
      <c r="B39" s="27" t="s">
        <v>66</v>
      </c>
      <c r="C39" s="75"/>
      <c r="D39" s="61"/>
      <c r="E39" s="61"/>
      <c r="F39" s="61"/>
      <c r="G39" s="61"/>
      <c r="H39" s="62"/>
      <c r="I39" s="63"/>
      <c r="J39" s="63"/>
      <c r="K39" s="61"/>
      <c r="L39" s="63"/>
      <c r="M39" s="63"/>
      <c r="N39" s="64"/>
    </row>
    <row r="40" spans="1:14" s="60" customFormat="1" ht="18.75">
      <c r="A40" s="30" t="s">
        <v>67</v>
      </c>
      <c r="B40" s="85" t="s">
        <v>67</v>
      </c>
      <c r="C40" s="75"/>
      <c r="D40" s="61"/>
      <c r="E40" s="61"/>
      <c r="F40" s="61"/>
      <c r="G40" s="61"/>
      <c r="H40" s="62"/>
      <c r="I40" s="86">
        <v>6378.73</v>
      </c>
      <c r="J40" s="63"/>
      <c r="K40" s="87">
        <v>6062.42</v>
      </c>
      <c r="L40" s="87">
        <v>5535.44</v>
      </c>
      <c r="M40" s="87">
        <v>6094.31</v>
      </c>
      <c r="N40" s="88">
        <v>5888.08</v>
      </c>
    </row>
    <row r="41" spans="1:14" s="60" customFormat="1" ht="18.75">
      <c r="A41" s="30" t="s">
        <v>68</v>
      </c>
      <c r="B41" s="85" t="s">
        <v>68</v>
      </c>
      <c r="C41" s="89">
        <v>6316.5</v>
      </c>
      <c r="D41" s="90">
        <v>6407.93</v>
      </c>
      <c r="E41" s="90">
        <v>6634.27</v>
      </c>
      <c r="F41" s="90">
        <v>6670.34</v>
      </c>
      <c r="G41" s="90">
        <v>6704.83</v>
      </c>
      <c r="H41" s="91">
        <v>7142.14</v>
      </c>
      <c r="I41" s="86">
        <v>5646.5</v>
      </c>
      <c r="J41" s="90"/>
      <c r="K41" s="87">
        <v>5463.72</v>
      </c>
      <c r="L41" s="87">
        <v>5003.6499999999996</v>
      </c>
      <c r="M41" s="87">
        <v>5523.36</v>
      </c>
      <c r="N41" s="88">
        <v>5373</v>
      </c>
    </row>
    <row r="42" spans="1:14" s="60" customFormat="1" ht="18.75">
      <c r="A42" s="30" t="s">
        <v>69</v>
      </c>
      <c r="B42" s="85" t="s">
        <v>69</v>
      </c>
      <c r="C42" s="92">
        <v>606.20000000000005</v>
      </c>
      <c r="D42" s="67">
        <v>589.9</v>
      </c>
      <c r="E42" s="67">
        <v>660.58</v>
      </c>
      <c r="F42" s="67">
        <v>668.24</v>
      </c>
      <c r="G42" s="67">
        <v>730.69</v>
      </c>
      <c r="H42" s="68">
        <v>721.54</v>
      </c>
      <c r="I42" s="93">
        <v>537.16999999999996</v>
      </c>
      <c r="J42" s="67"/>
      <c r="K42" s="87">
        <v>574.98</v>
      </c>
      <c r="L42" s="87">
        <v>596.63</v>
      </c>
      <c r="M42" s="87">
        <v>649.55999999999995</v>
      </c>
      <c r="N42" s="88">
        <v>629.63</v>
      </c>
    </row>
    <row r="43" spans="1:14" s="60" customFormat="1" ht="18.75">
      <c r="A43" s="30" t="s">
        <v>70</v>
      </c>
      <c r="B43" s="85" t="s">
        <v>70</v>
      </c>
      <c r="C43" s="92">
        <v>995.3</v>
      </c>
      <c r="D43" s="67">
        <v>987.6</v>
      </c>
      <c r="E43" s="67">
        <v>1077.31</v>
      </c>
      <c r="F43" s="67">
        <v>1090.4000000000001</v>
      </c>
      <c r="G43" s="67">
        <v>1160.4000000000001</v>
      </c>
      <c r="H43" s="68">
        <v>1166.24</v>
      </c>
      <c r="I43" s="93">
        <v>884.79</v>
      </c>
      <c r="J43" s="67"/>
      <c r="K43" s="87">
        <v>924.33</v>
      </c>
      <c r="L43" s="87">
        <v>926.26</v>
      </c>
      <c r="M43" s="87">
        <v>1003.48</v>
      </c>
      <c r="N43" s="88">
        <v>972.87</v>
      </c>
    </row>
    <row r="44" spans="1:14" s="60" customFormat="1" ht="18.75">
      <c r="A44" s="94" t="s">
        <v>71</v>
      </c>
      <c r="B44" s="31" t="s">
        <v>72</v>
      </c>
      <c r="C44" s="92"/>
      <c r="D44" s="67"/>
      <c r="E44" s="67"/>
      <c r="F44" s="67"/>
      <c r="G44" s="67"/>
      <c r="H44" s="68"/>
      <c r="I44" s="67"/>
      <c r="J44" s="67"/>
      <c r="K44" s="67"/>
      <c r="L44" s="67"/>
      <c r="M44" s="67"/>
      <c r="N44" s="69"/>
    </row>
    <row r="45" spans="1:14" s="60" customFormat="1" ht="18.75">
      <c r="A45" s="30"/>
      <c r="B45" s="30"/>
      <c r="C45" s="92"/>
      <c r="D45" s="67"/>
      <c r="E45" s="67"/>
      <c r="F45" s="67"/>
      <c r="G45" s="67"/>
      <c r="H45" s="68"/>
      <c r="I45" s="67"/>
      <c r="J45" s="67"/>
      <c r="K45" s="67"/>
      <c r="L45" s="67"/>
      <c r="M45" s="67"/>
      <c r="N45" s="69"/>
    </row>
    <row r="46" spans="1:14" s="60" customFormat="1" ht="21.75">
      <c r="A46" s="95" t="s">
        <v>73</v>
      </c>
      <c r="B46" s="27" t="s">
        <v>74</v>
      </c>
      <c r="C46" s="92"/>
      <c r="D46" s="67"/>
      <c r="E46" s="67"/>
      <c r="F46" s="67"/>
      <c r="G46" s="67"/>
      <c r="H46" s="68"/>
      <c r="I46" s="67"/>
      <c r="J46" s="67"/>
      <c r="K46" s="67"/>
      <c r="L46" s="67"/>
      <c r="M46" s="67"/>
      <c r="N46" s="69"/>
    </row>
    <row r="47" spans="1:14" s="60" customFormat="1" ht="18.75">
      <c r="A47" s="30" t="s">
        <v>75</v>
      </c>
      <c r="B47" s="31" t="s">
        <v>76</v>
      </c>
      <c r="C47" s="92"/>
      <c r="D47" s="67"/>
      <c r="E47" s="67"/>
      <c r="F47" s="67"/>
      <c r="G47" s="67"/>
      <c r="H47" s="68"/>
      <c r="I47" s="67"/>
      <c r="J47" s="67"/>
      <c r="K47" s="67"/>
      <c r="L47" s="67"/>
      <c r="M47" s="67"/>
      <c r="N47" s="69"/>
    </row>
    <row r="48" spans="1:14" s="60" customFormat="1" ht="18.75">
      <c r="A48" s="30" t="s">
        <v>77</v>
      </c>
      <c r="B48" s="31" t="s">
        <v>78</v>
      </c>
      <c r="C48" s="92"/>
      <c r="D48" s="67"/>
      <c r="E48" s="67"/>
      <c r="F48" s="67"/>
      <c r="G48" s="67"/>
      <c r="H48" s="68"/>
      <c r="I48" s="67"/>
      <c r="J48" s="67"/>
      <c r="K48" s="67"/>
      <c r="L48" s="67"/>
      <c r="M48" s="67"/>
      <c r="N48" s="69"/>
    </row>
    <row r="49" spans="1:14" s="60" customFormat="1" ht="18.75">
      <c r="A49" s="30" t="s">
        <v>79</v>
      </c>
      <c r="B49" s="31" t="s">
        <v>80</v>
      </c>
      <c r="C49" s="92"/>
      <c r="D49" s="67"/>
      <c r="E49" s="67"/>
      <c r="F49" s="67"/>
      <c r="G49" s="67"/>
      <c r="H49" s="68"/>
      <c r="I49" s="67"/>
      <c r="J49" s="67"/>
      <c r="K49" s="67"/>
      <c r="L49" s="67"/>
      <c r="M49" s="67"/>
      <c r="N49" s="69"/>
    </row>
    <row r="50" spans="1:14" s="60" customFormat="1" ht="18.75">
      <c r="A50" s="30" t="s">
        <v>81</v>
      </c>
      <c r="B50" s="31" t="s">
        <v>82</v>
      </c>
      <c r="C50" s="92"/>
      <c r="D50" s="67"/>
      <c r="E50" s="67"/>
      <c r="F50" s="67"/>
      <c r="G50" s="67"/>
      <c r="H50" s="68"/>
      <c r="I50" s="67"/>
      <c r="J50" s="67"/>
      <c r="K50" s="67"/>
      <c r="L50" s="67"/>
      <c r="M50" s="67"/>
      <c r="N50" s="69"/>
    </row>
    <row r="51" spans="1:14" s="60" customFormat="1" ht="18.75">
      <c r="A51" s="30" t="s">
        <v>83</v>
      </c>
      <c r="B51" s="31" t="s">
        <v>84</v>
      </c>
      <c r="C51" s="92"/>
      <c r="D51" s="67"/>
      <c r="E51" s="67"/>
      <c r="F51" s="67"/>
      <c r="G51" s="67"/>
      <c r="H51" s="68"/>
      <c r="I51" s="67"/>
      <c r="J51" s="67"/>
      <c r="K51" s="67"/>
      <c r="L51" s="67"/>
      <c r="M51" s="67"/>
      <c r="N51" s="69"/>
    </row>
    <row r="52" spans="1:14" s="60" customFormat="1" ht="18.75">
      <c r="A52" s="30" t="s">
        <v>85</v>
      </c>
      <c r="B52" s="31" t="s">
        <v>86</v>
      </c>
      <c r="C52" s="92"/>
      <c r="D52" s="67"/>
      <c r="E52" s="67"/>
      <c r="F52" s="67"/>
      <c r="G52" s="67"/>
      <c r="H52" s="68"/>
      <c r="I52" s="67"/>
      <c r="J52" s="67"/>
      <c r="K52" s="67"/>
      <c r="L52" s="67"/>
      <c r="M52" s="67"/>
      <c r="N52" s="69"/>
    </row>
    <row r="53" spans="1:14" s="60" customFormat="1" ht="18.75">
      <c r="A53" s="30" t="s">
        <v>87</v>
      </c>
      <c r="B53" s="31" t="s">
        <v>88</v>
      </c>
      <c r="C53" s="92"/>
      <c r="D53" s="67"/>
      <c r="E53" s="67"/>
      <c r="F53" s="67"/>
      <c r="G53" s="67"/>
      <c r="H53" s="68"/>
      <c r="I53" s="67"/>
      <c r="J53" s="67"/>
      <c r="K53" s="67"/>
      <c r="L53" s="67"/>
      <c r="M53" s="67"/>
      <c r="N53" s="69"/>
    </row>
    <row r="54" spans="1:14" s="60" customFormat="1" ht="18.75">
      <c r="A54" s="30" t="s">
        <v>89</v>
      </c>
      <c r="B54" s="31" t="s">
        <v>90</v>
      </c>
      <c r="C54" s="92"/>
      <c r="D54" s="67"/>
      <c r="E54" s="67"/>
      <c r="F54" s="67"/>
      <c r="G54" s="67"/>
      <c r="H54" s="68"/>
      <c r="I54" s="67"/>
      <c r="J54" s="67"/>
      <c r="K54" s="67"/>
      <c r="L54" s="67"/>
      <c r="M54" s="67"/>
      <c r="N54" s="69"/>
    </row>
    <row r="55" spans="1:14" s="60" customFormat="1" ht="18.75">
      <c r="A55" s="30" t="s">
        <v>91</v>
      </c>
      <c r="B55" s="31" t="s">
        <v>92</v>
      </c>
      <c r="C55" s="92"/>
      <c r="D55" s="67"/>
      <c r="E55" s="67"/>
      <c r="F55" s="67"/>
      <c r="G55" s="67"/>
      <c r="H55" s="68"/>
      <c r="I55" s="67"/>
      <c r="J55" s="67"/>
      <c r="K55" s="67"/>
      <c r="L55" s="67"/>
      <c r="M55" s="67"/>
      <c r="N55" s="69"/>
    </row>
    <row r="56" spans="1:14" s="60" customFormat="1" ht="18.75">
      <c r="A56" s="30" t="s">
        <v>93</v>
      </c>
      <c r="B56" s="31" t="s">
        <v>94</v>
      </c>
      <c r="C56" s="92"/>
      <c r="D56" s="67"/>
      <c r="E56" s="67"/>
      <c r="F56" s="67"/>
      <c r="G56" s="67"/>
      <c r="H56" s="68"/>
      <c r="I56" s="67"/>
      <c r="J56" s="67"/>
      <c r="K56" s="67"/>
      <c r="L56" s="67"/>
      <c r="M56" s="67"/>
      <c r="N56" s="69"/>
    </row>
    <row r="57" spans="1:14" s="60" customFormat="1" ht="18.75">
      <c r="A57" s="30" t="s">
        <v>95</v>
      </c>
      <c r="B57" s="31" t="s">
        <v>96</v>
      </c>
      <c r="C57" s="92"/>
      <c r="D57" s="67"/>
      <c r="E57" s="67"/>
      <c r="F57" s="67"/>
      <c r="G57" s="67"/>
      <c r="H57" s="68"/>
      <c r="I57" s="67"/>
      <c r="J57" s="67"/>
      <c r="K57" s="67"/>
      <c r="L57" s="67"/>
      <c r="M57" s="67"/>
      <c r="N57" s="69"/>
    </row>
    <row r="58" spans="1:14" s="60" customFormat="1" ht="18.75">
      <c r="A58" s="30" t="s">
        <v>97</v>
      </c>
      <c r="B58" s="31" t="s">
        <v>98</v>
      </c>
      <c r="C58" s="92"/>
      <c r="D58" s="67"/>
      <c r="E58" s="67"/>
      <c r="F58" s="67"/>
      <c r="G58" s="67"/>
      <c r="H58" s="68"/>
      <c r="I58" s="67"/>
      <c r="J58" s="67"/>
      <c r="K58" s="67"/>
      <c r="L58" s="67"/>
      <c r="M58" s="67"/>
      <c r="N58" s="69"/>
    </row>
    <row r="59" spans="1:14" s="60" customFormat="1" ht="18.75">
      <c r="A59" s="30"/>
      <c r="B59" s="30"/>
      <c r="C59" s="92"/>
      <c r="D59" s="67"/>
      <c r="E59" s="67"/>
      <c r="F59" s="67"/>
      <c r="G59" s="67"/>
      <c r="H59" s="68"/>
      <c r="I59" s="67"/>
      <c r="J59" s="67"/>
      <c r="K59" s="67"/>
      <c r="L59" s="67"/>
      <c r="M59" s="67"/>
      <c r="N59" s="69"/>
    </row>
    <row r="60" spans="1:14" s="60" customFormat="1" ht="18.75">
      <c r="A60" s="26" t="s">
        <v>99</v>
      </c>
      <c r="B60" s="26" t="s">
        <v>100</v>
      </c>
      <c r="C60" s="61"/>
      <c r="D60" s="61"/>
      <c r="E60" s="61"/>
      <c r="F60" s="61"/>
      <c r="G60" s="61"/>
      <c r="H60" s="62"/>
      <c r="I60" s="63"/>
      <c r="J60" s="63"/>
      <c r="K60" s="63"/>
      <c r="L60" s="63"/>
      <c r="M60" s="63"/>
      <c r="N60" s="69"/>
    </row>
    <row r="61" spans="1:14" s="60" customFormat="1" ht="18.75">
      <c r="A61" s="26" t="s">
        <v>101</v>
      </c>
      <c r="B61" s="27" t="s">
        <v>102</v>
      </c>
      <c r="C61" s="41">
        <v>282</v>
      </c>
      <c r="D61" s="41">
        <v>282</v>
      </c>
      <c r="E61" s="41">
        <v>282</v>
      </c>
      <c r="F61" s="41">
        <v>282</v>
      </c>
      <c r="G61" s="41">
        <v>282</v>
      </c>
      <c r="H61" s="42">
        <v>282</v>
      </c>
      <c r="I61" s="41">
        <v>282</v>
      </c>
      <c r="J61" s="41"/>
      <c r="K61" s="41">
        <v>282</v>
      </c>
      <c r="L61" s="41">
        <v>282</v>
      </c>
      <c r="M61" s="41">
        <v>282</v>
      </c>
      <c r="N61" s="43">
        <v>282</v>
      </c>
    </row>
    <row r="62" spans="1:14" s="60" customFormat="1" ht="15.75">
      <c r="A62" s="59" t="s">
        <v>103</v>
      </c>
      <c r="B62" s="96" t="s">
        <v>104</v>
      </c>
      <c r="C62" s="33">
        <v>85</v>
      </c>
      <c r="D62" s="33">
        <v>85</v>
      </c>
      <c r="E62" s="33">
        <v>85</v>
      </c>
      <c r="F62" s="33">
        <v>85</v>
      </c>
      <c r="G62" s="33">
        <v>85</v>
      </c>
      <c r="H62" s="34">
        <v>85</v>
      </c>
      <c r="I62" s="33">
        <v>85</v>
      </c>
      <c r="J62" s="33"/>
      <c r="K62" s="33">
        <v>85</v>
      </c>
      <c r="L62" s="33">
        <v>85</v>
      </c>
      <c r="M62" s="33">
        <v>85</v>
      </c>
      <c r="N62" s="35">
        <v>85</v>
      </c>
    </row>
    <row r="63" spans="1:14" s="60" customFormat="1" ht="15.75">
      <c r="A63" s="59" t="s">
        <v>105</v>
      </c>
      <c r="B63" s="96" t="s">
        <v>106</v>
      </c>
      <c r="C63" s="33">
        <v>38</v>
      </c>
      <c r="D63" s="33">
        <v>38</v>
      </c>
      <c r="E63" s="33">
        <v>38</v>
      </c>
      <c r="F63" s="33">
        <v>38</v>
      </c>
      <c r="G63" s="33">
        <v>38</v>
      </c>
      <c r="H63" s="34">
        <v>38</v>
      </c>
      <c r="I63" s="33">
        <v>38</v>
      </c>
      <c r="J63" s="33"/>
      <c r="K63" s="33">
        <v>38</v>
      </c>
      <c r="L63" s="33">
        <v>38</v>
      </c>
      <c r="M63" s="33">
        <v>38</v>
      </c>
      <c r="N63" s="35">
        <v>38</v>
      </c>
    </row>
    <row r="64" spans="1:14" s="60" customFormat="1" ht="18.75">
      <c r="A64" s="30"/>
      <c r="B64" s="30"/>
      <c r="C64" s="33"/>
      <c r="D64" s="33"/>
      <c r="E64" s="33"/>
      <c r="F64" s="33"/>
      <c r="G64" s="33"/>
      <c r="H64" s="34"/>
      <c r="I64" s="33"/>
      <c r="J64" s="33"/>
      <c r="K64" s="33"/>
      <c r="L64" s="33"/>
      <c r="M64" s="33"/>
      <c r="N64" s="35"/>
    </row>
    <row r="65" spans="1:14" s="60" customFormat="1" ht="18.75">
      <c r="A65" s="26" t="s">
        <v>107</v>
      </c>
      <c r="B65" s="27" t="s">
        <v>108</v>
      </c>
      <c r="C65" s="41">
        <v>53644</v>
      </c>
      <c r="D65" s="41">
        <v>53644</v>
      </c>
      <c r="E65" s="41">
        <v>53644</v>
      </c>
      <c r="F65" s="41">
        <v>53644</v>
      </c>
      <c r="G65" s="41">
        <v>53644</v>
      </c>
      <c r="H65" s="42">
        <v>53644</v>
      </c>
      <c r="I65" s="41">
        <v>53644</v>
      </c>
      <c r="J65" s="41"/>
      <c r="K65" s="41">
        <v>53644</v>
      </c>
      <c r="L65" s="41">
        <v>53644</v>
      </c>
      <c r="M65" s="41">
        <v>53644</v>
      </c>
      <c r="N65" s="43">
        <v>53644</v>
      </c>
    </row>
    <row r="66" spans="1:14" s="60" customFormat="1" ht="15.75">
      <c r="A66" s="59" t="s">
        <v>103</v>
      </c>
      <c r="B66" s="96" t="s">
        <v>104</v>
      </c>
      <c r="C66" s="33">
        <v>32208</v>
      </c>
      <c r="D66" s="33">
        <v>32208</v>
      </c>
      <c r="E66" s="33">
        <v>32208</v>
      </c>
      <c r="F66" s="33">
        <v>32208</v>
      </c>
      <c r="G66" s="33">
        <v>32208</v>
      </c>
      <c r="H66" s="34">
        <v>32208</v>
      </c>
      <c r="I66" s="33">
        <v>32208</v>
      </c>
      <c r="J66" s="33"/>
      <c r="K66" s="33">
        <v>32208</v>
      </c>
      <c r="L66" s="33">
        <v>32208</v>
      </c>
      <c r="M66" s="33">
        <v>32208</v>
      </c>
      <c r="N66" s="35">
        <v>32208</v>
      </c>
    </row>
    <row r="67" spans="1:14" s="60" customFormat="1" ht="15.75">
      <c r="A67" s="97" t="s">
        <v>105</v>
      </c>
      <c r="B67" s="98" t="s">
        <v>106</v>
      </c>
      <c r="C67" s="99">
        <v>6064</v>
      </c>
      <c r="D67" s="99">
        <v>6064</v>
      </c>
      <c r="E67" s="99">
        <v>6064</v>
      </c>
      <c r="F67" s="99">
        <v>6064</v>
      </c>
      <c r="G67" s="99">
        <v>6064</v>
      </c>
      <c r="H67" s="100">
        <v>6064</v>
      </c>
      <c r="I67" s="99">
        <v>6064</v>
      </c>
      <c r="J67" s="99"/>
      <c r="K67" s="99">
        <v>6064</v>
      </c>
      <c r="L67" s="99">
        <v>6064</v>
      </c>
      <c r="M67" s="99">
        <v>6064</v>
      </c>
      <c r="N67" s="101">
        <v>6064</v>
      </c>
    </row>
    <row r="68" spans="1:14" s="60" customFormat="1">
      <c r="A68" s="102" t="s">
        <v>109</v>
      </c>
      <c r="B68" s="103" t="s">
        <v>110</v>
      </c>
      <c r="C68" s="104"/>
    </row>
    <row r="69" spans="1:14" s="60" customFormat="1" ht="18">
      <c r="A69" s="105" t="s">
        <v>111</v>
      </c>
      <c r="B69" s="106" t="s">
        <v>112</v>
      </c>
      <c r="C69" s="104"/>
    </row>
    <row r="70" spans="1:14" s="60" customFormat="1" ht="18">
      <c r="A70" s="107" t="s">
        <v>113</v>
      </c>
      <c r="B70" s="108" t="s">
        <v>114</v>
      </c>
      <c r="C70" s="104"/>
    </row>
    <row r="71" spans="1:14" s="60" customFormat="1">
      <c r="A71" s="109" t="s">
        <v>115</v>
      </c>
      <c r="B71" s="110" t="s">
        <v>116</v>
      </c>
      <c r="C71" s="104"/>
    </row>
    <row r="72" spans="1:14" s="60" customFormat="1">
      <c r="A72" s="109" t="s">
        <v>117</v>
      </c>
      <c r="B72" s="110" t="s">
        <v>118</v>
      </c>
      <c r="C72" s="104"/>
    </row>
    <row r="73" spans="1:14" s="60" customFormat="1" ht="18">
      <c r="A73" s="107" t="s">
        <v>119</v>
      </c>
      <c r="B73" s="108" t="s">
        <v>120</v>
      </c>
      <c r="C73" s="104"/>
    </row>
    <row r="74" spans="1:14" s="60" customFormat="1" ht="18">
      <c r="A74" s="107" t="s">
        <v>121</v>
      </c>
      <c r="B74" s="108" t="s">
        <v>122</v>
      </c>
      <c r="C74" s="104"/>
    </row>
    <row r="75" spans="1:14" s="60" customFormat="1" ht="18">
      <c r="A75" s="111" t="s">
        <v>123</v>
      </c>
      <c r="B75" s="108" t="s">
        <v>124</v>
      </c>
      <c r="C75" s="104"/>
    </row>
    <row r="76" spans="1:14" s="60" customFormat="1" ht="15.75">
      <c r="A76" s="109" t="s">
        <v>125</v>
      </c>
      <c r="B76" s="110" t="s">
        <v>126</v>
      </c>
      <c r="C76" s="104"/>
    </row>
    <row r="77" spans="1:14" s="60" customFormat="1" ht="15.75">
      <c r="A77" s="112" t="s">
        <v>127</v>
      </c>
      <c r="B77" s="113" t="s">
        <v>128</v>
      </c>
      <c r="C77" s="104"/>
    </row>
    <row r="78" spans="1:14" s="60" customFormat="1" ht="15.75">
      <c r="A78" s="114" t="s">
        <v>129</v>
      </c>
      <c r="B78" s="115" t="s">
        <v>130</v>
      </c>
      <c r="C78" s="104"/>
    </row>
    <row r="79" spans="1:14" s="60" customFormat="1">
      <c r="A79" s="114" t="s">
        <v>131</v>
      </c>
      <c r="B79" s="110" t="s">
        <v>132</v>
      </c>
      <c r="C79" s="104"/>
    </row>
    <row r="80" spans="1:14" s="60" customFormat="1">
      <c r="A80" s="114" t="s">
        <v>133</v>
      </c>
      <c r="B80" s="110" t="s">
        <v>134</v>
      </c>
      <c r="C80" s="104"/>
    </row>
    <row r="81" spans="1:90" s="60" customFormat="1">
      <c r="A81" s="112" t="s">
        <v>135</v>
      </c>
      <c r="B81" s="110" t="s">
        <v>136</v>
      </c>
      <c r="C81" s="104"/>
    </row>
    <row r="82" spans="1:90" s="60" customFormat="1" ht="20.25" customHeight="1">
      <c r="A82" s="114" t="s">
        <v>137</v>
      </c>
      <c r="B82" s="116" t="s">
        <v>138</v>
      </c>
      <c r="C82" s="104"/>
    </row>
    <row r="83" spans="1:90" s="60" customFormat="1" ht="28.5" customHeight="1">
      <c r="A83" s="117" t="s">
        <v>139</v>
      </c>
      <c r="B83" s="118" t="s">
        <v>140</v>
      </c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  <c r="BY83" s="119"/>
      <c r="BZ83" s="119"/>
      <c r="CA83" s="119"/>
      <c r="CB83" s="119"/>
      <c r="CC83" s="119"/>
      <c r="CD83" s="119"/>
      <c r="CE83" s="119"/>
      <c r="CF83" s="119"/>
      <c r="CG83" s="119"/>
      <c r="CH83" s="119"/>
      <c r="CI83" s="119"/>
      <c r="CJ83" s="119"/>
      <c r="CK83" s="119"/>
      <c r="CL83" s="119"/>
    </row>
    <row r="84" spans="1:90" s="60" customFormat="1" ht="19.5" customHeight="1">
      <c r="A84" s="120" t="s">
        <v>141</v>
      </c>
      <c r="B84" s="121"/>
      <c r="C84" s="104"/>
    </row>
    <row r="85" spans="1:90" s="60" customFormat="1">
      <c r="A85" s="122"/>
      <c r="B85" s="121"/>
      <c r="C85" s="104"/>
    </row>
    <row r="86" spans="1:90" s="60" customFormat="1">
      <c r="A86" s="122"/>
      <c r="B86" s="121"/>
      <c r="C86" s="104"/>
    </row>
    <row r="87" spans="1:90" s="60" customFormat="1">
      <c r="A87" s="122"/>
      <c r="B87" s="121"/>
      <c r="C87" s="104"/>
    </row>
    <row r="88" spans="1:90" s="60" customFormat="1">
      <c r="A88" s="122"/>
      <c r="B88" s="121"/>
      <c r="C88" s="104"/>
    </row>
    <row r="89" spans="1:90" s="60" customFormat="1">
      <c r="A89" s="122"/>
      <c r="B89" s="121"/>
      <c r="C89" s="104"/>
    </row>
    <row r="90" spans="1:90" s="60" customFormat="1">
      <c r="A90" s="122"/>
      <c r="B90" s="121"/>
      <c r="C90" s="104"/>
    </row>
    <row r="91" spans="1:90" s="60" customFormat="1">
      <c r="A91" s="122"/>
      <c r="B91" s="121"/>
      <c r="C91" s="104"/>
    </row>
    <row r="92" spans="1:90" s="60" customFormat="1">
      <c r="A92" s="122"/>
      <c r="B92" s="121"/>
      <c r="C92" s="104"/>
    </row>
    <row r="93" spans="1:90" s="60" customFormat="1">
      <c r="A93" s="122"/>
      <c r="B93" s="121"/>
      <c r="C93" s="104"/>
    </row>
    <row r="94" spans="1:90" s="60" customFormat="1">
      <c r="A94" s="122"/>
      <c r="B94" s="121"/>
      <c r="C94" s="104"/>
    </row>
    <row r="95" spans="1:90" s="60" customFormat="1">
      <c r="A95" s="122"/>
      <c r="B95" s="121"/>
      <c r="C95" s="104"/>
    </row>
    <row r="96" spans="1:90" s="60" customFormat="1">
      <c r="A96" s="122"/>
      <c r="B96" s="121"/>
      <c r="C96" s="104"/>
    </row>
    <row r="97" spans="1:3" s="60" customFormat="1">
      <c r="A97" s="122"/>
      <c r="B97" s="121"/>
      <c r="C97" s="104"/>
    </row>
    <row r="98" spans="1:3" s="60" customFormat="1">
      <c r="A98" s="122"/>
      <c r="B98" s="121"/>
      <c r="C98" s="104"/>
    </row>
    <row r="99" spans="1:3" s="60" customFormat="1">
      <c r="A99" s="122"/>
      <c r="B99" s="121"/>
      <c r="C99" s="104"/>
    </row>
    <row r="100" spans="1:3" s="60" customFormat="1">
      <c r="A100" s="122"/>
      <c r="B100" s="121"/>
      <c r="C100" s="104"/>
    </row>
    <row r="101" spans="1:3" s="60" customFormat="1">
      <c r="A101" s="122"/>
      <c r="B101" s="121"/>
      <c r="C101" s="104"/>
    </row>
    <row r="102" spans="1:3" s="60" customFormat="1">
      <c r="A102" s="122"/>
      <c r="B102" s="121"/>
      <c r="C102" s="104"/>
    </row>
    <row r="103" spans="1:3" s="60" customFormat="1">
      <c r="A103" s="122"/>
      <c r="B103" s="121"/>
      <c r="C103" s="104"/>
    </row>
    <row r="104" spans="1:3" s="60" customFormat="1">
      <c r="A104" s="122"/>
      <c r="B104" s="121"/>
      <c r="C104" s="104"/>
    </row>
    <row r="105" spans="1:3" s="60" customFormat="1">
      <c r="A105" s="122"/>
      <c r="B105" s="121"/>
      <c r="C105" s="104"/>
    </row>
    <row r="106" spans="1:3" s="60" customFormat="1">
      <c r="A106" s="122"/>
      <c r="B106" s="121"/>
      <c r="C106" s="104"/>
    </row>
    <row r="107" spans="1:3" s="60" customFormat="1">
      <c r="A107" s="122"/>
      <c r="B107" s="121"/>
      <c r="C107" s="104"/>
    </row>
    <row r="108" spans="1:3" s="60" customFormat="1">
      <c r="A108" s="122"/>
      <c r="B108" s="121"/>
      <c r="C108" s="104"/>
    </row>
    <row r="109" spans="1:3" s="60" customFormat="1">
      <c r="A109" s="122"/>
      <c r="B109" s="121"/>
      <c r="C109" s="104"/>
    </row>
    <row r="110" spans="1:3" s="60" customFormat="1">
      <c r="A110" s="122"/>
      <c r="B110" s="121"/>
      <c r="C110" s="104"/>
    </row>
    <row r="111" spans="1:3" s="60" customFormat="1">
      <c r="A111" s="122"/>
      <c r="B111" s="121"/>
      <c r="C111" s="104"/>
    </row>
    <row r="112" spans="1:3" s="60" customFormat="1">
      <c r="A112" s="122"/>
      <c r="B112" s="121"/>
      <c r="C112" s="104"/>
    </row>
    <row r="113" spans="1:3" s="60" customFormat="1">
      <c r="A113" s="122"/>
      <c r="B113" s="121"/>
      <c r="C113" s="104"/>
    </row>
    <row r="114" spans="1:3" s="60" customFormat="1">
      <c r="A114" s="122"/>
      <c r="B114" s="121"/>
      <c r="C114" s="104"/>
    </row>
    <row r="115" spans="1:3" s="60" customFormat="1">
      <c r="A115" s="122"/>
      <c r="B115" s="121"/>
      <c r="C115" s="104"/>
    </row>
    <row r="116" spans="1:3" s="60" customFormat="1">
      <c r="A116" s="122"/>
      <c r="B116" s="121"/>
      <c r="C116" s="104"/>
    </row>
    <row r="117" spans="1:3" s="60" customFormat="1">
      <c r="A117" s="122"/>
      <c r="B117" s="121"/>
      <c r="C117" s="104"/>
    </row>
    <row r="118" spans="1:3" s="60" customFormat="1">
      <c r="A118" s="122"/>
      <c r="B118" s="121"/>
      <c r="C118" s="104"/>
    </row>
    <row r="119" spans="1:3" s="60" customFormat="1">
      <c r="A119" s="122"/>
      <c r="B119" s="121"/>
      <c r="C119" s="104"/>
    </row>
    <row r="120" spans="1:3" s="60" customFormat="1">
      <c r="A120" s="122"/>
      <c r="B120" s="121"/>
      <c r="C120" s="104"/>
    </row>
    <row r="121" spans="1:3" s="60" customFormat="1">
      <c r="A121" s="122"/>
      <c r="B121" s="121"/>
      <c r="C121" s="104"/>
    </row>
    <row r="122" spans="1:3" s="60" customFormat="1">
      <c r="A122" s="122"/>
      <c r="B122" s="121"/>
      <c r="C122" s="104"/>
    </row>
    <row r="123" spans="1:3" s="60" customFormat="1">
      <c r="A123" s="122"/>
      <c r="B123" s="121"/>
      <c r="C123" s="104"/>
    </row>
    <row r="124" spans="1:3" s="60" customFormat="1">
      <c r="A124" s="122"/>
      <c r="B124" s="121"/>
      <c r="C124" s="104"/>
    </row>
    <row r="125" spans="1:3" s="60" customFormat="1">
      <c r="A125" s="122"/>
      <c r="B125" s="121"/>
      <c r="C125" s="104"/>
    </row>
    <row r="126" spans="1:3" s="60" customFormat="1">
      <c r="A126" s="122"/>
      <c r="B126" s="121"/>
      <c r="C126" s="104"/>
    </row>
    <row r="127" spans="1:3" s="60" customFormat="1">
      <c r="A127" s="122"/>
      <c r="B127" s="121"/>
      <c r="C127" s="104"/>
    </row>
    <row r="128" spans="1:3" s="60" customFormat="1">
      <c r="A128" s="122"/>
      <c r="B128" s="121"/>
      <c r="C128" s="104"/>
    </row>
    <row r="129" spans="1:3" s="60" customFormat="1">
      <c r="A129" s="122"/>
      <c r="B129" s="121"/>
      <c r="C129" s="104"/>
    </row>
    <row r="130" spans="1:3" s="60" customFormat="1">
      <c r="A130" s="122"/>
      <c r="B130" s="121"/>
      <c r="C130" s="104"/>
    </row>
    <row r="131" spans="1:3" s="60" customFormat="1">
      <c r="A131" s="122"/>
      <c r="B131" s="121"/>
      <c r="C131" s="104"/>
    </row>
    <row r="132" spans="1:3" s="60" customFormat="1">
      <c r="A132" s="122"/>
      <c r="B132" s="121"/>
      <c r="C132" s="104"/>
    </row>
    <row r="133" spans="1:3" s="60" customFormat="1">
      <c r="A133" s="122"/>
      <c r="B133" s="121"/>
      <c r="C133" s="104"/>
    </row>
    <row r="134" spans="1:3" s="60" customFormat="1">
      <c r="A134" s="122"/>
      <c r="B134" s="121"/>
      <c r="C134" s="104"/>
    </row>
    <row r="135" spans="1:3" s="60" customFormat="1">
      <c r="A135" s="122"/>
      <c r="B135" s="121"/>
      <c r="C135" s="104"/>
    </row>
    <row r="136" spans="1:3" s="60" customFormat="1">
      <c r="A136" s="122"/>
      <c r="B136" s="121"/>
      <c r="C136" s="104"/>
    </row>
    <row r="137" spans="1:3" s="60" customFormat="1">
      <c r="A137" s="122"/>
      <c r="B137" s="121"/>
      <c r="C137" s="104"/>
    </row>
    <row r="138" spans="1:3" s="60" customFormat="1">
      <c r="A138" s="122"/>
      <c r="B138" s="121"/>
      <c r="C138" s="104"/>
    </row>
    <row r="139" spans="1:3" s="60" customFormat="1">
      <c r="A139" s="122"/>
      <c r="B139" s="121"/>
      <c r="C139" s="104"/>
    </row>
    <row r="140" spans="1:3" s="60" customFormat="1">
      <c r="A140" s="122"/>
      <c r="B140" s="121"/>
      <c r="C140" s="104"/>
    </row>
    <row r="141" spans="1:3" s="60" customFormat="1">
      <c r="A141" s="122"/>
      <c r="B141" s="121"/>
      <c r="C141" s="104"/>
    </row>
    <row r="142" spans="1:3" s="60" customFormat="1">
      <c r="A142" s="122"/>
      <c r="B142" s="121"/>
      <c r="C142" s="104"/>
    </row>
    <row r="143" spans="1:3" s="60" customFormat="1">
      <c r="A143" s="122"/>
      <c r="B143" s="121"/>
      <c r="C143" s="104"/>
    </row>
    <row r="144" spans="1:3" s="60" customFormat="1">
      <c r="A144" s="122"/>
      <c r="B144" s="121"/>
      <c r="C144" s="104"/>
    </row>
    <row r="145" spans="1:3" s="60" customFormat="1">
      <c r="A145" s="122"/>
      <c r="B145" s="121"/>
      <c r="C145" s="104"/>
    </row>
    <row r="146" spans="1:3" s="60" customFormat="1">
      <c r="A146" s="122"/>
      <c r="B146" s="121"/>
      <c r="C146" s="104"/>
    </row>
    <row r="147" spans="1:3" s="60" customFormat="1">
      <c r="A147" s="122"/>
      <c r="B147" s="121"/>
      <c r="C147" s="104"/>
    </row>
    <row r="148" spans="1:3" s="60" customFormat="1">
      <c r="A148" s="122"/>
      <c r="B148" s="121"/>
      <c r="C148" s="104"/>
    </row>
    <row r="149" spans="1:3" s="60" customFormat="1">
      <c r="A149" s="122"/>
      <c r="B149" s="121"/>
      <c r="C149" s="104"/>
    </row>
    <row r="150" spans="1:3" s="60" customFormat="1">
      <c r="A150" s="122"/>
      <c r="B150" s="121"/>
      <c r="C150" s="104"/>
    </row>
    <row r="151" spans="1:3" s="60" customFormat="1">
      <c r="A151" s="122"/>
      <c r="B151" s="121"/>
      <c r="C151" s="104"/>
    </row>
    <row r="152" spans="1:3" s="60" customFormat="1">
      <c r="A152" s="122"/>
      <c r="B152" s="121"/>
      <c r="C152" s="104"/>
    </row>
    <row r="153" spans="1:3" s="60" customFormat="1">
      <c r="A153" s="122"/>
      <c r="B153" s="121"/>
      <c r="C153" s="104"/>
    </row>
    <row r="154" spans="1:3" s="60" customFormat="1">
      <c r="A154" s="122"/>
      <c r="B154" s="121"/>
      <c r="C154" s="104"/>
    </row>
    <row r="155" spans="1:3" s="60" customFormat="1">
      <c r="A155" s="122"/>
      <c r="B155" s="121"/>
      <c r="C155" s="104"/>
    </row>
    <row r="156" spans="1:3" s="60" customFormat="1">
      <c r="A156" s="122"/>
      <c r="B156" s="121"/>
      <c r="C156" s="104"/>
    </row>
    <row r="157" spans="1:3" s="60" customFormat="1">
      <c r="A157" s="122"/>
      <c r="B157" s="121"/>
      <c r="C157" s="104"/>
    </row>
    <row r="158" spans="1:3" s="60" customFormat="1">
      <c r="A158" s="122"/>
      <c r="B158" s="121"/>
      <c r="C158" s="104"/>
    </row>
    <row r="159" spans="1:3" s="60" customFormat="1">
      <c r="A159" s="122"/>
      <c r="B159" s="121"/>
      <c r="C159" s="104"/>
    </row>
    <row r="160" spans="1:3" s="60" customFormat="1">
      <c r="A160" s="122"/>
      <c r="B160" s="121"/>
      <c r="C160" s="104"/>
    </row>
    <row r="161" spans="1:3" s="60" customFormat="1">
      <c r="A161" s="122"/>
      <c r="B161" s="121"/>
      <c r="C161" s="104"/>
    </row>
    <row r="162" spans="1:3" s="60" customFormat="1">
      <c r="A162" s="122"/>
      <c r="B162" s="121"/>
      <c r="C162" s="104"/>
    </row>
    <row r="163" spans="1:3" s="60" customFormat="1">
      <c r="A163" s="122"/>
      <c r="B163" s="121"/>
      <c r="C163" s="104"/>
    </row>
    <row r="164" spans="1:3" s="60" customFormat="1">
      <c r="A164" s="122"/>
      <c r="B164" s="121"/>
      <c r="C164" s="104"/>
    </row>
    <row r="165" spans="1:3" s="60" customFormat="1">
      <c r="A165" s="122"/>
      <c r="B165" s="121"/>
      <c r="C165" s="104"/>
    </row>
    <row r="166" spans="1:3" s="60" customFormat="1">
      <c r="A166" s="122"/>
      <c r="B166" s="121"/>
      <c r="C166" s="104"/>
    </row>
    <row r="167" spans="1:3" s="60" customFormat="1">
      <c r="A167" s="122"/>
      <c r="B167" s="121"/>
      <c r="C167" s="104"/>
    </row>
    <row r="168" spans="1:3" s="60" customFormat="1">
      <c r="A168" s="122"/>
      <c r="B168" s="121"/>
      <c r="C168" s="104"/>
    </row>
    <row r="169" spans="1:3" s="60" customFormat="1">
      <c r="A169" s="122"/>
      <c r="B169" s="121"/>
      <c r="C169" s="104"/>
    </row>
    <row r="170" spans="1:3" s="60" customFormat="1">
      <c r="A170" s="122"/>
      <c r="B170" s="121"/>
      <c r="C170" s="104"/>
    </row>
    <row r="171" spans="1:3" s="60" customFormat="1">
      <c r="A171" s="122"/>
      <c r="B171" s="121"/>
      <c r="C171" s="104"/>
    </row>
    <row r="172" spans="1:3" s="60" customFormat="1">
      <c r="A172" s="122"/>
      <c r="B172" s="121"/>
      <c r="C172" s="104"/>
    </row>
    <row r="173" spans="1:3" s="60" customFormat="1">
      <c r="A173" s="122"/>
      <c r="B173" s="121"/>
      <c r="C173" s="104"/>
    </row>
    <row r="174" spans="1:3" s="60" customFormat="1">
      <c r="A174" s="122"/>
      <c r="B174" s="121"/>
      <c r="C174" s="104"/>
    </row>
    <row r="175" spans="1:3" s="60" customFormat="1">
      <c r="A175" s="122"/>
      <c r="B175" s="121"/>
      <c r="C175" s="104"/>
    </row>
    <row r="176" spans="1:3" s="60" customFormat="1">
      <c r="A176" s="122"/>
      <c r="B176" s="121"/>
      <c r="C176" s="104"/>
    </row>
    <row r="177" spans="1:3" s="60" customFormat="1">
      <c r="A177" s="122"/>
      <c r="B177" s="121"/>
      <c r="C177" s="104"/>
    </row>
    <row r="178" spans="1:3" s="60" customFormat="1">
      <c r="A178" s="122"/>
      <c r="B178" s="121"/>
      <c r="C178" s="104"/>
    </row>
    <row r="179" spans="1:3" s="60" customFormat="1">
      <c r="A179" s="122"/>
      <c r="B179" s="121"/>
      <c r="C179" s="104"/>
    </row>
    <row r="180" spans="1:3" s="60" customFormat="1">
      <c r="A180" s="122"/>
      <c r="B180" s="121"/>
      <c r="C180" s="104"/>
    </row>
    <row r="181" spans="1:3" s="60" customFormat="1">
      <c r="A181" s="122"/>
      <c r="B181" s="121"/>
      <c r="C181" s="104"/>
    </row>
    <row r="182" spans="1:3" s="60" customFormat="1">
      <c r="A182" s="122"/>
      <c r="B182" s="121"/>
      <c r="C182" s="104"/>
    </row>
    <row r="183" spans="1:3" s="60" customFormat="1">
      <c r="A183" s="122"/>
      <c r="B183" s="121"/>
      <c r="C183" s="104"/>
    </row>
    <row r="184" spans="1:3" s="60" customFormat="1">
      <c r="A184" s="122"/>
      <c r="B184" s="121"/>
      <c r="C184" s="104"/>
    </row>
    <row r="185" spans="1:3" s="60" customFormat="1">
      <c r="A185" s="122"/>
      <c r="B185" s="121"/>
      <c r="C185" s="104"/>
    </row>
    <row r="186" spans="1:3" s="60" customFormat="1">
      <c r="A186" s="122"/>
      <c r="B186" s="121"/>
      <c r="C186" s="104"/>
    </row>
    <row r="187" spans="1:3" s="60" customFormat="1">
      <c r="A187" s="122"/>
      <c r="B187" s="121"/>
      <c r="C187" s="104"/>
    </row>
    <row r="188" spans="1:3" s="60" customFormat="1">
      <c r="A188" s="122"/>
      <c r="B188" s="121"/>
      <c r="C188" s="104"/>
    </row>
    <row r="189" spans="1:3" s="60" customFormat="1">
      <c r="A189" s="122"/>
      <c r="B189" s="121"/>
      <c r="C189" s="104"/>
    </row>
    <row r="190" spans="1:3" s="60" customFormat="1">
      <c r="A190" s="122"/>
      <c r="B190" s="121"/>
      <c r="C190" s="104"/>
    </row>
    <row r="191" spans="1:3" s="60" customFormat="1">
      <c r="A191" s="122"/>
      <c r="B191" s="121"/>
      <c r="C191" s="104"/>
    </row>
    <row r="192" spans="1:3" s="60" customFormat="1">
      <c r="A192" s="122"/>
      <c r="B192" s="121"/>
      <c r="C192" s="104"/>
    </row>
    <row r="193" spans="1:3" s="60" customFormat="1">
      <c r="A193" s="122"/>
      <c r="B193" s="121"/>
      <c r="C193" s="104"/>
    </row>
    <row r="194" spans="1:3" s="60" customFormat="1">
      <c r="A194" s="122"/>
      <c r="B194" s="121"/>
      <c r="C194" s="104"/>
    </row>
    <row r="195" spans="1:3" s="60" customFormat="1">
      <c r="A195" s="122"/>
      <c r="B195" s="121"/>
      <c r="C195" s="104"/>
    </row>
    <row r="196" spans="1:3" s="60" customFormat="1">
      <c r="A196" s="122"/>
      <c r="B196" s="121"/>
      <c r="C196" s="104"/>
    </row>
    <row r="197" spans="1:3" s="60" customFormat="1">
      <c r="A197" s="122"/>
      <c r="B197" s="121"/>
      <c r="C197" s="104"/>
    </row>
    <row r="198" spans="1:3" s="60" customFormat="1">
      <c r="A198" s="122"/>
      <c r="B198" s="121"/>
      <c r="C198" s="104"/>
    </row>
    <row r="199" spans="1:3" s="60" customFormat="1">
      <c r="A199" s="122"/>
      <c r="B199" s="121"/>
      <c r="C199" s="104"/>
    </row>
    <row r="200" spans="1:3" s="60" customFormat="1">
      <c r="A200" s="122"/>
      <c r="B200" s="121"/>
      <c r="C200" s="104"/>
    </row>
    <row r="201" spans="1:3" s="60" customFormat="1">
      <c r="A201" s="122"/>
      <c r="B201" s="121"/>
      <c r="C201" s="104"/>
    </row>
    <row r="202" spans="1:3" s="60" customFormat="1">
      <c r="A202" s="122"/>
      <c r="B202" s="121"/>
      <c r="C202" s="104"/>
    </row>
    <row r="203" spans="1:3" s="60" customFormat="1">
      <c r="A203" s="122"/>
      <c r="B203" s="121"/>
      <c r="C203" s="104"/>
    </row>
    <row r="204" spans="1:3" s="60" customFormat="1">
      <c r="A204" s="122"/>
      <c r="B204" s="121"/>
      <c r="C204" s="104"/>
    </row>
    <row r="205" spans="1:3" s="60" customFormat="1">
      <c r="A205" s="122"/>
      <c r="B205" s="121"/>
      <c r="C205" s="104"/>
    </row>
    <row r="206" spans="1:3" s="60" customFormat="1">
      <c r="A206" s="122"/>
      <c r="B206" s="121"/>
      <c r="C206" s="104"/>
    </row>
    <row r="207" spans="1:3" s="60" customFormat="1">
      <c r="A207" s="122"/>
      <c r="B207" s="121"/>
      <c r="C207" s="104"/>
    </row>
    <row r="208" spans="1:3" s="60" customFormat="1">
      <c r="A208" s="122"/>
      <c r="B208" s="121"/>
      <c r="C208" s="104"/>
    </row>
    <row r="209" spans="1:3" s="60" customFormat="1">
      <c r="A209" s="122"/>
      <c r="B209" s="121"/>
      <c r="C209" s="104"/>
    </row>
    <row r="210" spans="1:3" s="60" customFormat="1">
      <c r="A210" s="122"/>
      <c r="B210" s="121"/>
      <c r="C210" s="104"/>
    </row>
    <row r="211" spans="1:3" s="60" customFormat="1">
      <c r="A211" s="122"/>
      <c r="B211" s="121"/>
      <c r="C211" s="104"/>
    </row>
    <row r="212" spans="1:3" s="60" customFormat="1">
      <c r="A212" s="122"/>
      <c r="B212" s="121"/>
      <c r="C212" s="104"/>
    </row>
    <row r="213" spans="1:3" s="60" customFormat="1">
      <c r="A213" s="122"/>
      <c r="B213" s="121"/>
      <c r="C213" s="104"/>
    </row>
    <row r="214" spans="1:3" s="60" customFormat="1">
      <c r="A214" s="122"/>
      <c r="B214" s="121"/>
      <c r="C214" s="104"/>
    </row>
    <row r="215" spans="1:3" s="60" customFormat="1">
      <c r="A215" s="122"/>
      <c r="B215" s="121"/>
      <c r="C215" s="104"/>
    </row>
    <row r="216" spans="1:3" s="60" customFormat="1">
      <c r="A216" s="122"/>
      <c r="B216" s="121"/>
      <c r="C216" s="104"/>
    </row>
    <row r="217" spans="1:3" s="60" customFormat="1">
      <c r="A217" s="122"/>
      <c r="B217" s="121"/>
      <c r="C217" s="104"/>
    </row>
    <row r="218" spans="1:3" s="60" customFormat="1">
      <c r="A218" s="122"/>
      <c r="B218" s="121"/>
      <c r="C218" s="104"/>
    </row>
    <row r="219" spans="1:3" s="60" customFormat="1">
      <c r="A219" s="122"/>
      <c r="B219" s="121"/>
      <c r="C219" s="104"/>
    </row>
    <row r="220" spans="1:3" s="60" customFormat="1">
      <c r="A220" s="122"/>
      <c r="B220" s="121"/>
      <c r="C220" s="104"/>
    </row>
    <row r="221" spans="1:3" s="60" customFormat="1">
      <c r="A221" s="122"/>
      <c r="B221" s="121"/>
      <c r="C221" s="104"/>
    </row>
    <row r="222" spans="1:3" s="60" customFormat="1">
      <c r="A222" s="122"/>
      <c r="B222" s="121"/>
      <c r="C222" s="104"/>
    </row>
    <row r="223" spans="1:3" s="60" customFormat="1">
      <c r="A223" s="122"/>
      <c r="B223" s="121"/>
      <c r="C223" s="104"/>
    </row>
    <row r="224" spans="1:3" s="60" customFormat="1">
      <c r="A224" s="122"/>
      <c r="B224" s="121"/>
      <c r="C224" s="104"/>
    </row>
    <row r="225" spans="1:3" s="60" customFormat="1">
      <c r="A225" s="122"/>
      <c r="B225" s="121"/>
      <c r="C225" s="104"/>
    </row>
    <row r="226" spans="1:3" s="60" customFormat="1">
      <c r="A226" s="122"/>
      <c r="B226" s="121"/>
      <c r="C226" s="104"/>
    </row>
    <row r="227" spans="1:3" s="60" customFormat="1">
      <c r="A227" s="122"/>
      <c r="B227" s="121"/>
      <c r="C227" s="104"/>
    </row>
    <row r="228" spans="1:3" s="60" customFormat="1">
      <c r="A228" s="122"/>
      <c r="B228" s="121"/>
      <c r="C228" s="104"/>
    </row>
    <row r="229" spans="1:3" s="60" customFormat="1">
      <c r="A229" s="122"/>
      <c r="B229" s="121"/>
      <c r="C229" s="104"/>
    </row>
    <row r="230" spans="1:3" s="60" customFormat="1">
      <c r="A230" s="122"/>
      <c r="B230" s="121"/>
      <c r="C230" s="104"/>
    </row>
    <row r="231" spans="1:3" s="60" customFormat="1">
      <c r="A231" s="122"/>
      <c r="B231" s="121"/>
      <c r="C231" s="104"/>
    </row>
    <row r="232" spans="1:3" s="60" customFormat="1">
      <c r="A232" s="122"/>
      <c r="B232" s="121"/>
      <c r="C232" s="104"/>
    </row>
    <row r="233" spans="1:3" s="60" customFormat="1">
      <c r="A233" s="122"/>
      <c r="B233" s="121"/>
      <c r="C233" s="104"/>
    </row>
    <row r="234" spans="1:3" s="60" customFormat="1">
      <c r="A234" s="122"/>
      <c r="B234" s="121"/>
      <c r="C234" s="104"/>
    </row>
    <row r="235" spans="1:3" s="60" customFormat="1">
      <c r="A235" s="122"/>
      <c r="B235" s="121"/>
      <c r="C235" s="104"/>
    </row>
    <row r="236" spans="1:3" s="60" customFormat="1">
      <c r="A236" s="122"/>
      <c r="B236" s="121"/>
      <c r="C236" s="104"/>
    </row>
    <row r="237" spans="1:3" s="60" customFormat="1">
      <c r="A237" s="122"/>
      <c r="B237" s="121"/>
      <c r="C237" s="104"/>
    </row>
    <row r="238" spans="1:3" s="60" customFormat="1">
      <c r="A238" s="122"/>
      <c r="B238" s="121"/>
      <c r="C238" s="104"/>
    </row>
    <row r="239" spans="1:3" s="60" customFormat="1">
      <c r="A239" s="122"/>
      <c r="B239" s="121"/>
      <c r="C239" s="104"/>
    </row>
    <row r="240" spans="1:3" s="60" customFormat="1">
      <c r="A240" s="122"/>
      <c r="B240" s="121"/>
      <c r="C240" s="104"/>
    </row>
    <row r="241" spans="1:3" s="60" customFormat="1">
      <c r="A241" s="122"/>
      <c r="B241" s="121"/>
      <c r="C241" s="104"/>
    </row>
    <row r="242" spans="1:3" s="60" customFormat="1">
      <c r="A242" s="122"/>
      <c r="B242" s="121"/>
      <c r="C242" s="104"/>
    </row>
    <row r="243" spans="1:3" s="60" customFormat="1">
      <c r="A243" s="122"/>
      <c r="B243" s="121"/>
      <c r="C243" s="104"/>
    </row>
    <row r="244" spans="1:3" s="60" customFormat="1">
      <c r="A244" s="122"/>
      <c r="B244" s="121"/>
      <c r="C244" s="104"/>
    </row>
    <row r="245" spans="1:3" s="60" customFormat="1">
      <c r="A245" s="122"/>
      <c r="B245" s="121"/>
      <c r="C245" s="104"/>
    </row>
    <row r="246" spans="1:3" s="60" customFormat="1">
      <c r="A246" s="122"/>
      <c r="B246" s="121"/>
      <c r="C246" s="104"/>
    </row>
    <row r="247" spans="1:3" s="60" customFormat="1">
      <c r="A247" s="122"/>
      <c r="B247" s="121"/>
      <c r="C247" s="104"/>
    </row>
    <row r="248" spans="1:3" s="60" customFormat="1">
      <c r="A248" s="122"/>
      <c r="B248" s="121"/>
      <c r="C248" s="104"/>
    </row>
    <row r="249" spans="1:3" s="60" customFormat="1">
      <c r="A249" s="122"/>
      <c r="B249" s="121"/>
      <c r="C249" s="104"/>
    </row>
    <row r="250" spans="1:3" s="60" customFormat="1">
      <c r="A250" s="122"/>
      <c r="B250" s="121"/>
      <c r="C250" s="104"/>
    </row>
    <row r="251" spans="1:3" s="60" customFormat="1">
      <c r="A251" s="122"/>
      <c r="B251" s="121"/>
      <c r="C251" s="104"/>
    </row>
    <row r="252" spans="1:3" s="60" customFormat="1">
      <c r="A252" s="122"/>
      <c r="B252" s="121"/>
      <c r="C252" s="104"/>
    </row>
    <row r="253" spans="1:3" s="60" customFormat="1">
      <c r="A253" s="122"/>
      <c r="B253" s="121"/>
      <c r="C253" s="104"/>
    </row>
    <row r="254" spans="1:3" s="60" customFormat="1">
      <c r="A254" s="122"/>
      <c r="B254" s="121"/>
      <c r="C254" s="104"/>
    </row>
    <row r="255" spans="1:3" s="60" customFormat="1">
      <c r="A255" s="122"/>
      <c r="B255" s="121"/>
      <c r="C255" s="104"/>
    </row>
    <row r="256" spans="1:3" s="60" customFormat="1">
      <c r="A256" s="122"/>
      <c r="B256" s="121"/>
      <c r="C256" s="104"/>
    </row>
    <row r="257" spans="1:3" s="60" customFormat="1">
      <c r="A257" s="122"/>
      <c r="B257" s="121"/>
      <c r="C257" s="104"/>
    </row>
    <row r="258" spans="1:3" s="60" customFormat="1">
      <c r="A258" s="122"/>
      <c r="B258" s="121"/>
      <c r="C258" s="104"/>
    </row>
    <row r="259" spans="1:3" s="60" customFormat="1">
      <c r="A259" s="122"/>
      <c r="B259" s="121"/>
      <c r="C259" s="104"/>
    </row>
    <row r="260" spans="1:3" s="60" customFormat="1">
      <c r="A260" s="122"/>
      <c r="B260" s="121"/>
      <c r="C260" s="104"/>
    </row>
    <row r="261" spans="1:3" s="60" customFormat="1">
      <c r="A261" s="122"/>
      <c r="B261" s="121"/>
      <c r="C261" s="104"/>
    </row>
    <row r="262" spans="1:3" s="60" customFormat="1">
      <c r="A262" s="122"/>
      <c r="B262" s="121"/>
      <c r="C262" s="104"/>
    </row>
    <row r="263" spans="1:3" s="60" customFormat="1">
      <c r="A263" s="122"/>
      <c r="B263" s="121"/>
      <c r="C263" s="104"/>
    </row>
    <row r="264" spans="1:3" s="60" customFormat="1">
      <c r="A264" s="122"/>
      <c r="B264" s="121"/>
      <c r="C264" s="104"/>
    </row>
    <row r="265" spans="1:3" s="60" customFormat="1">
      <c r="A265" s="122"/>
      <c r="B265" s="121"/>
      <c r="C265" s="104"/>
    </row>
    <row r="266" spans="1:3" s="60" customFormat="1">
      <c r="A266" s="122"/>
      <c r="B266" s="121"/>
      <c r="C266" s="104"/>
    </row>
    <row r="267" spans="1:3" s="60" customFormat="1">
      <c r="A267" s="122"/>
      <c r="B267" s="121"/>
      <c r="C267" s="104"/>
    </row>
    <row r="268" spans="1:3" s="60" customFormat="1">
      <c r="A268" s="122"/>
      <c r="B268" s="121"/>
      <c r="C268" s="104"/>
    </row>
    <row r="269" spans="1:3" s="60" customFormat="1">
      <c r="A269" s="122"/>
      <c r="B269" s="121"/>
      <c r="C269" s="104"/>
    </row>
    <row r="270" spans="1:3" s="60" customFormat="1">
      <c r="A270" s="122"/>
      <c r="B270" s="121"/>
      <c r="C270" s="104"/>
    </row>
    <row r="271" spans="1:3" s="60" customFormat="1">
      <c r="A271" s="122"/>
      <c r="B271" s="121"/>
      <c r="C271" s="104"/>
    </row>
    <row r="272" spans="1:3" s="60" customFormat="1">
      <c r="A272" s="122"/>
      <c r="B272" s="121"/>
      <c r="C272" s="104"/>
    </row>
    <row r="273" spans="1:3" s="60" customFormat="1">
      <c r="A273" s="122"/>
      <c r="B273" s="121"/>
      <c r="C273" s="104"/>
    </row>
    <row r="274" spans="1:3" s="60" customFormat="1">
      <c r="A274" s="122"/>
      <c r="B274" s="121"/>
      <c r="C274" s="104"/>
    </row>
    <row r="275" spans="1:3" s="60" customFormat="1">
      <c r="A275" s="122"/>
      <c r="B275" s="121"/>
      <c r="C275" s="104"/>
    </row>
    <row r="276" spans="1:3" s="60" customFormat="1">
      <c r="A276" s="122"/>
      <c r="B276" s="121"/>
      <c r="C276" s="104"/>
    </row>
    <row r="277" spans="1:3" s="60" customFormat="1">
      <c r="A277" s="122"/>
      <c r="B277" s="121"/>
      <c r="C277" s="104"/>
    </row>
    <row r="278" spans="1:3" s="60" customFormat="1">
      <c r="A278" s="122"/>
      <c r="B278" s="121"/>
      <c r="C278" s="104"/>
    </row>
    <row r="279" spans="1:3" s="60" customFormat="1">
      <c r="A279" s="122"/>
      <c r="B279" s="121"/>
      <c r="C279" s="104"/>
    </row>
    <row r="280" spans="1:3" s="60" customFormat="1">
      <c r="A280" s="122"/>
      <c r="B280" s="121"/>
      <c r="C280" s="104"/>
    </row>
    <row r="281" spans="1:3" s="60" customFormat="1">
      <c r="A281" s="122"/>
      <c r="B281" s="121"/>
      <c r="C281" s="104"/>
    </row>
    <row r="282" spans="1:3" s="60" customFormat="1">
      <c r="A282" s="122"/>
      <c r="B282" s="121"/>
      <c r="C282" s="104"/>
    </row>
    <row r="283" spans="1:3" s="60" customFormat="1">
      <c r="A283" s="122"/>
      <c r="B283" s="121"/>
      <c r="C283" s="104"/>
    </row>
    <row r="284" spans="1:3" s="60" customFormat="1">
      <c r="A284" s="122"/>
      <c r="B284" s="121"/>
      <c r="C284" s="104"/>
    </row>
    <row r="285" spans="1:3" s="60" customFormat="1">
      <c r="A285" s="122"/>
      <c r="B285" s="121"/>
      <c r="C285" s="104"/>
    </row>
    <row r="286" spans="1:3" s="60" customFormat="1">
      <c r="A286" s="122"/>
      <c r="B286" s="121"/>
      <c r="C286" s="104"/>
    </row>
    <row r="287" spans="1:3" s="60" customFormat="1">
      <c r="A287" s="122"/>
      <c r="B287" s="121"/>
      <c r="C287" s="104"/>
    </row>
    <row r="288" spans="1:3" s="60" customFormat="1">
      <c r="A288" s="122"/>
      <c r="B288" s="121"/>
      <c r="C288" s="104"/>
    </row>
    <row r="289" spans="1:3" s="60" customFormat="1">
      <c r="A289" s="122"/>
      <c r="B289" s="121"/>
      <c r="C289" s="104"/>
    </row>
    <row r="290" spans="1:3" s="60" customFormat="1">
      <c r="A290" s="122"/>
      <c r="B290" s="121"/>
      <c r="C290" s="104"/>
    </row>
    <row r="291" spans="1:3" s="60" customFormat="1">
      <c r="A291" s="122"/>
      <c r="B291" s="121"/>
      <c r="C291" s="104"/>
    </row>
    <row r="292" spans="1:3" s="60" customFormat="1">
      <c r="A292" s="122"/>
      <c r="B292" s="121"/>
      <c r="C292" s="104"/>
    </row>
    <row r="293" spans="1:3" s="60" customFormat="1">
      <c r="A293" s="122"/>
      <c r="B293" s="121"/>
      <c r="C293" s="104"/>
    </row>
    <row r="294" spans="1:3" s="60" customFormat="1">
      <c r="A294" s="122"/>
      <c r="B294" s="121"/>
      <c r="C294" s="104"/>
    </row>
    <row r="295" spans="1:3" s="60" customFormat="1">
      <c r="A295" s="122"/>
      <c r="B295" s="121"/>
      <c r="C295" s="104"/>
    </row>
    <row r="296" spans="1:3" s="60" customFormat="1">
      <c r="A296" s="122"/>
      <c r="B296" s="121"/>
      <c r="C296" s="104"/>
    </row>
    <row r="297" spans="1:3" s="60" customFormat="1">
      <c r="A297" s="122"/>
      <c r="B297" s="121"/>
      <c r="C297" s="104"/>
    </row>
    <row r="298" spans="1:3" s="60" customFormat="1">
      <c r="A298" s="122"/>
      <c r="B298" s="121"/>
      <c r="C298" s="104"/>
    </row>
    <row r="299" spans="1:3" s="60" customFormat="1">
      <c r="A299" s="122"/>
      <c r="B299" s="121"/>
      <c r="C299" s="104"/>
    </row>
    <row r="300" spans="1:3" s="60" customFormat="1">
      <c r="A300" s="122"/>
      <c r="B300" s="121"/>
      <c r="C300" s="104"/>
    </row>
    <row r="301" spans="1:3" s="60" customFormat="1">
      <c r="A301" s="122"/>
      <c r="B301" s="121"/>
      <c r="C301" s="104"/>
    </row>
    <row r="302" spans="1:3" s="60" customFormat="1">
      <c r="A302" s="122"/>
      <c r="B302" s="121"/>
      <c r="C302" s="104"/>
    </row>
    <row r="303" spans="1:3" s="60" customFormat="1">
      <c r="A303" s="122"/>
      <c r="B303" s="121"/>
      <c r="C303" s="104"/>
    </row>
    <row r="304" spans="1:3" s="60" customFormat="1">
      <c r="A304" s="122"/>
      <c r="B304" s="121"/>
      <c r="C304" s="104"/>
    </row>
    <row r="305" spans="1:3" s="60" customFormat="1">
      <c r="A305" s="122"/>
      <c r="B305" s="121"/>
      <c r="C305" s="104"/>
    </row>
    <row r="306" spans="1:3" s="60" customFormat="1">
      <c r="A306" s="122"/>
      <c r="B306" s="121"/>
      <c r="C306" s="104"/>
    </row>
    <row r="307" spans="1:3" s="60" customFormat="1">
      <c r="A307" s="122"/>
      <c r="B307" s="121"/>
      <c r="C307" s="104"/>
    </row>
    <row r="308" spans="1:3" s="60" customFormat="1">
      <c r="A308" s="122"/>
      <c r="B308" s="121"/>
      <c r="C308" s="104"/>
    </row>
    <row r="309" spans="1:3" s="60" customFormat="1">
      <c r="A309" s="122"/>
      <c r="B309" s="121"/>
      <c r="C309" s="104"/>
    </row>
    <row r="310" spans="1:3" s="60" customFormat="1">
      <c r="A310" s="122"/>
      <c r="B310" s="121"/>
      <c r="C310" s="104"/>
    </row>
    <row r="311" spans="1:3" s="60" customFormat="1">
      <c r="A311" s="122"/>
      <c r="B311" s="121"/>
      <c r="C311" s="104"/>
    </row>
    <row r="312" spans="1:3" s="60" customFormat="1">
      <c r="A312" s="122"/>
      <c r="B312" s="121"/>
      <c r="C312" s="104"/>
    </row>
    <row r="313" spans="1:3" s="60" customFormat="1">
      <c r="A313" s="122"/>
      <c r="B313" s="121"/>
      <c r="C313" s="104"/>
    </row>
    <row r="314" spans="1:3" s="60" customFormat="1">
      <c r="A314" s="122"/>
      <c r="B314" s="121"/>
      <c r="C314" s="104"/>
    </row>
    <row r="315" spans="1:3" s="60" customFormat="1">
      <c r="A315" s="122"/>
      <c r="B315" s="121"/>
      <c r="C315" s="104"/>
    </row>
    <row r="316" spans="1:3" s="60" customFormat="1">
      <c r="A316" s="122"/>
      <c r="B316" s="121"/>
      <c r="C316" s="104"/>
    </row>
    <row r="317" spans="1:3" s="60" customFormat="1">
      <c r="A317" s="122"/>
      <c r="B317" s="121"/>
      <c r="C317" s="104"/>
    </row>
    <row r="318" spans="1:3" s="60" customFormat="1">
      <c r="A318" s="122"/>
      <c r="B318" s="121"/>
      <c r="C318" s="104"/>
    </row>
    <row r="319" spans="1:3" s="60" customFormat="1">
      <c r="A319" s="122"/>
      <c r="B319" s="121"/>
      <c r="C319" s="104"/>
    </row>
    <row r="320" spans="1:3" s="60" customFormat="1">
      <c r="A320" s="122"/>
      <c r="B320" s="121"/>
      <c r="C320" s="104"/>
    </row>
    <row r="321" spans="1:3" s="60" customFormat="1">
      <c r="A321" s="122"/>
      <c r="B321" s="121"/>
      <c r="C321" s="104"/>
    </row>
    <row r="322" spans="1:3" s="60" customFormat="1">
      <c r="A322" s="122"/>
      <c r="B322" s="121"/>
      <c r="C322" s="104"/>
    </row>
    <row r="323" spans="1:3" s="60" customFormat="1">
      <c r="A323" s="122"/>
      <c r="B323" s="121"/>
      <c r="C323" s="104"/>
    </row>
    <row r="324" spans="1:3" s="60" customFormat="1">
      <c r="A324" s="122"/>
      <c r="B324" s="121"/>
      <c r="C324" s="104"/>
    </row>
    <row r="325" spans="1:3" s="60" customFormat="1">
      <c r="A325" s="122"/>
      <c r="B325" s="121"/>
      <c r="C325" s="104"/>
    </row>
    <row r="326" spans="1:3" s="60" customFormat="1">
      <c r="A326" s="122"/>
      <c r="B326" s="121"/>
      <c r="C326" s="104"/>
    </row>
    <row r="327" spans="1:3" s="60" customFormat="1">
      <c r="A327" s="122"/>
      <c r="B327" s="121"/>
      <c r="C327" s="104"/>
    </row>
    <row r="328" spans="1:3" s="60" customFormat="1">
      <c r="A328" s="122"/>
      <c r="B328" s="121"/>
      <c r="C328" s="104"/>
    </row>
    <row r="329" spans="1:3" s="60" customFormat="1">
      <c r="A329" s="122"/>
      <c r="B329" s="121"/>
      <c r="C329" s="104"/>
    </row>
    <row r="330" spans="1:3" s="60" customFormat="1">
      <c r="A330" s="122"/>
      <c r="B330" s="121"/>
      <c r="C330" s="104"/>
    </row>
    <row r="331" spans="1:3" s="60" customFormat="1">
      <c r="A331" s="122"/>
      <c r="B331" s="121"/>
      <c r="C331" s="104"/>
    </row>
    <row r="332" spans="1:3" s="60" customFormat="1">
      <c r="A332" s="122"/>
      <c r="B332" s="121"/>
      <c r="C332" s="104"/>
    </row>
    <row r="333" spans="1:3" s="60" customFormat="1">
      <c r="A333" s="122"/>
      <c r="B333" s="121"/>
      <c r="C333" s="104"/>
    </row>
    <row r="334" spans="1:3" s="60" customFormat="1">
      <c r="A334" s="122"/>
      <c r="B334" s="121"/>
      <c r="C334" s="104"/>
    </row>
    <row r="335" spans="1:3" s="60" customFormat="1">
      <c r="A335" s="122"/>
      <c r="B335" s="121"/>
      <c r="C335" s="104"/>
    </row>
    <row r="336" spans="1:3" s="60" customFormat="1">
      <c r="A336" s="122"/>
      <c r="B336" s="121"/>
      <c r="C336" s="104"/>
    </row>
    <row r="337" spans="1:3" s="60" customFormat="1">
      <c r="A337" s="122"/>
      <c r="B337" s="121"/>
      <c r="C337" s="104"/>
    </row>
    <row r="338" spans="1:3" s="60" customFormat="1">
      <c r="A338" s="122"/>
      <c r="B338" s="121"/>
      <c r="C338" s="104"/>
    </row>
    <row r="339" spans="1:3" s="60" customFormat="1">
      <c r="A339" s="122"/>
      <c r="B339" s="121"/>
      <c r="C339" s="104"/>
    </row>
    <row r="340" spans="1:3" s="60" customFormat="1">
      <c r="A340" s="122"/>
      <c r="B340" s="121"/>
      <c r="C340" s="104"/>
    </row>
    <row r="341" spans="1:3" s="60" customFormat="1">
      <c r="A341" s="122"/>
      <c r="B341" s="121"/>
      <c r="C341" s="104"/>
    </row>
    <row r="342" spans="1:3" s="60" customFormat="1">
      <c r="A342" s="122"/>
      <c r="B342" s="121"/>
      <c r="C342" s="104"/>
    </row>
    <row r="343" spans="1:3" s="60" customFormat="1">
      <c r="A343" s="122"/>
      <c r="B343" s="121"/>
      <c r="C343" s="104"/>
    </row>
    <row r="344" spans="1:3" s="60" customFormat="1">
      <c r="A344" s="122"/>
      <c r="B344" s="121"/>
      <c r="C344" s="104"/>
    </row>
    <row r="345" spans="1:3" s="60" customFormat="1">
      <c r="A345" s="122"/>
      <c r="B345" s="121"/>
      <c r="C345" s="104"/>
    </row>
    <row r="346" spans="1:3" s="60" customFormat="1">
      <c r="A346" s="122"/>
      <c r="B346" s="121"/>
      <c r="C346" s="104"/>
    </row>
    <row r="347" spans="1:3" s="60" customFormat="1">
      <c r="A347" s="122"/>
      <c r="B347" s="121"/>
      <c r="C347" s="104"/>
    </row>
    <row r="348" spans="1:3" customFormat="1">
      <c r="A348" s="122"/>
      <c r="B348" s="121"/>
      <c r="C348" s="12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7NQWTN4WQ7WA-971242747-333</_dlc_DocId>
    <_dlc_DocIdUrl xmlns="806035d9-ad3b-44db-92a1-1ed4b9daec3e">
      <Url>http://cbe-test-spsql:4050/_layouts/15/DocIdRedir.aspx?ID=7NQWTN4WQ7WA-971242747-333</Url>
      <Description>7NQWTN4WQ7WA-971242747-333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3B5C21-0B46-4E16-BCDD-45CCA139E596}"/>
</file>

<file path=customXml/itemProps2.xml><?xml version="1.0" encoding="utf-8"?>
<ds:datastoreItem xmlns:ds="http://schemas.openxmlformats.org/officeDocument/2006/customXml" ds:itemID="{314A9E14-853E-44C7-8873-DD509F1A2349}"/>
</file>

<file path=customXml/itemProps3.xml><?xml version="1.0" encoding="utf-8"?>
<ds:datastoreItem xmlns:ds="http://schemas.openxmlformats.org/officeDocument/2006/customXml" ds:itemID="{3456D07D-62D6-4CF2-BFE5-5FA4492CC071}"/>
</file>

<file path=customXml/itemProps4.xml><?xml version="1.0" encoding="utf-8"?>
<ds:datastoreItem xmlns:ds="http://schemas.openxmlformats.org/officeDocument/2006/customXml" ds:itemID="{19A41E83-7E9C-4E31-96CB-A7CC56C0A5D3}"/>
</file>

<file path=customXml/itemProps5.xml><?xml version="1.0" encoding="utf-8"?>
<ds:datastoreItem xmlns:ds="http://schemas.openxmlformats.org/officeDocument/2006/customXml" ds:itemID="{A175640C-B118-4A04-9B72-6F4CDCB8A2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Monthly 2010-2011</dc:title>
  <dc:creator/>
  <cp:lastModifiedBy/>
  <dcterms:created xsi:type="dcterms:W3CDTF">2006-09-16T00:00:00Z</dcterms:created>
  <dcterms:modified xsi:type="dcterms:W3CDTF">2014-09-04T14:10:03Z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33300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211d2b38-7428-44cb-bbee-8768497fefc0</vt:lpwstr>
  </property>
</Properties>
</file>