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16" i="1" l="1"/>
  <c r="F9" i="1"/>
  <c r="E9" i="1"/>
  <c r="D9" i="1"/>
  <c r="C9" i="1"/>
  <c r="F8" i="1"/>
  <c r="E8" i="1"/>
  <c r="D8" i="1"/>
  <c r="C8" i="1"/>
</calcChain>
</file>

<file path=xl/sharedStrings.xml><?xml version="1.0" encoding="utf-8"?>
<sst xmlns="http://schemas.openxmlformats.org/spreadsheetml/2006/main" count="150" uniqueCount="131">
  <si>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</si>
  <si>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</si>
  <si>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</si>
  <si>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</si>
  <si>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</si>
  <si>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</si>
  <si>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Q1</t>
  </si>
  <si>
    <t>Q2</t>
  </si>
  <si>
    <t>Q3</t>
  </si>
  <si>
    <t>Q4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</si>
  <si>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</si>
  <si>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</si>
  <si>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</si>
  <si>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</si>
  <si>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</si>
  <si>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</si>
  <si>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</si>
  <si>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</si>
  <si>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</si>
  <si>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</si>
  <si>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Arial"/>
        <family val="2"/>
      </rPr>
      <t>*</t>
    </r>
    <r>
      <rPr>
        <sz val="14"/>
        <rFont val="Times New Roman"/>
        <family val="1"/>
      </rPr>
      <t xml:space="preserve">, of which : </t>
    </r>
  </si>
  <si>
    <r>
      <t>حكومية</t>
    </r>
    <r>
      <rPr>
        <vertAlign val="superscript"/>
        <sz val="16"/>
        <rFont val="Times New (W1)"/>
        <charset val="178"/>
      </rPr>
      <t>*</t>
    </r>
    <r>
      <rPr>
        <sz val="14"/>
        <rFont val="Times New (W1)"/>
        <charset val="178"/>
      </rPr>
      <t xml:space="preserve"> ، منها: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</si>
  <si>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</si>
  <si>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</si>
  <si>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</si>
  <si>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</si>
  <si>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</si>
  <si>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</si>
  <si>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r>
      <t>Public juristic entities</t>
    </r>
    <r>
      <rPr>
        <vertAlign val="superscript"/>
        <sz val="13"/>
        <rFont val="Arial"/>
        <family val="2"/>
      </rPr>
      <t>**</t>
    </r>
  </si>
  <si>
    <r>
      <t>سندات هيئات اعتباريه</t>
    </r>
    <r>
      <rPr>
        <vertAlign val="superscript"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</si>
  <si>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</si>
  <si>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</si>
  <si>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</si>
  <si>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</si>
  <si>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</si>
  <si>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</si>
  <si>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</si>
  <si>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</si>
  <si>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</si>
  <si>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</si>
  <si>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</si>
  <si>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</si>
  <si>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</si>
  <si>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</si>
  <si>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</si>
  <si>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</si>
  <si>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</si>
  <si>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</si>
  <si>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</si>
  <si>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</si>
  <si>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r>
      <t>P/E ratio of the most active companies</t>
    </r>
    <r>
      <rPr>
        <vertAlign val="superscript"/>
        <sz val="14"/>
        <rFont val="Arial"/>
        <family val="2"/>
      </rPr>
      <t>***</t>
    </r>
  </si>
  <si>
    <r>
      <rPr>
        <vertAlign val="superscript"/>
        <sz val="14"/>
        <rFont val="Times New (W1)"/>
        <charset val="178"/>
      </rPr>
      <t>***</t>
    </r>
    <r>
      <rPr>
        <sz val="14"/>
        <rFont val="Times New Roman"/>
        <family val="1"/>
      </rPr>
      <t xml:space="preserve"> مضاعف الربحية للشركات الأكثر نشاطا</t>
    </r>
    <r>
      <rPr>
        <sz val="12"/>
        <rFont val="Akhbar MT"/>
        <charset val="178"/>
      </rPr>
      <t>ً</t>
    </r>
  </si>
  <si>
    <r>
      <t>The Market of Small and Medium Enterprises (Nilex)</t>
    </r>
    <r>
      <rPr>
        <b/>
        <u/>
        <vertAlign val="superscript"/>
        <sz val="14"/>
        <color rgb="FF993366"/>
        <rFont val="Times New Roman"/>
        <family val="1"/>
      </rPr>
      <t>****</t>
    </r>
  </si>
  <si>
    <r>
      <t>سوق الشركات الصغيرة والمتوسطة (بورصة النيل)</t>
    </r>
    <r>
      <rPr>
        <u/>
        <vertAlign val="superscript"/>
        <sz val="12"/>
        <color rgb="FF993366"/>
        <rFont val="Times New Roman"/>
        <family val="1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</si>
  <si>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</si>
  <si>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</si>
  <si>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</si>
  <si>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r>
      <t>The Egyptian Exchange Indices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</si>
  <si>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r>
      <t>مؤشرات البورصة المصر</t>
    </r>
    <r>
      <rPr>
        <b/>
        <u/>
        <sz val="14"/>
        <color rgb="FF993366"/>
        <rFont val="Times New (W1)"/>
        <charset val="178"/>
      </rPr>
      <t>ية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</si>
  <si>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t>EGX 20 Capped</t>
  </si>
  <si>
    <t>EGX 30</t>
  </si>
  <si>
    <t>EGX 70</t>
  </si>
  <si>
    <t>EGX 100</t>
  </si>
  <si>
    <t xml:space="preserve">Nile </t>
  </si>
  <si>
    <t xml:space="preserve"> النيل</t>
  </si>
  <si>
    <r>
      <rPr>
        <b/>
        <u/>
        <sz val="14"/>
        <color rgb="FF993366"/>
        <rFont val="Times New (W1)"/>
        <charset val="178"/>
      </rPr>
      <t>Sectoral Indices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</si>
  <si>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r>
      <t>المؤشر</t>
    </r>
    <r>
      <rPr>
        <b/>
        <u/>
        <sz val="14"/>
        <color rgb="FF993366"/>
        <rFont val="Times New (W1)"/>
        <charset val="178"/>
      </rPr>
      <t>ات القطاعية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</si>
  <si>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</si>
  <si>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</si>
  <si>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</si>
  <si>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</si>
  <si>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</si>
  <si>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</si>
  <si>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</si>
  <si>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</si>
  <si>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</si>
  <si>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</si>
  <si>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</si>
  <si>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</si>
  <si>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</si>
  <si>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</si>
  <si>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</si>
  <si>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</si>
  <si>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</si>
  <si>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</si>
  <si>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</si>
  <si>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</si>
  <si>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</si>
  <si>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</si>
  <si>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</si>
  <si>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</si>
  <si>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</si>
  <si>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</si>
  <si>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</si>
  <si>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</si>
  <si>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</si>
  <si>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</si>
  <si>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</si>
  <si>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</si>
  <si>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</si>
  <si>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</si>
  <si>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Source: Egyptian Financial Supervisory Authority (EFSA) and the Egyptian Exchange (EGX).</t>
  </si>
  <si>
    <t>المصدر: الهيئة العامة للرقابة المالية والبورصة المصرية .</t>
  </si>
  <si>
    <t>*   Including Treasury bonds (encompassing primary dealers), housing bonds and development bonds.</t>
  </si>
  <si>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 تتضمن سندات الخزانة ( شاملة المتعاملون الرئيسيون )، وسندات الإسكان، وسندات التنمية.</t>
    </r>
  </si>
  <si>
    <t>** Public juristic entities bonds were listed on the Egyptian Exchange as of  December 2010.</t>
  </si>
  <si>
    <r>
      <rPr>
        <sz val="14"/>
        <rFont val="Arial"/>
        <family val="2"/>
      </rPr>
      <t>**</t>
    </r>
    <r>
      <rPr>
        <sz val="12"/>
        <rFont val="Akhbar MT"/>
        <charset val="178"/>
      </rPr>
      <t xml:space="preserve">  تم قيد سندات الهيئات الاعتباريه فى بورصة الأوراق المالية اعتباراً من ديسمبر 2010، وتم </t>
    </r>
  </si>
  <si>
    <t>The second tranche of the first and second  bond issues were redeemed at their final</t>
  </si>
  <si>
    <t xml:space="preserve">استهلاك الشريحة الثانية من الإصدار الأول والثانى للسندات ذات العائد الثابت فى تاريخ </t>
  </si>
  <si>
    <t xml:space="preserve"> redemption dates in April and June 2011, respectively.</t>
  </si>
  <si>
    <t>لاستحقاق النهائى لهما خلال شهرى أبريل ويونيو 2011.</t>
  </si>
  <si>
    <t>*** P/ E = price / earning.</t>
  </si>
  <si>
    <r>
      <rPr>
        <sz val="14"/>
        <rFont val="Arial"/>
        <family val="2"/>
      </rPr>
      <t xml:space="preserve"> ***</t>
    </r>
    <r>
      <rPr>
        <sz val="12"/>
        <rFont val="Akhbar MT"/>
        <charset val="178"/>
      </rPr>
      <t xml:space="preserve">  مضاعف الربحية = السعر / العائد.</t>
    </r>
  </si>
  <si>
    <t>**** Trading in the Nilex started on 3/6/2010.</t>
  </si>
  <si>
    <r>
      <rPr>
        <sz val="14"/>
        <rFont val="Arial"/>
        <family val="2"/>
      </rPr>
      <t xml:space="preserve"> ****</t>
    </r>
    <r>
      <rPr>
        <sz val="12"/>
        <rFont val="Akhbar MT"/>
        <charset val="178"/>
      </rPr>
      <t xml:space="preserve">  تم بدء التداول فى بورصة النيل اعتباراً من 2010/6/3.</t>
    </r>
  </si>
  <si>
    <t>*****  The Egyptian Exchange CASE 30 Index  was renamed EGX 30, while the EGX 70</t>
  </si>
  <si>
    <r>
      <rPr>
        <sz val="14"/>
        <rFont val="Arial"/>
        <family val="2"/>
      </rPr>
      <t xml:space="preserve"> *****</t>
    </r>
    <r>
      <rPr>
        <sz val="12"/>
        <rFont val="Akhbar MT"/>
        <charset val="178"/>
      </rPr>
      <t xml:space="preserve">  تم تغيير مسمى مؤشر البورصة المصرية </t>
    </r>
    <r>
      <rPr>
        <sz val="12"/>
        <rFont val="Times New Roman"/>
        <family val="1"/>
      </rPr>
      <t>CASE 30</t>
    </r>
    <r>
      <rPr>
        <sz val="12"/>
        <rFont val="Akhbar MT"/>
        <charset val="178"/>
      </rPr>
      <t xml:space="preserve"> إلى </t>
    </r>
    <r>
      <rPr>
        <sz val="12"/>
        <rFont val="Times New Roman"/>
        <family val="1"/>
      </rPr>
      <t xml:space="preserve">EGX 30 </t>
    </r>
    <r>
      <rPr>
        <sz val="12"/>
        <rFont val="Akhbar MT"/>
        <charset val="178"/>
      </rPr>
      <t xml:space="preserve">والإعلان عن مؤشر </t>
    </r>
    <r>
      <rPr>
        <sz val="12"/>
        <rFont val="Times New Roman"/>
        <family val="1"/>
      </rPr>
      <t>EGX 70</t>
    </r>
    <r>
      <rPr>
        <sz val="12"/>
        <rFont val="Akhbar MT"/>
        <charset val="178"/>
      </rPr>
      <t xml:space="preserve"> </t>
    </r>
  </si>
  <si>
    <t xml:space="preserve"> index was introduced as  of March 2009 to cover 70 companies other than the 30   </t>
  </si>
  <si>
    <r>
      <t xml:space="preserve">الذى يضم أكبر سبعين شركة بخلاف الشركات الثلاثين المكونة لمؤشر البورصة المصرية </t>
    </r>
    <r>
      <rPr>
        <sz val="12"/>
        <rFont val="Times New Roman"/>
        <family val="1"/>
      </rPr>
      <t>EGX 30</t>
    </r>
    <r>
      <rPr>
        <sz val="12"/>
        <rFont val="Akhbar MT"/>
        <charset val="178"/>
      </rPr>
      <t xml:space="preserve"> </t>
    </r>
  </si>
  <si>
    <t xml:space="preserve"> constituent companies of EGX 30. EGX 100 was also  </t>
  </si>
  <si>
    <r>
      <t xml:space="preserve">اعتباراً من شهر مارس 2009. كما تم الإعلان عن مؤشر </t>
    </r>
    <r>
      <rPr>
        <sz val="12"/>
        <rFont val="Times New Roman"/>
        <family val="1"/>
      </rPr>
      <t>EGX 100</t>
    </r>
    <r>
      <rPr>
        <sz val="10"/>
        <rFont val="Arial"/>
        <family val="2"/>
      </rPr>
      <t xml:space="preserve"> الذى يضم الشركات المكونة للمؤشرين  </t>
    </r>
  </si>
  <si>
    <t xml:space="preserve">    introduced, encompassing the constituent companies of EGX 30 and EGX 70, as of August 2009.EGX 20  </t>
  </si>
  <si>
    <r>
      <t xml:space="preserve">  </t>
    </r>
    <r>
      <rPr>
        <sz val="12"/>
        <rFont val="Times New Roman"/>
        <family val="1"/>
      </rPr>
      <t>EGX 30</t>
    </r>
    <r>
      <rPr>
        <sz val="10"/>
        <rFont val="Arial"/>
        <family val="2"/>
      </rPr>
      <t xml:space="preserve"> ، و</t>
    </r>
    <r>
      <rPr>
        <sz val="12"/>
        <rFont val="Times New Roman"/>
        <family val="1"/>
      </rPr>
      <t>EGX 70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اعتباراً من شهر أغسطس 2009. كما تم الإعلان عن مؤشر </t>
    </r>
    <r>
      <rPr>
        <sz val="12"/>
        <rFont val="Times New Roman"/>
        <family val="1"/>
      </rPr>
      <t>EGX 20 Capped</t>
    </r>
    <r>
      <rPr>
        <sz val="12"/>
        <rFont val="Akhbar MT"/>
        <charset val="178"/>
      </rPr>
      <t xml:space="preserve"> </t>
    </r>
  </si>
  <si>
    <t xml:space="preserve">   Capped was also introduced in October 2011, which includes the most active 20 companies listed on the </t>
  </si>
  <si>
    <t xml:space="preserve">فى أكتوبر 2011 ، والذى يضم أنشط 20 شركـة مدرجة بالبورصة المصرية. وقد تم احتساب المؤشر اعتباراً </t>
  </si>
  <si>
    <t xml:space="preserve">    Egyptian Exchange. The index was computed as of the 1st of February 2003. In February 2014, the Nile</t>
  </si>
  <si>
    <t xml:space="preserve">من الأول من فبراير 2003. وقد تم الإعلان عن مؤشر النيل فى فبراير 2014  وتم احتسابه اعتباراً </t>
  </si>
  <si>
    <r>
      <t xml:space="preserve">  index was introduced. It was computed as of the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of July 2012.</t>
    </r>
  </si>
  <si>
    <t>من 2 يوليو 2012.</t>
  </si>
  <si>
    <t xml:space="preserve">******  Based on the Egyptian Exchange data.  </t>
  </si>
  <si>
    <r>
      <rPr>
        <sz val="12"/>
        <rFont val="Arial"/>
        <family val="2"/>
      </rPr>
      <t xml:space="preserve"> </t>
    </r>
    <r>
      <rPr>
        <sz val="14"/>
        <rFont val="Arial"/>
        <family val="2"/>
      </rPr>
      <t>******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من واقع بيانات البورصة المصرية.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</si>
</sst>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Calibri"/>
      <family val="1"/>
      <scheme val="minor"/>
    </font>
    <font>
      <b/>
      <u/>
      <sz val="14"/>
      <name val="Times New (W1)"/>
      <family val="1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6"/>
      <name val="Times New (W1)"/>
      <charset val="178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vertAlign val="superscript"/>
      <sz val="13"/>
      <name val="Arial"/>
      <family val="2"/>
    </font>
    <font>
      <u/>
      <sz val="12"/>
      <name val="Calibri"/>
      <family val="1"/>
      <scheme val="minor"/>
    </font>
    <font>
      <sz val="11"/>
      <name val="Times New (W1)"/>
      <charset val="178"/>
    </font>
    <font>
      <vertAlign val="superscript"/>
      <sz val="14"/>
      <name val="Arial"/>
      <family val="2"/>
    </font>
    <font>
      <vertAlign val="superscript"/>
      <sz val="14"/>
      <name val="Times New (W1)"/>
      <charset val="178"/>
    </font>
    <font>
      <sz val="12"/>
      <name val="Akhbar MT"/>
      <charset val="178"/>
    </font>
    <font>
      <b/>
      <u/>
      <vertAlign val="superscript"/>
      <sz val="14"/>
      <color rgb="FF993366"/>
      <name val="Times New Roman"/>
      <family val="1"/>
    </font>
    <font>
      <u/>
      <vertAlign val="superscript"/>
      <sz val="12"/>
      <color rgb="FF993366"/>
      <name val="Times New Roman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0"/>
      <name val="Arial"/>
      <family val="2"/>
      <charset val="178"/>
    </font>
    <font>
      <sz val="12"/>
      <name val="Times New Roman"/>
      <family val="1"/>
    </font>
    <font>
      <vertAlign val="superscript"/>
      <sz val="10"/>
      <name val="Arial"/>
      <family val="2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41"/>
      </top>
      <bottom/>
      <diagonal/>
    </border>
    <border>
      <left/>
      <right/>
      <top style="double">
        <color indexed="41"/>
      </top>
      <bottom/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96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2" xfId="2" quotePrefix="1" applyFont="1" applyBorder="1" applyAlignment="1">
      <alignment horizontal="center" vertical="center"/>
    </xf>
    <xf numFmtId="0" fontId="6" fillId="2" borderId="3" xfId="2" quotePrefix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readingOrder="2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vertical="center" wrapText="1" readingOrder="1"/>
    </xf>
    <xf numFmtId="0" fontId="5" fillId="4" borderId="7" xfId="0" applyFont="1" applyFill="1" applyBorder="1" applyAlignment="1">
      <alignment vertical="center" wrapText="1" readingOrder="1"/>
    </xf>
    <xf numFmtId="0" fontId="8" fillId="2" borderId="3" xfId="1" applyFont="1" applyFill="1" applyBorder="1" applyAlignment="1">
      <alignment horizontal="center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9" fillId="5" borderId="9" xfId="0" applyFont="1" applyFill="1" applyBorder="1" applyAlignment="1">
      <alignment readingOrder="2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0" fillId="5" borderId="9" xfId="0" applyFont="1" applyFill="1" applyBorder="1" applyAlignment="1">
      <alignment readingOrder="1"/>
    </xf>
    <xf numFmtId="0" fontId="10" fillId="5" borderId="9" xfId="0" applyFont="1" applyFill="1" applyBorder="1" applyAlignment="1">
      <alignment readingOrder="2"/>
    </xf>
    <xf numFmtId="0" fontId="0" fillId="0" borderId="13" xfId="0" applyBorder="1"/>
    <xf numFmtId="0" fontId="0" fillId="0" borderId="14" xfId="0" applyBorder="1"/>
    <xf numFmtId="164" fontId="0" fillId="0" borderId="0" xfId="0" applyNumberFormat="1"/>
    <xf numFmtId="0" fontId="11" fillId="5" borderId="9" xfId="0" applyFont="1" applyFill="1" applyBorder="1" applyAlignment="1">
      <alignment horizontal="left" readingOrder="1"/>
    </xf>
    <xf numFmtId="0" fontId="12" fillId="5" borderId="9" xfId="0" quotePrefix="1" applyFont="1" applyFill="1" applyBorder="1" applyAlignment="1">
      <alignment horizontal="right" readingOrder="2"/>
    </xf>
    <xf numFmtId="1" fontId="13" fillId="0" borderId="13" xfId="2" applyNumberFormat="1" applyFont="1" applyBorder="1" applyAlignment="1">
      <alignment horizontal="center" vertical="center"/>
    </xf>
    <xf numFmtId="1" fontId="13" fillId="0" borderId="0" xfId="2" applyNumberFormat="1" applyFont="1" applyBorder="1" applyAlignment="1">
      <alignment horizontal="center" vertical="center"/>
    </xf>
    <xf numFmtId="1" fontId="13" fillId="0" borderId="14" xfId="2" applyNumberFormat="1" applyFont="1" applyBorder="1" applyAlignment="1">
      <alignment horizontal="center" vertical="center"/>
    </xf>
    <xf numFmtId="0" fontId="13" fillId="0" borderId="13" xfId="0" applyFont="1" applyBorder="1"/>
    <xf numFmtId="0" fontId="13" fillId="0" borderId="0" xfId="0" applyFont="1" applyBorder="1"/>
    <xf numFmtId="0" fontId="13" fillId="0" borderId="14" xfId="0" applyFont="1" applyBorder="1"/>
    <xf numFmtId="1" fontId="14" fillId="0" borderId="13" xfId="2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 vertical="center"/>
    </xf>
    <xf numFmtId="1" fontId="14" fillId="0" borderId="14" xfId="2" applyNumberFormat="1" applyFont="1" applyBorder="1" applyAlignment="1">
      <alignment horizontal="center" vertical="center"/>
    </xf>
    <xf numFmtId="0" fontId="18" fillId="5" borderId="9" xfId="0" applyFont="1" applyFill="1" applyBorder="1" applyAlignment="1">
      <alignment horizontal="left" readingOrder="1"/>
    </xf>
    <xf numFmtId="0" fontId="19" fillId="5" borderId="9" xfId="0" quotePrefix="1" applyFont="1" applyFill="1" applyBorder="1" applyAlignment="1">
      <alignment horizontal="right" readingOrder="2"/>
    </xf>
    <xf numFmtId="0" fontId="20" fillId="0" borderId="0" xfId="0" applyFont="1"/>
    <xf numFmtId="1" fontId="14" fillId="0" borderId="13" xfId="2" applyNumberFormat="1" applyFont="1" applyBorder="1" applyAlignment="1">
      <alignment horizontal="center"/>
    </xf>
    <xf numFmtId="1" fontId="14" fillId="0" borderId="0" xfId="2" applyNumberFormat="1" applyFont="1" applyBorder="1" applyAlignment="1">
      <alignment horizontal="center"/>
    </xf>
    <xf numFmtId="1" fontId="14" fillId="0" borderId="14" xfId="2" applyNumberFormat="1" applyFont="1" applyBorder="1" applyAlignment="1">
      <alignment horizontal="center"/>
    </xf>
    <xf numFmtId="1" fontId="22" fillId="0" borderId="13" xfId="2" applyNumberFormat="1" applyFont="1" applyBorder="1" applyAlignment="1">
      <alignment horizontal="center"/>
    </xf>
    <xf numFmtId="1" fontId="22" fillId="0" borderId="0" xfId="2" applyNumberFormat="1" applyFont="1" applyBorder="1" applyAlignment="1">
      <alignment horizontal="center"/>
    </xf>
    <xf numFmtId="1" fontId="22" fillId="0" borderId="14" xfId="2" applyNumberFormat="1" applyFont="1" applyBorder="1" applyAlignment="1">
      <alignment horizontal="center"/>
    </xf>
    <xf numFmtId="0" fontId="23" fillId="5" borderId="9" xfId="0" applyFont="1" applyFill="1" applyBorder="1" applyAlignment="1">
      <alignment readingOrder="1"/>
    </xf>
    <xf numFmtId="0" fontId="0" fillId="5" borderId="0" xfId="0" applyFill="1"/>
    <xf numFmtId="0" fontId="13" fillId="5" borderId="13" xfId="0" applyFont="1" applyFill="1" applyBorder="1"/>
    <xf numFmtId="0" fontId="13" fillId="5" borderId="0" xfId="0" applyFont="1" applyFill="1" applyBorder="1"/>
    <xf numFmtId="0" fontId="13" fillId="5" borderId="14" xfId="0" applyFont="1" applyFill="1" applyBorder="1"/>
    <xf numFmtId="0" fontId="12" fillId="5" borderId="9" xfId="0" quotePrefix="1" applyFont="1" applyFill="1" applyBorder="1" applyAlignment="1">
      <alignment horizontal="right" readingOrder="1"/>
    </xf>
    <xf numFmtId="2" fontId="13" fillId="0" borderId="13" xfId="2" applyNumberFormat="1" applyFont="1" applyBorder="1" applyAlignment="1">
      <alignment horizontal="center" vertical="center"/>
    </xf>
    <xf numFmtId="2" fontId="13" fillId="0" borderId="0" xfId="2" applyNumberFormat="1" applyFont="1" applyBorder="1" applyAlignment="1">
      <alignment horizontal="center" vertical="center"/>
    </xf>
    <xf numFmtId="2" fontId="13" fillId="0" borderId="14" xfId="2" applyNumberFormat="1" applyFont="1" applyBorder="1" applyAlignment="1">
      <alignment horizontal="center" vertical="center"/>
    </xf>
    <xf numFmtId="1" fontId="13" fillId="0" borderId="13" xfId="2" applyNumberFormat="1" applyFont="1" applyFill="1" applyBorder="1" applyAlignment="1">
      <alignment horizontal="center" vertical="center"/>
    </xf>
    <xf numFmtId="1" fontId="13" fillId="0" borderId="0" xfId="2" applyNumberFormat="1" applyFont="1" applyFill="1" applyBorder="1" applyAlignment="1">
      <alignment horizontal="center" vertical="center"/>
    </xf>
    <xf numFmtId="1" fontId="13" fillId="0" borderId="14" xfId="2" applyNumberFormat="1" applyFont="1" applyFill="1" applyBorder="1" applyAlignment="1">
      <alignment horizontal="center" vertical="center"/>
    </xf>
    <xf numFmtId="1" fontId="13" fillId="0" borderId="15" xfId="2" applyNumberFormat="1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left" readingOrder="1"/>
    </xf>
    <xf numFmtId="0" fontId="9" fillId="5" borderId="9" xfId="0" applyFont="1" applyFill="1" applyBorder="1" applyAlignment="1">
      <alignment readingOrder="1"/>
    </xf>
    <xf numFmtId="0" fontId="11" fillId="5" borderId="9" xfId="0" applyFont="1" applyFill="1" applyBorder="1" applyAlignment="1">
      <alignment horizontal="right" readingOrder="1"/>
    </xf>
    <xf numFmtId="164" fontId="13" fillId="5" borderId="13" xfId="0" applyNumberFormat="1" applyFont="1" applyFill="1" applyBorder="1" applyAlignment="1">
      <alignment horizontal="center"/>
    </xf>
    <xf numFmtId="164" fontId="13" fillId="5" borderId="0" xfId="0" applyNumberFormat="1" applyFont="1" applyFill="1" applyBorder="1" applyAlignment="1">
      <alignment horizontal="center"/>
    </xf>
    <xf numFmtId="164" fontId="13" fillId="5" borderId="14" xfId="0" applyNumberFormat="1" applyFont="1" applyFill="1" applyBorder="1" applyAlignment="1">
      <alignment horizontal="center"/>
    </xf>
    <xf numFmtId="164" fontId="13" fillId="0" borderId="13" xfId="2" applyNumberFormat="1" applyFont="1" applyBorder="1" applyAlignment="1">
      <alignment horizontal="center" vertical="center"/>
    </xf>
    <xf numFmtId="164" fontId="13" fillId="0" borderId="0" xfId="2" applyNumberFormat="1" applyFont="1" applyBorder="1" applyAlignment="1">
      <alignment horizontal="center" vertical="center"/>
    </xf>
    <xf numFmtId="164" fontId="13" fillId="0" borderId="14" xfId="2" applyNumberFormat="1" applyFont="1" applyBorder="1" applyAlignment="1">
      <alignment horizontal="center" vertical="center"/>
    </xf>
    <xf numFmtId="0" fontId="12" fillId="5" borderId="9" xfId="0" quotePrefix="1" applyFont="1" applyFill="1" applyBorder="1" applyAlignment="1">
      <alignment horizontal="left" readingOrder="2"/>
    </xf>
    <xf numFmtId="0" fontId="30" fillId="5" borderId="9" xfId="0" applyFont="1" applyFill="1" applyBorder="1" applyAlignment="1">
      <alignment readingOrder="1"/>
    </xf>
    <xf numFmtId="0" fontId="0" fillId="5" borderId="13" xfId="0" applyFill="1" applyBorder="1"/>
    <xf numFmtId="0" fontId="23" fillId="5" borderId="9" xfId="0" quotePrefix="1" applyFont="1" applyFill="1" applyBorder="1" applyAlignment="1">
      <alignment horizontal="right" readingOrder="2"/>
    </xf>
    <xf numFmtId="0" fontId="23" fillId="5" borderId="16" xfId="0" applyFont="1" applyFill="1" applyBorder="1" applyAlignment="1">
      <alignment readingOrder="1"/>
    </xf>
    <xf numFmtId="0" fontId="23" fillId="5" borderId="16" xfId="0" quotePrefix="1" applyFont="1" applyFill="1" applyBorder="1" applyAlignment="1">
      <alignment horizontal="right" readingOrder="2"/>
    </xf>
    <xf numFmtId="1" fontId="13" fillId="0" borderId="17" xfId="2" applyNumberFormat="1" applyFont="1" applyBorder="1" applyAlignment="1">
      <alignment horizontal="center" vertical="center"/>
    </xf>
    <xf numFmtId="1" fontId="13" fillId="0" borderId="1" xfId="2" applyNumberFormat="1" applyFont="1" applyBorder="1" applyAlignment="1">
      <alignment horizontal="center" vertical="center"/>
    </xf>
    <xf numFmtId="1" fontId="13" fillId="0" borderId="18" xfId="2" applyNumberFormat="1" applyFont="1" applyBorder="1" applyAlignment="1">
      <alignment horizontal="center" vertical="center"/>
    </xf>
    <xf numFmtId="0" fontId="31" fillId="0" borderId="19" xfId="2" applyFont="1" applyBorder="1" applyAlignment="1">
      <alignment horizontal="left" vertical="center"/>
    </xf>
    <xf numFmtId="0" fontId="26" fillId="0" borderId="0" xfId="2" applyFont="1" applyAlignment="1">
      <alignment vertical="center"/>
    </xf>
    <xf numFmtId="0" fontId="2" fillId="0" borderId="0" xfId="2" applyFont="1" applyBorder="1" applyAlignment="1">
      <alignment horizontal="left" vertical="center"/>
    </xf>
    <xf numFmtId="49" fontId="26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6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6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34" fillId="0" borderId="0" xfId="3" quotePrefix="1" applyFont="1" applyAlignment="1">
      <alignment horizontal="left" vertical="center" indent="1" readingOrder="1"/>
    </xf>
    <xf numFmtId="0" fontId="2" fillId="0" borderId="0" xfId="2" quotePrefix="1" applyFont="1" applyBorder="1" applyAlignment="1">
      <alignment horizontal="right" vertical="center" readingOrder="2"/>
    </xf>
    <xf numFmtId="0" fontId="34" fillId="0" borderId="0" xfId="2" applyFont="1" applyBorder="1" applyAlignment="1">
      <alignment vertical="center"/>
    </xf>
    <xf numFmtId="0" fontId="35" fillId="0" borderId="0" xfId="2" applyFont="1" applyFill="1" applyAlignment="1">
      <alignment vertical="center"/>
    </xf>
    <xf numFmtId="0" fontId="36" fillId="0" borderId="0" xfId="2" applyFont="1" applyBorder="1" applyAlignment="1">
      <alignment vertical="center"/>
    </xf>
    <xf numFmtId="0" fontId="0" fillId="7" borderId="0" xfId="0" applyFill="1"/>
  </cellXfs>
  <cellStyles count="4">
    <cellStyle name="Normal" xfId="0" builtinId="0"/>
    <cellStyle name="Normal 2" xfId="1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101.42578125" style="94" customWidth="1"/>
    <col min="2" max="2" width="81.140625" style="93" customWidth="1"/>
    <col min="3" max="4" width="12.7109375" customWidth="1"/>
    <col min="5" max="5" width="11.28515625" style="95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19.5" thickBot="1">
      <c r="A2" s="4" t="s">
        <v>0</v>
      </c>
      <c r="B2" s="5" t="s">
        <v>1</v>
      </c>
      <c r="C2" s="6"/>
      <c r="D2" s="6"/>
      <c r="F2" s="7"/>
    </row>
    <row r="3" spans="1:22" s="3" customFormat="1" ht="21.75" thickTop="1" thickBot="1">
      <c r="A3" s="8" t="s">
        <v>2</v>
      </c>
      <c r="B3" s="9" t="s">
        <v>3</v>
      </c>
      <c r="C3" s="10">
        <v>2011</v>
      </c>
      <c r="D3" s="11"/>
      <c r="E3" s="12">
        <v>2012</v>
      </c>
      <c r="F3" s="13"/>
    </row>
    <row r="4" spans="1:22" s="3" customFormat="1" ht="21.75" thickTop="1" thickBot="1">
      <c r="A4" s="14" t="s">
        <v>4</v>
      </c>
      <c r="B4" s="9" t="s">
        <v>5</v>
      </c>
      <c r="C4" s="15" t="s">
        <v>6</v>
      </c>
      <c r="D4" s="15" t="s">
        <v>7</v>
      </c>
      <c r="E4" s="15" t="s">
        <v>8</v>
      </c>
      <c r="F4" s="15" t="s">
        <v>9</v>
      </c>
    </row>
    <row r="5" spans="1:22" ht="19.5" thickTop="1">
      <c r="A5" s="16"/>
      <c r="B5" s="16"/>
      <c r="C5" s="17"/>
      <c r="D5" s="18"/>
      <c r="E5" s="18"/>
      <c r="F5" s="19"/>
    </row>
    <row r="6" spans="1:22" ht="18.75">
      <c r="A6" s="20" t="s">
        <v>10</v>
      </c>
      <c r="B6" s="21" t="s">
        <v>11</v>
      </c>
      <c r="C6" s="22"/>
      <c r="E6"/>
      <c r="F6" s="23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 ht="18.75">
      <c r="A7" s="25" t="s">
        <v>12</v>
      </c>
      <c r="B7" s="26" t="s">
        <v>13</v>
      </c>
      <c r="C7" s="27">
        <v>214</v>
      </c>
      <c r="D7" s="28">
        <v>213</v>
      </c>
      <c r="E7" s="28">
        <v>213</v>
      </c>
      <c r="F7" s="29">
        <v>212</v>
      </c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 ht="18.75">
      <c r="A8" s="25" t="s">
        <v>14</v>
      </c>
      <c r="B8" s="26" t="s">
        <v>15</v>
      </c>
      <c r="C8" s="27">
        <f>32319.905745+564.26236+2.964533+165.40625</f>
        <v>33052.538887999995</v>
      </c>
      <c r="D8" s="28">
        <f>33922.752991+570.86294+2.964533+217.90625</f>
        <v>34714.486713999999</v>
      </c>
      <c r="E8" s="28">
        <f>39313.750754+570.86294+2.964533+217.90625</f>
        <v>40105.484476999998</v>
      </c>
      <c r="F8" s="29">
        <f>39227.091278+570.86294+2.964533+217.90625</f>
        <v>40018.825000999997</v>
      </c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 ht="18.75">
      <c r="A9" s="25" t="s">
        <v>16</v>
      </c>
      <c r="B9" s="26" t="s">
        <v>17</v>
      </c>
      <c r="C9" s="27">
        <f>133043+(2112*5.9657)</f>
        <v>145642.55840000001</v>
      </c>
      <c r="D9" s="28">
        <f>137641+2112*6.0319</f>
        <v>150380.37280000001</v>
      </c>
      <c r="E9" s="28">
        <f>137234+(2133*6.0404)</f>
        <v>150118.17319999999</v>
      </c>
      <c r="F9" s="29">
        <f>137182+(2133*6.059)</f>
        <v>150105.84700000001</v>
      </c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 ht="18.75">
      <c r="A10" s="25"/>
      <c r="B10" s="26"/>
      <c r="C10" s="30"/>
      <c r="D10" s="31"/>
      <c r="E10" s="31"/>
      <c r="F10" s="32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 ht="18.75">
      <c r="A11" s="20" t="s">
        <v>18</v>
      </c>
      <c r="B11" s="21" t="s">
        <v>19</v>
      </c>
      <c r="C11" s="33">
        <v>238959</v>
      </c>
      <c r="D11" s="34">
        <v>248869</v>
      </c>
      <c r="E11" s="34">
        <v>264969</v>
      </c>
      <c r="F11" s="35">
        <v>285311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2" ht="24">
      <c r="A12" s="25" t="s">
        <v>20</v>
      </c>
      <c r="B12" s="26" t="s">
        <v>21</v>
      </c>
      <c r="C12" s="27">
        <v>221390</v>
      </c>
      <c r="D12" s="28">
        <v>231686</v>
      </c>
      <c r="E12" s="28">
        <v>250185</v>
      </c>
      <c r="F12" s="29">
        <v>270685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22" ht="15.75">
      <c r="A13" s="36" t="s">
        <v>22</v>
      </c>
      <c r="B13" s="37" t="s">
        <v>23</v>
      </c>
      <c r="C13" s="27">
        <v>221267</v>
      </c>
      <c r="D13" s="28">
        <v>231567</v>
      </c>
      <c r="E13" s="28">
        <v>250067</v>
      </c>
      <c r="F13" s="29">
        <v>270567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 s="38" customFormat="1" ht="18.75">
      <c r="A14" s="25" t="s">
        <v>24</v>
      </c>
      <c r="B14" s="26" t="s">
        <v>25</v>
      </c>
      <c r="C14" s="27">
        <v>6395</v>
      </c>
      <c r="D14" s="28">
        <v>6409</v>
      </c>
      <c r="E14" s="28">
        <v>4359</v>
      </c>
      <c r="F14" s="29">
        <v>4285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 ht="18.75">
      <c r="A15" s="25" t="s">
        <v>26</v>
      </c>
      <c r="B15" s="26" t="s">
        <v>27</v>
      </c>
      <c r="C15" s="27">
        <v>6174</v>
      </c>
      <c r="D15" s="28">
        <v>5774</v>
      </c>
      <c r="E15" s="28">
        <v>5425</v>
      </c>
      <c r="F15" s="29">
        <v>5341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2" ht="20.25">
      <c r="A16" s="25" t="s">
        <v>28</v>
      </c>
      <c r="B16" s="26" t="s">
        <v>29</v>
      </c>
      <c r="C16" s="27">
        <f t="shared" ref="C16" si="0">10000-5000</f>
        <v>5000</v>
      </c>
      <c r="D16" s="28">
        <v>5000</v>
      </c>
      <c r="E16" s="28">
        <v>5000</v>
      </c>
      <c r="F16" s="29">
        <v>5000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 ht="18.75">
      <c r="A17" s="25"/>
      <c r="B17" s="26"/>
      <c r="C17" s="27"/>
      <c r="D17" s="28"/>
      <c r="E17" s="28"/>
      <c r="F17" s="29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 ht="18.75">
      <c r="A18" s="20" t="s">
        <v>30</v>
      </c>
      <c r="B18" s="21" t="s">
        <v>31</v>
      </c>
      <c r="C18" s="39"/>
      <c r="D18" s="40"/>
      <c r="E18" s="40"/>
      <c r="F18" s="41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 ht="18.75">
      <c r="A19" s="20" t="s">
        <v>32</v>
      </c>
      <c r="B19" s="21" t="s">
        <v>33</v>
      </c>
      <c r="C19" s="42">
        <v>9789</v>
      </c>
      <c r="D19" s="43">
        <v>10285</v>
      </c>
      <c r="E19" s="43">
        <v>15402</v>
      </c>
      <c r="F19" s="44">
        <v>11408.1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1:22" ht="18.75">
      <c r="A20" s="20" t="s">
        <v>34</v>
      </c>
      <c r="B20" s="21" t="s">
        <v>35</v>
      </c>
      <c r="C20" s="27"/>
      <c r="D20" s="28"/>
      <c r="E20" s="28"/>
      <c r="F20" s="29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ht="18.75">
      <c r="A21" s="25" t="s">
        <v>36</v>
      </c>
      <c r="B21" s="26" t="s">
        <v>37</v>
      </c>
      <c r="C21" s="27">
        <v>8366</v>
      </c>
      <c r="D21" s="28">
        <v>5098</v>
      </c>
      <c r="E21" s="28">
        <v>10979</v>
      </c>
      <c r="F21" s="29">
        <v>5096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ht="18.75">
      <c r="A22" s="25" t="s">
        <v>38</v>
      </c>
      <c r="B22" s="26" t="s">
        <v>39</v>
      </c>
      <c r="C22" s="27">
        <v>704</v>
      </c>
      <c r="D22" s="28">
        <v>275</v>
      </c>
      <c r="E22" s="28">
        <v>2936</v>
      </c>
      <c r="F22" s="29">
        <v>5064</v>
      </c>
    </row>
    <row r="23" spans="1:22" s="46" customFormat="1" ht="15.75">
      <c r="A23" s="45" t="s">
        <v>22</v>
      </c>
      <c r="B23" s="37" t="s">
        <v>23</v>
      </c>
      <c r="C23" s="27">
        <v>691</v>
      </c>
      <c r="D23" s="28">
        <v>275</v>
      </c>
      <c r="E23" s="28">
        <v>2936</v>
      </c>
      <c r="F23" s="29">
        <v>5064</v>
      </c>
    </row>
    <row r="24" spans="1:22" s="46" customFormat="1" ht="18.75">
      <c r="A24" s="25" t="s">
        <v>40</v>
      </c>
      <c r="B24" s="26" t="s">
        <v>41</v>
      </c>
      <c r="C24" s="27">
        <v>0</v>
      </c>
      <c r="D24" s="28">
        <v>0</v>
      </c>
      <c r="E24" s="28">
        <v>0</v>
      </c>
      <c r="F24" s="29">
        <v>0</v>
      </c>
    </row>
    <row r="25" spans="1:22" s="46" customFormat="1" ht="18.75">
      <c r="A25" s="20" t="s">
        <v>42</v>
      </c>
      <c r="B25" s="21" t="s">
        <v>43</v>
      </c>
      <c r="C25" s="27"/>
      <c r="D25" s="28"/>
      <c r="E25" s="28"/>
      <c r="F25" s="29"/>
    </row>
    <row r="26" spans="1:22" s="46" customFormat="1" ht="18.75">
      <c r="A26" s="25" t="s">
        <v>36</v>
      </c>
      <c r="B26" s="26" t="s">
        <v>37</v>
      </c>
      <c r="C26" s="27">
        <v>719</v>
      </c>
      <c r="D26" s="28">
        <v>4912</v>
      </c>
      <c r="E26" s="28">
        <v>1487</v>
      </c>
      <c r="F26" s="29">
        <v>1248.2</v>
      </c>
    </row>
    <row r="27" spans="1:22" s="46" customFormat="1" ht="18.75">
      <c r="A27" s="25" t="s">
        <v>44</v>
      </c>
      <c r="B27" s="26" t="s">
        <v>45</v>
      </c>
      <c r="C27" s="27">
        <v>0</v>
      </c>
      <c r="D27" s="28">
        <v>0</v>
      </c>
      <c r="E27" s="28">
        <v>0</v>
      </c>
      <c r="F27" s="29">
        <v>0</v>
      </c>
    </row>
    <row r="28" spans="1:22" s="46" customFormat="1" ht="18.75">
      <c r="A28" s="25" t="s">
        <v>40</v>
      </c>
      <c r="B28" s="26" t="s">
        <v>41</v>
      </c>
      <c r="C28" s="27">
        <v>0</v>
      </c>
      <c r="D28" s="28">
        <v>0</v>
      </c>
      <c r="E28" s="28">
        <v>0</v>
      </c>
      <c r="F28" s="29">
        <v>0</v>
      </c>
    </row>
    <row r="29" spans="1:22" s="46" customFormat="1" ht="18.75">
      <c r="A29" s="25"/>
      <c r="B29" s="26"/>
      <c r="C29" s="47"/>
      <c r="D29" s="48"/>
      <c r="E29" s="48"/>
      <c r="F29" s="49"/>
    </row>
    <row r="30" spans="1:22" s="46" customFormat="1" ht="18.75">
      <c r="A30" s="20" t="s">
        <v>46</v>
      </c>
      <c r="B30" s="21" t="s">
        <v>47</v>
      </c>
      <c r="C30" s="47"/>
      <c r="D30" s="48"/>
      <c r="E30" s="48"/>
      <c r="F30" s="49"/>
    </row>
    <row r="31" spans="1:22" s="46" customFormat="1" ht="18.75">
      <c r="A31" s="25" t="s">
        <v>48</v>
      </c>
      <c r="B31" s="26" t="s">
        <v>49</v>
      </c>
      <c r="C31" s="27">
        <v>319248</v>
      </c>
      <c r="D31" s="28">
        <v>293593</v>
      </c>
      <c r="E31" s="28">
        <v>362468</v>
      </c>
      <c r="F31" s="29">
        <v>339768</v>
      </c>
    </row>
    <row r="32" spans="1:22" s="46" customFormat="1" ht="22.5">
      <c r="A32" s="25" t="s">
        <v>50</v>
      </c>
      <c r="B32" s="50" t="s">
        <v>51</v>
      </c>
      <c r="C32" s="51">
        <v>11.24</v>
      </c>
      <c r="D32" s="52">
        <v>10.47</v>
      </c>
      <c r="E32" s="52">
        <v>11.65</v>
      </c>
      <c r="F32" s="53">
        <v>10.91</v>
      </c>
    </row>
    <row r="33" spans="1:6" s="46" customFormat="1" ht="21.75">
      <c r="A33" s="20" t="s">
        <v>52</v>
      </c>
      <c r="B33" s="21" t="s">
        <v>53</v>
      </c>
      <c r="C33" s="54"/>
      <c r="D33" s="55"/>
      <c r="E33" s="55"/>
      <c r="F33" s="56"/>
    </row>
    <row r="34" spans="1:6" s="46" customFormat="1" ht="18.75">
      <c r="A34" s="25" t="s">
        <v>12</v>
      </c>
      <c r="B34" s="26" t="s">
        <v>13</v>
      </c>
      <c r="C34" s="54">
        <v>19</v>
      </c>
      <c r="D34" s="55">
        <v>19</v>
      </c>
      <c r="E34" s="55">
        <v>20</v>
      </c>
      <c r="F34" s="56">
        <v>21</v>
      </c>
    </row>
    <row r="35" spans="1:6" s="46" customFormat="1" ht="18.75">
      <c r="A35" s="25" t="s">
        <v>14</v>
      </c>
      <c r="B35" s="26" t="s">
        <v>15</v>
      </c>
      <c r="C35" s="57">
        <v>173</v>
      </c>
      <c r="D35" s="55">
        <v>161</v>
      </c>
      <c r="E35" s="55">
        <v>169</v>
      </c>
      <c r="F35" s="56">
        <v>190</v>
      </c>
    </row>
    <row r="36" spans="1:6" s="46" customFormat="1" ht="18.75">
      <c r="A36" s="25" t="s">
        <v>54</v>
      </c>
      <c r="B36" s="26" t="s">
        <v>55</v>
      </c>
      <c r="C36" s="57">
        <v>11.59</v>
      </c>
      <c r="D36" s="55">
        <v>10</v>
      </c>
      <c r="E36" s="55">
        <v>31</v>
      </c>
      <c r="F36" s="56">
        <v>6.77</v>
      </c>
    </row>
    <row r="37" spans="1:6" s="46" customFormat="1" ht="18.75">
      <c r="A37" s="58" t="s">
        <v>56</v>
      </c>
      <c r="B37" s="26" t="s">
        <v>49</v>
      </c>
      <c r="C37" s="57">
        <v>995</v>
      </c>
      <c r="D37" s="55">
        <v>1010</v>
      </c>
      <c r="E37" s="55">
        <v>1066</v>
      </c>
      <c r="F37" s="56">
        <v>1093</v>
      </c>
    </row>
    <row r="38" spans="1:6" s="46" customFormat="1" ht="18.75">
      <c r="A38" s="59"/>
      <c r="B38" s="26"/>
      <c r="C38" s="47"/>
      <c r="D38" s="48"/>
      <c r="E38" s="48"/>
      <c r="F38" s="49"/>
    </row>
    <row r="39" spans="1:6" s="46" customFormat="1" ht="21.75">
      <c r="A39" s="20" t="s">
        <v>57</v>
      </c>
      <c r="B39" s="21" t="s">
        <v>58</v>
      </c>
      <c r="C39" s="47"/>
      <c r="D39" s="48"/>
      <c r="E39" s="48"/>
      <c r="F39" s="49"/>
    </row>
    <row r="40" spans="1:6" s="46" customFormat="1" ht="18.75">
      <c r="A40" s="25" t="s">
        <v>59</v>
      </c>
      <c r="B40" s="60" t="s">
        <v>59</v>
      </c>
      <c r="C40" s="61">
        <v>4522.2</v>
      </c>
      <c r="D40" s="62">
        <v>3925.5</v>
      </c>
      <c r="E40" s="62">
        <v>5813.3</v>
      </c>
      <c r="F40" s="63">
        <v>5452</v>
      </c>
    </row>
    <row r="41" spans="1:6" s="46" customFormat="1" ht="18.75">
      <c r="A41" s="25" t="s">
        <v>60</v>
      </c>
      <c r="B41" s="60" t="s">
        <v>60</v>
      </c>
      <c r="C41" s="64">
        <v>4137.3999999999996</v>
      </c>
      <c r="D41" s="65">
        <v>3622.35</v>
      </c>
      <c r="E41" s="65">
        <v>5018.55</v>
      </c>
      <c r="F41" s="66">
        <v>4708.6000000000004</v>
      </c>
    </row>
    <row r="42" spans="1:6" s="46" customFormat="1" ht="18.75">
      <c r="A42" s="25" t="s">
        <v>61</v>
      </c>
      <c r="B42" s="60" t="s">
        <v>61</v>
      </c>
      <c r="C42" s="61">
        <v>458.4</v>
      </c>
      <c r="D42" s="62">
        <v>415.6</v>
      </c>
      <c r="E42" s="62">
        <v>453</v>
      </c>
      <c r="F42" s="63">
        <v>422</v>
      </c>
    </row>
    <row r="43" spans="1:6" s="46" customFormat="1" ht="18.75">
      <c r="A43" s="25" t="s">
        <v>62</v>
      </c>
      <c r="B43" s="60" t="s">
        <v>62</v>
      </c>
      <c r="C43" s="61">
        <v>707.7</v>
      </c>
      <c r="D43" s="62">
        <v>643.1</v>
      </c>
      <c r="E43" s="62">
        <v>791.5</v>
      </c>
      <c r="F43" s="63">
        <v>729.5</v>
      </c>
    </row>
    <row r="44" spans="1:6" s="46" customFormat="1" ht="18.75">
      <c r="A44" s="67" t="s">
        <v>63</v>
      </c>
      <c r="B44" s="26" t="s">
        <v>64</v>
      </c>
      <c r="C44" s="47"/>
      <c r="D44" s="48"/>
      <c r="E44" s="48"/>
      <c r="F44" s="49"/>
    </row>
    <row r="45" spans="1:6" s="46" customFormat="1" ht="18.75">
      <c r="A45" s="25"/>
      <c r="B45" s="25"/>
      <c r="C45" s="47"/>
      <c r="D45" s="48"/>
      <c r="E45" s="48"/>
      <c r="F45" s="49"/>
    </row>
    <row r="46" spans="1:6" s="46" customFormat="1" ht="21.75">
      <c r="A46" s="68" t="s">
        <v>65</v>
      </c>
      <c r="B46" s="21" t="s">
        <v>66</v>
      </c>
      <c r="C46" s="47"/>
      <c r="D46" s="48"/>
      <c r="E46" s="48"/>
      <c r="F46" s="49"/>
    </row>
    <row r="47" spans="1:6" s="46" customFormat="1" ht="18.75">
      <c r="A47" s="25" t="s">
        <v>67</v>
      </c>
      <c r="B47" s="26" t="s">
        <v>68</v>
      </c>
      <c r="C47" s="47"/>
      <c r="D47" s="48"/>
      <c r="E47" s="48"/>
      <c r="F47" s="49"/>
    </row>
    <row r="48" spans="1:6" s="46" customFormat="1" ht="18.75">
      <c r="A48" s="25" t="s">
        <v>69</v>
      </c>
      <c r="B48" s="26" t="s">
        <v>70</v>
      </c>
      <c r="C48" s="47"/>
      <c r="D48" s="48"/>
      <c r="E48" s="48"/>
      <c r="F48" s="49"/>
    </row>
    <row r="49" spans="1:6" s="46" customFormat="1" ht="18.75">
      <c r="A49" s="25" t="s">
        <v>71</v>
      </c>
      <c r="B49" s="26" t="s">
        <v>72</v>
      </c>
      <c r="C49" s="47"/>
      <c r="D49" s="48"/>
      <c r="E49" s="48"/>
      <c r="F49" s="49"/>
    </row>
    <row r="50" spans="1:6" s="46" customFormat="1" ht="18.75">
      <c r="A50" s="25" t="s">
        <v>73</v>
      </c>
      <c r="B50" s="26" t="s">
        <v>74</v>
      </c>
      <c r="C50" s="47"/>
      <c r="D50" s="48"/>
      <c r="E50" s="48"/>
      <c r="F50" s="49"/>
    </row>
    <row r="51" spans="1:6" s="46" customFormat="1" ht="18.75">
      <c r="A51" s="25" t="s">
        <v>75</v>
      </c>
      <c r="B51" s="26" t="s">
        <v>76</v>
      </c>
      <c r="C51" s="47"/>
      <c r="D51" s="48"/>
      <c r="E51" s="48"/>
      <c r="F51" s="49"/>
    </row>
    <row r="52" spans="1:6" s="46" customFormat="1" ht="18.75">
      <c r="A52" s="25" t="s">
        <v>77</v>
      </c>
      <c r="B52" s="26" t="s">
        <v>78</v>
      </c>
      <c r="C52" s="47"/>
      <c r="D52" s="48"/>
      <c r="E52" s="48"/>
      <c r="F52" s="49"/>
    </row>
    <row r="53" spans="1:6" s="46" customFormat="1" ht="18.75">
      <c r="A53" s="25" t="s">
        <v>79</v>
      </c>
      <c r="B53" s="26" t="s">
        <v>80</v>
      </c>
      <c r="C53" s="47"/>
      <c r="D53" s="48"/>
      <c r="E53" s="48"/>
      <c r="F53" s="49"/>
    </row>
    <row r="54" spans="1:6" s="46" customFormat="1" ht="18.75">
      <c r="A54" s="25" t="s">
        <v>81</v>
      </c>
      <c r="B54" s="26" t="s">
        <v>82</v>
      </c>
      <c r="C54" s="47"/>
      <c r="D54" s="48"/>
      <c r="E54" s="48"/>
      <c r="F54" s="49"/>
    </row>
    <row r="55" spans="1:6" s="46" customFormat="1" ht="18.75">
      <c r="A55" s="25" t="s">
        <v>83</v>
      </c>
      <c r="B55" s="26" t="s">
        <v>84</v>
      </c>
      <c r="C55" s="47"/>
      <c r="D55" s="48"/>
      <c r="E55" s="48"/>
      <c r="F55" s="49"/>
    </row>
    <row r="56" spans="1:6" s="46" customFormat="1" ht="18.75">
      <c r="A56" s="25" t="s">
        <v>85</v>
      </c>
      <c r="B56" s="26" t="s">
        <v>86</v>
      </c>
      <c r="C56" s="47"/>
      <c r="D56" s="48"/>
      <c r="E56" s="48"/>
      <c r="F56" s="49"/>
    </row>
    <row r="57" spans="1:6" s="46" customFormat="1" ht="18.75">
      <c r="A57" s="25" t="s">
        <v>87</v>
      </c>
      <c r="B57" s="26" t="s">
        <v>88</v>
      </c>
      <c r="C57" s="47"/>
      <c r="D57" s="48"/>
      <c r="E57" s="48"/>
      <c r="F57" s="49"/>
    </row>
    <row r="58" spans="1:6" s="46" customFormat="1" ht="18.75">
      <c r="A58" s="25" t="s">
        <v>89</v>
      </c>
      <c r="B58" s="26" t="s">
        <v>90</v>
      </c>
      <c r="C58" s="47"/>
      <c r="D58" s="48"/>
      <c r="E58" s="48"/>
      <c r="F58" s="49"/>
    </row>
    <row r="59" spans="1:6" s="46" customFormat="1" ht="18.75">
      <c r="A59" s="25"/>
      <c r="B59" s="25"/>
      <c r="C59" s="47"/>
      <c r="D59" s="48"/>
      <c r="E59" s="48"/>
      <c r="F59" s="49"/>
    </row>
    <row r="60" spans="1:6" s="46" customFormat="1" ht="18.75">
      <c r="A60" s="20" t="s">
        <v>91</v>
      </c>
      <c r="B60" s="20" t="s">
        <v>92</v>
      </c>
      <c r="C60" s="69"/>
      <c r="F60" s="49"/>
    </row>
    <row r="61" spans="1:6" s="46" customFormat="1" ht="18.75">
      <c r="A61" s="20" t="s">
        <v>93</v>
      </c>
      <c r="B61" s="21" t="s">
        <v>94</v>
      </c>
      <c r="C61" s="33">
        <v>282</v>
      </c>
      <c r="D61" s="34">
        <v>282</v>
      </c>
      <c r="E61" s="34">
        <v>282</v>
      </c>
      <c r="F61" s="35">
        <v>282</v>
      </c>
    </row>
    <row r="62" spans="1:6" s="46" customFormat="1" ht="15.75">
      <c r="A62" s="45" t="s">
        <v>95</v>
      </c>
      <c r="B62" s="70" t="s">
        <v>96</v>
      </c>
      <c r="C62" s="27">
        <v>85</v>
      </c>
      <c r="D62" s="28">
        <v>85</v>
      </c>
      <c r="E62" s="28">
        <v>85</v>
      </c>
      <c r="F62" s="29">
        <v>85</v>
      </c>
    </row>
    <row r="63" spans="1:6" s="46" customFormat="1" ht="15.75">
      <c r="A63" s="45" t="s">
        <v>97</v>
      </c>
      <c r="B63" s="70" t="s">
        <v>98</v>
      </c>
      <c r="C63" s="27">
        <v>38</v>
      </c>
      <c r="D63" s="28">
        <v>38</v>
      </c>
      <c r="E63" s="28">
        <v>38</v>
      </c>
      <c r="F63" s="29">
        <v>38</v>
      </c>
    </row>
    <row r="64" spans="1:6" s="46" customFormat="1" ht="18.75">
      <c r="A64" s="25"/>
      <c r="B64" s="25"/>
      <c r="C64" s="27"/>
      <c r="D64" s="28"/>
      <c r="E64" s="28"/>
      <c r="F64" s="29"/>
    </row>
    <row r="65" spans="1:6" s="46" customFormat="1" ht="18.75">
      <c r="A65" s="20" t="s">
        <v>99</v>
      </c>
      <c r="B65" s="21" t="s">
        <v>100</v>
      </c>
      <c r="C65" s="33">
        <v>53644</v>
      </c>
      <c r="D65" s="34">
        <v>53644</v>
      </c>
      <c r="E65" s="34">
        <v>53644</v>
      </c>
      <c r="F65" s="35">
        <v>53644</v>
      </c>
    </row>
    <row r="66" spans="1:6" s="46" customFormat="1" ht="15.75">
      <c r="A66" s="45" t="s">
        <v>95</v>
      </c>
      <c r="B66" s="70" t="s">
        <v>96</v>
      </c>
      <c r="C66" s="27">
        <v>32208</v>
      </c>
      <c r="D66" s="28">
        <v>32208</v>
      </c>
      <c r="E66" s="28">
        <v>32208</v>
      </c>
      <c r="F66" s="29">
        <v>32208</v>
      </c>
    </row>
    <row r="67" spans="1:6" s="46" customFormat="1" ht="15.75">
      <c r="A67" s="71" t="s">
        <v>97</v>
      </c>
      <c r="B67" s="72" t="s">
        <v>98</v>
      </c>
      <c r="C67" s="73">
        <v>6064</v>
      </c>
      <c r="D67" s="74">
        <v>6064</v>
      </c>
      <c r="E67" s="74">
        <v>6064</v>
      </c>
      <c r="F67" s="75">
        <v>6064</v>
      </c>
    </row>
    <row r="68" spans="1:6" s="46" customFormat="1">
      <c r="A68" s="76" t="s">
        <v>101</v>
      </c>
      <c r="B68" s="77" t="s">
        <v>102</v>
      </c>
    </row>
    <row r="69" spans="1:6" s="46" customFormat="1" ht="18">
      <c r="A69" s="78" t="s">
        <v>103</v>
      </c>
      <c r="B69" s="79" t="s">
        <v>104</v>
      </c>
    </row>
    <row r="70" spans="1:6" s="46" customFormat="1" ht="18">
      <c r="A70" s="80" t="s">
        <v>105</v>
      </c>
      <c r="B70" s="81" t="s">
        <v>106</v>
      </c>
    </row>
    <row r="71" spans="1:6" s="46" customFormat="1">
      <c r="A71" s="82" t="s">
        <v>107</v>
      </c>
      <c r="B71" s="83" t="s">
        <v>108</v>
      </c>
    </row>
    <row r="72" spans="1:6" s="46" customFormat="1">
      <c r="A72" s="82" t="s">
        <v>109</v>
      </c>
      <c r="B72" s="83" t="s">
        <v>110</v>
      </c>
    </row>
    <row r="73" spans="1:6" s="46" customFormat="1" ht="18">
      <c r="A73" s="80" t="s">
        <v>111</v>
      </c>
      <c r="B73" s="81" t="s">
        <v>112</v>
      </c>
    </row>
    <row r="74" spans="1:6" s="46" customFormat="1" ht="18">
      <c r="A74" s="80" t="s">
        <v>113</v>
      </c>
      <c r="B74" s="81" t="s">
        <v>114</v>
      </c>
    </row>
    <row r="75" spans="1:6" s="46" customFormat="1" ht="18">
      <c r="A75" s="84" t="s">
        <v>115</v>
      </c>
      <c r="B75" s="81" t="s">
        <v>116</v>
      </c>
    </row>
    <row r="76" spans="1:6" s="46" customFormat="1" ht="15.75">
      <c r="A76" s="82" t="s">
        <v>117</v>
      </c>
      <c r="B76" s="83" t="s">
        <v>118</v>
      </c>
    </row>
    <row r="77" spans="1:6" s="46" customFormat="1" ht="15.75">
      <c r="A77" s="85" t="s">
        <v>119</v>
      </c>
      <c r="B77" s="86" t="s">
        <v>120</v>
      </c>
    </row>
    <row r="78" spans="1:6" s="46" customFormat="1" ht="15.75">
      <c r="A78" s="87" t="s">
        <v>121</v>
      </c>
      <c r="B78" s="88" t="s">
        <v>122</v>
      </c>
    </row>
    <row r="79" spans="1:6" s="46" customFormat="1">
      <c r="A79" s="87" t="s">
        <v>123</v>
      </c>
      <c r="B79" s="83" t="s">
        <v>124</v>
      </c>
    </row>
    <row r="80" spans="1:6" s="46" customFormat="1">
      <c r="A80" s="87" t="s">
        <v>125</v>
      </c>
      <c r="B80" s="83" t="s">
        <v>126</v>
      </c>
    </row>
    <row r="81" spans="1:2" s="46" customFormat="1">
      <c r="A81" s="85" t="s">
        <v>127</v>
      </c>
      <c r="B81" s="83" t="s">
        <v>128</v>
      </c>
    </row>
    <row r="82" spans="1:2" s="46" customFormat="1" ht="18">
      <c r="A82" s="87" t="s">
        <v>129</v>
      </c>
      <c r="B82" s="89" t="s">
        <v>130</v>
      </c>
    </row>
    <row r="83" spans="1:2" s="46" customFormat="1">
      <c r="A83" s="90"/>
      <c r="B83" s="91"/>
    </row>
    <row r="84" spans="1:2" s="46" customFormat="1">
      <c r="A84" s="92"/>
      <c r="B84" s="93"/>
    </row>
    <row r="85" spans="1:2" s="46" customFormat="1">
      <c r="A85" s="94"/>
      <c r="B85" s="93"/>
    </row>
    <row r="86" spans="1:2" s="46" customFormat="1">
      <c r="A86" s="94"/>
      <c r="B86" s="93"/>
    </row>
    <row r="87" spans="1:2" s="46" customFormat="1">
      <c r="A87" s="94"/>
      <c r="B87" s="93"/>
    </row>
    <row r="88" spans="1:2" s="46" customFormat="1">
      <c r="A88" s="94"/>
      <c r="B88" s="93"/>
    </row>
    <row r="89" spans="1:2" s="46" customFormat="1">
      <c r="A89" s="94"/>
      <c r="B89" s="93"/>
    </row>
    <row r="90" spans="1:2" s="46" customFormat="1">
      <c r="A90" s="94"/>
      <c r="B90" s="93"/>
    </row>
    <row r="91" spans="1:2" s="46" customFormat="1">
      <c r="A91" s="94"/>
      <c r="B91" s="93"/>
    </row>
    <row r="92" spans="1:2" s="46" customFormat="1">
      <c r="A92" s="94"/>
      <c r="B92" s="93"/>
    </row>
    <row r="93" spans="1:2" s="46" customFormat="1">
      <c r="A93" s="94"/>
      <c r="B93" s="93"/>
    </row>
    <row r="94" spans="1:2" s="46" customFormat="1">
      <c r="A94" s="94"/>
      <c r="B94" s="93"/>
    </row>
    <row r="95" spans="1:2" s="46" customFormat="1">
      <c r="A95" s="94"/>
      <c r="B95" s="93"/>
    </row>
    <row r="96" spans="1:2" s="46" customFormat="1">
      <c r="A96" s="94"/>
      <c r="B96" s="93"/>
    </row>
    <row r="97" spans="1:2" s="46" customFormat="1">
      <c r="A97" s="94"/>
      <c r="B97" s="93"/>
    </row>
    <row r="98" spans="1:2" s="46" customFormat="1">
      <c r="A98" s="94"/>
      <c r="B98" s="93"/>
    </row>
    <row r="99" spans="1:2" s="46" customFormat="1">
      <c r="A99" s="94"/>
      <c r="B99" s="93"/>
    </row>
    <row r="100" spans="1:2" s="46" customFormat="1">
      <c r="A100" s="94"/>
      <c r="B100" s="93"/>
    </row>
    <row r="101" spans="1:2" s="46" customFormat="1">
      <c r="A101" s="94"/>
      <c r="B101" s="93"/>
    </row>
    <row r="102" spans="1:2" s="46" customFormat="1">
      <c r="A102" s="94"/>
      <c r="B102" s="93"/>
    </row>
    <row r="103" spans="1:2" s="46" customFormat="1">
      <c r="A103" s="94"/>
      <c r="B103" s="93"/>
    </row>
    <row r="104" spans="1:2" s="46" customFormat="1">
      <c r="A104" s="94"/>
      <c r="B104" s="93"/>
    </row>
    <row r="105" spans="1:2" s="46" customFormat="1">
      <c r="A105" s="94"/>
      <c r="B105" s="93"/>
    </row>
    <row r="106" spans="1:2" s="46" customFormat="1">
      <c r="A106" s="94"/>
      <c r="B106" s="93"/>
    </row>
    <row r="107" spans="1:2" s="46" customFormat="1">
      <c r="A107" s="94"/>
      <c r="B107" s="93"/>
    </row>
    <row r="108" spans="1:2" s="46" customFormat="1">
      <c r="A108" s="94"/>
      <c r="B108" s="93"/>
    </row>
    <row r="109" spans="1:2" s="46" customFormat="1">
      <c r="A109" s="94"/>
      <c r="B109" s="93"/>
    </row>
    <row r="110" spans="1:2" s="46" customFormat="1">
      <c r="A110" s="94"/>
      <c r="B110" s="93"/>
    </row>
    <row r="111" spans="1:2" s="46" customFormat="1">
      <c r="A111" s="94"/>
      <c r="B111" s="93"/>
    </row>
    <row r="112" spans="1:2" s="46" customFormat="1">
      <c r="A112" s="94"/>
      <c r="B112" s="93"/>
    </row>
    <row r="113" spans="1:2" s="46" customFormat="1">
      <c r="A113" s="94"/>
      <c r="B113" s="93"/>
    </row>
    <row r="114" spans="1:2" s="46" customFormat="1">
      <c r="A114" s="94"/>
      <c r="B114" s="93"/>
    </row>
    <row r="115" spans="1:2" s="46" customFormat="1">
      <c r="A115" s="94"/>
      <c r="B115" s="93"/>
    </row>
    <row r="116" spans="1:2" s="46" customFormat="1">
      <c r="A116" s="94"/>
      <c r="B116" s="93"/>
    </row>
    <row r="117" spans="1:2" s="46" customFormat="1">
      <c r="A117" s="94"/>
      <c r="B117" s="93"/>
    </row>
    <row r="118" spans="1:2" s="46" customFormat="1">
      <c r="A118" s="94"/>
      <c r="B118" s="93"/>
    </row>
    <row r="119" spans="1:2" s="46" customFormat="1">
      <c r="A119" s="94"/>
      <c r="B119" s="93"/>
    </row>
    <row r="120" spans="1:2" s="46" customFormat="1">
      <c r="A120" s="94"/>
      <c r="B120" s="93"/>
    </row>
    <row r="121" spans="1:2" s="46" customFormat="1">
      <c r="A121" s="94"/>
      <c r="B121" s="93"/>
    </row>
    <row r="122" spans="1:2" s="46" customFormat="1">
      <c r="A122" s="94"/>
      <c r="B122" s="93"/>
    </row>
    <row r="123" spans="1:2" s="46" customFormat="1">
      <c r="A123" s="94"/>
      <c r="B123" s="93"/>
    </row>
    <row r="124" spans="1:2" s="46" customFormat="1">
      <c r="A124" s="94"/>
      <c r="B124" s="93"/>
    </row>
    <row r="125" spans="1:2" s="46" customFormat="1">
      <c r="A125" s="94"/>
      <c r="B125" s="93"/>
    </row>
    <row r="126" spans="1:2" s="46" customFormat="1">
      <c r="A126" s="94"/>
      <c r="B126" s="93"/>
    </row>
    <row r="127" spans="1:2" s="46" customFormat="1">
      <c r="A127" s="94"/>
      <c r="B127" s="93"/>
    </row>
    <row r="128" spans="1:2" s="46" customFormat="1">
      <c r="A128" s="94"/>
      <c r="B128" s="93"/>
    </row>
    <row r="129" spans="1:2" s="46" customFormat="1">
      <c r="A129" s="94"/>
      <c r="B129" s="93"/>
    </row>
    <row r="130" spans="1:2" s="46" customFormat="1">
      <c r="A130" s="94"/>
      <c r="B130" s="93"/>
    </row>
    <row r="131" spans="1:2" s="46" customFormat="1">
      <c r="A131" s="94"/>
      <c r="B131" s="93"/>
    </row>
    <row r="132" spans="1:2" s="46" customFormat="1">
      <c r="A132" s="94"/>
      <c r="B132" s="93"/>
    </row>
    <row r="133" spans="1:2" s="46" customFormat="1">
      <c r="A133" s="94"/>
      <c r="B133" s="93"/>
    </row>
    <row r="134" spans="1:2" s="46" customFormat="1">
      <c r="A134" s="94"/>
      <c r="B134" s="93"/>
    </row>
    <row r="135" spans="1:2" s="46" customFormat="1">
      <c r="A135" s="94"/>
      <c r="B135" s="93"/>
    </row>
    <row r="136" spans="1:2" s="46" customFormat="1">
      <c r="A136" s="94"/>
      <c r="B136" s="93"/>
    </row>
    <row r="137" spans="1:2" s="46" customFormat="1">
      <c r="A137" s="94"/>
      <c r="B137" s="93"/>
    </row>
    <row r="138" spans="1:2" s="46" customFormat="1">
      <c r="A138" s="94"/>
      <c r="B138" s="93"/>
    </row>
    <row r="139" spans="1:2" s="46" customFormat="1">
      <c r="A139" s="94"/>
      <c r="B139" s="93"/>
    </row>
    <row r="140" spans="1:2" s="46" customFormat="1">
      <c r="A140" s="94"/>
      <c r="B140" s="93"/>
    </row>
    <row r="141" spans="1:2" s="46" customFormat="1">
      <c r="A141" s="94"/>
      <c r="B141" s="93"/>
    </row>
    <row r="142" spans="1:2" s="46" customFormat="1">
      <c r="A142" s="94"/>
      <c r="B142" s="93"/>
    </row>
    <row r="143" spans="1:2" s="46" customFormat="1">
      <c r="A143" s="94"/>
      <c r="B143" s="93"/>
    </row>
    <row r="144" spans="1:2" s="46" customFormat="1">
      <c r="A144" s="94"/>
      <c r="B144" s="93"/>
    </row>
    <row r="145" spans="1:2" s="46" customFormat="1">
      <c r="A145" s="94"/>
      <c r="B145" s="93"/>
    </row>
    <row r="146" spans="1:2" s="46" customFormat="1">
      <c r="A146" s="94"/>
      <c r="B146" s="93"/>
    </row>
    <row r="147" spans="1:2" s="46" customFormat="1">
      <c r="A147" s="94"/>
      <c r="B147" s="93"/>
    </row>
    <row r="148" spans="1:2" s="46" customFormat="1">
      <c r="A148" s="94"/>
      <c r="B148" s="93"/>
    </row>
    <row r="149" spans="1:2" s="46" customFormat="1">
      <c r="A149" s="94"/>
      <c r="B149" s="93"/>
    </row>
    <row r="150" spans="1:2" s="46" customFormat="1">
      <c r="A150" s="94"/>
      <c r="B150" s="93"/>
    </row>
    <row r="151" spans="1:2" s="46" customFormat="1">
      <c r="A151" s="94"/>
      <c r="B151" s="93"/>
    </row>
    <row r="152" spans="1:2" s="46" customFormat="1">
      <c r="A152" s="94"/>
      <c r="B152" s="93"/>
    </row>
    <row r="153" spans="1:2" s="46" customFormat="1">
      <c r="A153" s="94"/>
      <c r="B153" s="93"/>
    </row>
    <row r="154" spans="1:2" s="46" customFormat="1">
      <c r="A154" s="94"/>
      <c r="B154" s="93"/>
    </row>
    <row r="155" spans="1:2" s="46" customFormat="1">
      <c r="A155" s="94"/>
      <c r="B155" s="93"/>
    </row>
    <row r="156" spans="1:2" s="46" customFormat="1">
      <c r="A156" s="94"/>
      <c r="B156" s="93"/>
    </row>
    <row r="157" spans="1:2" s="46" customFormat="1">
      <c r="A157" s="94"/>
      <c r="B157" s="93"/>
    </row>
    <row r="158" spans="1:2" s="46" customFormat="1">
      <c r="A158" s="94"/>
      <c r="B158" s="93"/>
    </row>
    <row r="159" spans="1:2" s="46" customFormat="1">
      <c r="A159" s="94"/>
      <c r="B159" s="93"/>
    </row>
    <row r="160" spans="1:2" s="46" customFormat="1">
      <c r="A160" s="94"/>
      <c r="B160" s="93"/>
    </row>
    <row r="161" spans="1:2" s="46" customFormat="1">
      <c r="A161" s="94"/>
      <c r="B161" s="93"/>
    </row>
    <row r="162" spans="1:2" s="46" customFormat="1">
      <c r="A162" s="94"/>
      <c r="B162" s="93"/>
    </row>
    <row r="163" spans="1:2" s="46" customFormat="1">
      <c r="A163" s="94"/>
      <c r="B163" s="93"/>
    </row>
    <row r="164" spans="1:2" s="46" customFormat="1">
      <c r="A164" s="94"/>
      <c r="B164" s="93"/>
    </row>
    <row r="165" spans="1:2" s="46" customFormat="1">
      <c r="A165" s="94"/>
      <c r="B165" s="93"/>
    </row>
    <row r="166" spans="1:2" s="46" customFormat="1">
      <c r="A166" s="94"/>
      <c r="B166" s="93"/>
    </row>
    <row r="167" spans="1:2" s="46" customFormat="1">
      <c r="A167" s="94"/>
      <c r="B167" s="93"/>
    </row>
    <row r="168" spans="1:2" s="46" customFormat="1">
      <c r="A168" s="94"/>
      <c r="B168" s="93"/>
    </row>
    <row r="169" spans="1:2" s="46" customFormat="1">
      <c r="A169" s="94"/>
      <c r="B169" s="93"/>
    </row>
    <row r="170" spans="1:2" s="46" customFormat="1">
      <c r="A170" s="94"/>
      <c r="B170" s="93"/>
    </row>
    <row r="171" spans="1:2" s="46" customFormat="1">
      <c r="A171" s="94"/>
      <c r="B171" s="93"/>
    </row>
    <row r="172" spans="1:2" s="46" customFormat="1">
      <c r="A172" s="94"/>
      <c r="B172" s="93"/>
    </row>
    <row r="173" spans="1:2" s="46" customFormat="1">
      <c r="A173" s="94"/>
      <c r="B173" s="93"/>
    </row>
    <row r="174" spans="1:2" s="46" customFormat="1">
      <c r="A174" s="94"/>
      <c r="B174" s="93"/>
    </row>
    <row r="175" spans="1:2" s="46" customFormat="1">
      <c r="A175" s="94"/>
      <c r="B175" s="93"/>
    </row>
    <row r="176" spans="1:2" s="46" customFormat="1">
      <c r="A176" s="94"/>
      <c r="B176" s="93"/>
    </row>
    <row r="177" spans="1:2" s="46" customFormat="1">
      <c r="A177" s="94"/>
      <c r="B177" s="93"/>
    </row>
    <row r="178" spans="1:2" s="46" customFormat="1">
      <c r="A178" s="94"/>
      <c r="B178" s="93"/>
    </row>
    <row r="179" spans="1:2" s="46" customFormat="1">
      <c r="A179" s="94"/>
      <c r="B179" s="93"/>
    </row>
    <row r="180" spans="1:2" s="46" customFormat="1">
      <c r="A180" s="94"/>
      <c r="B180" s="93"/>
    </row>
    <row r="181" spans="1:2" s="46" customFormat="1">
      <c r="A181" s="94"/>
      <c r="B181" s="93"/>
    </row>
    <row r="182" spans="1:2" s="46" customFormat="1">
      <c r="A182" s="94"/>
      <c r="B182" s="93"/>
    </row>
    <row r="183" spans="1:2" s="46" customFormat="1">
      <c r="A183" s="94"/>
      <c r="B183" s="93"/>
    </row>
    <row r="184" spans="1:2" s="46" customFormat="1">
      <c r="A184" s="94"/>
      <c r="B184" s="93"/>
    </row>
    <row r="185" spans="1:2" s="46" customFormat="1">
      <c r="A185" s="94"/>
      <c r="B185" s="93"/>
    </row>
    <row r="186" spans="1:2" s="46" customFormat="1">
      <c r="A186" s="94"/>
      <c r="B186" s="93"/>
    </row>
    <row r="187" spans="1:2" s="46" customFormat="1">
      <c r="A187" s="94"/>
      <c r="B187" s="93"/>
    </row>
    <row r="188" spans="1:2" s="46" customFormat="1">
      <c r="A188" s="94"/>
      <c r="B188" s="93"/>
    </row>
    <row r="189" spans="1:2" s="46" customFormat="1">
      <c r="A189" s="94"/>
      <c r="B189" s="93"/>
    </row>
    <row r="190" spans="1:2" s="46" customFormat="1">
      <c r="A190" s="94"/>
      <c r="B190" s="93"/>
    </row>
    <row r="191" spans="1:2" s="46" customFormat="1">
      <c r="A191" s="94"/>
      <c r="B191" s="93"/>
    </row>
    <row r="192" spans="1:2" s="46" customFormat="1">
      <c r="A192" s="94"/>
      <c r="B192" s="93"/>
    </row>
    <row r="193" spans="1:2" s="46" customFormat="1">
      <c r="A193" s="94"/>
      <c r="B193" s="93"/>
    </row>
    <row r="194" spans="1:2" s="46" customFormat="1">
      <c r="A194" s="94"/>
      <c r="B194" s="93"/>
    </row>
    <row r="195" spans="1:2" s="46" customFormat="1">
      <c r="A195" s="94"/>
      <c r="B195" s="93"/>
    </row>
    <row r="196" spans="1:2" s="46" customFormat="1">
      <c r="A196" s="94"/>
      <c r="B196" s="93"/>
    </row>
    <row r="197" spans="1:2" s="46" customFormat="1">
      <c r="A197" s="94"/>
      <c r="B197" s="93"/>
    </row>
    <row r="198" spans="1:2" s="46" customFormat="1">
      <c r="A198" s="94"/>
      <c r="B198" s="93"/>
    </row>
    <row r="199" spans="1:2" s="46" customFormat="1">
      <c r="A199" s="94"/>
      <c r="B199" s="93"/>
    </row>
    <row r="200" spans="1:2" s="46" customFormat="1">
      <c r="A200" s="94"/>
      <c r="B200" s="93"/>
    </row>
    <row r="201" spans="1:2" s="46" customFormat="1">
      <c r="A201" s="94"/>
      <c r="B201" s="93"/>
    </row>
    <row r="202" spans="1:2" s="46" customFormat="1">
      <c r="A202" s="94"/>
      <c r="B202" s="93"/>
    </row>
    <row r="203" spans="1:2" s="46" customFormat="1">
      <c r="A203" s="94"/>
      <c r="B203" s="93"/>
    </row>
    <row r="204" spans="1:2" s="46" customFormat="1">
      <c r="A204" s="94"/>
      <c r="B204" s="93"/>
    </row>
    <row r="205" spans="1:2" s="46" customFormat="1">
      <c r="A205" s="94"/>
      <c r="B205" s="93"/>
    </row>
    <row r="206" spans="1:2" s="46" customFormat="1">
      <c r="A206" s="94"/>
      <c r="B206" s="93"/>
    </row>
    <row r="207" spans="1:2" s="46" customFormat="1">
      <c r="A207" s="94"/>
      <c r="B207" s="93"/>
    </row>
    <row r="208" spans="1:2" s="46" customFormat="1">
      <c r="A208" s="94"/>
      <c r="B208" s="93"/>
    </row>
    <row r="209" spans="1:2" s="46" customFormat="1">
      <c r="A209" s="94"/>
      <c r="B209" s="93"/>
    </row>
    <row r="210" spans="1:2" s="46" customFormat="1">
      <c r="A210" s="94"/>
      <c r="B210" s="93"/>
    </row>
    <row r="211" spans="1:2" s="46" customFormat="1">
      <c r="A211" s="94"/>
      <c r="B211" s="93"/>
    </row>
    <row r="212" spans="1:2" s="46" customFormat="1">
      <c r="A212" s="94"/>
      <c r="B212" s="93"/>
    </row>
    <row r="213" spans="1:2" s="46" customFormat="1">
      <c r="A213" s="94"/>
      <c r="B213" s="93"/>
    </row>
    <row r="214" spans="1:2" s="46" customFormat="1">
      <c r="A214" s="94"/>
      <c r="B214" s="93"/>
    </row>
    <row r="215" spans="1:2" s="46" customFormat="1">
      <c r="A215" s="94"/>
      <c r="B215" s="93"/>
    </row>
    <row r="216" spans="1:2" s="46" customFormat="1">
      <c r="A216" s="94"/>
      <c r="B216" s="93"/>
    </row>
    <row r="217" spans="1:2" s="46" customFormat="1">
      <c r="A217" s="94"/>
      <c r="B217" s="93"/>
    </row>
    <row r="218" spans="1:2" s="46" customFormat="1">
      <c r="A218" s="94"/>
      <c r="B218" s="93"/>
    </row>
    <row r="219" spans="1:2" s="46" customFormat="1">
      <c r="A219" s="94"/>
      <c r="B219" s="93"/>
    </row>
    <row r="220" spans="1:2" s="46" customFormat="1">
      <c r="A220" s="94"/>
      <c r="B220" s="93"/>
    </row>
    <row r="221" spans="1:2" s="46" customFormat="1">
      <c r="A221" s="94"/>
      <c r="B221" s="93"/>
    </row>
    <row r="222" spans="1:2" s="46" customFormat="1">
      <c r="A222" s="94"/>
      <c r="B222" s="93"/>
    </row>
    <row r="223" spans="1:2" s="46" customFormat="1">
      <c r="A223" s="94"/>
      <c r="B223" s="93"/>
    </row>
    <row r="224" spans="1:2" s="46" customFormat="1">
      <c r="A224" s="94"/>
      <c r="B224" s="93"/>
    </row>
    <row r="225" spans="1:2" s="46" customFormat="1">
      <c r="A225" s="94"/>
      <c r="B225" s="93"/>
    </row>
    <row r="226" spans="1:2" s="46" customFormat="1">
      <c r="A226" s="94"/>
      <c r="B226" s="93"/>
    </row>
    <row r="227" spans="1:2" s="46" customFormat="1">
      <c r="A227" s="94"/>
      <c r="B227" s="93"/>
    </row>
    <row r="228" spans="1:2" s="46" customFormat="1">
      <c r="A228" s="94"/>
      <c r="B228" s="93"/>
    </row>
    <row r="229" spans="1:2" s="46" customFormat="1">
      <c r="A229" s="94"/>
      <c r="B229" s="93"/>
    </row>
    <row r="230" spans="1:2" s="46" customFormat="1">
      <c r="A230" s="94"/>
      <c r="B230" s="93"/>
    </row>
    <row r="231" spans="1:2" s="46" customFormat="1">
      <c r="A231" s="94"/>
      <c r="B231" s="93"/>
    </row>
    <row r="232" spans="1:2" s="46" customFormat="1">
      <c r="A232" s="94"/>
      <c r="B232" s="93"/>
    </row>
    <row r="233" spans="1:2" s="46" customFormat="1">
      <c r="A233" s="94"/>
      <c r="B233" s="93"/>
    </row>
    <row r="234" spans="1:2" s="46" customFormat="1">
      <c r="A234" s="94"/>
      <c r="B234" s="93"/>
    </row>
    <row r="235" spans="1:2" s="46" customFormat="1">
      <c r="A235" s="94"/>
      <c r="B235" s="93"/>
    </row>
    <row r="236" spans="1:2" s="46" customFormat="1">
      <c r="A236" s="94"/>
      <c r="B236" s="93"/>
    </row>
    <row r="237" spans="1:2" s="46" customFormat="1">
      <c r="A237" s="94"/>
      <c r="B237" s="93"/>
    </row>
    <row r="238" spans="1:2" s="46" customFormat="1">
      <c r="A238" s="94"/>
      <c r="B238" s="93"/>
    </row>
    <row r="239" spans="1:2" s="46" customFormat="1">
      <c r="A239" s="94"/>
      <c r="B239" s="93"/>
    </row>
    <row r="240" spans="1:2" s="46" customFormat="1">
      <c r="A240" s="94"/>
      <c r="B240" s="93"/>
    </row>
    <row r="241" spans="1:2" s="46" customFormat="1">
      <c r="A241" s="94"/>
      <c r="B241" s="93"/>
    </row>
    <row r="242" spans="1:2" s="46" customFormat="1">
      <c r="A242" s="94"/>
      <c r="B242" s="93"/>
    </row>
    <row r="243" spans="1:2" s="46" customFormat="1">
      <c r="A243" s="94"/>
      <c r="B243" s="93"/>
    </row>
    <row r="244" spans="1:2" s="46" customFormat="1">
      <c r="A244" s="94"/>
      <c r="B244" s="93"/>
    </row>
    <row r="245" spans="1:2" s="46" customFormat="1">
      <c r="A245" s="94"/>
      <c r="B245" s="93"/>
    </row>
    <row r="246" spans="1:2" s="46" customFormat="1">
      <c r="A246" s="94"/>
      <c r="B246" s="93"/>
    </row>
    <row r="247" spans="1:2" s="46" customFormat="1">
      <c r="A247" s="94"/>
      <c r="B247" s="93"/>
    </row>
    <row r="248" spans="1:2" s="46" customFormat="1">
      <c r="A248" s="94"/>
      <c r="B248" s="93"/>
    </row>
    <row r="249" spans="1:2" s="46" customFormat="1">
      <c r="A249" s="94"/>
      <c r="B249" s="93"/>
    </row>
    <row r="250" spans="1:2" s="46" customFormat="1">
      <c r="A250" s="94"/>
      <c r="B250" s="93"/>
    </row>
    <row r="251" spans="1:2" s="46" customFormat="1">
      <c r="A251" s="94"/>
      <c r="B251" s="93"/>
    </row>
    <row r="252" spans="1:2" s="46" customFormat="1">
      <c r="A252" s="94"/>
      <c r="B252" s="93"/>
    </row>
    <row r="253" spans="1:2" s="46" customFormat="1">
      <c r="A253" s="94"/>
      <c r="B253" s="93"/>
    </row>
    <row r="254" spans="1:2" s="46" customFormat="1">
      <c r="A254" s="94"/>
      <c r="B254" s="93"/>
    </row>
    <row r="255" spans="1:2" s="46" customFormat="1">
      <c r="A255" s="94"/>
      <c r="B255" s="93"/>
    </row>
    <row r="256" spans="1:2" s="46" customFormat="1">
      <c r="A256" s="94"/>
      <c r="B256" s="93"/>
    </row>
    <row r="257" spans="1:2" s="46" customFormat="1">
      <c r="A257" s="94"/>
      <c r="B257" s="93"/>
    </row>
    <row r="258" spans="1:2" s="46" customFormat="1">
      <c r="A258" s="94"/>
      <c r="B258" s="93"/>
    </row>
    <row r="259" spans="1:2" s="46" customFormat="1">
      <c r="A259" s="94"/>
      <c r="B259" s="93"/>
    </row>
    <row r="260" spans="1:2" s="46" customFormat="1">
      <c r="A260" s="94"/>
      <c r="B260" s="93"/>
    </row>
    <row r="261" spans="1:2" s="46" customFormat="1">
      <c r="A261" s="94"/>
      <c r="B261" s="93"/>
    </row>
    <row r="262" spans="1:2" s="46" customFormat="1">
      <c r="A262" s="94"/>
      <c r="B262" s="93"/>
    </row>
    <row r="263" spans="1:2" s="46" customFormat="1">
      <c r="A263" s="94"/>
      <c r="B263" s="93"/>
    </row>
    <row r="264" spans="1:2" s="46" customFormat="1">
      <c r="A264" s="94"/>
      <c r="B264" s="93"/>
    </row>
    <row r="265" spans="1:2" s="46" customFormat="1">
      <c r="A265" s="94"/>
      <c r="B265" s="93"/>
    </row>
    <row r="266" spans="1:2" s="46" customFormat="1">
      <c r="A266" s="94"/>
      <c r="B266" s="93"/>
    </row>
    <row r="267" spans="1:2" s="46" customFormat="1">
      <c r="A267" s="94"/>
      <c r="B267" s="93"/>
    </row>
    <row r="268" spans="1:2" s="46" customFormat="1">
      <c r="A268" s="94"/>
      <c r="B268" s="93"/>
    </row>
    <row r="269" spans="1:2" s="46" customFormat="1">
      <c r="A269" s="94"/>
      <c r="B269" s="93"/>
    </row>
    <row r="270" spans="1:2" s="46" customFormat="1">
      <c r="A270" s="94"/>
      <c r="B270" s="93"/>
    </row>
    <row r="271" spans="1:2" s="46" customFormat="1">
      <c r="A271" s="94"/>
      <c r="B271" s="93"/>
    </row>
    <row r="272" spans="1:2" s="46" customFormat="1">
      <c r="A272" s="94"/>
      <c r="B272" s="93"/>
    </row>
    <row r="273" spans="1:2" s="46" customFormat="1">
      <c r="A273" s="94"/>
      <c r="B273" s="93"/>
    </row>
    <row r="274" spans="1:2" s="46" customFormat="1">
      <c r="A274" s="94"/>
      <c r="B274" s="93"/>
    </row>
    <row r="275" spans="1:2" s="46" customFormat="1">
      <c r="A275" s="94"/>
      <c r="B275" s="93"/>
    </row>
    <row r="276" spans="1:2" s="46" customFormat="1">
      <c r="A276" s="94"/>
      <c r="B276" s="93"/>
    </row>
    <row r="277" spans="1:2" s="46" customFormat="1">
      <c r="A277" s="94"/>
      <c r="B277" s="93"/>
    </row>
    <row r="278" spans="1:2" s="46" customFormat="1">
      <c r="A278" s="94"/>
      <c r="B278" s="93"/>
    </row>
    <row r="279" spans="1:2" s="46" customFormat="1">
      <c r="A279" s="94"/>
      <c r="B279" s="93"/>
    </row>
    <row r="280" spans="1:2" s="46" customFormat="1">
      <c r="A280" s="94"/>
      <c r="B280" s="93"/>
    </row>
    <row r="281" spans="1:2" s="46" customFormat="1">
      <c r="A281" s="94"/>
      <c r="B281" s="93"/>
    </row>
    <row r="282" spans="1:2" s="46" customFormat="1">
      <c r="A282" s="94"/>
      <c r="B282" s="93"/>
    </row>
    <row r="283" spans="1:2" s="46" customFormat="1">
      <c r="A283" s="94"/>
      <c r="B283" s="93"/>
    </row>
    <row r="284" spans="1:2" s="46" customFormat="1">
      <c r="A284" s="94"/>
      <c r="B284" s="93"/>
    </row>
    <row r="285" spans="1:2" s="46" customFormat="1">
      <c r="A285" s="94"/>
      <c r="B285" s="93"/>
    </row>
    <row r="286" spans="1:2" s="46" customFormat="1">
      <c r="A286" s="94"/>
      <c r="B286" s="93"/>
    </row>
    <row r="287" spans="1:2" s="46" customFormat="1">
      <c r="A287" s="94"/>
      <c r="B287" s="93"/>
    </row>
    <row r="288" spans="1:2" s="46" customFormat="1">
      <c r="A288" s="94"/>
      <c r="B288" s="93"/>
    </row>
    <row r="289" spans="1:2" s="46" customFormat="1">
      <c r="A289" s="94"/>
      <c r="B289" s="93"/>
    </row>
    <row r="290" spans="1:2" s="46" customFormat="1">
      <c r="A290" s="94"/>
      <c r="B290" s="93"/>
    </row>
    <row r="291" spans="1:2" s="46" customFormat="1">
      <c r="A291" s="94"/>
      <c r="B291" s="93"/>
    </row>
    <row r="292" spans="1:2" s="46" customFormat="1">
      <c r="A292" s="94"/>
      <c r="B292" s="93"/>
    </row>
    <row r="293" spans="1:2" s="46" customFormat="1">
      <c r="A293" s="94"/>
      <c r="B293" s="93"/>
    </row>
    <row r="294" spans="1:2" s="46" customFormat="1">
      <c r="A294" s="94"/>
      <c r="B294" s="93"/>
    </row>
    <row r="295" spans="1:2" s="46" customFormat="1">
      <c r="A295" s="94"/>
      <c r="B295" s="93"/>
    </row>
    <row r="296" spans="1:2" s="46" customFormat="1">
      <c r="A296" s="94"/>
      <c r="B296" s="93"/>
    </row>
    <row r="297" spans="1:2" s="46" customFormat="1">
      <c r="A297" s="94"/>
      <c r="B297" s="93"/>
    </row>
    <row r="298" spans="1:2" s="46" customFormat="1">
      <c r="A298" s="94"/>
      <c r="B298" s="93"/>
    </row>
    <row r="299" spans="1:2" s="46" customFormat="1">
      <c r="A299" s="94"/>
      <c r="B299" s="93"/>
    </row>
    <row r="300" spans="1:2" s="46" customFormat="1">
      <c r="A300" s="94"/>
      <c r="B300" s="93"/>
    </row>
    <row r="301" spans="1:2" s="46" customFormat="1">
      <c r="A301" s="94"/>
      <c r="B301" s="93"/>
    </row>
    <row r="302" spans="1:2" s="46" customFormat="1">
      <c r="A302" s="94"/>
      <c r="B302" s="93"/>
    </row>
    <row r="303" spans="1:2" s="46" customFormat="1">
      <c r="A303" s="94"/>
      <c r="B303" s="93"/>
    </row>
    <row r="304" spans="1:2" s="46" customFormat="1">
      <c r="A304" s="94"/>
      <c r="B304" s="93"/>
    </row>
    <row r="305" spans="1:2" s="46" customFormat="1">
      <c r="A305" s="94"/>
      <c r="B305" s="93"/>
    </row>
    <row r="306" spans="1:2" s="46" customFormat="1">
      <c r="A306" s="94"/>
      <c r="B306" s="93"/>
    </row>
    <row r="307" spans="1:2" s="46" customFormat="1">
      <c r="A307" s="94"/>
      <c r="B307" s="93"/>
    </row>
    <row r="308" spans="1:2" s="46" customFormat="1">
      <c r="A308" s="94"/>
      <c r="B308" s="93"/>
    </row>
    <row r="309" spans="1:2" s="46" customFormat="1">
      <c r="A309" s="94"/>
      <c r="B309" s="93"/>
    </row>
    <row r="310" spans="1:2" s="46" customFormat="1">
      <c r="A310" s="94"/>
      <c r="B310" s="93"/>
    </row>
    <row r="311" spans="1:2" s="46" customFormat="1">
      <c r="A311" s="94"/>
      <c r="B311" s="93"/>
    </row>
    <row r="312" spans="1:2" s="46" customFormat="1">
      <c r="A312" s="94"/>
      <c r="B312" s="93"/>
    </row>
    <row r="313" spans="1:2" s="46" customFormat="1">
      <c r="A313" s="94"/>
      <c r="B313" s="93"/>
    </row>
    <row r="314" spans="1:2" s="46" customFormat="1">
      <c r="A314" s="94"/>
      <c r="B314" s="93"/>
    </row>
    <row r="315" spans="1:2" s="46" customFormat="1">
      <c r="A315" s="94"/>
      <c r="B315" s="93"/>
    </row>
    <row r="316" spans="1:2" s="46" customFormat="1">
      <c r="A316" s="94"/>
      <c r="B316" s="93"/>
    </row>
    <row r="317" spans="1:2" s="46" customFormat="1">
      <c r="A317" s="94"/>
      <c r="B317" s="93"/>
    </row>
    <row r="318" spans="1:2" s="46" customFormat="1">
      <c r="A318" s="94"/>
      <c r="B318" s="93"/>
    </row>
    <row r="319" spans="1:2" s="46" customFormat="1">
      <c r="A319" s="94"/>
      <c r="B319" s="93"/>
    </row>
    <row r="320" spans="1:2" s="46" customFormat="1">
      <c r="A320" s="94"/>
      <c r="B320" s="93"/>
    </row>
    <row r="321" spans="1:2" s="46" customFormat="1">
      <c r="A321" s="94"/>
      <c r="B321" s="93"/>
    </row>
    <row r="322" spans="1:2" s="46" customFormat="1">
      <c r="A322" s="94"/>
      <c r="B322" s="93"/>
    </row>
    <row r="323" spans="1:2" s="46" customFormat="1">
      <c r="A323" s="94"/>
      <c r="B323" s="93"/>
    </row>
    <row r="324" spans="1:2" s="46" customFormat="1">
      <c r="A324" s="94"/>
      <c r="B324" s="93"/>
    </row>
    <row r="325" spans="1:2" s="46" customFormat="1">
      <c r="A325" s="94"/>
      <c r="B325" s="93"/>
    </row>
    <row r="326" spans="1:2" s="46" customFormat="1">
      <c r="A326" s="94"/>
      <c r="B326" s="93"/>
    </row>
    <row r="327" spans="1:2" s="46" customFormat="1">
      <c r="A327" s="94"/>
      <c r="B327" s="93"/>
    </row>
    <row r="328" spans="1:2" s="46" customFormat="1">
      <c r="A328" s="94"/>
      <c r="B328" s="93"/>
    </row>
    <row r="329" spans="1:2" s="46" customFormat="1">
      <c r="A329" s="94"/>
      <c r="B329" s="93"/>
    </row>
    <row r="330" spans="1:2" s="46" customFormat="1">
      <c r="A330" s="94"/>
      <c r="B330" s="93"/>
    </row>
    <row r="331" spans="1:2" s="46" customFormat="1">
      <c r="A331" s="94"/>
      <c r="B331" s="93"/>
    </row>
    <row r="332" spans="1:2" s="46" customFormat="1">
      <c r="A332" s="94"/>
      <c r="B332" s="93"/>
    </row>
    <row r="333" spans="1:2" s="46" customFormat="1">
      <c r="A333" s="94"/>
      <c r="B333" s="93"/>
    </row>
    <row r="334" spans="1:2" s="46" customFormat="1">
      <c r="A334" s="94"/>
      <c r="B334" s="93"/>
    </row>
    <row r="335" spans="1:2" s="46" customFormat="1">
      <c r="A335" s="94"/>
      <c r="B335" s="93"/>
    </row>
    <row r="336" spans="1:2" s="46" customFormat="1">
      <c r="A336" s="94"/>
      <c r="B336" s="93"/>
    </row>
    <row r="337" spans="1:5" s="46" customFormat="1">
      <c r="A337" s="94"/>
      <c r="B337" s="93"/>
    </row>
    <row r="338" spans="1:5" s="46" customFormat="1">
      <c r="A338" s="94"/>
      <c r="B338" s="93"/>
    </row>
    <row r="339" spans="1:5" s="46" customFormat="1">
      <c r="A339" s="94"/>
      <c r="B339" s="93"/>
    </row>
    <row r="340" spans="1:5" s="46" customFormat="1">
      <c r="A340" s="94"/>
      <c r="B340" s="93"/>
    </row>
    <row r="341" spans="1:5" s="46" customFormat="1">
      <c r="A341" s="94"/>
      <c r="B341" s="93"/>
    </row>
    <row r="342" spans="1:5" s="46" customFormat="1">
      <c r="A342" s="94"/>
      <c r="B342" s="93"/>
    </row>
    <row r="343" spans="1:5" s="46" customFormat="1">
      <c r="A343" s="94"/>
      <c r="B343" s="93"/>
    </row>
    <row r="344" spans="1:5" s="46" customFormat="1">
      <c r="A344" s="94"/>
      <c r="B344" s="93"/>
    </row>
    <row r="345" spans="1:5" s="46" customFormat="1">
      <c r="A345" s="94"/>
      <c r="B345" s="93"/>
    </row>
    <row r="346" spans="1:5" s="46" customFormat="1">
      <c r="A346" s="94"/>
      <c r="B346" s="93"/>
    </row>
    <row r="347" spans="1:5">
      <c r="E347"/>
    </row>
  </sheetData>
  <mergeCells count="2">
    <mergeCell ref="B1:E1"/>
    <mergeCell ref="C3:D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7NQWTN4WQ7WA-971242747-323</_dlc_DocId>
    <_dlc_DocIdUrl xmlns="806035d9-ad3b-44db-92a1-1ed4b9daec3e">
      <Url>http://cbe-test-spsql:4050/_layouts/15/DocIdRedir.aspx?ID=7NQWTN4WQ7WA-971242747-323</Url>
      <Description>7NQWTN4WQ7WA-971242747-323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D9AC7F-EAA8-4712-8D45-09EE5687EE8C}"/>
</file>

<file path=customXml/itemProps2.xml><?xml version="1.0" encoding="utf-8"?>
<ds:datastoreItem xmlns:ds="http://schemas.openxmlformats.org/officeDocument/2006/customXml" ds:itemID="{F73CC395-1768-488B-9858-784236FE0B4F}"/>
</file>

<file path=customXml/itemProps3.xml><?xml version="1.0" encoding="utf-8"?>
<ds:datastoreItem xmlns:ds="http://schemas.openxmlformats.org/officeDocument/2006/customXml" ds:itemID="{BFD0FC52-E0F8-4DF5-8FBC-40FFF9C7F0CC}"/>
</file>

<file path=customXml/itemProps4.xml><?xml version="1.0" encoding="utf-8"?>
<ds:datastoreItem xmlns:ds="http://schemas.openxmlformats.org/officeDocument/2006/customXml" ds:itemID="{B8194DB5-23AF-4071-9E9E-C355A4BEB96E}"/>
</file>

<file path=customXml/itemProps5.xml><?xml version="1.0" encoding="utf-8"?>
<ds:datastoreItem xmlns:ds="http://schemas.openxmlformats.org/officeDocument/2006/customXml" ds:itemID="{525DAAE2-4307-4942-AACE-87F88F3CFB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- Quarter 2011-2012</dc:title>
  <dc:creator/>
  <cp:lastModifiedBy/>
  <dcterms:created xsi:type="dcterms:W3CDTF">2006-09-16T00:00:00Z</dcterms:created>
  <dcterms:modified xsi:type="dcterms:W3CDTF">2014-09-04T14:02:47Z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32300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d66b070b-630b-4d87-a202-d103fdaf9e88</vt:lpwstr>
  </property>
</Properties>
</file>