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10-2011  " sheetId="23" r:id="rId1"/>
  </sheets>
  <definedNames>
    <definedName name="_xlnm.Print_Area" localSheetId="0">'2010-2011  '!$A$4:$F$25</definedName>
  </definedNames>
  <calcPr calcId="145621" fullPrecision="0"/>
</workbook>
</file>

<file path=xl/calcChain.xml><?xml version="1.0" encoding="utf-8"?>
<calcChain xmlns="http://schemas.openxmlformats.org/spreadsheetml/2006/main">
  <c r="F8" i="23" l="1"/>
  <c r="F21" i="23" s="1"/>
  <c r="F16" i="23" s="1"/>
  <c r="E8" i="23"/>
  <c r="E21" i="23" s="1"/>
  <c r="E16" i="23" s="1"/>
  <c r="D8" i="23"/>
  <c r="D21" i="23" s="1"/>
  <c r="D16" i="23" s="1"/>
  <c r="C8" i="23"/>
  <c r="C21" i="23" s="1"/>
  <c r="C16" i="23" s="1"/>
</calcChain>
</file>

<file path=xl/sharedStrings.xml><?xml version="1.0" encoding="utf-8"?>
<sst xmlns="http://schemas.openxmlformats.org/spreadsheetml/2006/main" count="42" uniqueCount="42">
  <si>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</si>
  <si>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</si>
  <si>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</si>
  <si>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</si>
  <si>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</si>
  <si>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</si>
  <si>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</si>
  <si>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National Investment Bank 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</si>
  <si>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</si>
  <si>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</si>
  <si>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</si>
  <si>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</si>
  <si>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</si>
  <si>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</si>
  <si>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</si>
  <si>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 xml:space="preserve"> Others***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</si>
  <si>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</si>
  <si>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</si>
  <si>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</si>
  <si>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</si>
  <si>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</si>
  <si>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</si>
  <si>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</si>
  <si>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</si>
  <si>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</si>
  <si>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</si>
  <si>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</si>
  <si>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</si>
  <si>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</si>
  <si>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</si>
  <si>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</si>
  <si>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</si>
  <si>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</si>
  <si>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</si>
  <si>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   . اقراض للمساهمة فى الشركات القابضة والوحدات التابعة والقروض الميسرة وأخرى </t>
  </si>
  <si>
    <t xml:space="preserve">     (صافى مديونية بنك لاستثمار القومى مطروحا منها المديونية البينية) </t>
  </si>
  <si>
    <t>** Including deposits of the private insurance funds, saving certificates, and loans &amp; deposits of various authorities.</t>
  </si>
  <si>
    <t xml:space="preserve"> Lending to holding companies and affiliate units, concessional
 loans, and others </t>
  </si>
  <si>
    <t>Sep.2010</t>
  </si>
  <si>
    <t>Dec.2010</t>
  </si>
  <si>
    <t xml:space="preserve"> March 2011</t>
  </si>
  <si>
    <t>June2011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</si>
</sst>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3" fillId="0" borderId="0"/>
    <xf numFmtId="0" fontId="13" fillId="0" borderId="0"/>
    <xf numFmtId="0" fontId="19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Alignment="1">
      <alignment readingOrder="1"/>
    </xf>
    <xf numFmtId="0" fontId="5" fillId="0" borderId="0" xfId="0" applyFont="1" applyFill="1" applyAlignment="1">
      <alignment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2" fillId="0" borderId="0" xfId="0" applyNumberFormat="1" applyFont="1"/>
    <xf numFmtId="0" fontId="12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1" xfId="0" applyFill="1" applyBorder="1" applyAlignment="1">
      <alignment readingOrder="2"/>
    </xf>
    <xf numFmtId="0" fontId="16" fillId="3" borderId="2" xfId="0" quotePrefix="1" applyFont="1" applyFill="1" applyBorder="1" applyAlignment="1">
      <alignment horizontal="right" readingOrder="2"/>
    </xf>
    <xf numFmtId="0" fontId="16" fillId="3" borderId="2" xfId="0" applyFont="1" applyFill="1" applyBorder="1" applyAlignment="1">
      <alignment horizontal="right" readingOrder="2"/>
    </xf>
    <xf numFmtId="0" fontId="17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8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2" fillId="0" borderId="0" xfId="0" applyNumberFormat="1" applyFont="1" applyBorder="1"/>
    <xf numFmtId="0" fontId="12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8" fillId="0" borderId="3" xfId="2" quotePrefix="1" applyFont="1" applyBorder="1" applyAlignment="1">
      <alignment horizontal="center" vertical="center"/>
    </xf>
    <xf numFmtId="0" fontId="14" fillId="3" borderId="2" xfId="2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readingOrder="1"/>
    </xf>
    <xf numFmtId="0" fontId="14" fillId="3" borderId="2" xfId="2" applyFont="1" applyFill="1" applyBorder="1" applyAlignment="1">
      <alignment horizontal="left" vertical="center" readingOrder="1"/>
    </xf>
    <xf numFmtId="0" fontId="16" fillId="3" borderId="2" xfId="0" quotePrefix="1" applyFont="1" applyFill="1" applyBorder="1" applyAlignment="1">
      <alignment horizontal="left" readingOrder="1"/>
    </xf>
    <xf numFmtId="0" fontId="16" fillId="3" borderId="2" xfId="0" applyFont="1" applyFill="1" applyBorder="1" applyAlignment="1">
      <alignment horizontal="left" vertical="center" readingOrder="1"/>
    </xf>
    <xf numFmtId="0" fontId="16" fillId="3" borderId="2" xfId="0" applyFont="1" applyFill="1" applyBorder="1" applyAlignment="1">
      <alignment horizontal="right" vertical="center" readingOrder="2"/>
    </xf>
    <xf numFmtId="0" fontId="14" fillId="3" borderId="2" xfId="2" applyFont="1" applyFill="1" applyBorder="1" applyAlignment="1">
      <alignment horizontal="right" vertical="center" readingOrder="2"/>
    </xf>
    <xf numFmtId="0" fontId="6" fillId="0" borderId="0" xfId="0" applyFont="1" applyFill="1" applyBorder="1" applyAlignment="1">
      <alignment horizontal="center" vertical="center" readingOrder="1"/>
    </xf>
    <xf numFmtId="0" fontId="0" fillId="0" borderId="0" xfId="0"/>
    <xf numFmtId="0" fontId="1" fillId="3" borderId="0" xfId="0" applyFont="1" applyFill="1" applyAlignment="1">
      <alignment readingOrder="1"/>
    </xf>
    <xf numFmtId="0" fontId="17" fillId="4" borderId="0" xfId="2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 readingOrder="1"/>
    </xf>
    <xf numFmtId="3" fontId="15" fillId="0" borderId="2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3" fontId="3" fillId="0" borderId="7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16" fillId="3" borderId="7" xfId="0" applyFont="1" applyFill="1" applyBorder="1" applyAlignment="1">
      <alignment horizontal="right" vertical="top" wrapText="1" readingOrder="2"/>
    </xf>
    <xf numFmtId="0" fontId="16" fillId="3" borderId="7" xfId="0" applyFont="1" applyFill="1" applyBorder="1" applyAlignment="1">
      <alignment horizontal="left" vertical="top" wrapText="1" readingOrder="1"/>
    </xf>
    <xf numFmtId="0" fontId="16" fillId="3" borderId="2" xfId="0" quotePrefix="1" applyFont="1" applyFill="1" applyBorder="1" applyAlignment="1">
      <alignment horizontal="right" vertical="center" readingOrder="2"/>
    </xf>
    <xf numFmtId="0" fontId="16" fillId="3" borderId="2" xfId="0" quotePrefix="1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B4" zoomScale="88" zoomScaleNormal="75" zoomScaleSheetLayoutView="88" workbookViewId="0">
      <selection activeCell="C7" sqref="C7:F7"/>
    </sheetView>
  </sheetViews>
  <sheetFormatPr defaultRowHeight="12.75"/>
  <cols>
    <col min="1" max="1" width="72.85546875" style="35" customWidth="1"/>
    <col min="2" max="2" width="66.85546875" style="1" customWidth="1"/>
    <col min="3" max="6" width="18.42578125" style="3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0" max="24" width="9.140625" style="35"/>
    <col min="25" max="25" width="9.28515625" style="35" bestFit="1" customWidth="1"/>
    <col min="26" max="16384" width="9.140625" style="35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7</v>
      </c>
      <c r="B4" s="52"/>
      <c r="C4" s="52"/>
      <c r="D4" s="52"/>
      <c r="E4" s="52"/>
      <c r="F4" s="5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>
      <c r="B6" s="35"/>
      <c r="C6" s="38" t="s">
        <v>0</v>
      </c>
      <c r="D6" s="38" t="s">
        <v>1</v>
      </c>
      <c r="E6" s="38" t="s">
        <v>2</v>
      </c>
      <c r="F6" s="39" t="s">
        <v>3</v>
      </c>
      <c r="I6" s="17"/>
    </row>
    <row r="7" spans="1:25" ht="36" customHeight="1" thickBot="1">
      <c r="A7" s="10"/>
      <c r="B7" s="40"/>
      <c r="C7" s="41" t="s">
        <v>38</v>
      </c>
      <c r="D7" s="41" t="s">
        <v>39</v>
      </c>
      <c r="E7" s="41" t="s">
        <v>40</v>
      </c>
      <c r="F7" s="41" t="s">
        <v>41</v>
      </c>
    </row>
    <row r="8" spans="1:25" ht="24.95" customHeight="1" thickTop="1">
      <c r="A8" s="27" t="s">
        <v>32</v>
      </c>
      <c r="B8" s="29" t="s">
        <v>8</v>
      </c>
      <c r="C8" s="42">
        <f t="shared" ref="C8:F8" si="0">SUM(C9:C15)</f>
        <v>228031</v>
      </c>
      <c r="D8" s="42">
        <f t="shared" si="0"/>
        <v>228677</v>
      </c>
      <c r="E8" s="42">
        <f t="shared" si="0"/>
        <v>229136</v>
      </c>
      <c r="F8" s="42">
        <f t="shared" si="0"/>
        <v>240851</v>
      </c>
      <c r="G8" s="18"/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8" customFormat="1" ht="24.95" customHeight="1">
      <c r="A9" s="12" t="s">
        <v>22</v>
      </c>
      <c r="B9" s="28" t="s">
        <v>9</v>
      </c>
      <c r="C9" s="43">
        <v>31613</v>
      </c>
      <c r="D9" s="43">
        <v>31613</v>
      </c>
      <c r="E9" s="43">
        <v>31613</v>
      </c>
      <c r="F9" s="43">
        <v>32982</v>
      </c>
      <c r="G9" s="19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9"/>
      <c r="U9" s="9"/>
      <c r="V9" s="9"/>
      <c r="W9" s="9"/>
      <c r="X9" s="9"/>
      <c r="Y9" s="9"/>
    </row>
    <row r="10" spans="1:25" s="7" customFormat="1" ht="24.95" customHeight="1">
      <c r="A10" s="12" t="s">
        <v>23</v>
      </c>
      <c r="B10" s="30" t="s">
        <v>10</v>
      </c>
      <c r="C10" s="43">
        <v>27384</v>
      </c>
      <c r="D10" s="43">
        <v>27384</v>
      </c>
      <c r="E10" s="43">
        <v>27384</v>
      </c>
      <c r="F10" s="43">
        <v>29663</v>
      </c>
      <c r="G10" s="21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6"/>
      <c r="U10" s="6"/>
      <c r="V10" s="6"/>
      <c r="W10" s="6"/>
      <c r="X10" s="6"/>
      <c r="Y10" s="6"/>
    </row>
    <row r="11" spans="1:25" s="7" customFormat="1" ht="24.95" customHeight="1">
      <c r="A11" s="12" t="s">
        <v>24</v>
      </c>
      <c r="B11" s="28" t="s">
        <v>11</v>
      </c>
      <c r="C11" s="43">
        <v>92818</v>
      </c>
      <c r="D11" s="43">
        <v>93480</v>
      </c>
      <c r="E11" s="43">
        <v>94165</v>
      </c>
      <c r="F11" s="43">
        <v>94635</v>
      </c>
      <c r="G11" s="22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6"/>
      <c r="U11" s="6"/>
      <c r="V11" s="6"/>
      <c r="W11" s="6"/>
      <c r="X11" s="6"/>
      <c r="Y11" s="6"/>
    </row>
    <row r="12" spans="1:25" s="8" customFormat="1" ht="24.95" customHeight="1">
      <c r="A12" s="12" t="s">
        <v>30</v>
      </c>
      <c r="B12" s="30" t="s">
        <v>12</v>
      </c>
      <c r="C12" s="43">
        <v>8668</v>
      </c>
      <c r="D12" s="43">
        <v>8640</v>
      </c>
      <c r="E12" s="43">
        <v>8660</v>
      </c>
      <c r="F12" s="43">
        <v>8747</v>
      </c>
      <c r="G12" s="20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9"/>
      <c r="U12" s="9"/>
      <c r="V12" s="9"/>
      <c r="W12" s="9"/>
      <c r="X12" s="9"/>
      <c r="Y12" s="9"/>
    </row>
    <row r="13" spans="1:25" s="7" customFormat="1" ht="24.95" customHeight="1">
      <c r="A13" s="12" t="s">
        <v>25</v>
      </c>
      <c r="B13" s="28" t="s">
        <v>13</v>
      </c>
      <c r="C13" s="43">
        <v>9</v>
      </c>
      <c r="D13" s="43">
        <v>9</v>
      </c>
      <c r="E13" s="43">
        <v>9</v>
      </c>
      <c r="F13" s="43">
        <v>9</v>
      </c>
      <c r="G13" s="22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6"/>
      <c r="U13" s="6"/>
      <c r="V13" s="6"/>
      <c r="W13" s="6"/>
      <c r="X13" s="6"/>
      <c r="Y13" s="6"/>
    </row>
    <row r="14" spans="1:25" s="7" customFormat="1" ht="24.95" customHeight="1">
      <c r="A14" s="12" t="s">
        <v>26</v>
      </c>
      <c r="B14" s="30" t="s">
        <v>14</v>
      </c>
      <c r="C14" s="43">
        <v>65837</v>
      </c>
      <c r="D14" s="43">
        <v>65837</v>
      </c>
      <c r="E14" s="43">
        <v>65837</v>
      </c>
      <c r="F14" s="43">
        <v>71978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6"/>
      <c r="U14" s="6"/>
      <c r="V14" s="6"/>
      <c r="W14" s="6"/>
      <c r="X14" s="6"/>
      <c r="Y14" s="6"/>
    </row>
    <row r="15" spans="1:25" ht="30" customHeight="1">
      <c r="A15" s="32" t="s">
        <v>31</v>
      </c>
      <c r="B15" s="31" t="s">
        <v>15</v>
      </c>
      <c r="C15" s="43">
        <v>1702</v>
      </c>
      <c r="D15" s="43">
        <v>1714</v>
      </c>
      <c r="E15" s="43">
        <v>1468</v>
      </c>
      <c r="F15" s="43">
        <v>2837</v>
      </c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4.95" customHeight="1">
      <c r="A16" s="33" t="s">
        <v>33</v>
      </c>
      <c r="B16" s="29" t="s">
        <v>16</v>
      </c>
      <c r="C16" s="42">
        <f t="shared" ref="C16:F16" si="1">SUM(C17:C21)</f>
        <v>228031</v>
      </c>
      <c r="D16" s="42">
        <f t="shared" si="1"/>
        <v>228677</v>
      </c>
      <c r="E16" s="42">
        <f t="shared" si="1"/>
        <v>229136</v>
      </c>
      <c r="F16" s="42">
        <f t="shared" si="1"/>
        <v>240851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4.95" customHeight="1">
      <c r="A17" s="12" t="s">
        <v>27</v>
      </c>
      <c r="B17" s="28" t="s">
        <v>17</v>
      </c>
      <c r="C17" s="43">
        <v>0</v>
      </c>
      <c r="D17" s="43">
        <v>0</v>
      </c>
      <c r="E17" s="43">
        <v>0</v>
      </c>
      <c r="F17" s="43">
        <v>0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4.95" customHeight="1">
      <c r="A18" s="11" t="s">
        <v>28</v>
      </c>
      <c r="B18" s="30" t="s">
        <v>18</v>
      </c>
      <c r="C18" s="43">
        <v>52263</v>
      </c>
      <c r="D18" s="43">
        <v>52667</v>
      </c>
      <c r="E18" s="43">
        <v>52664</v>
      </c>
      <c r="F18" s="43">
        <v>52141</v>
      </c>
      <c r="G18" s="23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4.95" customHeight="1">
      <c r="A19" s="12" t="s">
        <v>29</v>
      </c>
      <c r="B19" s="28" t="s">
        <v>19</v>
      </c>
      <c r="C19" s="43">
        <v>15764</v>
      </c>
      <c r="D19" s="43">
        <v>16332</v>
      </c>
      <c r="E19" s="43">
        <v>16488</v>
      </c>
      <c r="F19" s="43">
        <v>15527</v>
      </c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24.95" customHeight="1">
      <c r="A20" s="48" t="s">
        <v>34</v>
      </c>
      <c r="B20" s="49" t="s">
        <v>20</v>
      </c>
      <c r="C20" s="43">
        <v>7218</v>
      </c>
      <c r="D20" s="43">
        <v>6385</v>
      </c>
      <c r="E20" s="43">
        <v>4586</v>
      </c>
      <c r="F20" s="43">
        <v>2672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17.25" customHeight="1">
      <c r="A21" s="46" t="s">
        <v>35</v>
      </c>
      <c r="B21" s="47" t="s">
        <v>37</v>
      </c>
      <c r="C21" s="44">
        <f t="shared" ref="C21:F21" si="2">C8-C17-C18-C19-C20</f>
        <v>152786</v>
      </c>
      <c r="D21" s="44">
        <f t="shared" si="2"/>
        <v>153293</v>
      </c>
      <c r="E21" s="44">
        <f t="shared" si="2"/>
        <v>155398</v>
      </c>
      <c r="F21" s="44">
        <f t="shared" si="2"/>
        <v>170511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3" t="s">
        <v>21</v>
      </c>
      <c r="B23" s="36"/>
      <c r="C23" s="37"/>
      <c r="D23" s="37"/>
      <c r="E23" s="37"/>
      <c r="F23" s="37"/>
      <c r="G23" s="13"/>
      <c r="H23" s="13"/>
    </row>
    <row r="24" spans="1:25" ht="18.75" customHeight="1">
      <c r="A24" s="45" t="s">
        <v>36</v>
      </c>
      <c r="B24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7NQWTN4WQ7WA-971242747-678</_dlc_DocId>
    <_dlc_DocIdUrl xmlns="806035d9-ad3b-44db-92a1-1ed4b9daec3e">
      <Url>http://cbe-test-spsql:4050/_layouts/15/DocIdRedir.aspx?ID=7NQWTN4WQ7WA-971242747-678</Url>
      <Description>7NQWTN4WQ7WA-971242747-678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2F50B3-8ADF-4ADB-B6A0-1CC5F6565AD9}"/>
</file>

<file path=customXml/itemProps2.xml><?xml version="1.0" encoding="utf-8"?>
<ds:datastoreItem xmlns:ds="http://schemas.openxmlformats.org/officeDocument/2006/customXml" ds:itemID="{C68D5F3C-2B19-4FE1-BC59-6D2FE1CF0293}"/>
</file>

<file path=customXml/itemProps3.xml><?xml version="1.0" encoding="utf-8"?>
<ds:datastoreItem xmlns:ds="http://schemas.openxmlformats.org/officeDocument/2006/customXml" ds:itemID="{072A68BC-E0DF-4D83-B171-0AEEC70B78DD}"/>
</file>

<file path=customXml/itemProps4.xml><?xml version="1.0" encoding="utf-8"?>
<ds:datastoreItem xmlns:ds="http://schemas.openxmlformats.org/officeDocument/2006/customXml" ds:itemID="{C68D5F3C-2B19-4FE1-BC59-6D2FE1CF0293}"/>
</file>

<file path=customXml/itemProps5.xml><?xml version="1.0" encoding="utf-8"?>
<ds:datastoreItem xmlns:ds="http://schemas.openxmlformats.org/officeDocument/2006/customXml" ds:itemID="{9F6B6D8D-C2EE-4255-9047-45B90BBE4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  </vt:lpstr>
      <vt:lpstr>'2010-2011 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 2010-2011</dc:title>
  <dc:creator>mamdouh.marghany</dc:creator>
  <cp:lastModifiedBy>Wafaa Ismail</cp:lastModifiedBy>
  <cp:lastPrinted>2014-08-13T09:01:32Z</cp:lastPrinted>
  <dcterms:created xsi:type="dcterms:W3CDTF">2009-04-23T10:41:14Z</dcterms:created>
  <dcterms:modified xsi:type="dcterms:W3CDTF">2014-12-09T09:14:45Z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67800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bef10636-cb7b-43d1-ac9f-4094ad81801b</vt:lpwstr>
  </property>
</Properties>
</file>