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xl/calcChain.xml" ContentType="application/vnd.openxmlformats-officedocument.spreadsheetml.calcChain+xml"/>
  <Override PartName="/docProps/app.xml" ContentType="application/vnd.openxmlformats-officedocument.extended-properties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/>
  </bookViews>
  <sheets>
    <sheet name="Sheet1" sheetId="1" r:id="rId1"/>
  </sheets>
  <calcPr calcId="152511"/>
</workbook>
</file>

<file path=xl/calcChain.xml><?xml version="1.0" encoding="utf-8"?>
<calcChain xmlns="http://schemas.openxmlformats.org/spreadsheetml/2006/main">
  <c r="F10" i="1" l="1"/>
  <c r="F6" i="1" s="1"/>
  <c r="E9" i="1"/>
</calcChain>
</file>

<file path=xl/sharedStrings.xml><?xml version="1.0" encoding="utf-8"?>
<sst xmlns="http://schemas.openxmlformats.org/spreadsheetml/2006/main" count="47" uniqueCount="47">
  <si>
    <t xml:space="preserve">  Currency In Circulation Outside CBE By Denomination</t>
  </si>
  <si>
    <t>النقد المتداول خارج خزائن البنك المركزى حسب الفئات</t>
  </si>
  <si>
    <t>( LE mn )</t>
  </si>
  <si>
    <t>( بالمليون جنيه )</t>
  </si>
  <si>
    <t>Q1</t>
  </si>
  <si>
    <t>Q2</t>
  </si>
  <si>
    <t>Q3</t>
  </si>
  <si>
    <t>Q4</t>
  </si>
  <si>
    <t>Title_EN</t>
  </si>
  <si>
    <t>Title_AR</t>
  </si>
  <si>
    <t>Currency in Circulation Outside CBE</t>
  </si>
  <si>
    <t>النقد المتداول خارج خزائن البنك المركزى</t>
  </si>
  <si>
    <t>Subsidiary Denominations</t>
  </si>
  <si>
    <t>العملة المعاونة</t>
  </si>
  <si>
    <r>
      <t>Paper</t>
    </r>
    <r>
      <rPr>
        <vertAlign val="superscript"/>
        <sz val="14"/>
        <rFont val="Times New (W1)"/>
        <charset val="178"/>
      </rPr>
      <t>*</t>
    </r>
    <r>
      <rPr>
        <sz val="14"/>
        <rFont val="Times New (W1)"/>
        <family val="1"/>
      </rPr>
      <t xml:space="preserve"> </t>
    </r>
  </si>
  <si>
    <r>
      <t xml:space="preserve">  ورقية</t>
    </r>
    <r>
      <rPr>
        <vertAlign val="superscript"/>
        <sz val="14"/>
        <rFont val="Times New (W1)"/>
        <charset val="178"/>
      </rPr>
      <t>*</t>
    </r>
  </si>
  <si>
    <r>
      <t>Coins</t>
    </r>
    <r>
      <rPr>
        <vertAlign val="superscript"/>
        <sz val="14"/>
        <rFont val="Times New (W1)"/>
        <charset val="178"/>
      </rPr>
      <t>**</t>
    </r>
  </si>
  <si>
    <r>
      <t xml:space="preserve">  معدنية</t>
    </r>
    <r>
      <rPr>
        <vertAlign val="superscript"/>
        <sz val="14"/>
        <rFont val="Times New (W1)"/>
        <charset val="178"/>
      </rPr>
      <t>**</t>
    </r>
  </si>
  <si>
    <t xml:space="preserve">Denomination of Currency in Circulation </t>
  </si>
  <si>
    <t xml:space="preserve">فئات النقد المتداول </t>
  </si>
  <si>
    <t>PT  25</t>
  </si>
  <si>
    <t>خمسة وعشرون قرشا</t>
  </si>
  <si>
    <t>PT  50</t>
  </si>
  <si>
    <t>خمسون قرشا</t>
  </si>
  <si>
    <t>LE  1</t>
  </si>
  <si>
    <t>جنيه واحد</t>
  </si>
  <si>
    <t>LE  5</t>
  </si>
  <si>
    <t>خمسة جنيهات</t>
  </si>
  <si>
    <t>LE  10</t>
  </si>
  <si>
    <t>عشرة جنيهات</t>
  </si>
  <si>
    <t>LE  20</t>
  </si>
  <si>
    <t>عشرون جنيها</t>
  </si>
  <si>
    <t>خمسون جنيها</t>
  </si>
  <si>
    <t>LE 100</t>
  </si>
  <si>
    <t xml:space="preserve">مائة جنيه </t>
  </si>
  <si>
    <r>
      <t>LE 200</t>
    </r>
    <r>
      <rPr>
        <vertAlign val="superscript"/>
        <sz val="14"/>
        <rFont val="Times New (W1)"/>
        <charset val="178"/>
      </rPr>
      <t>***</t>
    </r>
  </si>
  <si>
    <r>
      <t>مائتا جنيه</t>
    </r>
    <r>
      <rPr>
        <vertAlign val="superscript"/>
        <sz val="14"/>
        <rFont val="Times New (W1)"/>
        <charset val="178"/>
      </rPr>
      <t>***</t>
    </r>
  </si>
  <si>
    <t>Aver. value per note ( in LE )</t>
  </si>
  <si>
    <t xml:space="preserve">متوسط قيمة ورقة النقد (بالجنيه)     </t>
  </si>
  <si>
    <t xml:space="preserve"> Source : Central Bank of Egypt .</t>
  </si>
  <si>
    <t>المصدر : البنك المركزى المصرى.</t>
  </si>
  <si>
    <t>*    Denominations of  5 &amp; 10 piasters.</t>
  </si>
  <si>
    <r>
      <t xml:space="preserve">   *</t>
    </r>
    <r>
      <rPr>
        <sz val="16"/>
        <rFont val="Akhbar MT"/>
        <charset val="178"/>
      </rPr>
      <t xml:space="preserve">   فئات  </t>
    </r>
    <r>
      <rPr>
        <sz val="16"/>
        <rFont val="Arial"/>
        <family val="2"/>
      </rPr>
      <t>5</t>
    </r>
    <r>
      <rPr>
        <sz val="16"/>
        <rFont val="Akhbar MT"/>
        <charset val="178"/>
      </rPr>
      <t xml:space="preserve"> ، </t>
    </r>
    <r>
      <rPr>
        <sz val="16"/>
        <rFont val="Arial"/>
        <family val="2"/>
      </rPr>
      <t>10</t>
    </r>
    <r>
      <rPr>
        <sz val="16"/>
        <rFont val="Akhbar MT"/>
        <charset val="178"/>
      </rPr>
      <t xml:space="preserve"> قروش .</t>
    </r>
  </si>
  <si>
    <t xml:space="preserve">**  Denominations of  1, 5 ,10, 20 , 25 , 50 piasters, and 1 pound. </t>
  </si>
  <si>
    <r>
      <t>**</t>
    </r>
    <r>
      <rPr>
        <sz val="16"/>
        <rFont val="Akhbar MT"/>
        <charset val="178"/>
      </rPr>
      <t xml:space="preserve">  فئات </t>
    </r>
    <r>
      <rPr>
        <sz val="16"/>
        <rFont val="Arial"/>
        <family val="2"/>
      </rPr>
      <t>1</t>
    </r>
    <r>
      <rPr>
        <sz val="16"/>
        <rFont val="Akhbar MT"/>
        <charset val="178"/>
      </rPr>
      <t xml:space="preserve">، </t>
    </r>
    <r>
      <rPr>
        <sz val="16"/>
        <rFont val="Arial"/>
        <family val="2"/>
      </rPr>
      <t>5</t>
    </r>
    <r>
      <rPr>
        <sz val="16"/>
        <rFont val="Akhbar MT"/>
        <charset val="178"/>
      </rPr>
      <t xml:space="preserve"> ، </t>
    </r>
    <r>
      <rPr>
        <sz val="16"/>
        <rFont val="Arial"/>
        <family val="2"/>
      </rPr>
      <t>10</t>
    </r>
    <r>
      <rPr>
        <sz val="16"/>
        <rFont val="Akhbar MT"/>
        <charset val="178"/>
      </rPr>
      <t xml:space="preserve"> </t>
    </r>
    <r>
      <rPr>
        <sz val="16"/>
        <rFont val="Arial"/>
        <family val="2"/>
      </rPr>
      <t>، 20</t>
    </r>
    <r>
      <rPr>
        <sz val="16"/>
        <rFont val="Akhbar MT"/>
        <charset val="178"/>
      </rPr>
      <t xml:space="preserve"> ، </t>
    </r>
    <r>
      <rPr>
        <sz val="16"/>
        <rFont val="Arial"/>
        <family val="2"/>
      </rPr>
      <t>25 ، 50 قرشاً ، 1 جنيه</t>
    </r>
    <r>
      <rPr>
        <sz val="16"/>
        <rFont val="Akhbar MT"/>
        <charset val="178"/>
      </rPr>
      <t xml:space="preserve"> </t>
    </r>
    <r>
      <rPr>
        <sz val="16"/>
        <rFont val="Arial"/>
        <family val="2"/>
      </rPr>
      <t>.</t>
    </r>
  </si>
  <si>
    <r>
      <t xml:space="preserve">*** </t>
    </r>
    <r>
      <rPr>
        <sz val="12"/>
        <rFont val="Arial"/>
        <family val="2"/>
      </rPr>
      <t>The LE 200 note has been in circulation as of May 2007.</t>
    </r>
  </si>
  <si>
    <r>
      <t xml:space="preserve">  ***</t>
    </r>
    <r>
      <rPr>
        <vertAlign val="subscript"/>
        <sz val="16"/>
        <rFont val="Akhbar MT"/>
        <charset val="178"/>
      </rPr>
      <t xml:space="preserve"> </t>
    </r>
    <r>
      <rPr>
        <sz val="16"/>
        <rFont val="Akhbar MT"/>
        <charset val="178"/>
      </rPr>
      <t>تم طرح الورقة فئة المائتا جنيه للتداول ابتداءاً من مايو</t>
    </r>
    <r>
      <rPr>
        <vertAlign val="subscript"/>
        <sz val="22"/>
        <rFont val="Akhbar MT"/>
        <charset val="178"/>
      </rPr>
      <t xml:space="preserve"> </t>
    </r>
    <r>
      <rPr>
        <vertAlign val="subscript"/>
        <sz val="16"/>
        <rFont val="Arial"/>
        <family val="2"/>
      </rPr>
      <t>2007</t>
    </r>
    <r>
      <rPr>
        <vertAlign val="subscript"/>
        <sz val="16"/>
        <rFont val="Akhbar MT"/>
        <charset val="178"/>
      </rPr>
      <t xml:space="preserve"> </t>
    </r>
    <r>
      <rPr>
        <sz val="22"/>
        <rFont val="Akhbar MT"/>
        <charset val="178"/>
      </rPr>
      <t>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</si>
</sst>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"/>
  </numFmts>
  <fonts count="23">
    <font>
      <sz val="11"/>
      <color theme="1"/>
      <name val="Calibri"/>
      <family val="2"/>
      <scheme val="minor"/>
    </font>
    <font>
      <b/>
      <u/>
      <sz val="18"/>
      <color indexed="8"/>
      <name val="Lucida Bright"/>
      <family val="1"/>
    </font>
    <font>
      <b/>
      <u/>
      <sz val="12"/>
      <name val="Times New (W1)"/>
      <family val="1"/>
    </font>
    <font>
      <b/>
      <sz val="14"/>
      <color indexed="8"/>
      <name val="Calibri"/>
      <family val="1"/>
      <scheme val="minor"/>
    </font>
    <font>
      <b/>
      <sz val="16"/>
      <name val="Times New (W1)"/>
      <family val="1"/>
    </font>
    <font>
      <b/>
      <sz val="14"/>
      <name val="Calibri"/>
      <family val="1"/>
      <scheme val="minor"/>
    </font>
    <font>
      <b/>
      <u/>
      <sz val="14"/>
      <color rgb="FF993366"/>
      <name val="Times New (W1)"/>
      <family val="1"/>
    </font>
    <font>
      <sz val="14"/>
      <name val="Times New (W1)"/>
      <family val="1"/>
    </font>
    <font>
      <vertAlign val="superscript"/>
      <sz val="14"/>
      <name val="Times New (W1)"/>
      <charset val="178"/>
    </font>
    <font>
      <sz val="14"/>
      <name val="Times New (W1)"/>
      <charset val="178"/>
    </font>
    <font>
      <sz val="13"/>
      <name val="Times New (W1)"/>
      <family val="1"/>
    </font>
    <font>
      <sz val="12"/>
      <name val="Arial"/>
      <charset val="178"/>
    </font>
    <font>
      <sz val="10"/>
      <name val="Arial"/>
      <family val="2"/>
    </font>
    <font>
      <b/>
      <u/>
      <sz val="14"/>
      <color rgb="FF993366"/>
      <name val="Times New (W1)"/>
      <charset val="178"/>
    </font>
    <font>
      <sz val="12"/>
      <name val="Arial"/>
      <family val="2"/>
    </font>
    <font>
      <sz val="18"/>
      <name val="Akhbar MT"/>
      <charset val="178"/>
    </font>
    <font>
      <vertAlign val="subscript"/>
      <sz val="16"/>
      <name val="Arial"/>
      <family val="2"/>
    </font>
    <font>
      <sz val="16"/>
      <name val="Akhbar MT"/>
      <charset val="178"/>
    </font>
    <font>
      <sz val="16"/>
      <name val="Arial"/>
      <family val="2"/>
    </font>
    <font>
      <vertAlign val="subscript"/>
      <sz val="16"/>
      <name val="Akhbar MT"/>
      <charset val="178"/>
    </font>
    <font>
      <vertAlign val="subscript"/>
      <sz val="22"/>
      <name val="Akhbar MT"/>
      <charset val="178"/>
    </font>
    <font>
      <sz val="22"/>
      <name val="Akhbar MT"/>
      <charset val="178"/>
    </font>
    <font>
      <sz val="10"/>
      <name val="Arial"/>
      <family val="2"/>
      <charset val="178"/>
    </font>
  </fonts>
  <fills count="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42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12" fillId="0" borderId="0"/>
  </cellStyleXfs>
  <cellXfs count="44">
    <xf numFmtId="0" fontId="0" fillId="0" borderId="0" xfId="0"/>
    <xf numFmtId="0" fontId="1" fillId="0" borderId="0" xfId="0" applyFont="1" applyFill="1" applyBorder="1" applyAlignment="1">
      <alignment vertical="center" readingOrder="1"/>
    </xf>
    <xf numFmtId="0" fontId="0" fillId="0" borderId="0" xfId="0" applyFill="1"/>
    <xf numFmtId="164" fontId="2" fillId="0" borderId="0" xfId="0" applyNumberFormat="1" applyFont="1" applyFill="1" applyBorder="1" applyAlignment="1">
      <alignment vertical="center" readingOrder="1"/>
    </xf>
    <xf numFmtId="0" fontId="3" fillId="2" borderId="1" xfId="0" applyFont="1" applyFill="1" applyBorder="1" applyAlignment="1">
      <alignment horizontal="center" vertical="center" readingOrder="1"/>
    </xf>
    <xf numFmtId="164" fontId="4" fillId="3" borderId="1" xfId="0" applyNumberFormat="1" applyFont="1" applyFill="1" applyBorder="1" applyAlignment="1">
      <alignment horizontal="center" vertical="center" readingOrder="2"/>
    </xf>
    <xf numFmtId="0" fontId="2" fillId="4" borderId="2" xfId="0" applyFont="1" applyFill="1" applyBorder="1" applyAlignment="1">
      <alignment horizontal="center" vertical="center" wrapText="1" readingOrder="1"/>
    </xf>
    <xf numFmtId="0" fontId="2" fillId="2" borderId="2" xfId="0" applyFont="1" applyFill="1" applyBorder="1" applyAlignment="1">
      <alignment horizontal="center" vertical="center" wrapText="1" readingOrder="1"/>
    </xf>
    <xf numFmtId="0" fontId="0" fillId="2" borderId="2" xfId="0" applyFill="1" applyBorder="1" applyAlignment="1">
      <alignment horizontal="center" vertical="center" wrapText="1" readingOrder="1"/>
    </xf>
    <xf numFmtId="164" fontId="5" fillId="2" borderId="2" xfId="0" applyNumberFormat="1" applyFont="1" applyFill="1" applyBorder="1" applyAlignment="1">
      <alignment horizontal="center" vertical="center" readingOrder="2"/>
    </xf>
    <xf numFmtId="0" fontId="4" fillId="3" borderId="3" xfId="0" applyFont="1" applyFill="1" applyBorder="1" applyAlignment="1">
      <alignment horizontal="center" readingOrder="2"/>
    </xf>
    <xf numFmtId="0" fontId="2" fillId="4" borderId="2" xfId="0" applyFont="1" applyFill="1" applyBorder="1" applyAlignment="1">
      <alignment horizontal="center" vertical="center" wrapText="1" readingOrder="1"/>
    </xf>
    <xf numFmtId="0" fontId="2" fillId="2" borderId="2" xfId="0" applyFont="1" applyFill="1" applyBorder="1" applyAlignment="1">
      <alignment horizontal="center" vertical="center" wrapText="1" readingOrder="1"/>
    </xf>
    <xf numFmtId="0" fontId="5" fillId="2" borderId="2" xfId="0" applyFont="1" applyFill="1" applyBorder="1" applyAlignment="1">
      <alignment horizontal="center" readingOrder="1"/>
    </xf>
    <xf numFmtId="0" fontId="0" fillId="0" borderId="4" xfId="0" applyBorder="1"/>
    <xf numFmtId="0" fontId="0" fillId="0" borderId="0" xfId="0" applyBorder="1"/>
    <xf numFmtId="0" fontId="0" fillId="0" borderId="5" xfId="0" applyBorder="1"/>
    <xf numFmtId="164" fontId="0" fillId="0" borderId="0" xfId="0" applyNumberFormat="1"/>
    <xf numFmtId="0" fontId="6" fillId="0" borderId="6" xfId="0" applyFont="1" applyFill="1" applyBorder="1" applyAlignment="1">
      <alignment horizontal="center" readingOrder="1"/>
    </xf>
    <xf numFmtId="0" fontId="6" fillId="0" borderId="4" xfId="0" applyFont="1" applyFill="1" applyBorder="1" applyAlignment="1">
      <alignment horizontal="center" readingOrder="2"/>
    </xf>
    <xf numFmtId="1" fontId="2" fillId="0" borderId="4" xfId="0" applyNumberFormat="1" applyFont="1" applyFill="1" applyBorder="1" applyAlignment="1">
      <alignment horizontal="center" readingOrder="1"/>
    </xf>
    <xf numFmtId="1" fontId="2" fillId="0" borderId="0" xfId="0" applyNumberFormat="1" applyFont="1" applyFill="1" applyBorder="1" applyAlignment="1">
      <alignment horizontal="center" readingOrder="1"/>
    </xf>
    <xf numFmtId="1" fontId="2" fillId="0" borderId="5" xfId="0" applyNumberFormat="1" applyFont="1" applyFill="1" applyBorder="1" applyAlignment="1">
      <alignment horizontal="center" readingOrder="1"/>
    </xf>
    <xf numFmtId="0" fontId="7" fillId="0" borderId="6" xfId="0" applyFont="1" applyFill="1" applyBorder="1" applyAlignment="1">
      <alignment horizontal="center" readingOrder="1"/>
    </xf>
    <xf numFmtId="0" fontId="9" fillId="0" borderId="4" xfId="0" quotePrefix="1" applyFont="1" applyFill="1" applyBorder="1" applyAlignment="1">
      <alignment horizontal="center" readingOrder="2"/>
    </xf>
    <xf numFmtId="1" fontId="10" fillId="0" borderId="4" xfId="0" applyNumberFormat="1" applyFont="1" applyFill="1" applyBorder="1" applyAlignment="1">
      <alignment horizontal="center" readingOrder="1"/>
    </xf>
    <xf numFmtId="1" fontId="10" fillId="0" borderId="0" xfId="0" applyNumberFormat="1" applyFont="1" applyFill="1" applyBorder="1" applyAlignment="1">
      <alignment horizontal="center" readingOrder="1"/>
    </xf>
    <xf numFmtId="1" fontId="10" fillId="0" borderId="5" xfId="0" applyNumberFormat="1" applyFont="1" applyFill="1" applyBorder="1" applyAlignment="1">
      <alignment horizontal="center" readingOrder="1"/>
    </xf>
    <xf numFmtId="0" fontId="11" fillId="0" borderId="0" xfId="0" applyFont="1"/>
    <xf numFmtId="1" fontId="12" fillId="0" borderId="4" xfId="1" applyNumberFormat="1" applyFont="1" applyBorder="1" applyAlignment="1">
      <alignment horizontal="center" vertical="center"/>
    </xf>
    <xf numFmtId="1" fontId="12" fillId="0" borderId="0" xfId="1" applyNumberFormat="1" applyFont="1" applyBorder="1" applyAlignment="1">
      <alignment horizontal="center" vertical="center"/>
    </xf>
    <xf numFmtId="1" fontId="12" fillId="0" borderId="5" xfId="1" applyNumberFormat="1" applyFont="1" applyBorder="1" applyAlignment="1">
      <alignment horizontal="center" vertical="center"/>
    </xf>
    <xf numFmtId="0" fontId="13" fillId="0" borderId="7" xfId="0" applyFont="1" applyFill="1" applyBorder="1" applyAlignment="1">
      <alignment horizontal="center" readingOrder="1"/>
    </xf>
    <xf numFmtId="0" fontId="13" fillId="0" borderId="8" xfId="0" applyFont="1" applyFill="1" applyBorder="1" applyAlignment="1">
      <alignment horizontal="center" readingOrder="2"/>
    </xf>
    <xf numFmtId="1" fontId="2" fillId="0" borderId="8" xfId="0" applyNumberFormat="1" applyFont="1" applyFill="1" applyBorder="1" applyAlignment="1">
      <alignment horizontal="center" readingOrder="1"/>
    </xf>
    <xf numFmtId="1" fontId="2" fillId="0" borderId="1" xfId="0" applyNumberFormat="1" applyFont="1" applyFill="1" applyBorder="1" applyAlignment="1">
      <alignment horizontal="center" readingOrder="1"/>
    </xf>
    <xf numFmtId="1" fontId="2" fillId="0" borderId="9" xfId="0" applyNumberFormat="1" applyFont="1" applyFill="1" applyBorder="1" applyAlignment="1">
      <alignment horizontal="center" readingOrder="1"/>
    </xf>
    <xf numFmtId="0" fontId="14" fillId="0" borderId="0" xfId="1" applyFont="1" applyBorder="1" applyAlignment="1">
      <alignment horizontal="left" vertical="center"/>
    </xf>
    <xf numFmtId="0" fontId="15" fillId="0" borderId="0" xfId="1" applyFont="1" applyBorder="1" applyAlignment="1">
      <alignment vertical="top"/>
    </xf>
    <xf numFmtId="0" fontId="16" fillId="0" borderId="0" xfId="1" applyFont="1" applyBorder="1" applyAlignment="1">
      <alignment horizontal="right" vertical="center" readingOrder="2"/>
    </xf>
    <xf numFmtId="0" fontId="0" fillId="5" borderId="0" xfId="0" applyFill="1"/>
    <xf numFmtId="0" fontId="22" fillId="5" borderId="0" xfId="0" applyFont="1" applyFill="1" applyAlignment="1">
      <alignment readingOrder="1"/>
    </xf>
    <xf numFmtId="0" fontId="22" fillId="0" borderId="0" xfId="0" applyFont="1" applyFill="1" applyAlignment="1">
      <alignment readingOrder="1"/>
    </xf>
    <xf numFmtId="0" fontId="0" fillId="6" borderId="0" xfId="0" applyFill="1"/>
  </cellXfs>
  <cellStyles count="2">
    <cellStyle name="Normal" xfId="0" builtinId="0"/>
    <cellStyle name="Normal_Table Rafik To Mohmoud_1-10_13" xfId="1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10" Type="http://schemas.openxmlformats.org/officeDocument/2006/relationships/customXml" Target="../customXml/item5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347"/>
  <sheetViews>
    <sheetView tabSelected="1" workbookViewId="0">
      <selection sqref="A1:XFD1048576"/>
    </sheetView>
  </sheetViews>
  <sheetFormatPr defaultRowHeight="15"/>
  <cols>
    <col min="1" max="1" width="70.5703125" customWidth="1"/>
    <col min="2" max="2" width="73.5703125" style="42" customWidth="1"/>
    <col min="3" max="4" width="12.7109375" customWidth="1"/>
    <col min="5" max="5" width="11.28515625" style="43" customWidth="1"/>
    <col min="6" max="13" width="11.42578125" customWidth="1"/>
    <col min="23" max="23" width="9.28515625" bestFit="1" customWidth="1"/>
  </cols>
  <sheetData>
    <row r="1" spans="1:22" s="2" customFormat="1" ht="22.5">
      <c r="A1" s="1"/>
      <c r="B1" s="1"/>
      <c r="C1" s="1"/>
      <c r="D1" s="1"/>
      <c r="E1" s="1"/>
    </row>
    <row r="2" spans="1:22" s="2" customFormat="1" ht="15.75">
      <c r="A2" s="3"/>
      <c r="B2" s="3"/>
    </row>
    <row r="3" spans="1:22" s="2" customFormat="1" ht="20.25">
      <c r="A3" s="4" t="s">
        <v>0</v>
      </c>
      <c r="B3" s="5" t="s">
        <v>1</v>
      </c>
      <c r="C3" s="6">
        <v>2009</v>
      </c>
      <c r="D3" s="6"/>
      <c r="E3" s="7">
        <v>2010</v>
      </c>
      <c r="F3" s="8"/>
    </row>
    <row r="4" spans="1:22" ht="20.25">
      <c r="A4" s="9" t="s">
        <v>2</v>
      </c>
      <c r="B4" s="10" t="s">
        <v>3</v>
      </c>
      <c r="C4" s="11" t="s">
        <v>4</v>
      </c>
      <c r="D4" s="11" t="s">
        <v>5</v>
      </c>
      <c r="E4" s="12" t="s">
        <v>6</v>
      </c>
      <c r="F4" s="12" t="s">
        <v>7</v>
      </c>
    </row>
    <row r="5" spans="1:22" ht="20.25">
      <c r="A5" s="13" t="s">
        <v>8</v>
      </c>
      <c r="B5" s="10" t="s">
        <v>9</v>
      </c>
      <c r="C5" s="14"/>
      <c r="D5" s="15"/>
      <c r="E5" s="15"/>
      <c r="F5" s="16"/>
      <c r="M5" s="17"/>
      <c r="N5" s="17"/>
      <c r="O5" s="17"/>
      <c r="P5" s="17"/>
      <c r="Q5" s="17"/>
      <c r="R5" s="17"/>
      <c r="S5" s="17"/>
      <c r="T5" s="17"/>
      <c r="U5" s="17"/>
      <c r="V5" s="17"/>
    </row>
    <row r="6" spans="1:22" ht="18.75">
      <c r="A6" s="18" t="s">
        <v>10</v>
      </c>
      <c r="B6" s="19" t="s">
        <v>11</v>
      </c>
      <c r="C6" s="20">
        <v>135583</v>
      </c>
      <c r="D6" s="21">
        <v>134039</v>
      </c>
      <c r="E6" s="21">
        <v>136438</v>
      </c>
      <c r="F6" s="22">
        <f>F7+F10</f>
        <v>144253.33000000002</v>
      </c>
      <c r="M6" s="17"/>
      <c r="N6" s="17"/>
      <c r="O6" s="17"/>
      <c r="P6" s="17"/>
      <c r="Q6" s="17"/>
      <c r="R6" s="17"/>
      <c r="S6" s="17"/>
      <c r="T6" s="17"/>
      <c r="U6" s="17"/>
      <c r="V6" s="17"/>
    </row>
    <row r="7" spans="1:22" ht="18.75">
      <c r="A7" s="18" t="s">
        <v>12</v>
      </c>
      <c r="B7" s="19" t="s">
        <v>13</v>
      </c>
      <c r="C7" s="20">
        <v>292</v>
      </c>
      <c r="D7" s="21">
        <v>297</v>
      </c>
      <c r="E7" s="21">
        <v>301</v>
      </c>
      <c r="F7" s="22">
        <v>306</v>
      </c>
      <c r="M7" s="17"/>
      <c r="N7" s="17"/>
      <c r="O7" s="17"/>
      <c r="P7" s="17"/>
      <c r="Q7" s="17"/>
      <c r="R7" s="17"/>
      <c r="S7" s="17"/>
      <c r="T7" s="17"/>
      <c r="U7" s="17"/>
      <c r="V7" s="17"/>
    </row>
    <row r="8" spans="1:22" ht="22.5">
      <c r="A8" s="23" t="s">
        <v>14</v>
      </c>
      <c r="B8" s="24" t="s">
        <v>15</v>
      </c>
      <c r="C8" s="25">
        <v>39</v>
      </c>
      <c r="D8" s="26">
        <v>39</v>
      </c>
      <c r="E8" s="26">
        <v>39</v>
      </c>
      <c r="F8" s="27">
        <v>39</v>
      </c>
      <c r="M8" s="17"/>
      <c r="N8" s="17"/>
      <c r="O8" s="17"/>
      <c r="P8" s="17"/>
      <c r="Q8" s="17"/>
      <c r="R8" s="17"/>
      <c r="S8" s="17"/>
      <c r="T8" s="17"/>
      <c r="U8" s="17"/>
      <c r="V8" s="17"/>
    </row>
    <row r="9" spans="1:22" ht="22.5">
      <c r="A9" s="23" t="s">
        <v>16</v>
      </c>
      <c r="B9" s="24" t="s">
        <v>17</v>
      </c>
      <c r="C9" s="25">
        <v>253.1</v>
      </c>
      <c r="D9" s="26">
        <v>258</v>
      </c>
      <c r="E9" s="26">
        <f>165.193+97.091</f>
        <v>262.28399999999999</v>
      </c>
      <c r="F9" s="27">
        <v>267</v>
      </c>
      <c r="M9" s="17"/>
      <c r="N9" s="17"/>
      <c r="O9" s="17"/>
      <c r="P9" s="17"/>
      <c r="Q9" s="17"/>
      <c r="R9" s="17"/>
      <c r="S9" s="17"/>
      <c r="T9" s="17"/>
      <c r="U9" s="17"/>
      <c r="V9" s="17"/>
    </row>
    <row r="10" spans="1:22" ht="18.75">
      <c r="A10" s="18" t="s">
        <v>18</v>
      </c>
      <c r="B10" s="19" t="s">
        <v>19</v>
      </c>
      <c r="C10" s="20">
        <v>135291</v>
      </c>
      <c r="D10" s="21">
        <v>133742</v>
      </c>
      <c r="E10" s="21">
        <v>136137</v>
      </c>
      <c r="F10" s="22">
        <f>SUM(F11:F19)</f>
        <v>143947.33000000002</v>
      </c>
      <c r="M10" s="17"/>
      <c r="N10" s="17"/>
      <c r="O10" s="17"/>
      <c r="P10" s="17"/>
      <c r="Q10" s="17"/>
      <c r="R10" s="17"/>
      <c r="S10" s="17"/>
      <c r="T10" s="17"/>
      <c r="U10" s="17"/>
      <c r="V10" s="17"/>
    </row>
    <row r="11" spans="1:22" ht="18.75">
      <c r="A11" s="23" t="s">
        <v>20</v>
      </c>
      <c r="B11" s="24" t="s">
        <v>21</v>
      </c>
      <c r="C11" s="25">
        <v>244</v>
      </c>
      <c r="D11" s="26">
        <v>214</v>
      </c>
      <c r="E11" s="26">
        <v>189</v>
      </c>
      <c r="F11" s="27">
        <v>184</v>
      </c>
      <c r="M11" s="17"/>
      <c r="N11" s="17"/>
      <c r="O11" s="17"/>
      <c r="P11" s="17"/>
      <c r="Q11" s="17"/>
      <c r="R11" s="17"/>
      <c r="S11" s="17"/>
      <c r="T11" s="17"/>
      <c r="U11" s="17"/>
      <c r="V11" s="17"/>
    </row>
    <row r="12" spans="1:22" ht="18.75">
      <c r="A12" s="23" t="s">
        <v>22</v>
      </c>
      <c r="B12" s="24" t="s">
        <v>23</v>
      </c>
      <c r="C12" s="25">
        <v>308</v>
      </c>
      <c r="D12" s="26">
        <v>297</v>
      </c>
      <c r="E12" s="26">
        <v>290</v>
      </c>
      <c r="F12" s="27">
        <v>292</v>
      </c>
      <c r="M12" s="17"/>
      <c r="N12" s="17"/>
      <c r="O12" s="17"/>
      <c r="P12" s="17"/>
      <c r="Q12" s="17"/>
      <c r="R12" s="17"/>
      <c r="S12" s="17"/>
      <c r="T12" s="17"/>
      <c r="U12" s="17"/>
      <c r="V12" s="17"/>
    </row>
    <row r="13" spans="1:22" s="28" customFormat="1" ht="18.75">
      <c r="A13" s="23" t="s">
        <v>24</v>
      </c>
      <c r="B13" s="24" t="s">
        <v>25</v>
      </c>
      <c r="C13" s="25">
        <v>752</v>
      </c>
      <c r="D13" s="26">
        <v>757</v>
      </c>
      <c r="E13" s="26">
        <v>795</v>
      </c>
      <c r="F13" s="27">
        <v>843</v>
      </c>
      <c r="M13" s="17"/>
      <c r="N13" s="17"/>
      <c r="O13" s="17"/>
      <c r="P13" s="17"/>
      <c r="Q13" s="17"/>
      <c r="R13" s="17"/>
      <c r="S13" s="17"/>
      <c r="T13" s="17"/>
      <c r="U13" s="17"/>
      <c r="V13" s="17"/>
    </row>
    <row r="14" spans="1:22" ht="18.75">
      <c r="A14" s="23" t="s">
        <v>26</v>
      </c>
      <c r="B14" s="24" t="s">
        <v>27</v>
      </c>
      <c r="C14" s="25">
        <v>1827</v>
      </c>
      <c r="D14" s="26">
        <v>1757</v>
      </c>
      <c r="E14" s="26">
        <v>1593</v>
      </c>
      <c r="F14" s="27">
        <v>1495</v>
      </c>
      <c r="M14" s="17"/>
      <c r="N14" s="17"/>
      <c r="O14" s="17"/>
      <c r="P14" s="17"/>
      <c r="Q14" s="17"/>
      <c r="R14" s="17"/>
      <c r="S14" s="17"/>
      <c r="T14" s="17"/>
      <c r="U14" s="17"/>
      <c r="V14" s="17"/>
    </row>
    <row r="15" spans="1:22" ht="18.75">
      <c r="A15" s="23" t="s">
        <v>28</v>
      </c>
      <c r="B15" s="24" t="s">
        <v>29</v>
      </c>
      <c r="C15" s="25">
        <v>3290</v>
      </c>
      <c r="D15" s="26">
        <v>3180</v>
      </c>
      <c r="E15" s="26">
        <v>2970</v>
      </c>
      <c r="F15" s="27">
        <v>2844.33</v>
      </c>
      <c r="M15" s="17"/>
      <c r="N15" s="17"/>
      <c r="O15" s="17"/>
      <c r="P15" s="17"/>
      <c r="Q15" s="17"/>
      <c r="R15" s="17"/>
      <c r="S15" s="17"/>
      <c r="T15" s="17"/>
      <c r="U15" s="17"/>
      <c r="V15" s="17"/>
    </row>
    <row r="16" spans="1:22" ht="18.75">
      <c r="A16" s="23" t="s">
        <v>30</v>
      </c>
      <c r="B16" s="24" t="s">
        <v>31</v>
      </c>
      <c r="C16" s="25">
        <v>6513</v>
      </c>
      <c r="D16" s="26">
        <v>6055</v>
      </c>
      <c r="E16" s="26">
        <v>5690</v>
      </c>
      <c r="F16" s="27">
        <v>5480</v>
      </c>
      <c r="M16" s="17"/>
      <c r="N16" s="17"/>
      <c r="O16" s="17"/>
      <c r="P16" s="17"/>
      <c r="Q16" s="17"/>
      <c r="R16" s="17"/>
      <c r="S16" s="17"/>
      <c r="T16" s="17"/>
      <c r="U16" s="17"/>
      <c r="V16" s="17"/>
    </row>
    <row r="17" spans="1:22" ht="18.75">
      <c r="A17" s="23">
        <v>23501940</v>
      </c>
      <c r="B17" s="24" t="s">
        <v>32</v>
      </c>
      <c r="C17" s="25">
        <v>21831</v>
      </c>
      <c r="D17" s="26">
        <v>20276</v>
      </c>
      <c r="E17" s="26">
        <v>19226</v>
      </c>
      <c r="F17" s="27">
        <v>18704</v>
      </c>
      <c r="M17" s="17"/>
      <c r="N17" s="17"/>
      <c r="O17" s="17"/>
      <c r="P17" s="17"/>
      <c r="Q17" s="17"/>
      <c r="R17" s="17"/>
      <c r="S17" s="17"/>
      <c r="T17" s="17"/>
      <c r="U17" s="17"/>
      <c r="V17" s="17"/>
    </row>
    <row r="18" spans="1:22" ht="18.75">
      <c r="A18" s="23" t="s">
        <v>33</v>
      </c>
      <c r="B18" s="24" t="s">
        <v>34</v>
      </c>
      <c r="C18" s="25">
        <v>66635</v>
      </c>
      <c r="D18" s="26">
        <v>65173</v>
      </c>
      <c r="E18" s="26">
        <v>65931</v>
      </c>
      <c r="F18" s="27">
        <v>68641</v>
      </c>
      <c r="M18" s="17"/>
      <c r="N18" s="17"/>
      <c r="O18" s="17"/>
      <c r="P18" s="17"/>
      <c r="Q18" s="17"/>
      <c r="R18" s="17"/>
      <c r="S18" s="17"/>
      <c r="T18" s="17"/>
      <c r="U18" s="17"/>
      <c r="V18" s="17"/>
    </row>
    <row r="19" spans="1:22" ht="22.5">
      <c r="A19" s="23" t="s">
        <v>35</v>
      </c>
      <c r="B19" s="24" t="s">
        <v>36</v>
      </c>
      <c r="C19" s="29">
        <v>33891</v>
      </c>
      <c r="D19" s="30">
        <v>36033</v>
      </c>
      <c r="E19" s="30">
        <v>39453</v>
      </c>
      <c r="F19" s="31">
        <v>45464</v>
      </c>
      <c r="M19" s="17"/>
      <c r="N19" s="17"/>
      <c r="O19" s="17"/>
      <c r="P19" s="17"/>
      <c r="Q19" s="17"/>
      <c r="R19" s="17"/>
      <c r="S19" s="17"/>
      <c r="T19" s="17"/>
      <c r="U19" s="17"/>
      <c r="V19" s="17"/>
    </row>
    <row r="20" spans="1:22" ht="18.75">
      <c r="A20" s="32" t="s">
        <v>37</v>
      </c>
      <c r="B20" s="33" t="s">
        <v>38</v>
      </c>
      <c r="C20" s="34">
        <v>29.18</v>
      </c>
      <c r="D20" s="35">
        <v>30.29</v>
      </c>
      <c r="E20" s="35">
        <v>31.87</v>
      </c>
      <c r="F20" s="36">
        <v>33.409999999999997</v>
      </c>
      <c r="M20" s="17"/>
      <c r="N20" s="17"/>
      <c r="O20" s="17"/>
      <c r="P20" s="17"/>
      <c r="Q20" s="17"/>
      <c r="R20" s="17"/>
      <c r="S20" s="17"/>
      <c r="T20" s="17"/>
      <c r="U20" s="17"/>
      <c r="V20" s="17"/>
    </row>
    <row r="21" spans="1:22" ht="23.25">
      <c r="A21" s="37" t="s">
        <v>39</v>
      </c>
      <c r="B21" s="38" t="s">
        <v>40</v>
      </c>
      <c r="E21"/>
    </row>
    <row r="22" spans="1:22" s="40" customFormat="1" ht="23.25">
      <c r="A22" s="37" t="s">
        <v>41</v>
      </c>
      <c r="B22" s="39" t="s">
        <v>42</v>
      </c>
    </row>
    <row r="23" spans="1:22" s="40" customFormat="1" ht="23.25">
      <c r="A23" s="37" t="s">
        <v>43</v>
      </c>
      <c r="B23" s="39" t="s">
        <v>44</v>
      </c>
    </row>
    <row r="24" spans="1:22" s="40" customFormat="1" ht="31.5">
      <c r="A24" s="37" t="s">
        <v>45</v>
      </c>
      <c r="B24" s="39" t="s">
        <v>46</v>
      </c>
    </row>
    <row r="25" spans="1:22" s="40" customFormat="1">
      <c r="B25" s="41"/>
    </row>
    <row r="26" spans="1:22" s="40" customFormat="1">
      <c r="B26" s="41"/>
    </row>
    <row r="27" spans="1:22" s="40" customFormat="1">
      <c r="B27" s="41"/>
    </row>
    <row r="28" spans="1:22" s="40" customFormat="1">
      <c r="B28" s="41"/>
    </row>
    <row r="29" spans="1:22" s="40" customFormat="1">
      <c r="B29" s="41"/>
    </row>
    <row r="30" spans="1:22" s="40" customFormat="1">
      <c r="B30" s="41"/>
    </row>
    <row r="31" spans="1:22" s="40" customFormat="1">
      <c r="B31" s="41"/>
    </row>
    <row r="32" spans="1:22" s="40" customFormat="1">
      <c r="B32" s="41"/>
    </row>
    <row r="33" spans="2:2" s="40" customFormat="1">
      <c r="B33" s="41"/>
    </row>
    <row r="34" spans="2:2" s="40" customFormat="1">
      <c r="B34" s="41"/>
    </row>
    <row r="35" spans="2:2" s="40" customFormat="1">
      <c r="B35" s="41"/>
    </row>
    <row r="36" spans="2:2" s="40" customFormat="1">
      <c r="B36" s="41"/>
    </row>
    <row r="37" spans="2:2" s="40" customFormat="1">
      <c r="B37" s="41"/>
    </row>
    <row r="38" spans="2:2" s="40" customFormat="1">
      <c r="B38" s="41"/>
    </row>
    <row r="39" spans="2:2" s="40" customFormat="1">
      <c r="B39" s="41"/>
    </row>
    <row r="40" spans="2:2" s="40" customFormat="1">
      <c r="B40" s="41"/>
    </row>
    <row r="41" spans="2:2" s="40" customFormat="1">
      <c r="B41" s="41"/>
    </row>
    <row r="42" spans="2:2" s="40" customFormat="1">
      <c r="B42" s="41"/>
    </row>
    <row r="43" spans="2:2" s="40" customFormat="1">
      <c r="B43" s="41"/>
    </row>
    <row r="44" spans="2:2" s="40" customFormat="1">
      <c r="B44" s="41"/>
    </row>
    <row r="45" spans="2:2" s="40" customFormat="1">
      <c r="B45" s="41"/>
    </row>
    <row r="46" spans="2:2" s="40" customFormat="1">
      <c r="B46" s="41"/>
    </row>
    <row r="47" spans="2:2" s="40" customFormat="1">
      <c r="B47" s="41"/>
    </row>
    <row r="48" spans="2:2" s="40" customFormat="1">
      <c r="B48" s="41"/>
    </row>
    <row r="49" spans="2:2" s="40" customFormat="1">
      <c r="B49" s="41"/>
    </row>
    <row r="50" spans="2:2" s="40" customFormat="1">
      <c r="B50" s="41"/>
    </row>
    <row r="51" spans="2:2" s="40" customFormat="1">
      <c r="B51" s="41"/>
    </row>
    <row r="52" spans="2:2" s="40" customFormat="1">
      <c r="B52" s="41"/>
    </row>
    <row r="53" spans="2:2" s="40" customFormat="1">
      <c r="B53" s="41"/>
    </row>
    <row r="54" spans="2:2" s="40" customFormat="1">
      <c r="B54" s="41"/>
    </row>
    <row r="55" spans="2:2" s="40" customFormat="1">
      <c r="B55" s="41"/>
    </row>
    <row r="56" spans="2:2" s="40" customFormat="1">
      <c r="B56" s="41"/>
    </row>
    <row r="57" spans="2:2" s="40" customFormat="1">
      <c r="B57" s="41"/>
    </row>
    <row r="58" spans="2:2" s="40" customFormat="1">
      <c r="B58" s="41"/>
    </row>
    <row r="59" spans="2:2" s="40" customFormat="1">
      <c r="B59" s="41"/>
    </row>
    <row r="60" spans="2:2" s="40" customFormat="1">
      <c r="B60" s="41"/>
    </row>
    <row r="61" spans="2:2" s="40" customFormat="1">
      <c r="B61" s="41"/>
    </row>
    <row r="62" spans="2:2" s="40" customFormat="1">
      <c r="B62" s="41"/>
    </row>
    <row r="63" spans="2:2" s="40" customFormat="1">
      <c r="B63" s="41"/>
    </row>
    <row r="64" spans="2:2" s="40" customFormat="1">
      <c r="B64" s="41"/>
    </row>
    <row r="65" spans="2:2" s="40" customFormat="1">
      <c r="B65" s="41"/>
    </row>
    <row r="66" spans="2:2" s="40" customFormat="1">
      <c r="B66" s="41"/>
    </row>
    <row r="67" spans="2:2" s="40" customFormat="1">
      <c r="B67" s="41"/>
    </row>
    <row r="68" spans="2:2" s="40" customFormat="1">
      <c r="B68" s="41"/>
    </row>
    <row r="69" spans="2:2" s="40" customFormat="1">
      <c r="B69" s="41"/>
    </row>
    <row r="70" spans="2:2" s="40" customFormat="1">
      <c r="B70" s="41"/>
    </row>
    <row r="71" spans="2:2" s="40" customFormat="1">
      <c r="B71" s="41"/>
    </row>
    <row r="72" spans="2:2" s="40" customFormat="1">
      <c r="B72" s="41"/>
    </row>
    <row r="73" spans="2:2" s="40" customFormat="1">
      <c r="B73" s="41"/>
    </row>
    <row r="74" spans="2:2" s="40" customFormat="1">
      <c r="B74" s="41"/>
    </row>
    <row r="75" spans="2:2" s="40" customFormat="1">
      <c r="B75" s="41"/>
    </row>
    <row r="76" spans="2:2" s="40" customFormat="1">
      <c r="B76" s="41"/>
    </row>
    <row r="77" spans="2:2" s="40" customFormat="1">
      <c r="B77" s="41"/>
    </row>
    <row r="78" spans="2:2" s="40" customFormat="1">
      <c r="B78" s="41"/>
    </row>
    <row r="79" spans="2:2" s="40" customFormat="1">
      <c r="B79" s="41"/>
    </row>
    <row r="80" spans="2:2" s="40" customFormat="1">
      <c r="B80" s="41"/>
    </row>
    <row r="81" spans="2:2" s="40" customFormat="1">
      <c r="B81" s="41"/>
    </row>
    <row r="82" spans="2:2" s="40" customFormat="1">
      <c r="B82" s="41"/>
    </row>
    <row r="83" spans="2:2" s="40" customFormat="1">
      <c r="B83" s="41"/>
    </row>
    <row r="84" spans="2:2" s="40" customFormat="1">
      <c r="B84" s="41"/>
    </row>
    <row r="85" spans="2:2" s="40" customFormat="1">
      <c r="B85" s="41"/>
    </row>
    <row r="86" spans="2:2" s="40" customFormat="1">
      <c r="B86" s="41"/>
    </row>
    <row r="87" spans="2:2" s="40" customFormat="1">
      <c r="B87" s="41"/>
    </row>
    <row r="88" spans="2:2" s="40" customFormat="1">
      <c r="B88" s="41"/>
    </row>
    <row r="89" spans="2:2" s="40" customFormat="1">
      <c r="B89" s="41"/>
    </row>
    <row r="90" spans="2:2" s="40" customFormat="1">
      <c r="B90" s="41"/>
    </row>
    <row r="91" spans="2:2" s="40" customFormat="1">
      <c r="B91" s="41"/>
    </row>
    <row r="92" spans="2:2" s="40" customFormat="1">
      <c r="B92" s="41"/>
    </row>
    <row r="93" spans="2:2" s="40" customFormat="1">
      <c r="B93" s="41"/>
    </row>
    <row r="94" spans="2:2" s="40" customFormat="1">
      <c r="B94" s="41"/>
    </row>
    <row r="95" spans="2:2" s="40" customFormat="1">
      <c r="B95" s="41"/>
    </row>
    <row r="96" spans="2:2" s="40" customFormat="1">
      <c r="B96" s="41"/>
    </row>
    <row r="97" spans="2:2" s="40" customFormat="1">
      <c r="B97" s="41"/>
    </row>
    <row r="98" spans="2:2" s="40" customFormat="1">
      <c r="B98" s="41"/>
    </row>
    <row r="99" spans="2:2" s="40" customFormat="1">
      <c r="B99" s="41"/>
    </row>
    <row r="100" spans="2:2" s="40" customFormat="1">
      <c r="B100" s="41"/>
    </row>
    <row r="101" spans="2:2" s="40" customFormat="1">
      <c r="B101" s="41"/>
    </row>
    <row r="102" spans="2:2" s="40" customFormat="1">
      <c r="B102" s="41"/>
    </row>
    <row r="103" spans="2:2" s="40" customFormat="1">
      <c r="B103" s="41"/>
    </row>
    <row r="104" spans="2:2" s="40" customFormat="1">
      <c r="B104" s="41"/>
    </row>
    <row r="105" spans="2:2" s="40" customFormat="1">
      <c r="B105" s="41"/>
    </row>
    <row r="106" spans="2:2" s="40" customFormat="1">
      <c r="B106" s="41"/>
    </row>
    <row r="107" spans="2:2" s="40" customFormat="1">
      <c r="B107" s="41"/>
    </row>
    <row r="108" spans="2:2" s="40" customFormat="1">
      <c r="B108" s="41"/>
    </row>
    <row r="109" spans="2:2" s="40" customFormat="1">
      <c r="B109" s="41"/>
    </row>
    <row r="110" spans="2:2" s="40" customFormat="1">
      <c r="B110" s="41"/>
    </row>
    <row r="111" spans="2:2" s="40" customFormat="1">
      <c r="B111" s="41"/>
    </row>
    <row r="112" spans="2:2" s="40" customFormat="1">
      <c r="B112" s="41"/>
    </row>
    <row r="113" spans="2:2" s="40" customFormat="1">
      <c r="B113" s="41"/>
    </row>
    <row r="114" spans="2:2" s="40" customFormat="1">
      <c r="B114" s="41"/>
    </row>
    <row r="115" spans="2:2" s="40" customFormat="1">
      <c r="B115" s="41"/>
    </row>
    <row r="116" spans="2:2" s="40" customFormat="1">
      <c r="B116" s="41"/>
    </row>
    <row r="117" spans="2:2" s="40" customFormat="1">
      <c r="B117" s="41"/>
    </row>
    <row r="118" spans="2:2" s="40" customFormat="1">
      <c r="B118" s="41"/>
    </row>
    <row r="119" spans="2:2" s="40" customFormat="1">
      <c r="B119" s="41"/>
    </row>
    <row r="120" spans="2:2" s="40" customFormat="1">
      <c r="B120" s="41"/>
    </row>
    <row r="121" spans="2:2" s="40" customFormat="1">
      <c r="B121" s="41"/>
    </row>
    <row r="122" spans="2:2" s="40" customFormat="1">
      <c r="B122" s="41"/>
    </row>
    <row r="123" spans="2:2" s="40" customFormat="1">
      <c r="B123" s="41"/>
    </row>
    <row r="124" spans="2:2" s="40" customFormat="1">
      <c r="B124" s="41"/>
    </row>
    <row r="125" spans="2:2" s="40" customFormat="1">
      <c r="B125" s="41"/>
    </row>
    <row r="126" spans="2:2" s="40" customFormat="1">
      <c r="B126" s="41"/>
    </row>
    <row r="127" spans="2:2" s="40" customFormat="1">
      <c r="B127" s="41"/>
    </row>
    <row r="128" spans="2:2" s="40" customFormat="1">
      <c r="B128" s="41"/>
    </row>
    <row r="129" spans="2:2" s="40" customFormat="1">
      <c r="B129" s="41"/>
    </row>
    <row r="130" spans="2:2" s="40" customFormat="1">
      <c r="B130" s="41"/>
    </row>
    <row r="131" spans="2:2" s="40" customFormat="1">
      <c r="B131" s="41"/>
    </row>
    <row r="132" spans="2:2" s="40" customFormat="1">
      <c r="B132" s="41"/>
    </row>
    <row r="133" spans="2:2" s="40" customFormat="1">
      <c r="B133" s="41"/>
    </row>
    <row r="134" spans="2:2" s="40" customFormat="1">
      <c r="B134" s="41"/>
    </row>
    <row r="135" spans="2:2" s="40" customFormat="1">
      <c r="B135" s="41"/>
    </row>
    <row r="136" spans="2:2" s="40" customFormat="1">
      <c r="B136" s="41"/>
    </row>
    <row r="137" spans="2:2" s="40" customFormat="1">
      <c r="B137" s="41"/>
    </row>
    <row r="138" spans="2:2" s="40" customFormat="1">
      <c r="B138" s="41"/>
    </row>
    <row r="139" spans="2:2" s="40" customFormat="1">
      <c r="B139" s="41"/>
    </row>
    <row r="140" spans="2:2" s="40" customFormat="1">
      <c r="B140" s="41"/>
    </row>
    <row r="141" spans="2:2" s="40" customFormat="1">
      <c r="B141" s="41"/>
    </row>
    <row r="142" spans="2:2" s="40" customFormat="1">
      <c r="B142" s="41"/>
    </row>
    <row r="143" spans="2:2" s="40" customFormat="1">
      <c r="B143" s="41"/>
    </row>
    <row r="144" spans="2:2" s="40" customFormat="1">
      <c r="B144" s="41"/>
    </row>
    <row r="145" spans="2:2" s="40" customFormat="1">
      <c r="B145" s="41"/>
    </row>
    <row r="146" spans="2:2" s="40" customFormat="1">
      <c r="B146" s="41"/>
    </row>
    <row r="147" spans="2:2" s="40" customFormat="1">
      <c r="B147" s="41"/>
    </row>
    <row r="148" spans="2:2" s="40" customFormat="1">
      <c r="B148" s="41"/>
    </row>
    <row r="149" spans="2:2" s="40" customFormat="1">
      <c r="B149" s="41"/>
    </row>
    <row r="150" spans="2:2" s="40" customFormat="1">
      <c r="B150" s="41"/>
    </row>
    <row r="151" spans="2:2" s="40" customFormat="1">
      <c r="B151" s="41"/>
    </row>
    <row r="152" spans="2:2" s="40" customFormat="1">
      <c r="B152" s="41"/>
    </row>
    <row r="153" spans="2:2" s="40" customFormat="1">
      <c r="B153" s="41"/>
    </row>
    <row r="154" spans="2:2" s="40" customFormat="1">
      <c r="B154" s="41"/>
    </row>
    <row r="155" spans="2:2" s="40" customFormat="1">
      <c r="B155" s="41"/>
    </row>
    <row r="156" spans="2:2" s="40" customFormat="1">
      <c r="B156" s="41"/>
    </row>
    <row r="157" spans="2:2" s="40" customFormat="1">
      <c r="B157" s="41"/>
    </row>
    <row r="158" spans="2:2" s="40" customFormat="1">
      <c r="B158" s="41"/>
    </row>
    <row r="159" spans="2:2" s="40" customFormat="1">
      <c r="B159" s="41"/>
    </row>
    <row r="160" spans="2:2" s="40" customFormat="1">
      <c r="B160" s="41"/>
    </row>
    <row r="161" spans="2:2" s="40" customFormat="1">
      <c r="B161" s="41"/>
    </row>
    <row r="162" spans="2:2" s="40" customFormat="1">
      <c r="B162" s="41"/>
    </row>
    <row r="163" spans="2:2" s="40" customFormat="1">
      <c r="B163" s="41"/>
    </row>
    <row r="164" spans="2:2" s="40" customFormat="1">
      <c r="B164" s="41"/>
    </row>
    <row r="165" spans="2:2" s="40" customFormat="1">
      <c r="B165" s="41"/>
    </row>
    <row r="166" spans="2:2" s="40" customFormat="1">
      <c r="B166" s="41"/>
    </row>
    <row r="167" spans="2:2" s="40" customFormat="1">
      <c r="B167" s="41"/>
    </row>
    <row r="168" spans="2:2" s="40" customFormat="1">
      <c r="B168" s="41"/>
    </row>
    <row r="169" spans="2:2" s="40" customFormat="1">
      <c r="B169" s="41"/>
    </row>
    <row r="170" spans="2:2" s="40" customFormat="1">
      <c r="B170" s="41"/>
    </row>
    <row r="171" spans="2:2" s="40" customFormat="1">
      <c r="B171" s="41"/>
    </row>
    <row r="172" spans="2:2" s="40" customFormat="1">
      <c r="B172" s="41"/>
    </row>
    <row r="173" spans="2:2" s="40" customFormat="1">
      <c r="B173" s="41"/>
    </row>
    <row r="174" spans="2:2" s="40" customFormat="1">
      <c r="B174" s="41"/>
    </row>
    <row r="175" spans="2:2" s="40" customFormat="1">
      <c r="B175" s="41"/>
    </row>
    <row r="176" spans="2:2" s="40" customFormat="1">
      <c r="B176" s="41"/>
    </row>
    <row r="177" spans="2:2" s="40" customFormat="1">
      <c r="B177" s="41"/>
    </row>
    <row r="178" spans="2:2" s="40" customFormat="1">
      <c r="B178" s="41"/>
    </row>
    <row r="179" spans="2:2" s="40" customFormat="1">
      <c r="B179" s="41"/>
    </row>
    <row r="180" spans="2:2" s="40" customFormat="1">
      <c r="B180" s="41"/>
    </row>
    <row r="181" spans="2:2" s="40" customFormat="1">
      <c r="B181" s="41"/>
    </row>
    <row r="182" spans="2:2" s="40" customFormat="1">
      <c r="B182" s="41"/>
    </row>
    <row r="183" spans="2:2" s="40" customFormat="1">
      <c r="B183" s="41"/>
    </row>
    <row r="184" spans="2:2" s="40" customFormat="1">
      <c r="B184" s="41"/>
    </row>
    <row r="185" spans="2:2" s="40" customFormat="1">
      <c r="B185" s="41"/>
    </row>
    <row r="186" spans="2:2" s="40" customFormat="1">
      <c r="B186" s="41"/>
    </row>
    <row r="187" spans="2:2" s="40" customFormat="1">
      <c r="B187" s="41"/>
    </row>
    <row r="188" spans="2:2" s="40" customFormat="1">
      <c r="B188" s="41"/>
    </row>
    <row r="189" spans="2:2" s="40" customFormat="1">
      <c r="B189" s="41"/>
    </row>
    <row r="190" spans="2:2" s="40" customFormat="1">
      <c r="B190" s="41"/>
    </row>
    <row r="191" spans="2:2" s="40" customFormat="1">
      <c r="B191" s="41"/>
    </row>
    <row r="192" spans="2:2" s="40" customFormat="1">
      <c r="B192" s="41"/>
    </row>
    <row r="193" spans="2:2" s="40" customFormat="1">
      <c r="B193" s="41"/>
    </row>
    <row r="194" spans="2:2" s="40" customFormat="1">
      <c r="B194" s="41"/>
    </row>
    <row r="195" spans="2:2" s="40" customFormat="1">
      <c r="B195" s="41"/>
    </row>
    <row r="196" spans="2:2" s="40" customFormat="1">
      <c r="B196" s="41"/>
    </row>
    <row r="197" spans="2:2" s="40" customFormat="1">
      <c r="B197" s="41"/>
    </row>
    <row r="198" spans="2:2" s="40" customFormat="1">
      <c r="B198" s="41"/>
    </row>
    <row r="199" spans="2:2" s="40" customFormat="1">
      <c r="B199" s="41"/>
    </row>
    <row r="200" spans="2:2" s="40" customFormat="1">
      <c r="B200" s="41"/>
    </row>
    <row r="201" spans="2:2" s="40" customFormat="1">
      <c r="B201" s="41"/>
    </row>
    <row r="202" spans="2:2" s="40" customFormat="1">
      <c r="B202" s="41"/>
    </row>
    <row r="203" spans="2:2" s="40" customFormat="1">
      <c r="B203" s="41"/>
    </row>
    <row r="204" spans="2:2" s="40" customFormat="1">
      <c r="B204" s="41"/>
    </row>
    <row r="205" spans="2:2" s="40" customFormat="1">
      <c r="B205" s="41"/>
    </row>
    <row r="206" spans="2:2" s="40" customFormat="1">
      <c r="B206" s="41"/>
    </row>
    <row r="207" spans="2:2" s="40" customFormat="1">
      <c r="B207" s="41"/>
    </row>
    <row r="208" spans="2:2" s="40" customFormat="1">
      <c r="B208" s="41"/>
    </row>
    <row r="209" spans="2:2" s="40" customFormat="1">
      <c r="B209" s="41"/>
    </row>
    <row r="210" spans="2:2" s="40" customFormat="1">
      <c r="B210" s="41"/>
    </row>
    <row r="211" spans="2:2" s="40" customFormat="1">
      <c r="B211" s="41"/>
    </row>
    <row r="212" spans="2:2" s="40" customFormat="1">
      <c r="B212" s="41"/>
    </row>
    <row r="213" spans="2:2" s="40" customFormat="1">
      <c r="B213" s="41"/>
    </row>
    <row r="214" spans="2:2" s="40" customFormat="1">
      <c r="B214" s="41"/>
    </row>
    <row r="215" spans="2:2" s="40" customFormat="1">
      <c r="B215" s="41"/>
    </row>
    <row r="216" spans="2:2" s="40" customFormat="1">
      <c r="B216" s="41"/>
    </row>
    <row r="217" spans="2:2" s="40" customFormat="1">
      <c r="B217" s="41"/>
    </row>
    <row r="218" spans="2:2" s="40" customFormat="1">
      <c r="B218" s="41"/>
    </row>
    <row r="219" spans="2:2" s="40" customFormat="1">
      <c r="B219" s="41"/>
    </row>
    <row r="220" spans="2:2" s="40" customFormat="1">
      <c r="B220" s="41"/>
    </row>
    <row r="221" spans="2:2" s="40" customFormat="1">
      <c r="B221" s="41"/>
    </row>
    <row r="222" spans="2:2" s="40" customFormat="1">
      <c r="B222" s="41"/>
    </row>
    <row r="223" spans="2:2" s="40" customFormat="1">
      <c r="B223" s="41"/>
    </row>
    <row r="224" spans="2:2" s="40" customFormat="1">
      <c r="B224" s="41"/>
    </row>
    <row r="225" spans="2:2" s="40" customFormat="1">
      <c r="B225" s="41"/>
    </row>
    <row r="226" spans="2:2" s="40" customFormat="1">
      <c r="B226" s="41"/>
    </row>
    <row r="227" spans="2:2" s="40" customFormat="1">
      <c r="B227" s="41"/>
    </row>
    <row r="228" spans="2:2" s="40" customFormat="1">
      <c r="B228" s="41"/>
    </row>
    <row r="229" spans="2:2" s="40" customFormat="1">
      <c r="B229" s="41"/>
    </row>
    <row r="230" spans="2:2" s="40" customFormat="1">
      <c r="B230" s="41"/>
    </row>
    <row r="231" spans="2:2" s="40" customFormat="1">
      <c r="B231" s="41"/>
    </row>
    <row r="232" spans="2:2" s="40" customFormat="1">
      <c r="B232" s="41"/>
    </row>
    <row r="233" spans="2:2" s="40" customFormat="1">
      <c r="B233" s="41"/>
    </row>
    <row r="234" spans="2:2" s="40" customFormat="1">
      <c r="B234" s="41"/>
    </row>
    <row r="235" spans="2:2" s="40" customFormat="1">
      <c r="B235" s="41"/>
    </row>
    <row r="236" spans="2:2" s="40" customFormat="1">
      <c r="B236" s="41"/>
    </row>
    <row r="237" spans="2:2" s="40" customFormat="1">
      <c r="B237" s="41"/>
    </row>
    <row r="238" spans="2:2" s="40" customFormat="1">
      <c r="B238" s="41"/>
    </row>
    <row r="239" spans="2:2" s="40" customFormat="1">
      <c r="B239" s="41"/>
    </row>
    <row r="240" spans="2:2" s="40" customFormat="1">
      <c r="B240" s="41"/>
    </row>
    <row r="241" spans="2:2" s="40" customFormat="1">
      <c r="B241" s="41"/>
    </row>
    <row r="242" spans="2:2" s="40" customFormat="1">
      <c r="B242" s="41"/>
    </row>
    <row r="243" spans="2:2" s="40" customFormat="1">
      <c r="B243" s="41"/>
    </row>
    <row r="244" spans="2:2" s="40" customFormat="1">
      <c r="B244" s="41"/>
    </row>
    <row r="245" spans="2:2" s="40" customFormat="1">
      <c r="B245" s="41"/>
    </row>
    <row r="246" spans="2:2" s="40" customFormat="1">
      <c r="B246" s="41"/>
    </row>
    <row r="247" spans="2:2" s="40" customFormat="1">
      <c r="B247" s="41"/>
    </row>
    <row r="248" spans="2:2" s="40" customFormat="1">
      <c r="B248" s="41"/>
    </row>
    <row r="249" spans="2:2" s="40" customFormat="1">
      <c r="B249" s="41"/>
    </row>
    <row r="250" spans="2:2" s="40" customFormat="1">
      <c r="B250" s="41"/>
    </row>
    <row r="251" spans="2:2" s="40" customFormat="1">
      <c r="B251" s="41"/>
    </row>
    <row r="252" spans="2:2" s="40" customFormat="1">
      <c r="B252" s="41"/>
    </row>
    <row r="253" spans="2:2" s="40" customFormat="1">
      <c r="B253" s="41"/>
    </row>
    <row r="254" spans="2:2" s="40" customFormat="1">
      <c r="B254" s="41"/>
    </row>
    <row r="255" spans="2:2" s="40" customFormat="1">
      <c r="B255" s="41"/>
    </row>
    <row r="256" spans="2:2" s="40" customFormat="1">
      <c r="B256" s="41"/>
    </row>
    <row r="257" spans="2:2" s="40" customFormat="1">
      <c r="B257" s="41"/>
    </row>
    <row r="258" spans="2:2" s="40" customFormat="1">
      <c r="B258" s="41"/>
    </row>
    <row r="259" spans="2:2" s="40" customFormat="1">
      <c r="B259" s="41"/>
    </row>
    <row r="260" spans="2:2" s="40" customFormat="1">
      <c r="B260" s="41"/>
    </row>
    <row r="261" spans="2:2" s="40" customFormat="1">
      <c r="B261" s="41"/>
    </row>
    <row r="262" spans="2:2" s="40" customFormat="1">
      <c r="B262" s="41"/>
    </row>
    <row r="263" spans="2:2" s="40" customFormat="1">
      <c r="B263" s="41"/>
    </row>
    <row r="264" spans="2:2" s="40" customFormat="1">
      <c r="B264" s="41"/>
    </row>
    <row r="265" spans="2:2" s="40" customFormat="1">
      <c r="B265" s="41"/>
    </row>
    <row r="266" spans="2:2" s="40" customFormat="1">
      <c r="B266" s="41"/>
    </row>
    <row r="267" spans="2:2" s="40" customFormat="1">
      <c r="B267" s="41"/>
    </row>
    <row r="268" spans="2:2" s="40" customFormat="1">
      <c r="B268" s="41"/>
    </row>
    <row r="269" spans="2:2" s="40" customFormat="1">
      <c r="B269" s="41"/>
    </row>
    <row r="270" spans="2:2" s="40" customFormat="1">
      <c r="B270" s="41"/>
    </row>
    <row r="271" spans="2:2" s="40" customFormat="1">
      <c r="B271" s="41"/>
    </row>
    <row r="272" spans="2:2" s="40" customFormat="1">
      <c r="B272" s="41"/>
    </row>
    <row r="273" spans="2:2" s="40" customFormat="1">
      <c r="B273" s="41"/>
    </row>
    <row r="274" spans="2:2" s="40" customFormat="1">
      <c r="B274" s="41"/>
    </row>
    <row r="275" spans="2:2" s="40" customFormat="1">
      <c r="B275" s="41"/>
    </row>
    <row r="276" spans="2:2" s="40" customFormat="1">
      <c r="B276" s="41"/>
    </row>
    <row r="277" spans="2:2" s="40" customFormat="1">
      <c r="B277" s="41"/>
    </row>
    <row r="278" spans="2:2" s="40" customFormat="1">
      <c r="B278" s="41"/>
    </row>
    <row r="279" spans="2:2" s="40" customFormat="1">
      <c r="B279" s="41"/>
    </row>
    <row r="280" spans="2:2" s="40" customFormat="1">
      <c r="B280" s="41"/>
    </row>
    <row r="281" spans="2:2" s="40" customFormat="1">
      <c r="B281" s="41"/>
    </row>
    <row r="282" spans="2:2" s="40" customFormat="1">
      <c r="B282" s="41"/>
    </row>
    <row r="283" spans="2:2" s="40" customFormat="1">
      <c r="B283" s="41"/>
    </row>
    <row r="284" spans="2:2" s="40" customFormat="1">
      <c r="B284" s="41"/>
    </row>
    <row r="285" spans="2:2" s="40" customFormat="1">
      <c r="B285" s="41"/>
    </row>
    <row r="286" spans="2:2" s="40" customFormat="1">
      <c r="B286" s="41"/>
    </row>
    <row r="287" spans="2:2" s="40" customFormat="1">
      <c r="B287" s="41"/>
    </row>
    <row r="288" spans="2:2" s="40" customFormat="1">
      <c r="B288" s="41"/>
    </row>
    <row r="289" spans="2:2" s="40" customFormat="1">
      <c r="B289" s="41"/>
    </row>
    <row r="290" spans="2:2" s="40" customFormat="1">
      <c r="B290" s="41"/>
    </row>
    <row r="291" spans="2:2" s="40" customFormat="1">
      <c r="B291" s="41"/>
    </row>
    <row r="292" spans="2:2" s="40" customFormat="1">
      <c r="B292" s="41"/>
    </row>
    <row r="293" spans="2:2" s="40" customFormat="1">
      <c r="B293" s="41"/>
    </row>
    <row r="294" spans="2:2" s="40" customFormat="1">
      <c r="B294" s="41"/>
    </row>
    <row r="295" spans="2:2" s="40" customFormat="1">
      <c r="B295" s="41"/>
    </row>
    <row r="296" spans="2:2" s="40" customFormat="1">
      <c r="B296" s="41"/>
    </row>
    <row r="297" spans="2:2" s="40" customFormat="1">
      <c r="B297" s="41"/>
    </row>
    <row r="298" spans="2:2" s="40" customFormat="1">
      <c r="B298" s="41"/>
    </row>
    <row r="299" spans="2:2" s="40" customFormat="1">
      <c r="B299" s="41"/>
    </row>
    <row r="300" spans="2:2" s="40" customFormat="1">
      <c r="B300" s="41"/>
    </row>
    <row r="301" spans="2:2" s="40" customFormat="1">
      <c r="B301" s="41"/>
    </row>
    <row r="302" spans="2:2" s="40" customFormat="1">
      <c r="B302" s="41"/>
    </row>
    <row r="303" spans="2:2" s="40" customFormat="1">
      <c r="B303" s="41"/>
    </row>
    <row r="304" spans="2:2" s="40" customFormat="1">
      <c r="B304" s="41"/>
    </row>
    <row r="305" spans="2:2" s="40" customFormat="1">
      <c r="B305" s="41"/>
    </row>
    <row r="306" spans="2:2" s="40" customFormat="1">
      <c r="B306" s="41"/>
    </row>
    <row r="307" spans="2:2" s="40" customFormat="1">
      <c r="B307" s="41"/>
    </row>
    <row r="308" spans="2:2" s="40" customFormat="1">
      <c r="B308" s="41"/>
    </row>
    <row r="309" spans="2:2" s="40" customFormat="1">
      <c r="B309" s="41"/>
    </row>
    <row r="310" spans="2:2" s="40" customFormat="1">
      <c r="B310" s="41"/>
    </row>
    <row r="311" spans="2:2" s="40" customFormat="1">
      <c r="B311" s="41"/>
    </row>
    <row r="312" spans="2:2" s="40" customFormat="1">
      <c r="B312" s="41"/>
    </row>
    <row r="313" spans="2:2" s="40" customFormat="1">
      <c r="B313" s="41"/>
    </row>
    <row r="314" spans="2:2" s="40" customFormat="1">
      <c r="B314" s="41"/>
    </row>
    <row r="315" spans="2:2" s="40" customFormat="1">
      <c r="B315" s="41"/>
    </row>
    <row r="316" spans="2:2" s="40" customFormat="1">
      <c r="B316" s="41"/>
    </row>
    <row r="317" spans="2:2" s="40" customFormat="1">
      <c r="B317" s="41"/>
    </row>
    <row r="318" spans="2:2" s="40" customFormat="1">
      <c r="B318" s="41"/>
    </row>
    <row r="319" spans="2:2" s="40" customFormat="1">
      <c r="B319" s="41"/>
    </row>
    <row r="320" spans="2:2" s="40" customFormat="1">
      <c r="B320" s="41"/>
    </row>
    <row r="321" spans="2:2" s="40" customFormat="1">
      <c r="B321" s="41"/>
    </row>
    <row r="322" spans="2:2" s="40" customFormat="1">
      <c r="B322" s="41"/>
    </row>
    <row r="323" spans="2:2" s="40" customFormat="1">
      <c r="B323" s="41"/>
    </row>
    <row r="324" spans="2:2" s="40" customFormat="1">
      <c r="B324" s="41"/>
    </row>
    <row r="325" spans="2:2" s="40" customFormat="1">
      <c r="B325" s="41"/>
    </row>
    <row r="326" spans="2:2" s="40" customFormat="1">
      <c r="B326" s="41"/>
    </row>
    <row r="327" spans="2:2" s="40" customFormat="1">
      <c r="B327" s="41"/>
    </row>
    <row r="328" spans="2:2" s="40" customFormat="1">
      <c r="B328" s="41"/>
    </row>
    <row r="329" spans="2:2" s="40" customFormat="1">
      <c r="B329" s="41"/>
    </row>
    <row r="330" spans="2:2" s="40" customFormat="1">
      <c r="B330" s="41"/>
    </row>
    <row r="331" spans="2:2" s="40" customFormat="1">
      <c r="B331" s="41"/>
    </row>
    <row r="332" spans="2:2" s="40" customFormat="1">
      <c r="B332" s="41"/>
    </row>
    <row r="333" spans="2:2" s="40" customFormat="1">
      <c r="B333" s="41"/>
    </row>
    <row r="334" spans="2:2" s="40" customFormat="1">
      <c r="B334" s="41"/>
    </row>
    <row r="335" spans="2:2" s="40" customFormat="1">
      <c r="B335" s="41"/>
    </row>
    <row r="336" spans="2:2" s="40" customFormat="1">
      <c r="B336" s="41"/>
    </row>
    <row r="337" spans="2:5" s="40" customFormat="1">
      <c r="B337" s="41"/>
    </row>
    <row r="338" spans="2:5" s="40" customFormat="1">
      <c r="B338" s="41"/>
    </row>
    <row r="339" spans="2:5" s="40" customFormat="1">
      <c r="B339" s="41"/>
    </row>
    <row r="340" spans="2:5" s="40" customFormat="1">
      <c r="B340" s="41"/>
    </row>
    <row r="341" spans="2:5" s="40" customFormat="1">
      <c r="B341" s="41"/>
    </row>
    <row r="342" spans="2:5" s="40" customFormat="1">
      <c r="B342" s="41"/>
    </row>
    <row r="343" spans="2:5" s="40" customFormat="1">
      <c r="B343" s="41"/>
    </row>
    <row r="344" spans="2:5" s="40" customFormat="1">
      <c r="B344" s="41"/>
    </row>
    <row r="345" spans="2:5" s="40" customFormat="1">
      <c r="B345" s="41"/>
    </row>
    <row r="346" spans="2:5" s="40" customFormat="1">
      <c r="B346" s="41"/>
    </row>
    <row r="347" spans="2:5">
      <c r="E347"/>
    </row>
  </sheetData>
  <mergeCells count="2">
    <mergeCell ref="C3:D3"/>
    <mergeCell ref="E3:F3"/>
  </mergeCells>
  <conditionalFormatting sqref="A1:B1">
    <cfRule type="colorScale" priority="2">
      <colorScale>
        <cfvo type="min"/>
        <cfvo type="percentile" val="50"/>
        <cfvo type="max"/>
        <color rgb="FFF8696B"/>
        <color rgb="FFFCFCFF"/>
        <color rgb="FF5A8AC6"/>
      </colorScale>
    </cfRule>
  </conditionalFormatting>
  <conditionalFormatting sqref="A3">
    <cfRule type="colorScale" priority="1">
      <colorScale>
        <cfvo type="min"/>
        <cfvo type="percentile" val="50"/>
        <cfvo type="max"/>
        <color rgb="FFF8696B"/>
        <color rgb="FFFCFCFF"/>
        <color rgb="FF5A8AC6"/>
      </colorScale>
    </cfRule>
  </conditionalFormatting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item1.xml><?xml version="1.0" encoding="utf-8"?>
<?mso-contentType ?>
<spe:Receivers xmlns:spe="http://schemas.microsoft.com/sharepoint/events">
  <Receiver>
    <Name>Policy Auditing</Name>
    <Synchronization>Synchronous</Synchronization>
    <Type>10001</Type>
    <SequenceNumber>1100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10002</Type>
    <SequenceNumber>1101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10004</Type>
    <SequenceNumber>1102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10006</Type>
    <SequenceNumber>1103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10001</Type>
    <SequenceNumber>1100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10002</Type>
    <SequenceNumber>1101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10004</Type>
    <SequenceNumber>1102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10006</Type>
    <SequenceNumber>1103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FiscalYear xmlns="806035d9-ad3b-44db-92a1-1ed4b9daec3e">10</FiscalYear>
    <Frequency xmlns="4a1cef21-950b-48ce-bef3-2690db201377">Quarterly</Frequency>
    <_dlc_DocId xmlns="806035d9-ad3b-44db-92a1-1ed4b9daec3e">7NQWTN4WQ7WA-971242747-372</_dlc_DocId>
    <_dlc_DocIdUrl xmlns="806035d9-ad3b-44db-92a1-1ed4b9daec3e">
      <Url>http://cbe-test-spsql:4050/_layouts/15/DocIdRedir.aspx?ID=7NQWTN4WQ7WA-971242747-372</Url>
      <Description>7NQWTN4WQ7WA-971242747-372</Description>
    </_dlc_DocIdUrl>
  </documentManagement>
</p:properties>
</file>

<file path=customXml/item4.xml><?xml version="1.0" encoding="utf-8"?>
<?mso-contentType ?>
<p:Policy xmlns:p="office.server.policy" id="" local="true">
  <p:Name>Item</p:Name>
  <p:Description/>
  <p:Statement/>
  <p:PolicyItems>
    <p:PolicyItem featureId="Microsoft.Office.RecordsManagement.PolicyFeatures.PolicyAudit" staticId="0x01|8138272" UniqueId="15643b98-5b8c-4cc6-8525-a1174df91319">
      <p:Name>Auditing</p:Name>
      <p:Description>Audits user actions on documents and list items to the Audit Log.</p:Description>
      <p:CustomData>
        <Audit>
          <Update/>
          <View/>
          <CheckInOut/>
          <MoveCopy/>
          <DeleteRestore/>
        </Audit>
      </p:CustomData>
    </p:PolicyItem>
  </p:PolicyItems>
</p:Policy>
</file>

<file path=customXml/item5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F4E389F7C5D8E45A95A9ACBCB8FEC82" ma:contentTypeVersion="13" ma:contentTypeDescription="Create a new document." ma:contentTypeScope="" ma:versionID="efc9e36f38d150810bcf21df0eb12fba">
  <xsd:schema xmlns:xsd="http://www.w3.org/2001/XMLSchema" xmlns:xs="http://www.w3.org/2001/XMLSchema" xmlns:p="http://schemas.microsoft.com/office/2006/metadata/properties" xmlns:ns2="4a1cef21-950b-48ce-bef3-2690db201377" xmlns:ns3="806035d9-ad3b-44db-92a1-1ed4b9daec3e" targetNamespace="http://schemas.microsoft.com/office/2006/metadata/properties" ma:root="true" ma:fieldsID="317a844d70436f96f970225d17e1a7d8" ns2:_="" ns3:_="">
    <xsd:import namespace="4a1cef21-950b-48ce-bef3-2690db201377"/>
    <xsd:import namespace="806035d9-ad3b-44db-92a1-1ed4b9daec3e"/>
    <xsd:element name="properties">
      <xsd:complexType>
        <xsd:sequence>
          <xsd:element name="documentManagement">
            <xsd:complexType>
              <xsd:all>
                <xsd:element ref="ns2:Frequency"/>
                <xsd:element ref="ns3:FiscalYear"/>
                <xsd:element ref="ns3:FiscalYear_x003a_ID" minOccurs="0"/>
                <xsd:element ref="ns3:_dlc_DocId" minOccurs="0"/>
                <xsd:element ref="ns3:_dlc_DocIdUrl" minOccurs="0"/>
                <xsd:element ref="ns3:_dlc_DocIdPersistId" minOccurs="0"/>
                <xsd:element ref="ns3:SharedWithUser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a1cef21-950b-48ce-bef3-2690db201377" elementFormDefault="qualified">
    <xsd:import namespace="http://schemas.microsoft.com/office/2006/documentManagement/types"/>
    <xsd:import namespace="http://schemas.microsoft.com/office/infopath/2007/PartnerControls"/>
    <xsd:element name="Frequency" ma:index="8" ma:displayName="Frequency" ma:format="Dropdown" ma:internalName="Frequency">
      <xsd:simpleType>
        <xsd:restriction base="dms:Choice">
          <xsd:enumeration value="Annual"/>
          <xsd:enumeration value="Quarterly"/>
          <xsd:enumeration value="Monthly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06035d9-ad3b-44db-92a1-1ed4b9daec3e" elementFormDefault="qualified">
    <xsd:import namespace="http://schemas.microsoft.com/office/2006/documentManagement/types"/>
    <xsd:import namespace="http://schemas.microsoft.com/office/infopath/2007/PartnerControls"/>
    <xsd:element name="FiscalYear" ma:index="9" ma:displayName="FiscalYear" ma:list="{e1c7364f-fb95-4c82-9c8c-ff2a6d0674c9}" ma:internalName="FiscalYear" ma:showField="Year" ma:web="806035d9-ad3b-44db-92a1-1ed4b9daec3e">
      <xsd:simpleType>
        <xsd:restriction base="dms:Lookup"/>
      </xsd:simpleType>
    </xsd:element>
    <xsd:element name="FiscalYear_x003a_ID" ma:index="10" nillable="true" ma:displayName="FiscalYear:ID" ma:list="{e1c7364f-fb95-4c82-9c8c-ff2a6d0674c9}" ma:internalName="FiscalYear_x003A_ID" ma:readOnly="true" ma:showField="ID" ma:web="806035d9-ad3b-44db-92a1-1ed4b9daec3e">
      <xsd:simpleType>
        <xsd:restriction base="dms:Lookup"/>
      </xsd:simpleType>
    </xsd:element>
    <xsd:element name="_dlc_DocId" ma:index="11" nillable="true" ma:displayName="Document ID Value" ma:description="The value of the document ID assigned to this item." ma:internalName="_dlc_DocId" ma:readOnly="true">
      <xsd:simpleType>
        <xsd:restriction base="dms:Text"/>
      </xsd:simpleType>
    </xsd:element>
    <xsd:element name="_dlc_DocIdUrl" ma:index="12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3" nillable="true" ma:displayName="Persist ID" ma:description="Keep ID on add." ma:hidden="true" ma:internalName="_dlc_DocIdPersistId" ma:readOnly="true">
      <xsd:simpleType>
        <xsd:restriction base="dms:Boolean"/>
      </xsd:simpleType>
    </xsd:element>
    <xsd:element name="SharedWithUsers" ma:index="14" nillable="true" ma:displayName="Shared With" ma:description="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B88447A1-76D0-4853-8BCA-1B644E0A80AC}"/>
</file>

<file path=customXml/itemProps2.xml><?xml version="1.0" encoding="utf-8"?>
<ds:datastoreItem xmlns:ds="http://schemas.openxmlformats.org/officeDocument/2006/customXml" ds:itemID="{5AD357E2-9743-4515-AAFD-C57C71B97BA4}"/>
</file>

<file path=customXml/itemProps3.xml><?xml version="1.0" encoding="utf-8"?>
<ds:datastoreItem xmlns:ds="http://schemas.openxmlformats.org/officeDocument/2006/customXml" ds:itemID="{9593A844-BFD4-4244-9309-6BCDC3341B1C}"/>
</file>

<file path=customXml/itemProps4.xml><?xml version="1.0" encoding="utf-8"?>
<ds:datastoreItem xmlns:ds="http://schemas.openxmlformats.org/officeDocument/2006/customXml" ds:itemID="{EADC24DA-672B-4A7E-8C7D-B67792FA17D8}"/>
</file>

<file path=customXml/itemProps5.xml><?xml version="1.0" encoding="utf-8"?>
<ds:datastoreItem xmlns:ds="http://schemas.openxmlformats.org/officeDocument/2006/customXml" ds:itemID="{0F42AAAC-E475-440E-B068-DB8B97CDCA68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Currency In Circulation Outside CBE Quarter2009-2010</dc:title>
  <dc:creator/>
  <cp:lastModifiedBy/>
  <dcterms:created xsi:type="dcterms:W3CDTF">2006-09-16T00:00:00Z</dcterms:created>
  <dcterms:modified xsi:type="dcterms:W3CDTF">2014-09-04T21:56:16Z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0x0101000F4E389F7C5D8E45A95A9ACBCB8FEC82</vt:lpwstr>
  </property>
  <property fmtid="{D5CDD505-2E9C-101B-9397-08002B2CF9AE}" pid="3" name="Order">
    <vt:r8>37200</vt:r8>
  </property>
  <property fmtid="{D5CDD505-2E9C-101B-9397-08002B2CF9AE}" pid="4" name="TemplateUrl">
    <vt:lpwstr/>
  </property>
  <property fmtid="{D5CDD505-2E9C-101B-9397-08002B2CF9AE}" pid="5" name="xd_Signature">
    <vt:bool>false</vt:bool>
  </property>
  <property fmtid="{D5CDD505-2E9C-101B-9397-08002B2CF9AE}" pid="6" name="xd_ProgID">
    <vt:lpwstr/>
  </property>
  <property fmtid="{D5CDD505-2E9C-101B-9397-08002B2CF9AE}" pid="7" name="_SourceUrl">
    <vt:lpwstr/>
  </property>
  <property fmtid="{D5CDD505-2E9C-101B-9397-08002B2CF9AE}" pid="8" name="_SharedFileIndex">
    <vt:lpwstr/>
  </property>
  <property fmtid="{D5CDD505-2E9C-101B-9397-08002B2CF9AE}" pid="9" name="_dlc_Exempt">
    <vt:bool>false</vt:bool>
  </property>
  <property fmtid="{D5CDD505-2E9C-101B-9397-08002B2CF9AE}" pid="10" name="_dlc_DocIdItemGuid">
    <vt:lpwstr>54919017-5485-48c9-82b4-b2f5c1561bda</vt:lpwstr>
  </property>
</Properties>
</file>