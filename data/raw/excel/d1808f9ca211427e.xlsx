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Time Series\2025\Budget without GDP\Rev\"/>
    </mc:Choice>
  </mc:AlternateContent>
  <xr:revisionPtr revIDLastSave="0" documentId="13_ncr:1_{F329051E-7C4F-4F4F-979B-DC1F1DE4D772}" xr6:coauthVersionLast="47" xr6:coauthVersionMax="47" xr10:uidLastSave="{00000000-0000-0000-0000-000000000000}"/>
  <bookViews>
    <workbookView xWindow="-108" yWindow="-108" windowWidth="17496" windowHeight="10560" xr2:uid="{00000000-000D-0000-FFFF-FFFF00000000}"/>
  </bookViews>
  <sheets>
    <sheet name="Revenues 2024-2025" sheetId="4" r:id="rId1"/>
  </sheets>
  <definedNames>
    <definedName name="_xlnm.Print_Area" localSheetId="0">'Revenues 2024-2025'!$A$1:$J$38</definedName>
    <definedName name="_xlnm.Print_Titles" localSheetId="0">'Revenues 2024-2025'!$B:$B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4" i="4" l="1"/>
  <c r="I24" i="4"/>
  <c r="H24" i="4"/>
  <c r="G24" i="4"/>
  <c r="F24" i="4"/>
  <c r="E24" i="4"/>
  <c r="D24" i="4"/>
  <c r="C24" i="4"/>
  <c r="J23" i="4"/>
  <c r="I23" i="4"/>
  <c r="H23" i="4"/>
  <c r="G23" i="4"/>
  <c r="F23" i="4"/>
  <c r="E23" i="4"/>
  <c r="D23" i="4"/>
  <c r="C23" i="4"/>
  <c r="J20" i="4"/>
  <c r="I20" i="4"/>
  <c r="H20" i="4"/>
  <c r="G20" i="4"/>
  <c r="F20" i="4"/>
  <c r="E20" i="4"/>
  <c r="D20" i="4"/>
  <c r="C20" i="4"/>
  <c r="J10" i="4"/>
  <c r="I10" i="4"/>
  <c r="H10" i="4"/>
  <c r="G10" i="4"/>
  <c r="F10" i="4"/>
  <c r="E10" i="4"/>
  <c r="D10" i="4"/>
  <c r="C10" i="4"/>
  <c r="J9" i="4"/>
  <c r="I9" i="4"/>
  <c r="H9" i="4"/>
  <c r="G9" i="4"/>
  <c r="F9" i="4"/>
  <c r="E9" i="4"/>
  <c r="D9" i="4"/>
  <c r="C9" i="4"/>
  <c r="J8" i="4"/>
  <c r="I8" i="4"/>
  <c r="H8" i="4"/>
  <c r="G8" i="4"/>
  <c r="F8" i="4"/>
  <c r="E8" i="4"/>
  <c r="D8" i="4"/>
  <c r="C8" i="4"/>
</calcChain>
</file>

<file path=xl/sharedStrings.xml><?xml version="1.0" encoding="utf-8"?>
<sst xmlns="http://schemas.openxmlformats.org/spreadsheetml/2006/main" count="78" uniqueCount="65">
  <si>
    <r>
      <t xml:space="preserve">العمليات المالية الموحدة *
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</si>
  <si>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r>
      <t xml:space="preserve"> Consolidated Fiscal Operations * of the General Government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</si>
  <si>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t xml:space="preserve"> (LE mn)</t>
  </si>
  <si>
    <t xml:space="preserve"> </t>
  </si>
  <si>
    <t>July/Sept.</t>
  </si>
  <si>
    <t>The
 Budget
 Sector</t>
  </si>
  <si>
    <t xml:space="preserve">The General Government 
 </t>
  </si>
  <si>
    <t xml:space="preserve">إجمالى الإيرادات </t>
  </si>
  <si>
    <t>Total Revenues</t>
  </si>
  <si>
    <t xml:space="preserve">الإيرادات الضريبية </t>
  </si>
  <si>
    <t>Tax Revenues</t>
  </si>
  <si>
    <t>الضرائب على الدخول والأرباح من :</t>
  </si>
  <si>
    <t>Taxes on Income and Profits from:</t>
  </si>
  <si>
    <t xml:space="preserve"> هيئة البترول</t>
  </si>
  <si>
    <t>From EGPC</t>
  </si>
  <si>
    <t>هيئة قناة السويس</t>
  </si>
  <si>
    <t>From SCA</t>
  </si>
  <si>
    <t xml:space="preserve"> البنك المركزى</t>
  </si>
  <si>
    <t>From CBE</t>
  </si>
  <si>
    <t xml:space="preserve"> وحدات أخرى</t>
  </si>
  <si>
    <t>From other units</t>
  </si>
  <si>
    <t xml:space="preserve"> دخول الأفراد</t>
  </si>
  <si>
    <t>Payable by individuals</t>
  </si>
  <si>
    <t>الضرائب على الممتلكات</t>
  </si>
  <si>
    <t>Taxes on Property</t>
  </si>
  <si>
    <t>الضرائب على السلع والخدمات</t>
  </si>
  <si>
    <t>Taxes on Goods and Services</t>
  </si>
  <si>
    <t>ضرائب على التجارة الدولية ( الجمارك )</t>
  </si>
  <si>
    <t>Taxes on International Trade (Customs)</t>
  </si>
  <si>
    <t xml:space="preserve">ضرائب أخرى </t>
  </si>
  <si>
    <t>Other Taxes</t>
  </si>
  <si>
    <t xml:space="preserve">المنح </t>
  </si>
  <si>
    <t>Grants</t>
  </si>
  <si>
    <t>جارية</t>
  </si>
  <si>
    <t xml:space="preserve">Current </t>
  </si>
  <si>
    <t>رأسمالية</t>
  </si>
  <si>
    <t>Capital</t>
  </si>
  <si>
    <t>إيرادات أخرى</t>
  </si>
  <si>
    <t>Other Revenues</t>
  </si>
  <si>
    <t>Property Income</t>
  </si>
  <si>
    <t xml:space="preserve"> هيئة قناة السويس</t>
  </si>
  <si>
    <t xml:space="preserve"> الهيئات الاقتصادية</t>
  </si>
  <si>
    <t>From economic authorities</t>
  </si>
  <si>
    <t xml:space="preserve"> الشركات</t>
  </si>
  <si>
    <t>From companies</t>
  </si>
  <si>
    <t>أخرى (من هيئة البترول، والرخصة الثالثة للمحمول)</t>
  </si>
  <si>
    <t>Other ( from EGPC &amp; TML** )</t>
  </si>
  <si>
    <t>أخرى</t>
  </si>
  <si>
    <t>Other</t>
  </si>
  <si>
    <t>Sales of Goods and Services</t>
  </si>
  <si>
    <t xml:space="preserve">تمويل الاستثمارات </t>
  </si>
  <si>
    <t>Financing Investment</t>
  </si>
  <si>
    <t>المصدر : وزارة المالية.</t>
  </si>
  <si>
    <t>Source: Ministry of Finance.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</si>
  <si>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</si>
  <si>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  A new budget classification was prepared in accordance with the IMF's 2001 GFS (Government Finance Statistics) Manual  and the latest modifications.</t>
  </si>
  <si>
    <t>**TML : Third Mobile License.</t>
  </si>
  <si>
    <t xml:space="preserve"> +  تتضمن كل من قطاع الموازنة العامة، وبنك الاستثمار القومى، وصناديق التأمين الاجتماعى.</t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</si>
  <si>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</si>
  <si>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t xml:space="preserve">عوائد الملكية من : </t>
  </si>
  <si>
    <t xml:space="preserve"> حصيلة بيع السلع  والخدمات</t>
  </si>
  <si>
    <t>2024/2025</t>
  </si>
  <si>
    <t>July/Dec.</t>
  </si>
  <si>
    <t>July/March</t>
  </si>
  <si>
    <t>July/June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</si>
</sst>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u/>
      <sz val="16"/>
      <name val="Arial"/>
      <family val="2"/>
    </font>
    <font>
      <b/>
      <u/>
      <sz val="14"/>
      <name val="Arial"/>
      <family val="2"/>
    </font>
    <font>
      <vertAlign val="superscript"/>
      <sz val="18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4" fillId="2" borderId="0" xfId="1" applyFont="1" applyFill="1"/>
    <xf numFmtId="0" fontId="4" fillId="2" borderId="0" xfId="1" applyFont="1" applyFill="1" applyAlignment="1">
      <alignment horizontal="center"/>
    </xf>
    <xf numFmtId="0" fontId="2" fillId="3" borderId="5" xfId="1" quotePrefix="1" applyFont="1" applyFill="1" applyBorder="1" applyAlignment="1">
      <alignment horizontal="center" vertical="center" wrapText="1"/>
    </xf>
    <xf numFmtId="0" fontId="2" fillId="3" borderId="5" xfId="1" quotePrefix="1" applyFont="1" applyFill="1" applyBorder="1" applyAlignment="1">
      <alignment horizontal="center" vertical="top" wrapText="1"/>
    </xf>
    <xf numFmtId="0" fontId="6" fillId="2" borderId="0" xfId="1" applyFont="1" applyFill="1"/>
    <xf numFmtId="0" fontId="5" fillId="2" borderId="0" xfId="1" applyFont="1" applyFill="1"/>
    <xf numFmtId="0" fontId="5" fillId="2" borderId="0" xfId="1" applyFont="1" applyFill="1" applyAlignment="1">
      <alignment horizontal="center" vertical="center"/>
    </xf>
    <xf numFmtId="1" fontId="6" fillId="2" borderId="0" xfId="1" applyNumberFormat="1" applyFont="1" applyFill="1"/>
    <xf numFmtId="0" fontId="7" fillId="2" borderId="0" xfId="1" applyFont="1" applyFill="1"/>
    <xf numFmtId="1" fontId="8" fillId="2" borderId="0" xfId="1" applyNumberFormat="1" applyFont="1" applyFill="1"/>
    <xf numFmtId="0" fontId="4" fillId="2" borderId="0" xfId="1" applyFont="1" applyFill="1" applyAlignment="1">
      <alignment horizontal="left" vertical="center"/>
    </xf>
    <xf numFmtId="0" fontId="2" fillId="0" borderId="0" xfId="1" applyFont="1" applyAlignment="1">
      <alignment horizontal="center" vertical="center" wrapText="1" readingOrder="2"/>
    </xf>
    <xf numFmtId="0" fontId="2" fillId="0" borderId="0" xfId="1" applyFont="1" applyAlignment="1">
      <alignment horizontal="center" vertical="center" wrapText="1" readingOrder="1"/>
    </xf>
    <xf numFmtId="0" fontId="2" fillId="0" borderId="0" xfId="1" applyFont="1" applyAlignment="1">
      <alignment vertical="center" wrapText="1" readingOrder="2"/>
    </xf>
    <xf numFmtId="0" fontId="5" fillId="0" borderId="0" xfId="1" applyFont="1" applyAlignment="1">
      <alignment vertical="center"/>
    </xf>
    <xf numFmtId="0" fontId="5" fillId="0" borderId="0" xfId="1" applyFont="1"/>
    <xf numFmtId="0" fontId="5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right" vertical="center" readingOrder="2"/>
    </xf>
    <xf numFmtId="1" fontId="6" fillId="0" borderId="2" xfId="1" quotePrefix="1" applyNumberFormat="1" applyFont="1" applyBorder="1" applyAlignment="1">
      <alignment horizontal="left" vertical="center" readingOrder="1"/>
    </xf>
    <xf numFmtId="1" fontId="6" fillId="0" borderId="3" xfId="1" applyNumberFormat="1" applyFont="1" applyBorder="1" applyAlignment="1">
      <alignment horizontal="center" vertical="center" readingOrder="1"/>
    </xf>
    <xf numFmtId="0" fontId="6" fillId="0" borderId="3" xfId="1" applyFont="1" applyBorder="1" applyAlignment="1">
      <alignment horizontal="right" vertical="center" indent="1" readingOrder="2"/>
    </xf>
    <xf numFmtId="1" fontId="6" fillId="0" borderId="3" xfId="1" quotePrefix="1" applyNumberFormat="1" applyFont="1" applyBorder="1" applyAlignment="1">
      <alignment horizontal="left" vertical="center" indent="1" readingOrder="1"/>
    </xf>
    <xf numFmtId="0" fontId="6" fillId="0" borderId="3" xfId="1" applyFont="1" applyBorder="1" applyAlignment="1">
      <alignment horizontal="right" vertical="center" indent="2" readingOrder="2"/>
    </xf>
    <xf numFmtId="1" fontId="6" fillId="0" borderId="3" xfId="1" quotePrefix="1" applyNumberFormat="1" applyFont="1" applyBorder="1" applyAlignment="1">
      <alignment horizontal="left" vertical="center" indent="2" readingOrder="1"/>
    </xf>
    <xf numFmtId="0" fontId="5" fillId="0" borderId="3" xfId="2" applyFont="1" applyBorder="1" applyAlignment="1">
      <alignment horizontal="right" vertical="center" indent="3" readingOrder="2"/>
    </xf>
    <xf numFmtId="1" fontId="5" fillId="0" borderId="3" xfId="1" applyNumberFormat="1" applyFont="1" applyBorder="1" applyAlignment="1">
      <alignment horizontal="left" vertical="center" indent="3" readingOrder="1"/>
    </xf>
    <xf numFmtId="1" fontId="5" fillId="0" borderId="3" xfId="1" applyNumberFormat="1" applyFont="1" applyBorder="1" applyAlignment="1">
      <alignment horizontal="center" vertical="center" readingOrder="1"/>
    </xf>
    <xf numFmtId="0" fontId="6" fillId="0" borderId="3" xfId="2" applyFont="1" applyBorder="1" applyAlignment="1">
      <alignment horizontal="right" vertical="center" indent="1" readingOrder="2"/>
    </xf>
    <xf numFmtId="0" fontId="5" fillId="0" borderId="3" xfId="2" applyFont="1" applyBorder="1" applyAlignment="1">
      <alignment horizontal="right" vertical="center" indent="2" readingOrder="2"/>
    </xf>
    <xf numFmtId="0" fontId="5" fillId="0" borderId="3" xfId="1" applyFont="1" applyBorder="1" applyAlignment="1">
      <alignment horizontal="left" vertical="center" indent="2"/>
    </xf>
    <xf numFmtId="0" fontId="5" fillId="0" borderId="3" xfId="2" applyFont="1" applyBorder="1" applyAlignment="1">
      <alignment horizontal="right" vertical="center" wrapText="1" indent="3" readingOrder="2"/>
    </xf>
    <xf numFmtId="0" fontId="6" fillId="0" borderId="3" xfId="2" applyFont="1" applyBorder="1" applyAlignment="1">
      <alignment horizontal="right" vertical="center" indent="2" readingOrder="2"/>
    </xf>
    <xf numFmtId="1" fontId="6" fillId="0" borderId="3" xfId="1" applyNumberFormat="1" applyFont="1" applyBorder="1" applyAlignment="1">
      <alignment horizontal="left" vertical="center" indent="2" readingOrder="1"/>
    </xf>
    <xf numFmtId="0" fontId="6" fillId="0" borderId="5" xfId="2" applyFont="1" applyBorder="1" applyAlignment="1">
      <alignment horizontal="right" vertical="center" indent="2" readingOrder="2"/>
    </xf>
    <xf numFmtId="1" fontId="6" fillId="0" borderId="5" xfId="1" applyNumberFormat="1" applyFont="1" applyBorder="1" applyAlignment="1">
      <alignment horizontal="left" vertical="center" indent="2" readingOrder="1"/>
    </xf>
    <xf numFmtId="1" fontId="6" fillId="0" borderId="5" xfId="1" applyNumberFormat="1" applyFont="1" applyBorder="1" applyAlignment="1">
      <alignment horizontal="center" vertical="center" readingOrder="1"/>
    </xf>
    <xf numFmtId="0" fontId="4" fillId="0" borderId="0" xfId="2" applyFont="1" applyAlignment="1">
      <alignment horizontal="right" vertical="center"/>
    </xf>
    <xf numFmtId="1" fontId="4" fillId="0" borderId="0" xfId="1" applyNumberFormat="1" applyFont="1" applyAlignment="1">
      <alignment horizontal="left" vertical="center" readingOrder="1"/>
    </xf>
    <xf numFmtId="1" fontId="8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right" vertical="center" wrapText="1" readingOrder="2"/>
    </xf>
    <xf numFmtId="0" fontId="4" fillId="0" borderId="0" xfId="2" applyFont="1" applyAlignment="1">
      <alignment horizontal="left" vertical="center" wrapText="1" readingOrder="1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 vertical="center"/>
    </xf>
    <xf numFmtId="49" fontId="10" fillId="2" borderId="0" xfId="1" applyNumberFormat="1" applyFont="1" applyFill="1" applyAlignment="1">
      <alignment horizontal="left" vertical="center"/>
    </xf>
    <xf numFmtId="49" fontId="10" fillId="2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5" fillId="3" borderId="2" xfId="1" applyFont="1" applyFill="1" applyBorder="1" applyAlignment="1">
      <alignment horizontal="center"/>
    </xf>
    <xf numFmtId="0" fontId="5" fillId="3" borderId="3" xfId="1" applyFont="1" applyFill="1" applyBorder="1" applyAlignment="1">
      <alignment horizontal="center"/>
    </xf>
    <xf numFmtId="0" fontId="5" fillId="3" borderId="5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54658D23-2C1F-4062-8E1C-421AFC444A08}"/>
    <cellStyle name="Normal_wafaa file_12_22-24_26-34 2" xfId="1" xr:uid="{9CEB95FC-17BF-4D67-A6BE-A04DB0CB3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3E19-0F54-4654-935B-36C20236B40C}">
  <sheetPr>
    <pageSetUpPr fitToPage="1"/>
  </sheetPr>
  <dimension ref="A1:J1302"/>
  <sheetViews>
    <sheetView tabSelected="1" view="pageBreakPreview" zoomScale="40" zoomScaleNormal="75" zoomScaleSheetLayoutView="40" workbookViewId="0">
      <pane xSplit="2" topLeftCell="C1" activePane="topRight" state="frozenSplit"/>
      <selection pane="topRight" activeCell="C3" sqref="C3:J4"/>
    </sheetView>
  </sheetViews>
  <sheetFormatPr defaultColWidth="9.109375" defaultRowHeight="17.399999999999999" x14ac:dyDescent="0.3"/>
  <cols>
    <col min="1" max="1" width="62.6640625" style="1" customWidth="1"/>
    <col min="2" max="2" width="79.44140625" style="11" customWidth="1"/>
    <col min="3" max="10" width="24.6640625" style="2" customWidth="1"/>
    <col min="11" max="16384" width="9.109375" style="1"/>
  </cols>
  <sheetData>
    <row r="1" spans="1:10" ht="70.2" customHeight="1" x14ac:dyDescent="0.3">
      <c r="A1" s="12" t="s">
        <v>0</v>
      </c>
      <c r="B1" s="13" t="s">
        <v>1</v>
      </c>
      <c r="C1" s="14"/>
      <c r="D1" s="15"/>
      <c r="E1" s="14"/>
      <c r="F1" s="15"/>
      <c r="G1" s="14"/>
      <c r="H1" s="15"/>
      <c r="I1" s="14"/>
      <c r="J1" s="15"/>
    </row>
    <row r="2" spans="1:10" ht="24" customHeight="1" x14ac:dyDescent="0.35">
      <c r="A2" s="16"/>
      <c r="B2" s="17"/>
      <c r="C2" s="15"/>
      <c r="D2" s="15"/>
      <c r="E2" s="15"/>
      <c r="F2" s="18"/>
      <c r="G2" s="15"/>
      <c r="H2" s="18"/>
      <c r="I2" s="15"/>
      <c r="J2" s="18" t="s">
        <v>2</v>
      </c>
    </row>
    <row r="3" spans="1:10" s="2" customFormat="1" ht="15" customHeight="1" x14ac:dyDescent="0.3">
      <c r="A3" s="49"/>
      <c r="B3" s="52" t="s">
        <v>3</v>
      </c>
      <c r="C3" s="55" t="s">
        <v>61</v>
      </c>
      <c r="D3" s="56"/>
      <c r="E3" s="56"/>
      <c r="F3" s="56"/>
      <c r="G3" s="56"/>
      <c r="H3" s="56"/>
      <c r="I3" s="56"/>
      <c r="J3" s="57"/>
    </row>
    <row r="4" spans="1:10" s="2" customFormat="1" ht="30" customHeight="1" x14ac:dyDescent="0.3">
      <c r="A4" s="50"/>
      <c r="B4" s="53"/>
      <c r="C4" s="58"/>
      <c r="D4" s="59"/>
      <c r="E4" s="59"/>
      <c r="F4" s="59"/>
      <c r="G4" s="59"/>
      <c r="H4" s="59"/>
      <c r="I4" s="59"/>
      <c r="J4" s="60"/>
    </row>
    <row r="5" spans="1:10" s="2" customFormat="1" ht="15" customHeight="1" x14ac:dyDescent="0.3">
      <c r="A5" s="50"/>
      <c r="B5" s="53"/>
      <c r="C5" s="61" t="s">
        <v>4</v>
      </c>
      <c r="D5" s="61"/>
      <c r="E5" s="61" t="s">
        <v>62</v>
      </c>
      <c r="F5" s="61"/>
      <c r="G5" s="55" t="s">
        <v>63</v>
      </c>
      <c r="H5" s="56"/>
      <c r="I5" s="55" t="s">
        <v>64</v>
      </c>
      <c r="J5" s="57"/>
    </row>
    <row r="6" spans="1:10" s="2" customFormat="1" ht="15" customHeight="1" x14ac:dyDescent="0.3">
      <c r="A6" s="50"/>
      <c r="B6" s="53"/>
      <c r="C6" s="62"/>
      <c r="D6" s="62"/>
      <c r="E6" s="62"/>
      <c r="F6" s="62"/>
      <c r="G6" s="58"/>
      <c r="H6" s="59"/>
      <c r="I6" s="58"/>
      <c r="J6" s="60"/>
    </row>
    <row r="7" spans="1:10" ht="86.4" customHeight="1" x14ac:dyDescent="0.3">
      <c r="A7" s="51"/>
      <c r="B7" s="54"/>
      <c r="C7" s="3" t="s">
        <v>5</v>
      </c>
      <c r="D7" s="4" t="s">
        <v>6</v>
      </c>
      <c r="E7" s="3" t="s">
        <v>5</v>
      </c>
      <c r="F7" s="4" t="s">
        <v>6</v>
      </c>
      <c r="G7" s="3" t="s">
        <v>5</v>
      </c>
      <c r="H7" s="4" t="s">
        <v>6</v>
      </c>
      <c r="I7" s="3" t="s">
        <v>5</v>
      </c>
      <c r="J7" s="4" t="s">
        <v>6</v>
      </c>
    </row>
    <row r="8" spans="1:10" s="5" customFormat="1" ht="49.95" customHeight="1" x14ac:dyDescent="0.4">
      <c r="A8" s="19" t="s">
        <v>7</v>
      </c>
      <c r="B8" s="20" t="s">
        <v>8</v>
      </c>
      <c r="C8" s="21">
        <f>C9+C20+C23</f>
        <v>470098</v>
      </c>
      <c r="D8" s="21">
        <f t="shared" ref="D8:J8" si="0">D9+D20+D23</f>
        <v>535651</v>
      </c>
      <c r="E8" s="21">
        <f t="shared" si="0"/>
        <v>1060938</v>
      </c>
      <c r="F8" s="21">
        <f t="shared" si="0"/>
        <v>1194338</v>
      </c>
      <c r="G8" s="21">
        <f t="shared" si="0"/>
        <v>1685521</v>
      </c>
      <c r="H8" s="21">
        <f t="shared" si="0"/>
        <v>1889712</v>
      </c>
      <c r="I8" s="21">
        <f t="shared" si="0"/>
        <v>2644113</v>
      </c>
      <c r="J8" s="21">
        <f t="shared" si="0"/>
        <v>2921214</v>
      </c>
    </row>
    <row r="9" spans="1:10" s="5" customFormat="1" ht="49.95" customHeight="1" x14ac:dyDescent="0.4">
      <c r="A9" s="22" t="s">
        <v>9</v>
      </c>
      <c r="B9" s="23" t="s">
        <v>10</v>
      </c>
      <c r="C9" s="21">
        <f t="shared" ref="C9:J9" si="1">C10+C16+C17+C18+C19</f>
        <v>413280</v>
      </c>
      <c r="D9" s="21">
        <f t="shared" si="1"/>
        <v>413280</v>
      </c>
      <c r="E9" s="21">
        <f t="shared" si="1"/>
        <v>912472</v>
      </c>
      <c r="F9" s="21">
        <f t="shared" si="1"/>
        <v>912472</v>
      </c>
      <c r="G9" s="21">
        <f t="shared" si="1"/>
        <v>1441019</v>
      </c>
      <c r="H9" s="21">
        <f t="shared" si="1"/>
        <v>1441019</v>
      </c>
      <c r="I9" s="21">
        <f t="shared" si="1"/>
        <v>2202281</v>
      </c>
      <c r="J9" s="21">
        <f t="shared" si="1"/>
        <v>2202281</v>
      </c>
    </row>
    <row r="10" spans="1:10" s="5" customFormat="1" ht="49.95" customHeight="1" x14ac:dyDescent="0.4">
      <c r="A10" s="24" t="s">
        <v>11</v>
      </c>
      <c r="B10" s="25" t="s">
        <v>12</v>
      </c>
      <c r="C10" s="21">
        <f t="shared" ref="C10:J10" si="2">SUM(C11:C15)</f>
        <v>100466</v>
      </c>
      <c r="D10" s="21">
        <f t="shared" si="2"/>
        <v>100466</v>
      </c>
      <c r="E10" s="21">
        <f t="shared" si="2"/>
        <v>258497</v>
      </c>
      <c r="F10" s="21">
        <f t="shared" si="2"/>
        <v>258497</v>
      </c>
      <c r="G10" s="21">
        <f t="shared" si="2"/>
        <v>417144</v>
      </c>
      <c r="H10" s="21">
        <f t="shared" si="2"/>
        <v>417144</v>
      </c>
      <c r="I10" s="21">
        <f t="shared" si="2"/>
        <v>836804</v>
      </c>
      <c r="J10" s="21">
        <f t="shared" si="2"/>
        <v>836804</v>
      </c>
    </row>
    <row r="11" spans="1:10" s="6" customFormat="1" ht="49.95" customHeight="1" x14ac:dyDescent="0.35">
      <c r="A11" s="26" t="s">
        <v>13</v>
      </c>
      <c r="B11" s="27" t="s">
        <v>14</v>
      </c>
      <c r="C11" s="28">
        <v>0</v>
      </c>
      <c r="D11" s="28">
        <v>0</v>
      </c>
      <c r="E11" s="28">
        <v>20000</v>
      </c>
      <c r="F11" s="28">
        <v>20000</v>
      </c>
      <c r="G11" s="28">
        <v>20000</v>
      </c>
      <c r="H11" s="28">
        <v>20000</v>
      </c>
      <c r="I11" s="28">
        <v>54454</v>
      </c>
      <c r="J11" s="28">
        <v>54454</v>
      </c>
    </row>
    <row r="12" spans="1:10" s="6" customFormat="1" ht="49.95" customHeight="1" x14ac:dyDescent="0.35">
      <c r="A12" s="26" t="s">
        <v>15</v>
      </c>
      <c r="B12" s="27" t="s">
        <v>16</v>
      </c>
      <c r="C12" s="28">
        <v>22451</v>
      </c>
      <c r="D12" s="28">
        <v>22451</v>
      </c>
      <c r="E12" s="28">
        <v>42310</v>
      </c>
      <c r="F12" s="28">
        <v>42310</v>
      </c>
      <c r="G12" s="28">
        <v>66862</v>
      </c>
      <c r="H12" s="28">
        <v>66862</v>
      </c>
      <c r="I12" s="28">
        <v>91916</v>
      </c>
      <c r="J12" s="28">
        <v>91916</v>
      </c>
    </row>
    <row r="13" spans="1:10" s="6" customFormat="1" ht="49.95" customHeight="1" x14ac:dyDescent="0.35">
      <c r="A13" s="26" t="s">
        <v>17</v>
      </c>
      <c r="B13" s="27" t="s">
        <v>18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</row>
    <row r="14" spans="1:10" s="6" customFormat="1" ht="49.95" customHeight="1" x14ac:dyDescent="0.35">
      <c r="A14" s="26" t="s">
        <v>19</v>
      </c>
      <c r="B14" s="27" t="s">
        <v>20</v>
      </c>
      <c r="C14" s="28">
        <v>35735</v>
      </c>
      <c r="D14" s="28">
        <v>35735</v>
      </c>
      <c r="E14" s="28">
        <v>86548</v>
      </c>
      <c r="F14" s="28">
        <v>86548</v>
      </c>
      <c r="G14" s="28">
        <v>129963</v>
      </c>
      <c r="H14" s="28">
        <v>129963</v>
      </c>
      <c r="I14" s="28">
        <v>307470</v>
      </c>
      <c r="J14" s="28">
        <v>307470</v>
      </c>
    </row>
    <row r="15" spans="1:10" s="6" customFormat="1" ht="49.95" customHeight="1" x14ac:dyDescent="0.35">
      <c r="A15" s="26" t="s">
        <v>21</v>
      </c>
      <c r="B15" s="27" t="s">
        <v>22</v>
      </c>
      <c r="C15" s="28">
        <v>42280</v>
      </c>
      <c r="D15" s="28">
        <v>42280</v>
      </c>
      <c r="E15" s="28">
        <v>109639</v>
      </c>
      <c r="F15" s="28">
        <v>109639</v>
      </c>
      <c r="G15" s="28">
        <v>200319</v>
      </c>
      <c r="H15" s="28">
        <v>200319</v>
      </c>
      <c r="I15" s="28">
        <v>382964</v>
      </c>
      <c r="J15" s="28">
        <v>382964</v>
      </c>
    </row>
    <row r="16" spans="1:10" s="5" customFormat="1" ht="49.95" customHeight="1" x14ac:dyDescent="0.4">
      <c r="A16" s="24" t="s">
        <v>23</v>
      </c>
      <c r="B16" s="25" t="s">
        <v>24</v>
      </c>
      <c r="C16" s="21">
        <v>98555</v>
      </c>
      <c r="D16" s="21">
        <v>98555</v>
      </c>
      <c r="E16" s="21">
        <v>167206</v>
      </c>
      <c r="F16" s="21">
        <v>167206</v>
      </c>
      <c r="G16" s="21">
        <v>266056</v>
      </c>
      <c r="H16" s="21">
        <v>266056</v>
      </c>
      <c r="I16" s="21">
        <v>320920</v>
      </c>
      <c r="J16" s="21">
        <v>320920</v>
      </c>
    </row>
    <row r="17" spans="1:10" s="5" customFormat="1" ht="49.95" customHeight="1" x14ac:dyDescent="0.4">
      <c r="A17" s="24" t="s">
        <v>25</v>
      </c>
      <c r="B17" s="25" t="s">
        <v>26</v>
      </c>
      <c r="C17" s="21">
        <v>184860</v>
      </c>
      <c r="D17" s="21">
        <v>184860</v>
      </c>
      <c r="E17" s="21">
        <v>416814</v>
      </c>
      <c r="F17" s="21">
        <v>416814</v>
      </c>
      <c r="G17" s="21">
        <v>656206</v>
      </c>
      <c r="H17" s="21">
        <v>656206</v>
      </c>
      <c r="I17" s="21">
        <v>916157</v>
      </c>
      <c r="J17" s="21">
        <v>916157</v>
      </c>
    </row>
    <row r="18" spans="1:10" s="5" customFormat="1" ht="49.95" customHeight="1" x14ac:dyDescent="0.4">
      <c r="A18" s="24" t="s">
        <v>27</v>
      </c>
      <c r="B18" s="25" t="s">
        <v>28</v>
      </c>
      <c r="C18" s="21">
        <v>29399</v>
      </c>
      <c r="D18" s="21">
        <v>29399</v>
      </c>
      <c r="E18" s="21">
        <v>62695</v>
      </c>
      <c r="F18" s="21">
        <v>62695</v>
      </c>
      <c r="G18" s="21">
        <v>91181</v>
      </c>
      <c r="H18" s="21">
        <v>91181</v>
      </c>
      <c r="I18" s="21">
        <v>110727</v>
      </c>
      <c r="J18" s="21">
        <v>110727</v>
      </c>
    </row>
    <row r="19" spans="1:10" s="5" customFormat="1" ht="49.95" customHeight="1" x14ac:dyDescent="0.4">
      <c r="A19" s="24" t="s">
        <v>29</v>
      </c>
      <c r="B19" s="25" t="s">
        <v>30</v>
      </c>
      <c r="C19" s="21">
        <v>0</v>
      </c>
      <c r="D19" s="21">
        <v>0</v>
      </c>
      <c r="E19" s="21">
        <v>7260</v>
      </c>
      <c r="F19" s="21">
        <v>7260</v>
      </c>
      <c r="G19" s="21">
        <v>10432</v>
      </c>
      <c r="H19" s="21">
        <v>10432</v>
      </c>
      <c r="I19" s="21">
        <v>17673</v>
      </c>
      <c r="J19" s="21">
        <v>17673</v>
      </c>
    </row>
    <row r="20" spans="1:10" s="5" customFormat="1" ht="49.95" customHeight="1" x14ac:dyDescent="0.4">
      <c r="A20" s="29" t="s">
        <v>31</v>
      </c>
      <c r="B20" s="23" t="s">
        <v>32</v>
      </c>
      <c r="C20" s="21">
        <f t="shared" ref="C20:J20" si="3">C21+C22</f>
        <v>97</v>
      </c>
      <c r="D20" s="21">
        <f t="shared" si="3"/>
        <v>97</v>
      </c>
      <c r="E20" s="21">
        <f t="shared" si="3"/>
        <v>2841</v>
      </c>
      <c r="F20" s="21">
        <f t="shared" si="3"/>
        <v>2841</v>
      </c>
      <c r="G20" s="21">
        <f t="shared" si="3"/>
        <v>5552</v>
      </c>
      <c r="H20" s="21">
        <f t="shared" si="3"/>
        <v>5552</v>
      </c>
      <c r="I20" s="21">
        <f t="shared" si="3"/>
        <v>16903</v>
      </c>
      <c r="J20" s="21">
        <f t="shared" si="3"/>
        <v>16903</v>
      </c>
    </row>
    <row r="21" spans="1:10" s="7" customFormat="1" ht="49.95" customHeight="1" x14ac:dyDescent="0.3">
      <c r="A21" s="30" t="s">
        <v>33</v>
      </c>
      <c r="B21" s="31" t="s">
        <v>34</v>
      </c>
      <c r="C21" s="28">
        <v>-7</v>
      </c>
      <c r="D21" s="28">
        <v>-7</v>
      </c>
      <c r="E21" s="28">
        <v>2399</v>
      </c>
      <c r="F21" s="28">
        <v>2399</v>
      </c>
      <c r="G21" s="28">
        <v>4861</v>
      </c>
      <c r="H21" s="28">
        <v>4861</v>
      </c>
      <c r="I21" s="28">
        <v>15357</v>
      </c>
      <c r="J21" s="28">
        <v>15357</v>
      </c>
    </row>
    <row r="22" spans="1:10" s="7" customFormat="1" ht="49.95" customHeight="1" x14ac:dyDescent="0.3">
      <c r="A22" s="30" t="s">
        <v>35</v>
      </c>
      <c r="B22" s="31" t="s">
        <v>36</v>
      </c>
      <c r="C22" s="28">
        <v>104</v>
      </c>
      <c r="D22" s="28">
        <v>104</v>
      </c>
      <c r="E22" s="28">
        <v>442</v>
      </c>
      <c r="F22" s="28">
        <v>442</v>
      </c>
      <c r="G22" s="28">
        <v>691</v>
      </c>
      <c r="H22" s="28">
        <v>691</v>
      </c>
      <c r="I22" s="28">
        <v>1546</v>
      </c>
      <c r="J22" s="28">
        <v>1546</v>
      </c>
    </row>
    <row r="23" spans="1:10" s="5" customFormat="1" ht="49.95" customHeight="1" x14ac:dyDescent="0.4">
      <c r="A23" s="22" t="s">
        <v>37</v>
      </c>
      <c r="B23" s="23" t="s">
        <v>38</v>
      </c>
      <c r="C23" s="21">
        <f t="shared" ref="C23:J23" si="4">C24+C32+C33+C34</f>
        <v>56721</v>
      </c>
      <c r="D23" s="21">
        <f t="shared" si="4"/>
        <v>122274</v>
      </c>
      <c r="E23" s="21">
        <f t="shared" si="4"/>
        <v>145625</v>
      </c>
      <c r="F23" s="21">
        <f t="shared" si="4"/>
        <v>279025</v>
      </c>
      <c r="G23" s="21">
        <f t="shared" si="4"/>
        <v>238950</v>
      </c>
      <c r="H23" s="21">
        <f t="shared" si="4"/>
        <v>443141</v>
      </c>
      <c r="I23" s="21">
        <f t="shared" si="4"/>
        <v>424929</v>
      </c>
      <c r="J23" s="21">
        <f t="shared" si="4"/>
        <v>702030</v>
      </c>
    </row>
    <row r="24" spans="1:10" s="5" customFormat="1" ht="49.95" customHeight="1" x14ac:dyDescent="0.4">
      <c r="A24" s="24" t="s">
        <v>59</v>
      </c>
      <c r="B24" s="25" t="s">
        <v>39</v>
      </c>
      <c r="C24" s="21">
        <f t="shared" ref="C24:H24" si="5">SUM(C25:C31)</f>
        <v>17912</v>
      </c>
      <c r="D24" s="21">
        <f>SUM(D25:D31)</f>
        <v>23179</v>
      </c>
      <c r="E24" s="21">
        <f t="shared" si="5"/>
        <v>44317</v>
      </c>
      <c r="F24" s="21">
        <f t="shared" si="5"/>
        <v>55689</v>
      </c>
      <c r="G24" s="21">
        <f t="shared" si="5"/>
        <v>81647</v>
      </c>
      <c r="H24" s="21">
        <f t="shared" si="5"/>
        <v>98550</v>
      </c>
      <c r="I24" s="21">
        <f t="shared" ref="I24:J24" si="6">SUM(I25:I31)</f>
        <v>94978</v>
      </c>
      <c r="J24" s="21">
        <f t="shared" si="6"/>
        <v>118179</v>
      </c>
    </row>
    <row r="25" spans="1:10" s="6" customFormat="1" ht="49.95" customHeight="1" x14ac:dyDescent="0.35">
      <c r="A25" s="26" t="s">
        <v>13</v>
      </c>
      <c r="B25" s="27" t="s">
        <v>14</v>
      </c>
      <c r="C25" s="28">
        <v>0</v>
      </c>
      <c r="D25" s="28">
        <v>0</v>
      </c>
      <c r="E25" s="28">
        <v>540</v>
      </c>
      <c r="F25" s="28">
        <v>540</v>
      </c>
      <c r="G25" s="28">
        <v>1228</v>
      </c>
      <c r="H25" s="28">
        <v>1228</v>
      </c>
      <c r="I25" s="28">
        <v>1228</v>
      </c>
      <c r="J25" s="28">
        <v>1228</v>
      </c>
    </row>
    <row r="26" spans="1:10" s="6" customFormat="1" ht="49.95" customHeight="1" x14ac:dyDescent="0.35">
      <c r="A26" s="26" t="s">
        <v>40</v>
      </c>
      <c r="B26" s="27" t="s">
        <v>16</v>
      </c>
      <c r="C26" s="28">
        <v>1000</v>
      </c>
      <c r="D26" s="28">
        <v>1000</v>
      </c>
      <c r="E26" s="28">
        <v>5329</v>
      </c>
      <c r="F26" s="28">
        <v>5329</v>
      </c>
      <c r="G26" s="28">
        <v>5346</v>
      </c>
      <c r="H26" s="28">
        <v>5346</v>
      </c>
      <c r="I26" s="28">
        <v>5503</v>
      </c>
      <c r="J26" s="28">
        <v>5503</v>
      </c>
    </row>
    <row r="27" spans="1:10" s="9" customFormat="1" ht="49.95" customHeight="1" x14ac:dyDescent="0.35">
      <c r="A27" s="26" t="s">
        <v>17</v>
      </c>
      <c r="B27" s="27" t="s">
        <v>18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</row>
    <row r="28" spans="1:10" s="9" customFormat="1" ht="49.95" customHeight="1" x14ac:dyDescent="0.35">
      <c r="A28" s="26" t="s">
        <v>41</v>
      </c>
      <c r="B28" s="27" t="s">
        <v>42</v>
      </c>
      <c r="C28" s="28">
        <v>3648</v>
      </c>
      <c r="D28" s="28">
        <v>3648</v>
      </c>
      <c r="E28" s="28">
        <v>10274</v>
      </c>
      <c r="F28" s="28">
        <v>10274</v>
      </c>
      <c r="G28" s="28">
        <v>12922</v>
      </c>
      <c r="H28" s="28">
        <v>12922</v>
      </c>
      <c r="I28" s="28">
        <v>15383</v>
      </c>
      <c r="J28" s="28">
        <v>15383</v>
      </c>
    </row>
    <row r="29" spans="1:10" s="6" customFormat="1" ht="49.95" customHeight="1" x14ac:dyDescent="0.35">
      <c r="A29" s="26" t="s">
        <v>43</v>
      </c>
      <c r="B29" s="27" t="s">
        <v>44</v>
      </c>
      <c r="C29" s="28">
        <v>2470</v>
      </c>
      <c r="D29" s="28">
        <v>2470</v>
      </c>
      <c r="E29" s="28">
        <v>3478</v>
      </c>
      <c r="F29" s="28">
        <v>3478</v>
      </c>
      <c r="G29" s="28">
        <v>8625</v>
      </c>
      <c r="H29" s="28">
        <v>8625</v>
      </c>
      <c r="I29" s="28">
        <v>11493</v>
      </c>
      <c r="J29" s="28">
        <v>11493</v>
      </c>
    </row>
    <row r="30" spans="1:10" s="6" customFormat="1" ht="49.95" customHeight="1" x14ac:dyDescent="0.35">
      <c r="A30" s="32" t="s">
        <v>45</v>
      </c>
      <c r="B30" s="27" t="s">
        <v>46</v>
      </c>
      <c r="C30" s="28">
        <v>4298</v>
      </c>
      <c r="D30" s="28">
        <v>4298</v>
      </c>
      <c r="E30" s="28">
        <v>4298</v>
      </c>
      <c r="F30" s="28">
        <v>4298</v>
      </c>
      <c r="G30" s="28">
        <v>17898</v>
      </c>
      <c r="H30" s="28">
        <v>17898</v>
      </c>
      <c r="I30" s="28">
        <v>14395</v>
      </c>
      <c r="J30" s="28">
        <v>14395</v>
      </c>
    </row>
    <row r="31" spans="1:10" s="9" customFormat="1" ht="49.95" customHeight="1" x14ac:dyDescent="0.35">
      <c r="A31" s="26" t="s">
        <v>47</v>
      </c>
      <c r="B31" s="27" t="s">
        <v>48</v>
      </c>
      <c r="C31" s="28">
        <v>6496</v>
      </c>
      <c r="D31" s="28">
        <v>11763</v>
      </c>
      <c r="E31" s="28">
        <v>20398</v>
      </c>
      <c r="F31" s="28">
        <v>31770</v>
      </c>
      <c r="G31" s="28">
        <v>35628</v>
      </c>
      <c r="H31" s="28">
        <v>52531</v>
      </c>
      <c r="I31" s="28">
        <v>46976</v>
      </c>
      <c r="J31" s="28">
        <v>70177</v>
      </c>
    </row>
    <row r="32" spans="1:10" s="8" customFormat="1" ht="49.95" customHeight="1" x14ac:dyDescent="0.4">
      <c r="A32" s="33" t="s">
        <v>60</v>
      </c>
      <c r="B32" s="34" t="s">
        <v>49</v>
      </c>
      <c r="C32" s="21">
        <v>15327</v>
      </c>
      <c r="D32" s="21">
        <v>15327</v>
      </c>
      <c r="E32" s="21">
        <v>42891</v>
      </c>
      <c r="F32" s="21">
        <v>42891</v>
      </c>
      <c r="G32" s="21">
        <v>70390</v>
      </c>
      <c r="H32" s="21">
        <v>70390</v>
      </c>
      <c r="I32" s="21">
        <v>154527</v>
      </c>
      <c r="J32" s="21">
        <v>154527</v>
      </c>
    </row>
    <row r="33" spans="1:10" s="8" customFormat="1" ht="49.95" customHeight="1" x14ac:dyDescent="0.4">
      <c r="A33" s="33" t="s">
        <v>50</v>
      </c>
      <c r="B33" s="34" t="s">
        <v>51</v>
      </c>
      <c r="C33" s="21">
        <v>3621</v>
      </c>
      <c r="D33" s="21">
        <v>3621</v>
      </c>
      <c r="E33" s="21">
        <v>14183</v>
      </c>
      <c r="F33" s="21">
        <v>14183</v>
      </c>
      <c r="G33" s="21">
        <v>20579</v>
      </c>
      <c r="H33" s="21">
        <v>20579</v>
      </c>
      <c r="I33" s="21">
        <v>105099</v>
      </c>
      <c r="J33" s="21">
        <v>105099</v>
      </c>
    </row>
    <row r="34" spans="1:10" s="8" customFormat="1" ht="49.95" customHeight="1" x14ac:dyDescent="0.4">
      <c r="A34" s="35" t="s">
        <v>47</v>
      </c>
      <c r="B34" s="36" t="s">
        <v>48</v>
      </c>
      <c r="C34" s="37">
        <v>19861</v>
      </c>
      <c r="D34" s="37">
        <v>80147</v>
      </c>
      <c r="E34" s="37">
        <v>44234</v>
      </c>
      <c r="F34" s="37">
        <v>166262</v>
      </c>
      <c r="G34" s="37">
        <v>66334</v>
      </c>
      <c r="H34" s="37">
        <v>253622</v>
      </c>
      <c r="I34" s="37">
        <v>70325</v>
      </c>
      <c r="J34" s="37">
        <v>324225</v>
      </c>
    </row>
    <row r="35" spans="1:10" s="10" customFormat="1" ht="21.9" customHeight="1" x14ac:dyDescent="0.3">
      <c r="A35" s="38" t="s">
        <v>52</v>
      </c>
      <c r="B35" s="39" t="s">
        <v>53</v>
      </c>
      <c r="C35" s="40"/>
      <c r="D35" s="40"/>
      <c r="E35" s="40"/>
      <c r="F35" s="40"/>
      <c r="G35" s="40"/>
      <c r="H35" s="40"/>
      <c r="I35" s="40"/>
      <c r="J35" s="40"/>
    </row>
    <row r="36" spans="1:10" ht="87.6" customHeight="1" x14ac:dyDescent="0.3">
      <c r="A36" s="41" t="s">
        <v>54</v>
      </c>
      <c r="B36" s="42" t="s">
        <v>55</v>
      </c>
      <c r="C36" s="43"/>
      <c r="D36" s="43"/>
      <c r="E36" s="43"/>
      <c r="F36" s="43"/>
      <c r="G36" s="43"/>
      <c r="H36" s="43"/>
      <c r="I36" s="43"/>
      <c r="J36" s="43"/>
    </row>
    <row r="37" spans="1:10" ht="36.6" customHeight="1" x14ac:dyDescent="0.3">
      <c r="A37" s="44"/>
      <c r="B37" s="45" t="s">
        <v>56</v>
      </c>
      <c r="C37" s="43"/>
      <c r="D37" s="43"/>
      <c r="E37" s="43"/>
      <c r="F37" s="43"/>
      <c r="G37" s="43"/>
      <c r="H37" s="43"/>
      <c r="I37" s="43"/>
      <c r="J37" s="43"/>
    </row>
    <row r="38" spans="1:10" ht="36.6" customHeight="1" x14ac:dyDescent="0.3">
      <c r="A38" s="41" t="s">
        <v>57</v>
      </c>
      <c r="B38" s="48" t="s">
        <v>58</v>
      </c>
      <c r="C38" s="48"/>
      <c r="D38" s="43"/>
      <c r="E38" s="43"/>
      <c r="F38" s="43"/>
      <c r="G38" s="43"/>
      <c r="H38" s="43"/>
      <c r="I38" s="43"/>
      <c r="J38" s="43"/>
    </row>
    <row r="39" spans="1:10" ht="21.9" customHeight="1" x14ac:dyDescent="0.3">
      <c r="B39" s="46"/>
      <c r="C39" s="47"/>
      <c r="D39" s="47"/>
      <c r="E39" s="47"/>
      <c r="F39" s="47"/>
      <c r="G39" s="47"/>
      <c r="H39" s="47"/>
      <c r="I39" s="47"/>
      <c r="J39" s="47"/>
    </row>
    <row r="40" spans="1:10" ht="21.9" customHeight="1" x14ac:dyDescent="0.3"/>
    <row r="41" spans="1:10" ht="21.9" customHeight="1" x14ac:dyDescent="0.3"/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</sheetData>
  <mergeCells count="8">
    <mergeCell ref="B38:C38"/>
    <mergeCell ref="A3:A7"/>
    <mergeCell ref="B3:B7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24" orientation="portrait" horizontalDpi="4294967295" verticalDpi="4294967295" r:id="rId1"/>
  <headerFooter alignWithMargins="0"/>
  <ignoredErrors>
    <ignoredError sqref="C10:J10 C24:J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2024-2025</vt:lpstr>
      <vt:lpstr>'Revenues 2024-2025'!Print_Area</vt:lpstr>
      <vt:lpstr>'Revenues 2024-2025'!Print_Titles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dcterms:created xsi:type="dcterms:W3CDTF">2015-06-05T18:17:20Z</dcterms:created>
  <dcterms:modified xsi:type="dcterms:W3CDTF">2026-03-05T09:47:40Z</dcterms:modified>
</cp:coreProperties>
</file>