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240" yWindow="105" windowWidth="15570" windowHeight="9975"/>
  </bookViews>
  <sheets>
    <sheet name="2015-2016" sheetId="1" r:id="rId1"/>
  </sheets>
  <definedNames>
    <definedName name="_xlnm.Print_Area" localSheetId="0">'2015-2016'!$A$1:$N$52</definedName>
  </definedNames>
  <calcPr calcId="145620"/>
</workbook>
</file>

<file path=xl/calcChain.xml><?xml version="1.0" encoding="utf-8"?>
<calcChain xmlns="http://schemas.openxmlformats.org/spreadsheetml/2006/main">
  <c r="L48" i="1" l="1"/>
</calcChain>
</file>

<file path=xl/sharedStrings.xml><?xml version="1.0" encoding="utf-8"?>
<sst xmlns="http://schemas.openxmlformats.org/spreadsheetml/2006/main" count="128" uniqueCount="110">
  <si>
    <t>Main Merchandise Balances</t>
  </si>
  <si>
    <t>خلال</t>
  </si>
  <si>
    <t>During</t>
  </si>
  <si>
    <t>Q1</t>
  </si>
  <si>
    <t>الصادرات</t>
  </si>
  <si>
    <t>الواردات</t>
  </si>
  <si>
    <t>الفائض / العجز</t>
  </si>
  <si>
    <t>Exports</t>
  </si>
  <si>
    <t>Imports</t>
  </si>
  <si>
    <t>Surplus / Deficit</t>
  </si>
  <si>
    <t>الميزان السلعى للبترول</t>
  </si>
  <si>
    <t>Oil merchandise balance</t>
  </si>
  <si>
    <t xml:space="preserve">بترول خام </t>
  </si>
  <si>
    <t>Crude oil</t>
  </si>
  <si>
    <t xml:space="preserve">منتجات بترولية </t>
  </si>
  <si>
    <t>Oil products</t>
  </si>
  <si>
    <t>تموين سفن وطائرات بالوقود</t>
  </si>
  <si>
    <t>Bunker and jet fuel</t>
  </si>
  <si>
    <t>غاز طبيعى</t>
  </si>
  <si>
    <t>Natural gas</t>
  </si>
  <si>
    <t>الميزان السلعى للمواد الغذائية ، منها :</t>
  </si>
  <si>
    <t>Foodstuff merchandise balance, of which :</t>
  </si>
  <si>
    <t>لحوم ومحضراتها</t>
  </si>
  <si>
    <t>Meat and preparations thereof</t>
  </si>
  <si>
    <t>اسماك ومحضراتها</t>
  </si>
  <si>
    <t>Fish and preparations thereof</t>
  </si>
  <si>
    <t xml:space="preserve">البان ومنتجاتها وبيض </t>
  </si>
  <si>
    <t>Dairy products and eggs</t>
  </si>
  <si>
    <t>فواكه و اثمار وموالح</t>
  </si>
  <si>
    <t>Fruits</t>
  </si>
  <si>
    <t>شاي</t>
  </si>
  <si>
    <t>Tea</t>
  </si>
  <si>
    <t>شحوم ودهون وزيوت حيوانية ونباتيه ومنتجاتها</t>
  </si>
  <si>
    <t>Animal and vegetable fats, greases &amp; oils and products</t>
  </si>
  <si>
    <t>سكر خام ومصنوعات سكريه</t>
  </si>
  <si>
    <t>Raw sugar and its products</t>
  </si>
  <si>
    <t xml:space="preserve">تبغ </t>
  </si>
  <si>
    <t>Tobacco</t>
  </si>
  <si>
    <t xml:space="preserve">الميزان السلعى للحبوب ، منها : </t>
  </si>
  <si>
    <t>Cereals merchandise balance, of which :</t>
  </si>
  <si>
    <t>قمح</t>
  </si>
  <si>
    <t>Wheat</t>
  </si>
  <si>
    <t>ذره</t>
  </si>
  <si>
    <t>Maize</t>
  </si>
  <si>
    <t>ارز</t>
  </si>
  <si>
    <t>Rice</t>
  </si>
  <si>
    <t xml:space="preserve">حبوب واثمار زيتيه ونباتات للصناعه </t>
  </si>
  <si>
    <t>Oil seeds &amp; oleaginous fruits, and plants for manufacturing</t>
  </si>
  <si>
    <t>الميزان السلعى للقطن الخام ومنتجاته والمواد النسيجية الأخرى  ، منها :</t>
  </si>
  <si>
    <t xml:space="preserve">Merchandise balance of cotton &amp; its products &amp; other textiles, of which: </t>
  </si>
  <si>
    <t>قطن خام</t>
  </si>
  <si>
    <t>Cotton</t>
  </si>
  <si>
    <t>غزل القطن</t>
  </si>
  <si>
    <t>Cotton yarn</t>
  </si>
  <si>
    <t>منسوجات قطنية</t>
  </si>
  <si>
    <t>Cotton textiles</t>
  </si>
  <si>
    <t>ملابس جاهزة</t>
  </si>
  <si>
    <t>Ready-made clothes</t>
  </si>
  <si>
    <t>خيوط والياف تركيبية اصطناعية</t>
  </si>
  <si>
    <t>Synthetic fibers</t>
  </si>
  <si>
    <t xml:space="preserve">سجاد واغطيه ارضيات </t>
  </si>
  <si>
    <t>Carpets and other floor coverings</t>
  </si>
  <si>
    <t>الميزان السلعى لمنتجات الصناعات الكيماوية ، منها :</t>
  </si>
  <si>
    <t>Chemicals merchandise balance, of which :</t>
  </si>
  <si>
    <t>منتجات كيماوية عضويه وغير عضويه وكربون</t>
  </si>
  <si>
    <t>Organic &amp; inorganic chemicals, and carbon</t>
  </si>
  <si>
    <t xml:space="preserve">منتجات صيدلية </t>
  </si>
  <si>
    <t>Pharmaceuticals</t>
  </si>
  <si>
    <t>أسمدة</t>
  </si>
  <si>
    <t>Fertilizers</t>
  </si>
  <si>
    <t>الميزان السلعى للآلات والأجهـــزة والمعـدات الكهـربـائيـة وأجـــزاؤهـــا ، منها:</t>
  </si>
  <si>
    <t>Merchandise balance of machinery, appliances, electric equipment &amp; parts thereof, of which :</t>
  </si>
  <si>
    <t>محركات ومحولات ومولدات كهربائيه واجزاؤها</t>
  </si>
  <si>
    <t>Motors, generators, transformers &amp; parts thereof</t>
  </si>
  <si>
    <t xml:space="preserve">اجهزه اليه ذات محرك كهربائي للاستعمال المنزلي </t>
  </si>
  <si>
    <t>Household electric-motor appliances</t>
  </si>
  <si>
    <t>الات تكييف هواء</t>
  </si>
  <si>
    <t>Air conditioners</t>
  </si>
  <si>
    <t>ثلاجات ومجمدات كهربائية للاستعمال المنزلي</t>
  </si>
  <si>
    <t>Household refrigerators &amp; electric freezers</t>
  </si>
  <si>
    <t xml:space="preserve">تليفزيونات واجهزة ارسال واستقبال للهاتف اوالبرق اوالراديو  </t>
  </si>
  <si>
    <t>TV &amp; sending &amp; receiving equipment for telephones &amp; radios</t>
  </si>
  <si>
    <t xml:space="preserve">اجهزة حاسب آلى وبرامجها </t>
  </si>
  <si>
    <t>Computer hardware and software</t>
  </si>
  <si>
    <t>الميزان السلعي للمعــــــــادن العــــــــاديـــه ومنتجاتها ، منها :</t>
  </si>
  <si>
    <t>Merchandise balance of base metals &amp; products, of which :</t>
  </si>
  <si>
    <t>حديد خام وحديد وصلب ومصنوعاتهما</t>
  </si>
  <si>
    <t>Iron ore, steel &amp; articles thereof</t>
  </si>
  <si>
    <t xml:space="preserve">الومنيوم خام ومصنوعاته </t>
  </si>
  <si>
    <t>Aluminum ore and its articles</t>
  </si>
  <si>
    <t>نحاس خام ومصنوعاته</t>
  </si>
  <si>
    <t>Copper ore and its articles</t>
  </si>
  <si>
    <t xml:space="preserve"> الميزان السلعي للمركـبات والعـربـات ووسائل الـنـقـل الاخرى  ، منها :</t>
  </si>
  <si>
    <t>Merchandise balance of vehicles, cars and other means of transportation, of which :</t>
  </si>
  <si>
    <t>روافع و بلدوزارات واجزاؤها</t>
  </si>
  <si>
    <t>Cranes and bulldozers and parts thereof</t>
  </si>
  <si>
    <t>سيارات ومركبات لنقل الأشخاص والبضائع</t>
  </si>
  <si>
    <t xml:space="preserve">Cars and vehicles for transport of passengers &amp; goods </t>
  </si>
  <si>
    <t>اجزاء ولوازم وبطاريات السيارات وقطع غيارها</t>
  </si>
  <si>
    <t>Car accessories, batteries and spare parts</t>
  </si>
  <si>
    <r>
      <t xml:space="preserve">* </t>
    </r>
    <r>
      <rPr>
        <sz val="14"/>
        <rFont val="Arial"/>
        <family val="2"/>
      </rPr>
      <t xml:space="preserve"> أرقام مبدئية .</t>
    </r>
  </si>
  <si>
    <t xml:space="preserve">   * Provisional .</t>
  </si>
  <si>
    <t>July/Sep.2015*</t>
  </si>
  <si>
    <t>Q2</t>
  </si>
  <si>
    <t>Oct./Dec.2015*</t>
  </si>
  <si>
    <t>Jan./Mar.2016*</t>
  </si>
  <si>
    <t>Q3</t>
  </si>
  <si>
    <t>Q4</t>
  </si>
  <si>
    <t>Apr./June 2016*</t>
  </si>
  <si>
    <t>(US$ mn)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</si>
</sst>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164" formatCode="0.0"/>
    <numFmt numFmtId="165" formatCode="0.0_);\(0.0\)"/>
    <numFmt numFmtId="166" formatCode="###0.0_);[Black]\(###0.0\)"/>
    <numFmt numFmtId="167" formatCode="0.0;\(###0.0\)"/>
  </numFmts>
  <fonts count="32">
    <font>
      <sz val="10"/>
      <name val="Arial"/>
      <charset val="178"/>
    </font>
    <font>
      <b/>
      <u/>
      <sz val="18"/>
      <color indexed="8"/>
      <name val="Lucida Bright"/>
      <family val="1"/>
    </font>
    <font>
      <b/>
      <u/>
      <sz val="12"/>
      <name val="Times New (W1)"/>
      <family val="1"/>
    </font>
    <font>
      <b/>
      <i/>
      <sz val="18"/>
      <name val="Times New (W1)"/>
      <charset val="178"/>
    </font>
    <font>
      <b/>
      <sz val="14"/>
      <name val="Times New (W1)"/>
      <charset val="178"/>
    </font>
    <font>
      <sz val="10"/>
      <name val="Arial"/>
      <family val="2"/>
    </font>
    <font>
      <sz val="12"/>
      <color rgb="FF7030A0"/>
      <name val="Arial"/>
      <family val="2"/>
      <charset val="178"/>
    </font>
    <font>
      <b/>
      <i/>
      <u/>
      <sz val="12"/>
      <name val="Times New (W1)"/>
      <charset val="178"/>
    </font>
    <font>
      <u/>
      <sz val="12"/>
      <color indexed="61"/>
      <name val="Arial"/>
      <family val="2"/>
    </font>
    <font>
      <sz val="14"/>
      <name val="Arial"/>
      <family val="2"/>
    </font>
    <font>
      <i/>
      <sz val="12"/>
      <name val="Times New (W1)"/>
      <family val="1"/>
    </font>
    <font>
      <sz val="11"/>
      <name val="Arial"/>
      <family val="2"/>
      <charset val="178"/>
    </font>
    <font>
      <i/>
      <sz val="13"/>
      <name val="Arial"/>
      <family val="2"/>
    </font>
    <font>
      <i/>
      <sz val="12"/>
      <name val="Arial"/>
      <family val="2"/>
    </font>
    <font>
      <sz val="12"/>
      <name val="Arial"/>
      <family val="2"/>
    </font>
    <font>
      <sz val="13"/>
      <name val="Arial"/>
      <family val="2"/>
    </font>
    <font>
      <u/>
      <sz val="12"/>
      <name val="Arial"/>
      <family val="2"/>
    </font>
    <font>
      <i/>
      <sz val="10"/>
      <name val="Arial"/>
      <family val="2"/>
    </font>
    <font>
      <b/>
      <sz val="9"/>
      <name val="Times New (W1)"/>
      <family val="1"/>
    </font>
    <font>
      <u/>
      <sz val="14"/>
      <color indexed="61"/>
      <name val="Akhbar MT"/>
      <charset val="178"/>
    </font>
    <font>
      <sz val="10"/>
      <name val="Arial"/>
      <family val="2"/>
      <charset val="178"/>
    </font>
    <font>
      <sz val="13"/>
      <name val="Akhbar MT"/>
      <charset val="178"/>
    </font>
    <font>
      <sz val="8"/>
      <name val="Arial"/>
      <family val="2"/>
      <charset val="178"/>
    </font>
    <font>
      <u/>
      <sz val="8"/>
      <name val="Arial"/>
      <family val="2"/>
      <charset val="178"/>
    </font>
    <font>
      <sz val="8"/>
      <name val="Arial"/>
      <family val="2"/>
    </font>
    <font>
      <sz val="10"/>
      <name val="Arabic Transparent"/>
      <charset val="178"/>
    </font>
    <font>
      <sz val="10"/>
      <color indexed="8"/>
      <name val="MS Sans Serif"/>
      <family val="2"/>
      <charset val="178"/>
    </font>
    <font>
      <b/>
      <i/>
      <u/>
      <sz val="12"/>
      <name val="Times New (W1)"/>
    </font>
    <font>
      <sz val="10"/>
      <name val="Arial"/>
      <charset val="178"/>
    </font>
    <font>
      <sz val="10"/>
      <name val="Arial"/>
    </font>
    <font>
      <sz val="10"/>
      <name val="MS Sans Serif"/>
      <charset val="178"/>
    </font>
    <font>
      <b/>
      <sz val="12"/>
      <name val="Arial"/>
      <family val="2"/>
      <charset val="178"/>
    </font>
  </fonts>
  <fills count="5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theme="9" tint="0.59999389629810485"/>
        <bgColor indexed="64"/>
      </patternFill>
    </fill>
  </fills>
  <borders count="12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</borders>
  <cellStyleXfs count="8">
    <xf numFmtId="0" fontId="0" fillId="0" borderId="0"/>
    <xf numFmtId="0" fontId="5" fillId="0" borderId="0"/>
    <xf numFmtId="0" fontId="25" fillId="0" borderId="0" applyNumberFormat="0">
      <alignment horizontal="right"/>
    </xf>
    <xf numFmtId="0" fontId="26" fillId="0" borderId="0"/>
    <xf numFmtId="0" fontId="29" fillId="0" borderId="0"/>
    <xf numFmtId="0" fontId="28" fillId="0" borderId="0"/>
    <xf numFmtId="9" fontId="29" fillId="0" borderId="0" applyFont="0" applyFill="0" applyBorder="0" applyAlignment="0" applyProtection="0"/>
    <xf numFmtId="0" fontId="30" fillId="0" borderId="0"/>
  </cellStyleXfs>
  <cellXfs count="89">
    <xf numFmtId="0" fontId="0" fillId="0" borderId="0" xfId="0"/>
    <xf numFmtId="0" fontId="0" fillId="0" borderId="0" xfId="0" applyFill="1"/>
    <xf numFmtId="164" fontId="2" fillId="0" borderId="0" xfId="0" applyNumberFormat="1" applyFont="1" applyFill="1" applyBorder="1" applyAlignment="1">
      <alignment horizontal="center" vertical="center" readingOrder="1"/>
    </xf>
    <xf numFmtId="0" fontId="4" fillId="4" borderId="6" xfId="0" quotePrefix="1" applyFont="1" applyFill="1" applyBorder="1" applyAlignment="1">
      <alignment horizontal="center"/>
    </xf>
    <xf numFmtId="164" fontId="6" fillId="4" borderId="10" xfId="1" applyNumberFormat="1" applyFont="1" applyFill="1" applyBorder="1" applyAlignment="1">
      <alignment horizontal="center" vertical="center"/>
    </xf>
    <xf numFmtId="164" fontId="6" fillId="4" borderId="10" xfId="1" applyNumberFormat="1" applyFont="1" applyFill="1" applyBorder="1" applyAlignment="1">
      <alignment horizontal="center" vertical="center" wrapText="1"/>
    </xf>
    <xf numFmtId="0" fontId="7" fillId="2" borderId="6" xfId="0" quotePrefix="1" applyFont="1" applyFill="1" applyBorder="1" applyAlignment="1">
      <alignment horizontal="right" indent="2"/>
    </xf>
    <xf numFmtId="0" fontId="7" fillId="2" borderId="6" xfId="0" quotePrefix="1" applyFont="1" applyFill="1" applyBorder="1" applyAlignment="1">
      <alignment horizontal="left" indent="2"/>
    </xf>
    <xf numFmtId="0" fontId="8" fillId="0" borderId="11" xfId="1" applyFont="1" applyFill="1" applyBorder="1" applyAlignment="1">
      <alignment horizontal="center" vertical="center" readingOrder="1"/>
    </xf>
    <xf numFmtId="164" fontId="8" fillId="0" borderId="11" xfId="1" applyNumberFormat="1" applyFont="1" applyFill="1" applyBorder="1" applyAlignment="1">
      <alignment horizontal="center" vertical="center" readingOrder="1"/>
    </xf>
    <xf numFmtId="165" fontId="8" fillId="0" borderId="2" xfId="1" applyNumberFormat="1" applyFont="1" applyFill="1" applyBorder="1" applyAlignment="1">
      <alignment horizontal="center" vertical="center" readingOrder="1"/>
    </xf>
    <xf numFmtId="0" fontId="9" fillId="0" borderId="0" xfId="0" applyFont="1"/>
    <xf numFmtId="0" fontId="10" fillId="2" borderId="6" xfId="0" quotePrefix="1" applyFont="1" applyFill="1" applyBorder="1" applyAlignment="1">
      <alignment horizontal="right" indent="2"/>
    </xf>
    <xf numFmtId="0" fontId="10" fillId="2" borderId="6" xfId="0" quotePrefix="1" applyFont="1" applyFill="1" applyBorder="1" applyAlignment="1">
      <alignment horizontal="left" indent="2"/>
    </xf>
    <xf numFmtId="164" fontId="11" fillId="0" borderId="11" xfId="1" applyNumberFormat="1" applyFont="1" applyFill="1" applyBorder="1" applyAlignment="1">
      <alignment horizontal="center" vertical="center" readingOrder="1"/>
    </xf>
    <xf numFmtId="164" fontId="11" fillId="0" borderId="6" xfId="1" applyNumberFormat="1" applyFont="1" applyFill="1" applyBorder="1" applyAlignment="1">
      <alignment horizontal="center" vertical="center" readingOrder="1"/>
    </xf>
    <xf numFmtId="166" fontId="11" fillId="0" borderId="6" xfId="0" applyNumberFormat="1" applyFont="1" applyFill="1" applyBorder="1" applyAlignment="1">
      <alignment horizontal="center" vertical="center" readingOrder="1"/>
    </xf>
    <xf numFmtId="0" fontId="12" fillId="0" borderId="0" xfId="0" applyFont="1"/>
    <xf numFmtId="166" fontId="11" fillId="0" borderId="6" xfId="1" applyNumberFormat="1" applyFont="1" applyFill="1" applyBorder="1" applyAlignment="1">
      <alignment horizontal="center" vertical="center" readingOrder="1"/>
    </xf>
    <xf numFmtId="0" fontId="11" fillId="0" borderId="11" xfId="1" applyFont="1" applyFill="1" applyBorder="1" applyAlignment="1">
      <alignment horizontal="center" vertical="center" readingOrder="1"/>
    </xf>
    <xf numFmtId="166" fontId="8" fillId="0" borderId="6" xfId="1" applyNumberFormat="1" applyFont="1" applyFill="1" applyBorder="1" applyAlignment="1">
      <alignment horizontal="center" vertical="center" readingOrder="1"/>
    </xf>
    <xf numFmtId="165" fontId="8" fillId="0" borderId="6" xfId="1" applyNumberFormat="1" applyFont="1" applyFill="1" applyBorder="1" applyAlignment="1">
      <alignment horizontal="center" vertical="center" readingOrder="1"/>
    </xf>
    <xf numFmtId="166" fontId="11" fillId="0" borderId="6" xfId="0" applyNumberFormat="1" applyFont="1" applyBorder="1" applyAlignment="1">
      <alignment horizontal="center" vertical="center" readingOrder="1"/>
    </xf>
    <xf numFmtId="0" fontId="13" fillId="0" borderId="0" xfId="0" applyFont="1"/>
    <xf numFmtId="0" fontId="14" fillId="0" borderId="0" xfId="0" applyFont="1"/>
    <xf numFmtId="167" fontId="8" fillId="0" borderId="6" xfId="0" applyNumberFormat="1" applyFont="1" applyBorder="1" applyAlignment="1">
      <alignment horizontal="center" vertical="center" readingOrder="1"/>
    </xf>
    <xf numFmtId="0" fontId="0" fillId="0" borderId="0" xfId="0" applyBorder="1"/>
    <xf numFmtId="0" fontId="15" fillId="0" borderId="0" xfId="0" applyFont="1"/>
    <xf numFmtId="0" fontId="16" fillId="0" borderId="0" xfId="0" applyFont="1"/>
    <xf numFmtId="0" fontId="13" fillId="0" borderId="0" xfId="0" applyFont="1" applyFill="1"/>
    <xf numFmtId="0" fontId="16" fillId="0" borderId="0" xfId="0" applyFont="1" applyFill="1"/>
    <xf numFmtId="0" fontId="17" fillId="0" borderId="0" xfId="0" applyFont="1"/>
    <xf numFmtId="0" fontId="10" fillId="2" borderId="9" xfId="0" quotePrefix="1" applyFont="1" applyFill="1" applyBorder="1" applyAlignment="1">
      <alignment horizontal="left" indent="2"/>
    </xf>
    <xf numFmtId="166" fontId="11" fillId="0" borderId="9" xfId="0" applyNumberFormat="1" applyFont="1" applyBorder="1" applyAlignment="1">
      <alignment horizontal="center" vertical="center" readingOrder="1"/>
    </xf>
    <xf numFmtId="166" fontId="11" fillId="0" borderId="9" xfId="1" applyNumberFormat="1" applyFont="1" applyFill="1" applyBorder="1" applyAlignment="1">
      <alignment horizontal="center" vertical="center" readingOrder="1"/>
    </xf>
    <xf numFmtId="0" fontId="18" fillId="0" borderId="0" xfId="0" quotePrefix="1" applyFont="1" applyFill="1" applyAlignment="1">
      <alignment horizontal="left" vertical="center" readingOrder="1"/>
    </xf>
    <xf numFmtId="0" fontId="8" fillId="0" borderId="0" xfId="1" applyFont="1" applyFill="1" applyBorder="1" applyAlignment="1">
      <alignment horizontal="right" vertical="center" indent="1" readingOrder="2"/>
    </xf>
    <xf numFmtId="0" fontId="0" fillId="0" borderId="0" xfId="0" applyFill="1" applyBorder="1" applyAlignment="1">
      <alignment readingOrder="2"/>
    </xf>
    <xf numFmtId="0" fontId="0" fillId="0" borderId="0" xfId="0" applyAlignment="1">
      <alignment readingOrder="2"/>
    </xf>
    <xf numFmtId="0" fontId="19" fillId="0" borderId="0" xfId="1" applyFont="1" applyFill="1" applyBorder="1" applyAlignment="1">
      <alignment horizontal="right" vertical="center" indent="1" readingOrder="2"/>
    </xf>
    <xf numFmtId="0" fontId="7" fillId="0" borderId="0" xfId="0" quotePrefix="1" applyFont="1" applyFill="1" applyBorder="1" applyAlignment="1">
      <alignment horizontal="right" indent="2"/>
    </xf>
    <xf numFmtId="0" fontId="20" fillId="0" borderId="0" xfId="0" applyFont="1" applyFill="1" applyAlignment="1">
      <alignment readingOrder="1"/>
    </xf>
    <xf numFmtId="0" fontId="21" fillId="0" borderId="0" xfId="1" applyFont="1" applyFill="1" applyBorder="1" applyAlignment="1">
      <alignment horizontal="right" vertical="center" indent="1" readingOrder="2"/>
    </xf>
    <xf numFmtId="0" fontId="10" fillId="0" borderId="0" xfId="0" quotePrefix="1" applyFont="1" applyFill="1" applyBorder="1" applyAlignment="1">
      <alignment horizontal="right" indent="2"/>
    </xf>
    <xf numFmtId="0" fontId="22" fillId="0" borderId="0" xfId="0" applyFont="1" applyFill="1" applyAlignment="1">
      <alignment readingOrder="1"/>
    </xf>
    <xf numFmtId="0" fontId="23" fillId="0" borderId="0" xfId="0" applyFont="1" applyFill="1" applyAlignment="1">
      <alignment readingOrder="1"/>
    </xf>
    <xf numFmtId="14" fontId="22" fillId="0" borderId="0" xfId="0" applyNumberFormat="1" applyFont="1" applyFill="1" applyAlignment="1">
      <alignment readingOrder="1"/>
    </xf>
    <xf numFmtId="0" fontId="24" fillId="0" borderId="0" xfId="0" applyFont="1" applyFill="1" applyAlignment="1">
      <alignment horizontal="left" readingOrder="1"/>
    </xf>
    <xf numFmtId="0" fontId="0" fillId="0" borderId="0" xfId="0" applyFill="1" applyBorder="1"/>
    <xf numFmtId="0" fontId="20" fillId="0" borderId="0" xfId="0" applyFont="1" applyFill="1" applyBorder="1" applyAlignment="1">
      <alignment readingOrder="1"/>
    </xf>
    <xf numFmtId="0" fontId="27" fillId="2" borderId="6" xfId="0" quotePrefix="1" applyFont="1" applyFill="1" applyBorder="1" applyAlignment="1">
      <alignment horizontal="left" indent="2"/>
    </xf>
    <xf numFmtId="0" fontId="1" fillId="0" borderId="0" xfId="0" applyFont="1" applyFill="1" applyBorder="1" applyAlignment="1">
      <alignment horizontal="center" vertical="center" readingOrder="1"/>
    </xf>
    <xf numFmtId="0" fontId="15" fillId="0" borderId="3" xfId="1" applyFont="1" applyFill="1" applyBorder="1" applyAlignment="1">
      <alignment horizontal="right" vertical="center" indent="1" readingOrder="2"/>
    </xf>
    <xf numFmtId="0" fontId="1" fillId="0" borderId="0" xfId="0" applyFont="1" applyFill="1" applyBorder="1" applyAlignment="1">
      <alignment horizontal="center" vertical="center" readingOrder="1"/>
    </xf>
    <xf numFmtId="0" fontId="31" fillId="0" borderId="0" xfId="5" applyFont="1" applyAlignment="1">
      <alignment horizontal="right" vertical="center"/>
    </xf>
    <xf numFmtId="164" fontId="0" fillId="0" borderId="0" xfId="0" applyNumberFormat="1"/>
    <xf numFmtId="164" fontId="9" fillId="0" borderId="0" xfId="0" applyNumberFormat="1" applyFont="1"/>
    <xf numFmtId="167" fontId="8" fillId="0" borderId="6" xfId="0" applyNumberFormat="1" applyFont="1" applyFill="1" applyBorder="1" applyAlignment="1">
      <alignment horizontal="center" vertical="center" readingOrder="1"/>
    </xf>
    <xf numFmtId="166" fontId="11" fillId="0" borderId="9" xfId="0" applyNumberFormat="1" applyFont="1" applyFill="1" applyBorder="1" applyAlignment="1">
      <alignment horizontal="center" vertical="center" readingOrder="1"/>
    </xf>
    <xf numFmtId="0" fontId="0" fillId="0" borderId="11" xfId="0" applyBorder="1"/>
    <xf numFmtId="164" fontId="9" fillId="0" borderId="0" xfId="0" applyNumberFormat="1" applyFont="1" applyBorder="1"/>
    <xf numFmtId="0" fontId="9" fillId="0" borderId="0" xfId="0" applyFont="1" applyBorder="1"/>
    <xf numFmtId="0" fontId="12" fillId="0" borderId="0" xfId="0" applyFont="1" applyBorder="1"/>
    <xf numFmtId="166" fontId="8" fillId="0" borderId="11" xfId="1" applyNumberFormat="1" applyFont="1" applyFill="1" applyBorder="1" applyAlignment="1">
      <alignment horizontal="center" vertical="center" readingOrder="1"/>
    </xf>
    <xf numFmtId="166" fontId="11" fillId="0" borderId="11" xfId="0" applyNumberFormat="1" applyFont="1" applyFill="1" applyBorder="1" applyAlignment="1">
      <alignment horizontal="center" vertical="center" readingOrder="1"/>
    </xf>
    <xf numFmtId="0" fontId="13" fillId="0" borderId="0" xfId="0" applyFont="1" applyBorder="1"/>
    <xf numFmtId="166" fontId="11" fillId="0" borderId="11" xfId="0" applyNumberFormat="1" applyFont="1" applyBorder="1" applyAlignment="1">
      <alignment horizontal="center" vertical="center" readingOrder="1"/>
    </xf>
    <xf numFmtId="0" fontId="14" fillId="0" borderId="0" xfId="0" applyFont="1" applyBorder="1"/>
    <xf numFmtId="167" fontId="8" fillId="0" borderId="11" xfId="0" applyNumberFormat="1" applyFont="1" applyBorder="1" applyAlignment="1">
      <alignment horizontal="center" vertical="center" readingOrder="1"/>
    </xf>
    <xf numFmtId="0" fontId="15" fillId="0" borderId="0" xfId="0" applyFont="1" applyBorder="1"/>
    <xf numFmtId="0" fontId="16" fillId="0" borderId="0" xfId="0" applyFont="1" applyBorder="1"/>
    <xf numFmtId="0" fontId="13" fillId="0" borderId="0" xfId="0" applyFont="1" applyFill="1" applyBorder="1"/>
    <xf numFmtId="0" fontId="16" fillId="0" borderId="0" xfId="0" applyFont="1" applyFill="1" applyBorder="1"/>
    <xf numFmtId="0" fontId="17" fillId="0" borderId="0" xfId="0" applyFont="1" applyBorder="1"/>
    <xf numFmtId="166" fontId="11" fillId="0" borderId="0" xfId="0" applyNumberFormat="1" applyFont="1" applyBorder="1" applyAlignment="1">
      <alignment horizontal="center" vertical="center" readingOrder="1"/>
    </xf>
    <xf numFmtId="166" fontId="11" fillId="0" borderId="0" xfId="1" applyNumberFormat="1" applyFont="1" applyFill="1" applyBorder="1" applyAlignment="1">
      <alignment horizontal="center" vertical="center" readingOrder="1"/>
    </xf>
    <xf numFmtId="0" fontId="2" fillId="3" borderId="4" xfId="0" applyFont="1" applyFill="1" applyBorder="1" applyAlignment="1">
      <alignment horizontal="center" vertical="center" wrapText="1" readingOrder="1"/>
    </xf>
    <xf numFmtId="0" fontId="2" fillId="3" borderId="3" xfId="0" applyFont="1" applyFill="1" applyBorder="1" applyAlignment="1">
      <alignment horizontal="center" vertical="center" wrapText="1" readingOrder="1"/>
    </xf>
    <xf numFmtId="0" fontId="2" fillId="3" borderId="5" xfId="0" applyFont="1" applyFill="1" applyBorder="1" applyAlignment="1">
      <alignment horizontal="center" vertical="center" wrapText="1" readingOrder="1"/>
    </xf>
    <xf numFmtId="0" fontId="2" fillId="3" borderId="7" xfId="0" applyFont="1" applyFill="1" applyBorder="1" applyAlignment="1">
      <alignment horizontal="center" vertical="center" wrapText="1" readingOrder="1"/>
    </xf>
    <xf numFmtId="0" fontId="2" fillId="3" borderId="1" xfId="0" applyFont="1" applyFill="1" applyBorder="1" applyAlignment="1">
      <alignment horizontal="center" vertical="center" wrapText="1" readingOrder="1"/>
    </xf>
    <xf numFmtId="0" fontId="2" fillId="3" borderId="8" xfId="0" applyFont="1" applyFill="1" applyBorder="1" applyAlignment="1">
      <alignment horizontal="center" vertical="center" wrapText="1" readingOrder="1"/>
    </xf>
    <xf numFmtId="0" fontId="1" fillId="0" borderId="0" xfId="0" applyFont="1" applyFill="1" applyBorder="1" applyAlignment="1">
      <alignment horizontal="center" vertical="center" readingOrder="1"/>
    </xf>
    <xf numFmtId="0" fontId="3" fillId="2" borderId="2" xfId="0" quotePrefix="1" applyFont="1" applyFill="1" applyBorder="1" applyAlignment="1">
      <alignment horizontal="center" vertical="center"/>
    </xf>
    <xf numFmtId="0" fontId="3" fillId="2" borderId="6" xfId="0" quotePrefix="1" applyFont="1" applyFill="1" applyBorder="1" applyAlignment="1">
      <alignment horizontal="center" vertical="center"/>
    </xf>
    <xf numFmtId="0" fontId="3" fillId="2" borderId="9" xfId="0" quotePrefix="1" applyFont="1" applyFill="1" applyBorder="1" applyAlignment="1">
      <alignment horizontal="center" vertical="center"/>
    </xf>
    <xf numFmtId="0" fontId="3" fillId="2" borderId="3" xfId="0" quotePrefix="1" applyFont="1" applyFill="1" applyBorder="1" applyAlignment="1">
      <alignment horizontal="center" vertical="center"/>
    </xf>
    <xf numFmtId="0" fontId="3" fillId="2" borderId="0" xfId="0" quotePrefix="1" applyFont="1" applyFill="1" applyBorder="1" applyAlignment="1">
      <alignment horizontal="center" vertical="center"/>
    </xf>
    <xf numFmtId="0" fontId="3" fillId="2" borderId="1" xfId="0" quotePrefix="1" applyFont="1" applyFill="1" applyBorder="1" applyAlignment="1">
      <alignment horizontal="center" vertical="center"/>
    </xf>
  </cellXfs>
  <cellStyles count="8">
    <cellStyle name="MS_Arabic" xfId="2"/>
    <cellStyle name="Normal" xfId="0" builtinId="0"/>
    <cellStyle name="Normal 2" xfId="3"/>
    <cellStyle name="Normal 3" xfId="4"/>
    <cellStyle name="Normal_BOP_11_14-19_21" xfId="1"/>
    <cellStyle name="Normal_BOP_11_14-19_21 2" xfId="5"/>
    <cellStyle name="Percent 2" xfId="6"/>
    <cellStyle name="عادي_artim" xfId="7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10" Type="http://schemas.openxmlformats.org/officeDocument/2006/relationships/customXml" Target="../customXml/item5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99"/>
  <sheetViews>
    <sheetView tabSelected="1" view="pageBreakPreview" topLeftCell="E39" zoomScaleNormal="100" zoomScaleSheetLayoutView="100" workbookViewId="0">
      <selection activeCell="I54" sqref="I54"/>
    </sheetView>
  </sheetViews>
  <sheetFormatPr defaultRowHeight="12.75"/>
  <cols>
    <col min="1" max="1" width="62.140625" customWidth="1"/>
    <col min="2" max="2" width="94.140625" style="41" customWidth="1"/>
    <col min="3" max="4" width="18.7109375" style="41" customWidth="1"/>
    <col min="5" max="5" width="18.7109375" customWidth="1"/>
    <col min="6" max="7" width="18.7109375" style="41" customWidth="1"/>
    <col min="8" max="14" width="18.7109375" customWidth="1"/>
    <col min="17" max="17" width="15.28515625" customWidth="1"/>
    <col min="19" max="19" width="9.28515625" bestFit="1" customWidth="1"/>
    <col min="20" max="20" width="10.7109375" bestFit="1" customWidth="1"/>
    <col min="21" max="21" width="32.5703125" bestFit="1" customWidth="1"/>
  </cols>
  <sheetData>
    <row r="1" spans="1:21" s="1" customFormat="1" ht="45" customHeight="1">
      <c r="A1" s="82" t="s">
        <v>0</v>
      </c>
      <c r="B1" s="82"/>
      <c r="C1" s="82"/>
      <c r="D1" s="82"/>
      <c r="E1" s="82"/>
      <c r="F1" s="82"/>
      <c r="G1" s="82"/>
      <c r="H1" s="82"/>
      <c r="I1" s="82"/>
      <c r="J1" s="82"/>
      <c r="K1" s="82"/>
      <c r="L1" s="82"/>
      <c r="M1" s="82"/>
      <c r="N1" s="82"/>
    </row>
    <row r="2" spans="1:21" s="1" customFormat="1" ht="45" customHeight="1">
      <c r="A2" s="51"/>
      <c r="B2" s="51"/>
      <c r="C2" s="51"/>
      <c r="D2" s="51"/>
      <c r="E2" s="2"/>
      <c r="F2" s="53"/>
      <c r="G2" s="53"/>
      <c r="K2" s="2"/>
      <c r="N2" s="54" t="s">
        <v>109</v>
      </c>
    </row>
    <row r="3" spans="1:21" ht="25.5" customHeight="1">
      <c r="A3" s="83" t="s">
        <v>1</v>
      </c>
      <c r="B3" s="86" t="s">
        <v>2</v>
      </c>
      <c r="C3" s="76" t="s">
        <v>3</v>
      </c>
      <c r="D3" s="77"/>
      <c r="E3" s="78"/>
      <c r="F3" s="76" t="s">
        <v>103</v>
      </c>
      <c r="G3" s="77"/>
      <c r="H3" s="78"/>
      <c r="I3" s="76" t="s">
        <v>106</v>
      </c>
      <c r="J3" s="77"/>
      <c r="K3" s="78"/>
      <c r="L3" s="76" t="s">
        <v>107</v>
      </c>
      <c r="M3" s="77"/>
      <c r="N3" s="78"/>
      <c r="O3" s="59"/>
      <c r="P3" s="26"/>
      <c r="Q3" s="26"/>
      <c r="R3" s="26"/>
    </row>
    <row r="4" spans="1:21" ht="25.5" customHeight="1">
      <c r="A4" s="84"/>
      <c r="B4" s="87"/>
      <c r="C4" s="79" t="s">
        <v>102</v>
      </c>
      <c r="D4" s="80"/>
      <c r="E4" s="81"/>
      <c r="F4" s="79" t="s">
        <v>104</v>
      </c>
      <c r="G4" s="80"/>
      <c r="H4" s="81"/>
      <c r="I4" s="79" t="s">
        <v>105</v>
      </c>
      <c r="J4" s="80"/>
      <c r="K4" s="81"/>
      <c r="L4" s="79" t="s">
        <v>108</v>
      </c>
      <c r="M4" s="80"/>
      <c r="N4" s="81"/>
      <c r="O4" s="59"/>
      <c r="P4" s="26"/>
      <c r="Q4" s="26"/>
      <c r="R4" s="26"/>
    </row>
    <row r="5" spans="1:21" ht="25.5" customHeight="1">
      <c r="A5" s="84"/>
      <c r="B5" s="87"/>
      <c r="C5" s="3" t="s">
        <v>4</v>
      </c>
      <c r="D5" s="3" t="s">
        <v>5</v>
      </c>
      <c r="E5" s="3" t="s">
        <v>6</v>
      </c>
      <c r="F5" s="3" t="s">
        <v>4</v>
      </c>
      <c r="G5" s="3" t="s">
        <v>5</v>
      </c>
      <c r="H5" s="3" t="s">
        <v>6</v>
      </c>
      <c r="I5" s="3" t="s">
        <v>4</v>
      </c>
      <c r="J5" s="3" t="s">
        <v>5</v>
      </c>
      <c r="K5" s="3" t="s">
        <v>6</v>
      </c>
      <c r="L5" s="3" t="s">
        <v>4</v>
      </c>
      <c r="M5" s="3" t="s">
        <v>5</v>
      </c>
      <c r="N5" s="3" t="s">
        <v>6</v>
      </c>
      <c r="O5" s="59"/>
      <c r="P5" s="26"/>
      <c r="Q5" s="26"/>
      <c r="R5" s="26"/>
    </row>
    <row r="6" spans="1:21" ht="36" customHeight="1">
      <c r="A6" s="85"/>
      <c r="B6" s="88"/>
      <c r="C6" s="4" t="s">
        <v>7</v>
      </c>
      <c r="D6" s="5" t="s">
        <v>8</v>
      </c>
      <c r="E6" s="5" t="s">
        <v>9</v>
      </c>
      <c r="F6" s="4" t="s">
        <v>7</v>
      </c>
      <c r="G6" s="5" t="s">
        <v>8</v>
      </c>
      <c r="H6" s="5" t="s">
        <v>9</v>
      </c>
      <c r="I6" s="4" t="s">
        <v>7</v>
      </c>
      <c r="J6" s="5" t="s">
        <v>8</v>
      </c>
      <c r="K6" s="5" t="s">
        <v>9</v>
      </c>
      <c r="L6" s="4" t="s">
        <v>7</v>
      </c>
      <c r="M6" s="5" t="s">
        <v>8</v>
      </c>
      <c r="N6" s="5" t="s">
        <v>9</v>
      </c>
      <c r="O6" s="59"/>
      <c r="P6" s="26"/>
      <c r="Q6" s="26"/>
      <c r="R6" s="26"/>
    </row>
    <row r="7" spans="1:21" s="11" customFormat="1" ht="20.100000000000001" customHeight="1">
      <c r="A7" s="6" t="s">
        <v>10</v>
      </c>
      <c r="B7" s="7" t="s">
        <v>11</v>
      </c>
      <c r="C7" s="8">
        <v>1662.3</v>
      </c>
      <c r="D7" s="9">
        <v>2809.6</v>
      </c>
      <c r="E7" s="10">
        <v>-1147.3</v>
      </c>
      <c r="F7" s="8">
        <v>1464.7</v>
      </c>
      <c r="G7" s="9">
        <v>2620.7000000000003</v>
      </c>
      <c r="H7" s="10">
        <v>-1156.0000000000002</v>
      </c>
      <c r="I7" s="8">
        <v>1084.1000000000006</v>
      </c>
      <c r="J7" s="9">
        <v>1641.7999999999997</v>
      </c>
      <c r="K7" s="10">
        <v>-557.69999999999914</v>
      </c>
      <c r="L7" s="8">
        <v>1463.2</v>
      </c>
      <c r="M7" s="9">
        <v>2221.5</v>
      </c>
      <c r="N7" s="10">
        <v>-758.3</v>
      </c>
      <c r="O7" s="8"/>
      <c r="P7" s="60"/>
      <c r="Q7" s="60"/>
      <c r="R7" s="61"/>
      <c r="S7" s="56"/>
      <c r="T7" s="56"/>
      <c r="U7" s="56"/>
    </row>
    <row r="8" spans="1:21" s="17" customFormat="1" ht="20.100000000000001" customHeight="1">
      <c r="A8" s="12" t="s">
        <v>12</v>
      </c>
      <c r="B8" s="13" t="s">
        <v>13</v>
      </c>
      <c r="C8" s="14">
        <v>1125.2</v>
      </c>
      <c r="D8" s="14">
        <v>409.6</v>
      </c>
      <c r="E8" s="18">
        <v>715.6</v>
      </c>
      <c r="F8" s="14">
        <v>887.59999999999991</v>
      </c>
      <c r="G8" s="14">
        <v>288.79999999999995</v>
      </c>
      <c r="H8" s="18">
        <v>598.79999999999995</v>
      </c>
      <c r="I8" s="14">
        <v>615.00000000000023</v>
      </c>
      <c r="J8" s="14">
        <v>144.20000000000005</v>
      </c>
      <c r="K8" s="18">
        <v>470.80000000000018</v>
      </c>
      <c r="L8" s="14">
        <v>930.1</v>
      </c>
      <c r="M8" s="14">
        <v>68.099999999999994</v>
      </c>
      <c r="N8" s="18">
        <v>862</v>
      </c>
      <c r="O8" s="14"/>
      <c r="P8" s="60"/>
      <c r="Q8" s="60"/>
      <c r="R8" s="62"/>
      <c r="S8" s="56"/>
      <c r="T8" s="56"/>
      <c r="U8" s="56"/>
    </row>
    <row r="9" spans="1:21" s="17" customFormat="1" ht="20.100000000000001" customHeight="1">
      <c r="A9" s="12" t="s">
        <v>14</v>
      </c>
      <c r="B9" s="13" t="s">
        <v>15</v>
      </c>
      <c r="C9" s="14">
        <v>399.6</v>
      </c>
      <c r="D9" s="14">
        <v>1826.6</v>
      </c>
      <c r="E9" s="18">
        <v>-1427</v>
      </c>
      <c r="F9" s="14">
        <v>471.1</v>
      </c>
      <c r="G9" s="14">
        <v>1645.8000000000002</v>
      </c>
      <c r="H9" s="18">
        <v>-1174.7000000000003</v>
      </c>
      <c r="I9" s="14">
        <v>412.29999999999995</v>
      </c>
      <c r="J9" s="14">
        <v>1099.2999999999997</v>
      </c>
      <c r="K9" s="18">
        <v>-686.99999999999977</v>
      </c>
      <c r="L9" s="14">
        <v>458.4</v>
      </c>
      <c r="M9" s="14">
        <v>1566.8</v>
      </c>
      <c r="N9" s="18">
        <v>-1108.4000000000001</v>
      </c>
      <c r="O9" s="14"/>
      <c r="P9" s="60"/>
      <c r="Q9" s="60"/>
      <c r="R9" s="62"/>
      <c r="S9" s="56"/>
      <c r="T9" s="56"/>
      <c r="U9" s="56"/>
    </row>
    <row r="10" spans="1:21" s="11" customFormat="1" ht="20.100000000000001" customHeight="1">
      <c r="A10" s="12" t="s">
        <v>16</v>
      </c>
      <c r="B10" s="13" t="s">
        <v>17</v>
      </c>
      <c r="C10" s="14">
        <v>131</v>
      </c>
      <c r="D10" s="19">
        <v>70.599999999999994</v>
      </c>
      <c r="E10" s="18">
        <v>60.400000000000006</v>
      </c>
      <c r="F10" s="14">
        <v>106</v>
      </c>
      <c r="G10" s="19">
        <v>65.300000000000011</v>
      </c>
      <c r="H10" s="18">
        <v>40.699999999999989</v>
      </c>
      <c r="I10" s="14">
        <v>56.800000000000011</v>
      </c>
      <c r="J10" s="19">
        <v>55</v>
      </c>
      <c r="K10" s="18">
        <v>1.8000000000000114</v>
      </c>
      <c r="L10" s="14">
        <v>61.7</v>
      </c>
      <c r="M10" s="19">
        <v>46.1</v>
      </c>
      <c r="N10" s="18">
        <v>15.6</v>
      </c>
      <c r="O10" s="14"/>
      <c r="P10" s="60"/>
      <c r="Q10" s="60"/>
      <c r="R10" s="61"/>
      <c r="S10" s="56"/>
      <c r="T10" s="56"/>
      <c r="U10" s="56"/>
    </row>
    <row r="11" spans="1:21" s="17" customFormat="1" ht="20.100000000000001" customHeight="1">
      <c r="A11" s="12" t="s">
        <v>18</v>
      </c>
      <c r="B11" s="13" t="s">
        <v>19</v>
      </c>
      <c r="C11" s="14">
        <v>6.5</v>
      </c>
      <c r="D11" s="14">
        <v>502.8</v>
      </c>
      <c r="E11" s="18">
        <v>-496.3</v>
      </c>
      <c r="F11" s="14">
        <v>0</v>
      </c>
      <c r="G11" s="14">
        <v>620.79999999999995</v>
      </c>
      <c r="H11" s="18">
        <v>-620.79999999999995</v>
      </c>
      <c r="I11" s="14">
        <v>0</v>
      </c>
      <c r="J11" s="14">
        <v>343.30000000000013</v>
      </c>
      <c r="K11" s="18">
        <v>-343.30000000000013</v>
      </c>
      <c r="L11" s="14">
        <v>13</v>
      </c>
      <c r="M11" s="14">
        <v>540.5</v>
      </c>
      <c r="N11" s="18">
        <v>-527.5</v>
      </c>
      <c r="O11" s="14"/>
      <c r="P11" s="60"/>
      <c r="Q11" s="60"/>
      <c r="R11" s="62"/>
      <c r="S11" s="56"/>
      <c r="T11" s="56"/>
      <c r="U11" s="56"/>
    </row>
    <row r="12" spans="1:21" s="17" customFormat="1" ht="20.100000000000001" customHeight="1">
      <c r="A12" s="6" t="s">
        <v>20</v>
      </c>
      <c r="B12" s="7" t="s">
        <v>21</v>
      </c>
      <c r="C12" s="20">
        <v>501.3</v>
      </c>
      <c r="D12" s="20">
        <v>1076.2</v>
      </c>
      <c r="E12" s="21">
        <v>-574.90000000000009</v>
      </c>
      <c r="F12" s="20">
        <v>370.99999999999994</v>
      </c>
      <c r="G12" s="20">
        <v>1049.3999999999999</v>
      </c>
      <c r="H12" s="21">
        <v>-678.39999999999986</v>
      </c>
      <c r="I12" s="20">
        <v>479.49999999999994</v>
      </c>
      <c r="J12" s="20">
        <v>1177.4000000000003</v>
      </c>
      <c r="K12" s="21">
        <v>-697.90000000000032</v>
      </c>
      <c r="L12" s="20">
        <v>1460.9</v>
      </c>
      <c r="M12" s="20">
        <v>2752.8</v>
      </c>
      <c r="N12" s="21">
        <v>-1291.9000000000001</v>
      </c>
      <c r="O12" s="63"/>
      <c r="P12" s="60"/>
      <c r="Q12" s="60"/>
      <c r="R12" s="62"/>
      <c r="S12" s="56"/>
      <c r="T12" s="56"/>
      <c r="U12" s="56"/>
    </row>
    <row r="13" spans="1:21" ht="20.100000000000001" customHeight="1">
      <c r="A13" s="12" t="s">
        <v>22</v>
      </c>
      <c r="B13" s="13" t="s">
        <v>23</v>
      </c>
      <c r="C13" s="16">
        <v>2.6</v>
      </c>
      <c r="D13" s="16">
        <v>267</v>
      </c>
      <c r="E13" s="18">
        <v>-264.39999999999998</v>
      </c>
      <c r="F13" s="16">
        <v>3.6999999999999997</v>
      </c>
      <c r="G13" s="16">
        <v>257.70000000000005</v>
      </c>
      <c r="H13" s="18">
        <v>-254.00000000000006</v>
      </c>
      <c r="I13" s="16">
        <v>4.6000000000000014</v>
      </c>
      <c r="J13" s="16">
        <v>217.79999999999995</v>
      </c>
      <c r="K13" s="18">
        <v>-213.19999999999996</v>
      </c>
      <c r="L13" s="16">
        <v>6.2000000000000011</v>
      </c>
      <c r="M13" s="16">
        <v>254.29999999999995</v>
      </c>
      <c r="N13" s="18">
        <v>-248.09999999999997</v>
      </c>
      <c r="O13" s="64"/>
      <c r="P13" s="60"/>
      <c r="Q13" s="60"/>
      <c r="R13" s="26"/>
      <c r="S13" s="56"/>
      <c r="T13" s="56"/>
      <c r="U13" s="56"/>
    </row>
    <row r="14" spans="1:21" ht="20.100000000000001" customHeight="1">
      <c r="A14" s="12" t="s">
        <v>24</v>
      </c>
      <c r="B14" s="13" t="s">
        <v>25</v>
      </c>
      <c r="C14" s="16">
        <v>5.5</v>
      </c>
      <c r="D14" s="16">
        <v>80.400000000000006</v>
      </c>
      <c r="E14" s="18">
        <v>-74.900000000000006</v>
      </c>
      <c r="F14" s="16">
        <v>3.9000000000000004</v>
      </c>
      <c r="G14" s="16">
        <v>82.699999999999989</v>
      </c>
      <c r="H14" s="18">
        <v>-78.799999999999983</v>
      </c>
      <c r="I14" s="16">
        <v>5.7999999999999989</v>
      </c>
      <c r="J14" s="16">
        <v>75.599999999999994</v>
      </c>
      <c r="K14" s="18">
        <v>-69.8</v>
      </c>
      <c r="L14" s="16">
        <v>5.6999999999999993</v>
      </c>
      <c r="M14" s="16">
        <v>46.1</v>
      </c>
      <c r="N14" s="18">
        <v>-40.400000000000006</v>
      </c>
      <c r="O14" s="64"/>
      <c r="P14" s="60"/>
      <c r="Q14" s="60"/>
      <c r="R14" s="26"/>
      <c r="S14" s="56"/>
      <c r="T14" s="56"/>
      <c r="U14" s="56"/>
    </row>
    <row r="15" spans="1:21" ht="20.100000000000001" customHeight="1">
      <c r="A15" s="12" t="s">
        <v>26</v>
      </c>
      <c r="B15" s="13" t="s">
        <v>27</v>
      </c>
      <c r="C15" s="16">
        <v>70</v>
      </c>
      <c r="D15" s="16">
        <v>122.3</v>
      </c>
      <c r="E15" s="18">
        <v>-52.3</v>
      </c>
      <c r="F15" s="16">
        <v>71.5</v>
      </c>
      <c r="G15" s="16">
        <v>112.89999999999999</v>
      </c>
      <c r="H15" s="18">
        <v>-41.399999999999991</v>
      </c>
      <c r="I15" s="16">
        <v>65.300000000000011</v>
      </c>
      <c r="J15" s="16">
        <v>133.30000000000001</v>
      </c>
      <c r="K15" s="18">
        <v>-68</v>
      </c>
      <c r="L15" s="16">
        <v>77.699999999999989</v>
      </c>
      <c r="M15" s="16">
        <v>168.29999999999995</v>
      </c>
      <c r="N15" s="18">
        <v>-90.599999999999966</v>
      </c>
      <c r="O15" s="64"/>
      <c r="P15" s="60"/>
      <c r="Q15" s="60"/>
      <c r="R15" s="26"/>
      <c r="S15" s="56"/>
      <c r="T15" s="56"/>
      <c r="U15" s="56"/>
    </row>
    <row r="16" spans="1:21" s="23" customFormat="1" ht="20.100000000000001" customHeight="1">
      <c r="A16" s="12" t="s">
        <v>28</v>
      </c>
      <c r="B16" s="13" t="s">
        <v>29</v>
      </c>
      <c r="C16" s="16">
        <v>99.7</v>
      </c>
      <c r="D16" s="16">
        <v>48.4</v>
      </c>
      <c r="E16" s="18">
        <v>51.300000000000004</v>
      </c>
      <c r="F16" s="16">
        <v>53.899999999999991</v>
      </c>
      <c r="G16" s="16">
        <v>67</v>
      </c>
      <c r="H16" s="18">
        <v>-13.100000000000009</v>
      </c>
      <c r="I16" s="16">
        <v>142.10000000000002</v>
      </c>
      <c r="J16" s="16">
        <v>65.400000000000006</v>
      </c>
      <c r="K16" s="18">
        <v>76.700000000000017</v>
      </c>
      <c r="L16" s="16">
        <v>180.5</v>
      </c>
      <c r="M16" s="16">
        <v>51.699999999999996</v>
      </c>
      <c r="N16" s="18">
        <v>128.80000000000001</v>
      </c>
      <c r="O16" s="64"/>
      <c r="P16" s="60"/>
      <c r="Q16" s="60"/>
      <c r="R16" s="65"/>
      <c r="S16" s="56"/>
      <c r="T16" s="56"/>
      <c r="U16" s="56"/>
    </row>
    <row r="17" spans="1:21" ht="20.100000000000001" customHeight="1">
      <c r="A17" s="12" t="s">
        <v>30</v>
      </c>
      <c r="B17" s="13" t="s">
        <v>31</v>
      </c>
      <c r="C17" s="16">
        <v>3.5</v>
      </c>
      <c r="D17" s="16">
        <v>53.2</v>
      </c>
      <c r="E17" s="18">
        <v>-49.7</v>
      </c>
      <c r="F17" s="16">
        <v>10.8</v>
      </c>
      <c r="G17" s="16">
        <v>53.8</v>
      </c>
      <c r="H17" s="18">
        <v>-43</v>
      </c>
      <c r="I17" s="16">
        <v>8</v>
      </c>
      <c r="J17" s="16">
        <v>65.199999999999989</v>
      </c>
      <c r="K17" s="18">
        <v>-57.199999999999989</v>
      </c>
      <c r="L17" s="16">
        <v>22.400000000000002</v>
      </c>
      <c r="M17" s="16">
        <v>143.5</v>
      </c>
      <c r="N17" s="18">
        <v>-121.1</v>
      </c>
      <c r="O17" s="64"/>
      <c r="P17" s="60"/>
      <c r="Q17" s="60"/>
      <c r="R17" s="26"/>
      <c r="S17" s="56"/>
      <c r="T17" s="56"/>
      <c r="U17" s="56"/>
    </row>
    <row r="18" spans="1:21" ht="19.5" customHeight="1">
      <c r="A18" s="12" t="s">
        <v>32</v>
      </c>
      <c r="B18" s="13" t="s">
        <v>33</v>
      </c>
      <c r="C18" s="22">
        <v>29.400000000000002</v>
      </c>
      <c r="D18" s="22">
        <v>185.6</v>
      </c>
      <c r="E18" s="18">
        <v>-156.19999999999999</v>
      </c>
      <c r="F18" s="22">
        <v>21.099999999999998</v>
      </c>
      <c r="G18" s="22">
        <v>156.1</v>
      </c>
      <c r="H18" s="18">
        <v>-135</v>
      </c>
      <c r="I18" s="22">
        <v>23.099999999999998</v>
      </c>
      <c r="J18" s="22">
        <v>211.09999999999994</v>
      </c>
      <c r="K18" s="18">
        <v>-187.99999999999994</v>
      </c>
      <c r="L18" s="22">
        <v>31.600000000000012</v>
      </c>
      <c r="M18" s="22">
        <v>350</v>
      </c>
      <c r="N18" s="18">
        <v>-318.39999999999998</v>
      </c>
      <c r="O18" s="66"/>
      <c r="P18" s="60"/>
      <c r="Q18" s="60"/>
      <c r="R18" s="26"/>
      <c r="S18" s="56"/>
      <c r="T18" s="56"/>
      <c r="U18" s="56"/>
    </row>
    <row r="19" spans="1:21" ht="20.100000000000001" customHeight="1">
      <c r="A19" s="12" t="s">
        <v>34</v>
      </c>
      <c r="B19" s="13" t="s">
        <v>35</v>
      </c>
      <c r="C19" s="22">
        <v>68.599999999999994</v>
      </c>
      <c r="D19" s="22">
        <v>117.7</v>
      </c>
      <c r="E19" s="18">
        <v>-49.100000000000009</v>
      </c>
      <c r="F19" s="22">
        <v>40.400000000000006</v>
      </c>
      <c r="G19" s="22">
        <v>60.499999999999986</v>
      </c>
      <c r="H19" s="18">
        <v>-20.09999999999998</v>
      </c>
      <c r="I19" s="22">
        <v>38.900000000000006</v>
      </c>
      <c r="J19" s="22">
        <v>89.600000000000009</v>
      </c>
      <c r="K19" s="18">
        <v>-50.7</v>
      </c>
      <c r="L19" s="22">
        <v>89.799999999999983</v>
      </c>
      <c r="M19" s="22">
        <v>97.999999999999986</v>
      </c>
      <c r="N19" s="18">
        <v>-8.2000000000000028</v>
      </c>
      <c r="O19" s="66"/>
      <c r="P19" s="60"/>
      <c r="Q19" s="60"/>
      <c r="R19" s="26"/>
      <c r="S19" s="56"/>
      <c r="T19" s="56"/>
      <c r="U19" s="56"/>
    </row>
    <row r="20" spans="1:21" ht="20.100000000000001" customHeight="1">
      <c r="A20" s="12" t="s">
        <v>36</v>
      </c>
      <c r="B20" s="13" t="s">
        <v>37</v>
      </c>
      <c r="C20" s="22">
        <v>37.200000000000003</v>
      </c>
      <c r="D20" s="22">
        <v>72.900000000000006</v>
      </c>
      <c r="E20" s="18">
        <v>-35.700000000000003</v>
      </c>
      <c r="F20" s="22">
        <v>25.199999999999996</v>
      </c>
      <c r="G20" s="22">
        <v>99.4</v>
      </c>
      <c r="H20" s="18">
        <v>-74.200000000000017</v>
      </c>
      <c r="I20" s="22">
        <v>26.000000000000007</v>
      </c>
      <c r="J20" s="22">
        <v>135.09999999999997</v>
      </c>
      <c r="K20" s="18">
        <v>-109.09999999999997</v>
      </c>
      <c r="L20" s="22">
        <v>20.399999999999984</v>
      </c>
      <c r="M20" s="22">
        <v>72</v>
      </c>
      <c r="N20" s="18">
        <v>-51.600000000000016</v>
      </c>
      <c r="O20" s="66"/>
      <c r="P20" s="60"/>
      <c r="Q20" s="60"/>
      <c r="R20" s="26"/>
      <c r="S20" s="56"/>
      <c r="T20" s="56"/>
      <c r="U20" s="56"/>
    </row>
    <row r="21" spans="1:21" ht="20.100000000000001" customHeight="1">
      <c r="A21" s="6" t="s">
        <v>38</v>
      </c>
      <c r="B21" s="7" t="s">
        <v>39</v>
      </c>
      <c r="C21" s="20">
        <v>69.900000000000006</v>
      </c>
      <c r="D21" s="20">
        <v>992.5</v>
      </c>
      <c r="E21" s="21">
        <v>-922.6</v>
      </c>
      <c r="F21" s="20">
        <v>69.699999999999989</v>
      </c>
      <c r="G21" s="20">
        <v>1001.7</v>
      </c>
      <c r="H21" s="21">
        <v>-932</v>
      </c>
      <c r="I21" s="20">
        <v>80.300000000000011</v>
      </c>
      <c r="J21" s="20">
        <v>1001.0999999999999</v>
      </c>
      <c r="K21" s="21">
        <v>-920.8</v>
      </c>
      <c r="L21" s="20">
        <v>48.4</v>
      </c>
      <c r="M21" s="20">
        <v>1138.9000000000001</v>
      </c>
      <c r="N21" s="21">
        <v>-1090.5</v>
      </c>
      <c r="O21" s="63"/>
      <c r="P21" s="60"/>
      <c r="Q21" s="60"/>
      <c r="R21" s="26"/>
      <c r="S21" s="56"/>
      <c r="T21" s="56"/>
      <c r="U21" s="56"/>
    </row>
    <row r="22" spans="1:21" ht="20.100000000000001" customHeight="1">
      <c r="A22" s="12" t="s">
        <v>40</v>
      </c>
      <c r="B22" s="13" t="s">
        <v>41</v>
      </c>
      <c r="C22" s="16">
        <v>0</v>
      </c>
      <c r="D22" s="16">
        <v>413</v>
      </c>
      <c r="E22" s="18">
        <v>-413</v>
      </c>
      <c r="F22" s="16">
        <v>0</v>
      </c>
      <c r="G22" s="16">
        <v>444</v>
      </c>
      <c r="H22" s="18">
        <v>-444</v>
      </c>
      <c r="I22" s="16">
        <v>0</v>
      </c>
      <c r="J22" s="16">
        <v>421.20000000000005</v>
      </c>
      <c r="K22" s="18">
        <v>-421.20000000000005</v>
      </c>
      <c r="L22" s="16">
        <v>0</v>
      </c>
      <c r="M22" s="16">
        <v>445.70000000000005</v>
      </c>
      <c r="N22" s="18">
        <v>-445.70000000000005</v>
      </c>
      <c r="O22" s="64"/>
      <c r="P22" s="60"/>
      <c r="Q22" s="60"/>
      <c r="R22" s="26"/>
      <c r="S22" s="56"/>
      <c r="T22" s="56"/>
      <c r="U22" s="56"/>
    </row>
    <row r="23" spans="1:21" ht="20.100000000000001" customHeight="1">
      <c r="A23" s="12" t="s">
        <v>42</v>
      </c>
      <c r="B23" s="13" t="s">
        <v>43</v>
      </c>
      <c r="C23" s="16">
        <v>4.2</v>
      </c>
      <c r="D23" s="16">
        <v>337.3</v>
      </c>
      <c r="E23" s="18">
        <v>-333.1</v>
      </c>
      <c r="F23" s="16">
        <v>3.8</v>
      </c>
      <c r="G23" s="16">
        <v>264.09999999999997</v>
      </c>
      <c r="H23" s="18">
        <v>-260.29999999999995</v>
      </c>
      <c r="I23" s="16">
        <v>1.5</v>
      </c>
      <c r="J23" s="16">
        <v>357.7</v>
      </c>
      <c r="K23" s="18">
        <v>-356.2</v>
      </c>
      <c r="L23" s="16">
        <v>2.3000000000000007</v>
      </c>
      <c r="M23" s="16">
        <v>374.80000000000013</v>
      </c>
      <c r="N23" s="18">
        <v>-372.50000000000011</v>
      </c>
      <c r="O23" s="64"/>
      <c r="P23" s="60"/>
      <c r="Q23" s="60"/>
      <c r="R23" s="26"/>
      <c r="S23" s="56"/>
      <c r="T23" s="56"/>
      <c r="U23" s="56"/>
    </row>
    <row r="24" spans="1:21" ht="20.100000000000001" customHeight="1">
      <c r="A24" s="12" t="s">
        <v>44</v>
      </c>
      <c r="B24" s="13" t="s">
        <v>45</v>
      </c>
      <c r="C24" s="16">
        <v>8.6</v>
      </c>
      <c r="D24" s="16">
        <v>9.1999999999999993</v>
      </c>
      <c r="E24" s="18">
        <v>-0.59999999999999964</v>
      </c>
      <c r="F24" s="16">
        <v>5.8000000000000007</v>
      </c>
      <c r="G24" s="16">
        <v>4.5</v>
      </c>
      <c r="H24" s="18">
        <v>1.3000000000000007</v>
      </c>
      <c r="I24" s="16">
        <v>9.7000000000000011</v>
      </c>
      <c r="J24" s="16">
        <v>4.9000000000000021</v>
      </c>
      <c r="K24" s="18">
        <v>4.7999999999999989</v>
      </c>
      <c r="L24" s="16">
        <v>4.7999999999999954</v>
      </c>
      <c r="M24" s="16">
        <v>12.799999999999997</v>
      </c>
      <c r="N24" s="18">
        <v>-8.0000000000000018</v>
      </c>
      <c r="O24" s="64"/>
      <c r="P24" s="60"/>
      <c r="Q24" s="60"/>
      <c r="R24" s="26"/>
      <c r="S24" s="56"/>
      <c r="T24" s="56"/>
      <c r="U24" s="56"/>
    </row>
    <row r="25" spans="1:21" s="24" customFormat="1" ht="20.100000000000001" customHeight="1">
      <c r="A25" s="12" t="s">
        <v>46</v>
      </c>
      <c r="B25" s="13" t="s">
        <v>47</v>
      </c>
      <c r="C25" s="16">
        <v>28.9</v>
      </c>
      <c r="D25" s="16">
        <v>202.7</v>
      </c>
      <c r="E25" s="18">
        <v>-173.79999999999998</v>
      </c>
      <c r="F25" s="16">
        <v>25.300000000000004</v>
      </c>
      <c r="G25" s="16">
        <v>266</v>
      </c>
      <c r="H25" s="18">
        <v>-240.7</v>
      </c>
      <c r="I25" s="16">
        <v>47.1</v>
      </c>
      <c r="J25" s="16">
        <v>200.7</v>
      </c>
      <c r="K25" s="18">
        <v>-153.6</v>
      </c>
      <c r="L25" s="16">
        <v>22.700000000000003</v>
      </c>
      <c r="M25" s="16">
        <v>298.89999999999992</v>
      </c>
      <c r="N25" s="18">
        <v>-276.19999999999993</v>
      </c>
      <c r="O25" s="64"/>
      <c r="P25" s="60"/>
      <c r="Q25" s="60"/>
      <c r="R25" s="67"/>
      <c r="S25" s="56"/>
      <c r="T25" s="56"/>
      <c r="U25" s="56"/>
    </row>
    <row r="26" spans="1:21" ht="20.100000000000001" customHeight="1">
      <c r="A26" s="6" t="s">
        <v>48</v>
      </c>
      <c r="B26" s="7" t="s">
        <v>49</v>
      </c>
      <c r="C26" s="25">
        <v>477.3</v>
      </c>
      <c r="D26" s="25">
        <v>614.9</v>
      </c>
      <c r="E26" s="21">
        <v>-137.59999999999997</v>
      </c>
      <c r="F26" s="25">
        <v>442.90000000000003</v>
      </c>
      <c r="G26" s="25">
        <v>636.00000000000011</v>
      </c>
      <c r="H26" s="21">
        <v>-193.10000000000008</v>
      </c>
      <c r="I26" s="25">
        <v>427.2999999999999</v>
      </c>
      <c r="J26" s="25">
        <v>545.39999999999975</v>
      </c>
      <c r="K26" s="21">
        <v>-118.09999999999985</v>
      </c>
      <c r="L26" s="25">
        <v>495.1</v>
      </c>
      <c r="M26" s="25">
        <v>612.20000000000005</v>
      </c>
      <c r="N26" s="21">
        <v>-117.1</v>
      </c>
      <c r="O26" s="68"/>
      <c r="P26" s="60"/>
      <c r="Q26" s="60"/>
      <c r="R26" s="26"/>
      <c r="S26" s="56"/>
      <c r="T26" s="56"/>
      <c r="U26" s="56"/>
    </row>
    <row r="27" spans="1:21" ht="20.100000000000001" customHeight="1">
      <c r="A27" s="12" t="s">
        <v>50</v>
      </c>
      <c r="B27" s="13" t="s">
        <v>51</v>
      </c>
      <c r="C27" s="22">
        <v>4.4000000000000004</v>
      </c>
      <c r="D27" s="22">
        <v>19.899999999999999</v>
      </c>
      <c r="E27" s="18">
        <v>-15.499999999999998</v>
      </c>
      <c r="F27" s="22">
        <v>5.9</v>
      </c>
      <c r="G27" s="22">
        <v>18.899999999999999</v>
      </c>
      <c r="H27" s="18">
        <v>-12.999999999999998</v>
      </c>
      <c r="I27" s="22">
        <v>2.8000000000000007</v>
      </c>
      <c r="J27" s="22">
        <v>13.700000000000003</v>
      </c>
      <c r="K27" s="18">
        <v>-10.900000000000002</v>
      </c>
      <c r="L27" s="16">
        <v>0.8</v>
      </c>
      <c r="M27" s="22">
        <v>17.099999999999994</v>
      </c>
      <c r="N27" s="18">
        <v>-16.299999999999994</v>
      </c>
      <c r="O27" s="66"/>
      <c r="P27" s="60"/>
      <c r="Q27" s="60"/>
      <c r="R27" s="26"/>
      <c r="S27" s="56"/>
      <c r="T27" s="56"/>
      <c r="U27" s="56"/>
    </row>
    <row r="28" spans="1:21" ht="20.100000000000001" customHeight="1">
      <c r="A28" s="12" t="s">
        <v>52</v>
      </c>
      <c r="B28" s="13" t="s">
        <v>53</v>
      </c>
      <c r="C28" s="22">
        <v>21</v>
      </c>
      <c r="D28" s="22">
        <v>21</v>
      </c>
      <c r="E28" s="18">
        <v>0</v>
      </c>
      <c r="F28" s="22">
        <v>18.899999999999999</v>
      </c>
      <c r="G28" s="22">
        <v>30.799999999999997</v>
      </c>
      <c r="H28" s="18">
        <v>-11.899999999999999</v>
      </c>
      <c r="I28" s="22">
        <v>22.300000000000004</v>
      </c>
      <c r="J28" s="22">
        <v>39.799999999999997</v>
      </c>
      <c r="K28" s="18">
        <v>-17.499999999999993</v>
      </c>
      <c r="L28" s="22">
        <v>16.799999999999997</v>
      </c>
      <c r="M28" s="22">
        <v>50.599999999999994</v>
      </c>
      <c r="N28" s="18">
        <v>-33.799999999999997</v>
      </c>
      <c r="O28" s="66"/>
      <c r="P28" s="60"/>
      <c r="Q28" s="60"/>
      <c r="R28" s="26"/>
      <c r="S28" s="56"/>
      <c r="T28" s="56"/>
      <c r="U28" s="56"/>
    </row>
    <row r="29" spans="1:21" ht="20.100000000000001" customHeight="1">
      <c r="A29" s="12" t="s">
        <v>54</v>
      </c>
      <c r="B29" s="13" t="s">
        <v>55</v>
      </c>
      <c r="C29" s="22">
        <v>187.79999999999998</v>
      </c>
      <c r="D29" s="22">
        <v>152.19999999999999</v>
      </c>
      <c r="E29" s="18">
        <v>35.599999999999994</v>
      </c>
      <c r="F29" s="22">
        <v>159.20000000000002</v>
      </c>
      <c r="G29" s="22">
        <v>165.40000000000003</v>
      </c>
      <c r="H29" s="18">
        <v>-6.2000000000000171</v>
      </c>
      <c r="I29" s="22">
        <v>164.70000000000002</v>
      </c>
      <c r="J29" s="22">
        <v>110.19999999999999</v>
      </c>
      <c r="K29" s="18">
        <v>54.500000000000028</v>
      </c>
      <c r="L29" s="22">
        <v>171.59999999999988</v>
      </c>
      <c r="M29" s="22">
        <v>86.300000000000011</v>
      </c>
      <c r="N29" s="18">
        <v>85.299999999999869</v>
      </c>
      <c r="O29" s="66"/>
      <c r="P29" s="60"/>
      <c r="Q29" s="60"/>
      <c r="R29" s="26"/>
      <c r="S29" s="56"/>
      <c r="T29" s="56"/>
      <c r="U29" s="56"/>
    </row>
    <row r="30" spans="1:21" ht="20.100000000000001" customHeight="1">
      <c r="A30" s="12" t="s">
        <v>56</v>
      </c>
      <c r="B30" s="13" t="s">
        <v>57</v>
      </c>
      <c r="C30" s="22">
        <v>188</v>
      </c>
      <c r="D30" s="22">
        <v>194.2</v>
      </c>
      <c r="E30" s="18">
        <v>-6.1999999999999886</v>
      </c>
      <c r="F30" s="22">
        <v>174.5</v>
      </c>
      <c r="G30" s="22">
        <v>195.2</v>
      </c>
      <c r="H30" s="18">
        <v>-20.699999999999989</v>
      </c>
      <c r="I30" s="22">
        <v>168.79999999999995</v>
      </c>
      <c r="J30" s="22">
        <v>141.60000000000002</v>
      </c>
      <c r="K30" s="18">
        <v>27.199999999999932</v>
      </c>
      <c r="L30" s="22">
        <v>159.5</v>
      </c>
      <c r="M30" s="22">
        <v>89.600000000000023</v>
      </c>
      <c r="N30" s="18">
        <v>69.899999999999977</v>
      </c>
      <c r="O30" s="66"/>
      <c r="P30" s="60"/>
      <c r="Q30" s="60"/>
      <c r="R30" s="26"/>
      <c r="S30" s="56"/>
      <c r="T30" s="56"/>
      <c r="U30" s="56"/>
    </row>
    <row r="31" spans="1:21" ht="20.100000000000001" customHeight="1">
      <c r="A31" s="12" t="s">
        <v>58</v>
      </c>
      <c r="B31" s="13" t="s">
        <v>59</v>
      </c>
      <c r="C31" s="22">
        <v>26.3</v>
      </c>
      <c r="D31" s="22">
        <v>196.9</v>
      </c>
      <c r="E31" s="18">
        <v>-170.6</v>
      </c>
      <c r="F31" s="22">
        <v>27.900000000000002</v>
      </c>
      <c r="G31" s="22">
        <v>198.70000000000002</v>
      </c>
      <c r="H31" s="18">
        <v>-170.8</v>
      </c>
      <c r="I31" s="22">
        <v>19.599999999999991</v>
      </c>
      <c r="J31" s="22">
        <v>218.89999999999995</v>
      </c>
      <c r="K31" s="18">
        <v>-199.29999999999995</v>
      </c>
      <c r="L31" s="22">
        <v>21.100000000000005</v>
      </c>
      <c r="M31" s="22">
        <v>245.29999999999993</v>
      </c>
      <c r="N31" s="18">
        <v>-224.19999999999993</v>
      </c>
      <c r="O31" s="66"/>
      <c r="P31" s="60"/>
      <c r="Q31" s="60"/>
      <c r="R31" s="26"/>
      <c r="S31" s="56"/>
      <c r="T31" s="56"/>
      <c r="U31" s="56"/>
    </row>
    <row r="32" spans="1:21" s="26" customFormat="1" ht="20.100000000000001" customHeight="1">
      <c r="A32" s="12" t="s">
        <v>60</v>
      </c>
      <c r="B32" s="13" t="s">
        <v>61</v>
      </c>
      <c r="C32" s="22">
        <v>40.200000000000003</v>
      </c>
      <c r="D32" s="22">
        <v>22.5</v>
      </c>
      <c r="E32" s="18">
        <v>17.700000000000003</v>
      </c>
      <c r="F32" s="22">
        <v>51</v>
      </c>
      <c r="G32" s="22">
        <v>19.700000000000003</v>
      </c>
      <c r="H32" s="18">
        <v>31.299999999999997</v>
      </c>
      <c r="I32" s="22">
        <v>39.200000000000003</v>
      </c>
      <c r="J32" s="22">
        <v>13.299999999999997</v>
      </c>
      <c r="K32" s="18">
        <v>25.900000000000006</v>
      </c>
      <c r="L32" s="22">
        <v>39.100000000000009</v>
      </c>
      <c r="M32" s="22">
        <v>12.700000000000003</v>
      </c>
      <c r="N32" s="18">
        <v>26.400000000000006</v>
      </c>
      <c r="O32" s="66"/>
      <c r="P32" s="60"/>
      <c r="Q32" s="60"/>
      <c r="S32" s="56"/>
      <c r="T32" s="56"/>
      <c r="U32" s="56"/>
    </row>
    <row r="33" spans="1:21" ht="20.100000000000001" customHeight="1">
      <c r="A33" s="6" t="s">
        <v>62</v>
      </c>
      <c r="B33" s="7" t="s">
        <v>63</v>
      </c>
      <c r="C33" s="25">
        <v>320.7</v>
      </c>
      <c r="D33" s="25">
        <v>1310.5</v>
      </c>
      <c r="E33" s="21">
        <v>-989.8</v>
      </c>
      <c r="F33" s="25">
        <v>459.90000000000003</v>
      </c>
      <c r="G33" s="25">
        <v>1450.5</v>
      </c>
      <c r="H33" s="21">
        <v>-990.59999999999991</v>
      </c>
      <c r="I33" s="25">
        <v>480.8</v>
      </c>
      <c r="J33" s="25">
        <v>1461</v>
      </c>
      <c r="K33" s="21">
        <v>-980.2</v>
      </c>
      <c r="L33" s="25">
        <v>511.3</v>
      </c>
      <c r="M33" s="25">
        <v>1628.3</v>
      </c>
      <c r="N33" s="21">
        <v>-1117</v>
      </c>
      <c r="O33" s="68"/>
      <c r="P33" s="60"/>
      <c r="Q33" s="60"/>
      <c r="R33" s="26"/>
      <c r="S33" s="56"/>
      <c r="T33" s="56"/>
      <c r="U33" s="56"/>
    </row>
    <row r="34" spans="1:21" s="27" customFormat="1" ht="20.100000000000001" customHeight="1">
      <c r="A34" s="12" t="s">
        <v>64</v>
      </c>
      <c r="B34" s="13" t="s">
        <v>65</v>
      </c>
      <c r="C34" s="22">
        <v>77.099999999999994</v>
      </c>
      <c r="D34" s="22">
        <v>407</v>
      </c>
      <c r="E34" s="18">
        <v>-329.9</v>
      </c>
      <c r="F34" s="22">
        <v>66.200000000000017</v>
      </c>
      <c r="G34" s="22">
        <v>447.1</v>
      </c>
      <c r="H34" s="18">
        <v>-380.9</v>
      </c>
      <c r="I34" s="22">
        <v>102.69999999999999</v>
      </c>
      <c r="J34" s="22">
        <v>409.99999999999989</v>
      </c>
      <c r="K34" s="18">
        <v>-307.2999999999999</v>
      </c>
      <c r="L34" s="22">
        <v>208.29999999999998</v>
      </c>
      <c r="M34" s="22">
        <v>470.60000000000025</v>
      </c>
      <c r="N34" s="18">
        <v>-262.3000000000003</v>
      </c>
      <c r="O34" s="66"/>
      <c r="P34" s="60"/>
      <c r="Q34" s="60"/>
      <c r="R34" s="69"/>
      <c r="S34" s="56"/>
      <c r="T34" s="56"/>
      <c r="U34" s="56"/>
    </row>
    <row r="35" spans="1:21" s="27" customFormat="1" ht="20.100000000000001" customHeight="1">
      <c r="A35" s="12" t="s">
        <v>66</v>
      </c>
      <c r="B35" s="13" t="s">
        <v>67</v>
      </c>
      <c r="C35" s="22">
        <v>46</v>
      </c>
      <c r="D35" s="22">
        <v>595.1</v>
      </c>
      <c r="E35" s="18">
        <v>-549.1</v>
      </c>
      <c r="F35" s="22">
        <v>57.599999999999994</v>
      </c>
      <c r="G35" s="22">
        <v>713.30000000000007</v>
      </c>
      <c r="H35" s="18">
        <v>-655.7</v>
      </c>
      <c r="I35" s="22">
        <v>49.400000000000006</v>
      </c>
      <c r="J35" s="22">
        <v>745.29999999999961</v>
      </c>
      <c r="K35" s="18">
        <v>-695.89999999999964</v>
      </c>
      <c r="L35" s="22">
        <v>75.699999999999989</v>
      </c>
      <c r="M35" s="22">
        <v>778.10000000000025</v>
      </c>
      <c r="N35" s="18">
        <v>-702.40000000000032</v>
      </c>
      <c r="O35" s="66"/>
      <c r="P35" s="60"/>
      <c r="Q35" s="60"/>
      <c r="R35" s="69"/>
      <c r="S35" s="56"/>
      <c r="T35" s="56"/>
      <c r="U35" s="56"/>
    </row>
    <row r="36" spans="1:21" s="28" customFormat="1" ht="20.100000000000001" customHeight="1">
      <c r="A36" s="12" t="s">
        <v>68</v>
      </c>
      <c r="B36" s="13" t="s">
        <v>69</v>
      </c>
      <c r="C36" s="22">
        <v>59.5</v>
      </c>
      <c r="D36" s="22">
        <v>47.2</v>
      </c>
      <c r="E36" s="15">
        <v>12.299999999999997</v>
      </c>
      <c r="F36" s="22">
        <v>143.9</v>
      </c>
      <c r="G36" s="22">
        <v>46.099999999999994</v>
      </c>
      <c r="H36" s="15">
        <v>97.800000000000011</v>
      </c>
      <c r="I36" s="22">
        <v>164.79999999999998</v>
      </c>
      <c r="J36" s="22">
        <v>42.600000000000009</v>
      </c>
      <c r="K36" s="15">
        <v>122.19999999999997</v>
      </c>
      <c r="L36" s="22">
        <v>146.90000000000006</v>
      </c>
      <c r="M36" s="22">
        <v>72.500000000000014</v>
      </c>
      <c r="N36" s="15">
        <v>74.400000000000048</v>
      </c>
      <c r="O36" s="66"/>
      <c r="P36" s="60"/>
      <c r="Q36" s="60"/>
      <c r="R36" s="70"/>
      <c r="S36" s="56"/>
      <c r="T36" s="56"/>
      <c r="U36" s="56"/>
    </row>
    <row r="37" spans="1:21" s="29" customFormat="1" ht="20.100000000000001" customHeight="1">
      <c r="A37" s="6" t="s">
        <v>70</v>
      </c>
      <c r="B37" s="7" t="s">
        <v>71</v>
      </c>
      <c r="C37" s="25">
        <v>540.4</v>
      </c>
      <c r="D37" s="25">
        <v>1834.3</v>
      </c>
      <c r="E37" s="21">
        <v>-1293.9000000000001</v>
      </c>
      <c r="F37" s="25">
        <v>518.5</v>
      </c>
      <c r="G37" s="25">
        <v>2118.9</v>
      </c>
      <c r="H37" s="21">
        <v>-1600.4</v>
      </c>
      <c r="I37" s="25">
        <v>427.5</v>
      </c>
      <c r="J37" s="25">
        <v>2170.3999999999996</v>
      </c>
      <c r="K37" s="21">
        <v>-1742.8999999999996</v>
      </c>
      <c r="L37" s="25">
        <v>549.50000000000011</v>
      </c>
      <c r="M37" s="25">
        <v>2436.8000000000002</v>
      </c>
      <c r="N37" s="21">
        <v>-1887.3000000000002</v>
      </c>
      <c r="O37" s="68"/>
      <c r="P37" s="60"/>
      <c r="Q37" s="60"/>
      <c r="R37" s="71"/>
      <c r="S37" s="56"/>
      <c r="T37" s="56"/>
      <c r="U37" s="56"/>
    </row>
    <row r="38" spans="1:21" s="29" customFormat="1" ht="20.100000000000001" customHeight="1">
      <c r="A38" s="12" t="s">
        <v>72</v>
      </c>
      <c r="B38" s="13" t="s">
        <v>73</v>
      </c>
      <c r="C38" s="22">
        <v>9.1999999999999993</v>
      </c>
      <c r="D38" s="22">
        <v>493.5</v>
      </c>
      <c r="E38" s="18">
        <v>-484.3</v>
      </c>
      <c r="F38" s="22">
        <v>8.9000000000000021</v>
      </c>
      <c r="G38" s="22">
        <v>184.20000000000005</v>
      </c>
      <c r="H38" s="18">
        <v>-175.30000000000004</v>
      </c>
      <c r="I38" s="22">
        <v>14.899999999999999</v>
      </c>
      <c r="J38" s="22">
        <v>292</v>
      </c>
      <c r="K38" s="18">
        <v>-277.10000000000002</v>
      </c>
      <c r="L38" s="22">
        <v>11.799999999999997</v>
      </c>
      <c r="M38" s="22">
        <v>250.59999999999991</v>
      </c>
      <c r="N38" s="18">
        <v>-238.7999999999999</v>
      </c>
      <c r="O38" s="66"/>
      <c r="P38" s="60"/>
      <c r="Q38" s="60"/>
      <c r="R38" s="71"/>
      <c r="S38" s="56"/>
      <c r="T38" s="56"/>
      <c r="U38" s="56"/>
    </row>
    <row r="39" spans="1:21" s="30" customFormat="1" ht="20.100000000000001" customHeight="1">
      <c r="A39" s="12" t="s">
        <v>74</v>
      </c>
      <c r="B39" s="13" t="s">
        <v>75</v>
      </c>
      <c r="C39" s="22">
        <v>190</v>
      </c>
      <c r="D39" s="22">
        <v>163.69999999999999</v>
      </c>
      <c r="E39" s="18">
        <v>26.300000000000011</v>
      </c>
      <c r="F39" s="22">
        <v>158.60000000000002</v>
      </c>
      <c r="G39" s="22">
        <v>163.19999999999999</v>
      </c>
      <c r="H39" s="18">
        <v>-4.5999999999999659</v>
      </c>
      <c r="I39" s="22">
        <v>96.699999999999989</v>
      </c>
      <c r="J39" s="22">
        <v>125.5</v>
      </c>
      <c r="K39" s="18">
        <v>-28.800000000000011</v>
      </c>
      <c r="L39" s="22">
        <v>167.49999999999989</v>
      </c>
      <c r="M39" s="22">
        <v>125.39999999999998</v>
      </c>
      <c r="N39" s="18">
        <v>42.099999999999909</v>
      </c>
      <c r="O39" s="66"/>
      <c r="P39" s="60"/>
      <c r="Q39" s="60"/>
      <c r="R39" s="72"/>
      <c r="S39" s="56"/>
      <c r="T39" s="56"/>
      <c r="U39" s="56"/>
    </row>
    <row r="40" spans="1:21" s="29" customFormat="1" ht="19.5" customHeight="1">
      <c r="A40" s="12" t="s">
        <v>76</v>
      </c>
      <c r="B40" s="13" t="s">
        <v>77</v>
      </c>
      <c r="C40" s="22">
        <v>11.1</v>
      </c>
      <c r="D40" s="22">
        <v>47.8</v>
      </c>
      <c r="E40" s="18">
        <v>-36.699999999999996</v>
      </c>
      <c r="F40" s="22">
        <v>12.500000000000002</v>
      </c>
      <c r="G40" s="22">
        <v>50.8</v>
      </c>
      <c r="H40" s="18">
        <v>-38.299999999999997</v>
      </c>
      <c r="I40" s="22">
        <v>8.4</v>
      </c>
      <c r="J40" s="22">
        <v>70.400000000000006</v>
      </c>
      <c r="K40" s="18">
        <v>-62.000000000000007</v>
      </c>
      <c r="L40" s="22">
        <v>11.4</v>
      </c>
      <c r="M40" s="22">
        <v>100.60000000000004</v>
      </c>
      <c r="N40" s="18">
        <v>-89.200000000000031</v>
      </c>
      <c r="O40" s="66"/>
      <c r="P40" s="60"/>
      <c r="Q40" s="60"/>
      <c r="R40" s="71"/>
      <c r="S40" s="56"/>
      <c r="T40" s="56"/>
      <c r="U40" s="56"/>
    </row>
    <row r="41" spans="1:21" s="23" customFormat="1" ht="20.100000000000001" customHeight="1">
      <c r="A41" s="12" t="s">
        <v>78</v>
      </c>
      <c r="B41" s="13" t="s">
        <v>79</v>
      </c>
      <c r="C41" s="22">
        <v>3.2</v>
      </c>
      <c r="D41" s="22">
        <v>50.5</v>
      </c>
      <c r="E41" s="18">
        <v>-47.3</v>
      </c>
      <c r="F41" s="22">
        <v>1</v>
      </c>
      <c r="G41" s="22">
        <v>39</v>
      </c>
      <c r="H41" s="18">
        <v>-38</v>
      </c>
      <c r="I41" s="22">
        <v>2.5</v>
      </c>
      <c r="J41" s="22">
        <v>36.099999999999994</v>
      </c>
      <c r="K41" s="18">
        <v>-33.599999999999994</v>
      </c>
      <c r="L41" s="22">
        <v>2.3999999999999995</v>
      </c>
      <c r="M41" s="22">
        <v>29.400000000000006</v>
      </c>
      <c r="N41" s="18">
        <v>-27.000000000000007</v>
      </c>
      <c r="O41" s="66"/>
      <c r="P41" s="60"/>
      <c r="Q41" s="60"/>
      <c r="R41" s="65"/>
      <c r="S41" s="56"/>
      <c r="T41" s="56"/>
      <c r="U41" s="56"/>
    </row>
    <row r="42" spans="1:21" s="28" customFormat="1" ht="19.5" customHeight="1">
      <c r="A42" s="12" t="s">
        <v>80</v>
      </c>
      <c r="B42" s="13" t="s">
        <v>81</v>
      </c>
      <c r="C42" s="22">
        <v>69.5</v>
      </c>
      <c r="D42" s="22">
        <v>214.1</v>
      </c>
      <c r="E42" s="18">
        <v>-144.6</v>
      </c>
      <c r="F42" s="22">
        <v>82.4</v>
      </c>
      <c r="G42" s="22">
        <v>207.9</v>
      </c>
      <c r="H42" s="18">
        <v>-125.5</v>
      </c>
      <c r="I42" s="22">
        <v>41.5</v>
      </c>
      <c r="J42" s="22">
        <v>201.10000000000005</v>
      </c>
      <c r="K42" s="18">
        <v>-159.60000000000005</v>
      </c>
      <c r="L42" s="22">
        <v>37.400000000000006</v>
      </c>
      <c r="M42" s="22">
        <v>181.29999999999998</v>
      </c>
      <c r="N42" s="18">
        <v>-143.89999999999998</v>
      </c>
      <c r="O42" s="66"/>
      <c r="P42" s="60"/>
      <c r="Q42" s="60"/>
      <c r="R42" s="70"/>
      <c r="S42" s="56"/>
      <c r="T42" s="56"/>
      <c r="U42" s="56"/>
    </row>
    <row r="43" spans="1:21" s="31" customFormat="1" ht="20.100000000000001" customHeight="1">
      <c r="A43" s="12" t="s">
        <v>82</v>
      </c>
      <c r="B43" s="13" t="s">
        <v>83</v>
      </c>
      <c r="C43" s="22">
        <v>11.3</v>
      </c>
      <c r="D43" s="22">
        <v>127.3</v>
      </c>
      <c r="E43" s="18">
        <v>-116</v>
      </c>
      <c r="F43" s="22">
        <v>9.1999999999999993</v>
      </c>
      <c r="G43" s="22">
        <v>133.39999999999998</v>
      </c>
      <c r="H43" s="18">
        <v>-124.19999999999997</v>
      </c>
      <c r="I43" s="22">
        <v>8.1</v>
      </c>
      <c r="J43" s="22">
        <v>148.5</v>
      </c>
      <c r="K43" s="18">
        <v>-135.9</v>
      </c>
      <c r="L43" s="16">
        <v>3</v>
      </c>
      <c r="M43" s="22">
        <v>48.100000000000037</v>
      </c>
      <c r="N43" s="18">
        <v>-49.600000000000037</v>
      </c>
      <c r="O43" s="66"/>
      <c r="P43" s="60"/>
      <c r="Q43" s="60"/>
      <c r="R43" s="73"/>
      <c r="S43" s="56"/>
      <c r="T43" s="56"/>
      <c r="U43" s="56"/>
    </row>
    <row r="44" spans="1:21" s="31" customFormat="1" ht="20.100000000000001" customHeight="1">
      <c r="A44" s="6" t="s">
        <v>84</v>
      </c>
      <c r="B44" s="50" t="s">
        <v>85</v>
      </c>
      <c r="C44" s="25">
        <v>240.2</v>
      </c>
      <c r="D44" s="25">
        <v>1026.5999999999999</v>
      </c>
      <c r="E44" s="21">
        <v>-786.39999999999986</v>
      </c>
      <c r="F44" s="25">
        <v>204.3</v>
      </c>
      <c r="G44" s="25">
        <v>1120.5999999999999</v>
      </c>
      <c r="H44" s="21">
        <v>-916.3</v>
      </c>
      <c r="I44" s="25">
        <v>223.89999999999998</v>
      </c>
      <c r="J44" s="25">
        <v>1189.4000000000001</v>
      </c>
      <c r="K44" s="21">
        <v>-965.50000000000011</v>
      </c>
      <c r="L44" s="25">
        <v>186.1</v>
      </c>
      <c r="M44" s="25">
        <v>561.79999999999995</v>
      </c>
      <c r="N44" s="21">
        <v>-375.7</v>
      </c>
      <c r="O44" s="68"/>
      <c r="P44" s="60"/>
      <c r="Q44" s="60"/>
      <c r="R44" s="73"/>
      <c r="S44" s="56"/>
      <c r="T44" s="56"/>
      <c r="U44" s="56"/>
    </row>
    <row r="45" spans="1:21" s="27" customFormat="1" ht="20.100000000000001" customHeight="1">
      <c r="A45" s="12" t="s">
        <v>86</v>
      </c>
      <c r="B45" s="13" t="s">
        <v>87</v>
      </c>
      <c r="C45" s="22">
        <v>91.4</v>
      </c>
      <c r="D45" s="22">
        <v>709.6</v>
      </c>
      <c r="E45" s="18">
        <v>-618.20000000000005</v>
      </c>
      <c r="F45" s="22">
        <v>81.699999999999989</v>
      </c>
      <c r="G45" s="22">
        <v>736.6</v>
      </c>
      <c r="H45" s="18">
        <v>-654.90000000000009</v>
      </c>
      <c r="I45" s="22">
        <v>78.5</v>
      </c>
      <c r="J45" s="22">
        <v>787.70000000000016</v>
      </c>
      <c r="K45" s="18">
        <v>-709.20000000000016</v>
      </c>
      <c r="L45" s="22">
        <v>85.1</v>
      </c>
      <c r="M45" s="22">
        <v>367.49999999999989</v>
      </c>
      <c r="N45" s="18">
        <v>-282.39999999999986</v>
      </c>
      <c r="O45" s="66"/>
      <c r="P45" s="60"/>
      <c r="Q45" s="60"/>
      <c r="R45" s="69"/>
      <c r="S45" s="56"/>
      <c r="T45" s="56"/>
      <c r="U45" s="56"/>
    </row>
    <row r="46" spans="1:21" s="23" customFormat="1" ht="20.100000000000001" customHeight="1">
      <c r="A46" s="12" t="s">
        <v>88</v>
      </c>
      <c r="B46" s="13" t="s">
        <v>89</v>
      </c>
      <c r="C46" s="22">
        <v>64.599999999999994</v>
      </c>
      <c r="D46" s="22">
        <v>65.2</v>
      </c>
      <c r="E46" s="18">
        <v>-0.60000000000000853</v>
      </c>
      <c r="F46" s="22">
        <v>60.5</v>
      </c>
      <c r="G46" s="22">
        <v>110.2</v>
      </c>
      <c r="H46" s="18">
        <v>-49.7</v>
      </c>
      <c r="I46" s="22">
        <v>67.400000000000006</v>
      </c>
      <c r="J46" s="22">
        <v>127.40000000000002</v>
      </c>
      <c r="K46" s="18">
        <v>-60.000000000000014</v>
      </c>
      <c r="L46" s="22">
        <v>57</v>
      </c>
      <c r="M46" s="22">
        <v>63.099999999999952</v>
      </c>
      <c r="N46" s="18">
        <v>-6.0999999999999517</v>
      </c>
      <c r="O46" s="66"/>
      <c r="P46" s="60"/>
      <c r="Q46" s="60"/>
      <c r="R46" s="65"/>
      <c r="S46" s="56"/>
      <c r="T46" s="56"/>
      <c r="U46" s="56"/>
    </row>
    <row r="47" spans="1:21" s="23" customFormat="1" ht="20.100000000000001" customHeight="1">
      <c r="A47" s="12" t="s">
        <v>90</v>
      </c>
      <c r="B47" s="13" t="s">
        <v>91</v>
      </c>
      <c r="C47" s="22">
        <v>41.6</v>
      </c>
      <c r="D47" s="22">
        <v>116.8</v>
      </c>
      <c r="E47" s="18">
        <v>-75.199999999999989</v>
      </c>
      <c r="F47" s="22">
        <v>31.199999999999996</v>
      </c>
      <c r="G47" s="22">
        <v>132.10000000000002</v>
      </c>
      <c r="H47" s="18">
        <v>-100.90000000000003</v>
      </c>
      <c r="I47" s="22">
        <v>43.100000000000016</v>
      </c>
      <c r="J47" s="22">
        <v>145.99999999999994</v>
      </c>
      <c r="K47" s="18">
        <v>-102.89999999999992</v>
      </c>
      <c r="L47" s="22">
        <v>27.099999999999987</v>
      </c>
      <c r="M47" s="22">
        <v>107.20000000000006</v>
      </c>
      <c r="N47" s="18">
        <v>-80.10000000000008</v>
      </c>
      <c r="O47" s="66"/>
      <c r="P47" s="60"/>
      <c r="Q47" s="60"/>
      <c r="R47" s="65"/>
      <c r="S47" s="56"/>
      <c r="T47" s="56"/>
      <c r="U47" s="56"/>
    </row>
    <row r="48" spans="1:21" s="23" customFormat="1" ht="20.100000000000001" customHeight="1">
      <c r="A48" s="6" t="s">
        <v>92</v>
      </c>
      <c r="B48" s="7" t="s">
        <v>93</v>
      </c>
      <c r="C48" s="25">
        <v>75.3</v>
      </c>
      <c r="D48" s="25">
        <v>1150.8</v>
      </c>
      <c r="E48" s="21">
        <v>-1075.5</v>
      </c>
      <c r="F48" s="25">
        <v>62.2</v>
      </c>
      <c r="G48" s="25">
        <v>1181.8</v>
      </c>
      <c r="H48" s="21">
        <v>-1119.5999999999999</v>
      </c>
      <c r="I48" s="57">
        <v>115.6</v>
      </c>
      <c r="J48" s="25">
        <v>1349.1</v>
      </c>
      <c r="K48" s="21">
        <v>-1234.0999999999999</v>
      </c>
      <c r="L48" s="57">
        <f>136-0.6</f>
        <v>135.4</v>
      </c>
      <c r="M48" s="57">
        <v>1072.5999999999999</v>
      </c>
      <c r="N48" s="21">
        <v>-936.59999999999991</v>
      </c>
      <c r="O48" s="68"/>
      <c r="P48" s="60"/>
      <c r="Q48" s="60"/>
      <c r="R48" s="65"/>
      <c r="S48" s="56"/>
      <c r="T48" s="56"/>
      <c r="U48" s="56"/>
    </row>
    <row r="49" spans="1:21" s="27" customFormat="1" ht="20.100000000000001" customHeight="1">
      <c r="A49" s="12" t="s">
        <v>94</v>
      </c>
      <c r="B49" s="13" t="s">
        <v>95</v>
      </c>
      <c r="C49" s="22">
        <v>8.6999999999999993</v>
      </c>
      <c r="D49" s="22">
        <v>187.8</v>
      </c>
      <c r="E49" s="18">
        <v>-179.10000000000002</v>
      </c>
      <c r="F49" s="22">
        <v>4</v>
      </c>
      <c r="G49" s="22">
        <v>211.2</v>
      </c>
      <c r="H49" s="18">
        <v>-207.2</v>
      </c>
      <c r="I49" s="16">
        <v>8.8000000000000007</v>
      </c>
      <c r="J49" s="22">
        <v>201.29999999999995</v>
      </c>
      <c r="K49" s="18">
        <v>-192.49999999999994</v>
      </c>
      <c r="L49" s="16">
        <v>11.899999999999999</v>
      </c>
      <c r="M49" s="16">
        <v>240.20000000000005</v>
      </c>
      <c r="N49" s="18">
        <v>-228.30000000000004</v>
      </c>
      <c r="O49" s="66"/>
      <c r="P49" s="60"/>
      <c r="Q49" s="60"/>
      <c r="R49" s="69"/>
      <c r="S49" s="56"/>
      <c r="T49" s="56"/>
      <c r="U49" s="56"/>
    </row>
    <row r="50" spans="1:21" s="29" customFormat="1" ht="20.100000000000001" customHeight="1">
      <c r="A50" s="12" t="s">
        <v>96</v>
      </c>
      <c r="B50" s="13" t="s">
        <v>97</v>
      </c>
      <c r="C50" s="22">
        <v>37.9</v>
      </c>
      <c r="D50" s="22">
        <v>483.9</v>
      </c>
      <c r="E50" s="18">
        <v>-446</v>
      </c>
      <c r="F50" s="22">
        <v>33.800000000000004</v>
      </c>
      <c r="G50" s="22">
        <v>472.6</v>
      </c>
      <c r="H50" s="18">
        <v>-438.8</v>
      </c>
      <c r="I50" s="16">
        <v>46.500000000000007</v>
      </c>
      <c r="J50" s="22">
        <v>357.20000000000005</v>
      </c>
      <c r="K50" s="18">
        <v>-310.70000000000005</v>
      </c>
      <c r="L50" s="16">
        <v>75.999999999999972</v>
      </c>
      <c r="M50" s="16">
        <v>220</v>
      </c>
      <c r="N50" s="18">
        <v>-144.00000000000003</v>
      </c>
      <c r="O50" s="66"/>
      <c r="P50" s="60"/>
      <c r="Q50" s="60"/>
      <c r="R50" s="71"/>
      <c r="S50" s="56"/>
      <c r="T50" s="56"/>
      <c r="U50" s="56"/>
    </row>
    <row r="51" spans="1:21" s="23" customFormat="1" ht="20.100000000000001" customHeight="1">
      <c r="A51" s="12" t="s">
        <v>98</v>
      </c>
      <c r="B51" s="32" t="s">
        <v>99</v>
      </c>
      <c r="C51" s="33">
        <v>28.7</v>
      </c>
      <c r="D51" s="33">
        <v>375.4</v>
      </c>
      <c r="E51" s="34">
        <v>-346.7</v>
      </c>
      <c r="F51" s="33">
        <v>23.900000000000002</v>
      </c>
      <c r="G51" s="33">
        <v>334.4</v>
      </c>
      <c r="H51" s="34">
        <v>-310.5</v>
      </c>
      <c r="I51" s="58">
        <v>60.3</v>
      </c>
      <c r="J51" s="33">
        <v>367.29999999999995</v>
      </c>
      <c r="K51" s="34">
        <v>-306.99999999999994</v>
      </c>
      <c r="L51" s="58">
        <v>29.199999999999992</v>
      </c>
      <c r="M51" s="58">
        <v>375.70000000000005</v>
      </c>
      <c r="N51" s="34">
        <v>-346.50000000000006</v>
      </c>
      <c r="O51" s="66"/>
      <c r="P51" s="74"/>
      <c r="Q51" s="75"/>
      <c r="R51" s="65"/>
      <c r="S51" s="56"/>
      <c r="T51" s="56"/>
      <c r="U51" s="56"/>
    </row>
    <row r="52" spans="1:21" ht="20.25" customHeight="1">
      <c r="A52" s="52" t="s">
        <v>100</v>
      </c>
      <c r="B52" s="35" t="s">
        <v>101</v>
      </c>
      <c r="C52" s="35"/>
      <c r="D52" s="35"/>
      <c r="F52" s="35"/>
      <c r="G52" s="35"/>
      <c r="K52" s="55"/>
    </row>
    <row r="53" spans="1:21" ht="15">
      <c r="A53" s="36"/>
      <c r="B53" s="37"/>
      <c r="C53" s="38"/>
      <c r="D53" s="38"/>
      <c r="F53" s="38"/>
      <c r="G53" s="38"/>
    </row>
    <row r="54" spans="1:21" ht="21.75" customHeight="1">
      <c r="A54" s="39"/>
      <c r="B54" s="40"/>
    </row>
    <row r="55" spans="1:21" ht="23.25">
      <c r="A55" s="42"/>
      <c r="B55" s="43"/>
    </row>
    <row r="56" spans="1:21" ht="23.25">
      <c r="A56" s="42"/>
      <c r="B56" s="43"/>
      <c r="C56" s="44"/>
      <c r="D56" s="44"/>
      <c r="F56" s="44"/>
      <c r="G56" s="44"/>
    </row>
    <row r="57" spans="1:21" ht="23.25">
      <c r="A57" s="42"/>
      <c r="B57" s="43"/>
      <c r="C57" s="44"/>
      <c r="D57" s="44"/>
      <c r="F57" s="44"/>
      <c r="G57" s="44"/>
    </row>
    <row r="58" spans="1:21" ht="23.25">
      <c r="A58" s="42"/>
      <c r="B58" s="43"/>
      <c r="C58" s="45"/>
      <c r="D58" s="45"/>
      <c r="F58" s="45"/>
      <c r="G58" s="45"/>
    </row>
    <row r="59" spans="1:21" ht="24">
      <c r="A59" s="39"/>
      <c r="B59" s="40"/>
      <c r="C59" s="46"/>
      <c r="D59" s="46"/>
      <c r="F59" s="46"/>
      <c r="G59" s="46"/>
    </row>
    <row r="60" spans="1:21" ht="23.25">
      <c r="A60" s="42"/>
      <c r="B60" s="43"/>
      <c r="C60" s="44"/>
      <c r="D60" s="44"/>
      <c r="F60" s="44"/>
      <c r="G60" s="44"/>
    </row>
    <row r="61" spans="1:21" ht="23.25">
      <c r="A61" s="42"/>
      <c r="B61" s="43"/>
      <c r="C61" s="44"/>
      <c r="D61" s="44"/>
      <c r="F61" s="44"/>
      <c r="G61" s="44"/>
    </row>
    <row r="62" spans="1:21" ht="20.100000000000001" customHeight="1">
      <c r="A62" s="42"/>
      <c r="B62" s="43"/>
      <c r="C62" s="44"/>
      <c r="D62" s="44"/>
      <c r="F62" s="44"/>
      <c r="G62" s="44"/>
    </row>
    <row r="63" spans="1:21" ht="19.5" customHeight="1">
      <c r="A63" s="42"/>
      <c r="B63" s="43"/>
      <c r="C63" s="44"/>
      <c r="D63" s="44"/>
      <c r="F63" s="44"/>
      <c r="G63" s="44"/>
    </row>
    <row r="64" spans="1:21" ht="20.100000000000001" hidden="1" customHeight="1">
      <c r="A64" s="42"/>
      <c r="B64" s="43"/>
    </row>
    <row r="65" spans="1:7" ht="23.25">
      <c r="A65" s="42"/>
      <c r="B65" s="43"/>
      <c r="C65" s="47"/>
      <c r="D65" s="47"/>
      <c r="F65" s="47"/>
      <c r="G65" s="47"/>
    </row>
    <row r="66" spans="1:7" ht="23.25">
      <c r="A66" s="42"/>
      <c r="B66" s="43"/>
    </row>
    <row r="67" spans="1:7" ht="23.25">
      <c r="A67" s="42"/>
      <c r="B67" s="43"/>
    </row>
    <row r="68" spans="1:7" ht="24">
      <c r="A68" s="39"/>
      <c r="B68" s="40"/>
    </row>
    <row r="69" spans="1:7" ht="23.25">
      <c r="A69" s="42"/>
      <c r="B69" s="43"/>
    </row>
    <row r="70" spans="1:7" ht="23.25">
      <c r="A70" s="42"/>
      <c r="B70" s="43"/>
    </row>
    <row r="71" spans="1:7" ht="23.25">
      <c r="A71" s="42"/>
      <c r="B71" s="43"/>
    </row>
    <row r="72" spans="1:7" ht="23.25">
      <c r="A72" s="42"/>
      <c r="B72" s="43"/>
    </row>
    <row r="73" spans="1:7" ht="24">
      <c r="A73" s="39"/>
      <c r="B73" s="40"/>
    </row>
    <row r="74" spans="1:7" ht="23.25">
      <c r="A74" s="42"/>
      <c r="B74" s="43"/>
    </row>
    <row r="75" spans="1:7" ht="23.25">
      <c r="A75" s="42"/>
      <c r="B75" s="43"/>
    </row>
    <row r="76" spans="1:7" ht="23.25">
      <c r="A76" s="42"/>
      <c r="B76" s="43"/>
    </row>
    <row r="77" spans="1:7" ht="23.25">
      <c r="A77" s="42"/>
      <c r="B77" s="43"/>
    </row>
    <row r="78" spans="1:7" ht="23.25">
      <c r="A78" s="42"/>
      <c r="B78" s="43"/>
      <c r="C78"/>
      <c r="D78"/>
      <c r="F78"/>
      <c r="G78"/>
    </row>
    <row r="79" spans="1:7" ht="23.25">
      <c r="A79" s="42"/>
      <c r="B79" s="43"/>
      <c r="C79"/>
      <c r="D79"/>
      <c r="F79"/>
      <c r="G79"/>
    </row>
    <row r="80" spans="1:7" ht="24">
      <c r="A80" s="39"/>
      <c r="B80" s="40"/>
      <c r="C80"/>
      <c r="D80"/>
      <c r="F80"/>
      <c r="G80"/>
    </row>
    <row r="81" spans="1:7" ht="23.25">
      <c r="A81" s="42"/>
      <c r="B81" s="43"/>
      <c r="C81"/>
      <c r="D81"/>
      <c r="F81"/>
      <c r="G81"/>
    </row>
    <row r="82" spans="1:7" ht="23.25">
      <c r="A82" s="42"/>
      <c r="B82" s="43"/>
      <c r="C82"/>
      <c r="D82"/>
      <c r="F82"/>
      <c r="G82"/>
    </row>
    <row r="83" spans="1:7" ht="23.25">
      <c r="A83" s="42"/>
      <c r="B83" s="43"/>
      <c r="C83"/>
      <c r="D83"/>
      <c r="F83"/>
      <c r="G83"/>
    </row>
    <row r="84" spans="1:7" ht="24">
      <c r="A84" s="39"/>
      <c r="B84" s="40"/>
      <c r="C84"/>
      <c r="D84"/>
      <c r="F84"/>
      <c r="G84"/>
    </row>
    <row r="85" spans="1:7" ht="23.25">
      <c r="A85" s="42"/>
      <c r="B85" s="43"/>
      <c r="C85"/>
      <c r="D85"/>
      <c r="F85"/>
      <c r="G85"/>
    </row>
    <row r="86" spans="1:7" ht="23.25">
      <c r="A86" s="42"/>
      <c r="B86" s="43"/>
      <c r="C86"/>
      <c r="D86"/>
      <c r="F86"/>
      <c r="G86"/>
    </row>
    <row r="87" spans="1:7" ht="23.25">
      <c r="A87" s="42"/>
      <c r="B87" s="43"/>
      <c r="C87"/>
      <c r="D87"/>
      <c r="F87"/>
      <c r="G87"/>
    </row>
    <row r="88" spans="1:7" ht="23.25">
      <c r="A88" s="42"/>
      <c r="B88" s="43"/>
      <c r="C88"/>
      <c r="D88"/>
      <c r="F88"/>
      <c r="G88"/>
    </row>
    <row r="89" spans="1:7" ht="23.25">
      <c r="A89" s="42"/>
      <c r="B89" s="43"/>
      <c r="C89"/>
      <c r="D89"/>
      <c r="F89"/>
      <c r="G89"/>
    </row>
    <row r="90" spans="1:7" ht="23.25">
      <c r="A90" s="42"/>
      <c r="B90" s="43"/>
      <c r="C90"/>
      <c r="D90"/>
      <c r="F90"/>
      <c r="G90"/>
    </row>
    <row r="91" spans="1:7" ht="24">
      <c r="A91" s="39"/>
      <c r="B91" s="43"/>
      <c r="C91"/>
      <c r="D91"/>
      <c r="F91"/>
      <c r="G91"/>
    </row>
    <row r="92" spans="1:7" ht="23.25">
      <c r="A92" s="42"/>
      <c r="B92" s="43"/>
      <c r="C92"/>
      <c r="D92"/>
      <c r="F92"/>
      <c r="G92"/>
    </row>
    <row r="93" spans="1:7" ht="23.25">
      <c r="A93" s="42"/>
      <c r="B93" s="43"/>
      <c r="C93"/>
      <c r="D93"/>
      <c r="F93"/>
      <c r="G93"/>
    </row>
    <row r="94" spans="1:7" ht="23.25">
      <c r="A94" s="42"/>
      <c r="B94" s="43"/>
      <c r="C94"/>
      <c r="D94"/>
      <c r="F94"/>
      <c r="G94"/>
    </row>
    <row r="95" spans="1:7" ht="24">
      <c r="A95" s="39"/>
      <c r="B95" s="40"/>
      <c r="C95"/>
      <c r="D95"/>
      <c r="F95"/>
      <c r="G95"/>
    </row>
    <row r="96" spans="1:7" ht="23.25">
      <c r="A96" s="42"/>
      <c r="B96" s="43"/>
      <c r="C96"/>
      <c r="D96"/>
      <c r="F96"/>
      <c r="G96"/>
    </row>
    <row r="97" spans="1:7" ht="23.25">
      <c r="A97" s="42"/>
      <c r="B97" s="43"/>
      <c r="C97"/>
      <c r="D97"/>
      <c r="F97"/>
      <c r="G97"/>
    </row>
    <row r="98" spans="1:7" ht="23.25">
      <c r="A98" s="42"/>
      <c r="B98" s="43"/>
      <c r="C98"/>
      <c r="D98"/>
      <c r="F98"/>
      <c r="G98"/>
    </row>
    <row r="99" spans="1:7">
      <c r="A99" s="48"/>
      <c r="B99" s="49"/>
    </row>
  </sheetData>
  <mergeCells count="11">
    <mergeCell ref="L3:N3"/>
    <mergeCell ref="L4:N4"/>
    <mergeCell ref="A1:N1"/>
    <mergeCell ref="I3:K3"/>
    <mergeCell ref="I4:K4"/>
    <mergeCell ref="F3:H3"/>
    <mergeCell ref="F4:H4"/>
    <mergeCell ref="A3:A6"/>
    <mergeCell ref="B3:B6"/>
    <mergeCell ref="C3:E3"/>
    <mergeCell ref="C4:E4"/>
  </mergeCells>
  <conditionalFormatting sqref="A2">
    <cfRule type="colorScale" priority="2">
      <colorScale>
        <cfvo type="min"/>
        <cfvo type="percentile" val="50"/>
        <cfvo type="max"/>
        <color rgb="FFF8696B"/>
        <color rgb="FFFCFCFF"/>
        <color rgb="FF5A8AC6"/>
      </colorScale>
    </cfRule>
  </conditionalFormatting>
  <conditionalFormatting sqref="A1">
    <cfRule type="colorScale" priority="1">
      <colorScale>
        <cfvo type="min"/>
        <cfvo type="percentile" val="50"/>
        <cfvo type="max"/>
        <color rgb="FFF8696B"/>
        <color rgb="FFFCFCFF"/>
        <color rgb="FF5A8AC6"/>
      </colorScale>
    </cfRule>
  </conditionalFormatting>
  <printOptions horizontalCentered="1"/>
  <pageMargins left="0.70866141732283472" right="0.70866141732283472" top="0.74803149606299213" bottom="0.74803149606299213" header="0.31496062992125984" footer="0.31496062992125984"/>
  <pageSetup paperSize="8" scale="50" orientation="landscape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item1.xml><?xml version="1.0" encoding="utf-8"?>
<?mso-contentType ?>
<spe:Receivers xmlns:spe="http://schemas.microsoft.com/sharepoint/events">
  <Receiver>
    <Name>Policy Auditing</Name>
    <Synchronization>Synchronous</Synchronization>
    <Type>10001</Type>
    <SequenceNumber>1100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10002</Type>
    <SequenceNumber>1101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10004</Type>
    <SequenceNumber>1102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10006</Type>
    <SequenceNumber>1103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10001</Type>
    <SequenceNumber>1100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10002</Type>
    <SequenceNumber>1101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10004</Type>
    <SequenceNumber>1102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10006</Type>
    <SequenceNumber>1103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Document ID Generator</Name>
    <Synchronization>Synchronous</Synchronization>
    <Type>10001</Type>
    <SequenceNumber>1000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10002</Type>
    <SequenceNumber>1001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10004</Type>
    <SequenceNumber>1002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10006</Type>
    <SequenceNumber>1003</SequenceNumber>
    <Url/>
    <Assembly>Microsoft.Office.DocumentManagement, Version=16.0.0.0, Culture=neutral, PublicKeyToken=71e9bce111e9429c</Assembly>
    <Class>Microsoft.Office.DocumentManagement.Internal.DocIdHandler</Class>
    <Data/>
    <Filter/>
  </Receiver>
</spe:Receiver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FiscalYear xmlns="806035d9-ad3b-44db-92a1-1ed4b9daec3e">24</FiscalYear>
    <Frequency xmlns="4a1cef21-950b-48ce-bef3-2690db201377">Quarterly</Frequency>
    <_dlc_DocId xmlns="806035d9-ad3b-44db-92a1-1ed4b9daec3e">7NQWTN4WQ7WA-971242747-1386</_dlc_DocId>
    <_dlc_DocIdUrl xmlns="806035d9-ad3b-44db-92a1-1ed4b9daec3e">
      <Url>http://cbe-test-spsql:4050/_layouts/15/DocIdRedir.aspx?ID=7NQWTN4WQ7WA-971242747-1386</Url>
      <Description>7NQWTN4WQ7WA-971242747-1386</Description>
    </_dlc_DocIdUrl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4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F4E389F7C5D8E45A95A9ACBCB8FEC82" ma:contentTypeVersion="9" ma:contentTypeDescription="Create a new document." ma:contentTypeScope="" ma:versionID="413b93f7fec3c268ac941a2f43cd7fec">
  <xsd:schema xmlns:xsd="http://www.w3.org/2001/XMLSchema" xmlns:xs="http://www.w3.org/2001/XMLSchema" xmlns:p="http://schemas.microsoft.com/office/2006/metadata/properties" xmlns:ns1="http://schemas.microsoft.com/sharepoint/v3" xmlns:ns2="4a1cef21-950b-48ce-bef3-2690db201377" xmlns:ns3="806035d9-ad3b-44db-92a1-1ed4b9daec3e" targetNamespace="http://schemas.microsoft.com/office/2006/metadata/properties" ma:root="true" ma:fieldsID="b44460417c782a778f5d58f172440a2c" ns1:_="" ns2:_="" ns3:_="">
    <xsd:import namespace="http://schemas.microsoft.com/sharepoint/v3"/>
    <xsd:import namespace="4a1cef21-950b-48ce-bef3-2690db201377"/>
    <xsd:import namespace="806035d9-ad3b-44db-92a1-1ed4b9daec3e"/>
    <xsd:element name="properties">
      <xsd:complexType>
        <xsd:sequence>
          <xsd:element name="documentManagement">
            <xsd:complexType>
              <xsd:all>
                <xsd:element ref="ns2:Frequency"/>
                <xsd:element ref="ns3:FiscalYear"/>
                <xsd:element ref="ns3:FiscalYear_x003a_ID" minOccurs="0"/>
                <xsd:element ref="ns1:_dlc_Exempt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dlc_Exempt" ma:index="11" nillable="true" ma:displayName="Exempt from Policy" ma:hidden="true" ma:internalName="_dlc_Exempt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a1cef21-950b-48ce-bef3-2690db201377" elementFormDefault="qualified">
    <xsd:import namespace="http://schemas.microsoft.com/office/2006/documentManagement/types"/>
    <xsd:import namespace="http://schemas.microsoft.com/office/infopath/2007/PartnerControls"/>
    <xsd:element name="Frequency" ma:index="8" ma:displayName="Frequency" ma:format="Dropdown" ma:internalName="Frequency">
      <xsd:simpleType>
        <xsd:restriction base="dms:Choice">
          <xsd:enumeration value="Annual"/>
          <xsd:enumeration value="Quarterly"/>
          <xsd:enumeration value="Monthly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06035d9-ad3b-44db-92a1-1ed4b9daec3e" elementFormDefault="qualified">
    <xsd:import namespace="http://schemas.microsoft.com/office/2006/documentManagement/types"/>
    <xsd:import namespace="http://schemas.microsoft.com/office/infopath/2007/PartnerControls"/>
    <xsd:element name="FiscalYear" ma:index="9" ma:displayName="FiscalYear" ma:list="{e1c7364f-fb95-4c82-9c8c-ff2a6d0674c9}" ma:internalName="FiscalYear" ma:showField="Year" ma:web="806035d9-ad3b-44db-92a1-1ed4b9daec3e">
      <xsd:simpleType>
        <xsd:restriction base="dms:Lookup"/>
      </xsd:simpleType>
    </xsd:element>
    <xsd:element name="FiscalYear_x003a_ID" ma:index="10" nillable="true" ma:displayName="FiscalYear:ID" ma:list="{e1c7364f-fb95-4c82-9c8c-ff2a6d0674c9}" ma:internalName="FiscalYear_x003A_ID" ma:readOnly="true" ma:showField="ID" ma:web="806035d9-ad3b-44db-92a1-1ed4b9daec3e">
      <xsd:simpleType>
        <xsd:restriction base="dms:Lookup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5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F4E389F7C5D8E45A95A9ACBCB8FEC82" ma:contentTypeVersion="13" ma:contentTypeDescription="Create a new document." ma:contentTypeScope="" ma:versionID="efc9e36f38d150810bcf21df0eb12fba">
  <xsd:schema xmlns:xsd="http://www.w3.org/2001/XMLSchema" xmlns:xs="http://www.w3.org/2001/XMLSchema" xmlns:p="http://schemas.microsoft.com/office/2006/metadata/properties" xmlns:ns2="4a1cef21-950b-48ce-bef3-2690db201377" xmlns:ns3="806035d9-ad3b-44db-92a1-1ed4b9daec3e" targetNamespace="http://schemas.microsoft.com/office/2006/metadata/properties" ma:root="true" ma:fieldsID="317a844d70436f96f970225d17e1a7d8" ns2:_="" ns3:_="">
    <xsd:import namespace="4a1cef21-950b-48ce-bef3-2690db201377"/>
    <xsd:import namespace="806035d9-ad3b-44db-92a1-1ed4b9daec3e"/>
    <xsd:element name="properties">
      <xsd:complexType>
        <xsd:sequence>
          <xsd:element name="documentManagement">
            <xsd:complexType>
              <xsd:all>
                <xsd:element ref="ns2:Frequency"/>
                <xsd:element ref="ns3:FiscalYear"/>
                <xsd:element ref="ns3:FiscalYear_x003a_ID" minOccurs="0"/>
                <xsd:element ref="ns3:_dlc_DocId" minOccurs="0"/>
                <xsd:element ref="ns3:_dlc_DocIdUrl" minOccurs="0"/>
                <xsd:element ref="ns3:_dlc_DocIdPersistId" minOccurs="0"/>
                <xsd:element ref="ns3:SharedWithUser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a1cef21-950b-48ce-bef3-2690db201377" elementFormDefault="qualified">
    <xsd:import namespace="http://schemas.microsoft.com/office/2006/documentManagement/types"/>
    <xsd:import namespace="http://schemas.microsoft.com/office/infopath/2007/PartnerControls"/>
    <xsd:element name="Frequency" ma:index="8" ma:displayName="Frequency" ma:format="Dropdown" ma:internalName="Frequency">
      <xsd:simpleType>
        <xsd:restriction base="dms:Choice">
          <xsd:enumeration value="Annual"/>
          <xsd:enumeration value="Quarterly"/>
          <xsd:enumeration value="Monthly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06035d9-ad3b-44db-92a1-1ed4b9daec3e" elementFormDefault="qualified">
    <xsd:import namespace="http://schemas.microsoft.com/office/2006/documentManagement/types"/>
    <xsd:import namespace="http://schemas.microsoft.com/office/infopath/2007/PartnerControls"/>
    <xsd:element name="FiscalYear" ma:index="9" ma:displayName="FiscalYear" ma:list="{e1c7364f-fb95-4c82-9c8c-ff2a6d0674c9}" ma:internalName="FiscalYear" ma:showField="Year" ma:web="806035d9-ad3b-44db-92a1-1ed4b9daec3e">
      <xsd:simpleType>
        <xsd:restriction base="dms:Lookup"/>
      </xsd:simpleType>
    </xsd:element>
    <xsd:element name="FiscalYear_x003a_ID" ma:index="10" nillable="true" ma:displayName="FiscalYear:ID" ma:list="{e1c7364f-fb95-4c82-9c8c-ff2a6d0674c9}" ma:internalName="FiscalYear_x003A_ID" ma:readOnly="true" ma:showField="ID" ma:web="806035d9-ad3b-44db-92a1-1ed4b9daec3e">
      <xsd:simpleType>
        <xsd:restriction base="dms:Lookup"/>
      </xsd:simpleType>
    </xsd:element>
    <xsd:element name="_dlc_DocId" ma:index="11" nillable="true" ma:displayName="Document ID Value" ma:description="The value of the document ID assigned to this item." ma:internalName="_dlc_DocId" ma:readOnly="true">
      <xsd:simpleType>
        <xsd:restriction base="dms:Text"/>
      </xsd:simpleType>
    </xsd:element>
    <xsd:element name="_dlc_DocIdUrl" ma:index="12" nillable="true" ma:displayName="Document ID" ma:description="Permanent link to this document." ma:hidden="true" ma:internalName="_dlc_DocIdUrl" ma:readOnly="true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_dlc_DocIdPersistId" ma:index="13" nillable="true" ma:displayName="Persist ID" ma:description="Keep ID on add." ma:hidden="true" ma:internalName="_dlc_DocIdPersistId" ma:readOnly="true">
      <xsd:simpleType>
        <xsd:restriction base="dms:Boolean"/>
      </xsd:simpleType>
    </xsd:element>
    <xsd:element name="SharedWithUsers" ma:index="14" nillable="true" ma:displayName="Shared With" ma:description="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248B774B-D1AE-4C14-93F0-DC96DDC12282}"/>
</file>

<file path=customXml/itemProps2.xml><?xml version="1.0" encoding="utf-8"?>
<ds:datastoreItem xmlns:ds="http://schemas.openxmlformats.org/officeDocument/2006/customXml" ds:itemID="{0B550204-194F-4B5B-8344-4CC9F81EEC12}"/>
</file>

<file path=customXml/itemProps3.xml><?xml version="1.0" encoding="utf-8"?>
<ds:datastoreItem xmlns:ds="http://schemas.openxmlformats.org/officeDocument/2006/customXml" ds:itemID="{CE45043E-7110-48DE-BC00-056614DDAA7D}"/>
</file>

<file path=customXml/itemProps4.xml><?xml version="1.0" encoding="utf-8"?>
<ds:datastoreItem xmlns:ds="http://schemas.openxmlformats.org/officeDocument/2006/customXml" ds:itemID="{ADE2132D-CF5B-4B0F-A376-A2D058E6CAC8}"/>
</file>

<file path=customXml/itemProps5.xml><?xml version="1.0" encoding="utf-8"?>
<ds:datastoreItem xmlns:ds="http://schemas.openxmlformats.org/officeDocument/2006/customXml" ds:itemID="{17B4795E-8D49-4562-84C2-0D39632F665A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2015-2016</vt:lpstr>
      <vt:lpstr>'2015-2016'!Print_Area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Main_Merchandise_Quarter 2015-2016</dc:title>
  <dc:creator>Internet Research</dc:creator>
  <cp:lastModifiedBy>Internet Research</cp:lastModifiedBy>
  <cp:lastPrinted>2017-02-23T09:50:48Z</cp:lastPrinted>
  <dcterms:created xsi:type="dcterms:W3CDTF">2015-04-29T12:20:43Z</dcterms:created>
  <dcterms:modified xsi:type="dcterms:W3CDTF">2017-03-14T09:22:15Z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0x0101000F4E389F7C5D8E45A95A9ACBCB8FEC82</vt:lpwstr>
  </property>
  <property fmtid="{D5CDD505-2E9C-101B-9397-08002B2CF9AE}" pid="3" name="_dlc_DocIdItemGuid">
    <vt:lpwstr>050d0e0a-0b25-4a63-8ad3-3d9288ef29fb</vt:lpwstr>
  </property>
</Properties>
</file>