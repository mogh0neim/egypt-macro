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4\Budget without GDP\Exp\"/>
    </mc:Choice>
  </mc:AlternateContent>
  <xr:revisionPtr revIDLastSave="0" documentId="13_ncr:1_{7F236309-6A29-49BF-BCFC-B40F476C0BB7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Expenditures 2023-2024" sheetId="3" r:id="rId1"/>
  </sheets>
  <definedNames>
    <definedName name="_xlnm.Print_Area" localSheetId="0">'Expenditures 2023-2024'!$A$1:$J$40</definedName>
    <definedName name="_xlnm.Print_Titles" localSheetId="0">'Expenditures 2023-2024'!$B:$B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3" l="1"/>
  <c r="I35" i="3"/>
  <c r="H35" i="3"/>
  <c r="G35" i="3"/>
  <c r="F35" i="3"/>
  <c r="E35" i="3"/>
  <c r="D35" i="3"/>
  <c r="C35" i="3"/>
  <c r="J32" i="3"/>
  <c r="I32" i="3"/>
  <c r="H32" i="3"/>
  <c r="G32" i="3"/>
  <c r="F32" i="3"/>
  <c r="E32" i="3"/>
  <c r="D32" i="3"/>
  <c r="C32" i="3"/>
  <c r="J28" i="3"/>
  <c r="I28" i="3"/>
  <c r="H28" i="3"/>
  <c r="G28" i="3"/>
  <c r="F28" i="3"/>
  <c r="E28" i="3"/>
  <c r="D28" i="3"/>
  <c r="C28" i="3"/>
  <c r="J23" i="3"/>
  <c r="I23" i="3"/>
  <c r="H23" i="3"/>
  <c r="G23" i="3"/>
  <c r="F23" i="3"/>
  <c r="E23" i="3"/>
  <c r="D23" i="3"/>
  <c r="C23" i="3"/>
  <c r="J22" i="3"/>
  <c r="I22" i="3"/>
  <c r="H22" i="3"/>
  <c r="G22" i="3"/>
  <c r="F22" i="3"/>
  <c r="E22" i="3"/>
  <c r="D22" i="3"/>
  <c r="C22" i="3"/>
  <c r="J18" i="3"/>
  <c r="I18" i="3"/>
  <c r="H18" i="3"/>
  <c r="G18" i="3"/>
  <c r="F18" i="3"/>
  <c r="E18" i="3"/>
  <c r="D18" i="3"/>
  <c r="C18" i="3"/>
  <c r="J17" i="3"/>
  <c r="I17" i="3"/>
  <c r="H17" i="3"/>
  <c r="G17" i="3"/>
  <c r="F17" i="3"/>
  <c r="E17" i="3"/>
  <c r="D17" i="3"/>
  <c r="C17" i="3"/>
  <c r="J13" i="3"/>
  <c r="I13" i="3"/>
  <c r="H13" i="3"/>
  <c r="G13" i="3"/>
  <c r="F13" i="3"/>
  <c r="E13" i="3"/>
  <c r="D13" i="3"/>
  <c r="C13" i="3"/>
  <c r="J9" i="3"/>
  <c r="I9" i="3"/>
  <c r="H9" i="3"/>
  <c r="G9" i="3"/>
  <c r="F9" i="3"/>
  <c r="E9" i="3"/>
  <c r="D9" i="3"/>
  <c r="C9" i="3"/>
  <c r="J8" i="3"/>
  <c r="I8" i="3"/>
  <c r="H8" i="3"/>
  <c r="G8" i="3"/>
  <c r="F8" i="3"/>
  <c r="E8" i="3"/>
  <c r="D8" i="3"/>
  <c r="C8" i="3"/>
</calcChain>
</file>

<file path=xl/sharedStrings.xml><?xml version="1.0" encoding="utf-8"?>
<sst xmlns="http://schemas.openxmlformats.org/spreadsheetml/2006/main" count="83" uniqueCount="70">
  <si>
    <r>
      <t xml:space="preserve">العمليات المالية الموحدة *
 للحكومة العامة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</si>
  <si>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
</t>
    </r>
  </si>
  <si>
    <t>(LE mn)</t>
  </si>
  <si>
    <t xml:space="preserve"> </t>
  </si>
  <si>
    <t>2023/2024</t>
  </si>
  <si>
    <t>July/Sept.</t>
  </si>
  <si>
    <t>The
 Budget
 Sector</t>
  </si>
  <si>
    <t>The General Government</t>
  </si>
  <si>
    <t>إجمالى النفقات</t>
  </si>
  <si>
    <t>Total Expenditures</t>
  </si>
  <si>
    <t>الأجور وتعويضات العاملين</t>
  </si>
  <si>
    <t>Wages and Compensations of Employees</t>
  </si>
  <si>
    <t>الأجور والبدلات</t>
  </si>
  <si>
    <t xml:space="preserve">Wages and allowances </t>
  </si>
  <si>
    <t>المزايا التأمينية</t>
  </si>
  <si>
    <t>Social contributions</t>
  </si>
  <si>
    <t>أخرى</t>
  </si>
  <si>
    <t>Other</t>
  </si>
  <si>
    <t>شراء السلع و الخدمات</t>
  </si>
  <si>
    <t>Purchases of Goods and Services</t>
  </si>
  <si>
    <t>السلع</t>
  </si>
  <si>
    <t>Goods</t>
  </si>
  <si>
    <t>الخدمات</t>
  </si>
  <si>
    <t>Services</t>
  </si>
  <si>
    <t>الفوائد</t>
  </si>
  <si>
    <t>Interest</t>
  </si>
  <si>
    <t xml:space="preserve">محلية </t>
  </si>
  <si>
    <t xml:space="preserve">Domestic interest </t>
  </si>
  <si>
    <t>بنك الاستثمار القومى وصناديق التأمين الاجتماعى</t>
  </si>
  <si>
    <t>To NIB &amp; SIFs</t>
  </si>
  <si>
    <t>To others</t>
  </si>
  <si>
    <t>خارجية</t>
  </si>
  <si>
    <t>Foreign interest</t>
  </si>
  <si>
    <t>الدعم و المنح و المزايا الاجتماعية</t>
  </si>
  <si>
    <t>Subsidies, Grants and Social Benefits</t>
  </si>
  <si>
    <t xml:space="preserve">الدعم </t>
  </si>
  <si>
    <t>Subsidies</t>
  </si>
  <si>
    <t>هيئة البترول</t>
  </si>
  <si>
    <t xml:space="preserve">   To Petroleum</t>
  </si>
  <si>
    <t>هيئة السلع التموينية</t>
  </si>
  <si>
    <t xml:space="preserve">   To GASC</t>
  </si>
  <si>
    <t xml:space="preserve">   To others</t>
  </si>
  <si>
    <t>المنح</t>
  </si>
  <si>
    <t>Grants</t>
  </si>
  <si>
    <t xml:space="preserve"> المزايا الاجتماعية</t>
  </si>
  <si>
    <t>Social Benefits</t>
  </si>
  <si>
    <t>المساهمة فى صناديق التأمين الاجتماعى</t>
  </si>
  <si>
    <t xml:space="preserve">   Contribution to SIFs</t>
  </si>
  <si>
    <t xml:space="preserve">   Other</t>
  </si>
  <si>
    <t xml:space="preserve"> أخرى </t>
  </si>
  <si>
    <t>النفقات الأخرى</t>
  </si>
  <si>
    <t>Other Expenditures</t>
  </si>
  <si>
    <t>الدفاع</t>
  </si>
  <si>
    <t>Defense</t>
  </si>
  <si>
    <t xml:space="preserve">Other </t>
  </si>
  <si>
    <t>شراء أصول غير مالية ( الاستثمارات )</t>
  </si>
  <si>
    <t>Purchases of Non-Financial Assets (Investments)</t>
  </si>
  <si>
    <t>الأصول الثابتة</t>
  </si>
  <si>
    <t>Fixed assets</t>
  </si>
  <si>
    <t>Others</t>
  </si>
  <si>
    <t>المصدر : وزارة المالية.</t>
  </si>
  <si>
    <t>Source: Ministry of Finance.</t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</si>
  <si>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</si>
  <si>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</si>
  <si>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</si>
  <si>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</si>
  <si>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>July/Dec.</t>
  </si>
  <si>
    <t>July/March</t>
  </si>
  <si>
    <t>July/June</t>
  </si>
  <si>
    <r>
      <t xml:space="preserve"> </t>
    </r>
    <r>
      <rPr>
        <b/>
        <u/>
        <sz val="16"/>
        <rFont val="Arial"/>
        <family val="2"/>
      </rPr>
      <t>Other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</si>
</sst>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vertAlign val="superscript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4" fillId="0" borderId="0" xfId="1" applyFont="1" applyFill="1" applyBorder="1" applyAlignment="1">
      <alignment vertical="center" wrapText="1" readingOrder="2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/>
    <xf numFmtId="0" fontId="6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5" fillId="0" borderId="0" xfId="1" applyFont="1" applyFill="1" applyBorder="1"/>
    <xf numFmtId="0" fontId="5" fillId="0" borderId="0" xfId="1" applyFont="1" applyFill="1"/>
    <xf numFmtId="0" fontId="6" fillId="2" borderId="1" xfId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4" xfId="1" applyFont="1" applyFill="1" applyBorder="1" applyAlignment="1"/>
    <xf numFmtId="0" fontId="6" fillId="2" borderId="7" xfId="1" applyFont="1" applyFill="1" applyBorder="1" applyAlignment="1">
      <alignment horizontal="right" vertical="center" indent="1"/>
    </xf>
    <xf numFmtId="0" fontId="2" fillId="2" borderId="7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/>
    <xf numFmtId="0" fontId="7" fillId="0" borderId="1" xfId="2" applyFont="1" applyFill="1" applyBorder="1" applyAlignment="1">
      <alignment horizontal="right" vertical="center" readingOrder="2"/>
    </xf>
    <xf numFmtId="1" fontId="7" fillId="0" borderId="1" xfId="1" applyNumberFormat="1" applyFont="1" applyFill="1" applyBorder="1" applyAlignment="1">
      <alignment horizontal="left" vertical="center" readingOrder="1"/>
    </xf>
    <xf numFmtId="1" fontId="7" fillId="0" borderId="1" xfId="1" applyNumberFormat="1" applyFont="1" applyBorder="1" applyAlignment="1">
      <alignment horizontal="center" vertical="center"/>
    </xf>
    <xf numFmtId="0" fontId="8" fillId="0" borderId="0" xfId="1" applyFont="1" applyFill="1"/>
    <xf numFmtId="0" fontId="7" fillId="0" borderId="4" xfId="2" applyFont="1" applyFill="1" applyBorder="1" applyAlignment="1">
      <alignment horizontal="right" vertical="center" readingOrder="2"/>
    </xf>
    <xf numFmtId="1" fontId="7" fillId="0" borderId="4" xfId="1" applyNumberFormat="1" applyFont="1" applyFill="1" applyBorder="1" applyAlignment="1">
      <alignment horizontal="left" vertical="center" readingOrder="1"/>
    </xf>
    <xf numFmtId="1" fontId="7" fillId="0" borderId="4" xfId="1" applyNumberFormat="1" applyFont="1" applyBorder="1" applyAlignment="1">
      <alignment horizontal="center" vertical="center"/>
    </xf>
    <xf numFmtId="0" fontId="6" fillId="0" borderId="4" xfId="2" applyFont="1" applyFill="1" applyBorder="1" applyAlignment="1">
      <alignment horizontal="right" vertical="center" indent="1" readingOrder="2"/>
    </xf>
    <xf numFmtId="1" fontId="6" fillId="0" borderId="4" xfId="1" applyNumberFormat="1" applyFont="1" applyFill="1" applyBorder="1" applyAlignment="1">
      <alignment horizontal="left" vertical="center" indent="1" readingOrder="1"/>
    </xf>
    <xf numFmtId="1" fontId="6" fillId="0" borderId="4" xfId="1" applyNumberFormat="1" applyFont="1" applyBorder="1" applyAlignment="1">
      <alignment horizontal="center" vertical="center"/>
    </xf>
    <xf numFmtId="0" fontId="4" fillId="0" borderId="0" xfId="1" applyFont="1" applyFill="1"/>
    <xf numFmtId="0" fontId="7" fillId="0" borderId="4" xfId="2" applyFont="1" applyBorder="1" applyAlignment="1">
      <alignment horizontal="right" vertical="center" readingOrder="2"/>
    </xf>
    <xf numFmtId="1" fontId="7" fillId="0" borderId="4" xfId="1" applyNumberFormat="1" applyFont="1" applyBorder="1" applyAlignment="1">
      <alignment horizontal="left" vertical="center" readingOrder="1"/>
    </xf>
    <xf numFmtId="0" fontId="2" fillId="0" borderId="4" xfId="2" applyFont="1" applyBorder="1" applyAlignment="1">
      <alignment horizontal="right" vertical="center" indent="1" readingOrder="2"/>
    </xf>
    <xf numFmtId="1" fontId="2" fillId="0" borderId="4" xfId="1" applyNumberFormat="1" applyFont="1" applyBorder="1" applyAlignment="1">
      <alignment horizontal="left" vertical="center" indent="1" readingOrder="1"/>
    </xf>
    <xf numFmtId="1" fontId="2" fillId="0" borderId="4" xfId="1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right" vertical="center" indent="2" readingOrder="2"/>
    </xf>
    <xf numFmtId="1" fontId="6" fillId="0" borderId="4" xfId="1" applyNumberFormat="1" applyFont="1" applyBorder="1" applyAlignment="1">
      <alignment horizontal="left" vertical="center" indent="2" readingOrder="1"/>
    </xf>
    <xf numFmtId="0" fontId="7" fillId="0" borderId="4" xfId="1" applyFont="1" applyFill="1" applyBorder="1" applyAlignment="1">
      <alignment horizontal="right" vertical="center" readingOrder="2"/>
    </xf>
    <xf numFmtId="0" fontId="7" fillId="0" borderId="4" xfId="2" applyFont="1" applyFill="1" applyBorder="1" applyAlignment="1">
      <alignment horizontal="right" vertical="center" indent="1" readingOrder="2"/>
    </xf>
    <xf numFmtId="1" fontId="7" fillId="0" borderId="4" xfId="1" applyNumberFormat="1" applyFont="1" applyFill="1" applyBorder="1" applyAlignment="1">
      <alignment horizontal="left" vertical="center" indent="1" readingOrder="1"/>
    </xf>
    <xf numFmtId="0" fontId="6" fillId="0" borderId="4" xfId="2" applyFont="1" applyFill="1" applyBorder="1" applyAlignment="1">
      <alignment horizontal="right" vertical="center" indent="2" readingOrder="2"/>
    </xf>
    <xf numFmtId="1" fontId="6" fillId="0" borderId="4" xfId="1" applyNumberFormat="1" applyFont="1" applyFill="1" applyBorder="1" applyAlignment="1">
      <alignment horizontal="left" vertical="center" indent="2" readingOrder="1"/>
    </xf>
    <xf numFmtId="1" fontId="2" fillId="0" borderId="4" xfId="1" applyNumberFormat="1" applyFont="1" applyFill="1" applyBorder="1" applyAlignment="1">
      <alignment horizontal="left" vertical="center" indent="1" readingOrder="1"/>
    </xf>
    <xf numFmtId="1" fontId="7" fillId="0" borderId="4" xfId="1" applyNumberFormat="1" applyFont="1" applyFill="1" applyBorder="1" applyAlignment="1">
      <alignment horizontal="left" vertical="center" wrapText="1" readingOrder="1"/>
    </xf>
    <xf numFmtId="0" fontId="6" fillId="0" borderId="7" xfId="2" applyFont="1" applyFill="1" applyBorder="1" applyAlignment="1">
      <alignment horizontal="right" vertical="center" indent="1" readingOrder="2"/>
    </xf>
    <xf numFmtId="1" fontId="6" fillId="0" borderId="7" xfId="1" applyNumberFormat="1" applyFont="1" applyFill="1" applyBorder="1" applyAlignment="1">
      <alignment horizontal="left" vertical="center" indent="1" readingOrder="1"/>
    </xf>
    <xf numFmtId="1" fontId="6" fillId="0" borderId="7" xfId="1" applyNumberFormat="1" applyFont="1" applyBorder="1" applyAlignment="1">
      <alignment horizontal="center" vertical="center"/>
    </xf>
    <xf numFmtId="0" fontId="5" fillId="0" borderId="0" xfId="2" applyFont="1" applyFill="1" applyBorder="1" applyAlignment="1">
      <alignment horizontal="right" vertical="center" readingOrder="2"/>
    </xf>
    <xf numFmtId="1" fontId="5" fillId="0" borderId="0" xfId="1" applyNumberFormat="1" applyFont="1" applyFill="1" applyBorder="1" applyAlignment="1">
      <alignment horizontal="left" vertical="center" readingOrder="1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5" fillId="0" borderId="0" xfId="2" applyFont="1" applyFill="1" applyAlignment="1">
      <alignment horizontal="left" vertical="center" wrapText="1" readingOrder="1"/>
    </xf>
    <xf numFmtId="49" fontId="4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horizontal="left" vertical="center"/>
    </xf>
    <xf numFmtId="0" fontId="6" fillId="2" borderId="1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F06FA1B6-CE7A-4230-A036-BEED0EC5F3EC}"/>
    <cellStyle name="Normal_wafaa file_12_22-24_26-34 2" xfId="1" xr:uid="{1623EA8B-3048-4B61-BC80-7192AF27E8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AD13-D3ED-4725-89D2-18B0CCD9335D}">
  <sheetPr>
    <pageSetUpPr fitToPage="1"/>
  </sheetPr>
  <dimension ref="A1:AY1304"/>
  <sheetViews>
    <sheetView tabSelected="1"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1" width="62.6640625" style="10" customWidth="1"/>
    <col min="2" max="2" width="72.6640625" style="10" customWidth="1"/>
    <col min="3" max="10" width="24.6640625" style="48" customWidth="1"/>
    <col min="11" max="16384" width="8.44140625" style="10"/>
  </cols>
  <sheetData>
    <row r="1" spans="1:51" s="5" customFormat="1" ht="66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ht="22.95" customHeight="1" x14ac:dyDescent="0.35">
      <c r="A2" s="6"/>
      <c r="B2" s="6"/>
      <c r="C2" s="7"/>
      <c r="D2" s="8"/>
      <c r="E2" s="7"/>
      <c r="F2" s="8"/>
      <c r="G2" s="7"/>
      <c r="H2" s="8"/>
      <c r="I2" s="7"/>
      <c r="J2" s="8" t="s">
        <v>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51" s="12" customFormat="1" ht="15" customHeight="1" x14ac:dyDescent="0.35">
      <c r="A3" s="11"/>
      <c r="B3" s="53" t="s">
        <v>3</v>
      </c>
      <c r="C3" s="55" t="s">
        <v>4</v>
      </c>
      <c r="D3" s="56"/>
      <c r="E3" s="56"/>
      <c r="F3" s="56"/>
      <c r="G3" s="56"/>
      <c r="H3" s="56"/>
      <c r="I3" s="56"/>
      <c r="J3" s="56"/>
    </row>
    <row r="4" spans="1:51" s="12" customFormat="1" ht="49.95" customHeight="1" x14ac:dyDescent="0.35">
      <c r="A4" s="13"/>
      <c r="B4" s="54"/>
      <c r="C4" s="57"/>
      <c r="D4" s="58"/>
      <c r="E4" s="58"/>
      <c r="F4" s="58"/>
      <c r="G4" s="58"/>
      <c r="H4" s="58"/>
      <c r="I4" s="58"/>
      <c r="J4" s="58"/>
    </row>
    <row r="5" spans="1:51" s="12" customFormat="1" ht="15" customHeight="1" x14ac:dyDescent="0.35">
      <c r="A5" s="13"/>
      <c r="B5" s="13"/>
      <c r="C5" s="59" t="s">
        <v>5</v>
      </c>
      <c r="D5" s="59"/>
      <c r="E5" s="59" t="s">
        <v>66</v>
      </c>
      <c r="F5" s="59"/>
      <c r="G5" s="59" t="s">
        <v>67</v>
      </c>
      <c r="H5" s="61"/>
      <c r="I5" s="62" t="s">
        <v>68</v>
      </c>
      <c r="J5" s="62"/>
    </row>
    <row r="6" spans="1:51" s="12" customFormat="1" ht="15" customHeight="1" x14ac:dyDescent="0.35">
      <c r="A6" s="13"/>
      <c r="B6" s="13"/>
      <c r="C6" s="60"/>
      <c r="D6" s="60"/>
      <c r="E6" s="60"/>
      <c r="F6" s="60"/>
      <c r="G6" s="60"/>
      <c r="H6" s="57"/>
      <c r="I6" s="60"/>
      <c r="J6" s="60"/>
    </row>
    <row r="7" spans="1:51" s="17" customFormat="1" ht="92.4" customHeight="1" x14ac:dyDescent="0.35">
      <c r="A7" s="14"/>
      <c r="B7" s="15"/>
      <c r="C7" s="16" t="s">
        <v>6</v>
      </c>
      <c r="D7" s="16" t="s">
        <v>7</v>
      </c>
      <c r="E7" s="16" t="s">
        <v>6</v>
      </c>
      <c r="F7" s="16" t="s">
        <v>7</v>
      </c>
      <c r="G7" s="16" t="s">
        <v>6</v>
      </c>
      <c r="H7" s="16" t="s">
        <v>7</v>
      </c>
      <c r="I7" s="16" t="s">
        <v>6</v>
      </c>
      <c r="J7" s="16" t="s">
        <v>7</v>
      </c>
    </row>
    <row r="8" spans="1:51" s="21" customFormat="1" ht="40.200000000000003" customHeight="1" x14ac:dyDescent="0.3">
      <c r="A8" s="18" t="s">
        <v>8</v>
      </c>
      <c r="B8" s="19" t="s">
        <v>9</v>
      </c>
      <c r="C8" s="20">
        <f t="shared" ref="C8:J8" si="0">C9+C13+C17+C22+C32+C35</f>
        <v>790864</v>
      </c>
      <c r="D8" s="20">
        <f t="shared" si="0"/>
        <v>797451</v>
      </c>
      <c r="E8" s="20">
        <f t="shared" si="0"/>
        <v>1461985</v>
      </c>
      <c r="F8" s="20">
        <f t="shared" si="0"/>
        <v>1540702</v>
      </c>
      <c r="G8" s="20">
        <f t="shared" si="0"/>
        <v>2222736</v>
      </c>
      <c r="H8" s="20">
        <f t="shared" si="0"/>
        <v>2369297</v>
      </c>
      <c r="I8" s="20">
        <f t="shared" si="0"/>
        <v>3016951</v>
      </c>
      <c r="J8" s="20">
        <f t="shared" si="0"/>
        <v>3188425</v>
      </c>
    </row>
    <row r="9" spans="1:51" s="21" customFormat="1" ht="40.200000000000003" customHeight="1" x14ac:dyDescent="0.3">
      <c r="A9" s="22" t="s">
        <v>10</v>
      </c>
      <c r="B9" s="23" t="s">
        <v>11</v>
      </c>
      <c r="C9" s="24">
        <f t="shared" ref="C9:J9" si="1">SUM(C10:C12)</f>
        <v>117995</v>
      </c>
      <c r="D9" s="24">
        <f t="shared" si="1"/>
        <v>108321</v>
      </c>
      <c r="E9" s="24">
        <f t="shared" si="1"/>
        <v>240892</v>
      </c>
      <c r="F9" s="24">
        <f t="shared" si="1"/>
        <v>221946</v>
      </c>
      <c r="G9" s="24">
        <f t="shared" si="1"/>
        <v>368283</v>
      </c>
      <c r="H9" s="24">
        <f t="shared" si="1"/>
        <v>345912</v>
      </c>
      <c r="I9" s="24">
        <f t="shared" si="1"/>
        <v>512621</v>
      </c>
      <c r="J9" s="24">
        <f t="shared" si="1"/>
        <v>472807</v>
      </c>
    </row>
    <row r="10" spans="1:51" s="28" customFormat="1" ht="40.200000000000003" customHeight="1" x14ac:dyDescent="0.3">
      <c r="A10" s="25" t="s">
        <v>12</v>
      </c>
      <c r="B10" s="26" t="s">
        <v>13</v>
      </c>
      <c r="C10" s="27">
        <v>93807</v>
      </c>
      <c r="D10" s="27">
        <v>94736</v>
      </c>
      <c r="E10" s="27">
        <v>196725</v>
      </c>
      <c r="F10" s="27">
        <v>198778</v>
      </c>
      <c r="G10" s="27">
        <v>309034</v>
      </c>
      <c r="H10" s="27">
        <v>312185</v>
      </c>
      <c r="I10" s="27">
        <v>423157</v>
      </c>
      <c r="J10" s="27">
        <v>427507</v>
      </c>
    </row>
    <row r="11" spans="1:51" s="28" customFormat="1" ht="40.200000000000003" customHeight="1" x14ac:dyDescent="0.3">
      <c r="A11" s="25" t="s">
        <v>14</v>
      </c>
      <c r="B11" s="26" t="s">
        <v>15</v>
      </c>
      <c r="C11" s="27">
        <v>14051</v>
      </c>
      <c r="D11" s="27">
        <v>3434</v>
      </c>
      <c r="E11" s="27">
        <v>27849</v>
      </c>
      <c r="F11" s="27">
        <v>6813</v>
      </c>
      <c r="G11" s="27">
        <v>36097</v>
      </c>
      <c r="H11" s="27">
        <v>10524</v>
      </c>
      <c r="I11" s="27">
        <v>58453</v>
      </c>
      <c r="J11" s="27">
        <v>14220</v>
      </c>
    </row>
    <row r="12" spans="1:51" s="28" customFormat="1" ht="40.200000000000003" customHeight="1" x14ac:dyDescent="0.3">
      <c r="A12" s="25" t="s">
        <v>16</v>
      </c>
      <c r="B12" s="26" t="s">
        <v>17</v>
      </c>
      <c r="C12" s="27">
        <v>10137</v>
      </c>
      <c r="D12" s="27">
        <v>10151</v>
      </c>
      <c r="E12" s="27">
        <v>16318</v>
      </c>
      <c r="F12" s="27">
        <v>16355</v>
      </c>
      <c r="G12" s="27">
        <v>23152</v>
      </c>
      <c r="H12" s="27">
        <v>23203</v>
      </c>
      <c r="I12" s="27">
        <v>31011</v>
      </c>
      <c r="J12" s="27">
        <v>31080</v>
      </c>
    </row>
    <row r="13" spans="1:51" s="21" customFormat="1" ht="40.200000000000003" customHeight="1" x14ac:dyDescent="0.3">
      <c r="A13" s="22" t="s">
        <v>18</v>
      </c>
      <c r="B13" s="23" t="s">
        <v>19</v>
      </c>
      <c r="C13" s="24">
        <f t="shared" ref="C13:J13" si="2">SUM(C14:C16)</f>
        <v>28426</v>
      </c>
      <c r="D13" s="24">
        <f t="shared" si="2"/>
        <v>28529</v>
      </c>
      <c r="E13" s="24">
        <f t="shared" si="2"/>
        <v>70389</v>
      </c>
      <c r="F13" s="24">
        <f t="shared" si="2"/>
        <v>70756</v>
      </c>
      <c r="G13" s="24">
        <f t="shared" si="2"/>
        <v>103346</v>
      </c>
      <c r="H13" s="24">
        <f t="shared" si="2"/>
        <v>103828</v>
      </c>
      <c r="I13" s="24">
        <f t="shared" si="2"/>
        <v>139791</v>
      </c>
      <c r="J13" s="24">
        <f t="shared" si="2"/>
        <v>140473</v>
      </c>
    </row>
    <row r="14" spans="1:51" s="28" customFormat="1" ht="40.200000000000003" customHeight="1" x14ac:dyDescent="0.3">
      <c r="A14" s="25" t="s">
        <v>20</v>
      </c>
      <c r="B14" s="26" t="s">
        <v>21</v>
      </c>
      <c r="C14" s="27">
        <v>14533</v>
      </c>
      <c r="D14" s="27">
        <v>14539</v>
      </c>
      <c r="E14" s="27">
        <v>37924</v>
      </c>
      <c r="F14" s="27">
        <v>37943</v>
      </c>
      <c r="G14" s="27">
        <v>57576</v>
      </c>
      <c r="H14" s="27">
        <v>57614</v>
      </c>
      <c r="I14" s="27">
        <v>75006</v>
      </c>
      <c r="J14" s="27">
        <v>75057</v>
      </c>
    </row>
    <row r="15" spans="1:51" s="28" customFormat="1" ht="40.200000000000003" customHeight="1" x14ac:dyDescent="0.3">
      <c r="A15" s="25" t="s">
        <v>22</v>
      </c>
      <c r="B15" s="26" t="s">
        <v>23</v>
      </c>
      <c r="C15" s="27">
        <v>13711</v>
      </c>
      <c r="D15" s="27">
        <v>13758</v>
      </c>
      <c r="E15" s="27">
        <v>31432</v>
      </c>
      <c r="F15" s="27">
        <v>31581</v>
      </c>
      <c r="G15" s="27">
        <v>44326</v>
      </c>
      <c r="H15" s="27">
        <v>44564</v>
      </c>
      <c r="I15" s="27">
        <v>62923</v>
      </c>
      <c r="J15" s="27">
        <v>63316</v>
      </c>
    </row>
    <row r="16" spans="1:51" s="28" customFormat="1" ht="40.200000000000003" customHeight="1" x14ac:dyDescent="0.3">
      <c r="A16" s="25" t="s">
        <v>16</v>
      </c>
      <c r="B16" s="26" t="s">
        <v>17</v>
      </c>
      <c r="C16" s="27">
        <v>182</v>
      </c>
      <c r="D16" s="27">
        <v>232</v>
      </c>
      <c r="E16" s="27">
        <v>1033</v>
      </c>
      <c r="F16" s="27">
        <v>1232</v>
      </c>
      <c r="G16" s="27">
        <v>1444</v>
      </c>
      <c r="H16" s="27">
        <v>1650</v>
      </c>
      <c r="I16" s="27">
        <v>1862</v>
      </c>
      <c r="J16" s="27">
        <v>2100</v>
      </c>
    </row>
    <row r="17" spans="1:10" s="21" customFormat="1" ht="40.200000000000003" customHeight="1" x14ac:dyDescent="0.3">
      <c r="A17" s="29" t="s">
        <v>24</v>
      </c>
      <c r="B17" s="30" t="s">
        <v>25</v>
      </c>
      <c r="C17" s="24">
        <f t="shared" ref="C17:J17" si="3">C18+C21</f>
        <v>477493</v>
      </c>
      <c r="D17" s="24">
        <f t="shared" si="3"/>
        <v>446855</v>
      </c>
      <c r="E17" s="24">
        <f t="shared" si="3"/>
        <v>792994</v>
      </c>
      <c r="F17" s="24">
        <f t="shared" si="3"/>
        <v>753947</v>
      </c>
      <c r="G17" s="24">
        <f t="shared" si="3"/>
        <v>1175143</v>
      </c>
      <c r="H17" s="24">
        <f t="shared" si="3"/>
        <v>1130856</v>
      </c>
      <c r="I17" s="24">
        <f t="shared" si="3"/>
        <v>1362662</v>
      </c>
      <c r="J17" s="24">
        <f t="shared" si="3"/>
        <v>1273767</v>
      </c>
    </row>
    <row r="18" spans="1:10" ht="40.200000000000003" customHeight="1" x14ac:dyDescent="0.3">
      <c r="A18" s="31" t="s">
        <v>26</v>
      </c>
      <c r="B18" s="32" t="s">
        <v>27</v>
      </c>
      <c r="C18" s="33">
        <f>C19+C20</f>
        <v>433947</v>
      </c>
      <c r="D18" s="33">
        <f>D19+D20</f>
        <v>403309</v>
      </c>
      <c r="E18" s="33">
        <f t="shared" ref="E18:G18" si="4">E19+E20</f>
        <v>715215</v>
      </c>
      <c r="F18" s="33">
        <f t="shared" si="4"/>
        <v>676168</v>
      </c>
      <c r="G18" s="33">
        <f t="shared" si="4"/>
        <v>1051025</v>
      </c>
      <c r="H18" s="33">
        <f>H19+H20</f>
        <v>1006738</v>
      </c>
      <c r="I18" s="33">
        <f>I19+I20</f>
        <v>1174040</v>
      </c>
      <c r="J18" s="33">
        <f t="shared" ref="J18" si="5">J19+J20</f>
        <v>1085145</v>
      </c>
    </row>
    <row r="19" spans="1:10" ht="40.200000000000003" customHeight="1" x14ac:dyDescent="0.3">
      <c r="A19" s="34" t="s">
        <v>28</v>
      </c>
      <c r="B19" s="35" t="s">
        <v>29</v>
      </c>
      <c r="C19" s="27">
        <v>32427</v>
      </c>
      <c r="D19" s="27">
        <v>0</v>
      </c>
      <c r="E19" s="27">
        <v>42479</v>
      </c>
      <c r="F19" s="27">
        <v>0</v>
      </c>
      <c r="G19" s="27">
        <v>53148</v>
      </c>
      <c r="H19" s="27">
        <v>0</v>
      </c>
      <c r="I19" s="27">
        <v>98535</v>
      </c>
      <c r="J19" s="27">
        <v>0</v>
      </c>
    </row>
    <row r="20" spans="1:10" ht="40.200000000000003" customHeight="1" x14ac:dyDescent="0.3">
      <c r="A20" s="34" t="s">
        <v>16</v>
      </c>
      <c r="B20" s="35" t="s">
        <v>30</v>
      </c>
      <c r="C20" s="27">
        <v>401520</v>
      </c>
      <c r="D20" s="27">
        <v>403309</v>
      </c>
      <c r="E20" s="27">
        <v>672736</v>
      </c>
      <c r="F20" s="27">
        <v>676168</v>
      </c>
      <c r="G20" s="27">
        <v>997877</v>
      </c>
      <c r="H20" s="27">
        <v>1006738</v>
      </c>
      <c r="I20" s="27">
        <v>1075505</v>
      </c>
      <c r="J20" s="27">
        <v>1085145</v>
      </c>
    </row>
    <row r="21" spans="1:10" ht="40.200000000000003" customHeight="1" x14ac:dyDescent="0.3">
      <c r="A21" s="31" t="s">
        <v>31</v>
      </c>
      <c r="B21" s="32" t="s">
        <v>32</v>
      </c>
      <c r="C21" s="33">
        <v>43546</v>
      </c>
      <c r="D21" s="33">
        <v>43546</v>
      </c>
      <c r="E21" s="33">
        <v>77779</v>
      </c>
      <c r="F21" s="33">
        <v>77779</v>
      </c>
      <c r="G21" s="33">
        <v>124118</v>
      </c>
      <c r="H21" s="33">
        <v>124118</v>
      </c>
      <c r="I21" s="33">
        <v>188622</v>
      </c>
      <c r="J21" s="33">
        <v>188622</v>
      </c>
    </row>
    <row r="22" spans="1:10" s="21" customFormat="1" ht="40.200000000000003" customHeight="1" x14ac:dyDescent="0.3">
      <c r="A22" s="36" t="s">
        <v>33</v>
      </c>
      <c r="B22" s="23" t="s">
        <v>34</v>
      </c>
      <c r="C22" s="24">
        <f t="shared" ref="C22:J22" si="6">C23+C27+C28+C31</f>
        <v>95164</v>
      </c>
      <c r="D22" s="24">
        <f t="shared" si="6"/>
        <v>141960</v>
      </c>
      <c r="E22" s="24">
        <f t="shared" si="6"/>
        <v>195598</v>
      </c>
      <c r="F22" s="24">
        <f t="shared" si="6"/>
        <v>331939</v>
      </c>
      <c r="G22" s="24">
        <f t="shared" si="6"/>
        <v>314317</v>
      </c>
      <c r="H22" s="24">
        <f t="shared" si="6"/>
        <v>527053</v>
      </c>
      <c r="I22" s="24">
        <f t="shared" si="6"/>
        <v>559199</v>
      </c>
      <c r="J22" s="24">
        <f t="shared" si="6"/>
        <v>858695</v>
      </c>
    </row>
    <row r="23" spans="1:10" s="21" customFormat="1" ht="40.200000000000003" customHeight="1" x14ac:dyDescent="0.3">
      <c r="A23" s="37" t="s">
        <v>35</v>
      </c>
      <c r="B23" s="38" t="s">
        <v>36</v>
      </c>
      <c r="C23" s="24">
        <f t="shared" ref="C23:J23" si="7">C24+C25+C26</f>
        <v>30027</v>
      </c>
      <c r="D23" s="24">
        <f t="shared" si="7"/>
        <v>30027</v>
      </c>
      <c r="E23" s="24">
        <f t="shared" si="7"/>
        <v>94508</v>
      </c>
      <c r="F23" s="24">
        <f t="shared" si="7"/>
        <v>94508</v>
      </c>
      <c r="G23" s="24">
        <f t="shared" si="7"/>
        <v>167238</v>
      </c>
      <c r="H23" s="24">
        <f t="shared" si="7"/>
        <v>167238</v>
      </c>
      <c r="I23" s="24">
        <f t="shared" si="7"/>
        <v>353731</v>
      </c>
      <c r="J23" s="24">
        <f t="shared" si="7"/>
        <v>353731</v>
      </c>
    </row>
    <row r="24" spans="1:10" ht="40.200000000000003" customHeight="1" x14ac:dyDescent="0.3">
      <c r="A24" s="39" t="s">
        <v>37</v>
      </c>
      <c r="B24" s="40" t="s">
        <v>38</v>
      </c>
      <c r="C24" s="27">
        <v>8576</v>
      </c>
      <c r="D24" s="27">
        <v>8576</v>
      </c>
      <c r="E24" s="27">
        <v>25234</v>
      </c>
      <c r="F24" s="27">
        <v>25234</v>
      </c>
      <c r="G24" s="27">
        <v>76336</v>
      </c>
      <c r="H24" s="27">
        <v>76336</v>
      </c>
      <c r="I24" s="27">
        <v>165000</v>
      </c>
      <c r="J24" s="27">
        <v>165000</v>
      </c>
    </row>
    <row r="25" spans="1:10" ht="40.200000000000003" customHeight="1" x14ac:dyDescent="0.3">
      <c r="A25" s="39" t="s">
        <v>39</v>
      </c>
      <c r="B25" s="40" t="s">
        <v>40</v>
      </c>
      <c r="C25" s="27">
        <v>18258</v>
      </c>
      <c r="D25" s="27">
        <v>18258</v>
      </c>
      <c r="E25" s="27">
        <v>55113</v>
      </c>
      <c r="F25" s="27">
        <v>55113</v>
      </c>
      <c r="G25" s="27">
        <v>69326</v>
      </c>
      <c r="H25" s="27">
        <v>69326</v>
      </c>
      <c r="I25" s="27">
        <v>133278</v>
      </c>
      <c r="J25" s="27">
        <v>133278</v>
      </c>
    </row>
    <row r="26" spans="1:10" ht="40.200000000000003" customHeight="1" x14ac:dyDescent="0.3">
      <c r="A26" s="39" t="s">
        <v>16</v>
      </c>
      <c r="B26" s="40" t="s">
        <v>41</v>
      </c>
      <c r="C26" s="27">
        <v>3193</v>
      </c>
      <c r="D26" s="27">
        <v>3193</v>
      </c>
      <c r="E26" s="27">
        <v>14161</v>
      </c>
      <c r="F26" s="27">
        <v>14161</v>
      </c>
      <c r="G26" s="27">
        <v>21576</v>
      </c>
      <c r="H26" s="27">
        <v>21576</v>
      </c>
      <c r="I26" s="27">
        <v>55453</v>
      </c>
      <c r="J26" s="27">
        <v>55453</v>
      </c>
    </row>
    <row r="27" spans="1:10" s="21" customFormat="1" ht="40.200000000000003" customHeight="1" x14ac:dyDescent="0.3">
      <c r="A27" s="37" t="s">
        <v>42</v>
      </c>
      <c r="B27" s="38" t="s">
        <v>43</v>
      </c>
      <c r="C27" s="24">
        <v>3185</v>
      </c>
      <c r="D27" s="24">
        <v>3185</v>
      </c>
      <c r="E27" s="24">
        <v>5782</v>
      </c>
      <c r="F27" s="24">
        <v>5782</v>
      </c>
      <c r="G27" s="24">
        <v>9739</v>
      </c>
      <c r="H27" s="24">
        <v>9739</v>
      </c>
      <c r="I27" s="24">
        <v>15696</v>
      </c>
      <c r="J27" s="24">
        <v>15696</v>
      </c>
    </row>
    <row r="28" spans="1:10" s="21" customFormat="1" ht="40.200000000000003" customHeight="1" x14ac:dyDescent="0.3">
      <c r="A28" s="37" t="s">
        <v>44</v>
      </c>
      <c r="B28" s="38" t="s">
        <v>45</v>
      </c>
      <c r="C28" s="24">
        <f t="shared" ref="C28:J28" si="8">C29+C30</f>
        <v>61606</v>
      </c>
      <c r="D28" s="24">
        <f t="shared" si="8"/>
        <v>108402</v>
      </c>
      <c r="E28" s="24">
        <f t="shared" si="8"/>
        <v>94733</v>
      </c>
      <c r="F28" s="24">
        <f t="shared" si="8"/>
        <v>231074</v>
      </c>
      <c r="G28" s="24">
        <f t="shared" si="8"/>
        <v>136669</v>
      </c>
      <c r="H28" s="24">
        <f t="shared" si="8"/>
        <v>349404</v>
      </c>
      <c r="I28" s="24">
        <f t="shared" si="8"/>
        <v>188665</v>
      </c>
      <c r="J28" s="24">
        <f t="shared" si="8"/>
        <v>488161</v>
      </c>
    </row>
    <row r="29" spans="1:10" ht="40.200000000000003" customHeight="1" x14ac:dyDescent="0.3">
      <c r="A29" s="39" t="s">
        <v>46</v>
      </c>
      <c r="B29" s="40" t="s">
        <v>47</v>
      </c>
      <c r="C29" s="27">
        <v>50526</v>
      </c>
      <c r="D29" s="27">
        <v>0</v>
      </c>
      <c r="E29" s="27">
        <v>67368</v>
      </c>
      <c r="F29" s="27">
        <v>0</v>
      </c>
      <c r="G29" s="27">
        <v>101096</v>
      </c>
      <c r="H29" s="27">
        <v>0</v>
      </c>
      <c r="I29" s="27">
        <v>134780</v>
      </c>
      <c r="J29" s="27">
        <v>0</v>
      </c>
    </row>
    <row r="30" spans="1:10" ht="40.200000000000003" customHeight="1" x14ac:dyDescent="0.3">
      <c r="A30" s="39" t="s">
        <v>16</v>
      </c>
      <c r="B30" s="40" t="s">
        <v>48</v>
      </c>
      <c r="C30" s="27">
        <v>11080</v>
      </c>
      <c r="D30" s="27">
        <v>108402</v>
      </c>
      <c r="E30" s="27">
        <v>27365</v>
      </c>
      <c r="F30" s="27">
        <v>231074</v>
      </c>
      <c r="G30" s="27">
        <v>35573</v>
      </c>
      <c r="H30" s="27">
        <v>349404</v>
      </c>
      <c r="I30" s="27">
        <v>53885</v>
      </c>
      <c r="J30" s="27">
        <v>488161</v>
      </c>
    </row>
    <row r="31" spans="1:10" s="21" customFormat="1" ht="40.200000000000003" customHeight="1" x14ac:dyDescent="0.3">
      <c r="A31" s="37" t="s">
        <v>49</v>
      </c>
      <c r="B31" s="41" t="s">
        <v>69</v>
      </c>
      <c r="C31" s="24">
        <v>346</v>
      </c>
      <c r="D31" s="24">
        <v>346</v>
      </c>
      <c r="E31" s="24">
        <v>575</v>
      </c>
      <c r="F31" s="24">
        <v>575</v>
      </c>
      <c r="G31" s="24">
        <v>671</v>
      </c>
      <c r="H31" s="24">
        <v>672</v>
      </c>
      <c r="I31" s="24">
        <v>1107</v>
      </c>
      <c r="J31" s="24">
        <v>1107</v>
      </c>
    </row>
    <row r="32" spans="1:10" s="21" customFormat="1" ht="40.200000000000003" customHeight="1" x14ac:dyDescent="0.3">
      <c r="A32" s="22" t="s">
        <v>50</v>
      </c>
      <c r="B32" s="23" t="s">
        <v>51</v>
      </c>
      <c r="C32" s="24">
        <f t="shared" ref="C32:J32" si="9">C33+C34</f>
        <v>31235</v>
      </c>
      <c r="D32" s="24">
        <f t="shared" si="9"/>
        <v>31235</v>
      </c>
      <c r="E32" s="24">
        <f t="shared" si="9"/>
        <v>68431</v>
      </c>
      <c r="F32" s="24">
        <f t="shared" si="9"/>
        <v>68433</v>
      </c>
      <c r="G32" s="24">
        <f t="shared" si="9"/>
        <v>100436</v>
      </c>
      <c r="H32" s="24">
        <f t="shared" si="9"/>
        <v>100437</v>
      </c>
      <c r="I32" s="24">
        <f t="shared" si="9"/>
        <v>144158</v>
      </c>
      <c r="J32" s="24">
        <f t="shared" si="9"/>
        <v>144163</v>
      </c>
    </row>
    <row r="33" spans="1:10" ht="40.200000000000003" customHeight="1" x14ac:dyDescent="0.3">
      <c r="A33" s="25" t="s">
        <v>52</v>
      </c>
      <c r="B33" s="26" t="s">
        <v>53</v>
      </c>
      <c r="C33" s="27">
        <v>26496</v>
      </c>
      <c r="D33" s="27">
        <v>26496</v>
      </c>
      <c r="E33" s="27">
        <v>55925</v>
      </c>
      <c r="F33" s="27">
        <v>55925</v>
      </c>
      <c r="G33" s="27">
        <v>82873</v>
      </c>
      <c r="H33" s="27">
        <v>82873</v>
      </c>
      <c r="I33" s="27">
        <v>110958</v>
      </c>
      <c r="J33" s="27">
        <v>110958</v>
      </c>
    </row>
    <row r="34" spans="1:10" ht="40.200000000000003" customHeight="1" x14ac:dyDescent="0.3">
      <c r="A34" s="25" t="s">
        <v>16</v>
      </c>
      <c r="B34" s="26" t="s">
        <v>54</v>
      </c>
      <c r="C34" s="27">
        <v>4739</v>
      </c>
      <c r="D34" s="27">
        <v>4739</v>
      </c>
      <c r="E34" s="27">
        <v>12506</v>
      </c>
      <c r="F34" s="27">
        <v>12508</v>
      </c>
      <c r="G34" s="27">
        <v>17563</v>
      </c>
      <c r="H34" s="27">
        <v>17564</v>
      </c>
      <c r="I34" s="27">
        <v>33200</v>
      </c>
      <c r="J34" s="27">
        <v>33205</v>
      </c>
    </row>
    <row r="35" spans="1:10" s="21" customFormat="1" ht="40.200000000000003" customHeight="1" x14ac:dyDescent="0.3">
      <c r="A35" s="22" t="s">
        <v>55</v>
      </c>
      <c r="B35" s="42" t="s">
        <v>56</v>
      </c>
      <c r="C35" s="24">
        <f t="shared" ref="C35:J35" si="10">C36+C37</f>
        <v>40551</v>
      </c>
      <c r="D35" s="24">
        <f t="shared" si="10"/>
        <v>40551</v>
      </c>
      <c r="E35" s="24">
        <f t="shared" si="10"/>
        <v>93681</v>
      </c>
      <c r="F35" s="24">
        <f t="shared" si="10"/>
        <v>93681</v>
      </c>
      <c r="G35" s="24">
        <f t="shared" si="10"/>
        <v>161211</v>
      </c>
      <c r="H35" s="24">
        <f t="shared" si="10"/>
        <v>161211</v>
      </c>
      <c r="I35" s="24">
        <f t="shared" si="10"/>
        <v>298520</v>
      </c>
      <c r="J35" s="24">
        <f t="shared" si="10"/>
        <v>298520</v>
      </c>
    </row>
    <row r="36" spans="1:10" ht="40.200000000000003" customHeight="1" x14ac:dyDescent="0.3">
      <c r="A36" s="25" t="s">
        <v>57</v>
      </c>
      <c r="B36" s="26" t="s">
        <v>58</v>
      </c>
      <c r="C36" s="27">
        <v>37626</v>
      </c>
      <c r="D36" s="27">
        <v>37626</v>
      </c>
      <c r="E36" s="27">
        <v>84766</v>
      </c>
      <c r="F36" s="27">
        <v>84766</v>
      </c>
      <c r="G36" s="27">
        <v>144861</v>
      </c>
      <c r="H36" s="27">
        <v>144861</v>
      </c>
      <c r="I36" s="27">
        <v>257630</v>
      </c>
      <c r="J36" s="27">
        <v>257630</v>
      </c>
    </row>
    <row r="37" spans="1:10" ht="40.200000000000003" customHeight="1" x14ac:dyDescent="0.3">
      <c r="A37" s="43" t="s">
        <v>16</v>
      </c>
      <c r="B37" s="44" t="s">
        <v>59</v>
      </c>
      <c r="C37" s="45">
        <v>2925</v>
      </c>
      <c r="D37" s="45">
        <v>2925</v>
      </c>
      <c r="E37" s="45">
        <v>8915</v>
      </c>
      <c r="F37" s="45">
        <v>8915</v>
      </c>
      <c r="G37" s="45">
        <v>16350</v>
      </c>
      <c r="H37" s="45">
        <v>16350</v>
      </c>
      <c r="I37" s="45">
        <v>40890</v>
      </c>
      <c r="J37" s="45">
        <v>40890</v>
      </c>
    </row>
    <row r="38" spans="1:10" ht="21.9" customHeight="1" x14ac:dyDescent="0.3">
      <c r="A38" s="46" t="s">
        <v>60</v>
      </c>
      <c r="B38" s="47" t="s">
        <v>61</v>
      </c>
    </row>
    <row r="39" spans="1:10" ht="77.25" customHeight="1" x14ac:dyDescent="0.3">
      <c r="A39" s="49" t="s">
        <v>62</v>
      </c>
      <c r="B39" s="50" t="s">
        <v>63</v>
      </c>
    </row>
    <row r="40" spans="1:10" ht="60" customHeight="1" x14ac:dyDescent="0.3">
      <c r="A40" s="49" t="s">
        <v>64</v>
      </c>
      <c r="B40" s="52" t="s">
        <v>65</v>
      </c>
      <c r="C40" s="52"/>
      <c r="E40" s="10"/>
      <c r="G40" s="10"/>
      <c r="I40" s="10"/>
    </row>
    <row r="41" spans="1:10" ht="21.9" customHeight="1" x14ac:dyDescent="0.3">
      <c r="B41" s="51"/>
      <c r="C41" s="51"/>
      <c r="D41" s="51"/>
      <c r="E41" s="51"/>
      <c r="F41" s="51"/>
      <c r="G41" s="51"/>
      <c r="H41" s="51"/>
      <c r="I41" s="51"/>
      <c r="J41" s="51"/>
    </row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7">
    <mergeCell ref="B40:C40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2023-2024</vt:lpstr>
      <vt:lpstr>'Expenditures 2023-2024'!Print_Area</vt:lpstr>
      <vt:lpstr>'Expenditures 2023-2024'!Print_Titles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2026-03-02T10:32:37Z</dcterms:modified>
</cp:coreProperties>
</file>