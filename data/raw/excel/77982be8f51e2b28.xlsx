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debt\for upload - Khaled &amp; Hanaa &amp; Wafaa (final 18 May 2021)\NIB\"/>
    </mc:Choice>
  </mc:AlternateContent>
  <xr:revisionPtr revIDLastSave="0" documentId="13_ncr:1_{9C41960B-AC0E-43C2-BC8A-8155F1249D67}" xr6:coauthVersionLast="36" xr6:coauthVersionMax="36" xr10:uidLastSave="{00000000-0000-0000-0000-000000000000}"/>
  <bookViews>
    <workbookView xWindow="-60" yWindow="108" windowWidth="9216" windowHeight="11580" tabRatio="915" firstSheet="7" activeTab="15" xr2:uid="{00000000-000D-0000-FFFF-FFFF00000000}"/>
  </bookViews>
  <sheets>
    <sheet name="2004-2005 " sheetId="29" r:id="rId1"/>
    <sheet name="2005-2006" sheetId="28" r:id="rId2"/>
    <sheet name="2006-2007 " sheetId="27" r:id="rId3"/>
    <sheet name="2007-2008 " sheetId="26" r:id="rId4"/>
    <sheet name="2008-2009" sheetId="25" r:id="rId5"/>
    <sheet name="2009-2010" sheetId="24" r:id="rId6"/>
    <sheet name="2010-2011  " sheetId="23" r:id="rId7"/>
    <sheet name="2011-2012 " sheetId="22" r:id="rId8"/>
    <sheet name="2012-2013 " sheetId="21" r:id="rId9"/>
    <sheet name="2013-2014  " sheetId="30" r:id="rId10"/>
    <sheet name="2014-2015  " sheetId="31" r:id="rId11"/>
    <sheet name="2015-2016  " sheetId="32" r:id="rId12"/>
    <sheet name="2016-2017   " sheetId="34" r:id="rId13"/>
    <sheet name="2017-2018  " sheetId="35" r:id="rId14"/>
    <sheet name="2018-2019  " sheetId="38" r:id="rId15"/>
    <sheet name="2019-2020  " sheetId="39" r:id="rId16"/>
  </sheets>
  <definedNames>
    <definedName name="_xlnm.Print_Area" localSheetId="0">'2004-2005 '!$A$4:$F$23</definedName>
    <definedName name="_xlnm.Print_Area" localSheetId="1">'2005-2006'!$A$4:$F$23</definedName>
    <definedName name="_xlnm.Print_Area" localSheetId="2">'2006-2007 '!$A$4:$F$23</definedName>
    <definedName name="_xlnm.Print_Area" localSheetId="3">'2007-2008 '!$A$4:$F$23</definedName>
    <definedName name="_xlnm.Print_Area" localSheetId="4">'2008-2009'!$A$4:$F$23</definedName>
    <definedName name="_xlnm.Print_Area" localSheetId="5">'2009-2010'!$A$4:$F$23</definedName>
    <definedName name="_xlnm.Print_Area" localSheetId="6">'2010-2011  '!$A$4:$F$23</definedName>
    <definedName name="_xlnm.Print_Area" localSheetId="7">'2011-2012 '!$A$4:$F$23</definedName>
    <definedName name="_xlnm.Print_Area" localSheetId="8">'2012-2013 '!$A$4:$F$23</definedName>
    <definedName name="_xlnm.Print_Area" localSheetId="9">'2013-2014  '!$A$4:$F$23</definedName>
    <definedName name="_xlnm.Print_Area" localSheetId="10">'2014-2015  '!$A$4:$F$23</definedName>
    <definedName name="_xlnm.Print_Area" localSheetId="11">'2015-2016  '!$A$4:$F$23</definedName>
    <definedName name="_xlnm.Print_Area" localSheetId="12">'2016-2017   '!$A$4:$F$23</definedName>
    <definedName name="_xlnm.Print_Area" localSheetId="13">'2017-2018  '!$A$4:$F$23</definedName>
    <definedName name="_xlnm.Print_Area" localSheetId="14">'2018-2019  '!$A$4:$F$23</definedName>
    <definedName name="_xlnm.Print_Area" localSheetId="15">'2019-2020  '!$A$4:$J$24</definedName>
  </definedNames>
  <calcPr calcId="191029" fullPrecision="0"/>
</workbook>
</file>

<file path=xl/calcChain.xml><?xml version="1.0" encoding="utf-8"?>
<calcChain xmlns="http://schemas.openxmlformats.org/spreadsheetml/2006/main">
  <c r="H16" i="39" l="1"/>
  <c r="F16" i="39"/>
  <c r="H8" i="39"/>
  <c r="F8" i="39"/>
  <c r="D16" i="39" l="1"/>
  <c r="C16" i="39"/>
  <c r="D8" i="39"/>
  <c r="C8" i="39"/>
  <c r="F16" i="38" l="1"/>
  <c r="F8" i="38"/>
  <c r="F8" i="26" l="1"/>
  <c r="F21" i="26" s="1"/>
  <c r="F16" i="26" l="1"/>
  <c r="C21" i="26"/>
  <c r="C16" i="26" s="1"/>
  <c r="D8" i="26"/>
  <c r="D21" i="26" s="1"/>
  <c r="D16" i="26" s="1"/>
  <c r="E8" i="26"/>
  <c r="E21" i="26" s="1"/>
  <c r="E16" i="26" s="1"/>
  <c r="C8" i="26"/>
  <c r="F8" i="27"/>
  <c r="E16" i="38" l="1"/>
  <c r="D16" i="38"/>
  <c r="C16" i="38"/>
  <c r="E8" i="38"/>
  <c r="D8" i="38"/>
  <c r="C8" i="38"/>
  <c r="E8" i="35" l="1"/>
  <c r="F8" i="35" l="1"/>
  <c r="F21" i="35" s="1"/>
  <c r="F16" i="35" s="1"/>
  <c r="E21" i="35"/>
  <c r="E16" i="35" s="1"/>
  <c r="D8" i="35"/>
  <c r="D21" i="35" s="1"/>
  <c r="D16" i="35" s="1"/>
  <c r="C8" i="35"/>
  <c r="C21" i="35" s="1"/>
  <c r="C16" i="35" l="1"/>
  <c r="F8" i="32"/>
  <c r="F16" i="32" s="1"/>
  <c r="F8" i="34" l="1"/>
  <c r="E8" i="34"/>
  <c r="D8" i="34"/>
  <c r="D21" i="34" s="1"/>
  <c r="D16" i="34" s="1"/>
  <c r="C8" i="34"/>
  <c r="F21" i="34" l="1"/>
  <c r="F16" i="34" s="1"/>
  <c r="E21" i="34"/>
  <c r="E16" i="34" s="1"/>
  <c r="C21" i="34"/>
  <c r="C16" i="34" s="1"/>
  <c r="D8" i="32"/>
  <c r="D16" i="32" s="1"/>
  <c r="E8" i="32"/>
  <c r="E16" i="32" s="1"/>
  <c r="C8" i="32" l="1"/>
  <c r="C16" i="32" s="1"/>
  <c r="C8" i="31" l="1"/>
  <c r="D8" i="31"/>
  <c r="E8" i="31"/>
  <c r="C16" i="31"/>
  <c r="D16" i="31"/>
  <c r="E16" i="31"/>
  <c r="F8" i="30" l="1"/>
  <c r="E8" i="30"/>
  <c r="E21" i="30" s="1"/>
  <c r="E16" i="30" s="1"/>
  <c r="D8" i="30"/>
  <c r="D21" i="30" s="1"/>
  <c r="D16" i="30" s="1"/>
  <c r="C8" i="30"/>
  <c r="C21" i="30" s="1"/>
  <c r="C16" i="30" s="1"/>
  <c r="F21" i="30" l="1"/>
  <c r="F16" i="30" s="1"/>
  <c r="F8" i="23"/>
  <c r="F8" i="21"/>
  <c r="F21" i="21" s="1"/>
  <c r="C8" i="22"/>
  <c r="C21" i="22" s="1"/>
  <c r="C16" i="22" s="1"/>
  <c r="D8" i="22"/>
  <c r="D21" i="22" s="1"/>
  <c r="D16" i="22" s="1"/>
  <c r="E8" i="22"/>
  <c r="E21" i="22" s="1"/>
  <c r="E16" i="22" s="1"/>
  <c r="F8" i="22"/>
  <c r="F21" i="22" s="1"/>
  <c r="F16" i="22" s="1"/>
  <c r="F8" i="29" l="1"/>
  <c r="F21" i="29" s="1"/>
  <c r="F16" i="29" s="1"/>
  <c r="E8" i="29"/>
  <c r="E21" i="29" s="1"/>
  <c r="E16" i="29" s="1"/>
  <c r="D8" i="29"/>
  <c r="D21" i="29" s="1"/>
  <c r="D16" i="29" s="1"/>
  <c r="C8" i="29"/>
  <c r="F8" i="28"/>
  <c r="F21" i="28" s="1"/>
  <c r="F16" i="28" s="1"/>
  <c r="E8" i="28"/>
  <c r="E21" i="28" s="1"/>
  <c r="E16" i="28" s="1"/>
  <c r="D8" i="28"/>
  <c r="D21" i="28" s="1"/>
  <c r="D16" i="28" s="1"/>
  <c r="C8" i="28"/>
  <c r="C21" i="28" s="1"/>
  <c r="C16" i="28" s="1"/>
  <c r="F21" i="27"/>
  <c r="F16" i="27" s="1"/>
  <c r="E8" i="27"/>
  <c r="E21" i="27" s="1"/>
  <c r="E16" i="27" s="1"/>
  <c r="D8" i="27"/>
  <c r="D21" i="27" s="1"/>
  <c r="D16" i="27" s="1"/>
  <c r="C8" i="27"/>
  <c r="F8" i="25"/>
  <c r="F21" i="25" s="1"/>
  <c r="F16" i="25" s="1"/>
  <c r="E8" i="25"/>
  <c r="E21" i="25" s="1"/>
  <c r="E16" i="25" s="1"/>
  <c r="D8" i="25"/>
  <c r="D21" i="25" s="1"/>
  <c r="D16" i="25" s="1"/>
  <c r="C8" i="25"/>
  <c r="C21" i="25" s="1"/>
  <c r="C16" i="25" s="1"/>
  <c r="F8" i="24"/>
  <c r="F21" i="24" s="1"/>
  <c r="F16" i="24" s="1"/>
  <c r="E8" i="24"/>
  <c r="E21" i="24" s="1"/>
  <c r="E16" i="24" s="1"/>
  <c r="D8" i="24"/>
  <c r="D21" i="24" s="1"/>
  <c r="D16" i="24" s="1"/>
  <c r="C8" i="24"/>
  <c r="C21" i="24" s="1"/>
  <c r="C16" i="24" s="1"/>
  <c r="F21" i="23"/>
  <c r="F16" i="23" s="1"/>
  <c r="E8" i="23"/>
  <c r="E21" i="23" s="1"/>
  <c r="E16" i="23" s="1"/>
  <c r="D8" i="23"/>
  <c r="D21" i="23" s="1"/>
  <c r="D16" i="23" s="1"/>
  <c r="C8" i="23"/>
  <c r="C21" i="23" s="1"/>
  <c r="C16" i="23" s="1"/>
  <c r="C21" i="27" l="1"/>
  <c r="C16" i="27" s="1"/>
  <c r="C21" i="29"/>
  <c r="C16" i="29" s="1"/>
  <c r="F16" i="21"/>
  <c r="E8" i="21"/>
  <c r="E21" i="21" s="1"/>
  <c r="E16" i="21" s="1"/>
  <c r="D8" i="21"/>
  <c r="D21" i="21" s="1"/>
  <c r="D16" i="21" s="1"/>
  <c r="C8" i="21"/>
  <c r="C21" i="21" s="1"/>
  <c r="C16" i="21" s="1"/>
</calcChain>
</file>

<file path=xl/sharedStrings.xml><?xml version="1.0" encoding="utf-8"?>
<sst xmlns="http://schemas.openxmlformats.org/spreadsheetml/2006/main" count="692" uniqueCount="111">
  <si>
    <t>Q1</t>
  </si>
  <si>
    <t>Q2</t>
  </si>
  <si>
    <t>Q3</t>
  </si>
  <si>
    <t>Q4</t>
  </si>
  <si>
    <t xml:space="preserve">وفقا للمنهجية الجديدة الخاصة بعرض بيانات البترول </t>
  </si>
  <si>
    <t>البيانات اولية وقابلة للتعديل  وغير قابلة للنشر</t>
  </si>
  <si>
    <t>( LE mn )</t>
  </si>
  <si>
    <t>Liabilities :of which</t>
  </si>
  <si>
    <t xml:space="preserve"> Social Insurance Fund for Gov. Employees</t>
  </si>
  <si>
    <t xml:space="preserve"> Social Insurance Fund for Pub. &amp; Priv. Business Sectors Employees</t>
  </si>
  <si>
    <t xml:space="preserve"> Accumulated  interest on investment certificates (category A)</t>
  </si>
  <si>
    <t>Assets :of which</t>
  </si>
  <si>
    <t xml:space="preserve"> Loans to government</t>
  </si>
  <si>
    <t xml:space="preserve"> Investments in government securities (bills and bonds)</t>
  </si>
  <si>
    <t xml:space="preserve"> Deposits of the NIB with the banking system</t>
  </si>
  <si>
    <t>. صندوق التأمين الاجتماعى للعاملين بالحكومة</t>
  </si>
  <si>
    <t>. صندوق التأمين الاجتماعى للعاملين بقطاعى الأعمال العام والخاص</t>
  </si>
  <si>
    <t>. حصيلة شهادات الاستثمار</t>
  </si>
  <si>
    <t>. حصيلة سندات التنمية الدولارية</t>
  </si>
  <si>
    <t>. ودائع صندوق توفير البريد</t>
  </si>
  <si>
    <t>. اقراض الهيئات  العامة الاقتصادية</t>
  </si>
  <si>
    <t>.إستثمارات فى أوراق مالية حكومية (اذون وسندات)</t>
  </si>
  <si>
    <t xml:space="preserve">.ودائع بنك الاستثمار القومى لدى الجهاز المصرفى </t>
  </si>
  <si>
    <t>. العوائد المتراكمة لشهادات الاستثمار مجموعة (أ)</t>
  </si>
  <si>
    <r>
      <t xml:space="preserve"> </t>
    </r>
    <r>
      <rPr>
        <b/>
        <u/>
        <sz val="14"/>
        <rFont val="Arial"/>
        <family val="2"/>
      </rPr>
      <t>- الخصوم  : منها</t>
    </r>
  </si>
  <si>
    <r>
      <t xml:space="preserve"> </t>
    </r>
    <r>
      <rPr>
        <b/>
        <u/>
        <sz val="14"/>
        <rFont val="Arial"/>
        <family val="2"/>
      </rPr>
      <t>- الأصول : منها</t>
    </r>
  </si>
  <si>
    <t xml:space="preserve">End of </t>
  </si>
  <si>
    <t>Sept.2004</t>
  </si>
  <si>
    <t>Dec.2004</t>
  </si>
  <si>
    <t xml:space="preserve"> March 2005</t>
  </si>
  <si>
    <t xml:space="preserve"> June  2005</t>
  </si>
  <si>
    <t>Sept.2005</t>
  </si>
  <si>
    <t>Dec.2005</t>
  </si>
  <si>
    <t xml:space="preserve"> March 2006</t>
  </si>
  <si>
    <t xml:space="preserve"> June  2006</t>
  </si>
  <si>
    <t>Sept.2006</t>
  </si>
  <si>
    <t>Dec.2006</t>
  </si>
  <si>
    <t xml:space="preserve"> March 2007</t>
  </si>
  <si>
    <t xml:space="preserve"> June  2007</t>
  </si>
  <si>
    <t>Sept.2007</t>
  </si>
  <si>
    <t>Dec.2007</t>
  </si>
  <si>
    <t xml:space="preserve"> March 2008</t>
  </si>
  <si>
    <t xml:space="preserve"> June  2008</t>
  </si>
  <si>
    <t>Sept.2008</t>
  </si>
  <si>
    <t>Dec.2008</t>
  </si>
  <si>
    <t xml:space="preserve"> March 2009</t>
  </si>
  <si>
    <t xml:space="preserve"> June  2009</t>
  </si>
  <si>
    <t>Sept.2009</t>
  </si>
  <si>
    <t>Dec.2009</t>
  </si>
  <si>
    <t xml:space="preserve"> March 2010</t>
  </si>
  <si>
    <t xml:space="preserve"> June  2010</t>
  </si>
  <si>
    <t>Sept.2010</t>
  </si>
  <si>
    <t>Dec.2010</t>
  </si>
  <si>
    <t xml:space="preserve"> March 2011</t>
  </si>
  <si>
    <t xml:space="preserve"> June  2011</t>
  </si>
  <si>
    <t>Sept.2011</t>
  </si>
  <si>
    <t>Dec.2011</t>
  </si>
  <si>
    <t xml:space="preserve"> March 2012</t>
  </si>
  <si>
    <t xml:space="preserve"> June  2012</t>
  </si>
  <si>
    <t>Sept.2012</t>
  </si>
  <si>
    <t>Dec.2012</t>
  </si>
  <si>
    <t xml:space="preserve"> March 2013</t>
  </si>
  <si>
    <t xml:space="preserve"> June  2013</t>
  </si>
  <si>
    <t xml:space="preserve"> - اقراض للحكومة</t>
  </si>
  <si>
    <t xml:space="preserve"> NIB Resources and Uses</t>
  </si>
  <si>
    <t>Sept.2013</t>
  </si>
  <si>
    <t>Dec.2013</t>
  </si>
  <si>
    <t xml:space="preserve"> March 2014</t>
  </si>
  <si>
    <t xml:space="preserve"> June  2014</t>
  </si>
  <si>
    <t>Sept.2014</t>
  </si>
  <si>
    <t>Dec.2014</t>
  </si>
  <si>
    <t xml:space="preserve"> March 2015</t>
  </si>
  <si>
    <t xml:space="preserve"> June  2015</t>
  </si>
  <si>
    <t>Sept.2015</t>
  </si>
  <si>
    <t>Dec.2015</t>
  </si>
  <si>
    <t xml:space="preserve"> March 2016</t>
  </si>
  <si>
    <t xml:space="preserve"> June 2016</t>
  </si>
  <si>
    <t>Sept.2016</t>
  </si>
  <si>
    <t>Dec.2016</t>
  </si>
  <si>
    <t xml:space="preserve"> March 2017</t>
  </si>
  <si>
    <t xml:space="preserve"> June 2017</t>
  </si>
  <si>
    <t>. اقراض للهيئات  العامة الاقتصادية</t>
  </si>
  <si>
    <t>. اقراض للمساهمة فى الشركات القابضة والوحدات التابعة والقروض الميسرة وأخرى (صافى مديونية بنك الاستثمار القومى مطروحا منه المديونية البينية )</t>
  </si>
  <si>
    <t>Source: Central Bank of Egypt -  National Investment Bank.</t>
  </si>
  <si>
    <t>Source: Central Bank of Egypt -   National Investment Bank.</t>
  </si>
  <si>
    <t>Sept.2017</t>
  </si>
  <si>
    <t>Dec.2017</t>
  </si>
  <si>
    <t xml:space="preserve"> March 2018</t>
  </si>
  <si>
    <t xml:space="preserve"> June 2018</t>
  </si>
  <si>
    <t xml:space="preserve"> Others*</t>
  </si>
  <si>
    <t>* Including deposits of the private insurance funds, alternative insurance funds, deposits of various authorities and others.</t>
  </si>
  <si>
    <r>
      <t xml:space="preserve">. أخرى </t>
    </r>
    <r>
      <rPr>
        <sz val="14"/>
        <rFont val="Arial"/>
        <family val="2"/>
      </rPr>
      <t>*</t>
    </r>
    <r>
      <rPr>
        <sz val="14"/>
        <rFont val="Akhbar MT"/>
        <charset val="178"/>
      </rPr>
      <t xml:space="preserve"> </t>
    </r>
  </si>
  <si>
    <r>
      <t xml:space="preserve">. أخرى </t>
    </r>
    <r>
      <rPr>
        <sz val="14"/>
        <rFont val="Arial"/>
        <family val="2"/>
      </rPr>
      <t>*</t>
    </r>
  </si>
  <si>
    <t>Sept.2018</t>
  </si>
  <si>
    <t>Dec.2018</t>
  </si>
  <si>
    <t xml:space="preserve"> March 2019</t>
  </si>
  <si>
    <t xml:space="preserve"> June 2019</t>
  </si>
  <si>
    <t xml:space="preserve"> Proceeds of US dollar development bonds</t>
  </si>
  <si>
    <t xml:space="preserve"> Proceeds of investment certificates</t>
  </si>
  <si>
    <t xml:space="preserve"> Post office savings deposits</t>
  </si>
  <si>
    <t xml:space="preserve"> Loans to public economic authorities</t>
  </si>
  <si>
    <t xml:space="preserve"> Lending to holding companies and affiliate units, concessional loans, and others
(Net NIB debt minus its intra-debt) </t>
  </si>
  <si>
    <t>Sept.2019</t>
  </si>
  <si>
    <t>Dec.2019</t>
  </si>
  <si>
    <t>*</t>
  </si>
  <si>
    <r>
      <t xml:space="preserve">. أخرى </t>
    </r>
    <r>
      <rPr>
        <sz val="14"/>
        <rFont val="Arial"/>
        <family val="2"/>
      </rPr>
      <t>**</t>
    </r>
  </si>
  <si>
    <t>*  Balances transferred to the Ministry of Finance from the two funds, pursuant to the Social Insurance and Pension  Law No. 148 issued on 19 August 2019.</t>
  </si>
  <si>
    <t>** Including deposits of the private insurance funds, alternative insurance funds, deposits of various authorities and others.</t>
  </si>
  <si>
    <r>
      <t xml:space="preserve"> Others </t>
    </r>
    <r>
      <rPr>
        <sz val="12"/>
        <rFont val="Times New (W1)"/>
        <charset val="178"/>
      </rPr>
      <t>**</t>
    </r>
  </si>
  <si>
    <t xml:space="preserve"> March 2020</t>
  </si>
  <si>
    <t xml:space="preserve">  June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</si>
</sst>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  <numFmt numFmtId="169" formatCode="B1mmm\-yy"/>
  </numFmts>
  <fonts count="25">
    <font>
      <sz val="10"/>
      <name val="Arial"/>
      <charset val="178"/>
    </font>
    <font>
      <sz val="10"/>
      <name val="Arial"/>
      <family val="2"/>
      <charset val="178"/>
    </font>
    <font>
      <sz val="14"/>
      <name val="Times New (W1)"/>
      <family val="1"/>
    </font>
    <font>
      <b/>
      <u/>
      <sz val="12"/>
      <name val="Times New (W1)"/>
      <family val="1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u/>
      <sz val="18"/>
      <name val="Arial"/>
      <family val="2"/>
    </font>
    <font>
      <i/>
      <sz val="12"/>
      <name val="Arial"/>
      <family val="2"/>
    </font>
    <font>
      <b/>
      <sz val="18"/>
      <name val="Arial"/>
      <family val="2"/>
    </font>
    <font>
      <sz val="10"/>
      <name val="Arabic Transparent"/>
      <charset val="178"/>
    </font>
    <font>
      <i/>
      <sz val="13"/>
      <name val="Arial"/>
      <family val="2"/>
    </font>
    <font>
      <sz val="10"/>
      <name val="Arial"/>
      <family val="2"/>
    </font>
    <font>
      <b/>
      <u/>
      <sz val="14"/>
      <name val="Times New Roman"/>
      <family val="1"/>
    </font>
    <font>
      <b/>
      <u/>
      <sz val="14"/>
      <name val="Times New (W1)"/>
      <charset val="178"/>
    </font>
    <font>
      <sz val="13"/>
      <name val="Times New (W1)"/>
      <charset val="178"/>
    </font>
    <font>
      <sz val="12"/>
      <name val="Times New Roman"/>
      <family val="1"/>
    </font>
    <font>
      <b/>
      <sz val="12"/>
      <name val="Arial"/>
      <family val="2"/>
      <charset val="178"/>
    </font>
    <font>
      <sz val="10"/>
      <name val="MS Sans Serif"/>
      <family val="2"/>
      <charset val="178"/>
    </font>
    <font>
      <sz val="14"/>
      <name val="Akhbar MT"/>
      <charset val="178"/>
    </font>
    <font>
      <b/>
      <u/>
      <sz val="14"/>
      <name val="Arial"/>
      <family val="2"/>
    </font>
    <font>
      <b/>
      <sz val="20"/>
      <name val="Arial"/>
      <family val="2"/>
    </font>
    <font>
      <sz val="11"/>
      <name val="Arial"/>
      <family val="2"/>
      <charset val="178"/>
    </font>
    <font>
      <sz val="10"/>
      <name val="Arial"/>
      <family val="2"/>
    </font>
    <font>
      <sz val="13"/>
      <name val="Times New (W1)"/>
    </font>
    <font>
      <sz val="12"/>
      <name val="Times New (W1)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/>
      <diagonal/>
    </border>
    <border>
      <left style="double">
        <color indexed="41"/>
      </left>
      <right/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41"/>
      </right>
      <top style="double">
        <color indexed="41"/>
      </top>
      <bottom/>
      <diagonal/>
    </border>
    <border>
      <left style="double">
        <color rgb="FF00FFFF"/>
      </left>
      <right style="double">
        <color rgb="FF00FFFF"/>
      </right>
      <top style="double">
        <color rgb="FF00FFFF"/>
      </top>
      <bottom/>
      <diagonal/>
    </border>
    <border>
      <left style="double">
        <color rgb="FF00FFFF"/>
      </left>
      <right/>
      <top/>
      <bottom style="double">
        <color rgb="FF00FFFF"/>
      </bottom>
      <diagonal/>
    </border>
    <border>
      <left/>
      <right style="double">
        <color rgb="FF00FFFF"/>
      </right>
      <top/>
      <bottom style="double">
        <color rgb="FF00FFFF"/>
      </bottom>
      <diagonal/>
    </border>
    <border>
      <left style="double">
        <color rgb="FF00FFFF"/>
      </left>
      <right style="double">
        <color rgb="FF00FFFF"/>
      </right>
      <top/>
      <bottom style="double">
        <color rgb="FF00FFFF"/>
      </bottom>
      <diagonal/>
    </border>
    <border>
      <left/>
      <right style="thin">
        <color indexed="64"/>
      </right>
      <top style="double">
        <color indexed="41"/>
      </top>
      <bottom/>
      <diagonal/>
    </border>
    <border>
      <left/>
      <right style="thin">
        <color indexed="64"/>
      </right>
      <top/>
      <bottom style="double">
        <color rgb="FF00FFFF"/>
      </bottom>
      <diagonal/>
    </border>
    <border>
      <left style="thin">
        <color indexed="64"/>
      </left>
      <right/>
      <top style="double">
        <color rgb="FF00FFFF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41"/>
      </right>
      <top/>
      <bottom style="double">
        <color rgb="FF00FFFF"/>
      </bottom>
      <diagonal/>
    </border>
    <border>
      <left/>
      <right/>
      <top/>
      <bottom style="thin">
        <color indexed="64"/>
      </bottom>
      <diagonal/>
    </border>
  </borders>
  <cellStyleXfs count="13">
    <xf numFmtId="0" fontId="0" fillId="0" borderId="0"/>
    <xf numFmtId="0" fontId="9" fillId="0" borderId="0" applyNumberFormat="0">
      <alignment horizontal="right"/>
    </xf>
    <xf numFmtId="0" fontId="11" fillId="0" borderId="0"/>
    <xf numFmtId="0" fontId="11" fillId="0" borderId="0"/>
    <xf numFmtId="0" fontId="17" fillId="0" borderId="0"/>
    <xf numFmtId="164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0" fontId="22" fillId="0" borderId="0"/>
    <xf numFmtId="0" fontId="11" fillId="0" borderId="0"/>
    <xf numFmtId="0" fontId="11" fillId="0" borderId="0"/>
    <xf numFmtId="0" fontId="11" fillId="0" borderId="0"/>
  </cellStyleXfs>
  <cellXfs count="126">
    <xf numFmtId="0" fontId="0" fillId="0" borderId="0" xfId="0"/>
    <xf numFmtId="0" fontId="1" fillId="0" borderId="0" xfId="0" applyFont="1" applyFill="1" applyAlignment="1">
      <alignment readingOrder="1"/>
    </xf>
    <xf numFmtId="0" fontId="7" fillId="0" borderId="0" xfId="0" applyFont="1"/>
    <xf numFmtId="168" fontId="0" fillId="0" borderId="0" xfId="0" applyNumberFormat="1"/>
    <xf numFmtId="0" fontId="0" fillId="0" borderId="0" xfId="0" applyFill="1"/>
    <xf numFmtId="168" fontId="10" fillId="0" borderId="0" xfId="0" applyNumberFormat="1" applyFont="1"/>
    <xf numFmtId="0" fontId="10" fillId="0" borderId="0" xfId="0" applyFont="1"/>
    <xf numFmtId="0" fontId="5" fillId="0" borderId="0" xfId="0" applyFont="1"/>
    <xf numFmtId="168" fontId="5" fillId="0" borderId="0" xfId="0" applyNumberFormat="1" applyFont="1"/>
    <xf numFmtId="0" fontId="14" fillId="3" borderId="1" xfId="0" quotePrefix="1" applyFont="1" applyFill="1" applyBorder="1" applyAlignment="1">
      <alignment horizontal="right" readingOrder="2"/>
    </xf>
    <xf numFmtId="0" fontId="14" fillId="3" borderId="1" xfId="0" applyFont="1" applyFill="1" applyBorder="1" applyAlignment="1">
      <alignment horizontal="right" readingOrder="2"/>
    </xf>
    <xf numFmtId="0" fontId="15" fillId="3" borderId="0" xfId="2" applyFont="1" applyFill="1" applyBorder="1" applyAlignment="1">
      <alignment horizontal="left" vertical="center" indent="1"/>
    </xf>
    <xf numFmtId="0" fontId="0" fillId="0" borderId="0" xfId="0" applyBorder="1"/>
    <xf numFmtId="0" fontId="0" fillId="0" borderId="0" xfId="0" applyFill="1" applyBorder="1"/>
    <xf numFmtId="0" fontId="16" fillId="0" borderId="0" xfId="2" quotePrefix="1" applyFont="1" applyBorder="1" applyAlignment="1">
      <alignment horizontal="center" vertical="center"/>
    </xf>
    <xf numFmtId="0" fontId="0" fillId="0" borderId="0" xfId="0" applyBorder="1" applyAlignment="1"/>
    <xf numFmtId="168" fontId="0" fillId="0" borderId="0" xfId="0" applyNumberFormat="1" applyBorder="1"/>
    <xf numFmtId="168" fontId="5" fillId="0" borderId="0" xfId="0" applyNumberFormat="1" applyFont="1" applyBorder="1"/>
    <xf numFmtId="0" fontId="5" fillId="0" borderId="0" xfId="0" applyFont="1" applyBorder="1"/>
    <xf numFmtId="168" fontId="10" fillId="0" borderId="0" xfId="0" applyNumberFormat="1" applyFont="1" applyBorder="1"/>
    <xf numFmtId="0" fontId="10" fillId="0" borderId="0" xfId="0" applyFont="1" applyBorder="1"/>
    <xf numFmtId="0" fontId="7" fillId="0" borderId="0" xfId="0" applyFont="1" applyBorder="1"/>
    <xf numFmtId="168" fontId="7" fillId="0" borderId="0" xfId="0" applyNumberFormat="1" applyFont="1" applyBorder="1"/>
    <xf numFmtId="168" fontId="0" fillId="0" borderId="0" xfId="0" applyNumberFormat="1" applyBorder="1" applyAlignment="1">
      <alignment horizontal="center"/>
    </xf>
    <xf numFmtId="0" fontId="4" fillId="0" borderId="0" xfId="0" applyFont="1" applyFill="1" applyBorder="1" applyAlignment="1">
      <alignment horizontal="center" vertical="center" readingOrder="1"/>
    </xf>
    <xf numFmtId="0" fontId="12" fillId="3" borderId="1" xfId="2" applyFont="1" applyFill="1" applyBorder="1" applyAlignment="1">
      <alignment horizontal="right" vertical="center"/>
    </xf>
    <xf numFmtId="0" fontId="14" fillId="3" borderId="1" xfId="0" applyFont="1" applyFill="1" applyBorder="1" applyAlignment="1">
      <alignment horizontal="left" readingOrder="1"/>
    </xf>
    <xf numFmtId="0" fontId="12" fillId="3" borderId="1" xfId="2" applyFont="1" applyFill="1" applyBorder="1" applyAlignment="1">
      <alignment horizontal="left" vertical="center" readingOrder="1"/>
    </xf>
    <xf numFmtId="0" fontId="14" fillId="3" borderId="1" xfId="0" quotePrefix="1" applyFont="1" applyFill="1" applyBorder="1" applyAlignment="1">
      <alignment horizontal="left" readingOrder="1"/>
    </xf>
    <xf numFmtId="0" fontId="14" fillId="3" borderId="1" xfId="0" applyFont="1" applyFill="1" applyBorder="1" applyAlignment="1">
      <alignment horizontal="left" vertical="center" readingOrder="1"/>
    </xf>
    <xf numFmtId="0" fontId="14" fillId="3" borderId="1" xfId="0" applyFont="1" applyFill="1" applyBorder="1" applyAlignment="1">
      <alignment horizontal="right" vertical="center" readingOrder="2"/>
    </xf>
    <xf numFmtId="0" fontId="12" fillId="3" borderId="1" xfId="2" applyFont="1" applyFill="1" applyBorder="1" applyAlignment="1">
      <alignment horizontal="right" vertical="center" readingOrder="2"/>
    </xf>
    <xf numFmtId="0" fontId="4" fillId="0" borderId="0" xfId="0" applyFont="1" applyFill="1" applyBorder="1" applyAlignment="1">
      <alignment horizontal="center" vertical="center" readingOrder="1"/>
    </xf>
    <xf numFmtId="0" fontId="0" fillId="0" borderId="0" xfId="0"/>
    <xf numFmtId="0" fontId="1" fillId="3" borderId="0" xfId="0" applyFont="1" applyFill="1" applyAlignment="1">
      <alignment readingOrder="1"/>
    </xf>
    <xf numFmtId="0" fontId="15" fillId="4" borderId="0" xfId="2" applyFont="1" applyFill="1" applyBorder="1" applyAlignment="1">
      <alignment horizontal="left" vertical="center" indent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3" fontId="13" fillId="0" borderId="1" xfId="0" applyNumberFormat="1" applyFont="1" applyFill="1" applyBorder="1" applyAlignment="1">
      <alignment horizontal="center" readingOrder="1"/>
    </xf>
    <xf numFmtId="3" fontId="2" fillId="0" borderId="1" xfId="0" applyNumberFormat="1" applyFont="1" applyFill="1" applyBorder="1" applyAlignment="1">
      <alignment horizontal="center" readingOrder="1"/>
    </xf>
    <xf numFmtId="0" fontId="14" fillId="3" borderId="5" xfId="0" applyFont="1" applyFill="1" applyBorder="1" applyAlignment="1">
      <alignment horizontal="right" wrapText="1" readingOrder="2"/>
    </xf>
    <xf numFmtId="0" fontId="14" fillId="3" borderId="5" xfId="0" applyFont="1" applyFill="1" applyBorder="1" applyAlignment="1">
      <alignment horizontal="left" wrapText="1" readingOrder="1"/>
    </xf>
    <xf numFmtId="3" fontId="2" fillId="0" borderId="5" xfId="0" applyNumberFormat="1" applyFont="1" applyFill="1" applyBorder="1" applyAlignment="1">
      <alignment horizontal="center" readingOrder="1"/>
    </xf>
    <xf numFmtId="0" fontId="3" fillId="2" borderId="6" xfId="0" applyFont="1" applyFill="1" applyBorder="1" applyAlignment="1">
      <alignment horizontal="center" vertical="center" wrapText="1" readingOrder="1"/>
    </xf>
    <xf numFmtId="0" fontId="20" fillId="5" borderId="8" xfId="0" applyFont="1" applyFill="1" applyBorder="1" applyAlignment="1">
      <alignment horizontal="center"/>
    </xf>
    <xf numFmtId="0" fontId="20" fillId="5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 wrapText="1" readingOrder="1"/>
    </xf>
    <xf numFmtId="169" fontId="3" fillId="2" borderId="10" xfId="0" applyNumberFormat="1" applyFont="1" applyFill="1" applyBorder="1" applyAlignment="1">
      <alignment horizontal="center" vertical="center" wrapText="1" readingOrder="1"/>
    </xf>
    <xf numFmtId="0" fontId="4" fillId="0" borderId="0" xfId="0" applyFont="1" applyFill="1" applyBorder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3" fontId="2" fillId="0" borderId="5" xfId="0" applyNumberFormat="1" applyFont="1" applyFill="1" applyBorder="1" applyAlignment="1">
      <alignment horizontal="center" vertical="center" readingOrder="1"/>
    </xf>
    <xf numFmtId="3" fontId="21" fillId="0" borderId="1" xfId="2" applyNumberFormat="1" applyFont="1" applyFill="1" applyBorder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3" fontId="21" fillId="0" borderId="1" xfId="2" applyNumberFormat="1" applyFont="1" applyBorder="1" applyAlignment="1">
      <alignment horizontal="center" vertical="center" readingOrder="1"/>
    </xf>
    <xf numFmtId="3" fontId="21" fillId="0" borderId="1" xfId="9" applyNumberFormat="1" applyFont="1" applyFill="1" applyBorder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0" fontId="16" fillId="0" borderId="2" xfId="2" quotePrefix="1" applyFont="1" applyBorder="1" applyAlignment="1">
      <alignment horizontal="right"/>
    </xf>
    <xf numFmtId="0" fontId="0" fillId="3" borderId="0" xfId="0" applyFill="1" applyBorder="1"/>
    <xf numFmtId="0" fontId="11" fillId="0" borderId="0" xfId="3"/>
    <xf numFmtId="0" fontId="1" fillId="0" borderId="0" xfId="3" applyFont="1" applyFill="1" applyAlignment="1">
      <alignment readingOrder="1"/>
    </xf>
    <xf numFmtId="0" fontId="11" fillId="0" borderId="0" xfId="3" applyBorder="1"/>
    <xf numFmtId="0" fontId="11" fillId="0" borderId="0" xfId="3" applyFill="1" applyBorder="1"/>
    <xf numFmtId="0" fontId="11" fillId="0" borderId="0" xfId="3" applyFill="1"/>
    <xf numFmtId="0" fontId="4" fillId="0" borderId="0" xfId="3" applyFont="1" applyFill="1" applyBorder="1" applyAlignment="1">
      <alignment horizontal="center" vertical="center" readingOrder="1"/>
    </xf>
    <xf numFmtId="0" fontId="3" fillId="2" borderId="6" xfId="3" applyFont="1" applyFill="1" applyBorder="1" applyAlignment="1">
      <alignment horizontal="center" vertical="center" wrapText="1" readingOrder="1"/>
    </xf>
    <xf numFmtId="0" fontId="11" fillId="0" borderId="0" xfId="3" applyBorder="1" applyAlignment="1"/>
    <xf numFmtId="0" fontId="20" fillId="5" borderId="8" xfId="3" applyFont="1" applyFill="1" applyBorder="1" applyAlignment="1">
      <alignment horizontal="center"/>
    </xf>
    <xf numFmtId="0" fontId="20" fillId="5" borderId="9" xfId="3" applyFont="1" applyFill="1" applyBorder="1" applyAlignment="1">
      <alignment horizontal="center"/>
    </xf>
    <xf numFmtId="0" fontId="3" fillId="2" borderId="10" xfId="3" applyFont="1" applyFill="1" applyBorder="1" applyAlignment="1">
      <alignment horizontal="center" vertical="center" wrapText="1" readingOrder="1"/>
    </xf>
    <xf numFmtId="3" fontId="13" fillId="0" borderId="0" xfId="3" applyNumberFormat="1" applyFont="1" applyFill="1" applyBorder="1" applyAlignment="1">
      <alignment horizontal="center" readingOrder="1"/>
    </xf>
    <xf numFmtId="168" fontId="11" fillId="0" borderId="0" xfId="3" applyNumberFormat="1" applyBorder="1"/>
    <xf numFmtId="168" fontId="11" fillId="0" borderId="0" xfId="3" applyNumberFormat="1"/>
    <xf numFmtId="0" fontId="14" fillId="3" borderId="1" xfId="3" applyFont="1" applyFill="1" applyBorder="1" applyAlignment="1">
      <alignment horizontal="right" readingOrder="2"/>
    </xf>
    <xf numFmtId="3" fontId="2" fillId="0" borderId="0" xfId="3" applyNumberFormat="1" applyFont="1" applyFill="1" applyBorder="1" applyAlignment="1">
      <alignment horizontal="center" readingOrder="1"/>
    </xf>
    <xf numFmtId="168" fontId="5" fillId="0" borderId="0" xfId="3" applyNumberFormat="1" applyFont="1" applyBorder="1"/>
    <xf numFmtId="0" fontId="5" fillId="0" borderId="0" xfId="3" applyFont="1" applyBorder="1"/>
    <xf numFmtId="168" fontId="5" fillId="0" borderId="0" xfId="3" applyNumberFormat="1" applyFont="1"/>
    <xf numFmtId="0" fontId="5" fillId="0" borderId="0" xfId="3" applyFont="1"/>
    <xf numFmtId="0" fontId="10" fillId="0" borderId="0" xfId="3" applyFont="1" applyBorder="1"/>
    <xf numFmtId="168" fontId="10" fillId="0" borderId="0" xfId="3" applyNumberFormat="1" applyFont="1" applyBorder="1"/>
    <xf numFmtId="168" fontId="10" fillId="0" borderId="0" xfId="3" applyNumberFormat="1" applyFont="1"/>
    <xf numFmtId="0" fontId="10" fillId="0" borderId="0" xfId="3" applyFont="1"/>
    <xf numFmtId="0" fontId="14" fillId="3" borderId="1" xfId="3" applyFont="1" applyFill="1" applyBorder="1" applyAlignment="1">
      <alignment horizontal="right" vertical="center" readingOrder="2"/>
    </xf>
    <xf numFmtId="3" fontId="21" fillId="0" borderId="0" xfId="2" applyNumberFormat="1" applyFont="1" applyFill="1" applyBorder="1" applyAlignment="1">
      <alignment horizontal="center" vertical="center" readingOrder="1"/>
    </xf>
    <xf numFmtId="0" fontId="14" fillId="3" borderId="1" xfId="3" quotePrefix="1" applyFont="1" applyFill="1" applyBorder="1" applyAlignment="1">
      <alignment horizontal="right" readingOrder="2"/>
    </xf>
    <xf numFmtId="0" fontId="7" fillId="0" borderId="0" xfId="3" applyFont="1" applyBorder="1"/>
    <xf numFmtId="168" fontId="7" fillId="0" borderId="0" xfId="3" applyNumberFormat="1" applyFont="1" applyBorder="1"/>
    <xf numFmtId="0" fontId="7" fillId="0" borderId="0" xfId="3" applyFont="1"/>
    <xf numFmtId="0" fontId="14" fillId="3" borderId="5" xfId="3" applyFont="1" applyFill="1" applyBorder="1" applyAlignment="1">
      <alignment horizontal="right" wrapText="1" readingOrder="2"/>
    </xf>
    <xf numFmtId="0" fontId="11" fillId="3" borderId="0" xfId="3" applyFill="1" applyBorder="1"/>
    <xf numFmtId="0" fontId="1" fillId="3" borderId="0" xfId="3" applyFont="1" applyFill="1" applyAlignment="1">
      <alignment readingOrder="1"/>
    </xf>
    <xf numFmtId="0" fontId="11" fillId="3" borderId="0" xfId="3" applyFont="1" applyFill="1" applyBorder="1"/>
    <xf numFmtId="3" fontId="13" fillId="0" borderId="1" xfId="3" applyNumberFormat="1" applyFont="1" applyFill="1" applyBorder="1" applyAlignment="1">
      <alignment horizontal="center" readingOrder="1"/>
    </xf>
    <xf numFmtId="3" fontId="13" fillId="0" borderId="13" xfId="3" applyNumberFormat="1" applyFont="1" applyFill="1" applyBorder="1" applyAlignment="1">
      <alignment horizontal="center" readingOrder="1"/>
    </xf>
    <xf numFmtId="3" fontId="13" fillId="0" borderId="14" xfId="3" applyNumberFormat="1" applyFont="1" applyFill="1" applyBorder="1" applyAlignment="1">
      <alignment horizontal="center" readingOrder="1"/>
    </xf>
    <xf numFmtId="3" fontId="2" fillId="0" borderId="1" xfId="3" applyNumberFormat="1" applyFont="1" applyFill="1" applyBorder="1" applyAlignment="1">
      <alignment horizontal="center" readingOrder="1"/>
    </xf>
    <xf numFmtId="3" fontId="2" fillId="0" borderId="15" xfId="3" applyNumberFormat="1" applyFont="1" applyFill="1" applyBorder="1" applyAlignment="1">
      <alignment horizontal="center" readingOrder="1"/>
    </xf>
    <xf numFmtId="3" fontId="2" fillId="0" borderId="14" xfId="3" applyNumberFormat="1" applyFont="1" applyFill="1" applyBorder="1" applyAlignment="1">
      <alignment horizontal="center" readingOrder="1"/>
    </xf>
    <xf numFmtId="3" fontId="13" fillId="0" borderId="15" xfId="3" applyNumberFormat="1" applyFont="1" applyFill="1" applyBorder="1" applyAlignment="1">
      <alignment horizontal="center" readingOrder="1"/>
    </xf>
    <xf numFmtId="3" fontId="21" fillId="0" borderId="15" xfId="2" applyNumberFormat="1" applyFont="1" applyFill="1" applyBorder="1" applyAlignment="1">
      <alignment horizontal="center" vertical="center" readingOrder="1"/>
    </xf>
    <xf numFmtId="3" fontId="21" fillId="0" borderId="14" xfId="2" applyNumberFormat="1" applyFont="1" applyFill="1" applyBorder="1" applyAlignment="1">
      <alignment horizontal="center" vertical="center" readingOrder="1"/>
    </xf>
    <xf numFmtId="3" fontId="2" fillId="0" borderId="5" xfId="3" applyNumberFormat="1" applyFont="1" applyFill="1" applyBorder="1" applyAlignment="1">
      <alignment horizontal="center" vertical="center" readingOrder="1"/>
    </xf>
    <xf numFmtId="3" fontId="2" fillId="0" borderId="16" xfId="3" applyNumberFormat="1" applyFont="1" applyFill="1" applyBorder="1" applyAlignment="1">
      <alignment horizontal="center" vertical="center" readingOrder="1"/>
    </xf>
    <xf numFmtId="3" fontId="2" fillId="0" borderId="17" xfId="3" applyNumberFormat="1" applyFont="1" applyFill="1" applyBorder="1" applyAlignment="1">
      <alignment horizontal="center" vertical="center" readingOrder="1"/>
    </xf>
    <xf numFmtId="0" fontId="6" fillId="0" borderId="0" xfId="0" applyFont="1" applyFill="1" applyBorder="1" applyAlignment="1">
      <alignment horizontal="center" vertical="center" readingOrder="1"/>
    </xf>
    <xf numFmtId="0" fontId="8" fillId="0" borderId="0" xfId="0" applyFont="1" applyFill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0" fontId="20" fillId="5" borderId="7" xfId="0" applyFont="1" applyFill="1" applyBorder="1" applyAlignment="1">
      <alignment horizontal="center"/>
    </xf>
    <xf numFmtId="0" fontId="20" fillId="5" borderId="7" xfId="0" applyFont="1" applyFill="1" applyBorder="1" applyAlignment="1">
      <alignment horizontal="center" vertical="center"/>
    </xf>
    <xf numFmtId="3" fontId="2" fillId="0" borderId="15" xfId="3" applyNumberFormat="1" applyFont="1" applyFill="1" applyBorder="1" applyAlignment="1">
      <alignment horizontal="center" vertical="center" readingOrder="1"/>
    </xf>
    <xf numFmtId="3" fontId="23" fillId="0" borderId="14" xfId="3" applyNumberFormat="1" applyFont="1" applyFill="1" applyBorder="1" applyAlignment="1">
      <alignment horizontal="center" vertical="center" readingOrder="1"/>
    </xf>
    <xf numFmtId="0" fontId="6" fillId="0" borderId="0" xfId="3" applyFont="1" applyFill="1" applyBorder="1" applyAlignment="1">
      <alignment horizontal="center" vertical="center" readingOrder="1"/>
    </xf>
    <xf numFmtId="0" fontId="8" fillId="0" borderId="0" xfId="3" applyFont="1" applyFill="1" applyAlignment="1">
      <alignment horizontal="center" vertical="center" readingOrder="1"/>
    </xf>
    <xf numFmtId="0" fontId="4" fillId="0" borderId="0" xfId="3" applyFont="1" applyFill="1" applyBorder="1" applyAlignment="1">
      <alignment horizontal="center" vertical="center" readingOrder="1"/>
    </xf>
    <xf numFmtId="0" fontId="20" fillId="5" borderId="7" xfId="3" applyFont="1" applyFill="1" applyBorder="1" applyAlignment="1">
      <alignment horizontal="center"/>
    </xf>
    <xf numFmtId="0" fontId="3" fillId="2" borderId="4" xfId="3" applyFont="1" applyFill="1" applyBorder="1" applyAlignment="1">
      <alignment horizontal="center" vertical="center" wrapText="1" readingOrder="1"/>
    </xf>
    <xf numFmtId="0" fontId="3" fillId="2" borderId="11" xfId="3" applyFont="1" applyFill="1" applyBorder="1" applyAlignment="1">
      <alignment horizontal="center" vertical="center" wrapText="1" readingOrder="1"/>
    </xf>
    <xf numFmtId="0" fontId="3" fillId="2" borderId="8" xfId="3" applyFont="1" applyFill="1" applyBorder="1" applyAlignment="1">
      <alignment horizontal="center" vertical="center" wrapText="1" readingOrder="1"/>
    </xf>
    <xf numFmtId="0" fontId="3" fillId="2" borderId="12" xfId="3" applyFont="1" applyFill="1" applyBorder="1" applyAlignment="1">
      <alignment horizontal="center" vertical="center" wrapText="1" readingOrder="1"/>
    </xf>
    <xf numFmtId="0" fontId="3" fillId="2" borderId="6" xfId="3" applyFont="1" applyFill="1" applyBorder="1" applyAlignment="1">
      <alignment horizontal="center" vertical="center" wrapText="1" readingOrder="1"/>
    </xf>
    <xf numFmtId="0" fontId="3" fillId="2" borderId="18" xfId="3" applyFont="1" applyFill="1" applyBorder="1" applyAlignment="1">
      <alignment horizontal="center" vertical="center" wrapText="1" readingOrder="1"/>
    </xf>
    <xf numFmtId="3" fontId="21" fillId="0" borderId="15" xfId="2" applyNumberFormat="1" applyFont="1" applyFill="1" applyBorder="1" applyAlignment="1">
      <alignment horizontal="center" vertical="center" readingOrder="1"/>
    </xf>
    <xf numFmtId="3" fontId="2" fillId="0" borderId="19" xfId="3" applyNumberFormat="1" applyFont="1" applyFill="1" applyBorder="1" applyAlignment="1">
      <alignment horizontal="center" vertical="center" readingOrder="1"/>
    </xf>
    <xf numFmtId="0" fontId="16" fillId="0" borderId="2" xfId="2" quotePrefix="1" applyFont="1" applyBorder="1" applyAlignment="1">
      <alignment horizontal="right"/>
    </xf>
  </cellXfs>
  <cellStyles count="13">
    <cellStyle name="MS_Arabic" xfId="1" xr:uid="{00000000-0005-0000-0000-000000000000}"/>
    <cellStyle name="Normal" xfId="0" builtinId="0"/>
    <cellStyle name="Normal 2" xfId="3" xr:uid="{00000000-0005-0000-0000-000002000000}"/>
    <cellStyle name="Normal 3" xfId="10" xr:uid="{00000000-0005-0000-0000-000003000000}"/>
    <cellStyle name="Normal 4" xfId="11" xr:uid="{00000000-0005-0000-0000-000004000000}"/>
    <cellStyle name="Normal 5" xfId="12" xr:uid="{00000000-0005-0000-0000-000005000000}"/>
    <cellStyle name="Normal 6" xfId="9" xr:uid="{00000000-0005-0000-0000-000006000000}"/>
    <cellStyle name="Normal_wafaa file_12_22-24_26-34" xfId="2" xr:uid="{00000000-0005-0000-0000-000007000000}"/>
    <cellStyle name="عادي_artim" xfId="4" xr:uid="{00000000-0005-0000-0000-000008000000}"/>
    <cellStyle name="عملة [0]_رسم" xfId="5" xr:uid="{00000000-0005-0000-0000-000009000000}"/>
    <cellStyle name="عملة_رسم" xfId="6" xr:uid="{00000000-0005-0000-0000-00000A000000}"/>
    <cellStyle name="فاصلة [0]_رسم" xfId="7" xr:uid="{00000000-0005-0000-0000-00000B000000}"/>
    <cellStyle name="فاصلة_رسم" xfId="8" xr:uid="{00000000-0005-0000-0000-00000C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947055</xdr:colOff>
      <xdr:row>8</xdr:row>
      <xdr:rowOff>32658</xdr:rowOff>
    </xdr:from>
    <xdr:to>
      <xdr:col>3</xdr:col>
      <xdr:colOff>1217058</xdr:colOff>
      <xdr:row>9</xdr:row>
      <xdr:rowOff>270412</xdr:rowOff>
    </xdr:to>
    <xdr:sp macro="" textlink="">
      <xdr:nvSpPr>
        <xdr:cNvPr id="2" name="Left Brace 1">
          <a:extLst>
            <a:ext uri="{FF2B5EF4-FFF2-40B4-BE49-F238E27FC236}">
              <a16:creationId xmlns:a16="http://schemas.microsoft.com/office/drawing/2014/main" id="{EA04ADC2-B8D7-4529-B041-A6E7EEED854A}"/>
            </a:ext>
          </a:extLst>
        </xdr:cNvPr>
        <xdr:cNvSpPr/>
      </xdr:nvSpPr>
      <xdr:spPr>
        <a:xfrm rot="10800000">
          <a:off x="12431484" y="2275115"/>
          <a:ext cx="270003" cy="553440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1" anchor="t"/>
        <a:lstStyle/>
        <a:p>
          <a:endParaRPr lang="ar-EG"/>
        </a:p>
      </xdr:txBody>
    </xdr:sp>
    <xdr:clientData/>
  </xdr:twoCellAnchor>
  <xdr:twoCellAnchor>
    <xdr:from>
      <xdr:col>5</xdr:col>
      <xdr:colOff>913039</xdr:colOff>
      <xdr:row>8</xdr:row>
      <xdr:rowOff>63613</xdr:rowOff>
    </xdr:from>
    <xdr:to>
      <xdr:col>5</xdr:col>
      <xdr:colOff>1175711</xdr:colOff>
      <xdr:row>9</xdr:row>
      <xdr:rowOff>272211</xdr:rowOff>
    </xdr:to>
    <xdr:sp macro="" textlink="">
      <xdr:nvSpPr>
        <xdr:cNvPr id="3" name="Left Brace 2">
          <a:extLst>
            <a:ext uri="{FF2B5EF4-FFF2-40B4-BE49-F238E27FC236}">
              <a16:creationId xmlns:a16="http://schemas.microsoft.com/office/drawing/2014/main" id="{A85A4949-65E4-4940-A327-B79359576882}"/>
            </a:ext>
          </a:extLst>
        </xdr:cNvPr>
        <xdr:cNvSpPr/>
      </xdr:nvSpPr>
      <xdr:spPr>
        <a:xfrm rot="10800000">
          <a:off x="13823496" y="2306070"/>
          <a:ext cx="262672" cy="524284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1" anchor="t"/>
        <a:lstStyle/>
        <a:p>
          <a:endParaRPr lang="en-US"/>
        </a:p>
      </xdr:txBody>
    </xdr:sp>
    <xdr:clientData/>
  </xdr:twoCellAnchor>
  <xdr:twoCellAnchor>
    <xdr:from>
      <xdr:col>7</xdr:col>
      <xdr:colOff>897345</xdr:colOff>
      <xdr:row>8</xdr:row>
      <xdr:rowOff>48737</xdr:rowOff>
    </xdr:from>
    <xdr:to>
      <xdr:col>7</xdr:col>
      <xdr:colOff>1197428</xdr:colOff>
      <xdr:row>9</xdr:row>
      <xdr:rowOff>250370</xdr:rowOff>
    </xdr:to>
    <xdr:sp macro="" textlink="">
      <xdr:nvSpPr>
        <xdr:cNvPr id="4" name="Left Brace 3">
          <a:extLst>
            <a:ext uri="{FF2B5EF4-FFF2-40B4-BE49-F238E27FC236}">
              <a16:creationId xmlns:a16="http://schemas.microsoft.com/office/drawing/2014/main" id="{D3B7BA8C-4847-4D27-96BB-538A005DDE49}"/>
            </a:ext>
          </a:extLst>
        </xdr:cNvPr>
        <xdr:cNvSpPr/>
      </xdr:nvSpPr>
      <xdr:spPr>
        <a:xfrm flipH="1">
          <a:off x="15233831" y="2291194"/>
          <a:ext cx="300083" cy="517319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1" anchor="t"/>
        <a:lstStyle/>
        <a:p>
          <a:endParaRPr lang="en-US"/>
        </a:p>
      </xdr:txBody>
    </xdr: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3"/>
  <sheetViews>
    <sheetView view="pageBreakPreview" topLeftCell="A4" zoomScale="50" zoomScaleNormal="75" zoomScaleSheetLayoutView="50" workbookViewId="0">
      <selection activeCell="A4" sqref="A4:F23"/>
    </sheetView>
  </sheetViews>
  <sheetFormatPr defaultColWidth="9.109375" defaultRowHeight="13.2"/>
  <cols>
    <col min="1" max="1" width="71.44140625" style="33" customWidth="1"/>
    <col min="2" max="2" width="79.5546875" style="1" customWidth="1"/>
    <col min="3" max="6" width="18.44140625" style="33" customWidth="1"/>
    <col min="7" max="7" width="11.6640625" style="12" customWidth="1"/>
    <col min="8" max="8" width="12.88671875" style="12" bestFit="1" customWidth="1"/>
    <col min="9" max="9" width="11.109375" style="12" bestFit="1" customWidth="1"/>
    <col min="10" max="10" width="10.6640625" style="12" bestFit="1" customWidth="1"/>
    <col min="11" max="19" width="9.109375" style="12"/>
    <col min="20" max="24" width="9.109375" style="33"/>
    <col min="25" max="25" width="9.33203125" style="33" bestFit="1" customWidth="1"/>
    <col min="26" max="16384" width="9.109375" style="33"/>
  </cols>
  <sheetData>
    <row r="1" spans="1:25" ht="15" hidden="1" customHeight="1"/>
    <row r="2" spans="1:25" ht="22.8" hidden="1">
      <c r="B2" s="106" t="s">
        <v>5</v>
      </c>
      <c r="C2" s="106"/>
      <c r="D2" s="106"/>
      <c r="E2" s="106"/>
      <c r="F2" s="106"/>
    </row>
    <row r="3" spans="1:25" ht="22.8" hidden="1">
      <c r="B3" s="107" t="s">
        <v>4</v>
      </c>
      <c r="C3" s="107"/>
      <c r="D3" s="107"/>
      <c r="E3" s="107"/>
      <c r="F3" s="107"/>
    </row>
    <row r="4" spans="1:25" s="4" customFormat="1" ht="45" customHeight="1">
      <c r="A4" s="108" t="s">
        <v>64</v>
      </c>
      <c r="B4" s="108"/>
      <c r="C4" s="108"/>
      <c r="D4" s="108"/>
      <c r="E4" s="108"/>
      <c r="F4" s="108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25" s="4" customFormat="1" ht="45" customHeight="1" thickBot="1">
      <c r="A5" s="24"/>
      <c r="B5" s="24"/>
      <c r="C5" s="24"/>
      <c r="D5" s="24"/>
      <c r="E5" s="24"/>
      <c r="F5" s="58" t="s">
        <v>6</v>
      </c>
      <c r="G5" s="14"/>
      <c r="H5" s="14"/>
      <c r="I5" s="14"/>
      <c r="J5" s="14"/>
      <c r="K5" s="14"/>
      <c r="L5" s="13"/>
      <c r="M5" s="13"/>
      <c r="N5" s="13"/>
      <c r="O5" s="13"/>
      <c r="P5" s="13"/>
      <c r="Q5" s="13"/>
      <c r="R5" s="13"/>
      <c r="S5" s="13"/>
    </row>
    <row r="6" spans="1:25" ht="25.5" customHeight="1" thickTop="1">
      <c r="A6" s="109" t="s">
        <v>26</v>
      </c>
      <c r="B6" s="109"/>
      <c r="C6" s="43" t="s">
        <v>0</v>
      </c>
      <c r="D6" s="36" t="s">
        <v>1</v>
      </c>
      <c r="E6" s="36" t="s">
        <v>2</v>
      </c>
      <c r="F6" s="37" t="s">
        <v>3</v>
      </c>
      <c r="I6" s="15"/>
    </row>
    <row r="7" spans="1:25" ht="36" customHeight="1" thickBot="1">
      <c r="A7" s="44"/>
      <c r="B7" s="45"/>
      <c r="C7" s="46" t="s">
        <v>27</v>
      </c>
      <c r="D7" s="46" t="s">
        <v>28</v>
      </c>
      <c r="E7" s="47" t="s">
        <v>29</v>
      </c>
      <c r="F7" s="46" t="s">
        <v>30</v>
      </c>
    </row>
    <row r="8" spans="1:25" ht="24.9" customHeight="1" thickTop="1">
      <c r="A8" s="25" t="s">
        <v>24</v>
      </c>
      <c r="B8" s="27" t="s">
        <v>7</v>
      </c>
      <c r="C8" s="38">
        <f>C9+C10+C11+C12+C13+C14+C15</f>
        <v>295559</v>
      </c>
      <c r="D8" s="38">
        <f>D9+D10+D11+D12+D13+D14+D15</f>
        <v>296623</v>
      </c>
      <c r="E8" s="38">
        <f>E9+E10+E11+E12+E13+E14+E15</f>
        <v>297151</v>
      </c>
      <c r="F8" s="38">
        <f>F9+F10+F11+F12+F13+F14+F15</f>
        <v>321393</v>
      </c>
      <c r="G8" s="16"/>
      <c r="P8" s="16"/>
      <c r="Q8" s="16"/>
      <c r="R8" s="16"/>
      <c r="S8" s="16"/>
      <c r="T8" s="3"/>
      <c r="U8" s="3"/>
      <c r="V8" s="3"/>
      <c r="W8" s="3"/>
      <c r="X8" s="3"/>
      <c r="Y8" s="3"/>
    </row>
    <row r="9" spans="1:25" s="7" customFormat="1" ht="24.9" customHeight="1">
      <c r="A9" s="10" t="s">
        <v>15</v>
      </c>
      <c r="B9" s="26" t="s">
        <v>8</v>
      </c>
      <c r="C9" s="39">
        <v>109816</v>
      </c>
      <c r="D9" s="39">
        <v>110656</v>
      </c>
      <c r="E9" s="39">
        <v>111541</v>
      </c>
      <c r="F9" s="39">
        <v>122913</v>
      </c>
      <c r="G9" s="17"/>
      <c r="H9" s="17"/>
      <c r="I9" s="18"/>
      <c r="J9" s="18"/>
      <c r="K9" s="18"/>
      <c r="L9" s="18"/>
      <c r="M9" s="18"/>
      <c r="N9" s="18"/>
      <c r="O9" s="18"/>
      <c r="P9" s="17"/>
      <c r="Q9" s="17"/>
      <c r="R9" s="17"/>
      <c r="S9" s="17"/>
      <c r="T9" s="8"/>
      <c r="U9" s="8"/>
      <c r="V9" s="8"/>
      <c r="W9" s="8"/>
      <c r="X9" s="8"/>
      <c r="Y9" s="8"/>
    </row>
    <row r="10" spans="1:25" s="6" customFormat="1" ht="24.9" customHeight="1">
      <c r="A10" s="10" t="s">
        <v>16</v>
      </c>
      <c r="B10" s="28" t="s">
        <v>9</v>
      </c>
      <c r="C10" s="39">
        <v>87166</v>
      </c>
      <c r="D10" s="39">
        <v>87266</v>
      </c>
      <c r="E10" s="39">
        <v>87366</v>
      </c>
      <c r="F10" s="39">
        <v>96093</v>
      </c>
      <c r="G10" s="19"/>
      <c r="H10" s="20"/>
      <c r="I10" s="20"/>
      <c r="J10" s="20"/>
      <c r="K10" s="20"/>
      <c r="L10" s="20"/>
      <c r="M10" s="20"/>
      <c r="N10" s="20"/>
      <c r="O10" s="20"/>
      <c r="P10" s="19"/>
      <c r="Q10" s="19"/>
      <c r="R10" s="19"/>
      <c r="S10" s="19"/>
      <c r="T10" s="5"/>
      <c r="U10" s="5"/>
      <c r="V10" s="5"/>
      <c r="W10" s="5"/>
      <c r="X10" s="5"/>
      <c r="Y10" s="5"/>
    </row>
    <row r="11" spans="1:25" s="6" customFormat="1" ht="24.9" customHeight="1">
      <c r="A11" s="10" t="s">
        <v>17</v>
      </c>
      <c r="B11" s="26" t="s">
        <v>98</v>
      </c>
      <c r="C11" s="39">
        <v>60300</v>
      </c>
      <c r="D11" s="39">
        <v>59065</v>
      </c>
      <c r="E11" s="39">
        <v>58319</v>
      </c>
      <c r="F11" s="39">
        <v>58485</v>
      </c>
      <c r="G11" s="20"/>
      <c r="H11" s="19"/>
      <c r="I11" s="20"/>
      <c r="J11" s="20"/>
      <c r="K11" s="20"/>
      <c r="L11" s="20"/>
      <c r="M11" s="20"/>
      <c r="N11" s="20"/>
      <c r="O11" s="20"/>
      <c r="P11" s="19"/>
      <c r="Q11" s="19"/>
      <c r="R11" s="19"/>
      <c r="S11" s="19"/>
      <c r="T11" s="5"/>
      <c r="U11" s="5"/>
      <c r="V11" s="5"/>
      <c r="W11" s="5"/>
      <c r="X11" s="5"/>
      <c r="Y11" s="5"/>
    </row>
    <row r="12" spans="1:25" s="7" customFormat="1" ht="24.9" customHeight="1">
      <c r="A12" s="10" t="s">
        <v>23</v>
      </c>
      <c r="B12" s="28" t="s">
        <v>10</v>
      </c>
      <c r="C12" s="39">
        <v>6415</v>
      </c>
      <c r="D12" s="39">
        <v>6761</v>
      </c>
      <c r="E12" s="39">
        <v>6637</v>
      </c>
      <c r="F12" s="39">
        <v>6852</v>
      </c>
      <c r="G12" s="18"/>
      <c r="H12" s="17"/>
      <c r="I12" s="18"/>
      <c r="J12" s="18"/>
      <c r="K12" s="18"/>
      <c r="L12" s="18"/>
      <c r="M12" s="18"/>
      <c r="N12" s="18"/>
      <c r="O12" s="18"/>
      <c r="P12" s="17"/>
      <c r="Q12" s="17"/>
      <c r="R12" s="17"/>
      <c r="S12" s="17"/>
      <c r="T12" s="8"/>
      <c r="U12" s="8"/>
      <c r="V12" s="8"/>
      <c r="W12" s="8"/>
      <c r="X12" s="8"/>
      <c r="Y12" s="8"/>
    </row>
    <row r="13" spans="1:25" s="6" customFormat="1" ht="24.9" customHeight="1">
      <c r="A13" s="10" t="s">
        <v>18</v>
      </c>
      <c r="B13" s="26" t="s">
        <v>97</v>
      </c>
      <c r="C13" s="39">
        <v>1696</v>
      </c>
      <c r="D13" s="39">
        <v>1665</v>
      </c>
      <c r="E13" s="39">
        <v>1566</v>
      </c>
      <c r="F13" s="39">
        <v>1418</v>
      </c>
      <c r="G13" s="20"/>
      <c r="H13" s="17"/>
      <c r="I13" s="20"/>
      <c r="J13" s="20"/>
      <c r="K13" s="20"/>
      <c r="L13" s="20"/>
      <c r="M13" s="20"/>
      <c r="N13" s="20"/>
      <c r="O13" s="20"/>
      <c r="P13" s="19"/>
      <c r="Q13" s="19"/>
      <c r="R13" s="19"/>
      <c r="S13" s="19"/>
      <c r="T13" s="5"/>
      <c r="U13" s="5"/>
      <c r="V13" s="5"/>
      <c r="W13" s="5"/>
      <c r="X13" s="5"/>
      <c r="Y13" s="5"/>
    </row>
    <row r="14" spans="1:25" s="6" customFormat="1" ht="24.9" customHeight="1">
      <c r="A14" s="10" t="s">
        <v>19</v>
      </c>
      <c r="B14" s="28" t="s">
        <v>99</v>
      </c>
      <c r="C14" s="39">
        <v>28209</v>
      </c>
      <c r="D14" s="39">
        <v>29282</v>
      </c>
      <c r="E14" s="39">
        <v>29882</v>
      </c>
      <c r="F14" s="39">
        <v>33902</v>
      </c>
      <c r="G14" s="20"/>
      <c r="H14" s="17"/>
      <c r="I14" s="20"/>
      <c r="J14" s="20"/>
      <c r="K14" s="20"/>
      <c r="L14" s="20"/>
      <c r="M14" s="20"/>
      <c r="N14" s="20"/>
      <c r="O14" s="20"/>
      <c r="P14" s="19"/>
      <c r="Q14" s="19"/>
      <c r="R14" s="19"/>
      <c r="S14" s="19"/>
      <c r="T14" s="5"/>
      <c r="U14" s="5"/>
      <c r="V14" s="5"/>
      <c r="W14" s="5"/>
      <c r="X14" s="5"/>
      <c r="Y14" s="5"/>
    </row>
    <row r="15" spans="1:25" ht="30" customHeight="1">
      <c r="A15" s="30" t="s">
        <v>92</v>
      </c>
      <c r="B15" s="29" t="s">
        <v>89</v>
      </c>
      <c r="C15" s="39">
        <v>1957</v>
      </c>
      <c r="D15" s="39">
        <v>1928</v>
      </c>
      <c r="E15" s="39">
        <v>1840</v>
      </c>
      <c r="F15" s="39">
        <v>1730</v>
      </c>
      <c r="P15" s="16"/>
      <c r="Q15" s="16"/>
      <c r="R15" s="16"/>
      <c r="S15" s="16"/>
      <c r="T15" s="3"/>
      <c r="U15" s="3"/>
      <c r="V15" s="3"/>
      <c r="W15" s="3"/>
      <c r="X15" s="3"/>
      <c r="Y15" s="3"/>
    </row>
    <row r="16" spans="1:25" ht="24.9" customHeight="1">
      <c r="A16" s="31" t="s">
        <v>25</v>
      </c>
      <c r="B16" s="27" t="s">
        <v>11</v>
      </c>
      <c r="C16" s="38">
        <f>SUM(C17:C21)</f>
        <v>295559</v>
      </c>
      <c r="D16" s="38">
        <f t="shared" ref="D16:F16" si="0">SUM(D17:D21)</f>
        <v>296623</v>
      </c>
      <c r="E16" s="38">
        <f t="shared" si="0"/>
        <v>297151</v>
      </c>
      <c r="F16" s="38">
        <f t="shared" si="0"/>
        <v>321393</v>
      </c>
      <c r="P16" s="16"/>
      <c r="Q16" s="16"/>
      <c r="R16" s="16"/>
      <c r="S16" s="16"/>
      <c r="T16" s="3"/>
      <c r="U16" s="3"/>
      <c r="V16" s="3"/>
      <c r="W16" s="3"/>
      <c r="X16" s="3"/>
      <c r="Y16" s="3"/>
    </row>
    <row r="17" spans="1:25" ht="24.9" customHeight="1">
      <c r="A17" s="10" t="s">
        <v>63</v>
      </c>
      <c r="B17" s="26" t="s">
        <v>12</v>
      </c>
      <c r="C17" s="39">
        <v>136527</v>
      </c>
      <c r="D17" s="39">
        <v>138057</v>
      </c>
      <c r="E17" s="39">
        <v>140015</v>
      </c>
      <c r="F17" s="39">
        <v>143751</v>
      </c>
      <c r="I17" s="16"/>
      <c r="P17" s="16"/>
      <c r="Q17" s="16"/>
      <c r="R17" s="16"/>
      <c r="S17" s="16"/>
      <c r="T17" s="3"/>
      <c r="U17" s="3"/>
      <c r="V17" s="3"/>
      <c r="W17" s="3"/>
      <c r="X17" s="3"/>
      <c r="Y17" s="3"/>
    </row>
    <row r="18" spans="1:25" s="2" customFormat="1" ht="24.9" customHeight="1">
      <c r="A18" s="9" t="s">
        <v>20</v>
      </c>
      <c r="B18" s="28" t="s">
        <v>100</v>
      </c>
      <c r="C18" s="39">
        <v>55337</v>
      </c>
      <c r="D18" s="39">
        <v>56103</v>
      </c>
      <c r="E18" s="39">
        <v>56739</v>
      </c>
      <c r="F18" s="39">
        <v>58265</v>
      </c>
      <c r="G18" s="21"/>
      <c r="H18" s="21"/>
      <c r="I18" s="22"/>
      <c r="J18" s="22"/>
      <c r="K18" s="21"/>
      <c r="L18" s="21"/>
      <c r="M18" s="21"/>
      <c r="N18" s="21"/>
      <c r="O18" s="21"/>
      <c r="P18" s="16"/>
      <c r="Q18" s="16"/>
      <c r="R18" s="16"/>
      <c r="S18" s="16"/>
      <c r="T18" s="3"/>
      <c r="U18" s="3"/>
      <c r="V18" s="3"/>
      <c r="W18" s="3"/>
      <c r="X18" s="3"/>
      <c r="Y18" s="3"/>
    </row>
    <row r="19" spans="1:25" ht="24.9" customHeight="1">
      <c r="A19" s="10" t="s">
        <v>21</v>
      </c>
      <c r="B19" s="26" t="s">
        <v>13</v>
      </c>
      <c r="C19" s="39">
        <v>0</v>
      </c>
      <c r="D19" s="39">
        <v>0</v>
      </c>
      <c r="E19" s="39">
        <v>0</v>
      </c>
      <c r="F19" s="39">
        <v>0</v>
      </c>
      <c r="H19" s="23"/>
      <c r="I19" s="16"/>
      <c r="P19" s="16"/>
      <c r="Q19" s="16"/>
      <c r="R19" s="16"/>
      <c r="S19" s="16"/>
      <c r="T19" s="3"/>
      <c r="U19" s="3"/>
      <c r="V19" s="3"/>
      <c r="W19" s="3"/>
      <c r="X19" s="3"/>
      <c r="Y19" s="3"/>
    </row>
    <row r="20" spans="1:25" ht="24.9" customHeight="1">
      <c r="A20" s="9" t="s">
        <v>22</v>
      </c>
      <c r="B20" s="28" t="s">
        <v>14</v>
      </c>
      <c r="C20" s="39">
        <v>5119</v>
      </c>
      <c r="D20" s="39">
        <v>4851</v>
      </c>
      <c r="E20" s="39">
        <v>4918</v>
      </c>
      <c r="F20" s="39">
        <v>4917</v>
      </c>
      <c r="J20" s="16"/>
      <c r="P20" s="16"/>
      <c r="Q20" s="16"/>
      <c r="R20" s="16"/>
      <c r="S20" s="16"/>
      <c r="T20" s="3"/>
      <c r="U20" s="3"/>
      <c r="V20" s="3"/>
      <c r="W20" s="3"/>
      <c r="X20" s="3"/>
      <c r="Y20" s="3"/>
    </row>
    <row r="21" spans="1:25" ht="42" customHeight="1">
      <c r="A21" s="40" t="s">
        <v>82</v>
      </c>
      <c r="B21" s="41" t="s">
        <v>101</v>
      </c>
      <c r="C21" s="42">
        <f>C8-C17-C18-C19-C20</f>
        <v>98576</v>
      </c>
      <c r="D21" s="42">
        <f t="shared" ref="D21:F21" si="1">D8-D17-D18-D19-D20</f>
        <v>97612</v>
      </c>
      <c r="E21" s="42">
        <f t="shared" si="1"/>
        <v>95479</v>
      </c>
      <c r="F21" s="42">
        <f t="shared" si="1"/>
        <v>114460</v>
      </c>
      <c r="H21" s="16"/>
      <c r="P21" s="16"/>
      <c r="Q21" s="16"/>
      <c r="R21" s="16"/>
      <c r="S21" s="16"/>
      <c r="T21" s="3"/>
      <c r="U21" s="3"/>
      <c r="V21" s="3"/>
      <c r="W21" s="3"/>
      <c r="X21" s="3"/>
      <c r="Y21" s="3"/>
    </row>
    <row r="22" spans="1:25" ht="15.6">
      <c r="A22" s="11" t="s">
        <v>83</v>
      </c>
      <c r="B22" s="34"/>
      <c r="C22" s="35"/>
      <c r="D22" s="35"/>
      <c r="E22" s="35"/>
      <c r="F22" s="35"/>
      <c r="G22" s="11"/>
      <c r="H22" s="11"/>
    </row>
    <row r="23" spans="1:25" ht="18.75" customHeight="1">
      <c r="A23" s="11" t="s">
        <v>90</v>
      </c>
      <c r="B23" s="34"/>
    </row>
  </sheetData>
  <mergeCells count="4">
    <mergeCell ref="B2:F2"/>
    <mergeCell ref="B3:F3"/>
    <mergeCell ref="A4:F4"/>
    <mergeCell ref="A6:B6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8" scale="9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23"/>
  <sheetViews>
    <sheetView view="pageBreakPreview" topLeftCell="A4" zoomScale="50" zoomScaleNormal="75" zoomScaleSheetLayoutView="50" workbookViewId="0">
      <selection activeCell="A4" sqref="A4:F23"/>
    </sheetView>
  </sheetViews>
  <sheetFormatPr defaultColWidth="9.109375" defaultRowHeight="13.2"/>
  <cols>
    <col min="1" max="1" width="71.6640625" style="33" customWidth="1"/>
    <col min="2" max="2" width="81.6640625" style="1" bestFit="1" customWidth="1"/>
    <col min="3" max="6" width="18.44140625" style="33" customWidth="1"/>
    <col min="7" max="7" width="11.6640625" style="12" customWidth="1"/>
    <col min="8" max="8" width="12.88671875" style="12" bestFit="1" customWidth="1"/>
    <col min="9" max="9" width="11.109375" style="12" bestFit="1" customWidth="1"/>
    <col min="10" max="10" width="10.6640625" style="12" bestFit="1" customWidth="1"/>
    <col min="11" max="19" width="9.109375" style="12"/>
    <col min="20" max="24" width="9.109375" style="33"/>
    <col min="25" max="25" width="9.33203125" style="33" bestFit="1" customWidth="1"/>
    <col min="26" max="16384" width="9.109375" style="33"/>
  </cols>
  <sheetData>
    <row r="1" spans="1:25" ht="15" hidden="1" customHeight="1"/>
    <row r="2" spans="1:25" ht="22.8" hidden="1">
      <c r="B2" s="106" t="s">
        <v>5</v>
      </c>
      <c r="C2" s="106"/>
      <c r="D2" s="106"/>
      <c r="E2" s="106"/>
      <c r="F2" s="106"/>
    </row>
    <row r="3" spans="1:25" ht="22.8" hidden="1">
      <c r="B3" s="107" t="s">
        <v>4</v>
      </c>
      <c r="C3" s="107"/>
      <c r="D3" s="107"/>
      <c r="E3" s="107"/>
      <c r="F3" s="107"/>
    </row>
    <row r="4" spans="1:25" s="4" customFormat="1" ht="45" customHeight="1">
      <c r="A4" s="108" t="s">
        <v>64</v>
      </c>
      <c r="B4" s="108"/>
      <c r="C4" s="108"/>
      <c r="D4" s="108"/>
      <c r="E4" s="108"/>
      <c r="F4" s="108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25" s="4" customFormat="1" ht="45" customHeight="1" thickBot="1">
      <c r="A5" s="32"/>
      <c r="B5" s="32"/>
      <c r="C5" s="32"/>
      <c r="D5" s="32"/>
      <c r="E5" s="32"/>
      <c r="F5" s="58" t="s">
        <v>6</v>
      </c>
      <c r="G5" s="14"/>
      <c r="H5" s="14"/>
      <c r="I5" s="14"/>
      <c r="J5" s="14"/>
      <c r="K5" s="14"/>
      <c r="L5" s="13"/>
      <c r="M5" s="13"/>
      <c r="N5" s="13"/>
      <c r="O5" s="13"/>
      <c r="P5" s="13"/>
      <c r="Q5" s="13"/>
      <c r="R5" s="13"/>
      <c r="S5" s="13"/>
    </row>
    <row r="6" spans="1:25" ht="25.5" customHeight="1" thickTop="1">
      <c r="A6" s="109" t="s">
        <v>26</v>
      </c>
      <c r="B6" s="109"/>
      <c r="C6" s="43" t="s">
        <v>0</v>
      </c>
      <c r="D6" s="36" t="s">
        <v>1</v>
      </c>
      <c r="E6" s="36" t="s">
        <v>2</v>
      </c>
      <c r="F6" s="37" t="s">
        <v>3</v>
      </c>
      <c r="I6" s="15"/>
    </row>
    <row r="7" spans="1:25" ht="36" customHeight="1" thickBot="1">
      <c r="A7" s="44"/>
      <c r="B7" s="45"/>
      <c r="C7" s="46" t="s">
        <v>31</v>
      </c>
      <c r="D7" s="46" t="s">
        <v>32</v>
      </c>
      <c r="E7" s="47" t="s">
        <v>33</v>
      </c>
      <c r="F7" s="46" t="s">
        <v>34</v>
      </c>
    </row>
    <row r="8" spans="1:25" ht="24.9" customHeight="1" thickTop="1">
      <c r="A8" s="25" t="s">
        <v>24</v>
      </c>
      <c r="B8" s="27" t="s">
        <v>7</v>
      </c>
      <c r="C8" s="38">
        <f t="shared" ref="C8:F8" si="0">SUM(C9:C15)</f>
        <v>321718</v>
      </c>
      <c r="D8" s="38">
        <f t="shared" si="0"/>
        <v>324093</v>
      </c>
      <c r="E8" s="38">
        <f t="shared" si="0"/>
        <v>325999</v>
      </c>
      <c r="F8" s="38">
        <f t="shared" si="0"/>
        <v>354962</v>
      </c>
      <c r="G8" s="16"/>
      <c r="P8" s="16"/>
      <c r="Q8" s="16"/>
      <c r="R8" s="16"/>
      <c r="S8" s="16"/>
      <c r="T8" s="3"/>
      <c r="U8" s="3"/>
      <c r="V8" s="3"/>
      <c r="W8" s="3"/>
      <c r="X8" s="3"/>
      <c r="Y8" s="3"/>
    </row>
    <row r="9" spans="1:25" s="7" customFormat="1" ht="24.9" customHeight="1">
      <c r="A9" s="10" t="s">
        <v>15</v>
      </c>
      <c r="B9" s="26" t="s">
        <v>8</v>
      </c>
      <c r="C9" s="39">
        <v>123063</v>
      </c>
      <c r="D9" s="39">
        <v>123263</v>
      </c>
      <c r="E9" s="39">
        <v>123363</v>
      </c>
      <c r="F9" s="39">
        <v>135735</v>
      </c>
      <c r="G9" s="17"/>
      <c r="H9" s="17"/>
      <c r="I9" s="18"/>
      <c r="J9" s="18"/>
      <c r="K9" s="18"/>
      <c r="L9" s="18"/>
      <c r="M9" s="18"/>
      <c r="N9" s="18"/>
      <c r="O9" s="18"/>
      <c r="P9" s="17"/>
      <c r="Q9" s="17"/>
      <c r="R9" s="17"/>
      <c r="S9" s="17"/>
      <c r="T9" s="8"/>
      <c r="U9" s="8"/>
      <c r="V9" s="8"/>
      <c r="W9" s="8"/>
      <c r="X9" s="8"/>
      <c r="Y9" s="8"/>
    </row>
    <row r="10" spans="1:25" s="6" customFormat="1" ht="24.9" customHeight="1">
      <c r="A10" s="10" t="s">
        <v>16</v>
      </c>
      <c r="B10" s="28" t="s">
        <v>9</v>
      </c>
      <c r="C10" s="39">
        <v>96093</v>
      </c>
      <c r="D10" s="39">
        <v>96093</v>
      </c>
      <c r="E10" s="39">
        <v>96093</v>
      </c>
      <c r="F10" s="39">
        <v>105703</v>
      </c>
      <c r="G10" s="19"/>
      <c r="H10" s="20"/>
      <c r="I10" s="20"/>
      <c r="J10" s="20"/>
      <c r="K10" s="20"/>
      <c r="L10" s="20"/>
      <c r="M10" s="20"/>
      <c r="N10" s="20"/>
      <c r="O10" s="20"/>
      <c r="P10" s="19"/>
      <c r="Q10" s="19"/>
      <c r="R10" s="19"/>
      <c r="S10" s="19"/>
      <c r="T10" s="5"/>
      <c r="U10" s="5"/>
      <c r="V10" s="5"/>
      <c r="W10" s="5"/>
      <c r="X10" s="5"/>
      <c r="Y10" s="5"/>
    </row>
    <row r="11" spans="1:25" s="6" customFormat="1" ht="24.9" customHeight="1">
      <c r="A11" s="10" t="s">
        <v>17</v>
      </c>
      <c r="B11" s="26" t="s">
        <v>98</v>
      </c>
      <c r="C11" s="39">
        <v>58493</v>
      </c>
      <c r="D11" s="39">
        <v>59780</v>
      </c>
      <c r="E11" s="39">
        <v>61488</v>
      </c>
      <c r="F11" s="39">
        <v>64038</v>
      </c>
      <c r="G11" s="20"/>
      <c r="H11" s="19"/>
      <c r="I11" s="20"/>
      <c r="J11" s="20"/>
      <c r="K11" s="20"/>
      <c r="L11" s="20"/>
      <c r="M11" s="20"/>
      <c r="N11" s="20"/>
      <c r="O11" s="20"/>
      <c r="P11" s="19"/>
      <c r="Q11" s="19"/>
      <c r="R11" s="19"/>
      <c r="S11" s="19"/>
      <c r="T11" s="5"/>
      <c r="U11" s="5"/>
      <c r="V11" s="5"/>
      <c r="W11" s="5"/>
      <c r="X11" s="5"/>
      <c r="Y11" s="5"/>
    </row>
    <row r="12" spans="1:25" s="7" customFormat="1" ht="24.9" customHeight="1">
      <c r="A12" s="10" t="s">
        <v>23</v>
      </c>
      <c r="B12" s="28" t="s">
        <v>10</v>
      </c>
      <c r="C12" s="39">
        <v>6963</v>
      </c>
      <c r="D12" s="39">
        <v>6897</v>
      </c>
      <c r="E12" s="39">
        <v>7035</v>
      </c>
      <c r="F12" s="39">
        <v>7028</v>
      </c>
      <c r="G12" s="18"/>
      <c r="H12" s="17"/>
      <c r="I12" s="18"/>
      <c r="J12" s="18"/>
      <c r="K12" s="18"/>
      <c r="L12" s="18"/>
      <c r="M12" s="18"/>
      <c r="N12" s="18"/>
      <c r="O12" s="18"/>
      <c r="P12" s="17"/>
      <c r="Q12" s="17"/>
      <c r="R12" s="17"/>
      <c r="S12" s="17"/>
      <c r="T12" s="8"/>
      <c r="U12" s="8"/>
      <c r="V12" s="8"/>
      <c r="W12" s="8"/>
      <c r="X12" s="8"/>
      <c r="Y12" s="8"/>
    </row>
    <row r="13" spans="1:25" s="6" customFormat="1" ht="24.9" customHeight="1">
      <c r="A13" s="10" t="s">
        <v>18</v>
      </c>
      <c r="B13" s="26" t="s">
        <v>97</v>
      </c>
      <c r="C13" s="39">
        <v>1135</v>
      </c>
      <c r="D13" s="39">
        <v>1038</v>
      </c>
      <c r="E13" s="39">
        <v>1030</v>
      </c>
      <c r="F13" s="39">
        <v>824</v>
      </c>
      <c r="G13" s="20"/>
      <c r="H13" s="17"/>
      <c r="I13" s="20"/>
      <c r="J13" s="20"/>
      <c r="K13" s="20"/>
      <c r="L13" s="20"/>
      <c r="M13" s="20"/>
      <c r="N13" s="20"/>
      <c r="O13" s="20"/>
      <c r="P13" s="19"/>
      <c r="Q13" s="19"/>
      <c r="R13" s="19"/>
      <c r="S13" s="19"/>
      <c r="T13" s="5"/>
      <c r="U13" s="5"/>
      <c r="V13" s="5"/>
      <c r="W13" s="5"/>
      <c r="X13" s="5"/>
      <c r="Y13" s="5"/>
    </row>
    <row r="14" spans="1:25" s="6" customFormat="1" ht="24.9" customHeight="1">
      <c r="A14" s="10" t="s">
        <v>19</v>
      </c>
      <c r="B14" s="28" t="s">
        <v>99</v>
      </c>
      <c r="C14" s="39">
        <v>34297</v>
      </c>
      <c r="D14" s="39">
        <v>35338</v>
      </c>
      <c r="E14" s="39">
        <v>35338</v>
      </c>
      <c r="F14" s="39">
        <v>39097</v>
      </c>
      <c r="G14" s="20"/>
      <c r="H14" s="17"/>
      <c r="I14" s="20"/>
      <c r="J14" s="20"/>
      <c r="K14" s="20"/>
      <c r="L14" s="20"/>
      <c r="M14" s="20"/>
      <c r="N14" s="20"/>
      <c r="O14" s="20"/>
      <c r="P14" s="19"/>
      <c r="Q14" s="19"/>
      <c r="R14" s="19"/>
      <c r="S14" s="19"/>
      <c r="T14" s="5"/>
      <c r="U14" s="5"/>
      <c r="V14" s="5"/>
      <c r="W14" s="5"/>
      <c r="X14" s="5"/>
      <c r="Y14" s="5"/>
    </row>
    <row r="15" spans="1:25" ht="30" customHeight="1">
      <c r="A15" s="30" t="s">
        <v>91</v>
      </c>
      <c r="B15" s="29" t="s">
        <v>89</v>
      </c>
      <c r="C15" s="39">
        <v>1674</v>
      </c>
      <c r="D15" s="39">
        <v>1684</v>
      </c>
      <c r="E15" s="39">
        <v>1652</v>
      </c>
      <c r="F15" s="39">
        <v>2537</v>
      </c>
      <c r="P15" s="16"/>
      <c r="Q15" s="16"/>
      <c r="R15" s="16"/>
      <c r="S15" s="16"/>
      <c r="T15" s="3"/>
      <c r="U15" s="3"/>
      <c r="V15" s="3"/>
      <c r="W15" s="3"/>
      <c r="X15" s="3"/>
      <c r="Y15" s="3"/>
    </row>
    <row r="16" spans="1:25" ht="24.9" customHeight="1">
      <c r="A16" s="31" t="s">
        <v>25</v>
      </c>
      <c r="B16" s="27" t="s">
        <v>11</v>
      </c>
      <c r="C16" s="38">
        <f t="shared" ref="C16:F16" si="1">SUM(C17:C21)</f>
        <v>321718</v>
      </c>
      <c r="D16" s="38">
        <f t="shared" si="1"/>
        <v>324093</v>
      </c>
      <c r="E16" s="38">
        <f t="shared" si="1"/>
        <v>325999</v>
      </c>
      <c r="F16" s="38">
        <f t="shared" si="1"/>
        <v>354962</v>
      </c>
      <c r="P16" s="16"/>
      <c r="Q16" s="16"/>
      <c r="R16" s="16"/>
      <c r="S16" s="16"/>
      <c r="T16" s="3"/>
      <c r="U16" s="3"/>
      <c r="V16" s="3"/>
      <c r="W16" s="3"/>
      <c r="X16" s="3"/>
      <c r="Y16" s="3"/>
    </row>
    <row r="17" spans="1:25" ht="24.9" customHeight="1">
      <c r="A17" s="10" t="s">
        <v>63</v>
      </c>
      <c r="B17" s="26" t="s">
        <v>12</v>
      </c>
      <c r="C17" s="39">
        <v>143522</v>
      </c>
      <c r="D17" s="39">
        <v>144485</v>
      </c>
      <c r="E17" s="39">
        <v>138407</v>
      </c>
      <c r="F17" s="39">
        <v>142622</v>
      </c>
      <c r="I17" s="16"/>
      <c r="P17" s="16"/>
      <c r="Q17" s="16"/>
      <c r="R17" s="16"/>
      <c r="S17" s="16"/>
      <c r="T17" s="3"/>
      <c r="U17" s="3"/>
      <c r="V17" s="3"/>
      <c r="W17" s="3"/>
      <c r="X17" s="3"/>
      <c r="Y17" s="3"/>
    </row>
    <row r="18" spans="1:25" s="2" customFormat="1" ht="24.9" customHeight="1">
      <c r="A18" s="9" t="s">
        <v>20</v>
      </c>
      <c r="B18" s="28" t="s">
        <v>100</v>
      </c>
      <c r="C18" s="39">
        <v>59791</v>
      </c>
      <c r="D18" s="39">
        <v>60199</v>
      </c>
      <c r="E18" s="39">
        <v>51044</v>
      </c>
      <c r="F18" s="39">
        <v>50196</v>
      </c>
      <c r="G18" s="21"/>
      <c r="H18" s="21"/>
      <c r="I18" s="22"/>
      <c r="J18" s="22"/>
      <c r="K18" s="21"/>
      <c r="L18" s="21"/>
      <c r="M18" s="21"/>
      <c r="N18" s="21"/>
      <c r="O18" s="21"/>
      <c r="P18" s="16"/>
      <c r="Q18" s="16"/>
      <c r="R18" s="16"/>
      <c r="S18" s="16"/>
      <c r="T18" s="3"/>
      <c r="U18" s="3"/>
      <c r="V18" s="3"/>
      <c r="W18" s="3"/>
      <c r="X18" s="3"/>
      <c r="Y18" s="3"/>
    </row>
    <row r="19" spans="1:25" ht="24.9" customHeight="1">
      <c r="A19" s="10" t="s">
        <v>21</v>
      </c>
      <c r="B19" s="26" t="s">
        <v>13</v>
      </c>
      <c r="C19" s="39">
        <v>0</v>
      </c>
      <c r="D19" s="39">
        <v>0</v>
      </c>
      <c r="E19" s="39">
        <v>0</v>
      </c>
      <c r="F19" s="39">
        <v>0</v>
      </c>
      <c r="H19" s="23"/>
      <c r="I19" s="16"/>
      <c r="P19" s="16"/>
      <c r="Q19" s="16"/>
      <c r="R19" s="16"/>
      <c r="S19" s="16"/>
      <c r="T19" s="3"/>
      <c r="U19" s="3"/>
      <c r="V19" s="3"/>
      <c r="W19" s="3"/>
      <c r="X19" s="3"/>
      <c r="Y19" s="3"/>
    </row>
    <row r="20" spans="1:25" ht="24.9" customHeight="1">
      <c r="A20" s="9" t="s">
        <v>22</v>
      </c>
      <c r="B20" s="28" t="s">
        <v>14</v>
      </c>
      <c r="C20" s="39">
        <v>3480</v>
      </c>
      <c r="D20" s="39">
        <v>4199</v>
      </c>
      <c r="E20" s="39">
        <v>4437</v>
      </c>
      <c r="F20" s="39">
        <v>3757</v>
      </c>
      <c r="J20" s="16"/>
      <c r="P20" s="16"/>
      <c r="Q20" s="16"/>
      <c r="R20" s="16"/>
      <c r="S20" s="16"/>
      <c r="T20" s="3"/>
      <c r="U20" s="3"/>
      <c r="V20" s="3"/>
      <c r="W20" s="3"/>
      <c r="X20" s="3"/>
      <c r="Y20" s="3"/>
    </row>
    <row r="21" spans="1:25" ht="42.75" customHeight="1">
      <c r="A21" s="40" t="s">
        <v>82</v>
      </c>
      <c r="B21" s="41" t="s">
        <v>101</v>
      </c>
      <c r="C21" s="42">
        <f t="shared" ref="C21:F21" si="2">C8-C17-C18-C19-C20</f>
        <v>114925</v>
      </c>
      <c r="D21" s="42">
        <f t="shared" si="2"/>
        <v>115210</v>
      </c>
      <c r="E21" s="42">
        <f t="shared" si="2"/>
        <v>132111</v>
      </c>
      <c r="F21" s="42">
        <f t="shared" si="2"/>
        <v>158387</v>
      </c>
      <c r="H21" s="16"/>
      <c r="P21" s="16"/>
      <c r="Q21" s="16"/>
      <c r="R21" s="16"/>
      <c r="S21" s="16"/>
      <c r="T21" s="3"/>
      <c r="U21" s="3"/>
      <c r="V21" s="3"/>
      <c r="W21" s="3"/>
      <c r="X21" s="3"/>
      <c r="Y21" s="3"/>
    </row>
    <row r="22" spans="1:25" ht="15.6">
      <c r="A22" s="11" t="s">
        <v>83</v>
      </c>
      <c r="B22" s="34"/>
      <c r="C22" s="35"/>
      <c r="D22" s="35"/>
      <c r="E22" s="35"/>
      <c r="F22" s="35"/>
      <c r="G22" s="11"/>
      <c r="H22" s="11"/>
    </row>
    <row r="23" spans="1:25" ht="18.75" customHeight="1">
      <c r="A23" s="11" t="s">
        <v>90</v>
      </c>
      <c r="B23" s="34"/>
    </row>
  </sheetData>
  <mergeCells count="4">
    <mergeCell ref="B2:F2"/>
    <mergeCell ref="B3:F3"/>
    <mergeCell ref="A4:F4"/>
    <mergeCell ref="A6:B6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8" scale="9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23"/>
  <sheetViews>
    <sheetView view="pageBreakPreview" topLeftCell="A4" zoomScale="40" zoomScaleNormal="75" zoomScaleSheetLayoutView="40" workbookViewId="0">
      <selection activeCell="A4" sqref="A4:F23"/>
    </sheetView>
  </sheetViews>
  <sheetFormatPr defaultColWidth="9.109375" defaultRowHeight="13.2"/>
  <cols>
    <col min="1" max="1" width="71.88671875" style="33" customWidth="1"/>
    <col min="2" max="2" width="79" style="1" customWidth="1"/>
    <col min="3" max="6" width="18.44140625" style="33" customWidth="1"/>
    <col min="7" max="7" width="11.6640625" style="12" customWidth="1"/>
    <col min="8" max="8" width="12.88671875" style="12" bestFit="1" customWidth="1"/>
    <col min="9" max="9" width="11.109375" style="12" bestFit="1" customWidth="1"/>
    <col min="10" max="10" width="10.6640625" style="12" bestFit="1" customWidth="1"/>
    <col min="11" max="19" width="9.109375" style="12"/>
    <col min="20" max="24" width="9.109375" style="33"/>
    <col min="25" max="25" width="9.33203125" style="33" bestFit="1" customWidth="1"/>
    <col min="26" max="16384" width="9.109375" style="33"/>
  </cols>
  <sheetData>
    <row r="1" spans="1:25" ht="15" hidden="1" customHeight="1"/>
    <row r="2" spans="1:25" ht="22.8" hidden="1">
      <c r="B2" s="106" t="s">
        <v>5</v>
      </c>
      <c r="C2" s="106"/>
      <c r="D2" s="106"/>
      <c r="E2" s="106"/>
      <c r="F2" s="106"/>
    </row>
    <row r="3" spans="1:25" ht="22.8" hidden="1">
      <c r="B3" s="107" t="s">
        <v>4</v>
      </c>
      <c r="C3" s="107"/>
      <c r="D3" s="107"/>
      <c r="E3" s="107"/>
      <c r="F3" s="107"/>
    </row>
    <row r="4" spans="1:25" s="4" customFormat="1" ht="45" customHeight="1">
      <c r="A4" s="108" t="s">
        <v>64</v>
      </c>
      <c r="B4" s="108"/>
      <c r="C4" s="108"/>
      <c r="D4" s="108"/>
      <c r="E4" s="108"/>
      <c r="F4" s="108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25" s="4" customFormat="1" ht="45" customHeight="1" thickBot="1">
      <c r="A5" s="32"/>
      <c r="B5" s="32"/>
      <c r="C5" s="32"/>
      <c r="D5" s="32"/>
      <c r="E5" s="32"/>
      <c r="F5" s="58" t="s">
        <v>6</v>
      </c>
      <c r="G5" s="14"/>
      <c r="H5" s="14"/>
      <c r="I5" s="14"/>
      <c r="J5" s="14"/>
      <c r="K5" s="14"/>
      <c r="L5" s="13"/>
      <c r="M5" s="13"/>
      <c r="N5" s="13"/>
      <c r="O5" s="13"/>
      <c r="P5" s="13"/>
      <c r="Q5" s="13"/>
      <c r="R5" s="13"/>
      <c r="S5" s="13"/>
    </row>
    <row r="6" spans="1:25" ht="25.5" customHeight="1" thickTop="1">
      <c r="A6" s="109" t="s">
        <v>26</v>
      </c>
      <c r="B6" s="109"/>
      <c r="C6" s="43" t="s">
        <v>0</v>
      </c>
      <c r="D6" s="36" t="s">
        <v>1</v>
      </c>
      <c r="E6" s="36" t="s">
        <v>2</v>
      </c>
      <c r="F6" s="37" t="s">
        <v>3</v>
      </c>
      <c r="I6" s="15"/>
    </row>
    <row r="7" spans="1:25" ht="36" customHeight="1" thickBot="1">
      <c r="A7" s="44"/>
      <c r="B7" s="45"/>
      <c r="C7" s="46" t="s">
        <v>35</v>
      </c>
      <c r="D7" s="46" t="s">
        <v>36</v>
      </c>
      <c r="E7" s="47" t="s">
        <v>37</v>
      </c>
      <c r="F7" s="46" t="s">
        <v>38</v>
      </c>
    </row>
    <row r="8" spans="1:25" ht="24.9" customHeight="1" thickTop="1">
      <c r="A8" s="25" t="s">
        <v>24</v>
      </c>
      <c r="B8" s="27" t="s">
        <v>7</v>
      </c>
      <c r="C8" s="38">
        <f t="shared" ref="C8:E8" si="0">SUM(C9:C15)</f>
        <v>156889</v>
      </c>
      <c r="D8" s="38">
        <f t="shared" si="0"/>
        <v>157674</v>
      </c>
      <c r="E8" s="38">
        <f t="shared" si="0"/>
        <v>158783</v>
      </c>
      <c r="F8" s="38">
        <f>SUM(F9:F15)</f>
        <v>169152</v>
      </c>
      <c r="G8" s="16"/>
      <c r="P8" s="16"/>
      <c r="Q8" s="16"/>
      <c r="R8" s="16"/>
      <c r="S8" s="16"/>
      <c r="T8" s="3"/>
      <c r="U8" s="3"/>
      <c r="V8" s="3"/>
      <c r="W8" s="3"/>
      <c r="X8" s="3"/>
      <c r="Y8" s="3"/>
    </row>
    <row r="9" spans="1:25" s="7" customFormat="1" ht="24.9" customHeight="1">
      <c r="A9" s="10" t="s">
        <v>15</v>
      </c>
      <c r="B9" s="26" t="s">
        <v>8</v>
      </c>
      <c r="C9" s="39">
        <v>25009</v>
      </c>
      <c r="D9" s="39">
        <v>25009</v>
      </c>
      <c r="E9" s="39">
        <v>25009</v>
      </c>
      <c r="F9" s="39">
        <v>27428</v>
      </c>
      <c r="G9" s="17"/>
      <c r="H9" s="17"/>
      <c r="I9" s="18"/>
      <c r="J9" s="18"/>
      <c r="K9" s="18"/>
      <c r="L9" s="18"/>
      <c r="M9" s="18"/>
      <c r="N9" s="18"/>
      <c r="O9" s="18"/>
      <c r="P9" s="17"/>
      <c r="Q9" s="17"/>
      <c r="R9" s="17"/>
      <c r="S9" s="17"/>
      <c r="T9" s="8"/>
      <c r="U9" s="8"/>
      <c r="V9" s="8"/>
      <c r="W9" s="8"/>
      <c r="X9" s="8"/>
      <c r="Y9" s="8"/>
    </row>
    <row r="10" spans="1:25" s="6" customFormat="1" ht="24.9" customHeight="1">
      <c r="A10" s="10" t="s">
        <v>16</v>
      </c>
      <c r="B10" s="28" t="s">
        <v>9</v>
      </c>
      <c r="C10" s="39">
        <v>18704</v>
      </c>
      <c r="D10" s="39">
        <v>18704</v>
      </c>
      <c r="E10" s="39">
        <v>18704</v>
      </c>
      <c r="F10" s="39">
        <v>20574</v>
      </c>
      <c r="G10" s="19"/>
      <c r="H10" s="20"/>
      <c r="I10" s="20"/>
      <c r="J10" s="20"/>
      <c r="K10" s="20"/>
      <c r="L10" s="20"/>
      <c r="M10" s="20"/>
      <c r="N10" s="20"/>
      <c r="O10" s="20"/>
      <c r="P10" s="19"/>
      <c r="Q10" s="19"/>
      <c r="R10" s="19"/>
      <c r="S10" s="19"/>
      <c r="T10" s="5"/>
      <c r="U10" s="5"/>
      <c r="V10" s="5"/>
      <c r="W10" s="5"/>
      <c r="X10" s="5"/>
      <c r="Y10" s="5"/>
    </row>
    <row r="11" spans="1:25" s="6" customFormat="1" ht="24.9" customHeight="1">
      <c r="A11" s="10" t="s">
        <v>17</v>
      </c>
      <c r="B11" s="26" t="s">
        <v>98</v>
      </c>
      <c r="C11" s="39">
        <v>65180</v>
      </c>
      <c r="D11" s="39">
        <v>66252</v>
      </c>
      <c r="E11" s="39">
        <v>67049</v>
      </c>
      <c r="F11" s="39">
        <v>68485</v>
      </c>
      <c r="G11" s="20"/>
      <c r="H11" s="19"/>
      <c r="I11" s="20"/>
      <c r="J11" s="20"/>
      <c r="K11" s="20"/>
      <c r="L11" s="20"/>
      <c r="M11" s="20"/>
      <c r="N11" s="20"/>
      <c r="O11" s="20"/>
      <c r="P11" s="19"/>
      <c r="Q11" s="19"/>
      <c r="R11" s="19"/>
      <c r="S11" s="19"/>
      <c r="T11" s="5"/>
      <c r="U11" s="5"/>
      <c r="V11" s="5"/>
      <c r="W11" s="5"/>
      <c r="X11" s="5"/>
      <c r="Y11" s="5"/>
    </row>
    <row r="12" spans="1:25" s="7" customFormat="1" ht="24.9" customHeight="1">
      <c r="A12" s="10" t="s">
        <v>23</v>
      </c>
      <c r="B12" s="28" t="s">
        <v>10</v>
      </c>
      <c r="C12" s="39">
        <v>7126</v>
      </c>
      <c r="D12" s="39">
        <v>7199</v>
      </c>
      <c r="E12" s="39">
        <v>7380</v>
      </c>
      <c r="F12" s="39">
        <v>7579</v>
      </c>
      <c r="G12" s="18"/>
      <c r="H12" s="17"/>
      <c r="I12" s="18"/>
      <c r="J12" s="18"/>
      <c r="K12" s="18"/>
      <c r="L12" s="18"/>
      <c r="M12" s="18"/>
      <c r="N12" s="18"/>
      <c r="O12" s="18"/>
      <c r="P12" s="17"/>
      <c r="Q12" s="17"/>
      <c r="R12" s="17"/>
      <c r="S12" s="17"/>
      <c r="T12" s="8"/>
      <c r="U12" s="8"/>
      <c r="V12" s="8"/>
      <c r="W12" s="8"/>
      <c r="X12" s="8"/>
      <c r="Y12" s="8"/>
    </row>
    <row r="13" spans="1:25" s="6" customFormat="1" ht="24.9" customHeight="1">
      <c r="A13" s="10" t="s">
        <v>18</v>
      </c>
      <c r="B13" s="26" t="s">
        <v>97</v>
      </c>
      <c r="C13" s="39">
        <v>658</v>
      </c>
      <c r="D13" s="39">
        <v>492</v>
      </c>
      <c r="E13" s="39">
        <v>484</v>
      </c>
      <c r="F13" s="39">
        <v>483</v>
      </c>
      <c r="G13" s="20"/>
      <c r="H13" s="17"/>
      <c r="I13" s="20"/>
      <c r="J13" s="20"/>
      <c r="K13" s="20"/>
      <c r="L13" s="20"/>
      <c r="M13" s="20"/>
      <c r="N13" s="20"/>
      <c r="O13" s="20"/>
      <c r="P13" s="19"/>
      <c r="Q13" s="19"/>
      <c r="R13" s="19"/>
      <c r="S13" s="19"/>
      <c r="T13" s="5"/>
      <c r="U13" s="5"/>
      <c r="V13" s="5"/>
      <c r="W13" s="5"/>
      <c r="X13" s="5"/>
      <c r="Y13" s="5"/>
    </row>
    <row r="14" spans="1:25" s="6" customFormat="1" ht="24.9" customHeight="1">
      <c r="A14" s="10" t="s">
        <v>19</v>
      </c>
      <c r="B14" s="28" t="s">
        <v>99</v>
      </c>
      <c r="C14" s="39">
        <v>38097</v>
      </c>
      <c r="D14" s="39">
        <v>38897</v>
      </c>
      <c r="E14" s="39">
        <v>39097</v>
      </c>
      <c r="F14" s="39">
        <v>43518</v>
      </c>
      <c r="G14" s="20"/>
      <c r="H14" s="17"/>
      <c r="I14" s="20"/>
      <c r="J14" s="20"/>
      <c r="K14" s="20"/>
      <c r="L14" s="20"/>
      <c r="M14" s="20"/>
      <c r="N14" s="20"/>
      <c r="O14" s="20"/>
      <c r="P14" s="19"/>
      <c r="Q14" s="19"/>
      <c r="R14" s="19"/>
      <c r="S14" s="19"/>
      <c r="T14" s="5"/>
      <c r="U14" s="5"/>
      <c r="V14" s="5"/>
      <c r="W14" s="5"/>
      <c r="X14" s="5"/>
      <c r="Y14" s="5"/>
    </row>
    <row r="15" spans="1:25" ht="30" customHeight="1">
      <c r="A15" s="30" t="s">
        <v>91</v>
      </c>
      <c r="B15" s="29" t="s">
        <v>89</v>
      </c>
      <c r="C15" s="39">
        <v>2115</v>
      </c>
      <c r="D15" s="39">
        <v>1121</v>
      </c>
      <c r="E15" s="39">
        <v>1060</v>
      </c>
      <c r="F15" s="39">
        <v>1085</v>
      </c>
      <c r="P15" s="16"/>
      <c r="Q15" s="16"/>
      <c r="R15" s="16"/>
      <c r="S15" s="16"/>
      <c r="T15" s="3"/>
      <c r="U15" s="3"/>
      <c r="V15" s="3"/>
      <c r="W15" s="3"/>
      <c r="X15" s="3"/>
      <c r="Y15" s="3"/>
    </row>
    <row r="16" spans="1:25" ht="24.9" customHeight="1">
      <c r="A16" s="31" t="s">
        <v>25</v>
      </c>
      <c r="B16" s="27" t="s">
        <v>11</v>
      </c>
      <c r="C16" s="38">
        <f>SUM(C18:C21)</f>
        <v>156889</v>
      </c>
      <c r="D16" s="38">
        <f>SUM(D18:D21)</f>
        <v>157674</v>
      </c>
      <c r="E16" s="38">
        <f>SUM(E18:E21)</f>
        <v>158783</v>
      </c>
      <c r="F16" s="38">
        <f>SUM(F18:F21)</f>
        <v>169152</v>
      </c>
      <c r="P16" s="16"/>
      <c r="Q16" s="16"/>
      <c r="R16" s="16"/>
      <c r="S16" s="16"/>
      <c r="T16" s="3"/>
      <c r="U16" s="3"/>
      <c r="V16" s="3"/>
      <c r="W16" s="3"/>
      <c r="X16" s="3"/>
      <c r="Y16" s="3"/>
    </row>
    <row r="17" spans="1:25" ht="24.9" customHeight="1">
      <c r="A17" s="10" t="s">
        <v>63</v>
      </c>
      <c r="B17" s="26" t="s">
        <v>12</v>
      </c>
      <c r="C17" s="39">
        <v>0</v>
      </c>
      <c r="D17" s="39">
        <v>0</v>
      </c>
      <c r="E17" s="39">
        <v>0</v>
      </c>
      <c r="F17" s="39">
        <v>0</v>
      </c>
      <c r="I17" s="16"/>
      <c r="P17" s="16"/>
      <c r="Q17" s="16"/>
      <c r="R17" s="16"/>
      <c r="S17" s="16"/>
      <c r="T17" s="3"/>
      <c r="U17" s="3"/>
      <c r="V17" s="3"/>
      <c r="W17" s="3"/>
      <c r="X17" s="3"/>
      <c r="Y17" s="3"/>
    </row>
    <row r="18" spans="1:25" s="2" customFormat="1" ht="24.9" customHeight="1">
      <c r="A18" s="9" t="s">
        <v>20</v>
      </c>
      <c r="B18" s="28" t="s">
        <v>100</v>
      </c>
      <c r="C18" s="39">
        <v>51510</v>
      </c>
      <c r="D18" s="39">
        <v>51872</v>
      </c>
      <c r="E18" s="39">
        <v>51581</v>
      </c>
      <c r="F18" s="39">
        <v>51734</v>
      </c>
      <c r="G18" s="21"/>
      <c r="H18" s="21"/>
      <c r="I18" s="22"/>
      <c r="J18" s="22"/>
      <c r="K18" s="21"/>
      <c r="L18" s="21"/>
      <c r="M18" s="21"/>
      <c r="N18" s="21"/>
      <c r="O18" s="21"/>
      <c r="P18" s="16"/>
      <c r="Q18" s="16"/>
      <c r="R18" s="16"/>
      <c r="S18" s="16"/>
      <c r="T18" s="3"/>
      <c r="U18" s="3"/>
      <c r="V18" s="3"/>
      <c r="W18" s="3"/>
      <c r="X18" s="3"/>
      <c r="Y18" s="3"/>
    </row>
    <row r="19" spans="1:25" ht="24.9" customHeight="1">
      <c r="A19" s="10" t="s">
        <v>21</v>
      </c>
      <c r="B19" s="26" t="s">
        <v>13</v>
      </c>
      <c r="C19" s="39">
        <v>0</v>
      </c>
      <c r="D19" s="39">
        <v>0</v>
      </c>
      <c r="E19" s="39">
        <v>0</v>
      </c>
      <c r="F19" s="39">
        <v>0</v>
      </c>
      <c r="H19" s="23"/>
      <c r="I19" s="16"/>
      <c r="P19" s="16"/>
      <c r="Q19" s="16"/>
      <c r="R19" s="16"/>
      <c r="S19" s="16"/>
      <c r="T19" s="3"/>
      <c r="U19" s="3"/>
      <c r="V19" s="3"/>
      <c r="W19" s="3"/>
      <c r="X19" s="3"/>
      <c r="Y19" s="3"/>
    </row>
    <row r="20" spans="1:25" ht="24.9" customHeight="1">
      <c r="A20" s="9" t="s">
        <v>22</v>
      </c>
      <c r="B20" s="28" t="s">
        <v>14</v>
      </c>
      <c r="C20" s="39">
        <v>2942</v>
      </c>
      <c r="D20" s="39">
        <v>2445</v>
      </c>
      <c r="E20" s="39">
        <v>2316</v>
      </c>
      <c r="F20" s="39">
        <v>2951</v>
      </c>
      <c r="J20" s="16"/>
      <c r="P20" s="16"/>
      <c r="Q20" s="16"/>
      <c r="R20" s="16"/>
      <c r="S20" s="16"/>
      <c r="T20" s="3"/>
      <c r="U20" s="3"/>
      <c r="V20" s="3"/>
      <c r="W20" s="3"/>
      <c r="X20" s="3"/>
      <c r="Y20" s="3"/>
    </row>
    <row r="21" spans="1:25" ht="39.75" customHeight="1">
      <c r="A21" s="40" t="s">
        <v>82</v>
      </c>
      <c r="B21" s="41" t="s">
        <v>101</v>
      </c>
      <c r="C21" s="42">
        <f>C8-C17-C18-C19-C20</f>
        <v>102437</v>
      </c>
      <c r="D21" s="42">
        <f t="shared" ref="D21:F21" si="1">D8-D17-D18-D19-D20</f>
        <v>103357</v>
      </c>
      <c r="E21" s="42">
        <f t="shared" si="1"/>
        <v>104886</v>
      </c>
      <c r="F21" s="42">
        <f t="shared" si="1"/>
        <v>114467</v>
      </c>
      <c r="H21" s="16"/>
      <c r="P21" s="16"/>
      <c r="Q21" s="16"/>
      <c r="R21" s="16"/>
      <c r="S21" s="16"/>
      <c r="T21" s="3"/>
      <c r="U21" s="3"/>
      <c r="V21" s="3"/>
      <c r="W21" s="3"/>
      <c r="X21" s="3"/>
      <c r="Y21" s="3"/>
    </row>
    <row r="22" spans="1:25" ht="15.6">
      <c r="A22" s="11" t="s">
        <v>83</v>
      </c>
      <c r="B22" s="34"/>
      <c r="C22" s="35"/>
      <c r="D22" s="35"/>
      <c r="E22" s="35"/>
      <c r="F22" s="35"/>
      <c r="G22" s="11"/>
      <c r="H22" s="11"/>
    </row>
    <row r="23" spans="1:25" ht="18.75" customHeight="1">
      <c r="A23" s="11" t="s">
        <v>90</v>
      </c>
      <c r="B23" s="34"/>
    </row>
  </sheetData>
  <mergeCells count="4">
    <mergeCell ref="B2:F2"/>
    <mergeCell ref="B3:F3"/>
    <mergeCell ref="A4:F4"/>
    <mergeCell ref="A6:B6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8" scale="93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Y23"/>
  <sheetViews>
    <sheetView view="pageBreakPreview" topLeftCell="A5" zoomScale="60" zoomScaleNormal="75" workbookViewId="0">
      <selection activeCell="B5" sqref="A5:F23"/>
    </sheetView>
  </sheetViews>
  <sheetFormatPr defaultColWidth="9.109375" defaultRowHeight="13.2"/>
  <cols>
    <col min="1" max="1" width="71.88671875" style="33" customWidth="1"/>
    <col min="2" max="2" width="81.6640625" style="1" bestFit="1" customWidth="1"/>
    <col min="3" max="6" width="18.44140625" style="33" customWidth="1"/>
    <col min="7" max="7" width="11.6640625" style="12" customWidth="1"/>
    <col min="8" max="8" width="12.88671875" style="12" bestFit="1" customWidth="1"/>
    <col min="9" max="9" width="11.109375" style="12" bestFit="1" customWidth="1"/>
    <col min="10" max="10" width="10.6640625" style="12" bestFit="1" customWidth="1"/>
    <col min="11" max="19" width="9.109375" style="12"/>
    <col min="20" max="24" width="9.109375" style="33"/>
    <col min="25" max="25" width="9.33203125" style="33" bestFit="1" customWidth="1"/>
    <col min="26" max="16384" width="9.109375" style="33"/>
  </cols>
  <sheetData>
    <row r="1" spans="1:25" ht="15" hidden="1" customHeight="1"/>
    <row r="2" spans="1:25" ht="22.8" hidden="1">
      <c r="B2" s="106" t="s">
        <v>5</v>
      </c>
      <c r="C2" s="106"/>
      <c r="D2" s="106"/>
      <c r="E2" s="106"/>
      <c r="F2" s="106"/>
    </row>
    <row r="3" spans="1:25" ht="22.8" hidden="1">
      <c r="B3" s="107" t="s">
        <v>4</v>
      </c>
      <c r="C3" s="107"/>
      <c r="D3" s="107"/>
      <c r="E3" s="107"/>
      <c r="F3" s="107"/>
    </row>
    <row r="4" spans="1:25" s="4" customFormat="1" ht="45" customHeight="1">
      <c r="A4" s="108" t="s">
        <v>64</v>
      </c>
      <c r="B4" s="108"/>
      <c r="C4" s="108"/>
      <c r="D4" s="108"/>
      <c r="E4" s="108"/>
      <c r="F4" s="108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25" s="4" customFormat="1" ht="45" customHeight="1" thickBot="1">
      <c r="A5" s="32"/>
      <c r="B5" s="32"/>
      <c r="C5" s="32"/>
      <c r="D5" s="32"/>
      <c r="E5" s="32"/>
      <c r="F5" s="58" t="s">
        <v>6</v>
      </c>
      <c r="G5" s="14"/>
      <c r="H5" s="14"/>
      <c r="I5" s="14"/>
      <c r="J5" s="14"/>
      <c r="K5" s="14"/>
      <c r="L5" s="13"/>
      <c r="M5" s="13"/>
      <c r="N5" s="13"/>
      <c r="O5" s="13"/>
      <c r="P5" s="13"/>
      <c r="Q5" s="13"/>
      <c r="R5" s="13"/>
      <c r="S5" s="13"/>
    </row>
    <row r="6" spans="1:25" ht="25.5" customHeight="1" thickTop="1">
      <c r="A6" s="110" t="s">
        <v>26</v>
      </c>
      <c r="B6" s="110"/>
      <c r="C6" s="43" t="s">
        <v>0</v>
      </c>
      <c r="D6" s="36" t="s">
        <v>1</v>
      </c>
      <c r="E6" s="36" t="s">
        <v>2</v>
      </c>
      <c r="F6" s="37" t="s">
        <v>3</v>
      </c>
      <c r="I6" s="15"/>
    </row>
    <row r="7" spans="1:25" ht="36" customHeight="1" thickBot="1">
      <c r="A7" s="44"/>
      <c r="B7" s="45"/>
      <c r="C7" s="46" t="s">
        <v>39</v>
      </c>
      <c r="D7" s="46" t="s">
        <v>40</v>
      </c>
      <c r="E7" s="47" t="s">
        <v>41</v>
      </c>
      <c r="F7" s="46" t="s">
        <v>42</v>
      </c>
    </row>
    <row r="8" spans="1:25" ht="24.9" customHeight="1" thickTop="1">
      <c r="A8" s="25" t="s">
        <v>24</v>
      </c>
      <c r="B8" s="27" t="s">
        <v>7</v>
      </c>
      <c r="C8" s="38">
        <f>SUM(C9:C15)</f>
        <v>171135</v>
      </c>
      <c r="D8" s="38">
        <f t="shared" ref="D8:E8" si="0">SUM(D9:D15)</f>
        <v>173816</v>
      </c>
      <c r="E8" s="38">
        <f t="shared" si="0"/>
        <v>178803</v>
      </c>
      <c r="F8" s="38">
        <f>SUM(F9:F15)</f>
        <v>193071</v>
      </c>
      <c r="G8" s="16"/>
      <c r="P8" s="16"/>
      <c r="Q8" s="16"/>
      <c r="R8" s="16"/>
      <c r="S8" s="16"/>
      <c r="T8" s="3"/>
      <c r="U8" s="3"/>
      <c r="V8" s="3"/>
      <c r="W8" s="3"/>
      <c r="X8" s="3"/>
      <c r="Y8" s="3"/>
    </row>
    <row r="9" spans="1:25" s="7" customFormat="1" ht="24.9" customHeight="1">
      <c r="A9" s="10" t="s">
        <v>15</v>
      </c>
      <c r="B9" s="26" t="s">
        <v>8</v>
      </c>
      <c r="C9" s="39">
        <v>27435</v>
      </c>
      <c r="D9" s="39">
        <v>27435</v>
      </c>
      <c r="E9" s="39">
        <v>27435</v>
      </c>
      <c r="F9" s="39">
        <v>29076</v>
      </c>
      <c r="G9" s="17"/>
      <c r="H9" s="17"/>
      <c r="I9" s="18"/>
      <c r="J9" s="18"/>
      <c r="K9" s="18"/>
      <c r="L9" s="18"/>
      <c r="M9" s="18"/>
      <c r="N9" s="18"/>
      <c r="O9" s="18"/>
      <c r="P9" s="17"/>
      <c r="Q9" s="17"/>
      <c r="R9" s="17"/>
      <c r="S9" s="17"/>
      <c r="T9" s="8"/>
      <c r="U9" s="8"/>
      <c r="V9" s="8"/>
      <c r="W9" s="8"/>
      <c r="X9" s="8"/>
      <c r="Y9" s="8"/>
    </row>
    <row r="10" spans="1:25" s="6" customFormat="1" ht="24.9" customHeight="1">
      <c r="A10" s="10" t="s">
        <v>16</v>
      </c>
      <c r="B10" s="28" t="s">
        <v>9</v>
      </c>
      <c r="C10" s="39">
        <v>20574</v>
      </c>
      <c r="D10" s="39">
        <v>20574</v>
      </c>
      <c r="E10" s="39">
        <v>20574</v>
      </c>
      <c r="F10" s="39">
        <v>22632</v>
      </c>
      <c r="G10" s="19"/>
      <c r="H10" s="20"/>
      <c r="I10" s="20"/>
      <c r="J10" s="20"/>
      <c r="K10" s="20"/>
      <c r="L10" s="20"/>
      <c r="M10" s="20"/>
      <c r="N10" s="20"/>
      <c r="O10" s="20"/>
      <c r="P10" s="19"/>
      <c r="Q10" s="19"/>
      <c r="R10" s="19"/>
      <c r="S10" s="19"/>
      <c r="T10" s="5"/>
      <c r="U10" s="5"/>
      <c r="V10" s="5"/>
      <c r="W10" s="5"/>
      <c r="X10" s="5"/>
      <c r="Y10" s="5"/>
    </row>
    <row r="11" spans="1:25" s="6" customFormat="1" ht="24.9" customHeight="1">
      <c r="A11" s="10" t="s">
        <v>17</v>
      </c>
      <c r="B11" s="26" t="s">
        <v>98</v>
      </c>
      <c r="C11" s="39">
        <v>70064</v>
      </c>
      <c r="D11" s="39">
        <v>73060</v>
      </c>
      <c r="E11" s="39">
        <v>77359</v>
      </c>
      <c r="F11" s="39">
        <v>79232</v>
      </c>
      <c r="G11" s="20"/>
      <c r="H11" s="19"/>
      <c r="I11" s="20"/>
      <c r="J11" s="20"/>
      <c r="K11" s="20"/>
      <c r="L11" s="20"/>
      <c r="M11" s="20"/>
      <c r="N11" s="20"/>
      <c r="O11" s="20"/>
      <c r="P11" s="19"/>
      <c r="Q11" s="19"/>
      <c r="R11" s="19"/>
      <c r="S11" s="19"/>
      <c r="T11" s="5"/>
      <c r="U11" s="5"/>
      <c r="V11" s="5"/>
      <c r="W11" s="5"/>
      <c r="X11" s="5"/>
      <c r="Y11" s="5"/>
    </row>
    <row r="12" spans="1:25" s="7" customFormat="1" ht="24.9" customHeight="1">
      <c r="A12" s="10" t="s">
        <v>23</v>
      </c>
      <c r="B12" s="28" t="s">
        <v>10</v>
      </c>
      <c r="C12" s="39">
        <v>7619</v>
      </c>
      <c r="D12" s="39">
        <v>7714</v>
      </c>
      <c r="E12" s="39">
        <v>7859</v>
      </c>
      <c r="F12" s="39">
        <v>7509</v>
      </c>
      <c r="G12" s="18"/>
      <c r="H12" s="17"/>
      <c r="I12" s="18"/>
      <c r="J12" s="18"/>
      <c r="K12" s="18"/>
      <c r="L12" s="18"/>
      <c r="M12" s="18"/>
      <c r="N12" s="18"/>
      <c r="O12" s="18"/>
      <c r="P12" s="17"/>
      <c r="Q12" s="17"/>
      <c r="R12" s="17"/>
      <c r="S12" s="17"/>
      <c r="T12" s="8"/>
      <c r="U12" s="8"/>
      <c r="V12" s="8"/>
      <c r="W12" s="8"/>
      <c r="X12" s="8"/>
      <c r="Y12" s="8"/>
    </row>
    <row r="13" spans="1:25" s="6" customFormat="1" ht="24.9" customHeight="1">
      <c r="A13" s="10" t="s">
        <v>18</v>
      </c>
      <c r="B13" s="26" t="s">
        <v>97</v>
      </c>
      <c r="C13" s="39">
        <v>441</v>
      </c>
      <c r="D13" s="39">
        <v>158</v>
      </c>
      <c r="E13" s="39">
        <v>156</v>
      </c>
      <c r="F13" s="39">
        <v>152</v>
      </c>
      <c r="G13" s="20"/>
      <c r="H13" s="17"/>
      <c r="I13" s="20"/>
      <c r="J13" s="20"/>
      <c r="K13" s="20"/>
      <c r="L13" s="20"/>
      <c r="M13" s="20"/>
      <c r="N13" s="20"/>
      <c r="O13" s="20"/>
      <c r="P13" s="19"/>
      <c r="Q13" s="19"/>
      <c r="R13" s="19"/>
      <c r="S13" s="19"/>
      <c r="T13" s="5"/>
      <c r="U13" s="5"/>
      <c r="V13" s="5"/>
      <c r="W13" s="5"/>
      <c r="X13" s="5"/>
      <c r="Y13" s="5"/>
    </row>
    <row r="14" spans="1:25" s="6" customFormat="1" ht="24.9" customHeight="1">
      <c r="A14" s="10" t="s">
        <v>19</v>
      </c>
      <c r="B14" s="28" t="s">
        <v>99</v>
      </c>
      <c r="C14" s="39">
        <v>43818</v>
      </c>
      <c r="D14" s="39">
        <v>43818</v>
      </c>
      <c r="E14" s="39">
        <v>44318</v>
      </c>
      <c r="F14" s="39">
        <v>49255</v>
      </c>
      <c r="G14" s="20"/>
      <c r="H14" s="17"/>
      <c r="I14" s="20"/>
      <c r="J14" s="20"/>
      <c r="K14" s="20"/>
      <c r="L14" s="20"/>
      <c r="M14" s="20"/>
      <c r="N14" s="20"/>
      <c r="O14" s="20"/>
      <c r="P14" s="19"/>
      <c r="Q14" s="19"/>
      <c r="R14" s="19"/>
      <c r="S14" s="19"/>
      <c r="T14" s="5"/>
      <c r="U14" s="5"/>
      <c r="V14" s="5"/>
      <c r="W14" s="5"/>
      <c r="X14" s="5"/>
      <c r="Y14" s="5"/>
    </row>
    <row r="15" spans="1:25" ht="30" customHeight="1">
      <c r="A15" s="30" t="s">
        <v>92</v>
      </c>
      <c r="B15" s="29" t="s">
        <v>89</v>
      </c>
      <c r="C15" s="39">
        <v>1184</v>
      </c>
      <c r="D15" s="39">
        <v>1057</v>
      </c>
      <c r="E15" s="39">
        <v>1102</v>
      </c>
      <c r="F15" s="39">
        <v>5215</v>
      </c>
      <c r="P15" s="16"/>
      <c r="Q15" s="16"/>
      <c r="R15" s="16"/>
      <c r="S15" s="16"/>
      <c r="T15" s="3"/>
      <c r="U15" s="3"/>
      <c r="V15" s="3"/>
      <c r="W15" s="3"/>
      <c r="X15" s="3"/>
      <c r="Y15" s="3"/>
    </row>
    <row r="16" spans="1:25" ht="24.9" customHeight="1">
      <c r="A16" s="31" t="s">
        <v>25</v>
      </c>
      <c r="B16" s="27" t="s">
        <v>11</v>
      </c>
      <c r="C16" s="38">
        <f>SUM(C17:C21)</f>
        <v>171135</v>
      </c>
      <c r="D16" s="38">
        <f t="shared" ref="D16:F16" si="1">SUM(D17:D21)</f>
        <v>173816</v>
      </c>
      <c r="E16" s="38">
        <f t="shared" si="1"/>
        <v>178803</v>
      </c>
      <c r="F16" s="38">
        <f t="shared" si="1"/>
        <v>193071</v>
      </c>
      <c r="P16" s="16"/>
      <c r="Q16" s="16"/>
      <c r="R16" s="16"/>
      <c r="S16" s="16"/>
      <c r="T16" s="3"/>
      <c r="U16" s="3"/>
      <c r="V16" s="3"/>
      <c r="W16" s="3"/>
      <c r="X16" s="3"/>
      <c r="Y16" s="3"/>
    </row>
    <row r="17" spans="1:25" ht="24.9" customHeight="1">
      <c r="A17" s="10" t="s">
        <v>63</v>
      </c>
      <c r="B17" s="26" t="s">
        <v>12</v>
      </c>
      <c r="C17" s="39">
        <v>0</v>
      </c>
      <c r="D17" s="39">
        <v>0</v>
      </c>
      <c r="E17" s="39">
        <v>0</v>
      </c>
      <c r="F17" s="39">
        <v>0</v>
      </c>
      <c r="I17" s="16"/>
      <c r="P17" s="16"/>
      <c r="Q17" s="16"/>
      <c r="R17" s="16"/>
      <c r="S17" s="16"/>
      <c r="T17" s="3"/>
      <c r="U17" s="3"/>
      <c r="V17" s="3"/>
      <c r="W17" s="3"/>
      <c r="X17" s="3"/>
      <c r="Y17" s="3"/>
    </row>
    <row r="18" spans="1:25" s="2" customFormat="1" ht="24.9" customHeight="1">
      <c r="A18" s="9" t="s">
        <v>20</v>
      </c>
      <c r="B18" s="28" t="s">
        <v>100</v>
      </c>
      <c r="C18" s="39">
        <v>52619</v>
      </c>
      <c r="D18" s="39">
        <v>52970</v>
      </c>
      <c r="E18" s="39">
        <v>51743</v>
      </c>
      <c r="F18" s="39">
        <v>51279</v>
      </c>
      <c r="G18" s="21"/>
      <c r="H18" s="21"/>
      <c r="I18" s="22"/>
      <c r="J18" s="22"/>
      <c r="K18" s="21"/>
      <c r="L18" s="21"/>
      <c r="M18" s="21"/>
      <c r="N18" s="21"/>
      <c r="O18" s="21"/>
      <c r="P18" s="16"/>
      <c r="Q18" s="16"/>
      <c r="R18" s="16"/>
      <c r="S18" s="16"/>
      <c r="T18" s="3"/>
      <c r="U18" s="3"/>
      <c r="V18" s="3"/>
      <c r="W18" s="3"/>
      <c r="X18" s="3"/>
      <c r="Y18" s="3"/>
    </row>
    <row r="19" spans="1:25" ht="24.9" customHeight="1">
      <c r="A19" s="10" t="s">
        <v>21</v>
      </c>
      <c r="B19" s="26" t="s">
        <v>13</v>
      </c>
      <c r="C19" s="39">
        <v>0</v>
      </c>
      <c r="D19" s="39">
        <v>0</v>
      </c>
      <c r="E19" s="39">
        <v>0</v>
      </c>
      <c r="F19" s="39">
        <v>8528</v>
      </c>
      <c r="H19" s="23"/>
      <c r="I19" s="16"/>
      <c r="P19" s="16"/>
      <c r="Q19" s="16"/>
      <c r="R19" s="16"/>
      <c r="S19" s="16"/>
      <c r="T19" s="3"/>
      <c r="U19" s="3"/>
      <c r="V19" s="3"/>
      <c r="W19" s="3"/>
      <c r="X19" s="3"/>
      <c r="Y19" s="3"/>
    </row>
    <row r="20" spans="1:25" ht="24.9" customHeight="1">
      <c r="A20" s="9" t="s">
        <v>22</v>
      </c>
      <c r="B20" s="28" t="s">
        <v>14</v>
      </c>
      <c r="C20" s="39">
        <v>1852</v>
      </c>
      <c r="D20" s="39">
        <v>1599</v>
      </c>
      <c r="E20" s="39">
        <v>2326</v>
      </c>
      <c r="F20" s="39">
        <v>3891</v>
      </c>
      <c r="J20" s="16"/>
      <c r="P20" s="16"/>
      <c r="Q20" s="16"/>
      <c r="R20" s="16"/>
      <c r="S20" s="16"/>
      <c r="T20" s="3"/>
      <c r="U20" s="3"/>
      <c r="V20" s="3"/>
      <c r="W20" s="3"/>
      <c r="X20" s="3"/>
      <c r="Y20" s="3"/>
    </row>
    <row r="21" spans="1:25" ht="42" customHeight="1">
      <c r="A21" s="40" t="s">
        <v>82</v>
      </c>
      <c r="B21" s="41" t="s">
        <v>101</v>
      </c>
      <c r="C21" s="42">
        <f>C8-C17-C18-C19-C20</f>
        <v>116664</v>
      </c>
      <c r="D21" s="42">
        <f t="shared" ref="D21:E21" si="2">D8-D17-D18-D19-D20</f>
        <v>119247</v>
      </c>
      <c r="E21" s="42">
        <f t="shared" si="2"/>
        <v>124734</v>
      </c>
      <c r="F21" s="42">
        <f>F8-F17-F18-F19-F20</f>
        <v>129373</v>
      </c>
      <c r="H21" s="16"/>
      <c r="P21" s="16"/>
      <c r="Q21" s="16"/>
      <c r="R21" s="16"/>
      <c r="S21" s="16"/>
      <c r="T21" s="3"/>
      <c r="U21" s="3"/>
      <c r="V21" s="3"/>
      <c r="W21" s="3"/>
      <c r="X21" s="3"/>
      <c r="Y21" s="3"/>
    </row>
    <row r="22" spans="1:25" ht="15.6">
      <c r="A22" s="11" t="s">
        <v>83</v>
      </c>
      <c r="B22" s="34"/>
      <c r="C22" s="35"/>
      <c r="D22" s="35"/>
      <c r="E22" s="35"/>
      <c r="F22" s="35"/>
      <c r="G22" s="11"/>
      <c r="H22" s="11"/>
    </row>
    <row r="23" spans="1:25" ht="18.75" customHeight="1">
      <c r="A23" s="11" t="s">
        <v>90</v>
      </c>
      <c r="B23" s="34"/>
    </row>
  </sheetData>
  <mergeCells count="4">
    <mergeCell ref="B2:F2"/>
    <mergeCell ref="B3:F3"/>
    <mergeCell ref="A4:F4"/>
    <mergeCell ref="A6:B6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8" scale="9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Y23"/>
  <sheetViews>
    <sheetView view="pageBreakPreview" topLeftCell="A5" zoomScale="60" zoomScaleNormal="75" workbookViewId="0">
      <selection activeCell="A4" sqref="A4:F23"/>
    </sheetView>
  </sheetViews>
  <sheetFormatPr defaultColWidth="9.109375" defaultRowHeight="13.2"/>
  <cols>
    <col min="1" max="1" width="71.5546875" style="33" customWidth="1"/>
    <col min="2" max="2" width="81.6640625" style="1" bestFit="1" customWidth="1"/>
    <col min="3" max="6" width="18.44140625" style="33" customWidth="1"/>
    <col min="7" max="7" width="11.6640625" style="12" customWidth="1"/>
    <col min="8" max="8" width="12.88671875" style="12" bestFit="1" customWidth="1"/>
    <col min="9" max="9" width="11.109375" style="12" bestFit="1" customWidth="1"/>
    <col min="10" max="10" width="10.6640625" style="12" bestFit="1" customWidth="1"/>
    <col min="11" max="19" width="9.109375" style="12"/>
    <col min="20" max="24" width="9.109375" style="33"/>
    <col min="25" max="25" width="9.33203125" style="33" bestFit="1" customWidth="1"/>
    <col min="26" max="16384" width="9.109375" style="33"/>
  </cols>
  <sheetData>
    <row r="1" spans="1:25" ht="15" hidden="1" customHeight="1"/>
    <row r="2" spans="1:25" ht="22.8" hidden="1">
      <c r="B2" s="106" t="s">
        <v>5</v>
      </c>
      <c r="C2" s="106"/>
      <c r="D2" s="106"/>
      <c r="E2" s="106"/>
      <c r="F2" s="106"/>
    </row>
    <row r="3" spans="1:25" ht="22.8" hidden="1">
      <c r="B3" s="107" t="s">
        <v>4</v>
      </c>
      <c r="C3" s="107"/>
      <c r="D3" s="107"/>
      <c r="E3" s="107"/>
      <c r="F3" s="107"/>
    </row>
    <row r="4" spans="1:25" s="4" customFormat="1" ht="45" customHeight="1">
      <c r="A4" s="108" t="s">
        <v>64</v>
      </c>
      <c r="B4" s="108"/>
      <c r="C4" s="108"/>
      <c r="D4" s="108"/>
      <c r="E4" s="108"/>
      <c r="F4" s="108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25" s="4" customFormat="1" ht="45" customHeight="1" thickBot="1">
      <c r="A5" s="32"/>
      <c r="B5" s="32"/>
      <c r="C5" s="32"/>
      <c r="D5" s="32"/>
      <c r="E5" s="32"/>
      <c r="F5" s="58" t="s">
        <v>6</v>
      </c>
      <c r="G5" s="14"/>
      <c r="H5" s="14"/>
      <c r="I5" s="14"/>
      <c r="J5" s="14"/>
      <c r="K5" s="14"/>
      <c r="L5" s="13"/>
      <c r="M5" s="13"/>
      <c r="N5" s="13"/>
      <c r="O5" s="13"/>
      <c r="P5" s="13"/>
      <c r="Q5" s="13"/>
      <c r="R5" s="13"/>
      <c r="S5" s="13"/>
    </row>
    <row r="6" spans="1:25" ht="25.5" customHeight="1" thickTop="1">
      <c r="A6" s="109" t="s">
        <v>26</v>
      </c>
      <c r="B6" s="109"/>
      <c r="C6" s="43" t="s">
        <v>0</v>
      </c>
      <c r="D6" s="36" t="s">
        <v>1</v>
      </c>
      <c r="E6" s="36" t="s">
        <v>2</v>
      </c>
      <c r="F6" s="37" t="s">
        <v>3</v>
      </c>
      <c r="I6" s="15"/>
    </row>
    <row r="7" spans="1:25" ht="36" customHeight="1" thickBot="1">
      <c r="A7" s="44"/>
      <c r="B7" s="45"/>
      <c r="C7" s="46" t="s">
        <v>43</v>
      </c>
      <c r="D7" s="46" t="s">
        <v>44</v>
      </c>
      <c r="E7" s="47" t="s">
        <v>45</v>
      </c>
      <c r="F7" s="46" t="s">
        <v>46</v>
      </c>
    </row>
    <row r="8" spans="1:25" ht="24.9" customHeight="1" thickTop="1">
      <c r="A8" s="25" t="s">
        <v>24</v>
      </c>
      <c r="B8" s="27" t="s">
        <v>7</v>
      </c>
      <c r="C8" s="38">
        <f t="shared" ref="C8:F8" si="0">SUM(C9:C15)</f>
        <v>192282</v>
      </c>
      <c r="D8" s="38">
        <f t="shared" si="0"/>
        <v>192602</v>
      </c>
      <c r="E8" s="38">
        <f t="shared" si="0"/>
        <v>192030</v>
      </c>
      <c r="F8" s="38">
        <f t="shared" si="0"/>
        <v>205560</v>
      </c>
      <c r="G8" s="16"/>
      <c r="P8" s="16"/>
      <c r="Q8" s="16"/>
      <c r="R8" s="16"/>
      <c r="S8" s="16"/>
      <c r="T8" s="3"/>
      <c r="U8" s="3"/>
      <c r="V8" s="3"/>
      <c r="W8" s="3"/>
      <c r="X8" s="3"/>
      <c r="Y8" s="3"/>
    </row>
    <row r="9" spans="1:25" s="7" customFormat="1" ht="24.9" customHeight="1">
      <c r="A9" s="10" t="s">
        <v>15</v>
      </c>
      <c r="B9" s="26" t="s">
        <v>8</v>
      </c>
      <c r="C9" s="39">
        <v>29076</v>
      </c>
      <c r="D9" s="39">
        <v>29076</v>
      </c>
      <c r="E9" s="39">
        <v>29076</v>
      </c>
      <c r="F9" s="39">
        <v>29638</v>
      </c>
      <c r="G9" s="17"/>
      <c r="H9" s="17"/>
      <c r="I9" s="18"/>
      <c r="J9" s="18"/>
      <c r="K9" s="18"/>
      <c r="L9" s="18"/>
      <c r="M9" s="18"/>
      <c r="N9" s="18"/>
      <c r="O9" s="18"/>
      <c r="P9" s="17"/>
      <c r="Q9" s="17"/>
      <c r="R9" s="17"/>
      <c r="S9" s="17"/>
      <c r="T9" s="8"/>
      <c r="U9" s="8"/>
      <c r="V9" s="8"/>
      <c r="W9" s="8"/>
      <c r="X9" s="8"/>
      <c r="Y9" s="8"/>
    </row>
    <row r="10" spans="1:25" s="6" customFormat="1" ht="24.9" customHeight="1">
      <c r="A10" s="10" t="s">
        <v>16</v>
      </c>
      <c r="B10" s="28" t="s">
        <v>9</v>
      </c>
      <c r="C10" s="39">
        <v>22632</v>
      </c>
      <c r="D10" s="39">
        <v>22632</v>
      </c>
      <c r="E10" s="39">
        <v>22632</v>
      </c>
      <c r="F10" s="39">
        <v>24895</v>
      </c>
      <c r="G10" s="19"/>
      <c r="H10" s="20"/>
      <c r="I10" s="20"/>
      <c r="J10" s="20"/>
      <c r="K10" s="20"/>
      <c r="L10" s="20"/>
      <c r="M10" s="20"/>
      <c r="N10" s="20"/>
      <c r="O10" s="20"/>
      <c r="P10" s="19"/>
      <c r="Q10" s="19"/>
      <c r="R10" s="19"/>
      <c r="S10" s="19"/>
      <c r="T10" s="5"/>
      <c r="U10" s="5"/>
      <c r="V10" s="5"/>
      <c r="W10" s="5"/>
      <c r="X10" s="5"/>
      <c r="Y10" s="5"/>
    </row>
    <row r="11" spans="1:25" s="6" customFormat="1" ht="24.9" customHeight="1">
      <c r="A11" s="10" t="s">
        <v>17</v>
      </c>
      <c r="B11" s="26" t="s">
        <v>98</v>
      </c>
      <c r="C11" s="39">
        <v>79232</v>
      </c>
      <c r="D11" s="39">
        <v>78311</v>
      </c>
      <c r="E11" s="39">
        <v>80056</v>
      </c>
      <c r="F11" s="39">
        <v>81454</v>
      </c>
      <c r="G11" s="20"/>
      <c r="H11" s="19"/>
      <c r="I11" s="20"/>
      <c r="J11" s="20"/>
      <c r="K11" s="20"/>
      <c r="L11" s="20"/>
      <c r="M11" s="20"/>
      <c r="N11" s="20"/>
      <c r="O11" s="20"/>
      <c r="P11" s="19"/>
      <c r="Q11" s="19"/>
      <c r="R11" s="19"/>
      <c r="S11" s="19"/>
      <c r="T11" s="5"/>
      <c r="U11" s="5"/>
      <c r="V11" s="5"/>
      <c r="W11" s="5"/>
      <c r="X11" s="5"/>
      <c r="Y11" s="5"/>
    </row>
    <row r="12" spans="1:25" s="7" customFormat="1" ht="24.9" customHeight="1">
      <c r="A12" s="10" t="s">
        <v>23</v>
      </c>
      <c r="B12" s="28" t="s">
        <v>10</v>
      </c>
      <c r="C12" s="39">
        <v>7838</v>
      </c>
      <c r="D12" s="39">
        <v>8013</v>
      </c>
      <c r="E12" s="39">
        <v>8333</v>
      </c>
      <c r="F12" s="39">
        <v>8654</v>
      </c>
      <c r="G12" s="18"/>
      <c r="H12" s="17"/>
      <c r="I12" s="18"/>
      <c r="J12" s="18"/>
      <c r="K12" s="18"/>
      <c r="L12" s="18"/>
      <c r="M12" s="18"/>
      <c r="N12" s="18"/>
      <c r="O12" s="18"/>
      <c r="P12" s="17"/>
      <c r="Q12" s="17"/>
      <c r="R12" s="17"/>
      <c r="S12" s="17"/>
      <c r="T12" s="8"/>
      <c r="U12" s="8"/>
      <c r="V12" s="8"/>
      <c r="W12" s="8"/>
      <c r="X12" s="8"/>
      <c r="Y12" s="8"/>
    </row>
    <row r="13" spans="1:25" s="6" customFormat="1" ht="24.9" customHeight="1">
      <c r="A13" s="10" t="s">
        <v>18</v>
      </c>
      <c r="B13" s="26" t="s">
        <v>97</v>
      </c>
      <c r="C13" s="39">
        <v>13</v>
      </c>
      <c r="D13" s="39">
        <v>13</v>
      </c>
      <c r="E13" s="39">
        <v>11</v>
      </c>
      <c r="F13" s="39">
        <v>11</v>
      </c>
      <c r="G13" s="20"/>
      <c r="H13" s="17"/>
      <c r="I13" s="20"/>
      <c r="J13" s="20"/>
      <c r="K13" s="20"/>
      <c r="L13" s="20"/>
      <c r="M13" s="20"/>
      <c r="N13" s="20"/>
      <c r="O13" s="20"/>
      <c r="P13" s="19"/>
      <c r="Q13" s="19"/>
      <c r="R13" s="19"/>
      <c r="S13" s="19"/>
      <c r="T13" s="5"/>
      <c r="U13" s="5"/>
      <c r="V13" s="5"/>
      <c r="W13" s="5"/>
      <c r="X13" s="5"/>
      <c r="Y13" s="5"/>
    </row>
    <row r="14" spans="1:25" s="6" customFormat="1" ht="24.9" customHeight="1">
      <c r="A14" s="10" t="s">
        <v>19</v>
      </c>
      <c r="B14" s="28" t="s">
        <v>99</v>
      </c>
      <c r="C14" s="39">
        <v>49255</v>
      </c>
      <c r="D14" s="39">
        <v>49255</v>
      </c>
      <c r="E14" s="39">
        <v>49255</v>
      </c>
      <c r="F14" s="39">
        <v>54487</v>
      </c>
      <c r="G14" s="20"/>
      <c r="H14" s="17"/>
      <c r="I14" s="20"/>
      <c r="J14" s="20"/>
      <c r="K14" s="20"/>
      <c r="L14" s="20"/>
      <c r="M14" s="20"/>
      <c r="N14" s="20"/>
      <c r="O14" s="20"/>
      <c r="P14" s="19"/>
      <c r="Q14" s="19"/>
      <c r="R14" s="19"/>
      <c r="S14" s="19"/>
      <c r="T14" s="5"/>
      <c r="U14" s="5"/>
      <c r="V14" s="5"/>
      <c r="W14" s="5"/>
      <c r="X14" s="5"/>
      <c r="Y14" s="5"/>
    </row>
    <row r="15" spans="1:25" ht="30" customHeight="1">
      <c r="A15" s="30" t="s">
        <v>91</v>
      </c>
      <c r="B15" s="29" t="s">
        <v>89</v>
      </c>
      <c r="C15" s="39">
        <v>4236</v>
      </c>
      <c r="D15" s="39">
        <v>5302</v>
      </c>
      <c r="E15" s="39">
        <v>2667</v>
      </c>
      <c r="F15" s="39">
        <v>6421</v>
      </c>
      <c r="P15" s="16"/>
      <c r="Q15" s="16"/>
      <c r="R15" s="16"/>
      <c r="S15" s="16"/>
      <c r="T15" s="3"/>
      <c r="U15" s="3"/>
      <c r="V15" s="3"/>
      <c r="W15" s="3"/>
      <c r="X15" s="3"/>
      <c r="Y15" s="3"/>
    </row>
    <row r="16" spans="1:25" ht="24.9" customHeight="1">
      <c r="A16" s="31" t="s">
        <v>25</v>
      </c>
      <c r="B16" s="27" t="s">
        <v>11</v>
      </c>
      <c r="C16" s="38">
        <f t="shared" ref="C16:F16" si="1">SUM(C17:C21)</f>
        <v>192282</v>
      </c>
      <c r="D16" s="38">
        <f t="shared" si="1"/>
        <v>192602</v>
      </c>
      <c r="E16" s="38">
        <f t="shared" si="1"/>
        <v>192030</v>
      </c>
      <c r="F16" s="38">
        <f t="shared" si="1"/>
        <v>205560</v>
      </c>
      <c r="P16" s="16"/>
      <c r="Q16" s="16"/>
      <c r="R16" s="16"/>
      <c r="S16" s="16"/>
      <c r="T16" s="3"/>
      <c r="U16" s="3"/>
      <c r="V16" s="3"/>
      <c r="W16" s="3"/>
      <c r="X16" s="3"/>
      <c r="Y16" s="3"/>
    </row>
    <row r="17" spans="1:25" ht="24.9" customHeight="1">
      <c r="A17" s="10" t="s">
        <v>63</v>
      </c>
      <c r="B17" s="26" t="s">
        <v>12</v>
      </c>
      <c r="C17" s="39">
        <v>0</v>
      </c>
      <c r="D17" s="39">
        <v>0</v>
      </c>
      <c r="E17" s="39">
        <v>0</v>
      </c>
      <c r="F17" s="39">
        <v>0</v>
      </c>
      <c r="I17" s="16"/>
      <c r="P17" s="16"/>
      <c r="Q17" s="16"/>
      <c r="R17" s="16"/>
      <c r="S17" s="16"/>
      <c r="T17" s="3"/>
      <c r="U17" s="3"/>
      <c r="V17" s="3"/>
      <c r="W17" s="3"/>
      <c r="X17" s="3"/>
      <c r="Y17" s="3"/>
    </row>
    <row r="18" spans="1:25" s="2" customFormat="1" ht="24.9" customHeight="1">
      <c r="A18" s="9" t="s">
        <v>20</v>
      </c>
      <c r="B18" s="28" t="s">
        <v>100</v>
      </c>
      <c r="C18" s="39">
        <v>52823</v>
      </c>
      <c r="D18" s="39">
        <v>52647</v>
      </c>
      <c r="E18" s="39">
        <v>52305</v>
      </c>
      <c r="F18" s="39">
        <v>50062</v>
      </c>
      <c r="G18" s="21"/>
      <c r="H18" s="21"/>
      <c r="I18" s="22"/>
      <c r="J18" s="22"/>
      <c r="K18" s="21"/>
      <c r="L18" s="21"/>
      <c r="M18" s="21"/>
      <c r="N18" s="21"/>
      <c r="O18" s="21"/>
      <c r="P18" s="16"/>
      <c r="Q18" s="16"/>
      <c r="R18" s="16"/>
      <c r="S18" s="16"/>
      <c r="T18" s="3"/>
      <c r="U18" s="3"/>
      <c r="V18" s="3"/>
      <c r="W18" s="3"/>
      <c r="X18" s="3"/>
      <c r="Y18" s="3"/>
    </row>
    <row r="19" spans="1:25" ht="24.9" customHeight="1">
      <c r="A19" s="10" t="s">
        <v>21</v>
      </c>
      <c r="B19" s="26" t="s">
        <v>13</v>
      </c>
      <c r="C19" s="39">
        <v>0</v>
      </c>
      <c r="D19" s="39">
        <v>0</v>
      </c>
      <c r="E19" s="39">
        <v>0</v>
      </c>
      <c r="F19" s="39">
        <v>0</v>
      </c>
      <c r="H19" s="23"/>
      <c r="I19" s="16"/>
      <c r="P19" s="16"/>
      <c r="Q19" s="16"/>
      <c r="R19" s="16"/>
      <c r="S19" s="16"/>
      <c r="T19" s="3"/>
      <c r="U19" s="3"/>
      <c r="V19" s="3"/>
      <c r="W19" s="3"/>
      <c r="X19" s="3"/>
      <c r="Y19" s="3"/>
    </row>
    <row r="20" spans="1:25" ht="24.9" customHeight="1">
      <c r="A20" s="9" t="s">
        <v>22</v>
      </c>
      <c r="B20" s="28" t="s">
        <v>14</v>
      </c>
      <c r="C20" s="39">
        <v>3056</v>
      </c>
      <c r="D20" s="39">
        <v>1907</v>
      </c>
      <c r="E20" s="39">
        <v>3110</v>
      </c>
      <c r="F20" s="39">
        <v>4806</v>
      </c>
      <c r="J20" s="16"/>
      <c r="P20" s="16"/>
      <c r="Q20" s="16"/>
      <c r="R20" s="16"/>
      <c r="S20" s="16"/>
      <c r="T20" s="3"/>
      <c r="U20" s="3"/>
      <c r="V20" s="3"/>
      <c r="W20" s="3"/>
      <c r="X20" s="3"/>
      <c r="Y20" s="3"/>
    </row>
    <row r="21" spans="1:25" ht="39.75" customHeight="1">
      <c r="A21" s="40" t="s">
        <v>82</v>
      </c>
      <c r="B21" s="41" t="s">
        <v>101</v>
      </c>
      <c r="C21" s="42">
        <f t="shared" ref="C21:F21" si="2">C8-C17-C18-C19-C20</f>
        <v>136403</v>
      </c>
      <c r="D21" s="42">
        <f t="shared" si="2"/>
        <v>138048</v>
      </c>
      <c r="E21" s="42">
        <f t="shared" si="2"/>
        <v>136615</v>
      </c>
      <c r="F21" s="42">
        <f t="shared" si="2"/>
        <v>150692</v>
      </c>
      <c r="H21" s="16"/>
      <c r="P21" s="16"/>
      <c r="Q21" s="16"/>
      <c r="R21" s="16"/>
      <c r="S21" s="16"/>
      <c r="T21" s="3"/>
      <c r="U21" s="3"/>
      <c r="V21" s="3"/>
      <c r="W21" s="3"/>
      <c r="X21" s="3"/>
      <c r="Y21" s="3"/>
    </row>
    <row r="22" spans="1:25" ht="15.6">
      <c r="A22" s="11" t="s">
        <v>83</v>
      </c>
      <c r="B22" s="34"/>
      <c r="C22" s="35"/>
      <c r="D22" s="35"/>
      <c r="E22" s="35"/>
      <c r="F22" s="35"/>
      <c r="G22" s="11"/>
      <c r="H22" s="11"/>
    </row>
    <row r="23" spans="1:25" ht="18.75" customHeight="1">
      <c r="A23" s="11" t="s">
        <v>90</v>
      </c>
      <c r="B23" s="34"/>
    </row>
  </sheetData>
  <mergeCells count="4">
    <mergeCell ref="B2:F2"/>
    <mergeCell ref="B3:F3"/>
    <mergeCell ref="A4:F4"/>
    <mergeCell ref="A6:B6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8" scale="9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Y23"/>
  <sheetViews>
    <sheetView view="pageBreakPreview" topLeftCell="A5" zoomScale="60" zoomScaleNormal="75" workbookViewId="0">
      <selection activeCell="A4" sqref="A4:F24"/>
    </sheetView>
  </sheetViews>
  <sheetFormatPr defaultColWidth="9.109375" defaultRowHeight="13.2"/>
  <cols>
    <col min="1" max="1" width="71.33203125" style="33" customWidth="1"/>
    <col min="2" max="2" width="81.6640625" style="1" bestFit="1" customWidth="1"/>
    <col min="3" max="6" width="18.44140625" style="33" customWidth="1"/>
    <col min="7" max="7" width="11.6640625" style="12" customWidth="1"/>
    <col min="8" max="8" width="12.88671875" style="12" bestFit="1" customWidth="1"/>
    <col min="9" max="9" width="11.109375" style="12" bestFit="1" customWidth="1"/>
    <col min="10" max="10" width="10.6640625" style="12" bestFit="1" customWidth="1"/>
    <col min="11" max="19" width="9.109375" style="12"/>
    <col min="20" max="24" width="9.109375" style="33"/>
    <col min="25" max="25" width="9.33203125" style="33" bestFit="1" customWidth="1"/>
    <col min="26" max="16384" width="9.109375" style="33"/>
  </cols>
  <sheetData>
    <row r="1" spans="1:25" ht="15" hidden="1" customHeight="1"/>
    <row r="2" spans="1:25" ht="22.8" hidden="1">
      <c r="B2" s="106" t="s">
        <v>5</v>
      </c>
      <c r="C2" s="106"/>
      <c r="D2" s="106"/>
      <c r="E2" s="106"/>
      <c r="F2" s="106"/>
    </row>
    <row r="3" spans="1:25" ht="22.8" hidden="1">
      <c r="B3" s="107" t="s">
        <v>4</v>
      </c>
      <c r="C3" s="107"/>
      <c r="D3" s="107"/>
      <c r="E3" s="107"/>
      <c r="F3" s="107"/>
    </row>
    <row r="4" spans="1:25" s="4" customFormat="1" ht="45" customHeight="1">
      <c r="A4" s="108" t="s">
        <v>64</v>
      </c>
      <c r="B4" s="108"/>
      <c r="C4" s="108"/>
      <c r="D4" s="108"/>
      <c r="E4" s="108"/>
      <c r="F4" s="108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25" s="4" customFormat="1" ht="45" customHeight="1" thickBot="1">
      <c r="A5" s="32"/>
      <c r="B5" s="32"/>
      <c r="C5" s="32"/>
      <c r="D5" s="32"/>
      <c r="E5" s="32"/>
      <c r="F5" s="58" t="s">
        <v>6</v>
      </c>
      <c r="G5" s="14"/>
      <c r="H5" s="14"/>
      <c r="I5" s="14"/>
      <c r="J5" s="14"/>
      <c r="K5" s="14"/>
      <c r="L5" s="13"/>
      <c r="M5" s="13"/>
      <c r="N5" s="13"/>
      <c r="O5" s="13"/>
      <c r="P5" s="13"/>
      <c r="Q5" s="13"/>
      <c r="R5" s="13"/>
      <c r="S5" s="13"/>
    </row>
    <row r="6" spans="1:25" ht="25.5" customHeight="1" thickTop="1">
      <c r="A6" s="109" t="s">
        <v>26</v>
      </c>
      <c r="B6" s="109"/>
      <c r="C6" s="43" t="s">
        <v>0</v>
      </c>
      <c r="D6" s="36" t="s">
        <v>1</v>
      </c>
      <c r="E6" s="36" t="s">
        <v>2</v>
      </c>
      <c r="F6" s="37" t="s">
        <v>3</v>
      </c>
      <c r="I6" s="15"/>
    </row>
    <row r="7" spans="1:25" ht="36" customHeight="1" thickBot="1">
      <c r="A7" s="44"/>
      <c r="B7" s="45"/>
      <c r="C7" s="46" t="s">
        <v>47</v>
      </c>
      <c r="D7" s="46" t="s">
        <v>48</v>
      </c>
      <c r="E7" s="47" t="s">
        <v>49</v>
      </c>
      <c r="F7" s="46" t="s">
        <v>50</v>
      </c>
    </row>
    <row r="8" spans="1:25" ht="24.9" customHeight="1" thickTop="1">
      <c r="A8" s="25" t="s">
        <v>24</v>
      </c>
      <c r="B8" s="27" t="s">
        <v>7</v>
      </c>
      <c r="C8" s="38">
        <f t="shared" ref="C8:F8" si="0">SUM(C9:C15)</f>
        <v>202778</v>
      </c>
      <c r="D8" s="38">
        <f t="shared" si="0"/>
        <v>210210</v>
      </c>
      <c r="E8" s="38">
        <f t="shared" si="0"/>
        <v>211293</v>
      </c>
      <c r="F8" s="38">
        <f t="shared" si="0"/>
        <v>227769</v>
      </c>
      <c r="G8" s="16"/>
      <c r="P8" s="16"/>
      <c r="Q8" s="16"/>
      <c r="R8" s="16"/>
      <c r="S8" s="16"/>
      <c r="T8" s="3"/>
      <c r="U8" s="3"/>
      <c r="V8" s="3"/>
      <c r="W8" s="3"/>
      <c r="X8" s="3"/>
      <c r="Y8" s="3"/>
    </row>
    <row r="9" spans="1:25" s="7" customFormat="1" ht="24.9" customHeight="1">
      <c r="A9" s="10" t="s">
        <v>15</v>
      </c>
      <c r="B9" s="26" t="s">
        <v>8</v>
      </c>
      <c r="C9" s="39">
        <v>29638</v>
      </c>
      <c r="D9" s="39">
        <v>29638</v>
      </c>
      <c r="E9" s="39">
        <v>29638</v>
      </c>
      <c r="F9" s="39">
        <v>31613</v>
      </c>
      <c r="G9" s="17"/>
      <c r="H9" s="17"/>
      <c r="I9" s="18"/>
      <c r="J9" s="18"/>
      <c r="K9" s="18"/>
      <c r="L9" s="18"/>
      <c r="M9" s="18"/>
      <c r="N9" s="18"/>
      <c r="O9" s="18"/>
      <c r="P9" s="17"/>
      <c r="Q9" s="17"/>
      <c r="R9" s="17"/>
      <c r="S9" s="17"/>
      <c r="T9" s="8"/>
      <c r="U9" s="8"/>
      <c r="V9" s="8"/>
      <c r="W9" s="8"/>
      <c r="X9" s="8"/>
      <c r="Y9" s="8"/>
    </row>
    <row r="10" spans="1:25" s="6" customFormat="1" ht="24.9" customHeight="1">
      <c r="A10" s="10" t="s">
        <v>16</v>
      </c>
      <c r="B10" s="28" t="s">
        <v>9</v>
      </c>
      <c r="C10" s="39">
        <v>24895</v>
      </c>
      <c r="D10" s="39">
        <v>24895</v>
      </c>
      <c r="E10" s="39">
        <v>24895</v>
      </c>
      <c r="F10" s="39">
        <v>27384</v>
      </c>
      <c r="G10" s="19"/>
      <c r="H10" s="20"/>
      <c r="I10" s="20"/>
      <c r="J10" s="20"/>
      <c r="K10" s="20"/>
      <c r="L10" s="20"/>
      <c r="M10" s="20"/>
      <c r="N10" s="20"/>
      <c r="O10" s="20"/>
      <c r="P10" s="19"/>
      <c r="Q10" s="19"/>
      <c r="R10" s="19"/>
      <c r="S10" s="19"/>
      <c r="T10" s="5"/>
      <c r="U10" s="5"/>
      <c r="V10" s="5"/>
      <c r="W10" s="5"/>
      <c r="X10" s="5"/>
      <c r="Y10" s="5"/>
    </row>
    <row r="11" spans="1:25" s="6" customFormat="1" ht="24.9" customHeight="1">
      <c r="A11" s="10" t="s">
        <v>17</v>
      </c>
      <c r="B11" s="26" t="s">
        <v>98</v>
      </c>
      <c r="C11" s="39">
        <v>83139</v>
      </c>
      <c r="D11" s="39">
        <v>87030</v>
      </c>
      <c r="E11" s="39">
        <v>88184</v>
      </c>
      <c r="F11" s="39">
        <v>91134</v>
      </c>
      <c r="G11" s="20"/>
      <c r="H11" s="19"/>
      <c r="I11" s="20"/>
      <c r="J11" s="20"/>
      <c r="K11" s="20"/>
      <c r="L11" s="20"/>
      <c r="M11" s="20"/>
      <c r="N11" s="20"/>
      <c r="O11" s="20"/>
      <c r="P11" s="19"/>
      <c r="Q11" s="19"/>
      <c r="R11" s="19"/>
      <c r="S11" s="19"/>
      <c r="T11" s="5"/>
      <c r="U11" s="5"/>
      <c r="V11" s="5"/>
      <c r="W11" s="5"/>
      <c r="X11" s="5"/>
      <c r="Y11" s="5"/>
    </row>
    <row r="12" spans="1:25" s="7" customFormat="1" ht="24.9" customHeight="1">
      <c r="A12" s="10" t="s">
        <v>23</v>
      </c>
      <c r="B12" s="28" t="s">
        <v>10</v>
      </c>
      <c r="C12" s="39">
        <v>8723</v>
      </c>
      <c r="D12" s="39">
        <v>8746</v>
      </c>
      <c r="E12" s="39">
        <v>8615</v>
      </c>
      <c r="F12" s="39">
        <v>8648</v>
      </c>
      <c r="G12" s="18"/>
      <c r="H12" s="17"/>
      <c r="I12" s="18"/>
      <c r="J12" s="18"/>
      <c r="K12" s="18"/>
      <c r="L12" s="18"/>
      <c r="M12" s="18"/>
      <c r="N12" s="18"/>
      <c r="O12" s="18"/>
      <c r="P12" s="17"/>
      <c r="Q12" s="17"/>
      <c r="R12" s="17"/>
      <c r="S12" s="17"/>
      <c r="T12" s="8"/>
      <c r="U12" s="8"/>
      <c r="V12" s="8"/>
      <c r="W12" s="8"/>
      <c r="X12" s="8"/>
      <c r="Y12" s="8"/>
    </row>
    <row r="13" spans="1:25" s="6" customFormat="1" ht="24.9" customHeight="1">
      <c r="A13" s="10" t="s">
        <v>18</v>
      </c>
      <c r="B13" s="26" t="s">
        <v>97</v>
      </c>
      <c r="C13" s="39">
        <v>10</v>
      </c>
      <c r="D13" s="39">
        <v>10</v>
      </c>
      <c r="E13" s="39">
        <v>10</v>
      </c>
      <c r="F13" s="39">
        <v>10</v>
      </c>
      <c r="G13" s="20"/>
      <c r="H13" s="17"/>
      <c r="I13" s="20"/>
      <c r="J13" s="20"/>
      <c r="K13" s="20"/>
      <c r="L13" s="20"/>
      <c r="M13" s="20"/>
      <c r="N13" s="20"/>
      <c r="O13" s="20"/>
      <c r="P13" s="19"/>
      <c r="Q13" s="19"/>
      <c r="R13" s="19"/>
      <c r="S13" s="19"/>
      <c r="T13" s="5"/>
      <c r="U13" s="5"/>
      <c r="V13" s="5"/>
      <c r="W13" s="5"/>
      <c r="X13" s="5"/>
      <c r="Y13" s="5"/>
    </row>
    <row r="14" spans="1:25" s="6" customFormat="1" ht="24.9" customHeight="1">
      <c r="A14" s="10" t="s">
        <v>19</v>
      </c>
      <c r="B14" s="28" t="s">
        <v>99</v>
      </c>
      <c r="C14" s="39">
        <v>54988</v>
      </c>
      <c r="D14" s="39">
        <v>57987</v>
      </c>
      <c r="E14" s="39">
        <v>57987</v>
      </c>
      <c r="F14" s="39">
        <v>64837</v>
      </c>
      <c r="G14" s="20"/>
      <c r="H14" s="17"/>
      <c r="I14" s="20"/>
      <c r="J14" s="20"/>
      <c r="K14" s="20"/>
      <c r="L14" s="20"/>
      <c r="M14" s="20"/>
      <c r="N14" s="20"/>
      <c r="O14" s="20"/>
      <c r="P14" s="19"/>
      <c r="Q14" s="19"/>
      <c r="R14" s="19"/>
      <c r="S14" s="19"/>
      <c r="T14" s="5"/>
      <c r="U14" s="5"/>
      <c r="V14" s="5"/>
      <c r="W14" s="5"/>
      <c r="X14" s="5"/>
      <c r="Y14" s="5"/>
    </row>
    <row r="15" spans="1:25" ht="30" customHeight="1">
      <c r="A15" s="30" t="s">
        <v>92</v>
      </c>
      <c r="B15" s="29" t="s">
        <v>89</v>
      </c>
      <c r="C15" s="39">
        <v>1385</v>
      </c>
      <c r="D15" s="39">
        <v>1904</v>
      </c>
      <c r="E15" s="39">
        <v>1964</v>
      </c>
      <c r="F15" s="39">
        <v>4143</v>
      </c>
      <c r="P15" s="16"/>
      <c r="Q15" s="16"/>
      <c r="R15" s="16"/>
      <c r="S15" s="16"/>
      <c r="T15" s="3"/>
      <c r="U15" s="3"/>
      <c r="V15" s="3"/>
      <c r="W15" s="3"/>
      <c r="X15" s="3"/>
      <c r="Y15" s="3"/>
    </row>
    <row r="16" spans="1:25" ht="24.9" customHeight="1">
      <c r="A16" s="31" t="s">
        <v>25</v>
      </c>
      <c r="B16" s="27" t="s">
        <v>11</v>
      </c>
      <c r="C16" s="38">
        <f t="shared" ref="C16:F16" si="1">SUM(C17:C21)</f>
        <v>202778</v>
      </c>
      <c r="D16" s="38">
        <f t="shared" si="1"/>
        <v>210210</v>
      </c>
      <c r="E16" s="38">
        <f t="shared" si="1"/>
        <v>211293</v>
      </c>
      <c r="F16" s="38">
        <f t="shared" si="1"/>
        <v>227769</v>
      </c>
      <c r="P16" s="16"/>
      <c r="Q16" s="16"/>
      <c r="R16" s="16"/>
      <c r="S16" s="16"/>
      <c r="T16" s="3"/>
      <c r="U16" s="3"/>
      <c r="V16" s="3"/>
      <c r="W16" s="3"/>
      <c r="X16" s="3"/>
      <c r="Y16" s="3"/>
    </row>
    <row r="17" spans="1:25" ht="24.9" customHeight="1">
      <c r="A17" s="10" t="s">
        <v>63</v>
      </c>
      <c r="B17" s="26" t="s">
        <v>12</v>
      </c>
      <c r="C17" s="39">
        <v>0</v>
      </c>
      <c r="D17" s="39">
        <v>0</v>
      </c>
      <c r="E17" s="39">
        <v>0</v>
      </c>
      <c r="F17" s="39">
        <v>0</v>
      </c>
      <c r="I17" s="16"/>
      <c r="P17" s="16"/>
      <c r="Q17" s="16"/>
      <c r="R17" s="16"/>
      <c r="S17" s="16"/>
      <c r="T17" s="3"/>
      <c r="U17" s="3"/>
      <c r="V17" s="3"/>
      <c r="W17" s="3"/>
      <c r="X17" s="3"/>
      <c r="Y17" s="3"/>
    </row>
    <row r="18" spans="1:25" s="2" customFormat="1" ht="24.9" customHeight="1">
      <c r="A18" s="9" t="s">
        <v>20</v>
      </c>
      <c r="B18" s="28" t="s">
        <v>100</v>
      </c>
      <c r="C18" s="39">
        <v>51323</v>
      </c>
      <c r="D18" s="39">
        <v>51209</v>
      </c>
      <c r="E18" s="39">
        <v>51049</v>
      </c>
      <c r="F18" s="39">
        <v>51469</v>
      </c>
      <c r="G18" s="21"/>
      <c r="H18" s="21"/>
      <c r="I18" s="22"/>
      <c r="J18" s="22"/>
      <c r="K18" s="21"/>
      <c r="L18" s="21"/>
      <c r="M18" s="21"/>
      <c r="N18" s="21"/>
      <c r="O18" s="21"/>
      <c r="P18" s="16"/>
      <c r="Q18" s="16"/>
      <c r="R18" s="16"/>
      <c r="S18" s="16"/>
      <c r="T18" s="3"/>
      <c r="U18" s="3"/>
      <c r="V18" s="3"/>
      <c r="W18" s="3"/>
      <c r="X18" s="3"/>
      <c r="Y18" s="3"/>
    </row>
    <row r="19" spans="1:25" ht="24.9" customHeight="1">
      <c r="A19" s="10" t="s">
        <v>21</v>
      </c>
      <c r="B19" s="26" t="s">
        <v>13</v>
      </c>
      <c r="C19" s="39">
        <v>8607</v>
      </c>
      <c r="D19" s="39">
        <v>12310</v>
      </c>
      <c r="E19" s="39">
        <v>14294</v>
      </c>
      <c r="F19" s="39">
        <v>13664</v>
      </c>
      <c r="H19" s="23"/>
      <c r="I19" s="16"/>
      <c r="P19" s="16"/>
      <c r="Q19" s="16"/>
      <c r="R19" s="16"/>
      <c r="S19" s="16"/>
      <c r="T19" s="3"/>
      <c r="U19" s="3"/>
      <c r="V19" s="3"/>
      <c r="W19" s="3"/>
      <c r="X19" s="3"/>
      <c r="Y19" s="3"/>
    </row>
    <row r="20" spans="1:25" ht="24.9" customHeight="1">
      <c r="A20" s="9" t="s">
        <v>22</v>
      </c>
      <c r="B20" s="28" t="s">
        <v>14</v>
      </c>
      <c r="C20" s="39">
        <v>4526</v>
      </c>
      <c r="D20" s="39">
        <v>9106</v>
      </c>
      <c r="E20" s="39">
        <v>3375</v>
      </c>
      <c r="F20" s="39">
        <v>5510</v>
      </c>
      <c r="J20" s="16"/>
      <c r="P20" s="16"/>
      <c r="Q20" s="16"/>
      <c r="R20" s="16"/>
      <c r="S20" s="16"/>
      <c r="T20" s="3"/>
      <c r="U20" s="3"/>
      <c r="V20" s="3"/>
      <c r="W20" s="3"/>
      <c r="X20" s="3"/>
      <c r="Y20" s="3"/>
    </row>
    <row r="21" spans="1:25" ht="38.25" customHeight="1">
      <c r="A21" s="40" t="s">
        <v>82</v>
      </c>
      <c r="B21" s="41" t="s">
        <v>101</v>
      </c>
      <c r="C21" s="42">
        <f t="shared" ref="C21:F21" si="2">C8-C17-C18-C19-C20</f>
        <v>138322</v>
      </c>
      <c r="D21" s="42">
        <f t="shared" si="2"/>
        <v>137585</v>
      </c>
      <c r="E21" s="42">
        <f t="shared" si="2"/>
        <v>142575</v>
      </c>
      <c r="F21" s="42">
        <f t="shared" si="2"/>
        <v>157126</v>
      </c>
      <c r="H21" s="16"/>
      <c r="P21" s="16"/>
      <c r="Q21" s="16"/>
      <c r="R21" s="16"/>
      <c r="S21" s="16"/>
      <c r="T21" s="3"/>
      <c r="U21" s="3"/>
      <c r="V21" s="3"/>
      <c r="W21" s="3"/>
      <c r="X21" s="3"/>
      <c r="Y21" s="3"/>
    </row>
    <row r="22" spans="1:25" ht="15.6">
      <c r="A22" s="11" t="s">
        <v>83</v>
      </c>
      <c r="B22" s="34"/>
      <c r="C22" s="35"/>
      <c r="D22" s="35"/>
      <c r="E22" s="35"/>
      <c r="F22" s="35"/>
      <c r="G22" s="11"/>
      <c r="H22" s="11"/>
    </row>
    <row r="23" spans="1:25" ht="18.75" customHeight="1">
      <c r="A23" s="11" t="s">
        <v>90</v>
      </c>
      <c r="B23" s="34"/>
    </row>
  </sheetData>
  <mergeCells count="4">
    <mergeCell ref="B2:F2"/>
    <mergeCell ref="B3:F3"/>
    <mergeCell ref="A4:F4"/>
    <mergeCell ref="A6:B6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8" scale="93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Y23"/>
  <sheetViews>
    <sheetView view="pageBreakPreview" topLeftCell="A5" zoomScale="60" zoomScaleNormal="75" workbookViewId="0">
      <selection activeCell="A4" sqref="A4:F23"/>
    </sheetView>
  </sheetViews>
  <sheetFormatPr defaultColWidth="9.109375" defaultRowHeight="13.2"/>
  <cols>
    <col min="1" max="1" width="70.88671875" style="33" customWidth="1"/>
    <col min="2" max="2" width="81.6640625" style="1" bestFit="1" customWidth="1"/>
    <col min="3" max="6" width="18.44140625" style="33" customWidth="1"/>
    <col min="7" max="7" width="11.6640625" style="12" customWidth="1"/>
    <col min="8" max="8" width="12.88671875" style="12" bestFit="1" customWidth="1"/>
    <col min="9" max="9" width="11.109375" style="12" bestFit="1" customWidth="1"/>
    <col min="10" max="10" width="10.6640625" style="12" bestFit="1" customWidth="1"/>
    <col min="11" max="19" width="9.109375" style="12"/>
    <col min="20" max="24" width="9.109375" style="33"/>
    <col min="25" max="25" width="9.33203125" style="33" bestFit="1" customWidth="1"/>
    <col min="26" max="16384" width="9.109375" style="33"/>
  </cols>
  <sheetData>
    <row r="1" spans="1:25" ht="15" hidden="1" customHeight="1"/>
    <row r="2" spans="1:25" ht="22.8" hidden="1">
      <c r="B2" s="106" t="s">
        <v>5</v>
      </c>
      <c r="C2" s="106"/>
      <c r="D2" s="106"/>
      <c r="E2" s="106"/>
      <c r="F2" s="106"/>
    </row>
    <row r="3" spans="1:25" ht="22.8" hidden="1">
      <c r="B3" s="107" t="s">
        <v>4</v>
      </c>
      <c r="C3" s="107"/>
      <c r="D3" s="107"/>
      <c r="E3" s="107"/>
      <c r="F3" s="107"/>
    </row>
    <row r="4" spans="1:25" s="4" customFormat="1" ht="45" customHeight="1">
      <c r="A4" s="108" t="s">
        <v>64</v>
      </c>
      <c r="B4" s="108"/>
      <c r="C4" s="108"/>
      <c r="D4" s="108"/>
      <c r="E4" s="108"/>
      <c r="F4" s="108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25" s="4" customFormat="1" ht="45" customHeight="1" thickBot="1">
      <c r="A5" s="32"/>
      <c r="B5" s="32"/>
      <c r="C5" s="32"/>
      <c r="D5" s="32"/>
      <c r="E5" s="32"/>
      <c r="F5" s="58" t="s">
        <v>6</v>
      </c>
      <c r="G5" s="14"/>
      <c r="H5" s="14"/>
      <c r="I5" s="14"/>
      <c r="J5" s="14"/>
      <c r="K5" s="14"/>
      <c r="L5" s="13"/>
      <c r="M5" s="13"/>
      <c r="N5" s="13"/>
      <c r="O5" s="13"/>
      <c r="P5" s="13"/>
      <c r="Q5" s="13"/>
      <c r="R5" s="13"/>
      <c r="S5" s="13"/>
    </row>
    <row r="6" spans="1:25" ht="25.5" customHeight="1" thickTop="1">
      <c r="A6" s="109" t="s">
        <v>26</v>
      </c>
      <c r="B6" s="109"/>
      <c r="C6" s="43" t="s">
        <v>0</v>
      </c>
      <c r="D6" s="36" t="s">
        <v>1</v>
      </c>
      <c r="E6" s="36" t="s">
        <v>2</v>
      </c>
      <c r="F6" s="37" t="s">
        <v>3</v>
      </c>
      <c r="I6" s="15"/>
    </row>
    <row r="7" spans="1:25" ht="36" customHeight="1" thickBot="1">
      <c r="A7" s="44"/>
      <c r="B7" s="45"/>
      <c r="C7" s="46" t="s">
        <v>51</v>
      </c>
      <c r="D7" s="46" t="s">
        <v>52</v>
      </c>
      <c r="E7" s="47" t="s">
        <v>53</v>
      </c>
      <c r="F7" s="46" t="s">
        <v>54</v>
      </c>
    </row>
    <row r="8" spans="1:25" ht="24.9" customHeight="1" thickTop="1">
      <c r="A8" s="25" t="s">
        <v>24</v>
      </c>
      <c r="B8" s="27" t="s">
        <v>7</v>
      </c>
      <c r="C8" s="38">
        <f t="shared" ref="C8:E8" si="0">SUM(C9:C15)</f>
        <v>228031</v>
      </c>
      <c r="D8" s="38">
        <f t="shared" si="0"/>
        <v>228677</v>
      </c>
      <c r="E8" s="38">
        <f t="shared" si="0"/>
        <v>229136</v>
      </c>
      <c r="F8" s="38">
        <f>SUM(F9:F15)</f>
        <v>240851</v>
      </c>
      <c r="G8" s="16"/>
      <c r="P8" s="16"/>
      <c r="Q8" s="16"/>
      <c r="R8" s="16"/>
      <c r="S8" s="16"/>
      <c r="T8" s="3"/>
      <c r="U8" s="3"/>
      <c r="V8" s="3"/>
      <c r="W8" s="3"/>
      <c r="X8" s="3"/>
      <c r="Y8" s="3"/>
    </row>
    <row r="9" spans="1:25" s="7" customFormat="1" ht="24.9" customHeight="1">
      <c r="A9" s="10" t="s">
        <v>15</v>
      </c>
      <c r="B9" s="26" t="s">
        <v>8</v>
      </c>
      <c r="C9" s="39">
        <v>31613</v>
      </c>
      <c r="D9" s="39">
        <v>31613</v>
      </c>
      <c r="E9" s="39">
        <v>31613</v>
      </c>
      <c r="F9" s="39">
        <v>32982</v>
      </c>
      <c r="G9" s="17"/>
      <c r="H9" s="17"/>
      <c r="I9" s="18"/>
      <c r="J9" s="18"/>
      <c r="K9" s="18"/>
      <c r="L9" s="18"/>
      <c r="M9" s="18"/>
      <c r="N9" s="18"/>
      <c r="O9" s="18"/>
      <c r="P9" s="17"/>
      <c r="Q9" s="17"/>
      <c r="R9" s="17"/>
      <c r="S9" s="17"/>
      <c r="T9" s="8"/>
      <c r="U9" s="8"/>
      <c r="V9" s="8"/>
      <c r="W9" s="8"/>
      <c r="X9" s="8"/>
      <c r="Y9" s="8"/>
    </row>
    <row r="10" spans="1:25" s="6" customFormat="1" ht="24.9" customHeight="1">
      <c r="A10" s="10" t="s">
        <v>16</v>
      </c>
      <c r="B10" s="28" t="s">
        <v>9</v>
      </c>
      <c r="C10" s="39">
        <v>27384</v>
      </c>
      <c r="D10" s="39">
        <v>27384</v>
      </c>
      <c r="E10" s="39">
        <v>27384</v>
      </c>
      <c r="F10" s="39">
        <v>29663</v>
      </c>
      <c r="G10" s="19"/>
      <c r="H10" s="20"/>
      <c r="I10" s="20"/>
      <c r="J10" s="20"/>
      <c r="K10" s="20"/>
      <c r="L10" s="20"/>
      <c r="M10" s="20"/>
      <c r="N10" s="20"/>
      <c r="O10" s="20"/>
      <c r="P10" s="19"/>
      <c r="Q10" s="19"/>
      <c r="R10" s="19"/>
      <c r="S10" s="19"/>
      <c r="T10" s="5"/>
      <c r="U10" s="5"/>
      <c r="V10" s="5"/>
      <c r="W10" s="5"/>
      <c r="X10" s="5"/>
      <c r="Y10" s="5"/>
    </row>
    <row r="11" spans="1:25" s="6" customFormat="1" ht="24.9" customHeight="1">
      <c r="A11" s="10" t="s">
        <v>17</v>
      </c>
      <c r="B11" s="26" t="s">
        <v>98</v>
      </c>
      <c r="C11" s="39">
        <v>92818</v>
      </c>
      <c r="D11" s="39">
        <v>93480</v>
      </c>
      <c r="E11" s="39">
        <v>94165</v>
      </c>
      <c r="F11" s="39">
        <v>94635</v>
      </c>
      <c r="G11" s="20"/>
      <c r="H11" s="19"/>
      <c r="I11" s="20"/>
      <c r="J11" s="20"/>
      <c r="K11" s="20"/>
      <c r="L11" s="20"/>
      <c r="M11" s="20"/>
      <c r="N11" s="20"/>
      <c r="O11" s="20"/>
      <c r="P11" s="19"/>
      <c r="Q11" s="19"/>
      <c r="R11" s="19"/>
      <c r="S11" s="19"/>
      <c r="T11" s="5"/>
      <c r="U11" s="5"/>
      <c r="V11" s="5"/>
      <c r="W11" s="5"/>
      <c r="X11" s="5"/>
      <c r="Y11" s="5"/>
    </row>
    <row r="12" spans="1:25" s="7" customFormat="1" ht="24.9" customHeight="1">
      <c r="A12" s="10" t="s">
        <v>23</v>
      </c>
      <c r="B12" s="28" t="s">
        <v>10</v>
      </c>
      <c r="C12" s="39">
        <v>8668</v>
      </c>
      <c r="D12" s="39">
        <v>8640</v>
      </c>
      <c r="E12" s="39">
        <v>8660</v>
      </c>
      <c r="F12" s="39">
        <v>8747</v>
      </c>
      <c r="G12" s="18"/>
      <c r="H12" s="17"/>
      <c r="I12" s="18"/>
      <c r="J12" s="18"/>
      <c r="K12" s="18"/>
      <c r="L12" s="18"/>
      <c r="M12" s="18"/>
      <c r="N12" s="18"/>
      <c r="O12" s="18"/>
      <c r="P12" s="17"/>
      <c r="Q12" s="17"/>
      <c r="R12" s="17"/>
      <c r="S12" s="17"/>
      <c r="T12" s="8"/>
      <c r="U12" s="8"/>
      <c r="V12" s="8"/>
      <c r="W12" s="8"/>
      <c r="X12" s="8"/>
      <c r="Y12" s="8"/>
    </row>
    <row r="13" spans="1:25" s="6" customFormat="1" ht="24.9" customHeight="1">
      <c r="A13" s="10" t="s">
        <v>18</v>
      </c>
      <c r="B13" s="26" t="s">
        <v>97</v>
      </c>
      <c r="C13" s="39">
        <v>9</v>
      </c>
      <c r="D13" s="39">
        <v>9</v>
      </c>
      <c r="E13" s="39">
        <v>9</v>
      </c>
      <c r="F13" s="39">
        <v>9</v>
      </c>
      <c r="G13" s="20"/>
      <c r="H13" s="17"/>
      <c r="I13" s="20"/>
      <c r="J13" s="20"/>
      <c r="K13" s="20"/>
      <c r="L13" s="20"/>
      <c r="M13" s="20"/>
      <c r="N13" s="20"/>
      <c r="O13" s="20"/>
      <c r="P13" s="19"/>
      <c r="Q13" s="19"/>
      <c r="R13" s="19"/>
      <c r="S13" s="19"/>
      <c r="T13" s="5"/>
      <c r="U13" s="5"/>
      <c r="V13" s="5"/>
      <c r="W13" s="5"/>
      <c r="X13" s="5"/>
      <c r="Y13" s="5"/>
    </row>
    <row r="14" spans="1:25" s="6" customFormat="1" ht="24.9" customHeight="1">
      <c r="A14" s="10" t="s">
        <v>19</v>
      </c>
      <c r="B14" s="28" t="s">
        <v>99</v>
      </c>
      <c r="C14" s="39">
        <v>65837</v>
      </c>
      <c r="D14" s="39">
        <v>65837</v>
      </c>
      <c r="E14" s="39">
        <v>65837</v>
      </c>
      <c r="F14" s="39">
        <v>71978</v>
      </c>
      <c r="G14" s="20"/>
      <c r="H14" s="17"/>
      <c r="I14" s="20"/>
      <c r="J14" s="20"/>
      <c r="K14" s="20"/>
      <c r="L14" s="20"/>
      <c r="M14" s="20"/>
      <c r="N14" s="20"/>
      <c r="O14" s="20"/>
      <c r="P14" s="19"/>
      <c r="Q14" s="19"/>
      <c r="R14" s="19"/>
      <c r="S14" s="19"/>
      <c r="T14" s="5"/>
      <c r="U14" s="5"/>
      <c r="V14" s="5"/>
      <c r="W14" s="5"/>
      <c r="X14" s="5"/>
      <c r="Y14" s="5"/>
    </row>
    <row r="15" spans="1:25" ht="30" customHeight="1">
      <c r="A15" s="30" t="s">
        <v>92</v>
      </c>
      <c r="B15" s="29" t="s">
        <v>89</v>
      </c>
      <c r="C15" s="39">
        <v>1702</v>
      </c>
      <c r="D15" s="39">
        <v>1714</v>
      </c>
      <c r="E15" s="39">
        <v>1468</v>
      </c>
      <c r="F15" s="39">
        <v>2837</v>
      </c>
      <c r="P15" s="16"/>
      <c r="Q15" s="16"/>
      <c r="R15" s="16"/>
      <c r="S15" s="16"/>
      <c r="T15" s="3"/>
      <c r="U15" s="3"/>
      <c r="V15" s="3"/>
      <c r="W15" s="3"/>
      <c r="X15" s="3"/>
      <c r="Y15" s="3"/>
    </row>
    <row r="16" spans="1:25" ht="24.9" customHeight="1">
      <c r="A16" s="31" t="s">
        <v>25</v>
      </c>
      <c r="B16" s="27" t="s">
        <v>11</v>
      </c>
      <c r="C16" s="38">
        <f t="shared" ref="C16:D16" si="1">SUM(C17:C21)</f>
        <v>228031</v>
      </c>
      <c r="D16" s="38">
        <f t="shared" si="1"/>
        <v>228677</v>
      </c>
      <c r="E16" s="38">
        <f>SUM(E17:E21)</f>
        <v>229136</v>
      </c>
      <c r="F16" s="38">
        <f>SUM(F17:F21)</f>
        <v>240851</v>
      </c>
      <c r="P16" s="16"/>
      <c r="Q16" s="16"/>
      <c r="R16" s="16"/>
      <c r="S16" s="16"/>
      <c r="T16" s="3"/>
      <c r="U16" s="3"/>
      <c r="V16" s="3"/>
      <c r="W16" s="3"/>
      <c r="X16" s="3"/>
      <c r="Y16" s="3"/>
    </row>
    <row r="17" spans="1:25" ht="24.9" customHeight="1">
      <c r="A17" s="10" t="s">
        <v>63</v>
      </c>
      <c r="B17" s="26" t="s">
        <v>12</v>
      </c>
      <c r="C17" s="39">
        <v>0</v>
      </c>
      <c r="D17" s="39">
        <v>0</v>
      </c>
      <c r="E17" s="39">
        <v>0</v>
      </c>
      <c r="F17" s="39">
        <v>0</v>
      </c>
      <c r="I17" s="16"/>
      <c r="P17" s="16"/>
      <c r="Q17" s="16"/>
      <c r="R17" s="16"/>
      <c r="S17" s="16"/>
      <c r="T17" s="3"/>
      <c r="U17" s="3"/>
      <c r="V17" s="3"/>
      <c r="W17" s="3"/>
      <c r="X17" s="3"/>
      <c r="Y17" s="3"/>
    </row>
    <row r="18" spans="1:25" s="2" customFormat="1" ht="24.9" customHeight="1">
      <c r="A18" s="9" t="s">
        <v>20</v>
      </c>
      <c r="B18" s="28" t="s">
        <v>100</v>
      </c>
      <c r="C18" s="39">
        <v>52263</v>
      </c>
      <c r="D18" s="39">
        <v>52667</v>
      </c>
      <c r="E18" s="39">
        <v>52664</v>
      </c>
      <c r="F18" s="39">
        <v>52141</v>
      </c>
      <c r="G18" s="21"/>
      <c r="H18" s="21"/>
      <c r="I18" s="22"/>
      <c r="J18" s="22"/>
      <c r="K18" s="21"/>
      <c r="L18" s="21"/>
      <c r="M18" s="21"/>
      <c r="N18" s="21"/>
      <c r="O18" s="21"/>
      <c r="P18" s="16"/>
      <c r="Q18" s="16"/>
      <c r="R18" s="16"/>
      <c r="S18" s="16"/>
      <c r="T18" s="3"/>
      <c r="U18" s="3"/>
      <c r="V18" s="3"/>
      <c r="W18" s="3"/>
      <c r="X18" s="3"/>
      <c r="Y18" s="3"/>
    </row>
    <row r="19" spans="1:25" ht="24.9" customHeight="1">
      <c r="A19" s="10" t="s">
        <v>21</v>
      </c>
      <c r="B19" s="26" t="s">
        <v>13</v>
      </c>
      <c r="C19" s="39">
        <v>15764</v>
      </c>
      <c r="D19" s="39">
        <v>16332</v>
      </c>
      <c r="E19" s="39">
        <v>16488</v>
      </c>
      <c r="F19" s="39">
        <v>15527</v>
      </c>
      <c r="H19" s="23"/>
      <c r="I19" s="16"/>
      <c r="P19" s="16"/>
      <c r="Q19" s="16"/>
      <c r="R19" s="16"/>
      <c r="S19" s="16"/>
      <c r="T19" s="3"/>
      <c r="U19" s="3"/>
      <c r="V19" s="3"/>
      <c r="W19" s="3"/>
      <c r="X19" s="3"/>
      <c r="Y19" s="3"/>
    </row>
    <row r="20" spans="1:25" ht="24.9" customHeight="1">
      <c r="A20" s="9" t="s">
        <v>22</v>
      </c>
      <c r="B20" s="28" t="s">
        <v>14</v>
      </c>
      <c r="C20" s="39">
        <v>7218</v>
      </c>
      <c r="D20" s="39">
        <v>6385</v>
      </c>
      <c r="E20" s="39">
        <v>4586</v>
      </c>
      <c r="F20" s="39">
        <v>2672</v>
      </c>
      <c r="J20" s="16"/>
      <c r="P20" s="16"/>
      <c r="Q20" s="16"/>
      <c r="R20" s="16"/>
      <c r="S20" s="16"/>
      <c r="T20" s="3"/>
      <c r="U20" s="3"/>
      <c r="V20" s="3"/>
      <c r="W20" s="3"/>
      <c r="X20" s="3"/>
      <c r="Y20" s="3"/>
    </row>
    <row r="21" spans="1:25" ht="39" customHeight="1">
      <c r="A21" s="40" t="s">
        <v>82</v>
      </c>
      <c r="B21" s="41" t="s">
        <v>101</v>
      </c>
      <c r="C21" s="42">
        <f t="shared" ref="C21:F21" si="2">C8-C17-C18-C19-C20</f>
        <v>152786</v>
      </c>
      <c r="D21" s="42">
        <f t="shared" si="2"/>
        <v>153293</v>
      </c>
      <c r="E21" s="42">
        <f t="shared" si="2"/>
        <v>155398</v>
      </c>
      <c r="F21" s="42">
        <f t="shared" si="2"/>
        <v>170511</v>
      </c>
      <c r="H21" s="16"/>
      <c r="P21" s="16"/>
      <c r="Q21" s="16"/>
      <c r="R21" s="16"/>
      <c r="S21" s="16"/>
      <c r="T21" s="3"/>
      <c r="U21" s="3"/>
      <c r="V21" s="3"/>
      <c r="W21" s="3"/>
      <c r="X21" s="3"/>
      <c r="Y21" s="3"/>
    </row>
    <row r="22" spans="1:25" ht="15.6">
      <c r="A22" s="11" t="s">
        <v>83</v>
      </c>
      <c r="B22" s="34"/>
      <c r="C22" s="35"/>
      <c r="D22" s="35"/>
      <c r="E22" s="35"/>
      <c r="F22" s="35"/>
      <c r="G22" s="11"/>
      <c r="H22" s="11"/>
    </row>
    <row r="23" spans="1:25" ht="18.75" customHeight="1">
      <c r="A23" s="11" t="s">
        <v>90</v>
      </c>
      <c r="B23" s="34"/>
    </row>
  </sheetData>
  <mergeCells count="4">
    <mergeCell ref="B2:F2"/>
    <mergeCell ref="B3:F3"/>
    <mergeCell ref="A4:F4"/>
    <mergeCell ref="A6:B6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8" scale="93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Y23"/>
  <sheetViews>
    <sheetView view="pageBreakPreview" topLeftCell="A4" zoomScale="50" zoomScaleNormal="75" zoomScaleSheetLayoutView="50" workbookViewId="0">
      <selection activeCell="A4" sqref="A4:F23"/>
    </sheetView>
  </sheetViews>
  <sheetFormatPr defaultColWidth="9.109375" defaultRowHeight="13.2"/>
  <cols>
    <col min="1" max="1" width="71.33203125" style="33" customWidth="1"/>
    <col min="2" max="2" width="81.6640625" style="1" bestFit="1" customWidth="1"/>
    <col min="3" max="6" width="18.44140625" style="33" customWidth="1"/>
    <col min="7" max="7" width="11.6640625" style="12" customWidth="1"/>
    <col min="8" max="8" width="12.88671875" style="12" bestFit="1" customWidth="1"/>
    <col min="9" max="9" width="11.109375" style="12" bestFit="1" customWidth="1"/>
    <col min="10" max="10" width="10.6640625" style="12" bestFit="1" customWidth="1"/>
    <col min="11" max="19" width="9.109375" style="12"/>
    <col min="20" max="24" width="9.109375" style="33"/>
    <col min="25" max="25" width="9.33203125" style="33" bestFit="1" customWidth="1"/>
    <col min="26" max="16384" width="9.109375" style="33"/>
  </cols>
  <sheetData>
    <row r="1" spans="1:25" ht="15" hidden="1" customHeight="1"/>
    <row r="2" spans="1:25" ht="22.8" hidden="1">
      <c r="B2" s="106" t="s">
        <v>5</v>
      </c>
      <c r="C2" s="106"/>
      <c r="D2" s="106"/>
      <c r="E2" s="106"/>
      <c r="F2" s="106"/>
    </row>
    <row r="3" spans="1:25" ht="22.8" hidden="1">
      <c r="B3" s="107" t="s">
        <v>4</v>
      </c>
      <c r="C3" s="107"/>
      <c r="D3" s="107"/>
      <c r="E3" s="107"/>
      <c r="F3" s="107"/>
    </row>
    <row r="4" spans="1:25" s="4" customFormat="1" ht="45" customHeight="1">
      <c r="A4" s="108" t="s">
        <v>64</v>
      </c>
      <c r="B4" s="108"/>
      <c r="C4" s="108"/>
      <c r="D4" s="108"/>
      <c r="E4" s="108"/>
      <c r="F4" s="108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25" s="4" customFormat="1" ht="45" customHeight="1" thickBot="1">
      <c r="A5" s="32"/>
      <c r="B5" s="32"/>
      <c r="C5" s="32"/>
      <c r="D5" s="32"/>
      <c r="E5" s="32"/>
      <c r="F5" s="58" t="s">
        <v>6</v>
      </c>
      <c r="G5" s="14"/>
      <c r="H5" s="14"/>
      <c r="I5" s="14"/>
      <c r="J5" s="14"/>
      <c r="K5" s="14"/>
      <c r="L5" s="13"/>
      <c r="M5" s="13"/>
      <c r="N5" s="13"/>
      <c r="O5" s="13"/>
      <c r="P5" s="13"/>
      <c r="Q5" s="13"/>
      <c r="R5" s="13"/>
      <c r="S5" s="13"/>
    </row>
    <row r="6" spans="1:25" ht="25.5" customHeight="1" thickTop="1">
      <c r="A6" s="109" t="s">
        <v>26</v>
      </c>
      <c r="B6" s="109"/>
      <c r="C6" s="43" t="s">
        <v>0</v>
      </c>
      <c r="D6" s="36" t="s">
        <v>1</v>
      </c>
      <c r="E6" s="36" t="s">
        <v>2</v>
      </c>
      <c r="F6" s="37" t="s">
        <v>3</v>
      </c>
      <c r="I6" s="15"/>
    </row>
    <row r="7" spans="1:25" ht="36" customHeight="1" thickBot="1">
      <c r="A7" s="44"/>
      <c r="B7" s="45"/>
      <c r="C7" s="46" t="s">
        <v>55</v>
      </c>
      <c r="D7" s="46" t="s">
        <v>56</v>
      </c>
      <c r="E7" s="47" t="s">
        <v>57</v>
      </c>
      <c r="F7" s="46" t="s">
        <v>58</v>
      </c>
    </row>
    <row r="8" spans="1:25" ht="24.9" customHeight="1" thickTop="1">
      <c r="A8" s="25" t="s">
        <v>24</v>
      </c>
      <c r="B8" s="27" t="s">
        <v>7</v>
      </c>
      <c r="C8" s="38">
        <f>SUM(C9:C15)</f>
        <v>241923</v>
      </c>
      <c r="D8" s="38">
        <f>SUM(D9:D15)</f>
        <v>241249</v>
      </c>
      <c r="E8" s="38">
        <f>SUM(E9:E15)</f>
        <v>241869</v>
      </c>
      <c r="F8" s="38">
        <f>SUM(F9:F15)</f>
        <v>253679</v>
      </c>
      <c r="G8" s="16"/>
      <c r="P8" s="16"/>
      <c r="Q8" s="16"/>
      <c r="R8" s="16"/>
      <c r="S8" s="16"/>
      <c r="T8" s="3"/>
      <c r="U8" s="3"/>
      <c r="V8" s="3"/>
      <c r="W8" s="3"/>
      <c r="X8" s="3"/>
      <c r="Y8" s="3"/>
    </row>
    <row r="9" spans="1:25" s="7" customFormat="1" ht="24.9" customHeight="1">
      <c r="A9" s="10" t="s">
        <v>15</v>
      </c>
      <c r="B9" s="26" t="s">
        <v>8</v>
      </c>
      <c r="C9" s="39">
        <v>32982</v>
      </c>
      <c r="D9" s="39">
        <v>32982</v>
      </c>
      <c r="E9" s="39">
        <v>32982</v>
      </c>
      <c r="F9" s="39">
        <v>34999</v>
      </c>
      <c r="G9" s="17"/>
      <c r="H9" s="17"/>
      <c r="I9" s="18"/>
      <c r="J9" s="18"/>
      <c r="K9" s="18"/>
      <c r="L9" s="18"/>
      <c r="M9" s="18"/>
      <c r="N9" s="18"/>
      <c r="O9" s="18"/>
      <c r="P9" s="17"/>
      <c r="Q9" s="17"/>
      <c r="R9" s="17"/>
      <c r="S9" s="17"/>
      <c r="T9" s="8"/>
      <c r="U9" s="8"/>
      <c r="V9" s="8"/>
      <c r="W9" s="8"/>
      <c r="X9" s="8"/>
      <c r="Y9" s="8"/>
    </row>
    <row r="10" spans="1:25" s="6" customFormat="1" ht="24.9" customHeight="1">
      <c r="A10" s="10" t="s">
        <v>16</v>
      </c>
      <c r="B10" s="28" t="s">
        <v>9</v>
      </c>
      <c r="C10" s="39">
        <v>29143</v>
      </c>
      <c r="D10" s="39">
        <v>28295</v>
      </c>
      <c r="E10" s="39">
        <v>27611</v>
      </c>
      <c r="F10" s="39">
        <v>29765</v>
      </c>
      <c r="G10" s="19"/>
      <c r="H10" s="20"/>
      <c r="I10" s="20"/>
      <c r="J10" s="20"/>
      <c r="K10" s="20"/>
      <c r="L10" s="20"/>
      <c r="M10" s="20"/>
      <c r="N10" s="20"/>
      <c r="O10" s="20"/>
      <c r="P10" s="19"/>
      <c r="Q10" s="19"/>
      <c r="R10" s="19"/>
      <c r="S10" s="19"/>
      <c r="T10" s="5"/>
      <c r="U10" s="5"/>
      <c r="V10" s="5"/>
      <c r="W10" s="5"/>
      <c r="X10" s="5"/>
      <c r="Y10" s="5"/>
    </row>
    <row r="11" spans="1:25" s="6" customFormat="1" ht="24.9" customHeight="1">
      <c r="A11" s="10" t="s">
        <v>17</v>
      </c>
      <c r="B11" s="26" t="s">
        <v>98</v>
      </c>
      <c r="C11" s="39">
        <v>95279</v>
      </c>
      <c r="D11" s="39">
        <v>95939</v>
      </c>
      <c r="E11" s="39">
        <v>96891</v>
      </c>
      <c r="F11" s="39">
        <v>97904</v>
      </c>
      <c r="G11" s="20"/>
      <c r="H11" s="19"/>
      <c r="I11" s="20"/>
      <c r="J11" s="20"/>
      <c r="K11" s="20"/>
      <c r="L11" s="20"/>
      <c r="M11" s="20"/>
      <c r="N11" s="20"/>
      <c r="O11" s="20"/>
      <c r="P11" s="19"/>
      <c r="Q11" s="19"/>
      <c r="R11" s="19"/>
      <c r="S11" s="19"/>
      <c r="T11" s="5"/>
      <c r="U11" s="5"/>
      <c r="V11" s="5"/>
      <c r="W11" s="5"/>
      <c r="X11" s="5"/>
      <c r="Y11" s="5"/>
    </row>
    <row r="12" spans="1:25" s="7" customFormat="1" ht="24.9" customHeight="1">
      <c r="A12" s="10" t="s">
        <v>23</v>
      </c>
      <c r="B12" s="28" t="s">
        <v>10</v>
      </c>
      <c r="C12" s="39">
        <v>8726</v>
      </c>
      <c r="D12" s="39">
        <v>8498</v>
      </c>
      <c r="E12" s="39">
        <v>8212</v>
      </c>
      <c r="F12" s="39">
        <v>8005</v>
      </c>
      <c r="G12" s="18"/>
      <c r="H12" s="17"/>
      <c r="I12" s="18"/>
      <c r="J12" s="18"/>
      <c r="K12" s="18"/>
      <c r="L12" s="18"/>
      <c r="M12" s="18"/>
      <c r="N12" s="18"/>
      <c r="O12" s="18"/>
      <c r="P12" s="17"/>
      <c r="Q12" s="17"/>
      <c r="R12" s="17"/>
      <c r="S12" s="17"/>
      <c r="T12" s="8"/>
      <c r="U12" s="8"/>
      <c r="V12" s="8"/>
      <c r="W12" s="8"/>
      <c r="X12" s="8"/>
      <c r="Y12" s="8"/>
    </row>
    <row r="13" spans="1:25" s="6" customFormat="1" ht="24.9" customHeight="1">
      <c r="A13" s="10" t="s">
        <v>18</v>
      </c>
      <c r="B13" s="26" t="s">
        <v>97</v>
      </c>
      <c r="C13" s="39">
        <v>9</v>
      </c>
      <c r="D13" s="39">
        <v>9</v>
      </c>
      <c r="E13" s="39">
        <v>7</v>
      </c>
      <c r="F13" s="39">
        <v>7</v>
      </c>
      <c r="G13" s="20"/>
      <c r="H13" s="17"/>
      <c r="I13" s="20"/>
      <c r="J13" s="20"/>
      <c r="K13" s="20"/>
      <c r="L13" s="20"/>
      <c r="M13" s="20"/>
      <c r="N13" s="20"/>
      <c r="O13" s="20"/>
      <c r="P13" s="19"/>
      <c r="Q13" s="19"/>
      <c r="R13" s="19"/>
      <c r="S13" s="19"/>
      <c r="T13" s="5"/>
      <c r="U13" s="5"/>
      <c r="V13" s="5"/>
      <c r="W13" s="5"/>
      <c r="X13" s="5"/>
      <c r="Y13" s="5"/>
    </row>
    <row r="14" spans="1:25" s="6" customFormat="1" ht="24.9" customHeight="1">
      <c r="A14" s="10" t="s">
        <v>19</v>
      </c>
      <c r="B14" s="28" t="s">
        <v>99</v>
      </c>
      <c r="C14" s="39">
        <v>71978</v>
      </c>
      <c r="D14" s="39">
        <v>71978</v>
      </c>
      <c r="E14" s="39">
        <v>71978</v>
      </c>
      <c r="F14" s="39">
        <v>78852</v>
      </c>
      <c r="G14" s="20"/>
      <c r="H14" s="17"/>
      <c r="I14" s="20"/>
      <c r="J14" s="20"/>
      <c r="K14" s="20"/>
      <c r="L14" s="20"/>
      <c r="M14" s="20"/>
      <c r="N14" s="20"/>
      <c r="O14" s="20"/>
      <c r="P14" s="19"/>
      <c r="Q14" s="19"/>
      <c r="R14" s="19"/>
      <c r="S14" s="19"/>
      <c r="T14" s="5"/>
      <c r="U14" s="5"/>
      <c r="V14" s="5"/>
      <c r="W14" s="5"/>
      <c r="X14" s="5"/>
      <c r="Y14" s="5"/>
    </row>
    <row r="15" spans="1:25" ht="30" customHeight="1">
      <c r="A15" s="30" t="s">
        <v>92</v>
      </c>
      <c r="B15" s="29" t="s">
        <v>89</v>
      </c>
      <c r="C15" s="39">
        <v>3806</v>
      </c>
      <c r="D15" s="39">
        <v>3548</v>
      </c>
      <c r="E15" s="39">
        <v>4188</v>
      </c>
      <c r="F15" s="39">
        <v>4147</v>
      </c>
      <c r="P15" s="16"/>
      <c r="Q15" s="16"/>
      <c r="R15" s="16"/>
      <c r="S15" s="16"/>
      <c r="T15" s="3"/>
      <c r="U15" s="3"/>
      <c r="V15" s="3"/>
      <c r="W15" s="3"/>
      <c r="X15" s="3"/>
      <c r="Y15" s="3"/>
    </row>
    <row r="16" spans="1:25" ht="24.9" customHeight="1">
      <c r="A16" s="31" t="s">
        <v>25</v>
      </c>
      <c r="B16" s="27" t="s">
        <v>11</v>
      </c>
      <c r="C16" s="38">
        <f t="shared" ref="C16:E16" si="0">SUM(C18:C21)</f>
        <v>241923</v>
      </c>
      <c r="D16" s="38">
        <f t="shared" si="0"/>
        <v>241249</v>
      </c>
      <c r="E16" s="38">
        <f t="shared" si="0"/>
        <v>241869</v>
      </c>
      <c r="F16" s="38">
        <f>SUM(F18:F21)</f>
        <v>253679</v>
      </c>
      <c r="P16" s="16"/>
      <c r="Q16" s="16"/>
      <c r="R16" s="16"/>
      <c r="S16" s="16"/>
      <c r="T16" s="3"/>
      <c r="U16" s="3"/>
      <c r="V16" s="3"/>
      <c r="W16" s="3"/>
      <c r="X16" s="3"/>
      <c r="Y16" s="3"/>
    </row>
    <row r="17" spans="1:25" ht="24.9" customHeight="1">
      <c r="A17" s="10" t="s">
        <v>63</v>
      </c>
      <c r="B17" s="26" t="s">
        <v>12</v>
      </c>
      <c r="C17" s="39">
        <v>0</v>
      </c>
      <c r="D17" s="39">
        <v>0</v>
      </c>
      <c r="E17" s="39">
        <v>0</v>
      </c>
      <c r="F17" s="39">
        <v>0</v>
      </c>
      <c r="I17" s="16"/>
      <c r="P17" s="16"/>
      <c r="Q17" s="16"/>
      <c r="R17" s="16"/>
      <c r="S17" s="16"/>
      <c r="T17" s="3"/>
      <c r="U17" s="3"/>
      <c r="V17" s="3"/>
      <c r="W17" s="3"/>
      <c r="X17" s="3"/>
      <c r="Y17" s="3"/>
    </row>
    <row r="18" spans="1:25" s="2" customFormat="1" ht="24.9" customHeight="1">
      <c r="A18" s="9" t="s">
        <v>20</v>
      </c>
      <c r="B18" s="28" t="s">
        <v>100</v>
      </c>
      <c r="C18" s="39">
        <v>53175</v>
      </c>
      <c r="D18" s="39">
        <v>53075</v>
      </c>
      <c r="E18" s="39">
        <v>52629</v>
      </c>
      <c r="F18" s="39">
        <v>52655</v>
      </c>
      <c r="G18" s="21"/>
      <c r="H18" s="21"/>
      <c r="I18" s="22"/>
      <c r="J18" s="22"/>
      <c r="K18" s="21"/>
      <c r="L18" s="21"/>
      <c r="M18" s="21"/>
      <c r="N18" s="21"/>
      <c r="O18" s="21"/>
      <c r="P18" s="16"/>
      <c r="Q18" s="16"/>
      <c r="R18" s="16"/>
      <c r="S18" s="16"/>
      <c r="T18" s="3"/>
      <c r="U18" s="3"/>
      <c r="V18" s="3"/>
      <c r="W18" s="3"/>
      <c r="X18" s="3"/>
      <c r="Y18" s="3"/>
    </row>
    <row r="19" spans="1:25" ht="24.9" customHeight="1">
      <c r="A19" s="10" t="s">
        <v>21</v>
      </c>
      <c r="B19" s="26" t="s">
        <v>13</v>
      </c>
      <c r="C19" s="39">
        <v>15271</v>
      </c>
      <c r="D19" s="39">
        <v>14813</v>
      </c>
      <c r="E19" s="39">
        <v>14285</v>
      </c>
      <c r="F19" s="39">
        <v>13877</v>
      </c>
      <c r="H19" s="23"/>
      <c r="I19" s="16"/>
      <c r="P19" s="16"/>
      <c r="Q19" s="16"/>
      <c r="R19" s="16"/>
      <c r="S19" s="16"/>
      <c r="T19" s="3"/>
      <c r="U19" s="3"/>
      <c r="V19" s="3"/>
      <c r="W19" s="3"/>
      <c r="X19" s="3"/>
      <c r="Y19" s="3"/>
    </row>
    <row r="20" spans="1:25" ht="24.9" customHeight="1">
      <c r="A20" s="9" t="s">
        <v>22</v>
      </c>
      <c r="B20" s="28" t="s">
        <v>14</v>
      </c>
      <c r="C20" s="39">
        <v>2317</v>
      </c>
      <c r="D20" s="39">
        <v>1520</v>
      </c>
      <c r="E20" s="39">
        <v>1881</v>
      </c>
      <c r="F20" s="39">
        <v>2651</v>
      </c>
      <c r="J20" s="16"/>
      <c r="P20" s="16"/>
      <c r="Q20" s="16"/>
      <c r="R20" s="16"/>
      <c r="S20" s="16"/>
      <c r="T20" s="3"/>
      <c r="U20" s="3"/>
      <c r="V20" s="3"/>
      <c r="W20" s="3"/>
      <c r="X20" s="3"/>
      <c r="Y20" s="3"/>
    </row>
    <row r="21" spans="1:25" ht="35.25" customHeight="1">
      <c r="A21" s="40" t="s">
        <v>82</v>
      </c>
      <c r="B21" s="41" t="s">
        <v>101</v>
      </c>
      <c r="C21" s="42">
        <f>C8-C18-C19-C20</f>
        <v>171160</v>
      </c>
      <c r="D21" s="42">
        <f t="shared" ref="D21:F21" si="1">D8-D18-D19-D20</f>
        <v>171841</v>
      </c>
      <c r="E21" s="42">
        <f t="shared" si="1"/>
        <v>173074</v>
      </c>
      <c r="F21" s="42">
        <f t="shared" si="1"/>
        <v>184496</v>
      </c>
      <c r="H21" s="16"/>
      <c r="P21" s="16"/>
      <c r="Q21" s="16"/>
      <c r="R21" s="16"/>
      <c r="S21" s="16"/>
      <c r="T21" s="3"/>
      <c r="U21" s="3"/>
      <c r="V21" s="3"/>
      <c r="W21" s="3"/>
      <c r="X21" s="3"/>
      <c r="Y21" s="3"/>
    </row>
    <row r="22" spans="1:25" ht="17.25" customHeight="1">
      <c r="A22" s="11" t="s">
        <v>83</v>
      </c>
      <c r="B22" s="34"/>
      <c r="C22" s="35"/>
      <c r="D22" s="35"/>
      <c r="E22" s="35"/>
      <c r="F22" s="35"/>
      <c r="G22" s="11"/>
      <c r="H22" s="11"/>
    </row>
    <row r="23" spans="1:25" ht="18.75" customHeight="1">
      <c r="A23" s="11" t="s">
        <v>90</v>
      </c>
      <c r="B23" s="34"/>
    </row>
  </sheetData>
  <mergeCells count="4">
    <mergeCell ref="B2:F2"/>
    <mergeCell ref="B3:F3"/>
    <mergeCell ref="A4:F4"/>
    <mergeCell ref="A6:B6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8" scale="93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"/>
  <sheetViews>
    <sheetView view="pageBreakPreview" topLeftCell="A5" zoomScale="60" zoomScaleNormal="75" workbookViewId="0">
      <selection activeCell="A4" sqref="A4:F23"/>
    </sheetView>
  </sheetViews>
  <sheetFormatPr defaultColWidth="9.109375" defaultRowHeight="13.2"/>
  <cols>
    <col min="1" max="1" width="71.44140625" style="33" customWidth="1"/>
    <col min="2" max="2" width="81.6640625" style="1" bestFit="1" customWidth="1"/>
    <col min="3" max="6" width="18.44140625" style="33" customWidth="1"/>
    <col min="7" max="7" width="11.6640625" style="12" customWidth="1"/>
    <col min="8" max="8" width="12.88671875" style="12" bestFit="1" customWidth="1"/>
    <col min="9" max="9" width="11.109375" style="12" bestFit="1" customWidth="1"/>
    <col min="10" max="10" width="10.6640625" style="12" bestFit="1" customWidth="1"/>
    <col min="11" max="19" width="9.109375" style="12"/>
    <col min="20" max="24" width="9.109375" style="33"/>
    <col min="25" max="25" width="9.33203125" style="33" bestFit="1" customWidth="1"/>
    <col min="26" max="16384" width="9.109375" style="33"/>
  </cols>
  <sheetData>
    <row r="1" spans="1:25" ht="15" hidden="1" customHeight="1"/>
    <row r="2" spans="1:25" ht="22.8" hidden="1">
      <c r="B2" s="106" t="s">
        <v>5</v>
      </c>
      <c r="C2" s="106"/>
      <c r="D2" s="106"/>
      <c r="E2" s="106"/>
      <c r="F2" s="106"/>
    </row>
    <row r="3" spans="1:25" ht="22.8" hidden="1">
      <c r="B3" s="107" t="s">
        <v>4</v>
      </c>
      <c r="C3" s="107"/>
      <c r="D3" s="107"/>
      <c r="E3" s="107"/>
      <c r="F3" s="107"/>
    </row>
    <row r="4" spans="1:25" s="4" customFormat="1" ht="45" customHeight="1">
      <c r="A4" s="108" t="s">
        <v>64</v>
      </c>
      <c r="B4" s="108"/>
      <c r="C4" s="108"/>
      <c r="D4" s="108"/>
      <c r="E4" s="108"/>
      <c r="F4" s="108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25" s="4" customFormat="1" ht="45" customHeight="1" thickBot="1">
      <c r="A5" s="32"/>
      <c r="B5" s="32"/>
      <c r="C5" s="32"/>
      <c r="D5" s="32"/>
      <c r="E5" s="32"/>
      <c r="F5" s="58" t="s">
        <v>6</v>
      </c>
      <c r="G5" s="14"/>
      <c r="H5" s="14"/>
      <c r="I5" s="14"/>
      <c r="J5" s="14"/>
      <c r="K5" s="14"/>
      <c r="L5" s="13"/>
      <c r="M5" s="13"/>
      <c r="N5" s="13"/>
      <c r="O5" s="13"/>
      <c r="P5" s="13"/>
      <c r="Q5" s="13"/>
      <c r="R5" s="13"/>
      <c r="S5" s="13"/>
    </row>
    <row r="6" spans="1:25" ht="25.5" customHeight="1" thickTop="1">
      <c r="A6" s="109" t="s">
        <v>26</v>
      </c>
      <c r="B6" s="109"/>
      <c r="C6" s="43" t="s">
        <v>0</v>
      </c>
      <c r="D6" s="36" t="s">
        <v>1</v>
      </c>
      <c r="E6" s="36" t="s">
        <v>2</v>
      </c>
      <c r="F6" s="37" t="s">
        <v>3</v>
      </c>
      <c r="I6" s="15"/>
    </row>
    <row r="7" spans="1:25" ht="36" customHeight="1" thickBot="1">
      <c r="A7" s="44"/>
      <c r="B7" s="45"/>
      <c r="C7" s="46" t="s">
        <v>59</v>
      </c>
      <c r="D7" s="46" t="s">
        <v>60</v>
      </c>
      <c r="E7" s="47" t="s">
        <v>61</v>
      </c>
      <c r="F7" s="46" t="s">
        <v>62</v>
      </c>
    </row>
    <row r="8" spans="1:25" ht="24.9" customHeight="1" thickTop="1">
      <c r="A8" s="25" t="s">
        <v>24</v>
      </c>
      <c r="B8" s="27" t="s">
        <v>7</v>
      </c>
      <c r="C8" s="38">
        <f>C9+C10+C11+C12+C13+C14+C15</f>
        <v>253950</v>
      </c>
      <c r="D8" s="38">
        <f>D9+D10+D11+D12+D13+D14+D15</f>
        <v>254740</v>
      </c>
      <c r="E8" s="38">
        <f>E9+E10+E11+E12+E13+E14+E15</f>
        <v>254135</v>
      </c>
      <c r="F8" s="38">
        <f>SUM(F9:F15)</f>
        <v>268388</v>
      </c>
      <c r="G8" s="16"/>
      <c r="P8" s="16"/>
      <c r="Q8" s="16"/>
      <c r="R8" s="16"/>
      <c r="S8" s="16"/>
      <c r="T8" s="3"/>
      <c r="U8" s="3"/>
      <c r="V8" s="3"/>
      <c r="W8" s="3"/>
      <c r="X8" s="3"/>
      <c r="Y8" s="3"/>
    </row>
    <row r="9" spans="1:25" s="7" customFormat="1" ht="24.9" customHeight="1">
      <c r="A9" s="10" t="s">
        <v>15</v>
      </c>
      <c r="B9" s="26" t="s">
        <v>8</v>
      </c>
      <c r="C9" s="39">
        <v>34999</v>
      </c>
      <c r="D9" s="39">
        <v>34999</v>
      </c>
      <c r="E9" s="39">
        <v>34999</v>
      </c>
      <c r="F9" s="39">
        <v>38499</v>
      </c>
      <c r="G9" s="17"/>
      <c r="H9" s="17"/>
      <c r="I9" s="18"/>
      <c r="J9" s="18"/>
      <c r="K9" s="18"/>
      <c r="L9" s="18"/>
      <c r="M9" s="18"/>
      <c r="N9" s="18"/>
      <c r="O9" s="18"/>
      <c r="P9" s="17"/>
      <c r="Q9" s="17"/>
      <c r="R9" s="17"/>
      <c r="S9" s="17"/>
      <c r="T9" s="8"/>
      <c r="U9" s="8"/>
      <c r="V9" s="8"/>
      <c r="W9" s="8"/>
      <c r="X9" s="8"/>
      <c r="Y9" s="8"/>
    </row>
    <row r="10" spans="1:25" s="6" customFormat="1" ht="24.9" customHeight="1">
      <c r="A10" s="10" t="s">
        <v>16</v>
      </c>
      <c r="B10" s="28" t="s">
        <v>9</v>
      </c>
      <c r="C10" s="39">
        <v>29379</v>
      </c>
      <c r="D10" s="39">
        <v>28663</v>
      </c>
      <c r="E10" s="39">
        <v>27791</v>
      </c>
      <c r="F10" s="39">
        <v>30249</v>
      </c>
      <c r="G10" s="19"/>
      <c r="H10" s="20"/>
      <c r="I10" s="20"/>
      <c r="J10" s="20"/>
      <c r="K10" s="20"/>
      <c r="L10" s="20"/>
      <c r="M10" s="20"/>
      <c r="N10" s="20"/>
      <c r="O10" s="20"/>
      <c r="P10" s="19"/>
      <c r="Q10" s="19"/>
      <c r="R10" s="19"/>
      <c r="S10" s="19"/>
      <c r="T10" s="5"/>
      <c r="U10" s="5"/>
      <c r="V10" s="5"/>
      <c r="W10" s="5"/>
      <c r="X10" s="5"/>
      <c r="Y10" s="5"/>
    </row>
    <row r="11" spans="1:25" s="6" customFormat="1" ht="24.9" customHeight="1">
      <c r="A11" s="10" t="s">
        <v>17</v>
      </c>
      <c r="B11" s="26" t="s">
        <v>98</v>
      </c>
      <c r="C11" s="39">
        <v>98967</v>
      </c>
      <c r="D11" s="39">
        <v>100780</v>
      </c>
      <c r="E11" s="39">
        <v>101355</v>
      </c>
      <c r="F11" s="39">
        <v>102253</v>
      </c>
      <c r="G11" s="20"/>
      <c r="H11" s="19"/>
      <c r="I11" s="20"/>
      <c r="J11" s="20"/>
      <c r="K11" s="20"/>
      <c r="L11" s="20"/>
      <c r="M11" s="20"/>
      <c r="N11" s="20"/>
      <c r="O11" s="20"/>
      <c r="P11" s="19"/>
      <c r="Q11" s="19"/>
      <c r="R11" s="19"/>
      <c r="S11" s="19"/>
      <c r="T11" s="5"/>
      <c r="U11" s="5"/>
      <c r="V11" s="5"/>
      <c r="W11" s="5"/>
      <c r="X11" s="5"/>
      <c r="Y11" s="5"/>
    </row>
    <row r="12" spans="1:25" s="7" customFormat="1" ht="24.9" customHeight="1">
      <c r="A12" s="10" t="s">
        <v>23</v>
      </c>
      <c r="B12" s="28" t="s">
        <v>10</v>
      </c>
      <c r="C12" s="39">
        <v>7733</v>
      </c>
      <c r="D12" s="39">
        <v>7426</v>
      </c>
      <c r="E12" s="39">
        <v>7310</v>
      </c>
      <c r="F12" s="39">
        <v>7149</v>
      </c>
      <c r="G12" s="18"/>
      <c r="H12" s="17"/>
      <c r="I12" s="18"/>
      <c r="J12" s="18"/>
      <c r="K12" s="18"/>
      <c r="L12" s="18"/>
      <c r="M12" s="18"/>
      <c r="N12" s="18"/>
      <c r="O12" s="18"/>
      <c r="P12" s="17"/>
      <c r="Q12" s="17"/>
      <c r="R12" s="17"/>
      <c r="S12" s="17"/>
      <c r="T12" s="8"/>
      <c r="U12" s="8"/>
      <c r="V12" s="8"/>
      <c r="W12" s="8"/>
      <c r="X12" s="8"/>
      <c r="Y12" s="8"/>
    </row>
    <row r="13" spans="1:25" s="6" customFormat="1" ht="24.9" customHeight="1">
      <c r="A13" s="10" t="s">
        <v>18</v>
      </c>
      <c r="B13" s="26" t="s">
        <v>97</v>
      </c>
      <c r="C13" s="39">
        <v>7</v>
      </c>
      <c r="D13" s="39">
        <v>6</v>
      </c>
      <c r="E13" s="39">
        <v>6</v>
      </c>
      <c r="F13" s="39">
        <v>6</v>
      </c>
      <c r="G13" s="20"/>
      <c r="H13" s="17"/>
      <c r="I13" s="20"/>
      <c r="J13" s="20"/>
      <c r="K13" s="20"/>
      <c r="L13" s="20"/>
      <c r="M13" s="20"/>
      <c r="N13" s="20"/>
      <c r="O13" s="20"/>
      <c r="P13" s="19"/>
      <c r="Q13" s="19"/>
      <c r="R13" s="19"/>
      <c r="S13" s="19"/>
      <c r="T13" s="5"/>
      <c r="U13" s="5"/>
      <c r="V13" s="5"/>
      <c r="W13" s="5"/>
      <c r="X13" s="5"/>
      <c r="Y13" s="5"/>
    </row>
    <row r="14" spans="1:25" s="6" customFormat="1" ht="24.9" customHeight="1">
      <c r="A14" s="10" t="s">
        <v>19</v>
      </c>
      <c r="B14" s="28" t="s">
        <v>99</v>
      </c>
      <c r="C14" s="39">
        <v>78852</v>
      </c>
      <c r="D14" s="39">
        <v>78852</v>
      </c>
      <c r="E14" s="39">
        <v>78852</v>
      </c>
      <c r="F14" s="39">
        <v>86382</v>
      </c>
      <c r="G14" s="20"/>
      <c r="H14" s="17"/>
      <c r="I14" s="20"/>
      <c r="J14" s="20"/>
      <c r="K14" s="20"/>
      <c r="L14" s="20"/>
      <c r="M14" s="20"/>
      <c r="N14" s="20"/>
      <c r="O14" s="20"/>
      <c r="P14" s="19"/>
      <c r="Q14" s="19"/>
      <c r="R14" s="19"/>
      <c r="S14" s="19"/>
      <c r="T14" s="5"/>
      <c r="U14" s="5"/>
      <c r="V14" s="5"/>
      <c r="W14" s="5"/>
      <c r="X14" s="5"/>
      <c r="Y14" s="5"/>
    </row>
    <row r="15" spans="1:25" ht="30" customHeight="1">
      <c r="A15" s="30" t="s">
        <v>92</v>
      </c>
      <c r="B15" s="29" t="s">
        <v>89</v>
      </c>
      <c r="C15" s="39">
        <v>4013</v>
      </c>
      <c r="D15" s="39">
        <v>4014</v>
      </c>
      <c r="E15" s="39">
        <v>3822</v>
      </c>
      <c r="F15" s="39">
        <v>3850</v>
      </c>
      <c r="P15" s="16"/>
      <c r="Q15" s="16"/>
      <c r="R15" s="16"/>
      <c r="S15" s="16"/>
      <c r="T15" s="3"/>
      <c r="U15" s="3"/>
      <c r="V15" s="3"/>
      <c r="W15" s="3"/>
      <c r="X15" s="3"/>
      <c r="Y15" s="3"/>
    </row>
    <row r="16" spans="1:25" ht="24.9" customHeight="1">
      <c r="A16" s="31" t="s">
        <v>25</v>
      </c>
      <c r="B16" s="27" t="s">
        <v>11</v>
      </c>
      <c r="C16" s="38">
        <f t="shared" ref="C16:E16" si="0">SUM(C17:C21)</f>
        <v>253950</v>
      </c>
      <c r="D16" s="38">
        <f t="shared" si="0"/>
        <v>254740</v>
      </c>
      <c r="E16" s="38">
        <f t="shared" si="0"/>
        <v>254135</v>
      </c>
      <c r="F16" s="38">
        <f>SUM(F17:F21)</f>
        <v>268388</v>
      </c>
      <c r="P16" s="16"/>
      <c r="Q16" s="16"/>
      <c r="R16" s="16"/>
      <c r="S16" s="16"/>
      <c r="T16" s="3"/>
      <c r="U16" s="3"/>
      <c r="V16" s="3"/>
      <c r="W16" s="3"/>
      <c r="X16" s="3"/>
      <c r="Y16" s="3"/>
    </row>
    <row r="17" spans="1:25" ht="24.9" customHeight="1">
      <c r="A17" s="10" t="s">
        <v>63</v>
      </c>
      <c r="B17" s="26" t="s">
        <v>12</v>
      </c>
      <c r="C17" s="39">
        <v>0</v>
      </c>
      <c r="D17" s="39">
        <v>0</v>
      </c>
      <c r="E17" s="39">
        <v>0</v>
      </c>
      <c r="F17" s="39">
        <v>0</v>
      </c>
      <c r="I17" s="16"/>
      <c r="P17" s="16"/>
      <c r="Q17" s="16"/>
      <c r="R17" s="16"/>
      <c r="S17" s="16"/>
      <c r="T17" s="3"/>
      <c r="U17" s="3"/>
      <c r="V17" s="3"/>
      <c r="W17" s="3"/>
      <c r="X17" s="3"/>
      <c r="Y17" s="3"/>
    </row>
    <row r="18" spans="1:25" s="2" customFormat="1" ht="24.9" customHeight="1">
      <c r="A18" s="9" t="s">
        <v>20</v>
      </c>
      <c r="B18" s="28" t="s">
        <v>100</v>
      </c>
      <c r="C18" s="39">
        <v>53867</v>
      </c>
      <c r="D18" s="39">
        <v>55022</v>
      </c>
      <c r="E18" s="39">
        <v>54272</v>
      </c>
      <c r="F18" s="39">
        <v>51313</v>
      </c>
      <c r="G18" s="21"/>
      <c r="H18" s="21"/>
      <c r="I18" s="22"/>
      <c r="J18" s="22"/>
      <c r="K18" s="21"/>
      <c r="L18" s="21"/>
      <c r="M18" s="21"/>
      <c r="N18" s="21"/>
      <c r="O18" s="21"/>
      <c r="P18" s="16"/>
      <c r="Q18" s="16"/>
      <c r="R18" s="16"/>
      <c r="S18" s="16"/>
      <c r="T18" s="3"/>
      <c r="U18" s="3"/>
      <c r="V18" s="3"/>
      <c r="W18" s="3"/>
      <c r="X18" s="3"/>
      <c r="Y18" s="3"/>
    </row>
    <row r="19" spans="1:25" ht="24.9" customHeight="1">
      <c r="A19" s="10" t="s">
        <v>21</v>
      </c>
      <c r="B19" s="26" t="s">
        <v>13</v>
      </c>
      <c r="C19" s="39">
        <v>13289</v>
      </c>
      <c r="D19" s="39">
        <v>13503</v>
      </c>
      <c r="E19" s="39">
        <v>12808</v>
      </c>
      <c r="F19" s="39">
        <v>12301</v>
      </c>
      <c r="H19" s="23"/>
      <c r="I19" s="16"/>
      <c r="P19" s="16"/>
      <c r="Q19" s="16"/>
      <c r="R19" s="16"/>
      <c r="S19" s="16"/>
      <c r="T19" s="3"/>
      <c r="U19" s="3"/>
      <c r="V19" s="3"/>
      <c r="W19" s="3"/>
      <c r="X19" s="3"/>
      <c r="Y19" s="3"/>
    </row>
    <row r="20" spans="1:25" ht="24.9" customHeight="1">
      <c r="A20" s="9" t="s">
        <v>22</v>
      </c>
      <c r="B20" s="28" t="s">
        <v>14</v>
      </c>
      <c r="C20" s="39">
        <v>1702</v>
      </c>
      <c r="D20" s="39">
        <v>1597</v>
      </c>
      <c r="E20" s="39">
        <v>1547</v>
      </c>
      <c r="F20" s="39">
        <v>1793</v>
      </c>
      <c r="J20" s="16"/>
      <c r="P20" s="16"/>
      <c r="Q20" s="16"/>
      <c r="R20" s="16"/>
      <c r="S20" s="16"/>
      <c r="T20" s="3"/>
      <c r="U20" s="3"/>
      <c r="V20" s="3"/>
      <c r="W20" s="3"/>
      <c r="X20" s="3"/>
      <c r="Y20" s="3"/>
    </row>
    <row r="21" spans="1:25" ht="40.5" customHeight="1">
      <c r="A21" s="40" t="s">
        <v>82</v>
      </c>
      <c r="B21" s="41" t="s">
        <v>101</v>
      </c>
      <c r="C21" s="42">
        <f>C8-C18-C19-C20</f>
        <v>185092</v>
      </c>
      <c r="D21" s="42">
        <f t="shared" ref="D21:F21" si="1">D8-D18-D19-D20</f>
        <v>184618</v>
      </c>
      <c r="E21" s="42">
        <f t="shared" si="1"/>
        <v>185508</v>
      </c>
      <c r="F21" s="42">
        <f t="shared" si="1"/>
        <v>202981</v>
      </c>
      <c r="H21" s="16"/>
      <c r="P21" s="16"/>
      <c r="Q21" s="16"/>
      <c r="R21" s="16"/>
      <c r="S21" s="16"/>
      <c r="T21" s="3"/>
      <c r="U21" s="3"/>
      <c r="V21" s="3"/>
      <c r="W21" s="3"/>
      <c r="X21" s="3"/>
      <c r="Y21" s="3"/>
    </row>
    <row r="22" spans="1:25" ht="15.6">
      <c r="A22" s="11" t="s">
        <v>83</v>
      </c>
      <c r="B22" s="34"/>
      <c r="C22" s="35"/>
      <c r="D22" s="35"/>
      <c r="E22" s="35"/>
      <c r="F22" s="35"/>
      <c r="G22" s="11"/>
      <c r="H22" s="11"/>
    </row>
    <row r="23" spans="1:25" ht="18.75" customHeight="1">
      <c r="A23" s="11" t="s">
        <v>90</v>
      </c>
      <c r="B23" s="34"/>
    </row>
  </sheetData>
  <mergeCells count="4">
    <mergeCell ref="B2:F2"/>
    <mergeCell ref="B3:F3"/>
    <mergeCell ref="A4:F4"/>
    <mergeCell ref="A6:B6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8" scale="92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Y23"/>
  <sheetViews>
    <sheetView view="pageBreakPreview" topLeftCell="A5" zoomScale="60" zoomScaleNormal="75" workbookViewId="0">
      <selection activeCell="A4" sqref="A4:F23"/>
    </sheetView>
  </sheetViews>
  <sheetFormatPr defaultColWidth="9.109375" defaultRowHeight="13.2"/>
  <cols>
    <col min="1" max="1" width="71.6640625" style="33" customWidth="1"/>
    <col min="2" max="2" width="81.6640625" style="1" bestFit="1" customWidth="1"/>
    <col min="3" max="6" width="18.44140625" style="33" customWidth="1"/>
    <col min="7" max="7" width="11.6640625" style="12" customWidth="1"/>
    <col min="8" max="8" width="12.88671875" style="12" bestFit="1" customWidth="1"/>
    <col min="9" max="9" width="11.109375" style="12" bestFit="1" customWidth="1"/>
    <col min="10" max="10" width="10.6640625" style="12" bestFit="1" customWidth="1"/>
    <col min="11" max="19" width="9.109375" style="12"/>
    <col min="20" max="24" width="9.109375" style="33"/>
    <col min="25" max="25" width="9.33203125" style="33" bestFit="1" customWidth="1"/>
    <col min="26" max="16384" width="9.109375" style="33"/>
  </cols>
  <sheetData>
    <row r="1" spans="1:25" ht="15" hidden="1" customHeight="1"/>
    <row r="2" spans="1:25" ht="22.8" hidden="1">
      <c r="B2" s="106" t="s">
        <v>5</v>
      </c>
      <c r="C2" s="106"/>
      <c r="D2" s="106"/>
      <c r="E2" s="106"/>
      <c r="F2" s="106"/>
    </row>
    <row r="3" spans="1:25" ht="22.8" hidden="1">
      <c r="B3" s="107" t="s">
        <v>4</v>
      </c>
      <c r="C3" s="107"/>
      <c r="D3" s="107"/>
      <c r="E3" s="107"/>
      <c r="F3" s="107"/>
    </row>
    <row r="4" spans="1:25" s="4" customFormat="1" ht="45" customHeight="1">
      <c r="A4" s="108" t="s">
        <v>64</v>
      </c>
      <c r="B4" s="108"/>
      <c r="C4" s="108"/>
      <c r="D4" s="108"/>
      <c r="E4" s="108"/>
      <c r="F4" s="108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25" s="4" customFormat="1" ht="45" customHeight="1" thickBot="1">
      <c r="A5" s="48"/>
      <c r="B5" s="48"/>
      <c r="C5" s="48"/>
      <c r="D5" s="48"/>
      <c r="E5" s="48"/>
      <c r="F5" s="58" t="s">
        <v>6</v>
      </c>
      <c r="G5" s="14"/>
      <c r="H5" s="14"/>
      <c r="I5" s="14"/>
      <c r="J5" s="14"/>
      <c r="K5" s="14"/>
      <c r="L5" s="13"/>
      <c r="M5" s="13"/>
      <c r="N5" s="13"/>
      <c r="O5" s="13"/>
      <c r="P5" s="13"/>
      <c r="Q5" s="13"/>
      <c r="R5" s="13"/>
      <c r="S5" s="13"/>
    </row>
    <row r="6" spans="1:25" ht="25.5" customHeight="1" thickTop="1">
      <c r="A6" s="109" t="s">
        <v>26</v>
      </c>
      <c r="B6" s="109"/>
      <c r="C6" s="43" t="s">
        <v>0</v>
      </c>
      <c r="D6" s="36" t="s">
        <v>1</v>
      </c>
      <c r="E6" s="36" t="s">
        <v>2</v>
      </c>
      <c r="F6" s="37" t="s">
        <v>3</v>
      </c>
      <c r="I6" s="15"/>
    </row>
    <row r="7" spans="1:25" ht="36" customHeight="1" thickBot="1">
      <c r="A7" s="44"/>
      <c r="B7" s="45"/>
      <c r="C7" s="46" t="s">
        <v>65</v>
      </c>
      <c r="D7" s="46" t="s">
        <v>66</v>
      </c>
      <c r="E7" s="47" t="s">
        <v>67</v>
      </c>
      <c r="F7" s="46" t="s">
        <v>68</v>
      </c>
    </row>
    <row r="8" spans="1:25" ht="24.9" customHeight="1" thickTop="1">
      <c r="A8" s="25" t="s">
        <v>24</v>
      </c>
      <c r="B8" s="27" t="s">
        <v>7</v>
      </c>
      <c r="C8" s="38">
        <f>C9+C10+C11+C12+C13+C14+C15</f>
        <v>269174</v>
      </c>
      <c r="D8" s="38">
        <f>D9+D10+D11+D12+D13+D14+D15</f>
        <v>268714</v>
      </c>
      <c r="E8" s="38">
        <f>E9+E10+E11+E12+E13+E14+E15</f>
        <v>268850</v>
      </c>
      <c r="F8" s="38">
        <f>SUM(F9:F15)</f>
        <v>282674</v>
      </c>
      <c r="G8" s="16"/>
      <c r="P8" s="16"/>
      <c r="Q8" s="16"/>
      <c r="R8" s="16"/>
      <c r="S8" s="16"/>
      <c r="T8" s="3"/>
      <c r="U8" s="3"/>
      <c r="V8" s="3"/>
      <c r="W8" s="3"/>
      <c r="X8" s="3"/>
      <c r="Y8" s="3"/>
    </row>
    <row r="9" spans="1:25" s="7" customFormat="1" ht="24.9" customHeight="1">
      <c r="A9" s="10" t="s">
        <v>15</v>
      </c>
      <c r="B9" s="26" t="s">
        <v>8</v>
      </c>
      <c r="C9" s="39">
        <v>38499</v>
      </c>
      <c r="D9" s="39">
        <v>38163</v>
      </c>
      <c r="E9" s="39">
        <v>37659</v>
      </c>
      <c r="F9" s="39">
        <v>40580</v>
      </c>
      <c r="G9" s="17"/>
      <c r="H9" s="17"/>
      <c r="I9" s="18"/>
      <c r="J9" s="18"/>
      <c r="K9" s="18"/>
      <c r="L9" s="18"/>
      <c r="M9" s="18"/>
      <c r="N9" s="18"/>
      <c r="O9" s="18"/>
      <c r="P9" s="17"/>
      <c r="Q9" s="17"/>
      <c r="R9" s="17"/>
      <c r="S9" s="17"/>
      <c r="T9" s="8"/>
      <c r="U9" s="8"/>
      <c r="V9" s="8"/>
      <c r="W9" s="8"/>
      <c r="X9" s="8"/>
      <c r="Y9" s="8"/>
    </row>
    <row r="10" spans="1:25" s="6" customFormat="1" ht="24.9" customHeight="1">
      <c r="A10" s="10" t="s">
        <v>16</v>
      </c>
      <c r="B10" s="28" t="s">
        <v>9</v>
      </c>
      <c r="C10" s="39">
        <v>29893</v>
      </c>
      <c r="D10" s="39">
        <v>29479</v>
      </c>
      <c r="E10" s="39">
        <v>29083</v>
      </c>
      <c r="F10" s="39">
        <v>31441</v>
      </c>
      <c r="G10" s="19"/>
      <c r="H10" s="20"/>
      <c r="I10" s="20"/>
      <c r="J10" s="20"/>
      <c r="K10" s="20"/>
      <c r="L10" s="20"/>
      <c r="M10" s="20"/>
      <c r="N10" s="20"/>
      <c r="O10" s="20"/>
      <c r="P10" s="19"/>
      <c r="Q10" s="19"/>
      <c r="R10" s="19"/>
      <c r="S10" s="19"/>
      <c r="T10" s="5"/>
      <c r="U10" s="5"/>
      <c r="V10" s="5"/>
      <c r="W10" s="5"/>
      <c r="X10" s="5"/>
      <c r="Y10" s="5"/>
    </row>
    <row r="11" spans="1:25" s="6" customFormat="1" ht="24.9" customHeight="1">
      <c r="A11" s="10" t="s">
        <v>17</v>
      </c>
      <c r="B11" s="26" t="s">
        <v>98</v>
      </c>
      <c r="C11" s="39">
        <v>103499</v>
      </c>
      <c r="D11" s="39">
        <v>106133</v>
      </c>
      <c r="E11" s="39">
        <v>107328</v>
      </c>
      <c r="F11" s="39">
        <v>108451</v>
      </c>
      <c r="G11" s="20"/>
      <c r="H11" s="19"/>
      <c r="I11" s="20"/>
      <c r="J11" s="20"/>
      <c r="K11" s="20"/>
      <c r="L11" s="20"/>
      <c r="M11" s="20"/>
      <c r="N11" s="20"/>
      <c r="O11" s="20"/>
      <c r="P11" s="19"/>
      <c r="Q11" s="19"/>
      <c r="R11" s="19"/>
      <c r="S11" s="19"/>
      <c r="T11" s="5"/>
      <c r="U11" s="5"/>
      <c r="V11" s="5"/>
      <c r="W11" s="5"/>
      <c r="X11" s="5"/>
      <c r="Y11" s="5"/>
    </row>
    <row r="12" spans="1:25" s="7" customFormat="1" ht="24.9" customHeight="1">
      <c r="A12" s="10" t="s">
        <v>23</v>
      </c>
      <c r="B12" s="28" t="s">
        <v>10</v>
      </c>
      <c r="C12" s="39">
        <v>7078</v>
      </c>
      <c r="D12" s="39">
        <v>7150</v>
      </c>
      <c r="E12" s="39">
        <v>7349</v>
      </c>
      <c r="F12" s="39">
        <v>7240</v>
      </c>
      <c r="G12" s="18"/>
      <c r="H12" s="17"/>
      <c r="I12" s="18"/>
      <c r="J12" s="18"/>
      <c r="K12" s="18"/>
      <c r="L12" s="18"/>
      <c r="M12" s="18"/>
      <c r="N12" s="18"/>
      <c r="O12" s="18"/>
      <c r="P12" s="17"/>
      <c r="Q12" s="17"/>
      <c r="R12" s="17"/>
      <c r="S12" s="17"/>
      <c r="T12" s="8"/>
      <c r="U12" s="8"/>
      <c r="V12" s="8"/>
      <c r="W12" s="8"/>
      <c r="X12" s="8"/>
      <c r="Y12" s="8"/>
    </row>
    <row r="13" spans="1:25" s="6" customFormat="1" ht="24.9" customHeight="1">
      <c r="A13" s="10" t="s">
        <v>18</v>
      </c>
      <c r="B13" s="26" t="s">
        <v>97</v>
      </c>
      <c r="C13" s="39">
        <v>6</v>
      </c>
      <c r="D13" s="39">
        <v>6</v>
      </c>
      <c r="E13" s="39">
        <v>6</v>
      </c>
      <c r="F13" s="39">
        <v>5</v>
      </c>
      <c r="G13" s="20"/>
      <c r="H13" s="17"/>
      <c r="I13" s="20"/>
      <c r="J13" s="20"/>
      <c r="K13" s="20"/>
      <c r="L13" s="20"/>
      <c r="M13" s="20"/>
      <c r="N13" s="20"/>
      <c r="O13" s="20"/>
      <c r="P13" s="19"/>
      <c r="Q13" s="19"/>
      <c r="R13" s="19"/>
      <c r="S13" s="19"/>
      <c r="T13" s="5"/>
      <c r="U13" s="5"/>
      <c r="V13" s="5"/>
      <c r="W13" s="5"/>
      <c r="X13" s="5"/>
      <c r="Y13" s="5"/>
    </row>
    <row r="14" spans="1:25" s="6" customFormat="1" ht="24.9" customHeight="1">
      <c r="A14" s="10" t="s">
        <v>19</v>
      </c>
      <c r="B14" s="28" t="s">
        <v>99</v>
      </c>
      <c r="C14" s="39">
        <v>86382</v>
      </c>
      <c r="D14" s="39">
        <v>85948</v>
      </c>
      <c r="E14" s="39">
        <v>85948</v>
      </c>
      <c r="F14" s="39">
        <v>93376</v>
      </c>
      <c r="G14" s="20"/>
      <c r="H14" s="17"/>
      <c r="I14" s="20"/>
      <c r="J14" s="20"/>
      <c r="K14" s="20"/>
      <c r="L14" s="20"/>
      <c r="M14" s="20"/>
      <c r="N14" s="20"/>
      <c r="O14" s="20"/>
      <c r="P14" s="19"/>
      <c r="Q14" s="19"/>
      <c r="R14" s="19"/>
      <c r="S14" s="19"/>
      <c r="T14" s="5"/>
      <c r="U14" s="5"/>
      <c r="V14" s="5"/>
      <c r="W14" s="5"/>
      <c r="X14" s="5"/>
      <c r="Y14" s="5"/>
    </row>
    <row r="15" spans="1:25" ht="30" customHeight="1">
      <c r="A15" s="30" t="s">
        <v>91</v>
      </c>
      <c r="B15" s="29" t="s">
        <v>89</v>
      </c>
      <c r="C15" s="39">
        <v>3817</v>
      </c>
      <c r="D15" s="39">
        <v>1835</v>
      </c>
      <c r="E15" s="39">
        <v>1477</v>
      </c>
      <c r="F15" s="39">
        <v>1581</v>
      </c>
      <c r="P15" s="16"/>
      <c r="Q15" s="16"/>
      <c r="R15" s="16"/>
      <c r="S15" s="16"/>
      <c r="T15" s="3"/>
      <c r="U15" s="3"/>
      <c r="V15" s="3"/>
      <c r="W15" s="3"/>
      <c r="X15" s="3"/>
      <c r="Y15" s="3"/>
    </row>
    <row r="16" spans="1:25" ht="24.9" customHeight="1">
      <c r="A16" s="31" t="s">
        <v>25</v>
      </c>
      <c r="B16" s="27" t="s">
        <v>11</v>
      </c>
      <c r="C16" s="38">
        <f t="shared" ref="C16:E16" si="0">SUM(C17:C21)</f>
        <v>269174</v>
      </c>
      <c r="D16" s="38">
        <f t="shared" si="0"/>
        <v>268714</v>
      </c>
      <c r="E16" s="38">
        <f t="shared" si="0"/>
        <v>268850</v>
      </c>
      <c r="F16" s="38">
        <f>SUM(F17:F21)</f>
        <v>282674</v>
      </c>
      <c r="P16" s="16"/>
      <c r="Q16" s="16"/>
      <c r="R16" s="16"/>
      <c r="S16" s="16"/>
      <c r="T16" s="3"/>
      <c r="U16" s="3"/>
      <c r="V16" s="3"/>
      <c r="W16" s="3"/>
      <c r="X16" s="3"/>
      <c r="Y16" s="3"/>
    </row>
    <row r="17" spans="1:25" ht="24.9" customHeight="1">
      <c r="A17" s="10" t="s">
        <v>63</v>
      </c>
      <c r="B17" s="26" t="s">
        <v>12</v>
      </c>
      <c r="C17" s="39">
        <v>0</v>
      </c>
      <c r="D17" s="39">
        <v>0</v>
      </c>
      <c r="E17" s="39">
        <v>0</v>
      </c>
      <c r="F17" s="39">
        <v>0</v>
      </c>
      <c r="I17" s="16"/>
      <c r="P17" s="16"/>
      <c r="Q17" s="16"/>
      <c r="R17" s="16"/>
      <c r="S17" s="16"/>
      <c r="T17" s="3"/>
      <c r="U17" s="3"/>
      <c r="V17" s="3"/>
      <c r="W17" s="3"/>
      <c r="X17" s="3"/>
      <c r="Y17" s="3"/>
    </row>
    <row r="18" spans="1:25" s="2" customFormat="1" ht="24.9" customHeight="1">
      <c r="A18" s="9" t="s">
        <v>20</v>
      </c>
      <c r="B18" s="28" t="s">
        <v>100</v>
      </c>
      <c r="C18" s="39">
        <v>51457</v>
      </c>
      <c r="D18" s="39">
        <v>51990</v>
      </c>
      <c r="E18" s="39">
        <v>52171</v>
      </c>
      <c r="F18" s="39">
        <v>52029</v>
      </c>
      <c r="G18" s="21"/>
      <c r="H18" s="21"/>
      <c r="I18" s="22"/>
      <c r="J18" s="22"/>
      <c r="K18" s="21"/>
      <c r="L18" s="21"/>
      <c r="M18" s="21"/>
      <c r="N18" s="21"/>
      <c r="O18" s="21"/>
      <c r="P18" s="16"/>
      <c r="Q18" s="16"/>
      <c r="R18" s="16"/>
      <c r="S18" s="16"/>
      <c r="T18" s="3"/>
      <c r="U18" s="3"/>
      <c r="V18" s="3"/>
      <c r="W18" s="3"/>
      <c r="X18" s="3"/>
      <c r="Y18" s="3"/>
    </row>
    <row r="19" spans="1:25" ht="24.9" customHeight="1">
      <c r="A19" s="10" t="s">
        <v>21</v>
      </c>
      <c r="B19" s="26" t="s">
        <v>13</v>
      </c>
      <c r="C19" s="39">
        <v>11391</v>
      </c>
      <c r="D19" s="39">
        <v>9698</v>
      </c>
      <c r="E19" s="39">
        <v>9762</v>
      </c>
      <c r="F19" s="39">
        <v>9154</v>
      </c>
      <c r="H19" s="23"/>
      <c r="I19" s="16"/>
      <c r="P19" s="16"/>
      <c r="Q19" s="16"/>
      <c r="R19" s="16"/>
      <c r="S19" s="16"/>
      <c r="T19" s="3"/>
      <c r="U19" s="3"/>
      <c r="V19" s="3"/>
      <c r="W19" s="3"/>
      <c r="X19" s="3"/>
      <c r="Y19" s="3"/>
    </row>
    <row r="20" spans="1:25" ht="24.9" customHeight="1">
      <c r="A20" s="9" t="s">
        <v>22</v>
      </c>
      <c r="B20" s="28" t="s">
        <v>14</v>
      </c>
      <c r="C20" s="39">
        <v>3064.4</v>
      </c>
      <c r="D20" s="39">
        <v>3268</v>
      </c>
      <c r="E20" s="39">
        <v>1861</v>
      </c>
      <c r="F20" s="39">
        <v>1728</v>
      </c>
      <c r="J20" s="16"/>
      <c r="P20" s="16"/>
      <c r="Q20" s="16"/>
      <c r="R20" s="16"/>
      <c r="S20" s="16"/>
      <c r="T20" s="3"/>
      <c r="U20" s="3"/>
      <c r="V20" s="3"/>
      <c r="W20" s="3"/>
      <c r="X20" s="3"/>
      <c r="Y20" s="3"/>
    </row>
    <row r="21" spans="1:25" ht="40.5" customHeight="1">
      <c r="A21" s="40" t="s">
        <v>82</v>
      </c>
      <c r="B21" s="41" t="s">
        <v>101</v>
      </c>
      <c r="C21" s="42">
        <f>C8-C18-C19-C20</f>
        <v>203262</v>
      </c>
      <c r="D21" s="42">
        <f t="shared" ref="D21:E21" si="1">D8-D18-D19-D20</f>
        <v>203758</v>
      </c>
      <c r="E21" s="42">
        <f t="shared" si="1"/>
        <v>205056</v>
      </c>
      <c r="F21" s="42">
        <f>F8-F18-F19-F20</f>
        <v>219763</v>
      </c>
      <c r="H21" s="16"/>
      <c r="P21" s="16"/>
      <c r="Q21" s="16"/>
      <c r="R21" s="16"/>
      <c r="S21" s="16"/>
      <c r="T21" s="3"/>
      <c r="U21" s="3"/>
      <c r="V21" s="3"/>
      <c r="W21" s="3"/>
      <c r="X21" s="3"/>
      <c r="Y21" s="3"/>
    </row>
    <row r="22" spans="1:25" ht="15.6">
      <c r="A22" s="11" t="s">
        <v>83</v>
      </c>
      <c r="B22" s="34"/>
      <c r="C22" s="35"/>
      <c r="D22" s="35"/>
      <c r="E22" s="35"/>
      <c r="F22" s="35"/>
      <c r="G22" s="11"/>
      <c r="H22" s="11"/>
    </row>
    <row r="23" spans="1:25" ht="18.75" customHeight="1">
      <c r="A23" s="11" t="s">
        <v>90</v>
      </c>
      <c r="B23" s="34"/>
    </row>
  </sheetData>
  <mergeCells count="4">
    <mergeCell ref="B2:F2"/>
    <mergeCell ref="B3:F3"/>
    <mergeCell ref="A4:F4"/>
    <mergeCell ref="A6:B6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8" scale="92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Y23"/>
  <sheetViews>
    <sheetView view="pageBreakPreview" topLeftCell="A7" zoomScale="70" zoomScaleNormal="75" zoomScaleSheetLayoutView="70" workbookViewId="0">
      <selection activeCell="A4" sqref="A4:F23"/>
    </sheetView>
  </sheetViews>
  <sheetFormatPr defaultColWidth="9.109375" defaultRowHeight="13.2"/>
  <cols>
    <col min="1" max="1" width="71.44140625" style="33" customWidth="1"/>
    <col min="2" max="2" width="81.6640625" style="1" bestFit="1" customWidth="1"/>
    <col min="3" max="6" width="18.44140625" style="33" customWidth="1"/>
    <col min="7" max="7" width="11.6640625" style="12" customWidth="1"/>
    <col min="8" max="8" width="12.88671875" style="12" bestFit="1" customWidth="1"/>
    <col min="9" max="9" width="11.109375" style="12" bestFit="1" customWidth="1"/>
    <col min="10" max="10" width="10.6640625" style="12" bestFit="1" customWidth="1"/>
    <col min="11" max="19" width="9.109375" style="12"/>
    <col min="20" max="24" width="9.109375" style="33"/>
    <col min="25" max="25" width="9.33203125" style="33" bestFit="1" customWidth="1"/>
    <col min="26" max="16384" width="9.109375" style="33"/>
  </cols>
  <sheetData>
    <row r="1" spans="1:25" ht="15" hidden="1" customHeight="1"/>
    <row r="2" spans="1:25" ht="22.8" hidden="1">
      <c r="B2" s="106" t="s">
        <v>5</v>
      </c>
      <c r="C2" s="106"/>
      <c r="D2" s="106"/>
      <c r="E2" s="106"/>
      <c r="F2" s="106"/>
    </row>
    <row r="3" spans="1:25" ht="22.8" hidden="1">
      <c r="B3" s="107" t="s">
        <v>4</v>
      </c>
      <c r="C3" s="107"/>
      <c r="D3" s="107"/>
      <c r="E3" s="107"/>
      <c r="F3" s="107"/>
    </row>
    <row r="4" spans="1:25" s="4" customFormat="1" ht="45" customHeight="1">
      <c r="A4" s="108" t="s">
        <v>64</v>
      </c>
      <c r="B4" s="108"/>
      <c r="C4" s="108"/>
      <c r="D4" s="108"/>
      <c r="E4" s="108"/>
      <c r="F4" s="108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25" s="4" customFormat="1" ht="45" customHeight="1" thickBot="1">
      <c r="A5" s="49"/>
      <c r="B5" s="49"/>
      <c r="C5" s="49"/>
      <c r="D5" s="49"/>
      <c r="E5" s="49"/>
      <c r="F5" s="58" t="s">
        <v>6</v>
      </c>
      <c r="G5" s="14"/>
      <c r="H5" s="14"/>
      <c r="I5" s="14"/>
      <c r="J5" s="14"/>
      <c r="K5" s="14"/>
      <c r="L5" s="13"/>
      <c r="M5" s="13"/>
      <c r="N5" s="13"/>
      <c r="O5" s="13"/>
      <c r="P5" s="13"/>
      <c r="Q5" s="13"/>
      <c r="R5" s="13"/>
      <c r="S5" s="13"/>
    </row>
    <row r="6" spans="1:25" ht="25.5" customHeight="1" thickTop="1">
      <c r="A6" s="109" t="s">
        <v>26</v>
      </c>
      <c r="B6" s="109"/>
      <c r="C6" s="43" t="s">
        <v>0</v>
      </c>
      <c r="D6" s="36" t="s">
        <v>1</v>
      </c>
      <c r="E6" s="36" t="s">
        <v>2</v>
      </c>
      <c r="F6" s="37" t="s">
        <v>3</v>
      </c>
      <c r="I6" s="15"/>
    </row>
    <row r="7" spans="1:25" ht="36" customHeight="1" thickBot="1">
      <c r="A7" s="44"/>
      <c r="B7" s="45"/>
      <c r="C7" s="46" t="s">
        <v>69</v>
      </c>
      <c r="D7" s="46" t="s">
        <v>70</v>
      </c>
      <c r="E7" s="47" t="s">
        <v>71</v>
      </c>
      <c r="F7" s="46" t="s">
        <v>72</v>
      </c>
    </row>
    <row r="8" spans="1:25" ht="24.9" customHeight="1" thickTop="1">
      <c r="A8" s="25" t="s">
        <v>24</v>
      </c>
      <c r="B8" s="27" t="s">
        <v>7</v>
      </c>
      <c r="C8" s="38">
        <f>C9+C10+C11+C12+C13+C14+C15</f>
        <v>285969</v>
      </c>
      <c r="D8" s="38">
        <f>D9+D10+D11+D12+D13+D14+D15</f>
        <v>289138</v>
      </c>
      <c r="E8" s="38">
        <f>E9+E10+E11+E12+E13+E14+E15</f>
        <v>292666</v>
      </c>
      <c r="F8" s="38">
        <v>295339</v>
      </c>
      <c r="G8" s="16"/>
      <c r="P8" s="16"/>
      <c r="Q8" s="16"/>
      <c r="R8" s="16"/>
      <c r="S8" s="16"/>
      <c r="T8" s="3"/>
      <c r="U8" s="3"/>
      <c r="V8" s="3"/>
      <c r="W8" s="3"/>
      <c r="X8" s="3"/>
      <c r="Y8" s="3"/>
    </row>
    <row r="9" spans="1:25" s="7" customFormat="1" ht="24.9" customHeight="1">
      <c r="A9" s="10" t="s">
        <v>15</v>
      </c>
      <c r="B9" s="26" t="s">
        <v>8</v>
      </c>
      <c r="C9" s="39">
        <v>41233</v>
      </c>
      <c r="D9" s="39">
        <v>41981</v>
      </c>
      <c r="E9" s="39">
        <v>42800</v>
      </c>
      <c r="F9" s="39">
        <v>41524</v>
      </c>
      <c r="G9" s="17"/>
      <c r="H9" s="17"/>
      <c r="I9" s="18"/>
      <c r="J9" s="18"/>
      <c r="K9" s="18"/>
      <c r="L9" s="18"/>
      <c r="M9" s="18"/>
      <c r="N9" s="18"/>
      <c r="O9" s="18"/>
      <c r="P9" s="17"/>
      <c r="Q9" s="17"/>
      <c r="R9" s="17"/>
      <c r="S9" s="17"/>
      <c r="T9" s="8"/>
      <c r="U9" s="8"/>
      <c r="V9" s="8"/>
      <c r="W9" s="8"/>
      <c r="X9" s="8"/>
      <c r="Y9" s="8"/>
    </row>
    <row r="10" spans="1:25" s="6" customFormat="1" ht="24.9" customHeight="1">
      <c r="A10" s="10" t="s">
        <v>16</v>
      </c>
      <c r="B10" s="28" t="s">
        <v>9</v>
      </c>
      <c r="C10" s="39">
        <v>31635</v>
      </c>
      <c r="D10" s="39">
        <v>32024</v>
      </c>
      <c r="E10" s="39">
        <v>32469</v>
      </c>
      <c r="F10" s="39">
        <v>32757</v>
      </c>
      <c r="G10" s="19"/>
      <c r="H10" s="20"/>
      <c r="I10" s="20"/>
      <c r="J10" s="20"/>
      <c r="K10" s="20"/>
      <c r="L10" s="20"/>
      <c r="M10" s="20"/>
      <c r="N10" s="20"/>
      <c r="O10" s="20"/>
      <c r="P10" s="19"/>
      <c r="Q10" s="19"/>
      <c r="R10" s="19"/>
      <c r="S10" s="19"/>
      <c r="T10" s="5"/>
      <c r="U10" s="5"/>
      <c r="V10" s="5"/>
      <c r="W10" s="5"/>
      <c r="X10" s="5"/>
      <c r="Y10" s="5"/>
    </row>
    <row r="11" spans="1:25" s="6" customFormat="1" ht="24.9" customHeight="1">
      <c r="A11" s="10" t="s">
        <v>17</v>
      </c>
      <c r="B11" s="26" t="s">
        <v>98</v>
      </c>
      <c r="C11" s="39">
        <v>108561</v>
      </c>
      <c r="D11" s="39">
        <v>108407</v>
      </c>
      <c r="E11" s="39">
        <v>108405</v>
      </c>
      <c r="F11" s="39">
        <v>108938</v>
      </c>
      <c r="G11" s="20"/>
      <c r="H11" s="19"/>
      <c r="I11" s="20"/>
      <c r="J11" s="20"/>
      <c r="K11" s="20"/>
      <c r="L11" s="20"/>
      <c r="M11" s="20"/>
      <c r="N11" s="20"/>
      <c r="O11" s="20"/>
      <c r="P11" s="19"/>
      <c r="Q11" s="19"/>
      <c r="R11" s="19"/>
      <c r="S11" s="19"/>
      <c r="T11" s="5"/>
      <c r="U11" s="5"/>
      <c r="V11" s="5"/>
      <c r="W11" s="5"/>
      <c r="X11" s="5"/>
      <c r="Y11" s="5"/>
    </row>
    <row r="12" spans="1:25" s="7" customFormat="1" ht="24.9" customHeight="1">
      <c r="A12" s="10" t="s">
        <v>23</v>
      </c>
      <c r="B12" s="28" t="s">
        <v>10</v>
      </c>
      <c r="C12" s="39">
        <v>7312</v>
      </c>
      <c r="D12" s="39">
        <v>7542</v>
      </c>
      <c r="E12" s="39">
        <v>7750</v>
      </c>
      <c r="F12" s="39">
        <v>7874</v>
      </c>
      <c r="G12" s="18"/>
      <c r="H12" s="17"/>
      <c r="I12" s="18"/>
      <c r="J12" s="18"/>
      <c r="K12" s="18"/>
      <c r="L12" s="18"/>
      <c r="M12" s="18"/>
      <c r="N12" s="18"/>
      <c r="O12" s="18"/>
      <c r="P12" s="17"/>
      <c r="Q12" s="17"/>
      <c r="R12" s="17"/>
      <c r="S12" s="17"/>
      <c r="T12" s="8"/>
      <c r="U12" s="8"/>
      <c r="V12" s="8"/>
      <c r="W12" s="8"/>
      <c r="X12" s="8"/>
      <c r="Y12" s="8"/>
    </row>
    <row r="13" spans="1:25" s="6" customFormat="1" ht="24.9" customHeight="1">
      <c r="A13" s="10" t="s">
        <v>18</v>
      </c>
      <c r="B13" s="26" t="s">
        <v>97</v>
      </c>
      <c r="C13" s="39">
        <v>5</v>
      </c>
      <c r="D13" s="39">
        <v>5</v>
      </c>
      <c r="E13" s="39">
        <v>5</v>
      </c>
      <c r="F13" s="39">
        <v>5</v>
      </c>
      <c r="G13" s="20"/>
      <c r="H13" s="17"/>
      <c r="I13" s="20"/>
      <c r="J13" s="20"/>
      <c r="K13" s="20"/>
      <c r="L13" s="20"/>
      <c r="M13" s="20"/>
      <c r="N13" s="20"/>
      <c r="O13" s="20"/>
      <c r="P13" s="19"/>
      <c r="Q13" s="19"/>
      <c r="R13" s="19"/>
      <c r="S13" s="19"/>
      <c r="T13" s="5"/>
      <c r="U13" s="5"/>
      <c r="V13" s="5"/>
      <c r="W13" s="5"/>
      <c r="X13" s="5"/>
      <c r="Y13" s="5"/>
    </row>
    <row r="14" spans="1:25" s="6" customFormat="1" ht="24.9" customHeight="1">
      <c r="A14" s="10" t="s">
        <v>19</v>
      </c>
      <c r="B14" s="28" t="s">
        <v>99</v>
      </c>
      <c r="C14" s="39">
        <v>95506</v>
      </c>
      <c r="D14" s="39">
        <v>97377</v>
      </c>
      <c r="E14" s="39">
        <v>99335</v>
      </c>
      <c r="F14" s="39">
        <v>102297</v>
      </c>
      <c r="G14" s="20"/>
      <c r="H14" s="17"/>
      <c r="I14" s="20"/>
      <c r="J14" s="20"/>
      <c r="K14" s="20"/>
      <c r="L14" s="20"/>
      <c r="M14" s="20"/>
      <c r="N14" s="20"/>
      <c r="O14" s="20"/>
      <c r="P14" s="19"/>
      <c r="Q14" s="19"/>
      <c r="R14" s="19"/>
      <c r="S14" s="19"/>
      <c r="T14" s="5"/>
      <c r="U14" s="5"/>
      <c r="V14" s="5"/>
      <c r="W14" s="5"/>
      <c r="X14" s="5"/>
      <c r="Y14" s="5"/>
    </row>
    <row r="15" spans="1:25" ht="30" customHeight="1">
      <c r="A15" s="30" t="s">
        <v>92</v>
      </c>
      <c r="B15" s="29" t="s">
        <v>89</v>
      </c>
      <c r="C15" s="39">
        <v>1717</v>
      </c>
      <c r="D15" s="39">
        <v>1802</v>
      </c>
      <c r="E15" s="39">
        <v>1902</v>
      </c>
      <c r="F15" s="39">
        <v>1944</v>
      </c>
      <c r="P15" s="16"/>
      <c r="Q15" s="16"/>
      <c r="R15" s="16"/>
      <c r="S15" s="16"/>
      <c r="T15" s="3"/>
      <c r="U15" s="3"/>
      <c r="V15" s="3"/>
      <c r="W15" s="3"/>
      <c r="X15" s="3"/>
      <c r="Y15" s="3"/>
    </row>
    <row r="16" spans="1:25" ht="24.9" customHeight="1">
      <c r="A16" s="31" t="s">
        <v>25</v>
      </c>
      <c r="B16" s="27" t="s">
        <v>11</v>
      </c>
      <c r="C16" s="38">
        <f t="shared" ref="C16:E16" si="0">SUM(C17:C21)</f>
        <v>285969</v>
      </c>
      <c r="D16" s="38">
        <f t="shared" si="0"/>
        <v>289138</v>
      </c>
      <c r="E16" s="38">
        <f t="shared" si="0"/>
        <v>292666</v>
      </c>
      <c r="F16" s="38">
        <v>295339</v>
      </c>
      <c r="P16" s="16"/>
      <c r="Q16" s="16"/>
      <c r="R16" s="16"/>
      <c r="S16" s="16"/>
      <c r="T16" s="3"/>
      <c r="U16" s="3"/>
      <c r="V16" s="3"/>
      <c r="W16" s="3"/>
      <c r="X16" s="3"/>
      <c r="Y16" s="3"/>
    </row>
    <row r="17" spans="1:25" ht="24.9" customHeight="1">
      <c r="A17" s="10" t="s">
        <v>63</v>
      </c>
      <c r="B17" s="26" t="s">
        <v>12</v>
      </c>
      <c r="C17" s="39">
        <v>0</v>
      </c>
      <c r="D17" s="39">
        <v>0</v>
      </c>
      <c r="E17" s="39">
        <v>0</v>
      </c>
      <c r="F17" s="39">
        <v>0</v>
      </c>
      <c r="I17" s="16"/>
      <c r="P17" s="16"/>
      <c r="Q17" s="16"/>
      <c r="R17" s="16"/>
      <c r="S17" s="16"/>
      <c r="T17" s="3"/>
      <c r="U17" s="3"/>
      <c r="V17" s="3"/>
      <c r="W17" s="3"/>
      <c r="X17" s="3"/>
      <c r="Y17" s="3"/>
    </row>
    <row r="18" spans="1:25" s="2" customFormat="1" ht="24.9" customHeight="1">
      <c r="A18" s="9" t="s">
        <v>20</v>
      </c>
      <c r="B18" s="28" t="s">
        <v>100</v>
      </c>
      <c r="C18" s="39">
        <v>53457</v>
      </c>
      <c r="D18" s="39">
        <v>53209</v>
      </c>
      <c r="E18" s="39">
        <v>53042</v>
      </c>
      <c r="F18" s="39">
        <v>52865</v>
      </c>
      <c r="G18" s="21"/>
      <c r="H18" s="21"/>
      <c r="I18" s="22"/>
      <c r="J18" s="22"/>
      <c r="K18" s="21"/>
      <c r="L18" s="21"/>
      <c r="M18" s="21"/>
      <c r="N18" s="21"/>
      <c r="O18" s="21"/>
      <c r="P18" s="16"/>
      <c r="Q18" s="16"/>
      <c r="R18" s="16"/>
      <c r="S18" s="16"/>
      <c r="T18" s="3"/>
      <c r="U18" s="3"/>
      <c r="V18" s="3"/>
      <c r="W18" s="3"/>
      <c r="X18" s="3"/>
      <c r="Y18" s="3"/>
    </row>
    <row r="19" spans="1:25" ht="24.9" customHeight="1">
      <c r="A19" s="10" t="s">
        <v>21</v>
      </c>
      <c r="B19" s="26" t="s">
        <v>13</v>
      </c>
      <c r="C19" s="39">
        <v>8460</v>
      </c>
      <c r="D19" s="39">
        <v>7436</v>
      </c>
      <c r="E19" s="39">
        <v>7197</v>
      </c>
      <c r="F19" s="39">
        <v>7365</v>
      </c>
      <c r="H19" s="23"/>
      <c r="I19" s="16"/>
      <c r="P19" s="16"/>
      <c r="Q19" s="16"/>
      <c r="R19" s="16"/>
      <c r="S19" s="16"/>
      <c r="T19" s="3"/>
      <c r="U19" s="3"/>
      <c r="V19" s="3"/>
      <c r="W19" s="3"/>
      <c r="X19" s="3"/>
      <c r="Y19" s="3"/>
    </row>
    <row r="20" spans="1:25" ht="24.9" customHeight="1">
      <c r="A20" s="9" t="s">
        <v>22</v>
      </c>
      <c r="B20" s="28" t="s">
        <v>14</v>
      </c>
      <c r="C20" s="39">
        <v>1190</v>
      </c>
      <c r="D20" s="39">
        <v>2143</v>
      </c>
      <c r="E20" s="39">
        <v>2611</v>
      </c>
      <c r="F20" s="39">
        <v>1437</v>
      </c>
      <c r="J20" s="16"/>
      <c r="P20" s="16"/>
      <c r="Q20" s="16"/>
      <c r="R20" s="16"/>
      <c r="S20" s="16"/>
      <c r="T20" s="3"/>
      <c r="U20" s="3"/>
      <c r="V20" s="3"/>
      <c r="W20" s="3"/>
      <c r="X20" s="3"/>
      <c r="Y20" s="3"/>
    </row>
    <row r="21" spans="1:25" ht="40.5" customHeight="1">
      <c r="A21" s="40" t="s">
        <v>82</v>
      </c>
      <c r="B21" s="41" t="s">
        <v>101</v>
      </c>
      <c r="C21" s="42">
        <v>222862</v>
      </c>
      <c r="D21" s="42">
        <v>226350</v>
      </c>
      <c r="E21" s="42">
        <v>229816</v>
      </c>
      <c r="F21" s="42">
        <v>233672</v>
      </c>
      <c r="H21" s="16"/>
      <c r="P21" s="16"/>
      <c r="Q21" s="16"/>
      <c r="R21" s="16"/>
      <c r="S21" s="16"/>
      <c r="T21" s="3"/>
      <c r="U21" s="3"/>
      <c r="V21" s="3"/>
      <c r="W21" s="3"/>
      <c r="X21" s="3"/>
      <c r="Y21" s="3"/>
    </row>
    <row r="22" spans="1:25" ht="15.6">
      <c r="A22" s="11" t="s">
        <v>83</v>
      </c>
      <c r="B22" s="34"/>
      <c r="C22" s="35"/>
      <c r="D22" s="35"/>
      <c r="E22" s="35"/>
      <c r="F22" s="35"/>
      <c r="G22" s="11"/>
      <c r="H22" s="11"/>
    </row>
    <row r="23" spans="1:25" ht="18.75" customHeight="1">
      <c r="A23" s="11" t="s">
        <v>90</v>
      </c>
      <c r="B23" s="34"/>
    </row>
  </sheetData>
  <mergeCells count="4">
    <mergeCell ref="B2:F2"/>
    <mergeCell ref="B3:F3"/>
    <mergeCell ref="A4:F4"/>
    <mergeCell ref="A6:B6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8" scale="92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Y23"/>
  <sheetViews>
    <sheetView view="pageBreakPreview" topLeftCell="A5" zoomScale="60" zoomScaleNormal="75" workbookViewId="0">
      <selection activeCell="A4" sqref="A4:F23"/>
    </sheetView>
  </sheetViews>
  <sheetFormatPr defaultColWidth="9.109375" defaultRowHeight="13.2"/>
  <cols>
    <col min="1" max="1" width="71.6640625" style="33" customWidth="1"/>
    <col min="2" max="2" width="81.6640625" style="1" bestFit="1" customWidth="1"/>
    <col min="3" max="6" width="18.44140625" style="33" customWidth="1"/>
    <col min="7" max="7" width="11.6640625" style="12" customWidth="1"/>
    <col min="8" max="8" width="12.88671875" style="12" bestFit="1" customWidth="1"/>
    <col min="9" max="9" width="11.109375" style="12" bestFit="1" customWidth="1"/>
    <col min="10" max="10" width="10.6640625" style="12" bestFit="1" customWidth="1"/>
    <col min="11" max="19" width="9.109375" style="12"/>
    <col min="20" max="24" width="9.109375" style="33"/>
    <col min="25" max="25" width="9.33203125" style="33" bestFit="1" customWidth="1"/>
    <col min="26" max="16384" width="9.109375" style="33"/>
  </cols>
  <sheetData>
    <row r="1" spans="1:25" ht="15" hidden="1" customHeight="1"/>
    <row r="2" spans="1:25" ht="22.8" hidden="1">
      <c r="B2" s="106" t="s">
        <v>5</v>
      </c>
      <c r="C2" s="106"/>
      <c r="D2" s="106"/>
      <c r="E2" s="106"/>
      <c r="F2" s="106"/>
    </row>
    <row r="3" spans="1:25" ht="22.8" hidden="1">
      <c r="B3" s="107" t="s">
        <v>4</v>
      </c>
      <c r="C3" s="107"/>
      <c r="D3" s="107"/>
      <c r="E3" s="107"/>
      <c r="F3" s="107"/>
    </row>
    <row r="4" spans="1:25" s="4" customFormat="1" ht="45" customHeight="1">
      <c r="A4" s="108" t="s">
        <v>64</v>
      </c>
      <c r="B4" s="108"/>
      <c r="C4" s="108"/>
      <c r="D4" s="108"/>
      <c r="E4" s="108"/>
      <c r="F4" s="108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25" s="4" customFormat="1" ht="45" customHeight="1" thickBot="1">
      <c r="A5" s="50"/>
      <c r="B5" s="50"/>
      <c r="C5" s="50"/>
      <c r="D5" s="50"/>
      <c r="E5" s="50"/>
      <c r="F5" s="58" t="s">
        <v>6</v>
      </c>
      <c r="G5" s="14"/>
      <c r="H5" s="14"/>
      <c r="I5" s="14"/>
      <c r="J5" s="14"/>
      <c r="K5" s="14"/>
      <c r="L5" s="13"/>
      <c r="M5" s="13"/>
      <c r="N5" s="13"/>
      <c r="O5" s="13"/>
      <c r="P5" s="13"/>
      <c r="Q5" s="13"/>
      <c r="R5" s="13"/>
      <c r="S5" s="13"/>
    </row>
    <row r="6" spans="1:25" ht="25.5" customHeight="1" thickTop="1">
      <c r="A6" s="109" t="s">
        <v>26</v>
      </c>
      <c r="B6" s="109"/>
      <c r="C6" s="43" t="s">
        <v>0</v>
      </c>
      <c r="D6" s="36" t="s">
        <v>1</v>
      </c>
      <c r="E6" s="36" t="s">
        <v>2</v>
      </c>
      <c r="F6" s="36" t="s">
        <v>3</v>
      </c>
      <c r="I6" s="15"/>
    </row>
    <row r="7" spans="1:25" ht="36" customHeight="1" thickBot="1">
      <c r="A7" s="44"/>
      <c r="B7" s="45"/>
      <c r="C7" s="46" t="s">
        <v>73</v>
      </c>
      <c r="D7" s="46" t="s">
        <v>74</v>
      </c>
      <c r="E7" s="47" t="s">
        <v>75</v>
      </c>
      <c r="F7" s="47" t="s">
        <v>76</v>
      </c>
    </row>
    <row r="8" spans="1:25" ht="24.9" customHeight="1" thickTop="1">
      <c r="A8" s="25" t="s">
        <v>24</v>
      </c>
      <c r="B8" s="27" t="s">
        <v>7</v>
      </c>
      <c r="C8" s="38">
        <f>C9+C10+C11+C12+C13+C14+C15</f>
        <v>299210</v>
      </c>
      <c r="D8" s="38">
        <f t="shared" ref="D8:F8" si="0">D9+D10+D11+D12+D13+D14+D15</f>
        <v>289681</v>
      </c>
      <c r="E8" s="38">
        <f t="shared" si="0"/>
        <v>304742</v>
      </c>
      <c r="F8" s="38">
        <f t="shared" si="0"/>
        <v>315201</v>
      </c>
      <c r="G8" s="16"/>
      <c r="P8" s="16"/>
      <c r="Q8" s="16"/>
      <c r="R8" s="16"/>
      <c r="S8" s="16"/>
      <c r="T8" s="3"/>
      <c r="U8" s="3"/>
      <c r="V8" s="3"/>
      <c r="W8" s="3"/>
      <c r="X8" s="3"/>
      <c r="Y8" s="3"/>
    </row>
    <row r="9" spans="1:25" s="7" customFormat="1" ht="24.9" customHeight="1">
      <c r="A9" s="10" t="s">
        <v>15</v>
      </c>
      <c r="B9" s="26" t="s">
        <v>8</v>
      </c>
      <c r="C9" s="39">
        <v>42249</v>
      </c>
      <c r="D9" s="39">
        <v>30929</v>
      </c>
      <c r="E9" s="39">
        <v>31600</v>
      </c>
      <c r="F9" s="39">
        <v>32264</v>
      </c>
      <c r="G9" s="17"/>
      <c r="H9" s="17"/>
      <c r="I9" s="18"/>
      <c r="J9" s="18"/>
      <c r="K9" s="18"/>
      <c r="L9" s="18"/>
      <c r="M9" s="18"/>
      <c r="N9" s="18"/>
      <c r="O9" s="18"/>
      <c r="P9" s="17"/>
      <c r="Q9" s="17"/>
      <c r="R9" s="17"/>
      <c r="S9" s="17"/>
      <c r="T9" s="8"/>
      <c r="U9" s="8"/>
      <c r="V9" s="8"/>
      <c r="W9" s="8"/>
      <c r="X9" s="8"/>
      <c r="Y9" s="8"/>
    </row>
    <row r="10" spans="1:25" s="6" customFormat="1" ht="24.9" customHeight="1">
      <c r="A10" s="10" t="s">
        <v>16</v>
      </c>
      <c r="B10" s="28" t="s">
        <v>9</v>
      </c>
      <c r="C10" s="39">
        <v>32800</v>
      </c>
      <c r="D10" s="39">
        <v>23779</v>
      </c>
      <c r="E10" s="39">
        <v>23894</v>
      </c>
      <c r="F10" s="39">
        <v>23637</v>
      </c>
      <c r="G10" s="19"/>
      <c r="H10" s="20"/>
      <c r="I10" s="20"/>
      <c r="J10" s="20"/>
      <c r="K10" s="20"/>
      <c r="L10" s="20"/>
      <c r="M10" s="20"/>
      <c r="N10" s="20"/>
      <c r="O10" s="20"/>
      <c r="P10" s="19"/>
      <c r="Q10" s="19"/>
      <c r="R10" s="19"/>
      <c r="S10" s="19"/>
      <c r="T10" s="5"/>
      <c r="U10" s="5"/>
      <c r="V10" s="5"/>
      <c r="W10" s="5"/>
      <c r="X10" s="5"/>
      <c r="Y10" s="5"/>
    </row>
    <row r="11" spans="1:25" s="6" customFormat="1" ht="24.9" customHeight="1">
      <c r="A11" s="10" t="s">
        <v>17</v>
      </c>
      <c r="B11" s="26" t="s">
        <v>98</v>
      </c>
      <c r="C11" s="39">
        <v>109637</v>
      </c>
      <c r="D11" s="39">
        <v>118318</v>
      </c>
      <c r="E11" s="39">
        <v>130405</v>
      </c>
      <c r="F11" s="39">
        <v>138264.5</v>
      </c>
      <c r="G11" s="20"/>
      <c r="H11" s="19"/>
      <c r="I11" s="20"/>
      <c r="J11" s="20"/>
      <c r="K11" s="20"/>
      <c r="L11" s="20"/>
      <c r="M11" s="20"/>
      <c r="N11" s="20"/>
      <c r="O11" s="20"/>
      <c r="P11" s="19"/>
      <c r="Q11" s="19"/>
      <c r="R11" s="19"/>
      <c r="S11" s="19"/>
      <c r="T11" s="5"/>
      <c r="U11" s="5"/>
      <c r="V11" s="5"/>
      <c r="W11" s="5"/>
      <c r="X11" s="5"/>
      <c r="Y11" s="5"/>
    </row>
    <row r="12" spans="1:25" s="7" customFormat="1" ht="24.9" customHeight="1">
      <c r="A12" s="10" t="s">
        <v>23</v>
      </c>
      <c r="B12" s="28" t="s">
        <v>10</v>
      </c>
      <c r="C12" s="39">
        <v>7952</v>
      </c>
      <c r="D12" s="39">
        <v>7975</v>
      </c>
      <c r="E12" s="39">
        <v>7930</v>
      </c>
      <c r="F12" s="39">
        <v>7994</v>
      </c>
      <c r="G12" s="18"/>
      <c r="H12" s="17"/>
      <c r="I12" s="18"/>
      <c r="J12" s="18"/>
      <c r="K12" s="18"/>
      <c r="L12" s="18"/>
      <c r="M12" s="18"/>
      <c r="N12" s="18"/>
      <c r="O12" s="18"/>
      <c r="P12" s="17"/>
      <c r="Q12" s="17"/>
      <c r="R12" s="17"/>
      <c r="S12" s="17"/>
      <c r="T12" s="8"/>
      <c r="U12" s="8"/>
      <c r="V12" s="8"/>
      <c r="W12" s="8"/>
      <c r="X12" s="8"/>
      <c r="Y12" s="8"/>
    </row>
    <row r="13" spans="1:25" s="6" customFormat="1" ht="24.9" customHeight="1">
      <c r="A13" s="10" t="s">
        <v>18</v>
      </c>
      <c r="B13" s="26" t="s">
        <v>97</v>
      </c>
      <c r="C13" s="39">
        <v>5</v>
      </c>
      <c r="D13" s="39">
        <v>4</v>
      </c>
      <c r="E13" s="39">
        <v>4</v>
      </c>
      <c r="F13" s="39">
        <v>4</v>
      </c>
      <c r="G13" s="20"/>
      <c r="H13" s="17"/>
      <c r="I13" s="20"/>
      <c r="J13" s="20"/>
      <c r="K13" s="20"/>
      <c r="L13" s="20"/>
      <c r="M13" s="20"/>
      <c r="N13" s="20"/>
      <c r="O13" s="20"/>
      <c r="P13" s="19"/>
      <c r="Q13" s="19"/>
      <c r="R13" s="19"/>
      <c r="S13" s="19"/>
      <c r="T13" s="5"/>
      <c r="U13" s="5"/>
      <c r="V13" s="5"/>
      <c r="W13" s="5"/>
      <c r="X13" s="5"/>
      <c r="Y13" s="5"/>
    </row>
    <row r="14" spans="1:25" s="6" customFormat="1" ht="24.9" customHeight="1">
      <c r="A14" s="10" t="s">
        <v>19</v>
      </c>
      <c r="B14" s="28" t="s">
        <v>99</v>
      </c>
      <c r="C14" s="39">
        <v>104496</v>
      </c>
      <c r="D14" s="39">
        <v>106671</v>
      </c>
      <c r="E14" s="39">
        <v>108869</v>
      </c>
      <c r="F14" s="39">
        <v>111044</v>
      </c>
      <c r="G14" s="20"/>
      <c r="H14" s="17"/>
      <c r="I14" s="20"/>
      <c r="J14" s="20"/>
      <c r="K14" s="20"/>
      <c r="L14" s="20"/>
      <c r="M14" s="20"/>
      <c r="N14" s="20"/>
      <c r="O14" s="20"/>
      <c r="P14" s="19"/>
      <c r="Q14" s="19"/>
      <c r="R14" s="19"/>
      <c r="S14" s="19"/>
      <c r="T14" s="5"/>
      <c r="U14" s="5"/>
      <c r="V14" s="5"/>
      <c r="W14" s="5"/>
      <c r="X14" s="5"/>
      <c r="Y14" s="5"/>
    </row>
    <row r="15" spans="1:25" ht="30" customHeight="1">
      <c r="A15" s="30" t="s">
        <v>91</v>
      </c>
      <c r="B15" s="29" t="s">
        <v>89</v>
      </c>
      <c r="C15" s="39">
        <v>2071</v>
      </c>
      <c r="D15" s="39">
        <v>2005</v>
      </c>
      <c r="E15" s="39">
        <v>2040</v>
      </c>
      <c r="F15" s="39">
        <v>1993</v>
      </c>
      <c r="P15" s="16"/>
      <c r="Q15" s="16"/>
      <c r="R15" s="16"/>
      <c r="S15" s="16"/>
      <c r="T15" s="3"/>
      <c r="U15" s="3"/>
      <c r="V15" s="3"/>
      <c r="W15" s="3"/>
      <c r="X15" s="3"/>
      <c r="Y15" s="3"/>
    </row>
    <row r="16" spans="1:25" ht="24.9" customHeight="1">
      <c r="A16" s="31" t="s">
        <v>25</v>
      </c>
      <c r="B16" s="27" t="s">
        <v>11</v>
      </c>
      <c r="C16" s="38">
        <f>SUM(C17:C21)</f>
        <v>299210</v>
      </c>
      <c r="D16" s="38">
        <f t="shared" ref="D16:F16" si="1">SUM(D17:D21)</f>
        <v>289681</v>
      </c>
      <c r="E16" s="38">
        <f t="shared" si="1"/>
        <v>304742</v>
      </c>
      <c r="F16" s="38">
        <f t="shared" si="1"/>
        <v>315201</v>
      </c>
      <c r="P16" s="16"/>
      <c r="Q16" s="16"/>
      <c r="R16" s="16"/>
      <c r="S16" s="16"/>
      <c r="T16" s="3"/>
      <c r="U16" s="3"/>
      <c r="V16" s="3"/>
      <c r="W16" s="3"/>
      <c r="X16" s="3"/>
      <c r="Y16" s="3"/>
    </row>
    <row r="17" spans="1:25" ht="24.9" customHeight="1">
      <c r="A17" s="10" t="s">
        <v>63</v>
      </c>
      <c r="B17" s="26" t="s">
        <v>12</v>
      </c>
      <c r="C17" s="39">
        <v>0</v>
      </c>
      <c r="D17" s="39">
        <v>0</v>
      </c>
      <c r="E17" s="39">
        <v>0</v>
      </c>
      <c r="F17" s="39">
        <v>0</v>
      </c>
      <c r="I17" s="16"/>
      <c r="P17" s="16"/>
      <c r="Q17" s="16"/>
      <c r="R17" s="16"/>
      <c r="S17" s="16"/>
      <c r="T17" s="3"/>
      <c r="U17" s="3"/>
      <c r="V17" s="3"/>
      <c r="W17" s="3"/>
      <c r="X17" s="3"/>
      <c r="Y17" s="3"/>
    </row>
    <row r="18" spans="1:25" s="2" customFormat="1" ht="24.9" customHeight="1">
      <c r="A18" s="9" t="s">
        <v>20</v>
      </c>
      <c r="B18" s="28" t="s">
        <v>100</v>
      </c>
      <c r="C18" s="39">
        <v>54020</v>
      </c>
      <c r="D18" s="39">
        <v>50802</v>
      </c>
      <c r="E18" s="39">
        <v>51094</v>
      </c>
      <c r="F18" s="39">
        <v>51549</v>
      </c>
      <c r="G18" s="21"/>
      <c r="H18" s="21"/>
      <c r="I18" s="22"/>
      <c r="J18" s="22"/>
      <c r="K18" s="21"/>
      <c r="L18" s="21"/>
      <c r="M18" s="21"/>
      <c r="N18" s="21"/>
      <c r="O18" s="21"/>
      <c r="P18" s="16"/>
      <c r="Q18" s="16"/>
      <c r="R18" s="16"/>
      <c r="S18" s="16"/>
      <c r="T18" s="3"/>
      <c r="U18" s="3"/>
      <c r="V18" s="3"/>
      <c r="W18" s="3"/>
      <c r="X18" s="3"/>
      <c r="Y18" s="3"/>
    </row>
    <row r="19" spans="1:25" ht="24.9" customHeight="1">
      <c r="A19" s="10" t="s">
        <v>21</v>
      </c>
      <c r="B19" s="26" t="s">
        <v>13</v>
      </c>
      <c r="C19" s="39">
        <v>6238</v>
      </c>
      <c r="D19" s="39">
        <v>9782</v>
      </c>
      <c r="E19" s="39">
        <v>20685</v>
      </c>
      <c r="F19" s="39">
        <v>26744</v>
      </c>
      <c r="H19" s="23"/>
      <c r="I19" s="16"/>
      <c r="P19" s="16"/>
      <c r="Q19" s="16"/>
      <c r="R19" s="16"/>
      <c r="S19" s="16"/>
      <c r="T19" s="3"/>
      <c r="U19" s="3"/>
      <c r="V19" s="3"/>
      <c r="W19" s="3"/>
      <c r="X19" s="3"/>
      <c r="Y19" s="3"/>
    </row>
    <row r="20" spans="1:25" ht="24.9" customHeight="1">
      <c r="A20" s="9" t="s">
        <v>22</v>
      </c>
      <c r="B20" s="28" t="s">
        <v>14</v>
      </c>
      <c r="C20" s="39">
        <v>3372</v>
      </c>
      <c r="D20" s="39">
        <v>6707</v>
      </c>
      <c r="E20" s="39">
        <v>6758</v>
      </c>
      <c r="F20" s="39">
        <v>5610</v>
      </c>
      <c r="J20" s="16"/>
      <c r="P20" s="16"/>
      <c r="Q20" s="16"/>
      <c r="R20" s="16"/>
      <c r="S20" s="16"/>
      <c r="T20" s="3"/>
      <c r="U20" s="3"/>
      <c r="V20" s="3"/>
      <c r="W20" s="3"/>
      <c r="X20" s="3"/>
      <c r="Y20" s="3"/>
    </row>
    <row r="21" spans="1:25" ht="40.5" customHeight="1">
      <c r="A21" s="40" t="s">
        <v>82</v>
      </c>
      <c r="B21" s="41" t="s">
        <v>101</v>
      </c>
      <c r="C21" s="52">
        <v>235580</v>
      </c>
      <c r="D21" s="52">
        <v>222390</v>
      </c>
      <c r="E21" s="52">
        <v>226205</v>
      </c>
      <c r="F21" s="52">
        <v>231298</v>
      </c>
      <c r="H21" s="16"/>
      <c r="P21" s="16"/>
      <c r="Q21" s="16"/>
      <c r="R21" s="16"/>
      <c r="S21" s="16"/>
      <c r="T21" s="3"/>
      <c r="U21" s="3"/>
      <c r="V21" s="3"/>
      <c r="W21" s="3"/>
      <c r="X21" s="3"/>
      <c r="Y21" s="3"/>
    </row>
    <row r="22" spans="1:25" ht="15.6">
      <c r="A22" s="11" t="s">
        <v>84</v>
      </c>
      <c r="B22" s="34"/>
      <c r="C22" s="35"/>
      <c r="D22" s="35"/>
      <c r="E22" s="35"/>
      <c r="F22" s="35"/>
      <c r="G22" s="11"/>
      <c r="H22" s="11"/>
    </row>
    <row r="23" spans="1:25" ht="18.75" customHeight="1">
      <c r="A23" s="11" t="s">
        <v>90</v>
      </c>
      <c r="B23" s="34"/>
    </row>
  </sheetData>
  <mergeCells count="4">
    <mergeCell ref="B2:F2"/>
    <mergeCell ref="B3:F3"/>
    <mergeCell ref="A4:F4"/>
    <mergeCell ref="A6:B6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8" scale="92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Y23"/>
  <sheetViews>
    <sheetView view="pageBreakPreview" topLeftCell="A4" zoomScale="50" zoomScaleNormal="75" zoomScaleSheetLayoutView="50" workbookViewId="0">
      <selection activeCell="A4" sqref="A4:F23"/>
    </sheetView>
  </sheetViews>
  <sheetFormatPr defaultColWidth="9.109375" defaultRowHeight="13.2"/>
  <cols>
    <col min="1" max="1" width="71.109375" style="33" customWidth="1"/>
    <col min="2" max="2" width="81.6640625" style="1" bestFit="1" customWidth="1"/>
    <col min="3" max="6" width="18.44140625" style="33" customWidth="1"/>
    <col min="7" max="7" width="11.6640625" style="12" customWidth="1"/>
    <col min="8" max="8" width="12.88671875" style="12" bestFit="1" customWidth="1"/>
    <col min="9" max="9" width="11.109375" style="12" bestFit="1" customWidth="1"/>
    <col min="10" max="10" width="10.6640625" style="12" bestFit="1" customWidth="1"/>
    <col min="11" max="19" width="9.109375" style="12"/>
    <col min="20" max="24" width="9.109375" style="33"/>
    <col min="25" max="25" width="9.33203125" style="33" bestFit="1" customWidth="1"/>
    <col min="26" max="16384" width="9.109375" style="33"/>
  </cols>
  <sheetData>
    <row r="1" spans="1:25" ht="15" hidden="1" customHeight="1"/>
    <row r="2" spans="1:25" ht="22.8" hidden="1">
      <c r="B2" s="106" t="s">
        <v>5</v>
      </c>
      <c r="C2" s="106"/>
      <c r="D2" s="106"/>
      <c r="E2" s="106"/>
      <c r="F2" s="106"/>
    </row>
    <row r="3" spans="1:25" ht="22.8" hidden="1">
      <c r="B3" s="107" t="s">
        <v>4</v>
      </c>
      <c r="C3" s="107"/>
      <c r="D3" s="107"/>
      <c r="E3" s="107"/>
      <c r="F3" s="107"/>
    </row>
    <row r="4" spans="1:25" s="4" customFormat="1" ht="45" customHeight="1">
      <c r="A4" s="108" t="s">
        <v>64</v>
      </c>
      <c r="B4" s="108"/>
      <c r="C4" s="108"/>
      <c r="D4" s="108"/>
      <c r="E4" s="108"/>
      <c r="F4" s="108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25" s="4" customFormat="1" ht="45" customHeight="1" thickBot="1">
      <c r="A5" s="51"/>
      <c r="B5" s="51"/>
      <c r="C5" s="51"/>
      <c r="D5" s="51"/>
      <c r="E5" s="51"/>
      <c r="F5" s="58" t="s">
        <v>6</v>
      </c>
      <c r="G5" s="14"/>
      <c r="H5" s="14"/>
      <c r="I5" s="14"/>
      <c r="J5" s="14"/>
      <c r="K5" s="14"/>
      <c r="L5" s="13"/>
      <c r="M5" s="13"/>
      <c r="N5" s="13"/>
      <c r="O5" s="13"/>
      <c r="P5" s="13"/>
      <c r="Q5" s="13"/>
      <c r="R5" s="13"/>
      <c r="S5" s="13"/>
    </row>
    <row r="6" spans="1:25" ht="25.5" customHeight="1" thickTop="1">
      <c r="A6" s="109" t="s">
        <v>26</v>
      </c>
      <c r="B6" s="109"/>
      <c r="C6" s="43" t="s">
        <v>0</v>
      </c>
      <c r="D6" s="36" t="s">
        <v>1</v>
      </c>
      <c r="E6" s="36" t="s">
        <v>2</v>
      </c>
      <c r="F6" s="36" t="s">
        <v>3</v>
      </c>
      <c r="I6" s="15"/>
    </row>
    <row r="7" spans="1:25" ht="36" customHeight="1" thickBot="1">
      <c r="A7" s="44"/>
      <c r="B7" s="45"/>
      <c r="C7" s="46" t="s">
        <v>77</v>
      </c>
      <c r="D7" s="46" t="s">
        <v>78</v>
      </c>
      <c r="E7" s="47" t="s">
        <v>79</v>
      </c>
      <c r="F7" s="47" t="s">
        <v>80</v>
      </c>
    </row>
    <row r="8" spans="1:25" ht="24.9" customHeight="1" thickTop="1">
      <c r="A8" s="25" t="s">
        <v>24</v>
      </c>
      <c r="B8" s="27" t="s">
        <v>7</v>
      </c>
      <c r="C8" s="38">
        <f>C9+C10+C11+C12+C13+C14+C15</f>
        <v>322283</v>
      </c>
      <c r="D8" s="38">
        <f t="shared" ref="D8:F8" si="0">D9+D10+D11+D12+D13+D14+D15</f>
        <v>322692</v>
      </c>
      <c r="E8" s="38">
        <f t="shared" si="0"/>
        <v>328838</v>
      </c>
      <c r="F8" s="38">
        <f t="shared" si="0"/>
        <v>344080</v>
      </c>
      <c r="G8" s="16"/>
      <c r="P8" s="16"/>
      <c r="Q8" s="16"/>
      <c r="R8" s="16"/>
      <c r="S8" s="16"/>
      <c r="T8" s="3"/>
      <c r="U8" s="3"/>
      <c r="V8" s="3"/>
      <c r="W8" s="3"/>
      <c r="X8" s="3"/>
      <c r="Y8" s="3"/>
    </row>
    <row r="9" spans="1:25" s="7" customFormat="1" ht="24.9" customHeight="1">
      <c r="A9" s="10" t="s">
        <v>15</v>
      </c>
      <c r="B9" s="26" t="s">
        <v>8</v>
      </c>
      <c r="C9" s="39">
        <v>33053</v>
      </c>
      <c r="D9" s="39">
        <v>33083</v>
      </c>
      <c r="E9" s="39">
        <v>32646</v>
      </c>
      <c r="F9" s="39">
        <v>33407</v>
      </c>
      <c r="G9" s="16"/>
      <c r="H9" s="17"/>
      <c r="I9" s="18"/>
      <c r="J9" s="18"/>
      <c r="K9" s="18"/>
      <c r="L9" s="18"/>
      <c r="M9" s="18"/>
      <c r="N9" s="18"/>
      <c r="O9" s="18"/>
      <c r="P9" s="17"/>
      <c r="Q9" s="17"/>
      <c r="R9" s="17"/>
      <c r="S9" s="17"/>
      <c r="T9" s="8"/>
      <c r="U9" s="8"/>
      <c r="V9" s="8"/>
      <c r="W9" s="8"/>
      <c r="X9" s="8"/>
      <c r="Y9" s="8"/>
    </row>
    <row r="10" spans="1:25" s="6" customFormat="1" ht="24.9" customHeight="1">
      <c r="A10" s="10" t="s">
        <v>16</v>
      </c>
      <c r="B10" s="28" t="s">
        <v>9</v>
      </c>
      <c r="C10" s="39">
        <v>23601</v>
      </c>
      <c r="D10" s="39">
        <v>23299</v>
      </c>
      <c r="E10" s="39">
        <v>22653</v>
      </c>
      <c r="F10" s="39">
        <v>22581</v>
      </c>
      <c r="G10" s="16"/>
      <c r="H10" s="20"/>
      <c r="I10" s="20"/>
      <c r="J10" s="20"/>
      <c r="K10" s="20"/>
      <c r="L10" s="20"/>
      <c r="M10" s="20"/>
      <c r="N10" s="20"/>
      <c r="O10" s="20"/>
      <c r="P10" s="19"/>
      <c r="Q10" s="19"/>
      <c r="R10" s="19"/>
      <c r="S10" s="19"/>
      <c r="T10" s="5"/>
      <c r="U10" s="5"/>
      <c r="V10" s="5"/>
      <c r="W10" s="5"/>
      <c r="X10" s="5"/>
      <c r="Y10" s="5"/>
    </row>
    <row r="11" spans="1:25" s="6" customFormat="1" ht="24.9" customHeight="1">
      <c r="A11" s="10" t="s">
        <v>17</v>
      </c>
      <c r="B11" s="26" t="s">
        <v>98</v>
      </c>
      <c r="C11" s="39">
        <v>141983</v>
      </c>
      <c r="D11" s="39">
        <v>140291</v>
      </c>
      <c r="E11" s="39">
        <v>144670</v>
      </c>
      <c r="F11" s="39">
        <v>155947</v>
      </c>
      <c r="G11" s="16"/>
      <c r="H11" s="19"/>
      <c r="I11" s="20"/>
      <c r="J11" s="20"/>
      <c r="K11" s="20"/>
      <c r="L11" s="20"/>
      <c r="M11" s="20"/>
      <c r="N11" s="20"/>
      <c r="O11" s="20"/>
      <c r="P11" s="19"/>
      <c r="Q11" s="19"/>
      <c r="R11" s="19"/>
      <c r="S11" s="19"/>
      <c r="T11" s="5"/>
      <c r="U11" s="5"/>
      <c r="V11" s="5"/>
      <c r="W11" s="5"/>
      <c r="X11" s="5"/>
      <c r="Y11" s="5"/>
    </row>
    <row r="12" spans="1:25" s="7" customFormat="1" ht="24.9" customHeight="1">
      <c r="A12" s="10" t="s">
        <v>23</v>
      </c>
      <c r="B12" s="28" t="s">
        <v>10</v>
      </c>
      <c r="C12" s="39">
        <v>8111</v>
      </c>
      <c r="D12" s="39">
        <v>7742</v>
      </c>
      <c r="E12" s="39">
        <v>7366</v>
      </c>
      <c r="F12" s="39">
        <v>7546</v>
      </c>
      <c r="G12" s="16"/>
      <c r="H12" s="17"/>
      <c r="I12" s="18"/>
      <c r="J12" s="18"/>
      <c r="K12" s="18"/>
      <c r="L12" s="18"/>
      <c r="M12" s="18"/>
      <c r="N12" s="18"/>
      <c r="O12" s="18"/>
      <c r="P12" s="17"/>
      <c r="Q12" s="17"/>
      <c r="R12" s="17"/>
      <c r="S12" s="17"/>
      <c r="T12" s="8"/>
      <c r="U12" s="8"/>
      <c r="V12" s="8"/>
      <c r="W12" s="8"/>
      <c r="X12" s="8"/>
      <c r="Y12" s="8"/>
    </row>
    <row r="13" spans="1:25" s="6" customFormat="1" ht="24.9" customHeight="1">
      <c r="A13" s="10" t="s">
        <v>18</v>
      </c>
      <c r="B13" s="26" t="s">
        <v>97</v>
      </c>
      <c r="C13" s="39">
        <v>3</v>
      </c>
      <c r="D13" s="39">
        <v>3</v>
      </c>
      <c r="E13" s="39">
        <v>2</v>
      </c>
      <c r="F13" s="39">
        <v>4</v>
      </c>
      <c r="G13" s="16"/>
      <c r="H13" s="17"/>
      <c r="I13" s="20"/>
      <c r="J13" s="20"/>
      <c r="K13" s="20"/>
      <c r="L13" s="20"/>
      <c r="M13" s="20"/>
      <c r="N13" s="20"/>
      <c r="O13" s="20"/>
      <c r="P13" s="19"/>
      <c r="Q13" s="19"/>
      <c r="R13" s="19"/>
      <c r="S13" s="19"/>
      <c r="T13" s="5"/>
      <c r="U13" s="5"/>
      <c r="V13" s="5"/>
      <c r="W13" s="5"/>
      <c r="X13" s="5"/>
      <c r="Y13" s="5"/>
    </row>
    <row r="14" spans="1:25" s="6" customFormat="1" ht="24.9" customHeight="1">
      <c r="A14" s="10" t="s">
        <v>19</v>
      </c>
      <c r="B14" s="28" t="s">
        <v>99</v>
      </c>
      <c r="C14" s="39">
        <v>113414</v>
      </c>
      <c r="D14" s="39">
        <v>116214</v>
      </c>
      <c r="E14" s="39">
        <v>119225</v>
      </c>
      <c r="F14" s="39">
        <v>122271</v>
      </c>
      <c r="G14" s="16"/>
      <c r="H14" s="17"/>
      <c r="I14" s="20"/>
      <c r="J14" s="20"/>
      <c r="K14" s="20"/>
      <c r="L14" s="20"/>
      <c r="M14" s="20"/>
      <c r="N14" s="20"/>
      <c r="O14" s="20"/>
      <c r="P14" s="19"/>
      <c r="Q14" s="19"/>
      <c r="R14" s="19"/>
      <c r="S14" s="19"/>
      <c r="T14" s="5"/>
      <c r="U14" s="5"/>
      <c r="V14" s="5"/>
      <c r="W14" s="5"/>
      <c r="X14" s="5"/>
      <c r="Y14" s="5"/>
    </row>
    <row r="15" spans="1:25" ht="30" customHeight="1">
      <c r="A15" s="30" t="s">
        <v>91</v>
      </c>
      <c r="B15" s="29" t="s">
        <v>89</v>
      </c>
      <c r="C15" s="39">
        <v>2118</v>
      </c>
      <c r="D15" s="39">
        <v>2060</v>
      </c>
      <c r="E15" s="39">
        <v>2276</v>
      </c>
      <c r="F15" s="39">
        <v>2324</v>
      </c>
      <c r="G15" s="16"/>
      <c r="P15" s="16"/>
      <c r="Q15" s="16"/>
      <c r="R15" s="16"/>
      <c r="S15" s="16"/>
      <c r="T15" s="3"/>
      <c r="U15" s="3"/>
      <c r="V15" s="3"/>
      <c r="W15" s="3"/>
      <c r="X15" s="3"/>
      <c r="Y15" s="3"/>
    </row>
    <row r="16" spans="1:25" ht="24.9" customHeight="1">
      <c r="A16" s="31" t="s">
        <v>25</v>
      </c>
      <c r="B16" s="27" t="s">
        <v>11</v>
      </c>
      <c r="C16" s="38">
        <f>SUM(C18:C21)</f>
        <v>322283</v>
      </c>
      <c r="D16" s="38">
        <f>SUM(D18:D21)</f>
        <v>322692</v>
      </c>
      <c r="E16" s="38">
        <f>SUM(E18:E21)</f>
        <v>328838</v>
      </c>
      <c r="F16" s="38">
        <f t="shared" ref="F16" si="1">SUM(F17:F21)</f>
        <v>344080</v>
      </c>
      <c r="G16" s="16"/>
      <c r="P16" s="16"/>
      <c r="Q16" s="16"/>
      <c r="R16" s="16"/>
      <c r="S16" s="16"/>
      <c r="T16" s="3"/>
      <c r="U16" s="3"/>
      <c r="V16" s="3"/>
      <c r="W16" s="3"/>
      <c r="X16" s="3"/>
      <c r="Y16" s="3"/>
    </row>
    <row r="17" spans="1:25" ht="24.9" customHeight="1">
      <c r="A17" s="10" t="s">
        <v>63</v>
      </c>
      <c r="B17" s="26" t="s">
        <v>12</v>
      </c>
      <c r="C17" s="53">
        <v>0</v>
      </c>
      <c r="D17" s="53">
        <v>0</v>
      </c>
      <c r="E17" s="53">
        <v>0</v>
      </c>
      <c r="F17" s="39">
        <v>0</v>
      </c>
      <c r="G17" s="16"/>
      <c r="I17" s="16"/>
      <c r="P17" s="16"/>
      <c r="Q17" s="16"/>
      <c r="R17" s="16"/>
      <c r="S17" s="16"/>
      <c r="T17" s="3"/>
      <c r="U17" s="3"/>
      <c r="V17" s="3"/>
      <c r="W17" s="3"/>
      <c r="X17" s="3"/>
      <c r="Y17" s="3"/>
    </row>
    <row r="18" spans="1:25" s="2" customFormat="1" ht="24.9" customHeight="1">
      <c r="A18" s="9" t="s">
        <v>81</v>
      </c>
      <c r="B18" s="28" t="s">
        <v>100</v>
      </c>
      <c r="C18" s="39">
        <v>53233</v>
      </c>
      <c r="D18" s="39">
        <v>53056</v>
      </c>
      <c r="E18" s="39">
        <v>51391</v>
      </c>
      <c r="F18" s="39">
        <v>51616</v>
      </c>
      <c r="G18" s="16"/>
      <c r="H18" s="21"/>
      <c r="I18" s="22"/>
      <c r="J18" s="22"/>
      <c r="K18" s="21"/>
      <c r="L18" s="21"/>
      <c r="M18" s="21"/>
      <c r="N18" s="21"/>
      <c r="O18" s="21"/>
      <c r="P18" s="16"/>
      <c r="Q18" s="16"/>
      <c r="R18" s="16"/>
      <c r="S18" s="16"/>
      <c r="T18" s="3"/>
      <c r="U18" s="3"/>
      <c r="V18" s="3"/>
      <c r="W18" s="3"/>
      <c r="X18" s="3"/>
      <c r="Y18" s="3"/>
    </row>
    <row r="19" spans="1:25" ht="24.9" customHeight="1">
      <c r="A19" s="10" t="s">
        <v>21</v>
      </c>
      <c r="B19" s="26" t="s">
        <v>13</v>
      </c>
      <c r="C19" s="39">
        <v>28753</v>
      </c>
      <c r="D19" s="39">
        <v>28088</v>
      </c>
      <c r="E19" s="39">
        <v>27963</v>
      </c>
      <c r="F19" s="39">
        <v>32681</v>
      </c>
      <c r="G19" s="16"/>
      <c r="H19" s="23"/>
      <c r="I19" s="16"/>
      <c r="P19" s="16"/>
      <c r="Q19" s="16"/>
      <c r="R19" s="16"/>
      <c r="S19" s="16"/>
      <c r="T19" s="3"/>
      <c r="U19" s="3"/>
      <c r="V19" s="3"/>
      <c r="W19" s="3"/>
      <c r="X19" s="3"/>
      <c r="Y19" s="3"/>
    </row>
    <row r="20" spans="1:25" ht="24.9" customHeight="1">
      <c r="A20" s="9" t="s">
        <v>22</v>
      </c>
      <c r="B20" s="28" t="s">
        <v>14</v>
      </c>
      <c r="C20" s="39">
        <v>4852</v>
      </c>
      <c r="D20" s="39">
        <v>1512</v>
      </c>
      <c r="E20" s="39">
        <v>5138</v>
      </c>
      <c r="F20" s="39">
        <v>7146</v>
      </c>
      <c r="G20" s="16"/>
      <c r="J20" s="16"/>
      <c r="P20" s="16"/>
      <c r="Q20" s="16"/>
      <c r="R20" s="16"/>
      <c r="S20" s="16"/>
      <c r="T20" s="3"/>
      <c r="U20" s="3"/>
      <c r="V20" s="3"/>
      <c r="W20" s="3"/>
      <c r="X20" s="3"/>
      <c r="Y20" s="3"/>
    </row>
    <row r="21" spans="1:25" ht="40.5" customHeight="1">
      <c r="A21" s="40" t="s">
        <v>82</v>
      </c>
      <c r="B21" s="41" t="s">
        <v>101</v>
      </c>
      <c r="C21" s="52">
        <f>C8-C17-C18-C19-C20</f>
        <v>235445</v>
      </c>
      <c r="D21" s="52">
        <f>D8-D17-D18-D19-D20</f>
        <v>240036</v>
      </c>
      <c r="E21" s="52">
        <f>E8-E17-E18-E19-E20</f>
        <v>244346</v>
      </c>
      <c r="F21" s="52">
        <f>F8-F17-F18-F19-F20</f>
        <v>252637</v>
      </c>
      <c r="G21" s="16"/>
      <c r="H21" s="16"/>
      <c r="P21" s="16"/>
      <c r="Q21" s="16"/>
      <c r="R21" s="16"/>
      <c r="S21" s="16"/>
      <c r="T21" s="3"/>
      <c r="U21" s="3"/>
      <c r="V21" s="3"/>
      <c r="W21" s="3"/>
      <c r="X21" s="3"/>
      <c r="Y21" s="3"/>
    </row>
    <row r="22" spans="1:25" ht="22.5" customHeight="1">
      <c r="A22" s="11" t="s">
        <v>83</v>
      </c>
      <c r="B22" s="34"/>
      <c r="C22" s="35"/>
      <c r="D22" s="35"/>
      <c r="E22" s="35"/>
      <c r="F22" s="35"/>
      <c r="G22" s="11"/>
      <c r="H22" s="11"/>
    </row>
    <row r="23" spans="1:25" ht="18.75" customHeight="1">
      <c r="A23" s="11" t="s">
        <v>90</v>
      </c>
      <c r="B23" s="34"/>
    </row>
  </sheetData>
  <mergeCells count="4">
    <mergeCell ref="B2:F2"/>
    <mergeCell ref="B3:F3"/>
    <mergeCell ref="A4:F4"/>
    <mergeCell ref="A6:B6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8" scale="9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Y23"/>
  <sheetViews>
    <sheetView view="pageBreakPreview" topLeftCell="A4" zoomScale="50" zoomScaleNormal="75" zoomScaleSheetLayoutView="50" workbookViewId="0">
      <selection activeCell="A4" sqref="A4:F23"/>
    </sheetView>
  </sheetViews>
  <sheetFormatPr defaultColWidth="9.109375" defaultRowHeight="13.2"/>
  <cols>
    <col min="1" max="1" width="71.109375" style="33" customWidth="1"/>
    <col min="2" max="2" width="78" style="1" customWidth="1"/>
    <col min="3" max="6" width="18.44140625" style="33" customWidth="1"/>
    <col min="7" max="7" width="11.6640625" style="12" customWidth="1"/>
    <col min="8" max="8" width="12.88671875" style="12" bestFit="1" customWidth="1"/>
    <col min="9" max="9" width="11.109375" style="12" bestFit="1" customWidth="1"/>
    <col min="10" max="10" width="10.6640625" style="12" bestFit="1" customWidth="1"/>
    <col min="11" max="19" width="9.109375" style="12"/>
    <col min="20" max="24" width="9.109375" style="33"/>
    <col min="25" max="25" width="9.33203125" style="33" bestFit="1" customWidth="1"/>
    <col min="26" max="16384" width="9.109375" style="33"/>
  </cols>
  <sheetData>
    <row r="1" spans="1:25" ht="15" hidden="1" customHeight="1"/>
    <row r="2" spans="1:25" ht="22.8" hidden="1">
      <c r="B2" s="106" t="s">
        <v>5</v>
      </c>
      <c r="C2" s="106"/>
      <c r="D2" s="106"/>
      <c r="E2" s="106"/>
      <c r="F2" s="106"/>
    </row>
    <row r="3" spans="1:25" ht="22.8" hidden="1">
      <c r="B3" s="107" t="s">
        <v>4</v>
      </c>
      <c r="C3" s="107"/>
      <c r="D3" s="107"/>
      <c r="E3" s="107"/>
      <c r="F3" s="107"/>
    </row>
    <row r="4" spans="1:25" s="4" customFormat="1" ht="45" customHeight="1">
      <c r="A4" s="108" t="s">
        <v>64</v>
      </c>
      <c r="B4" s="108"/>
      <c r="C4" s="108"/>
      <c r="D4" s="108"/>
      <c r="E4" s="108"/>
      <c r="F4" s="108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25" s="4" customFormat="1" ht="45" customHeight="1" thickBot="1">
      <c r="A5" s="54"/>
      <c r="B5" s="54"/>
      <c r="C5" s="54"/>
      <c r="D5" s="54"/>
      <c r="E5" s="54"/>
      <c r="F5" s="58" t="s">
        <v>6</v>
      </c>
      <c r="G5" s="14"/>
      <c r="H5" s="14"/>
      <c r="I5" s="14"/>
      <c r="J5" s="14"/>
      <c r="K5" s="14"/>
      <c r="L5" s="13"/>
      <c r="M5" s="13"/>
      <c r="N5" s="13"/>
      <c r="O5" s="13"/>
      <c r="P5" s="13"/>
      <c r="Q5" s="13"/>
      <c r="R5" s="13"/>
      <c r="S5" s="13"/>
    </row>
    <row r="6" spans="1:25" ht="25.5" customHeight="1" thickTop="1">
      <c r="A6" s="109" t="s">
        <v>26</v>
      </c>
      <c r="B6" s="109"/>
      <c r="C6" s="43" t="s">
        <v>0</v>
      </c>
      <c r="D6" s="36" t="s">
        <v>1</v>
      </c>
      <c r="E6" s="36" t="s">
        <v>2</v>
      </c>
      <c r="F6" s="36" t="s">
        <v>3</v>
      </c>
      <c r="I6" s="15"/>
    </row>
    <row r="7" spans="1:25" ht="36" customHeight="1" thickBot="1">
      <c r="A7" s="44"/>
      <c r="B7" s="45"/>
      <c r="C7" s="46" t="s">
        <v>85</v>
      </c>
      <c r="D7" s="46" t="s">
        <v>86</v>
      </c>
      <c r="E7" s="47" t="s">
        <v>87</v>
      </c>
      <c r="F7" s="47" t="s">
        <v>88</v>
      </c>
    </row>
    <row r="8" spans="1:25" ht="24.9" customHeight="1" thickTop="1">
      <c r="A8" s="25" t="s">
        <v>24</v>
      </c>
      <c r="B8" s="27" t="s">
        <v>7</v>
      </c>
      <c r="C8" s="38">
        <f>C9+C10+C11+C12+C13+C14+C15</f>
        <v>363021</v>
      </c>
      <c r="D8" s="38">
        <f t="shared" ref="D8:F8" si="0">D9+D10+D11+D12+D13+D14+D15</f>
        <v>378115</v>
      </c>
      <c r="E8" s="38">
        <f>E9+E10+E11+E12+E13+E14+E15</f>
        <v>407759</v>
      </c>
      <c r="F8" s="38">
        <f t="shared" si="0"/>
        <v>484045</v>
      </c>
      <c r="G8" s="16"/>
      <c r="P8" s="16"/>
      <c r="Q8" s="16"/>
      <c r="R8" s="16"/>
      <c r="S8" s="16"/>
      <c r="T8" s="3"/>
      <c r="U8" s="3"/>
      <c r="V8" s="3"/>
      <c r="W8" s="3"/>
      <c r="X8" s="3"/>
      <c r="Y8" s="3"/>
    </row>
    <row r="9" spans="1:25" s="7" customFormat="1" ht="24.9" customHeight="1">
      <c r="A9" s="10" t="s">
        <v>15</v>
      </c>
      <c r="B9" s="26" t="s">
        <v>8</v>
      </c>
      <c r="C9" s="55">
        <v>34276</v>
      </c>
      <c r="D9" s="39">
        <v>35203</v>
      </c>
      <c r="E9" s="39">
        <v>35779</v>
      </c>
      <c r="F9" s="39">
        <v>35382</v>
      </c>
      <c r="G9" s="16"/>
      <c r="H9" s="17"/>
      <c r="I9" s="18"/>
      <c r="J9" s="18"/>
      <c r="K9" s="18"/>
      <c r="L9" s="18"/>
      <c r="M9" s="18"/>
      <c r="N9" s="18"/>
      <c r="O9" s="18"/>
      <c r="P9" s="17"/>
      <c r="Q9" s="17"/>
      <c r="R9" s="17"/>
      <c r="S9" s="17"/>
      <c r="T9" s="8"/>
      <c r="U9" s="8"/>
      <c r="V9" s="8"/>
      <c r="W9" s="8"/>
      <c r="X9" s="8"/>
      <c r="Y9" s="8"/>
    </row>
    <row r="10" spans="1:25" s="6" customFormat="1" ht="24.9" customHeight="1">
      <c r="A10" s="10" t="s">
        <v>16</v>
      </c>
      <c r="B10" s="28" t="s">
        <v>9</v>
      </c>
      <c r="C10" s="55">
        <v>22561</v>
      </c>
      <c r="D10" s="39">
        <v>22561</v>
      </c>
      <c r="E10" s="39">
        <v>22309</v>
      </c>
      <c r="F10" s="39">
        <v>21384</v>
      </c>
      <c r="G10" s="16"/>
      <c r="H10" s="20"/>
      <c r="I10" s="20"/>
      <c r="J10" s="20"/>
      <c r="K10" s="20"/>
      <c r="L10" s="20"/>
      <c r="M10" s="20"/>
      <c r="N10" s="20"/>
      <c r="O10" s="20"/>
      <c r="P10" s="19"/>
      <c r="Q10" s="19"/>
      <c r="R10" s="19"/>
      <c r="S10" s="19"/>
      <c r="T10" s="5"/>
      <c r="U10" s="5"/>
      <c r="V10" s="5"/>
      <c r="W10" s="5"/>
      <c r="X10" s="5"/>
      <c r="Y10" s="5"/>
    </row>
    <row r="11" spans="1:25" s="6" customFormat="1" ht="24.9" customHeight="1">
      <c r="A11" s="10" t="s">
        <v>17</v>
      </c>
      <c r="B11" s="26" t="s">
        <v>98</v>
      </c>
      <c r="C11" s="55">
        <v>170486</v>
      </c>
      <c r="D11" s="39">
        <v>183149</v>
      </c>
      <c r="E11" s="39">
        <v>208738</v>
      </c>
      <c r="F11" s="39">
        <v>281289</v>
      </c>
      <c r="G11" s="16"/>
      <c r="H11" s="19"/>
      <c r="I11" s="20"/>
      <c r="J11" s="20"/>
      <c r="K11" s="20"/>
      <c r="L11" s="20"/>
      <c r="M11" s="20"/>
      <c r="N11" s="20"/>
      <c r="O11" s="20"/>
      <c r="P11" s="19"/>
      <c r="Q11" s="19"/>
      <c r="R11" s="19"/>
      <c r="S11" s="19"/>
      <c r="T11" s="5"/>
      <c r="U11" s="5"/>
      <c r="V11" s="5"/>
      <c r="W11" s="5"/>
      <c r="X11" s="5"/>
      <c r="Y11" s="5"/>
    </row>
    <row r="12" spans="1:25" s="7" customFormat="1" ht="24.9" customHeight="1">
      <c r="A12" s="10" t="s">
        <v>23</v>
      </c>
      <c r="B12" s="28" t="s">
        <v>10</v>
      </c>
      <c r="C12" s="55">
        <v>7497.1</v>
      </c>
      <c r="D12" s="39">
        <v>7024</v>
      </c>
      <c r="E12" s="39">
        <v>7069</v>
      </c>
      <c r="F12" s="39">
        <v>7294</v>
      </c>
      <c r="G12" s="16"/>
      <c r="H12" s="17"/>
      <c r="I12" s="18"/>
      <c r="J12" s="18"/>
      <c r="K12" s="18"/>
      <c r="L12" s="18"/>
      <c r="M12" s="18"/>
      <c r="N12" s="18"/>
      <c r="O12" s="18"/>
      <c r="P12" s="17"/>
      <c r="Q12" s="17"/>
      <c r="R12" s="17"/>
      <c r="S12" s="17"/>
      <c r="T12" s="8"/>
      <c r="U12" s="8"/>
      <c r="V12" s="8"/>
      <c r="W12" s="8"/>
      <c r="X12" s="8"/>
      <c r="Y12" s="8"/>
    </row>
    <row r="13" spans="1:25" s="6" customFormat="1" ht="24.9" customHeight="1">
      <c r="A13" s="10" t="s">
        <v>18</v>
      </c>
      <c r="B13" s="26" t="s">
        <v>97</v>
      </c>
      <c r="C13" s="55">
        <v>4</v>
      </c>
      <c r="D13" s="39">
        <v>3</v>
      </c>
      <c r="E13" s="39">
        <v>3</v>
      </c>
      <c r="F13" s="39">
        <v>2</v>
      </c>
      <c r="G13" s="16"/>
      <c r="H13" s="17"/>
      <c r="I13" s="20"/>
      <c r="J13" s="20"/>
      <c r="K13" s="20"/>
      <c r="L13" s="20"/>
      <c r="M13" s="20"/>
      <c r="N13" s="20"/>
      <c r="O13" s="20"/>
      <c r="P13" s="19"/>
      <c r="Q13" s="19"/>
      <c r="R13" s="19"/>
      <c r="S13" s="19"/>
      <c r="T13" s="5"/>
      <c r="U13" s="5"/>
      <c r="V13" s="5"/>
      <c r="W13" s="5"/>
      <c r="X13" s="5"/>
      <c r="Y13" s="5"/>
    </row>
    <row r="14" spans="1:25" s="6" customFormat="1" ht="24.9" customHeight="1">
      <c r="A14" s="10" t="s">
        <v>19</v>
      </c>
      <c r="B14" s="28" t="s">
        <v>99</v>
      </c>
      <c r="C14" s="55">
        <v>125967</v>
      </c>
      <c r="D14" s="39">
        <v>127844</v>
      </c>
      <c r="E14" s="39">
        <v>131119</v>
      </c>
      <c r="F14" s="39">
        <v>134431</v>
      </c>
      <c r="G14" s="16"/>
      <c r="H14" s="17"/>
      <c r="I14" s="20"/>
      <c r="J14" s="20"/>
      <c r="K14" s="20"/>
      <c r="L14" s="20"/>
      <c r="M14" s="20"/>
      <c r="N14" s="20"/>
      <c r="O14" s="20"/>
      <c r="P14" s="19"/>
      <c r="Q14" s="19"/>
      <c r="R14" s="19"/>
      <c r="S14" s="19"/>
      <c r="T14" s="5"/>
      <c r="U14" s="5"/>
      <c r="V14" s="5"/>
      <c r="W14" s="5"/>
      <c r="X14" s="5"/>
      <c r="Y14" s="5"/>
    </row>
    <row r="15" spans="1:25" ht="30" customHeight="1">
      <c r="A15" s="30" t="s">
        <v>91</v>
      </c>
      <c r="B15" s="29" t="s">
        <v>89</v>
      </c>
      <c r="C15" s="55">
        <v>2230</v>
      </c>
      <c r="D15" s="39">
        <v>2331</v>
      </c>
      <c r="E15" s="39">
        <v>2742</v>
      </c>
      <c r="F15" s="39">
        <v>4263</v>
      </c>
      <c r="G15" s="16"/>
      <c r="P15" s="16"/>
      <c r="Q15" s="16"/>
      <c r="R15" s="16"/>
      <c r="S15" s="16"/>
      <c r="T15" s="3"/>
      <c r="U15" s="3"/>
      <c r="V15" s="3"/>
      <c r="W15" s="3"/>
      <c r="X15" s="3"/>
      <c r="Y15" s="3"/>
    </row>
    <row r="16" spans="1:25" ht="24.9" customHeight="1">
      <c r="A16" s="31" t="s">
        <v>25</v>
      </c>
      <c r="B16" s="27" t="s">
        <v>11</v>
      </c>
      <c r="C16" s="38">
        <f>SUM(C18:C21)</f>
        <v>363021</v>
      </c>
      <c r="D16" s="38">
        <f t="shared" ref="D16:F16" si="1">SUM(D18:D21)</f>
        <v>378115</v>
      </c>
      <c r="E16" s="38">
        <f t="shared" si="1"/>
        <v>407759</v>
      </c>
      <c r="F16" s="38">
        <f t="shared" si="1"/>
        <v>484045</v>
      </c>
      <c r="G16" s="16"/>
      <c r="P16" s="16"/>
      <c r="Q16" s="16"/>
      <c r="R16" s="16"/>
      <c r="S16" s="16"/>
      <c r="T16" s="3"/>
      <c r="U16" s="3"/>
      <c r="V16" s="3"/>
      <c r="W16" s="3"/>
      <c r="X16" s="3"/>
      <c r="Y16" s="3"/>
    </row>
    <row r="17" spans="1:25" ht="24.9" customHeight="1">
      <c r="A17" s="10" t="s">
        <v>63</v>
      </c>
      <c r="B17" s="26" t="s">
        <v>12</v>
      </c>
      <c r="C17" s="53">
        <v>0</v>
      </c>
      <c r="D17" s="53">
        <v>0</v>
      </c>
      <c r="E17" s="53">
        <v>0</v>
      </c>
      <c r="F17" s="39">
        <v>0</v>
      </c>
      <c r="G17" s="16"/>
      <c r="I17" s="16"/>
      <c r="P17" s="16"/>
      <c r="Q17" s="16"/>
      <c r="R17" s="16"/>
      <c r="S17" s="16"/>
      <c r="T17" s="3"/>
      <c r="U17" s="3"/>
      <c r="V17" s="3"/>
      <c r="W17" s="3"/>
      <c r="X17" s="3"/>
      <c r="Y17" s="3"/>
    </row>
    <row r="18" spans="1:25" s="2" customFormat="1" ht="24.9" customHeight="1">
      <c r="A18" s="9" t="s">
        <v>81</v>
      </c>
      <c r="B18" s="28" t="s">
        <v>100</v>
      </c>
      <c r="C18" s="56">
        <v>53738</v>
      </c>
      <c r="D18" s="39">
        <v>70215</v>
      </c>
      <c r="E18" s="39">
        <v>69718</v>
      </c>
      <c r="F18" s="39">
        <v>71691</v>
      </c>
      <c r="G18" s="16"/>
      <c r="H18" s="21"/>
      <c r="I18" s="22"/>
      <c r="J18" s="22"/>
      <c r="K18" s="21"/>
      <c r="L18" s="21"/>
      <c r="M18" s="21"/>
      <c r="N18" s="21"/>
      <c r="O18" s="21"/>
      <c r="P18" s="16"/>
      <c r="Q18" s="16"/>
      <c r="R18" s="16"/>
      <c r="S18" s="16"/>
      <c r="T18" s="3"/>
      <c r="U18" s="3"/>
      <c r="V18" s="3"/>
      <c r="W18" s="3"/>
      <c r="X18" s="3"/>
      <c r="Y18" s="3"/>
    </row>
    <row r="19" spans="1:25" ht="24.9" customHeight="1">
      <c r="A19" s="10" t="s">
        <v>21</v>
      </c>
      <c r="B19" s="26" t="s">
        <v>13</v>
      </c>
      <c r="C19" s="56">
        <v>44119</v>
      </c>
      <c r="D19" s="39">
        <v>57812</v>
      </c>
      <c r="E19" s="39">
        <v>79063</v>
      </c>
      <c r="F19" s="39">
        <v>144341</v>
      </c>
      <c r="G19" s="16"/>
      <c r="H19" s="23"/>
      <c r="I19" s="16"/>
      <c r="P19" s="16"/>
      <c r="Q19" s="16"/>
      <c r="R19" s="16"/>
      <c r="S19" s="16"/>
      <c r="T19" s="3"/>
      <c r="U19" s="3"/>
      <c r="V19" s="3"/>
      <c r="W19" s="3"/>
      <c r="X19" s="3"/>
      <c r="Y19" s="3"/>
    </row>
    <row r="20" spans="1:25" ht="24.9" customHeight="1">
      <c r="A20" s="9" t="s">
        <v>22</v>
      </c>
      <c r="B20" s="28" t="s">
        <v>14</v>
      </c>
      <c r="C20" s="56">
        <v>8076</v>
      </c>
      <c r="D20" s="39">
        <v>7828</v>
      </c>
      <c r="E20" s="39">
        <v>8850</v>
      </c>
      <c r="F20" s="39">
        <v>11023</v>
      </c>
      <c r="G20" s="16"/>
      <c r="J20" s="16"/>
      <c r="P20" s="16"/>
      <c r="Q20" s="16"/>
      <c r="R20" s="16"/>
      <c r="S20" s="16"/>
      <c r="T20" s="3"/>
      <c r="U20" s="3"/>
      <c r="V20" s="3"/>
      <c r="W20" s="3"/>
      <c r="X20" s="3"/>
      <c r="Y20" s="3"/>
    </row>
    <row r="21" spans="1:25" ht="42" customHeight="1">
      <c r="A21" s="40" t="s">
        <v>82</v>
      </c>
      <c r="B21" s="41" t="s">
        <v>101</v>
      </c>
      <c r="C21" s="52">
        <f>C8-C17-C18-C19-C20</f>
        <v>257088</v>
      </c>
      <c r="D21" s="52">
        <f t="shared" ref="D21:F21" si="2">D8-D17-D18-D19-D20</f>
        <v>242260</v>
      </c>
      <c r="E21" s="52">
        <f t="shared" si="2"/>
        <v>250128</v>
      </c>
      <c r="F21" s="52">
        <f t="shared" si="2"/>
        <v>256990</v>
      </c>
      <c r="G21" s="16"/>
      <c r="H21" s="16"/>
      <c r="P21" s="16"/>
      <c r="Q21" s="16"/>
      <c r="R21" s="16"/>
      <c r="S21" s="16"/>
      <c r="T21" s="3"/>
      <c r="U21" s="3"/>
      <c r="V21" s="3"/>
      <c r="W21" s="3"/>
      <c r="X21" s="3"/>
      <c r="Y21" s="3"/>
    </row>
    <row r="22" spans="1:25" ht="27.75" customHeight="1">
      <c r="A22" s="11" t="s">
        <v>83</v>
      </c>
      <c r="B22" s="34"/>
      <c r="C22" s="35"/>
      <c r="D22" s="35"/>
      <c r="E22" s="35"/>
      <c r="F22" s="35"/>
      <c r="G22" s="11"/>
      <c r="H22" s="11"/>
    </row>
    <row r="23" spans="1:25" ht="18.75" customHeight="1">
      <c r="A23" s="11" t="s">
        <v>90</v>
      </c>
      <c r="B23" s="34"/>
    </row>
  </sheetData>
  <mergeCells count="4">
    <mergeCell ref="B2:F2"/>
    <mergeCell ref="B3:F3"/>
    <mergeCell ref="A4:F4"/>
    <mergeCell ref="A6:B6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8" scale="94" orientation="landscape" r:id="rId1"/>
  <headerFooter alignWithMargins="0"/>
  <ignoredErrors>
    <ignoredError sqref="D16:F16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Y23"/>
  <sheetViews>
    <sheetView view="pageBreakPreview" topLeftCell="A5" zoomScale="60" zoomScaleNormal="75" workbookViewId="0">
      <selection activeCell="A4" sqref="A4:F23"/>
    </sheetView>
  </sheetViews>
  <sheetFormatPr defaultColWidth="9.109375" defaultRowHeight="13.2"/>
  <cols>
    <col min="1" max="1" width="71.109375" style="33" customWidth="1"/>
    <col min="2" max="2" width="78.88671875" style="1" customWidth="1"/>
    <col min="3" max="5" width="18.44140625" style="33" customWidth="1"/>
    <col min="6" max="6" width="18.109375" style="33" customWidth="1"/>
    <col min="7" max="7" width="11.6640625" style="12" customWidth="1"/>
    <col min="8" max="8" width="12.88671875" style="12" bestFit="1" customWidth="1"/>
    <col min="9" max="9" width="11.109375" style="12" bestFit="1" customWidth="1"/>
    <col min="10" max="10" width="10.6640625" style="12" bestFit="1" customWidth="1"/>
    <col min="11" max="19" width="9.109375" style="12"/>
    <col min="20" max="24" width="9.109375" style="33"/>
    <col min="25" max="25" width="9.33203125" style="33" bestFit="1" customWidth="1"/>
    <col min="26" max="16384" width="9.109375" style="33"/>
  </cols>
  <sheetData>
    <row r="1" spans="1:25" ht="15" hidden="1" customHeight="1"/>
    <row r="2" spans="1:25" ht="22.8" hidden="1">
      <c r="B2" s="106" t="s">
        <v>5</v>
      </c>
      <c r="C2" s="106"/>
      <c r="D2" s="106"/>
      <c r="E2" s="106"/>
      <c r="F2" s="106"/>
    </row>
    <row r="3" spans="1:25" ht="22.8" hidden="1">
      <c r="B3" s="107" t="s">
        <v>4</v>
      </c>
      <c r="C3" s="107"/>
      <c r="D3" s="107"/>
      <c r="E3" s="107"/>
      <c r="F3" s="107"/>
    </row>
    <row r="4" spans="1:25" s="4" customFormat="1" ht="45" customHeight="1">
      <c r="A4" s="108" t="s">
        <v>64</v>
      </c>
      <c r="B4" s="108"/>
      <c r="C4" s="108"/>
      <c r="D4" s="108"/>
      <c r="E4" s="108"/>
      <c r="F4" s="108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25" s="4" customFormat="1" ht="45" customHeight="1" thickBot="1">
      <c r="A5" s="57"/>
      <c r="B5" s="57"/>
      <c r="C5" s="57"/>
      <c r="D5" s="57"/>
      <c r="E5" s="57"/>
      <c r="F5" s="58" t="s">
        <v>6</v>
      </c>
      <c r="G5" s="14"/>
      <c r="H5" s="14"/>
      <c r="I5" s="14"/>
      <c r="J5" s="14"/>
      <c r="K5" s="14"/>
      <c r="L5" s="13"/>
      <c r="M5" s="13"/>
      <c r="N5" s="13"/>
      <c r="O5" s="13"/>
      <c r="P5" s="13"/>
      <c r="Q5" s="13"/>
      <c r="R5" s="13"/>
      <c r="S5" s="13"/>
    </row>
    <row r="6" spans="1:25" ht="25.5" customHeight="1" thickTop="1">
      <c r="A6" s="109" t="s">
        <v>26</v>
      </c>
      <c r="B6" s="109"/>
      <c r="C6" s="43" t="s">
        <v>0</v>
      </c>
      <c r="D6" s="36" t="s">
        <v>1</v>
      </c>
      <c r="E6" s="36" t="s">
        <v>2</v>
      </c>
      <c r="F6" s="36" t="s">
        <v>3</v>
      </c>
      <c r="I6" s="15"/>
    </row>
    <row r="7" spans="1:25" ht="36" customHeight="1" thickBot="1">
      <c r="A7" s="44"/>
      <c r="B7" s="45"/>
      <c r="C7" s="46" t="s">
        <v>93</v>
      </c>
      <c r="D7" s="46" t="s">
        <v>94</v>
      </c>
      <c r="E7" s="47" t="s">
        <v>95</v>
      </c>
      <c r="F7" s="47" t="s">
        <v>96</v>
      </c>
    </row>
    <row r="8" spans="1:25" ht="24.9" customHeight="1" thickTop="1">
      <c r="A8" s="25" t="s">
        <v>24</v>
      </c>
      <c r="B8" s="27" t="s">
        <v>7</v>
      </c>
      <c r="C8" s="38">
        <f>C9+C10+C11+C12+C13+C14+C15</f>
        <v>525186</v>
      </c>
      <c r="D8" s="38">
        <f t="shared" ref="D8:F8" si="0">D9+D10+D11+D12+D13+D14+D15</f>
        <v>563340</v>
      </c>
      <c r="E8" s="38">
        <f t="shared" si="0"/>
        <v>599077</v>
      </c>
      <c r="F8" s="38">
        <f t="shared" si="0"/>
        <v>643252</v>
      </c>
      <c r="G8" s="16"/>
      <c r="P8" s="16"/>
      <c r="Q8" s="16"/>
      <c r="R8" s="16"/>
      <c r="S8" s="16"/>
      <c r="T8" s="3"/>
      <c r="U8" s="3"/>
      <c r="V8" s="3"/>
      <c r="W8" s="3"/>
      <c r="X8" s="3"/>
      <c r="Y8" s="3"/>
    </row>
    <row r="9" spans="1:25" s="7" customFormat="1" ht="24.9" customHeight="1">
      <c r="A9" s="10" t="s">
        <v>15</v>
      </c>
      <c r="B9" s="26" t="s">
        <v>8</v>
      </c>
      <c r="C9" s="39">
        <v>36363</v>
      </c>
      <c r="D9" s="39">
        <v>37177</v>
      </c>
      <c r="E9" s="39">
        <v>36002</v>
      </c>
      <c r="F9" s="39">
        <v>36542</v>
      </c>
      <c r="G9" s="16"/>
      <c r="H9" s="17"/>
      <c r="I9" s="18"/>
      <c r="J9" s="18"/>
      <c r="K9" s="18"/>
      <c r="L9" s="18"/>
      <c r="M9" s="18"/>
      <c r="N9" s="18"/>
      <c r="O9" s="18"/>
      <c r="P9" s="17"/>
      <c r="Q9" s="17"/>
      <c r="R9" s="17"/>
      <c r="S9" s="17"/>
      <c r="T9" s="8"/>
      <c r="U9" s="8"/>
      <c r="V9" s="8"/>
      <c r="W9" s="8"/>
      <c r="X9" s="8"/>
      <c r="Y9" s="8"/>
    </row>
    <row r="10" spans="1:25" s="6" customFormat="1" ht="24.9" customHeight="1">
      <c r="A10" s="10" t="s">
        <v>16</v>
      </c>
      <c r="B10" s="28" t="s">
        <v>9</v>
      </c>
      <c r="C10" s="39">
        <v>21368</v>
      </c>
      <c r="D10" s="39">
        <v>21234</v>
      </c>
      <c r="E10" s="39">
        <v>19880</v>
      </c>
      <c r="F10" s="39">
        <v>19548</v>
      </c>
      <c r="G10" s="16"/>
      <c r="H10" s="20"/>
      <c r="I10" s="20"/>
      <c r="J10" s="20"/>
      <c r="K10" s="20"/>
      <c r="L10" s="20"/>
      <c r="M10" s="20"/>
      <c r="N10" s="20"/>
      <c r="O10" s="20"/>
      <c r="P10" s="19"/>
      <c r="Q10" s="19"/>
      <c r="R10" s="19"/>
      <c r="S10" s="19"/>
      <c r="T10" s="5"/>
      <c r="U10" s="5"/>
      <c r="V10" s="5"/>
      <c r="W10" s="5"/>
      <c r="X10" s="5"/>
      <c r="Y10" s="5"/>
    </row>
    <row r="11" spans="1:25" s="6" customFormat="1" ht="24.9" customHeight="1">
      <c r="A11" s="10" t="s">
        <v>17</v>
      </c>
      <c r="B11" s="26" t="s">
        <v>98</v>
      </c>
      <c r="C11" s="39">
        <v>316385</v>
      </c>
      <c r="D11" s="39">
        <v>350658</v>
      </c>
      <c r="E11" s="39">
        <v>385017</v>
      </c>
      <c r="F11" s="39">
        <v>424754</v>
      </c>
      <c r="G11" s="16"/>
      <c r="H11" s="19"/>
      <c r="I11" s="20"/>
      <c r="J11" s="20"/>
      <c r="K11" s="20"/>
      <c r="L11" s="20"/>
      <c r="M11" s="20"/>
      <c r="N11" s="20"/>
      <c r="O11" s="20"/>
      <c r="P11" s="19"/>
      <c r="Q11" s="19"/>
      <c r="R11" s="19"/>
      <c r="S11" s="19"/>
      <c r="T11" s="5"/>
      <c r="U11" s="5"/>
      <c r="V11" s="5"/>
      <c r="W11" s="5"/>
      <c r="X11" s="5"/>
      <c r="Y11" s="5"/>
    </row>
    <row r="12" spans="1:25" s="7" customFormat="1" ht="24.9" customHeight="1">
      <c r="A12" s="10" t="s">
        <v>23</v>
      </c>
      <c r="B12" s="28" t="s">
        <v>10</v>
      </c>
      <c r="C12" s="39">
        <v>7488</v>
      </c>
      <c r="D12" s="39">
        <v>7728</v>
      </c>
      <c r="E12" s="39">
        <v>8002</v>
      </c>
      <c r="F12" s="39">
        <v>8288</v>
      </c>
      <c r="G12" s="16"/>
      <c r="H12" s="17"/>
      <c r="I12" s="18"/>
      <c r="J12" s="18"/>
      <c r="K12" s="18"/>
      <c r="L12" s="18"/>
      <c r="M12" s="18"/>
      <c r="N12" s="18"/>
      <c r="O12" s="18"/>
      <c r="P12" s="17"/>
      <c r="Q12" s="17"/>
      <c r="R12" s="17"/>
      <c r="S12" s="17"/>
      <c r="T12" s="8"/>
      <c r="U12" s="8"/>
      <c r="V12" s="8"/>
      <c r="W12" s="8"/>
      <c r="X12" s="8"/>
      <c r="Y12" s="8"/>
    </row>
    <row r="13" spans="1:25" s="6" customFormat="1" ht="24.9" customHeight="1">
      <c r="A13" s="10" t="s">
        <v>18</v>
      </c>
      <c r="B13" s="26" t="s">
        <v>97</v>
      </c>
      <c r="C13" s="39">
        <v>2</v>
      </c>
      <c r="D13" s="39">
        <v>2</v>
      </c>
      <c r="E13" s="39">
        <v>2</v>
      </c>
      <c r="F13" s="39">
        <v>0</v>
      </c>
      <c r="G13" s="16"/>
      <c r="H13" s="17"/>
      <c r="I13" s="20"/>
      <c r="J13" s="20"/>
      <c r="K13" s="20"/>
      <c r="L13" s="20"/>
      <c r="M13" s="20"/>
      <c r="N13" s="20"/>
      <c r="O13" s="20"/>
      <c r="P13" s="19"/>
      <c r="Q13" s="19"/>
      <c r="R13" s="19"/>
      <c r="S13" s="19"/>
      <c r="T13" s="5"/>
      <c r="U13" s="5"/>
      <c r="V13" s="5"/>
      <c r="W13" s="5"/>
      <c r="X13" s="5"/>
      <c r="Y13" s="5"/>
    </row>
    <row r="14" spans="1:25" s="6" customFormat="1" ht="24.9" customHeight="1">
      <c r="A14" s="10" t="s">
        <v>19</v>
      </c>
      <c r="B14" s="28" t="s">
        <v>99</v>
      </c>
      <c r="C14" s="39">
        <v>138159</v>
      </c>
      <c r="D14" s="39">
        <v>141886</v>
      </c>
      <c r="E14" s="39">
        <v>145532</v>
      </c>
      <c r="F14" s="39">
        <v>149219</v>
      </c>
      <c r="G14" s="16"/>
      <c r="H14" s="17"/>
      <c r="I14" s="20"/>
      <c r="J14" s="20"/>
      <c r="K14" s="20"/>
      <c r="L14" s="20"/>
      <c r="M14" s="20"/>
      <c r="N14" s="20"/>
      <c r="O14" s="20"/>
      <c r="P14" s="19"/>
      <c r="Q14" s="19"/>
      <c r="R14" s="19"/>
      <c r="S14" s="19"/>
      <c r="T14" s="5"/>
      <c r="U14" s="5"/>
      <c r="V14" s="5"/>
      <c r="W14" s="5"/>
      <c r="X14" s="5"/>
      <c r="Y14" s="5"/>
    </row>
    <row r="15" spans="1:25" ht="30" customHeight="1">
      <c r="A15" s="30" t="s">
        <v>92</v>
      </c>
      <c r="B15" s="29" t="s">
        <v>89</v>
      </c>
      <c r="C15" s="39">
        <v>5421</v>
      </c>
      <c r="D15" s="39">
        <v>4655</v>
      </c>
      <c r="E15" s="39">
        <v>4642</v>
      </c>
      <c r="F15" s="39">
        <v>4901</v>
      </c>
      <c r="G15" s="16"/>
      <c r="P15" s="16"/>
      <c r="Q15" s="16"/>
      <c r="R15" s="16"/>
      <c r="S15" s="16"/>
      <c r="T15" s="3"/>
      <c r="U15" s="3"/>
      <c r="V15" s="3"/>
      <c r="W15" s="3"/>
      <c r="X15" s="3"/>
      <c r="Y15" s="3"/>
    </row>
    <row r="16" spans="1:25" ht="24.9" customHeight="1">
      <c r="A16" s="31" t="s">
        <v>25</v>
      </c>
      <c r="B16" s="27" t="s">
        <v>11</v>
      </c>
      <c r="C16" s="38">
        <f>SUM(C18:C21)</f>
        <v>525186</v>
      </c>
      <c r="D16" s="38">
        <f>SUM(D18:D21)</f>
        <v>563340</v>
      </c>
      <c r="E16" s="38">
        <f>SUM(E18:E21)</f>
        <v>599077</v>
      </c>
      <c r="F16" s="38">
        <f t="shared" ref="F16" si="1">SUM(F17:F21)</f>
        <v>643252</v>
      </c>
      <c r="G16" s="16"/>
      <c r="P16" s="16"/>
      <c r="Q16" s="16"/>
      <c r="R16" s="16"/>
      <c r="S16" s="16"/>
      <c r="T16" s="3"/>
      <c r="U16" s="3"/>
      <c r="V16" s="3"/>
      <c r="W16" s="3"/>
      <c r="X16" s="3"/>
      <c r="Y16" s="3"/>
    </row>
    <row r="17" spans="1:25" ht="24.9" customHeight="1">
      <c r="A17" s="10" t="s">
        <v>63</v>
      </c>
      <c r="B17" s="26" t="s">
        <v>12</v>
      </c>
      <c r="C17" s="53">
        <v>0</v>
      </c>
      <c r="D17" s="53">
        <v>0</v>
      </c>
      <c r="E17" s="53">
        <v>0</v>
      </c>
      <c r="F17" s="39">
        <v>0</v>
      </c>
      <c r="G17" s="16"/>
      <c r="I17" s="16"/>
      <c r="P17" s="16"/>
      <c r="Q17" s="16"/>
      <c r="R17" s="16"/>
      <c r="S17" s="16"/>
      <c r="T17" s="3"/>
      <c r="U17" s="3"/>
      <c r="V17" s="3"/>
      <c r="W17" s="3"/>
      <c r="X17" s="3"/>
      <c r="Y17" s="3"/>
    </row>
    <row r="18" spans="1:25" s="2" customFormat="1" ht="24.9" customHeight="1">
      <c r="A18" s="9" t="s">
        <v>81</v>
      </c>
      <c r="B18" s="28" t="s">
        <v>100</v>
      </c>
      <c r="C18" s="39">
        <v>74254</v>
      </c>
      <c r="D18" s="39">
        <v>74045</v>
      </c>
      <c r="E18" s="39">
        <v>72939</v>
      </c>
      <c r="F18" s="39">
        <v>72032</v>
      </c>
      <c r="G18" s="16"/>
      <c r="H18" s="21"/>
      <c r="I18" s="22"/>
      <c r="J18" s="22"/>
      <c r="K18" s="21"/>
      <c r="L18" s="21"/>
      <c r="M18" s="21"/>
      <c r="N18" s="21"/>
      <c r="O18" s="21"/>
      <c r="P18" s="16"/>
      <c r="Q18" s="16"/>
      <c r="R18" s="16"/>
      <c r="S18" s="16"/>
      <c r="T18" s="3"/>
      <c r="U18" s="3"/>
      <c r="V18" s="3"/>
      <c r="W18" s="3"/>
      <c r="X18" s="3"/>
      <c r="Y18" s="3"/>
    </row>
    <row r="19" spans="1:25" ht="24.9" customHeight="1">
      <c r="A19" s="10" t="s">
        <v>21</v>
      </c>
      <c r="B19" s="26" t="s">
        <v>13</v>
      </c>
      <c r="C19" s="39">
        <v>184081</v>
      </c>
      <c r="D19" s="39">
        <v>216629</v>
      </c>
      <c r="E19" s="39">
        <v>251743</v>
      </c>
      <c r="F19" s="39">
        <v>290643</v>
      </c>
      <c r="G19" s="16"/>
      <c r="H19" s="23"/>
      <c r="I19" s="16"/>
      <c r="P19" s="16"/>
      <c r="Q19" s="16"/>
      <c r="R19" s="16"/>
      <c r="S19" s="16"/>
      <c r="T19" s="3"/>
      <c r="U19" s="3"/>
      <c r="V19" s="3"/>
      <c r="W19" s="3"/>
      <c r="X19" s="3"/>
      <c r="Y19" s="3"/>
    </row>
    <row r="20" spans="1:25" ht="24.9" customHeight="1">
      <c r="A20" s="9" t="s">
        <v>22</v>
      </c>
      <c r="B20" s="28" t="s">
        <v>14</v>
      </c>
      <c r="C20" s="39">
        <v>7837</v>
      </c>
      <c r="D20" s="39">
        <v>9603</v>
      </c>
      <c r="E20" s="39">
        <v>7734</v>
      </c>
      <c r="F20" s="39">
        <v>12234</v>
      </c>
      <c r="G20" s="16"/>
      <c r="J20" s="16"/>
      <c r="P20" s="16"/>
      <c r="Q20" s="16"/>
      <c r="R20" s="16"/>
      <c r="S20" s="16"/>
      <c r="T20" s="3"/>
      <c r="U20" s="3"/>
      <c r="V20" s="3"/>
      <c r="W20" s="3"/>
      <c r="X20" s="3"/>
      <c r="Y20" s="3"/>
    </row>
    <row r="21" spans="1:25" ht="40.5" customHeight="1">
      <c r="A21" s="40" t="s">
        <v>82</v>
      </c>
      <c r="B21" s="41" t="s">
        <v>101</v>
      </c>
      <c r="C21" s="52">
        <v>259014</v>
      </c>
      <c r="D21" s="52">
        <v>263063</v>
      </c>
      <c r="E21" s="52">
        <v>266661</v>
      </c>
      <c r="F21" s="52">
        <v>268343</v>
      </c>
      <c r="G21" s="16"/>
      <c r="H21" s="16"/>
      <c r="P21" s="16"/>
      <c r="Q21" s="16"/>
      <c r="R21" s="16"/>
      <c r="S21" s="16"/>
      <c r="T21" s="3"/>
      <c r="U21" s="3"/>
      <c r="V21" s="3"/>
      <c r="W21" s="3"/>
      <c r="X21" s="3"/>
      <c r="Y21" s="3"/>
    </row>
    <row r="22" spans="1:25" ht="15.6">
      <c r="A22" s="59" t="s">
        <v>83</v>
      </c>
      <c r="B22" s="34"/>
      <c r="C22" s="35"/>
      <c r="D22" s="35"/>
      <c r="E22" s="35"/>
      <c r="F22" s="35"/>
      <c r="G22" s="11"/>
      <c r="H22" s="11"/>
    </row>
    <row r="23" spans="1:25" ht="18.75" customHeight="1">
      <c r="A23" s="59" t="s">
        <v>90</v>
      </c>
      <c r="B23" s="34"/>
    </row>
  </sheetData>
  <mergeCells count="4">
    <mergeCell ref="B2:F2"/>
    <mergeCell ref="B3:F3"/>
    <mergeCell ref="A4:F4"/>
    <mergeCell ref="A6:B6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8" scale="94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24"/>
  <sheetViews>
    <sheetView tabSelected="1" view="pageBreakPreview" topLeftCell="A4" zoomScale="50" zoomScaleNormal="75" zoomScaleSheetLayoutView="50" workbookViewId="0">
      <selection activeCell="A4" sqref="A4:J24"/>
    </sheetView>
  </sheetViews>
  <sheetFormatPr defaultColWidth="9.109375" defaultRowHeight="13.2"/>
  <cols>
    <col min="1" max="1" width="71.109375" style="60" customWidth="1"/>
    <col min="2" max="2" width="78" style="61" customWidth="1"/>
    <col min="3" max="4" width="18.44140625" style="60" customWidth="1"/>
    <col min="5" max="5" width="2.33203125" style="60" customWidth="1"/>
    <col min="6" max="6" width="18.44140625" style="60" customWidth="1"/>
    <col min="7" max="7" width="2.33203125" style="60" customWidth="1"/>
    <col min="8" max="8" width="18.44140625" style="62" customWidth="1"/>
    <col min="9" max="9" width="2.33203125" style="62" customWidth="1"/>
    <col min="10" max="10" width="11.109375" style="62" bestFit="1" customWidth="1"/>
    <col min="11" max="11" width="10.6640625" style="62" bestFit="1" customWidth="1"/>
    <col min="12" max="20" width="9.109375" style="62"/>
    <col min="21" max="25" width="9.109375" style="60"/>
    <col min="26" max="26" width="9.33203125" style="60" bestFit="1" customWidth="1"/>
    <col min="27" max="16384" width="9.109375" style="60"/>
  </cols>
  <sheetData>
    <row r="1" spans="1:26" ht="15" hidden="1" customHeight="1"/>
    <row r="2" spans="1:26" ht="22.8" hidden="1">
      <c r="B2" s="113" t="s">
        <v>5</v>
      </c>
      <c r="C2" s="113"/>
      <c r="D2" s="113"/>
      <c r="E2" s="113"/>
      <c r="F2" s="113"/>
      <c r="G2" s="113"/>
    </row>
    <row r="3" spans="1:26" ht="22.8" hidden="1">
      <c r="B3" s="114" t="s">
        <v>4</v>
      </c>
      <c r="C3" s="114"/>
      <c r="D3" s="114"/>
      <c r="E3" s="114"/>
      <c r="F3" s="114"/>
      <c r="G3" s="114"/>
    </row>
    <row r="4" spans="1:26" s="64" customFormat="1" ht="45" customHeight="1">
      <c r="A4" s="115" t="s">
        <v>64</v>
      </c>
      <c r="B4" s="115"/>
      <c r="C4" s="115"/>
      <c r="D4" s="115"/>
      <c r="E4" s="115"/>
      <c r="F4" s="115"/>
      <c r="G4" s="115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</row>
    <row r="5" spans="1:26" s="64" customFormat="1" ht="45" customHeight="1" thickBot="1">
      <c r="A5" s="65"/>
      <c r="B5" s="65"/>
      <c r="C5" s="65"/>
      <c r="E5" s="65"/>
      <c r="F5" s="65"/>
      <c r="H5" s="125" t="s">
        <v>6</v>
      </c>
      <c r="I5" s="125"/>
      <c r="J5" s="14"/>
      <c r="K5" s="14"/>
      <c r="L5" s="14"/>
      <c r="M5" s="63"/>
      <c r="N5" s="63"/>
      <c r="O5" s="63"/>
      <c r="P5" s="63"/>
      <c r="Q5" s="63"/>
      <c r="R5" s="63"/>
      <c r="S5" s="63"/>
      <c r="T5" s="63"/>
    </row>
    <row r="6" spans="1:26" ht="25.5" customHeight="1" thickTop="1">
      <c r="A6" s="116" t="s">
        <v>26</v>
      </c>
      <c r="B6" s="116"/>
      <c r="C6" s="66" t="s">
        <v>0</v>
      </c>
      <c r="D6" s="117" t="s">
        <v>1</v>
      </c>
      <c r="E6" s="118"/>
      <c r="F6" s="117" t="s">
        <v>2</v>
      </c>
      <c r="G6" s="118"/>
      <c r="H6" s="117" t="s">
        <v>3</v>
      </c>
      <c r="I6" s="121"/>
      <c r="J6" s="67"/>
    </row>
    <row r="7" spans="1:26" ht="36" customHeight="1" thickBot="1">
      <c r="A7" s="68"/>
      <c r="B7" s="69"/>
      <c r="C7" s="70" t="s">
        <v>102</v>
      </c>
      <c r="D7" s="119" t="s">
        <v>103</v>
      </c>
      <c r="E7" s="120"/>
      <c r="F7" s="119" t="s">
        <v>109</v>
      </c>
      <c r="G7" s="120"/>
      <c r="H7" s="119" t="s">
        <v>110</v>
      </c>
      <c r="I7" s="122"/>
    </row>
    <row r="8" spans="1:26" ht="24.9" customHeight="1" thickTop="1">
      <c r="A8" s="25" t="s">
        <v>24</v>
      </c>
      <c r="B8" s="27" t="s">
        <v>7</v>
      </c>
      <c r="C8" s="94">
        <f>C9+C10+C11+C12+C13+C14+C15</f>
        <v>699192</v>
      </c>
      <c r="D8" s="95">
        <f t="shared" ref="D8" si="0">D9+D10+D11+D12+D13+D14+D15</f>
        <v>724748</v>
      </c>
      <c r="E8" s="96"/>
      <c r="F8" s="71">
        <f t="shared" ref="F8:I8" si="1">F9+F10+F11+F12+F13+F14+F15</f>
        <v>754312</v>
      </c>
      <c r="G8" s="96"/>
      <c r="H8" s="71">
        <f t="shared" si="1"/>
        <v>726183</v>
      </c>
      <c r="I8" s="96"/>
      <c r="Q8" s="72"/>
      <c r="R8" s="72"/>
      <c r="S8" s="72"/>
      <c r="T8" s="72"/>
      <c r="U8" s="73"/>
      <c r="V8" s="73"/>
      <c r="W8" s="73"/>
      <c r="X8" s="73"/>
      <c r="Y8" s="73"/>
      <c r="Z8" s="73"/>
    </row>
    <row r="9" spans="1:26" s="79" customFormat="1" ht="24.9" customHeight="1">
      <c r="A9" s="74" t="s">
        <v>15</v>
      </c>
      <c r="B9" s="26" t="s">
        <v>8</v>
      </c>
      <c r="C9" s="97">
        <v>37553</v>
      </c>
      <c r="D9" s="111">
        <v>55629</v>
      </c>
      <c r="E9" s="112" t="s">
        <v>104</v>
      </c>
      <c r="F9" s="123">
        <v>54929</v>
      </c>
      <c r="G9" s="112" t="s">
        <v>104</v>
      </c>
      <c r="H9" s="123">
        <v>55328</v>
      </c>
      <c r="I9" s="112" t="s">
        <v>104</v>
      </c>
      <c r="J9" s="77"/>
      <c r="K9" s="77"/>
      <c r="L9" s="77"/>
      <c r="M9" s="77"/>
      <c r="N9" s="77"/>
      <c r="O9" s="77"/>
      <c r="P9" s="77"/>
      <c r="Q9" s="76"/>
      <c r="R9" s="76"/>
      <c r="S9" s="76"/>
      <c r="T9" s="76"/>
      <c r="U9" s="78"/>
      <c r="V9" s="78"/>
      <c r="W9" s="78"/>
      <c r="X9" s="78"/>
      <c r="Y9" s="78"/>
      <c r="Z9" s="78"/>
    </row>
    <row r="10" spans="1:26" s="83" customFormat="1" ht="24.9" customHeight="1">
      <c r="A10" s="74" t="s">
        <v>16</v>
      </c>
      <c r="B10" s="28" t="s">
        <v>9</v>
      </c>
      <c r="C10" s="97">
        <v>19479</v>
      </c>
      <c r="D10" s="111"/>
      <c r="E10" s="112"/>
      <c r="F10" s="123"/>
      <c r="G10" s="112"/>
      <c r="H10" s="123"/>
      <c r="I10" s="112"/>
      <c r="J10" s="80"/>
      <c r="K10" s="80"/>
      <c r="L10" s="80"/>
      <c r="M10" s="80"/>
      <c r="N10" s="80"/>
      <c r="O10" s="80"/>
      <c r="P10" s="80"/>
      <c r="Q10" s="81"/>
      <c r="R10" s="81"/>
      <c r="S10" s="81"/>
      <c r="T10" s="81"/>
      <c r="U10" s="82"/>
      <c r="V10" s="82"/>
      <c r="W10" s="82"/>
      <c r="X10" s="82"/>
      <c r="Y10" s="82"/>
      <c r="Z10" s="82"/>
    </row>
    <row r="11" spans="1:26" s="83" customFormat="1" ht="24.9" customHeight="1">
      <c r="A11" s="74" t="s">
        <v>17</v>
      </c>
      <c r="B11" s="26" t="s">
        <v>98</v>
      </c>
      <c r="C11" s="97">
        <v>477721</v>
      </c>
      <c r="D11" s="98">
        <v>509698</v>
      </c>
      <c r="E11" s="99"/>
      <c r="F11" s="101">
        <v>536015</v>
      </c>
      <c r="G11" s="99"/>
      <c r="H11" s="101">
        <v>490734</v>
      </c>
      <c r="I11" s="99"/>
      <c r="J11" s="80"/>
      <c r="K11" s="80"/>
      <c r="L11" s="80"/>
      <c r="M11" s="80"/>
      <c r="N11" s="80"/>
      <c r="O11" s="80"/>
      <c r="P11" s="80"/>
      <c r="Q11" s="81"/>
      <c r="R11" s="81"/>
      <c r="S11" s="81"/>
      <c r="T11" s="81"/>
      <c r="U11" s="82"/>
      <c r="V11" s="82"/>
      <c r="W11" s="82"/>
      <c r="X11" s="82"/>
      <c r="Y11" s="82"/>
      <c r="Z11" s="82"/>
    </row>
    <row r="12" spans="1:26" s="79" customFormat="1" ht="24.9" customHeight="1">
      <c r="A12" s="74" t="s">
        <v>23</v>
      </c>
      <c r="B12" s="28" t="s">
        <v>10</v>
      </c>
      <c r="C12" s="97">
        <v>8192</v>
      </c>
      <c r="D12" s="98">
        <v>8100</v>
      </c>
      <c r="E12" s="99"/>
      <c r="F12" s="101">
        <v>8259</v>
      </c>
      <c r="G12" s="99"/>
      <c r="H12" s="101">
        <v>9485</v>
      </c>
      <c r="I12" s="99"/>
      <c r="J12" s="77"/>
      <c r="K12" s="77"/>
      <c r="L12" s="77"/>
      <c r="M12" s="77"/>
      <c r="N12" s="77"/>
      <c r="O12" s="77"/>
      <c r="P12" s="77"/>
      <c r="Q12" s="76"/>
      <c r="R12" s="76"/>
      <c r="S12" s="76"/>
      <c r="T12" s="76"/>
      <c r="U12" s="78"/>
      <c r="V12" s="78"/>
      <c r="W12" s="78"/>
      <c r="X12" s="78"/>
      <c r="Y12" s="78"/>
      <c r="Z12" s="78"/>
    </row>
    <row r="13" spans="1:26" s="83" customFormat="1" ht="24.9" customHeight="1">
      <c r="A13" s="74" t="s">
        <v>18</v>
      </c>
      <c r="B13" s="26" t="s">
        <v>97</v>
      </c>
      <c r="C13" s="97">
        <v>0</v>
      </c>
      <c r="D13" s="98">
        <v>0</v>
      </c>
      <c r="E13" s="99"/>
      <c r="F13" s="101">
        <v>0</v>
      </c>
      <c r="G13" s="99"/>
      <c r="H13" s="101">
        <v>0</v>
      </c>
      <c r="I13" s="99"/>
      <c r="J13" s="80"/>
      <c r="K13" s="80"/>
      <c r="L13" s="80"/>
      <c r="M13" s="80"/>
      <c r="N13" s="80"/>
      <c r="O13" s="80"/>
      <c r="P13" s="80"/>
      <c r="Q13" s="81"/>
      <c r="R13" s="81"/>
      <c r="S13" s="81"/>
      <c r="T13" s="81"/>
      <c r="U13" s="82"/>
      <c r="V13" s="82"/>
      <c r="W13" s="82"/>
      <c r="X13" s="82"/>
      <c r="Y13" s="82"/>
      <c r="Z13" s="82"/>
    </row>
    <row r="14" spans="1:26" s="83" customFormat="1" ht="24.9" customHeight="1">
      <c r="A14" s="74" t="s">
        <v>19</v>
      </c>
      <c r="B14" s="28" t="s">
        <v>99</v>
      </c>
      <c r="C14" s="97">
        <v>153345</v>
      </c>
      <c r="D14" s="98">
        <v>149219</v>
      </c>
      <c r="E14" s="99"/>
      <c r="F14" s="101">
        <v>149219</v>
      </c>
      <c r="G14" s="99"/>
      <c r="H14" s="101">
        <v>164720</v>
      </c>
      <c r="I14" s="99"/>
      <c r="J14" s="80"/>
      <c r="K14" s="80"/>
      <c r="L14" s="80"/>
      <c r="M14" s="80"/>
      <c r="N14" s="80"/>
      <c r="O14" s="80"/>
      <c r="P14" s="80"/>
      <c r="Q14" s="81"/>
      <c r="R14" s="81"/>
      <c r="S14" s="81"/>
      <c r="T14" s="81"/>
      <c r="U14" s="82"/>
      <c r="V14" s="82"/>
      <c r="W14" s="82"/>
      <c r="X14" s="82"/>
      <c r="Y14" s="82"/>
      <c r="Z14" s="82"/>
    </row>
    <row r="15" spans="1:26" ht="30" customHeight="1">
      <c r="A15" s="84" t="s">
        <v>105</v>
      </c>
      <c r="B15" s="29" t="s">
        <v>108</v>
      </c>
      <c r="C15" s="97">
        <v>2902</v>
      </c>
      <c r="D15" s="98">
        <v>2102</v>
      </c>
      <c r="E15" s="99"/>
      <c r="F15" s="101">
        <v>5890</v>
      </c>
      <c r="G15" s="99"/>
      <c r="H15" s="101">
        <v>5916</v>
      </c>
      <c r="I15" s="99"/>
      <c r="Q15" s="72"/>
      <c r="R15" s="72"/>
      <c r="S15" s="72"/>
      <c r="T15" s="72"/>
      <c r="U15" s="73"/>
      <c r="V15" s="73"/>
      <c r="W15" s="73"/>
      <c r="X15" s="73"/>
      <c r="Y15" s="73"/>
      <c r="Z15" s="73"/>
    </row>
    <row r="16" spans="1:26" ht="24.9" customHeight="1">
      <c r="A16" s="31" t="s">
        <v>25</v>
      </c>
      <c r="B16" s="27" t="s">
        <v>11</v>
      </c>
      <c r="C16" s="94">
        <f>SUM(C18:C21)</f>
        <v>699192</v>
      </c>
      <c r="D16" s="100">
        <f>SUM(D18:D21)</f>
        <v>724748</v>
      </c>
      <c r="E16" s="96"/>
      <c r="F16" s="71">
        <f>SUM(F18:F21)</f>
        <v>754312</v>
      </c>
      <c r="G16" s="96"/>
      <c r="H16" s="71">
        <f>SUM(H18:H21)</f>
        <v>726183</v>
      </c>
      <c r="I16" s="96"/>
      <c r="Q16" s="72"/>
      <c r="R16" s="72"/>
      <c r="S16" s="72"/>
      <c r="T16" s="72"/>
      <c r="U16" s="73"/>
      <c r="V16" s="73"/>
      <c r="W16" s="73"/>
      <c r="X16" s="73"/>
      <c r="Y16" s="73"/>
      <c r="Z16" s="73"/>
    </row>
    <row r="17" spans="1:26" ht="24.9" customHeight="1">
      <c r="A17" s="74" t="s">
        <v>63</v>
      </c>
      <c r="B17" s="26" t="s">
        <v>12</v>
      </c>
      <c r="C17" s="53">
        <v>0</v>
      </c>
      <c r="D17" s="101">
        <v>0</v>
      </c>
      <c r="E17" s="102"/>
      <c r="F17" s="85">
        <v>0</v>
      </c>
      <c r="G17" s="102"/>
      <c r="H17" s="75">
        <v>0</v>
      </c>
      <c r="I17" s="102"/>
      <c r="J17" s="72"/>
      <c r="Q17" s="72"/>
      <c r="R17" s="72"/>
      <c r="S17" s="72"/>
      <c r="T17" s="72"/>
      <c r="U17" s="73"/>
      <c r="V17" s="73"/>
      <c r="W17" s="73"/>
      <c r="X17" s="73"/>
      <c r="Y17" s="73"/>
      <c r="Z17" s="73"/>
    </row>
    <row r="18" spans="1:26" s="89" customFormat="1" ht="24.9" customHeight="1">
      <c r="A18" s="86" t="s">
        <v>81</v>
      </c>
      <c r="B18" s="28" t="s">
        <v>100</v>
      </c>
      <c r="C18" s="97">
        <v>74679</v>
      </c>
      <c r="D18" s="98">
        <v>74619</v>
      </c>
      <c r="E18" s="99"/>
      <c r="F18" s="75">
        <v>74166</v>
      </c>
      <c r="G18" s="99"/>
      <c r="H18" s="75">
        <v>73782</v>
      </c>
      <c r="I18" s="99"/>
      <c r="J18" s="88"/>
      <c r="K18" s="88"/>
      <c r="L18" s="87"/>
      <c r="M18" s="87"/>
      <c r="N18" s="87"/>
      <c r="O18" s="87"/>
      <c r="P18" s="87"/>
      <c r="Q18" s="72"/>
      <c r="R18" s="72"/>
      <c r="S18" s="72"/>
      <c r="T18" s="72"/>
      <c r="U18" s="73"/>
      <c r="V18" s="73"/>
      <c r="W18" s="73"/>
      <c r="X18" s="73"/>
      <c r="Y18" s="73"/>
      <c r="Z18" s="73"/>
    </row>
    <row r="19" spans="1:26" ht="24.9" customHeight="1">
      <c r="A19" s="74" t="s">
        <v>21</v>
      </c>
      <c r="B19" s="26" t="s">
        <v>13</v>
      </c>
      <c r="C19" s="97">
        <v>334008</v>
      </c>
      <c r="D19" s="98">
        <v>370269</v>
      </c>
      <c r="E19" s="99"/>
      <c r="F19" s="75">
        <v>389082</v>
      </c>
      <c r="G19" s="99"/>
      <c r="H19" s="75">
        <v>347171</v>
      </c>
      <c r="I19" s="99"/>
      <c r="J19" s="72"/>
      <c r="Q19" s="72"/>
      <c r="R19" s="72"/>
      <c r="S19" s="72"/>
      <c r="T19" s="72"/>
      <c r="U19" s="73"/>
      <c r="V19" s="73"/>
      <c r="W19" s="73"/>
      <c r="X19" s="73"/>
      <c r="Y19" s="73"/>
      <c r="Z19" s="73"/>
    </row>
    <row r="20" spans="1:26" ht="24.9" customHeight="1">
      <c r="A20" s="86" t="s">
        <v>22</v>
      </c>
      <c r="B20" s="28" t="s">
        <v>14</v>
      </c>
      <c r="C20" s="97">
        <v>14033</v>
      </c>
      <c r="D20" s="98">
        <v>7858</v>
      </c>
      <c r="E20" s="99"/>
      <c r="F20" s="75">
        <v>9534</v>
      </c>
      <c r="G20" s="99"/>
      <c r="H20" s="75">
        <v>13125</v>
      </c>
      <c r="I20" s="99"/>
      <c r="K20" s="72"/>
      <c r="Q20" s="72"/>
      <c r="R20" s="72"/>
      <c r="S20" s="72"/>
      <c r="T20" s="72"/>
      <c r="U20" s="73"/>
      <c r="V20" s="73"/>
      <c r="W20" s="73"/>
      <c r="X20" s="73"/>
      <c r="Y20" s="73"/>
      <c r="Z20" s="73"/>
    </row>
    <row r="21" spans="1:26" ht="39" customHeight="1">
      <c r="A21" s="90" t="s">
        <v>82</v>
      </c>
      <c r="B21" s="41" t="s">
        <v>101</v>
      </c>
      <c r="C21" s="103">
        <v>276472</v>
      </c>
      <c r="D21" s="104">
        <v>272002</v>
      </c>
      <c r="E21" s="105"/>
      <c r="F21" s="104">
        <v>281530</v>
      </c>
      <c r="G21" s="105"/>
      <c r="H21" s="124">
        <v>292105</v>
      </c>
      <c r="I21" s="105"/>
      <c r="Q21" s="72"/>
      <c r="R21" s="72"/>
      <c r="S21" s="72"/>
      <c r="T21" s="72"/>
      <c r="U21" s="73"/>
      <c r="V21" s="73"/>
      <c r="W21" s="73"/>
      <c r="X21" s="73"/>
      <c r="Y21" s="73"/>
      <c r="Z21" s="73"/>
    </row>
    <row r="22" spans="1:26" ht="15.6">
      <c r="A22" s="91" t="s">
        <v>83</v>
      </c>
      <c r="B22" s="92"/>
      <c r="C22" s="61"/>
      <c r="D22" s="61"/>
      <c r="E22" s="61"/>
      <c r="F22" s="35"/>
      <c r="G22" s="35"/>
      <c r="H22" s="35"/>
      <c r="I22" s="35"/>
    </row>
    <row r="23" spans="1:26" ht="15.6">
      <c r="A23" s="93" t="s">
        <v>106</v>
      </c>
      <c r="B23" s="92"/>
      <c r="C23" s="61"/>
      <c r="D23" s="61"/>
      <c r="E23" s="61"/>
      <c r="F23" s="35"/>
      <c r="G23" s="35"/>
      <c r="H23" s="35"/>
      <c r="I23" s="35"/>
    </row>
    <row r="24" spans="1:26" ht="18.75" customHeight="1">
      <c r="A24" s="93" t="s">
        <v>107</v>
      </c>
      <c r="B24" s="92"/>
      <c r="C24" s="61"/>
      <c r="D24" s="61"/>
      <c r="E24" s="61"/>
    </row>
  </sheetData>
  <mergeCells count="17">
    <mergeCell ref="H5:I5"/>
    <mergeCell ref="H6:I6"/>
    <mergeCell ref="F7:G7"/>
    <mergeCell ref="H7:I7"/>
    <mergeCell ref="F9:F10"/>
    <mergeCell ref="G9:G10"/>
    <mergeCell ref="H9:H10"/>
    <mergeCell ref="I9:I10"/>
    <mergeCell ref="D9:D10"/>
    <mergeCell ref="E9:E10"/>
    <mergeCell ref="B2:G2"/>
    <mergeCell ref="B3:G3"/>
    <mergeCell ref="A4:G4"/>
    <mergeCell ref="A6:B6"/>
    <mergeCell ref="D6:E6"/>
    <mergeCell ref="D7:E7"/>
    <mergeCell ref="F6:G6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8" scale="8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2004-2005 </vt:lpstr>
      <vt:lpstr>2005-2006</vt:lpstr>
      <vt:lpstr>2006-2007 </vt:lpstr>
      <vt:lpstr>2007-2008 </vt:lpstr>
      <vt:lpstr>2008-2009</vt:lpstr>
      <vt:lpstr>2009-2010</vt:lpstr>
      <vt:lpstr>2010-2011  </vt:lpstr>
      <vt:lpstr>2011-2012 </vt:lpstr>
      <vt:lpstr>2012-2013 </vt:lpstr>
      <vt:lpstr>2013-2014  </vt:lpstr>
      <vt:lpstr>2014-2015  </vt:lpstr>
      <vt:lpstr>2015-2016  </vt:lpstr>
      <vt:lpstr>2016-2017   </vt:lpstr>
      <vt:lpstr>2017-2018  </vt:lpstr>
      <vt:lpstr>2018-2019  </vt:lpstr>
      <vt:lpstr>2019-2020  </vt:lpstr>
      <vt:lpstr>'2004-2005 '!Print_Area</vt:lpstr>
      <vt:lpstr>'2005-2006'!Print_Area</vt:lpstr>
      <vt:lpstr>'2006-2007 '!Print_Area</vt:lpstr>
      <vt:lpstr>'2007-2008 '!Print_Area</vt:lpstr>
      <vt:lpstr>'2008-2009'!Print_Area</vt:lpstr>
      <vt:lpstr>'2009-2010'!Print_Area</vt:lpstr>
      <vt:lpstr>'2010-2011  '!Print_Area</vt:lpstr>
      <vt:lpstr>'2011-2012 '!Print_Area</vt:lpstr>
      <vt:lpstr>'2012-2013 '!Print_Area</vt:lpstr>
      <vt:lpstr>'2013-2014  '!Print_Area</vt:lpstr>
      <vt:lpstr>'2014-2015  '!Print_Area</vt:lpstr>
      <vt:lpstr>'2015-2016  '!Print_Area</vt:lpstr>
      <vt:lpstr>'2016-2017   '!Print_Area</vt:lpstr>
      <vt:lpstr>'2017-2018  '!Print_Area</vt:lpstr>
      <vt:lpstr>'2018-2019  '!Print_Area</vt:lpstr>
      <vt:lpstr>'2019-2020 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mamdouh.marghany</dc:creator>
  <cp:lastModifiedBy>Hanaa Kamal</cp:lastModifiedBy>
  <cp:lastPrinted>2023-03-23T09:17:18Z</cp:lastPrinted>
  <dcterms:created xsi:type="dcterms:W3CDTF">2009-04-23T10:41:14Z</dcterms:created>
  <dcterms:modified xsi:type="dcterms:W3CDTF">2023-03-23T09:20:57Z</dcterms:modified>
</cp:coreProperties>
</file>