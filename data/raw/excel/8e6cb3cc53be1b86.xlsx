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التجارة الخارجية\trade1\Trade\TRADE for Time Series\2025-2026\جداول الربع الثالث\الجغرافى\واردات\"/>
    </mc:Choice>
  </mc:AlternateContent>
  <xr:revisionPtr revIDLastSave="0" documentId="13_ncr:1_{193D0B98-20B0-4CA7-BD68-6A05C7D77729}" xr6:coauthVersionLast="47" xr6:coauthVersionMax="47" xr10:uidLastSave="{00000000-0000-0000-0000-000000000000}"/>
  <bookViews>
    <workbookView xWindow="-120" yWindow="-120" windowWidth="24240" windowHeight="13140" tabRatio="601" firstSheet="18" activeTab="20" xr2:uid="{00000000-000D-0000-FFFF-FFFF00000000}"/>
  </bookViews>
  <sheets>
    <sheet name="2005-2006" sheetId="6" r:id="rId1"/>
    <sheet name="2006-2007" sheetId="8" r:id="rId2"/>
    <sheet name="2007-2008" sheetId="9" r:id="rId3"/>
    <sheet name="2008-2009" sheetId="10" r:id="rId4"/>
    <sheet name="2009-2010" sheetId="11" r:id="rId5"/>
    <sheet name="2010-2011" sheetId="12" r:id="rId6"/>
    <sheet name="2011-2012" sheetId="13" r:id="rId7"/>
    <sheet name="2012-2013" sheetId="14" r:id="rId8"/>
    <sheet name="2013-2014" sheetId="15" r:id="rId9"/>
    <sheet name="2014-2015" sheetId="16" r:id="rId10"/>
    <sheet name="2015-2016" sheetId="17" r:id="rId11"/>
    <sheet name="2016-2017" sheetId="18" r:id="rId12"/>
    <sheet name="2017-2018" sheetId="19" r:id="rId13"/>
    <sheet name="2018-2019" sheetId="20" r:id="rId14"/>
    <sheet name="2019-2020" sheetId="21" r:id="rId15"/>
    <sheet name="2020-2021" sheetId="22" r:id="rId16"/>
    <sheet name="2021-2022" sheetId="23" r:id="rId17"/>
    <sheet name="2022-2023" sheetId="24" r:id="rId18"/>
    <sheet name="2023-2024" sheetId="25" r:id="rId19"/>
    <sheet name="2024-2025" sheetId="26" r:id="rId20"/>
    <sheet name="2025-2026" sheetId="27" r:id="rId21"/>
  </sheets>
  <definedNames>
    <definedName name="_xlnm.Print_Area" localSheetId="0">'2005-2006'!$A$1:$F$21</definedName>
    <definedName name="_xlnm.Print_Area" localSheetId="13">'2018-2019'!$A$1:$F$21</definedName>
    <definedName name="_xlnm.Print_Area" localSheetId="14">'2019-2020'!$A$1:$F$21</definedName>
    <definedName name="_xlnm.Print_Area" localSheetId="15">'2020-2021'!$A$1:$F$21</definedName>
    <definedName name="_xlnm.Print_Area" localSheetId="16">'2021-2022'!$A$1:$F$24</definedName>
    <definedName name="_xlnm.Print_Area" localSheetId="17">'2022-2023'!$A$1:$F$17</definedName>
    <definedName name="_xlnm.Print_Area" localSheetId="18">'2023-2024'!$A$1:$F$21</definedName>
    <definedName name="_xlnm.Print_Area" localSheetId="19">'2024-2025'!$A$1:$F$18</definedName>
    <definedName name="_xlnm.Print_Area" localSheetId="20">'2025-2026'!$A$1:$E$18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5" l="1"/>
  <c r="F14" i="15"/>
  <c r="F12" i="15"/>
  <c r="F11" i="15"/>
  <c r="F8" i="15"/>
  <c r="F7" i="14" l="1"/>
  <c r="E7" i="14"/>
  <c r="D7" i="14"/>
  <c r="C7" i="14"/>
  <c r="F7" i="13"/>
  <c r="E7" i="13"/>
  <c r="D7" i="13"/>
  <c r="C7" i="13"/>
  <c r="F16" i="8"/>
  <c r="C16" i="8"/>
  <c r="F7" i="8"/>
  <c r="C7" i="8"/>
</calcChain>
</file>

<file path=xl/sharedStrings.xml><?xml version="1.0" encoding="utf-8"?>
<sst xmlns="http://schemas.openxmlformats.org/spreadsheetml/2006/main" count="718" uniqueCount="124">
  <si>
    <t xml:space="preserve"> Imports by Geographical Distribution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</si>
  <si>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</si>
  <si>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</si>
  <si>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</si>
  <si>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</si>
  <si>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</si>
  <si>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</si>
  <si>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</si>
  <si>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</si>
  <si>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</si>
  <si>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</si>
  <si>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</si>
  <si>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</si>
  <si>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</si>
  <si>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</si>
  <si>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</si>
  <si>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</si>
  <si>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</si>
  <si>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</si>
  <si>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</si>
  <si>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</si>
  <si>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</si>
  <si>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</si>
  <si>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</si>
  <si>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</si>
  <si>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</si>
  <si>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</si>
  <si>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</si>
  <si>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</si>
  <si>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</si>
  <si>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</si>
  <si>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</si>
  <si>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</si>
  <si>
    <t>July/Sep.2006</t>
  </si>
  <si>
    <t>Oct./Dec.2006</t>
  </si>
  <si>
    <t>Jan./Mar2007</t>
  </si>
  <si>
    <t>Apr./Jun2007</t>
  </si>
  <si>
    <t>July/Sep.2007</t>
  </si>
  <si>
    <t>Oct./Dec.2007</t>
  </si>
  <si>
    <t>Jan./Mar2008</t>
  </si>
  <si>
    <t>Apr./Jun2008</t>
  </si>
  <si>
    <t>July/Sep.2008</t>
  </si>
  <si>
    <t>Oct./Dec.2008</t>
  </si>
  <si>
    <t>Jan./Mar2009</t>
  </si>
  <si>
    <t>Apr./Jun2009</t>
  </si>
  <si>
    <t>July/Sep.2009</t>
  </si>
  <si>
    <t>Oct./Dec.2009</t>
  </si>
  <si>
    <t>Jan./Mar2010</t>
  </si>
  <si>
    <t>Apr./Jun2010</t>
  </si>
  <si>
    <t>July/Sep.2010</t>
  </si>
  <si>
    <t>Oct./Dec.2010</t>
  </si>
  <si>
    <t>Jan./Mar2011</t>
  </si>
  <si>
    <t>Apr./Jun2011</t>
  </si>
  <si>
    <t>July/Sep.2011</t>
  </si>
  <si>
    <t>Oct./Dec.2011</t>
  </si>
  <si>
    <t>Jan./Mar2012</t>
  </si>
  <si>
    <t>Apr./Jun2012</t>
  </si>
  <si>
    <t>(US$ mn)</t>
  </si>
  <si>
    <t>July/Sep.2012</t>
  </si>
  <si>
    <t>Oct./Dec.2012</t>
  </si>
  <si>
    <t>Jan./Mar2013</t>
  </si>
  <si>
    <t>Apr./Jun2013</t>
  </si>
  <si>
    <t>July/Sep.2013</t>
  </si>
  <si>
    <t>Oct./Dec.2013</t>
  </si>
  <si>
    <t>Jan./Mar.2014</t>
  </si>
  <si>
    <t>Apr./June2014</t>
  </si>
  <si>
    <t>إجمالى الواردات **</t>
  </si>
  <si>
    <r>
      <t xml:space="preserve">  .  يتضمن واردات المناطق الحرة   ** </t>
    </r>
    <r>
      <rPr>
        <vertAlign val="subscript"/>
        <sz val="12"/>
        <rFont val="Arial"/>
        <family val="2"/>
      </rPr>
      <t xml:space="preserve">   </t>
    </r>
  </si>
  <si>
    <t>July/Sep.2014</t>
  </si>
  <si>
    <t>Oct./Dec.2014</t>
  </si>
  <si>
    <t>Jan./Mar. 2015</t>
  </si>
  <si>
    <t>Apr./June 2015</t>
  </si>
  <si>
    <t>July/Sep.2015</t>
  </si>
  <si>
    <t>Oct./Dec.2015</t>
  </si>
  <si>
    <t>Jan./Mar.2016</t>
  </si>
  <si>
    <t>Apr./June 2016</t>
  </si>
  <si>
    <r>
      <t>إجمالى الواردات</t>
    </r>
    <r>
      <rPr>
        <u/>
        <sz val="12"/>
        <color indexed="61"/>
        <rFont val="Arial"/>
        <family val="2"/>
      </rPr>
      <t>**</t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</si>
  <si>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</t>
    </r>
    <r>
      <rPr>
        <vertAlign val="subscript"/>
        <sz val="14"/>
        <rFont val="Arial"/>
        <family val="2"/>
      </rPr>
      <t>**</t>
    </r>
  </si>
  <si>
    <t>July/Sep.2016</t>
  </si>
  <si>
    <t>Oct./Dec.2016</t>
  </si>
  <si>
    <t>Jan./Mar.2017</t>
  </si>
  <si>
    <t>Apr./June 2017</t>
  </si>
  <si>
    <r>
      <t xml:space="preserve">** 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>.</t>
    </r>
    <r>
      <rPr>
        <vertAlign val="subscript"/>
        <sz val="14"/>
        <rFont val="Arial"/>
        <family val="2"/>
      </rPr>
      <t xml:space="preserve">  </t>
    </r>
  </si>
  <si>
    <r>
      <rPr>
        <sz val="10"/>
        <rFont val="Arial"/>
        <family val="2"/>
      </rPr>
      <t xml:space="preserve">** </t>
    </r>
    <r>
      <rPr>
        <sz val="12"/>
        <rFont val="Arial"/>
        <family val="2"/>
      </rPr>
      <t xml:space="preserve"> </t>
    </r>
    <r>
      <rPr>
        <sz val="12"/>
        <rFont val="Akhbar MT"/>
        <charset val="178"/>
      </rPr>
      <t>يتضمن واردات المناطق الحرة.</t>
    </r>
    <r>
      <rPr>
        <vertAlign val="subscript"/>
        <sz val="14"/>
        <rFont val="Arial"/>
        <family val="2"/>
      </rPr>
      <t xml:space="preserve">    </t>
    </r>
  </si>
  <si>
    <t>July/Sep.2017</t>
  </si>
  <si>
    <t>Oct./Dec.2017</t>
  </si>
  <si>
    <t>Jan./Mar.2018</t>
  </si>
  <si>
    <t>Apr./June 2018</t>
  </si>
  <si>
    <t>July/Sep.2018</t>
  </si>
  <si>
    <t>Oct./Dec.2018</t>
  </si>
  <si>
    <t>Jan./Mar.2019</t>
  </si>
  <si>
    <t>Apr./June 2019</t>
  </si>
  <si>
    <t>Imports by Geographical Distribution</t>
  </si>
  <si>
    <t xml:space="preserve">EU </t>
  </si>
  <si>
    <t xml:space="preserve">*   أرقام مبدئية.                                             </t>
  </si>
  <si>
    <t xml:space="preserve">  *  Provisional. </t>
  </si>
  <si>
    <t xml:space="preserve">  **   يتضمن واردات المناطق الحرة.     </t>
  </si>
  <si>
    <t>July/Sep. 2019</t>
  </si>
  <si>
    <t>Oct./Dec.2019</t>
  </si>
  <si>
    <t>Jan./Mar.2020</t>
  </si>
  <si>
    <t>Apr./June 2020</t>
  </si>
  <si>
    <t>July/Sep. 2020</t>
  </si>
  <si>
    <t>Oct./Dec. 2020</t>
  </si>
  <si>
    <t>Jan./Mar. 2021</t>
  </si>
  <si>
    <t>Apr./June 2021</t>
  </si>
  <si>
    <t>July/Sep. 2023*</t>
  </si>
  <si>
    <t>Oct./Dec. 2023*</t>
  </si>
  <si>
    <t>Jan./Mar. 2024*</t>
  </si>
  <si>
    <t>Apr./June 2024*</t>
  </si>
  <si>
    <t>July/Sep. 2021</t>
  </si>
  <si>
    <t>Oct./Dec. 2021</t>
  </si>
  <si>
    <t>Jan./Mar. 2022</t>
  </si>
  <si>
    <t>Apr./June 2022</t>
  </si>
  <si>
    <t>July/Sep. 2024*</t>
  </si>
  <si>
    <t>Oct./Dec. 2024*</t>
  </si>
  <si>
    <t>Jan./Mar. 2025*</t>
  </si>
  <si>
    <t>Apr./June 2025*</t>
  </si>
  <si>
    <t>July/Sep. 2022</t>
  </si>
  <si>
    <t>Oct./Dec. 2022</t>
  </si>
  <si>
    <t>Jan./Mar. 2023</t>
  </si>
  <si>
    <t>Apr./June 2023</t>
  </si>
  <si>
    <t>July/Sep. 2025*</t>
  </si>
  <si>
    <t>Oct./Dec. 2025*</t>
  </si>
  <si>
    <t>Jan./Mar.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</si>
</sst>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0.0;[Red]\(0.0\)"/>
  </numFmts>
  <fonts count="69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sz val="11"/>
      <name val="Akhbar MT"/>
      <charset val="178"/>
    </font>
    <font>
      <b/>
      <sz val="12"/>
      <name val="Arial"/>
      <family val="2"/>
    </font>
    <font>
      <sz val="12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vertAlign val="superscript"/>
      <sz val="12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u/>
      <sz val="10"/>
      <color indexed="61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3"/>
      <name val="Times New (W1)"/>
      <family val="1"/>
    </font>
    <font>
      <u/>
      <sz val="14"/>
      <color indexed="61"/>
      <name val="Arial"/>
      <family val="2"/>
    </font>
    <font>
      <sz val="14"/>
      <name val="Arial"/>
      <family val="2"/>
    </font>
    <font>
      <vertAlign val="subscript"/>
      <sz val="12"/>
      <name val="Arial"/>
      <family val="2"/>
    </font>
    <font>
      <sz val="14"/>
      <color indexed="17"/>
      <name val="Arial"/>
      <family val="2"/>
      <charset val="178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sz val="14"/>
      <color indexed="17"/>
      <name val="Arial"/>
      <family val="2"/>
    </font>
    <font>
      <u/>
      <sz val="16"/>
      <color indexed="6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11">
    <xf numFmtId="0" fontId="0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  <xf numFmtId="0" fontId="14" fillId="0" borderId="0"/>
    <xf numFmtId="0" fontId="4" fillId="0" borderId="0"/>
    <xf numFmtId="0" fontId="42" fillId="0" borderId="0"/>
    <xf numFmtId="0" fontId="4" fillId="0" borderId="0"/>
    <xf numFmtId="9" fontId="4" fillId="0" borderId="0" applyFont="0" applyFill="0" applyBorder="0" applyAlignment="0" applyProtection="0"/>
    <xf numFmtId="0" fontId="43" fillId="0" borderId="0"/>
    <xf numFmtId="0" fontId="4" fillId="0" borderId="0"/>
    <xf numFmtId="0" fontId="3" fillId="0" borderId="0"/>
    <xf numFmtId="9" fontId="4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45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7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8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22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1" fillId="24" borderId="9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0" fontId="52" fillId="25" borderId="10" applyNumberFormat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13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8" fillId="11" borderId="9" applyNumberFormat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60" fillId="0" borderId="0" applyNumberFormat="0">
      <alignment horizontal="right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4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4" fillId="27" borderId="15" applyNumberFormat="0" applyFon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0" fontId="63" fillId="24" borderId="16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5" fillId="0" borderId="17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</cellStyleXfs>
  <cellXfs count="182">
    <xf numFmtId="0" fontId="0" fillId="0" borderId="0" xfId="0"/>
    <xf numFmtId="0" fontId="10" fillId="0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0" fontId="12" fillId="0" borderId="1" xfId="1" quotePrefix="1" applyFont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1" fillId="0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14" fillId="0" borderId="0" xfId="1" applyFont="1" applyFill="1" applyAlignment="1"/>
    <xf numFmtId="0" fontId="14" fillId="0" borderId="2" xfId="1" applyFont="1" applyFill="1" applyBorder="1" applyAlignment="1"/>
    <xf numFmtId="0" fontId="15" fillId="0" borderId="0" xfId="1" applyFont="1" applyFill="1" applyAlignment="1"/>
    <xf numFmtId="0" fontId="15" fillId="0" borderId="2" xfId="1" applyFont="1" applyFill="1" applyBorder="1" applyAlignment="1"/>
    <xf numFmtId="0" fontId="16" fillId="0" borderId="0" xfId="1" applyFont="1" applyFill="1" applyAlignment="1"/>
    <xf numFmtId="170" fontId="8" fillId="0" borderId="3" xfId="1" applyNumberFormat="1" applyFont="1" applyFill="1" applyBorder="1" applyAlignment="1">
      <alignment horizontal="center" vertical="center"/>
    </xf>
    <xf numFmtId="170" fontId="8" fillId="0" borderId="4" xfId="1" applyNumberFormat="1" applyFont="1" applyFill="1" applyBorder="1" applyAlignment="1">
      <alignment horizontal="center" vertical="center"/>
    </xf>
    <xf numFmtId="170" fontId="8" fillId="0" borderId="5" xfId="1" applyNumberFormat="1" applyFont="1" applyFill="1" applyBorder="1" applyAlignment="1">
      <alignment horizontal="center" vertical="center"/>
    </xf>
    <xf numFmtId="0" fontId="14" fillId="0" borderId="0" xfId="1" applyFont="1" applyFill="1" applyBorder="1" applyAlignment="1"/>
    <xf numFmtId="0" fontId="14" fillId="0" borderId="0" xfId="1" applyFont="1"/>
    <xf numFmtId="0" fontId="7" fillId="0" borderId="0" xfId="1" applyFont="1"/>
    <xf numFmtId="0" fontId="16" fillId="0" borderId="0" xfId="1" applyFont="1"/>
    <xf numFmtId="0" fontId="18" fillId="0" borderId="0" xfId="1" applyFont="1" applyFill="1" applyBorder="1" applyAlignment="1">
      <alignment horizontal="right" vertical="center" indent="1" readingOrder="1"/>
    </xf>
    <xf numFmtId="170" fontId="16" fillId="0" borderId="0" xfId="1" applyNumberFormat="1" applyFont="1" applyFill="1" applyAlignment="1"/>
    <xf numFmtId="0" fontId="9" fillId="0" borderId="0" xfId="1" applyFont="1" applyFill="1" applyBorder="1" applyAlignment="1">
      <alignment horizontal="right" vertical="center"/>
    </xf>
    <xf numFmtId="170" fontId="14" fillId="0" borderId="0" xfId="1" applyNumberFormat="1" applyFont="1" applyFill="1" applyAlignment="1"/>
    <xf numFmtId="9" fontId="27" fillId="0" borderId="0" xfId="2" applyFont="1" applyFill="1" applyBorder="1" applyAlignment="1">
      <alignment horizontal="left"/>
    </xf>
    <xf numFmtId="9" fontId="28" fillId="0" borderId="0" xfId="2" applyFont="1" applyFill="1" applyBorder="1" applyAlignment="1">
      <alignment horizontal="left"/>
    </xf>
    <xf numFmtId="170" fontId="14" fillId="0" borderId="2" xfId="1" applyNumberFormat="1" applyFont="1" applyFill="1" applyBorder="1" applyAlignment="1"/>
    <xf numFmtId="0" fontId="29" fillId="0" borderId="0" xfId="1" applyFont="1" applyFill="1" applyAlignment="1"/>
    <xf numFmtId="0" fontId="28" fillId="0" borderId="0" xfId="0" applyFont="1" applyFill="1" applyBorder="1" applyAlignment="1">
      <alignment horizontal="right"/>
    </xf>
    <xf numFmtId="0" fontId="26" fillId="0" borderId="0" xfId="0" applyFont="1" applyFill="1" applyBorder="1" applyAlignment="1">
      <alignment horizontal="right"/>
    </xf>
    <xf numFmtId="0" fontId="28" fillId="0" borderId="0" xfId="0" quotePrefix="1" applyFont="1" applyFill="1" applyBorder="1" applyAlignment="1">
      <alignment horizontal="right"/>
    </xf>
    <xf numFmtId="170" fontId="31" fillId="0" borderId="3" xfId="1" applyNumberFormat="1" applyFont="1" applyFill="1" applyBorder="1" applyAlignment="1">
      <alignment horizontal="center" vertical="center"/>
    </xf>
    <xf numFmtId="170" fontId="18" fillId="0" borderId="0" xfId="1" applyNumberFormat="1" applyFont="1" applyFill="1" applyBorder="1" applyAlignment="1">
      <alignment vertical="center" readingOrder="2"/>
    </xf>
    <xf numFmtId="0" fontId="14" fillId="0" borderId="0" xfId="1" applyFont="1" applyFill="1" applyAlignment="1">
      <alignment horizontal="left" vertical="center"/>
    </xf>
    <xf numFmtId="0" fontId="29" fillId="0" borderId="0" xfId="1" applyFont="1" applyFill="1" applyAlignment="1">
      <alignment horizontal="left" vertical="center"/>
    </xf>
    <xf numFmtId="0" fontId="32" fillId="0" borderId="0" xfId="0" applyFont="1" applyFill="1" applyBorder="1" applyAlignment="1">
      <alignment horizontal="right" vertical="center" indent="1"/>
    </xf>
    <xf numFmtId="0" fontId="32" fillId="0" borderId="0" xfId="0" quotePrefix="1" applyFont="1" applyFill="1" applyBorder="1" applyAlignment="1">
      <alignment horizontal="right" vertical="center" indent="1"/>
    </xf>
    <xf numFmtId="171" fontId="33" fillId="0" borderId="0" xfId="0" applyNumberFormat="1" applyFont="1" applyFill="1" applyBorder="1" applyAlignment="1">
      <alignment horizontal="right" vertical="center" readingOrder="2"/>
    </xf>
    <xf numFmtId="0" fontId="14" fillId="0" borderId="0" xfId="1" applyFont="1" applyFill="1" applyAlignment="1">
      <alignment horizontal="left" vertical="center" indent="1"/>
    </xf>
    <xf numFmtId="170" fontId="31" fillId="0" borderId="6" xfId="1" applyNumberFormat="1" applyFont="1" applyFill="1" applyBorder="1" applyAlignment="1">
      <alignment horizontal="center" vertical="center"/>
    </xf>
    <xf numFmtId="170" fontId="34" fillId="0" borderId="3" xfId="1" applyNumberFormat="1" applyFont="1" applyFill="1" applyBorder="1" applyAlignment="1">
      <alignment horizontal="center" vertical="center"/>
    </xf>
    <xf numFmtId="170" fontId="9" fillId="0" borderId="0" xfId="1" applyNumberFormat="1" applyFont="1" applyFill="1" applyBorder="1" applyAlignment="1">
      <alignment horizontal="right" vertical="center" readingOrder="2"/>
    </xf>
    <xf numFmtId="0" fontId="24" fillId="4" borderId="3" xfId="1" applyFont="1" applyFill="1" applyBorder="1" applyAlignment="1">
      <alignment horizontal="right" vertical="center" indent="1"/>
    </xf>
    <xf numFmtId="0" fontId="22" fillId="4" borderId="3" xfId="1" quotePrefix="1" applyFont="1" applyFill="1" applyBorder="1" applyAlignment="1">
      <alignment horizontal="left" vertical="center" indent="1"/>
    </xf>
    <xf numFmtId="0" fontId="30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/>
    </xf>
    <xf numFmtId="0" fontId="14" fillId="4" borderId="3" xfId="1" quotePrefix="1" applyFont="1" applyFill="1" applyBorder="1" applyAlignment="1">
      <alignment horizontal="left" vertical="center" indent="1"/>
    </xf>
    <xf numFmtId="0" fontId="14" fillId="4" borderId="2" xfId="1" applyFont="1" applyFill="1" applyBorder="1" applyAlignment="1">
      <alignment horizontal="left" vertical="center" indent="1"/>
    </xf>
    <xf numFmtId="0" fontId="14" fillId="4" borderId="2" xfId="1" quotePrefix="1" applyFont="1" applyFill="1" applyBorder="1" applyAlignment="1">
      <alignment horizontal="left" vertical="center" indent="1"/>
    </xf>
    <xf numFmtId="0" fontId="30" fillId="4" borderId="5" xfId="1" applyFont="1" applyFill="1" applyBorder="1" applyAlignment="1">
      <alignment horizontal="right" vertical="center" indent="1"/>
    </xf>
    <xf numFmtId="0" fontId="14" fillId="4" borderId="5" xfId="1" applyFont="1" applyFill="1" applyBorder="1" applyAlignment="1">
      <alignment horizontal="left" vertical="center" indent="1"/>
    </xf>
    <xf numFmtId="0" fontId="35" fillId="2" borderId="7" xfId="0" applyFont="1" applyFill="1" applyBorder="1" applyAlignment="1">
      <alignment horizontal="center" vertical="center" wrapText="1" readingOrder="1"/>
    </xf>
    <xf numFmtId="170" fontId="36" fillId="0" borderId="0" xfId="0" applyNumberFormat="1" applyFont="1" applyFill="1" applyBorder="1" applyAlignment="1">
      <alignment horizontal="center" readingOrder="1"/>
    </xf>
    <xf numFmtId="170" fontId="37" fillId="0" borderId="0" xfId="0" applyNumberFormat="1" applyFont="1" applyFill="1" applyBorder="1" applyAlignment="1">
      <alignment horizontal="center" readingOrder="1"/>
    </xf>
    <xf numFmtId="0" fontId="4" fillId="0" borderId="0" xfId="1" applyFont="1" applyFill="1" applyAlignment="1"/>
    <xf numFmtId="0" fontId="35" fillId="2" borderId="7" xfId="4" applyFont="1" applyFill="1" applyBorder="1" applyAlignment="1">
      <alignment horizontal="center" vertical="center" wrapText="1" readingOrder="1"/>
    </xf>
    <xf numFmtId="0" fontId="35" fillId="2" borderId="6" xfId="4" applyFont="1" applyFill="1" applyBorder="1" applyAlignment="1">
      <alignment horizontal="center" vertical="center" wrapText="1" readingOrder="1"/>
    </xf>
    <xf numFmtId="0" fontId="4" fillId="0" borderId="2" xfId="1" applyFont="1" applyFill="1" applyBorder="1" applyAlignment="1"/>
    <xf numFmtId="170" fontId="31" fillId="0" borderId="2" xfId="1" applyNumberFormat="1" applyFont="1" applyFill="1" applyBorder="1" applyAlignment="1">
      <alignment horizontal="center" vertical="center"/>
    </xf>
    <xf numFmtId="170" fontId="16" fillId="0" borderId="0" xfId="1" applyNumberFormat="1" applyFont="1" applyFill="1" applyBorder="1" applyAlignment="1"/>
    <xf numFmtId="0" fontId="4" fillId="4" borderId="3" xfId="1" applyFont="1" applyFill="1" applyBorder="1" applyAlignment="1">
      <alignment horizontal="left" vertical="center" indent="1"/>
    </xf>
    <xf numFmtId="170" fontId="8" fillId="0" borderId="2" xfId="1" applyNumberFormat="1" applyFont="1" applyFill="1" applyBorder="1" applyAlignment="1">
      <alignment horizontal="center" vertical="center"/>
    </xf>
    <xf numFmtId="0" fontId="4" fillId="4" borderId="3" xfId="1" quotePrefix="1" applyFont="1" applyFill="1" applyBorder="1" applyAlignment="1">
      <alignment horizontal="left" vertical="center" indent="1"/>
    </xf>
    <xf numFmtId="0" fontId="4" fillId="0" borderId="0" xfId="1" applyFont="1"/>
    <xf numFmtId="0" fontId="4" fillId="4" borderId="2" xfId="1" applyFont="1" applyFill="1" applyBorder="1" applyAlignment="1">
      <alignment horizontal="left" vertical="center" indent="1"/>
    </xf>
    <xf numFmtId="0" fontId="4" fillId="4" borderId="2" xfId="1" quotePrefix="1" applyFont="1" applyFill="1" applyBorder="1" applyAlignment="1">
      <alignment horizontal="left" vertical="center" indent="1"/>
    </xf>
    <xf numFmtId="0" fontId="4" fillId="4" borderId="5" xfId="1" applyFont="1" applyFill="1" applyBorder="1" applyAlignment="1">
      <alignment horizontal="left" vertical="center" indent="1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horizontal="left" vertical="center"/>
    </xf>
    <xf numFmtId="0" fontId="14" fillId="0" borderId="0" xfId="4"/>
    <xf numFmtId="0" fontId="4" fillId="0" borderId="0" xfId="1" applyFont="1" applyFill="1" applyBorder="1" applyAlignment="1"/>
    <xf numFmtId="0" fontId="38" fillId="4" borderId="3" xfId="1" applyFont="1" applyFill="1" applyBorder="1" applyAlignment="1">
      <alignment horizontal="right" vertical="center" indent="1"/>
    </xf>
    <xf numFmtId="0" fontId="38" fillId="4" borderId="3" xfId="1" quotePrefix="1" applyFont="1" applyFill="1" applyBorder="1" applyAlignment="1">
      <alignment horizontal="left" vertical="center" indent="1"/>
    </xf>
    <xf numFmtId="170" fontId="38" fillId="0" borderId="6" xfId="1" applyNumberFormat="1" applyFont="1" applyFill="1" applyBorder="1" applyAlignment="1">
      <alignment horizontal="center" vertical="center"/>
    </xf>
    <xf numFmtId="0" fontId="39" fillId="4" borderId="3" xfId="1" applyFont="1" applyFill="1" applyBorder="1" applyAlignment="1">
      <alignment horizontal="right" vertical="center" indent="1"/>
    </xf>
    <xf numFmtId="0" fontId="39" fillId="4" borderId="3" xfId="1" applyFont="1" applyFill="1" applyBorder="1" applyAlignment="1">
      <alignment horizontal="left" vertical="center" indent="1"/>
    </xf>
    <xf numFmtId="170" fontId="39" fillId="0" borderId="3" xfId="1" applyNumberFormat="1" applyFont="1" applyFill="1" applyBorder="1" applyAlignment="1">
      <alignment horizontal="center" vertical="center"/>
    </xf>
    <xf numFmtId="0" fontId="39" fillId="4" borderId="3" xfId="1" quotePrefix="1" applyFont="1" applyFill="1" applyBorder="1" applyAlignment="1">
      <alignment horizontal="left" vertical="center" indent="1"/>
    </xf>
    <xf numFmtId="0" fontId="39" fillId="4" borderId="2" xfId="1" applyFont="1" applyFill="1" applyBorder="1" applyAlignment="1">
      <alignment horizontal="left" vertical="center" indent="1"/>
    </xf>
    <xf numFmtId="0" fontId="39" fillId="4" borderId="2" xfId="1" quotePrefix="1" applyFont="1" applyFill="1" applyBorder="1" applyAlignment="1">
      <alignment horizontal="left" vertical="center" indent="1"/>
    </xf>
    <xf numFmtId="0" fontId="39" fillId="4" borderId="5" xfId="1" applyFont="1" applyFill="1" applyBorder="1" applyAlignment="1">
      <alignment horizontal="right" vertical="center" indent="1"/>
    </xf>
    <xf numFmtId="0" fontId="39" fillId="4" borderId="5" xfId="1" applyFont="1" applyFill="1" applyBorder="1" applyAlignment="1">
      <alignment horizontal="left" vertical="center" indent="1"/>
    </xf>
    <xf numFmtId="170" fontId="39" fillId="0" borderId="5" xfId="1" applyNumberFormat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right" vertical="center" indent="1" readingOrder="1"/>
    </xf>
    <xf numFmtId="0" fontId="16" fillId="0" borderId="0" xfId="1" applyFont="1" applyFill="1" applyAlignment="1">
      <alignment horizontal="left" vertical="center" indent="1"/>
    </xf>
    <xf numFmtId="0" fontId="19" fillId="0" borderId="1" xfId="1" quotePrefix="1" applyFont="1" applyBorder="1" applyAlignment="1">
      <alignment horizontal="center" vertical="center"/>
    </xf>
    <xf numFmtId="0" fontId="9" fillId="0" borderId="0" xfId="5" applyFont="1" applyFill="1" applyBorder="1" applyAlignment="1">
      <alignment horizontal="right" vertical="center"/>
    </xf>
    <xf numFmtId="0" fontId="4" fillId="0" borderId="0" xfId="5" applyFont="1" applyFill="1" applyAlignment="1"/>
    <xf numFmtId="0" fontId="42" fillId="0" borderId="0" xfId="6"/>
    <xf numFmtId="0" fontId="10" fillId="0" borderId="0" xfId="5" applyFont="1" applyFill="1" applyAlignment="1">
      <alignment vertical="center"/>
    </xf>
    <xf numFmtId="0" fontId="13" fillId="0" borderId="1" xfId="5" applyFont="1" applyFill="1" applyBorder="1" applyAlignment="1">
      <alignment horizontal="center" vertical="center"/>
    </xf>
    <xf numFmtId="0" fontId="12" fillId="0" borderId="1" xfId="5" quotePrefix="1" applyFont="1" applyBorder="1" applyAlignment="1">
      <alignment horizontal="center" vertical="center"/>
    </xf>
    <xf numFmtId="0" fontId="11" fillId="0" borderId="0" xfId="5" applyFont="1" applyFill="1" applyAlignment="1">
      <alignment vertical="center"/>
    </xf>
    <xf numFmtId="0" fontId="35" fillId="2" borderId="6" xfId="7" applyFont="1" applyFill="1" applyBorder="1" applyAlignment="1">
      <alignment horizontal="center" vertical="center" wrapText="1" readingOrder="1"/>
    </xf>
    <xf numFmtId="0" fontId="16" fillId="0" borderId="0" xfId="5" applyFont="1" applyFill="1" applyAlignment="1"/>
    <xf numFmtId="0" fontId="15" fillId="0" borderId="0" xfId="5" applyFont="1" applyFill="1" applyAlignment="1"/>
    <xf numFmtId="0" fontId="38" fillId="4" borderId="3" xfId="5" applyFont="1" applyFill="1" applyBorder="1" applyAlignment="1">
      <alignment horizontal="right" vertical="center" indent="1"/>
    </xf>
    <xf numFmtId="0" fontId="38" fillId="4" borderId="3" xfId="5" quotePrefix="1" applyFont="1" applyFill="1" applyBorder="1" applyAlignment="1">
      <alignment horizontal="left" vertical="center" indent="1"/>
    </xf>
    <xf numFmtId="170" fontId="38" fillId="0" borderId="6" xfId="5" applyNumberFormat="1" applyFont="1" applyFill="1" applyBorder="1" applyAlignment="1">
      <alignment horizontal="center" vertical="center"/>
    </xf>
    <xf numFmtId="0" fontId="39" fillId="4" borderId="3" xfId="5" applyFont="1" applyFill="1" applyBorder="1" applyAlignment="1">
      <alignment horizontal="right" vertical="center" indent="1"/>
    </xf>
    <xf numFmtId="0" fontId="39" fillId="4" borderId="3" xfId="5" applyFont="1" applyFill="1" applyBorder="1" applyAlignment="1">
      <alignment horizontal="left" vertical="center" indent="1"/>
    </xf>
    <xf numFmtId="170" fontId="39" fillId="0" borderId="3" xfId="5" applyNumberFormat="1" applyFont="1" applyFill="1" applyBorder="1" applyAlignment="1">
      <alignment horizontal="center" vertical="center"/>
    </xf>
    <xf numFmtId="0" fontId="39" fillId="4" borderId="3" xfId="5" quotePrefix="1" applyFont="1" applyFill="1" applyBorder="1" applyAlignment="1">
      <alignment horizontal="left" vertical="center" indent="1"/>
    </xf>
    <xf numFmtId="0" fontId="39" fillId="4" borderId="2" xfId="5" applyFont="1" applyFill="1" applyBorder="1" applyAlignment="1">
      <alignment horizontal="left" vertical="center" indent="1"/>
    </xf>
    <xf numFmtId="0" fontId="39" fillId="4" borderId="2" xfId="5" quotePrefix="1" applyFont="1" applyFill="1" applyBorder="1" applyAlignment="1">
      <alignment horizontal="left" vertical="center" indent="1"/>
    </xf>
    <xf numFmtId="0" fontId="39" fillId="4" borderId="5" xfId="5" applyFont="1" applyFill="1" applyBorder="1" applyAlignment="1">
      <alignment horizontal="right" vertical="center" indent="1"/>
    </xf>
    <xf numFmtId="0" fontId="39" fillId="4" borderId="5" xfId="5" applyFont="1" applyFill="1" applyBorder="1" applyAlignment="1">
      <alignment horizontal="left" vertical="center" indent="1"/>
    </xf>
    <xf numFmtId="170" fontId="39" fillId="0" borderId="5" xfId="5" applyNumberFormat="1" applyFont="1" applyFill="1" applyBorder="1" applyAlignment="1">
      <alignment horizontal="center" vertical="center"/>
    </xf>
    <xf numFmtId="0" fontId="16" fillId="0" borderId="0" xfId="5" applyFont="1" applyFill="1" applyBorder="1" applyAlignment="1">
      <alignment horizontal="right" vertical="center" indent="1" readingOrder="1"/>
    </xf>
    <xf numFmtId="0" fontId="16" fillId="0" borderId="0" xfId="5" applyFont="1" applyFill="1" applyAlignment="1">
      <alignment horizontal="left" vertical="center" indent="1"/>
    </xf>
    <xf numFmtId="0" fontId="4" fillId="0" borderId="0" xfId="5" applyFont="1" applyFill="1" applyAlignment="1">
      <alignment horizontal="left" vertical="center" indent="1"/>
    </xf>
    <xf numFmtId="170" fontId="9" fillId="0" borderId="0" xfId="5" applyNumberFormat="1" applyFont="1" applyFill="1" applyBorder="1" applyAlignment="1">
      <alignment horizontal="right" vertical="center" readingOrder="2"/>
    </xf>
    <xf numFmtId="0" fontId="4" fillId="0" borderId="0" xfId="5" applyFont="1" applyFill="1" applyAlignment="1">
      <alignment horizontal="left" vertical="center"/>
    </xf>
    <xf numFmtId="0" fontId="29" fillId="0" borderId="0" xfId="5" applyFont="1" applyFill="1" applyAlignment="1">
      <alignment horizontal="left" vertical="center"/>
    </xf>
    <xf numFmtId="0" fontId="4" fillId="0" borderId="0" xfId="7"/>
    <xf numFmtId="0" fontId="16" fillId="0" borderId="0" xfId="5" applyFont="1"/>
    <xf numFmtId="0" fontId="42" fillId="0" borderId="0" xfId="6"/>
    <xf numFmtId="0" fontId="4" fillId="0" borderId="0" xfId="7"/>
    <xf numFmtId="0" fontId="4" fillId="0" borderId="0" xfId="5" applyFont="1" applyFill="1" applyAlignment="1"/>
    <xf numFmtId="0" fontId="4" fillId="0" borderId="0" xfId="5" applyFont="1"/>
    <xf numFmtId="0" fontId="4" fillId="0" borderId="0" xfId="5" applyFont="1" applyFill="1" applyAlignment="1">
      <alignment horizontal="left" vertical="center"/>
    </xf>
    <xf numFmtId="0" fontId="29" fillId="0" borderId="0" xfId="5" applyFont="1" applyFill="1" applyAlignment="1">
      <alignment horizontal="left" vertical="center"/>
    </xf>
    <xf numFmtId="0" fontId="35" fillId="2" borderId="6" xfId="7" applyFont="1" applyFill="1" applyBorder="1" applyAlignment="1">
      <alignment horizontal="center" vertical="center" wrapText="1" readingOrder="1"/>
    </xf>
    <xf numFmtId="170" fontId="38" fillId="0" borderId="6" xfId="5" applyNumberFormat="1" applyFont="1" applyFill="1" applyBorder="1" applyAlignment="1">
      <alignment horizontal="center" vertical="center"/>
    </xf>
    <xf numFmtId="170" fontId="39" fillId="0" borderId="3" xfId="5" applyNumberFormat="1" applyFont="1" applyFill="1" applyBorder="1" applyAlignment="1">
      <alignment horizontal="center" vertical="center"/>
    </xf>
    <xf numFmtId="170" fontId="39" fillId="0" borderId="5" xfId="5" applyNumberFormat="1" applyFont="1" applyFill="1" applyBorder="1" applyAlignment="1">
      <alignment horizontal="center" vertical="center"/>
    </xf>
    <xf numFmtId="0" fontId="4" fillId="0" borderId="0" xfId="5" applyFont="1" applyFill="1" applyAlignment="1">
      <alignment horizontal="left" vertical="center" indent="1"/>
    </xf>
    <xf numFmtId="170" fontId="16" fillId="0" borderId="0" xfId="5" applyNumberFormat="1" applyFont="1" applyFill="1" applyAlignment="1"/>
    <xf numFmtId="170" fontId="36" fillId="0" borderId="8" xfId="0" applyNumberFormat="1" applyFont="1" applyFill="1" applyBorder="1" applyAlignment="1">
      <alignment horizontal="center" readingOrder="1"/>
    </xf>
    <xf numFmtId="0" fontId="16" fillId="0" borderId="0" xfId="5" applyFont="1" applyFill="1" applyBorder="1" applyAlignment="1">
      <alignment horizontal="right" vertical="center" indent="1" readingOrder="2"/>
    </xf>
    <xf numFmtId="0" fontId="16" fillId="0" borderId="0" xfId="5" applyFont="1" applyFill="1" applyAlignment="1">
      <alignment horizontal="left" vertical="center" indent="1" readingOrder="1"/>
    </xf>
    <xf numFmtId="170" fontId="42" fillId="0" borderId="0" xfId="6" applyNumberFormat="1"/>
    <xf numFmtId="170" fontId="16" fillId="0" borderId="0" xfId="5" applyNumberFormat="1" applyFont="1" applyFill="1" applyAlignment="1"/>
    <xf numFmtId="0" fontId="9" fillId="0" borderId="0" xfId="5" applyFont="1" applyAlignment="1">
      <alignment vertical="center"/>
    </xf>
    <xf numFmtId="0" fontId="7" fillId="0" borderId="0" xfId="5" applyFont="1" applyBorder="1" applyAlignment="1">
      <alignment vertical="center"/>
    </xf>
    <xf numFmtId="0" fontId="1" fillId="0" borderId="0" xfId="27"/>
    <xf numFmtId="0" fontId="11" fillId="0" borderId="1" xfId="5" quotePrefix="1" applyFont="1" applyBorder="1" applyAlignment="1">
      <alignment vertical="center"/>
    </xf>
    <xf numFmtId="0" fontId="19" fillId="0" borderId="1" xfId="5" quotePrefix="1" applyFont="1" applyBorder="1" applyAlignment="1">
      <alignment horizontal="center" vertical="center"/>
    </xf>
    <xf numFmtId="0" fontId="39" fillId="0" borderId="0" xfId="27" applyFont="1"/>
    <xf numFmtId="0" fontId="38" fillId="4" borderId="6" xfId="5" applyFont="1" applyFill="1" applyBorder="1" applyAlignment="1">
      <alignment horizontal="right" vertical="center" indent="1"/>
    </xf>
    <xf numFmtId="0" fontId="38" fillId="4" borderId="3" xfId="5" applyFont="1" applyFill="1" applyBorder="1" applyAlignment="1">
      <alignment horizontal="left" vertical="center" indent="1" readingOrder="1"/>
    </xf>
    <xf numFmtId="170" fontId="38" fillId="0" borderId="3" xfId="5" applyNumberFormat="1" applyFont="1" applyFill="1" applyBorder="1" applyAlignment="1">
      <alignment horizontal="center" vertical="center"/>
    </xf>
    <xf numFmtId="170" fontId="16" fillId="0" borderId="0" xfId="27" applyNumberFormat="1" applyFont="1"/>
    <xf numFmtId="0" fontId="16" fillId="0" borderId="0" xfId="27" applyFont="1"/>
    <xf numFmtId="0" fontId="16" fillId="0" borderId="0" xfId="5" applyFont="1" applyFill="1" applyBorder="1" applyAlignment="1">
      <alignment horizontal="right" vertical="center" readingOrder="2"/>
    </xf>
    <xf numFmtId="0" fontId="16" fillId="0" borderId="0" xfId="5" applyFont="1" applyFill="1" applyAlignment="1">
      <alignment horizontal="left" vertical="center" readingOrder="1"/>
    </xf>
    <xf numFmtId="170" fontId="47" fillId="0" borderId="0" xfId="5" applyNumberFormat="1" applyFont="1" applyFill="1" applyBorder="1" applyAlignment="1">
      <alignment horizontal="center" vertical="center"/>
    </xf>
    <xf numFmtId="0" fontId="8" fillId="0" borderId="0" xfId="5" applyFont="1" applyFill="1" applyAlignment="1">
      <alignment horizontal="left" vertical="center" indent="1"/>
    </xf>
    <xf numFmtId="0" fontId="8" fillId="0" borderId="0" xfId="5" applyFont="1" applyFill="1" applyAlignment="1">
      <alignment horizontal="left" vertical="center"/>
    </xf>
    <xf numFmtId="0" fontId="7" fillId="0" borderId="0" xfId="5" applyFont="1"/>
    <xf numFmtId="0" fontId="19" fillId="0" borderId="1" xfId="5" quotePrefix="1" applyFont="1" applyBorder="1" applyAlignment="1">
      <alignment horizontal="center" vertical="center"/>
    </xf>
    <xf numFmtId="170" fontId="67" fillId="0" borderId="6" xfId="5" applyNumberFormat="1" applyFont="1" applyFill="1" applyBorder="1" applyAlignment="1">
      <alignment horizontal="center" vertical="center"/>
    </xf>
    <xf numFmtId="170" fontId="68" fillId="0" borderId="3" xfId="5" applyNumberFormat="1" applyFont="1" applyFill="1" applyBorder="1" applyAlignment="1">
      <alignment horizontal="center" vertical="center"/>
    </xf>
    <xf numFmtId="170" fontId="68" fillId="0" borderId="5" xfId="5" applyNumberFormat="1" applyFont="1" applyFill="1" applyBorder="1" applyAlignment="1">
      <alignment horizontal="center" vertical="center"/>
    </xf>
    <xf numFmtId="0" fontId="19" fillId="0" borderId="1" xfId="5" quotePrefix="1" applyFont="1" applyBorder="1" applyAlignment="1">
      <alignment vertical="center"/>
    </xf>
    <xf numFmtId="170" fontId="1" fillId="0" borderId="0" xfId="27" applyNumberFormat="1"/>
    <xf numFmtId="170" fontId="67" fillId="0" borderId="6" xfId="5" applyNumberFormat="1" applyFont="1" applyBorder="1" applyAlignment="1">
      <alignment horizontal="center" vertical="center"/>
    </xf>
    <xf numFmtId="170" fontId="68" fillId="0" borderId="3" xfId="5" applyNumberFormat="1" applyFont="1" applyBorder="1" applyAlignment="1">
      <alignment horizontal="center" vertical="center"/>
    </xf>
    <xf numFmtId="170" fontId="68" fillId="0" borderId="5" xfId="5" applyNumberFormat="1" applyFont="1" applyBorder="1" applyAlignment="1">
      <alignment horizontal="center" vertical="center"/>
    </xf>
    <xf numFmtId="0" fontId="21" fillId="3" borderId="8" xfId="1" applyFont="1" applyFill="1" applyBorder="1" applyAlignment="1">
      <alignment horizontal="center" vertical="center"/>
    </xf>
    <xf numFmtId="0" fontId="19" fillId="0" borderId="0" xfId="1" quotePrefix="1" applyFont="1" applyFill="1" applyAlignment="1">
      <alignment horizontal="center"/>
    </xf>
    <xf numFmtId="0" fontId="35" fillId="5" borderId="3" xfId="0" applyFont="1" applyFill="1" applyBorder="1" applyAlignment="1">
      <alignment horizontal="center" vertical="center" wrapText="1" readingOrder="1"/>
    </xf>
    <xf numFmtId="0" fontId="35" fillId="5" borderId="5" xfId="0" applyFont="1" applyFill="1" applyBorder="1" applyAlignment="1">
      <alignment horizontal="center" vertical="center" wrapText="1" readingOrder="1"/>
    </xf>
    <xf numFmtId="0" fontId="20" fillId="4" borderId="6" xfId="1" applyFont="1" applyFill="1" applyBorder="1" applyAlignment="1">
      <alignment horizontal="center" vertical="center" readingOrder="1"/>
    </xf>
    <xf numFmtId="0" fontId="20" fillId="4" borderId="3" xfId="1" applyFont="1" applyFill="1" applyBorder="1" applyAlignment="1">
      <alignment horizontal="center" vertical="center" readingOrder="1"/>
    </xf>
    <xf numFmtId="0" fontId="20" fillId="4" borderId="5" xfId="1" applyFont="1" applyFill="1" applyBorder="1" applyAlignment="1">
      <alignment horizontal="center" vertical="center" readingOrder="1"/>
    </xf>
    <xf numFmtId="0" fontId="35" fillId="5" borderId="3" xfId="4" applyFont="1" applyFill="1" applyBorder="1" applyAlignment="1">
      <alignment horizontal="center" vertical="center" wrapText="1" readingOrder="1"/>
    </xf>
    <xf numFmtId="0" fontId="35" fillId="5" borderId="5" xfId="4" applyFont="1" applyFill="1" applyBorder="1" applyAlignment="1">
      <alignment horizontal="center" vertical="center" wrapText="1" readingOrder="1"/>
    </xf>
    <xf numFmtId="0" fontId="21" fillId="3" borderId="0" xfId="1" applyFont="1" applyFill="1" applyBorder="1" applyAlignment="1">
      <alignment horizontal="center" vertical="center"/>
    </xf>
    <xf numFmtId="0" fontId="41" fillId="4" borderId="6" xfId="1" applyFont="1" applyFill="1" applyBorder="1" applyAlignment="1">
      <alignment horizontal="center" vertical="center" readingOrder="1"/>
    </xf>
    <xf numFmtId="0" fontId="41" fillId="4" borderId="3" xfId="1" applyFont="1" applyFill="1" applyBorder="1" applyAlignment="1">
      <alignment horizontal="center" vertical="center" readingOrder="1"/>
    </xf>
    <xf numFmtId="0" fontId="41" fillId="4" borderId="5" xfId="1" applyFont="1" applyFill="1" applyBorder="1" applyAlignment="1">
      <alignment horizontal="center" vertical="center" readingOrder="1"/>
    </xf>
    <xf numFmtId="0" fontId="35" fillId="5" borderId="3" xfId="7" applyFont="1" applyFill="1" applyBorder="1" applyAlignment="1">
      <alignment horizontal="center" vertical="center" wrapText="1" readingOrder="1"/>
    </xf>
    <xf numFmtId="0" fontId="35" fillId="5" borderId="5" xfId="7" applyFont="1" applyFill="1" applyBorder="1" applyAlignment="1">
      <alignment horizontal="center" vertical="center" wrapText="1" readingOrder="1"/>
    </xf>
    <xf numFmtId="0" fontId="21" fillId="3" borderId="0" xfId="5" applyFont="1" applyFill="1" applyBorder="1" applyAlignment="1">
      <alignment horizontal="center" vertical="center"/>
    </xf>
    <xf numFmtId="0" fontId="19" fillId="0" borderId="0" xfId="5" quotePrefix="1" applyFont="1" applyFill="1" applyAlignment="1">
      <alignment horizontal="center"/>
    </xf>
    <xf numFmtId="0" fontId="41" fillId="4" borderId="6" xfId="5" applyFont="1" applyFill="1" applyBorder="1" applyAlignment="1">
      <alignment horizontal="center" vertical="center" readingOrder="1"/>
    </xf>
    <xf numFmtId="0" fontId="41" fillId="4" borderId="3" xfId="5" applyFont="1" applyFill="1" applyBorder="1" applyAlignment="1">
      <alignment horizontal="center" vertical="center" readingOrder="1"/>
    </xf>
    <xf numFmtId="0" fontId="41" fillId="4" borderId="5" xfId="5" applyFont="1" applyFill="1" applyBorder="1" applyAlignment="1">
      <alignment horizontal="center" vertical="center" readingOrder="1"/>
    </xf>
    <xf numFmtId="0" fontId="21" fillId="3" borderId="0" xfId="5" applyFont="1" applyFill="1" applyBorder="1" applyAlignment="1">
      <alignment horizontal="center" vertical="center" readingOrder="2"/>
    </xf>
    <xf numFmtId="0" fontId="46" fillId="4" borderId="6" xfId="5" applyFont="1" applyFill="1" applyBorder="1" applyAlignment="1">
      <alignment horizontal="center" vertical="center" readingOrder="1"/>
    </xf>
    <xf numFmtId="0" fontId="46" fillId="4" borderId="3" xfId="5" applyFont="1" applyFill="1" applyBorder="1" applyAlignment="1">
      <alignment horizontal="center" vertical="center" readingOrder="1"/>
    </xf>
    <xf numFmtId="0" fontId="46" fillId="4" borderId="5" xfId="5" applyFont="1" applyFill="1" applyBorder="1" applyAlignment="1">
      <alignment horizontal="center" vertical="center" readingOrder="1"/>
    </xf>
  </cellXfs>
  <cellStyles count="1011">
    <cellStyle name="20% - Accent1 10" xfId="28" xr:uid="{00000000-0005-0000-0000-000000000000}"/>
    <cellStyle name="20% - Accent1 11" xfId="29" xr:uid="{00000000-0005-0000-0000-000001000000}"/>
    <cellStyle name="20% - Accent1 12" xfId="30" xr:uid="{00000000-0005-0000-0000-000002000000}"/>
    <cellStyle name="20% - Accent1 13" xfId="31" xr:uid="{00000000-0005-0000-0000-000003000000}"/>
    <cellStyle name="20% - Accent1 14" xfId="32" xr:uid="{00000000-0005-0000-0000-000004000000}"/>
    <cellStyle name="20% - Accent1 15" xfId="33" xr:uid="{00000000-0005-0000-0000-000005000000}"/>
    <cellStyle name="20% - Accent1 16" xfId="34" xr:uid="{00000000-0005-0000-0000-000006000000}"/>
    <cellStyle name="20% - Accent1 17" xfId="35" xr:uid="{00000000-0005-0000-0000-000007000000}"/>
    <cellStyle name="20% - Accent1 18" xfId="36" xr:uid="{00000000-0005-0000-0000-000008000000}"/>
    <cellStyle name="20% - Accent1 19" xfId="37" xr:uid="{00000000-0005-0000-0000-000009000000}"/>
    <cellStyle name="20% - Accent1 2" xfId="38" xr:uid="{00000000-0005-0000-0000-00000A000000}"/>
    <cellStyle name="20% - Accent1 20" xfId="39" xr:uid="{00000000-0005-0000-0000-00000B000000}"/>
    <cellStyle name="20% - Accent1 21" xfId="40" xr:uid="{00000000-0005-0000-0000-00000C000000}"/>
    <cellStyle name="20% - Accent1 22" xfId="41" xr:uid="{00000000-0005-0000-0000-00000D000000}"/>
    <cellStyle name="20% - Accent1 23" xfId="42" xr:uid="{00000000-0005-0000-0000-00000E000000}"/>
    <cellStyle name="20% - Accent1 3" xfId="43" xr:uid="{00000000-0005-0000-0000-00000F000000}"/>
    <cellStyle name="20% - Accent1 4" xfId="44" xr:uid="{00000000-0005-0000-0000-000010000000}"/>
    <cellStyle name="20% - Accent1 5" xfId="45" xr:uid="{00000000-0005-0000-0000-000011000000}"/>
    <cellStyle name="20% - Accent1 6" xfId="46" xr:uid="{00000000-0005-0000-0000-000012000000}"/>
    <cellStyle name="20% - Accent1 7" xfId="47" xr:uid="{00000000-0005-0000-0000-000013000000}"/>
    <cellStyle name="20% - Accent1 8" xfId="48" xr:uid="{00000000-0005-0000-0000-000014000000}"/>
    <cellStyle name="20% - Accent1 9" xfId="49" xr:uid="{00000000-0005-0000-0000-000015000000}"/>
    <cellStyle name="20% - Accent2 10" xfId="50" xr:uid="{00000000-0005-0000-0000-000016000000}"/>
    <cellStyle name="20% - Accent2 11" xfId="51" xr:uid="{00000000-0005-0000-0000-000017000000}"/>
    <cellStyle name="20% - Accent2 12" xfId="52" xr:uid="{00000000-0005-0000-0000-000018000000}"/>
    <cellStyle name="20% - Accent2 13" xfId="53" xr:uid="{00000000-0005-0000-0000-000019000000}"/>
    <cellStyle name="20% - Accent2 14" xfId="54" xr:uid="{00000000-0005-0000-0000-00001A000000}"/>
    <cellStyle name="20% - Accent2 15" xfId="55" xr:uid="{00000000-0005-0000-0000-00001B000000}"/>
    <cellStyle name="20% - Accent2 16" xfId="56" xr:uid="{00000000-0005-0000-0000-00001C000000}"/>
    <cellStyle name="20% - Accent2 17" xfId="57" xr:uid="{00000000-0005-0000-0000-00001D000000}"/>
    <cellStyle name="20% - Accent2 18" xfId="58" xr:uid="{00000000-0005-0000-0000-00001E000000}"/>
    <cellStyle name="20% - Accent2 19" xfId="59" xr:uid="{00000000-0005-0000-0000-00001F000000}"/>
    <cellStyle name="20% - Accent2 2" xfId="60" xr:uid="{00000000-0005-0000-0000-000020000000}"/>
    <cellStyle name="20% - Accent2 20" xfId="61" xr:uid="{00000000-0005-0000-0000-000021000000}"/>
    <cellStyle name="20% - Accent2 21" xfId="62" xr:uid="{00000000-0005-0000-0000-000022000000}"/>
    <cellStyle name="20% - Accent2 22" xfId="63" xr:uid="{00000000-0005-0000-0000-000023000000}"/>
    <cellStyle name="20% - Accent2 23" xfId="64" xr:uid="{00000000-0005-0000-0000-000024000000}"/>
    <cellStyle name="20% - Accent2 3" xfId="65" xr:uid="{00000000-0005-0000-0000-000025000000}"/>
    <cellStyle name="20% - Accent2 4" xfId="66" xr:uid="{00000000-0005-0000-0000-000026000000}"/>
    <cellStyle name="20% - Accent2 5" xfId="67" xr:uid="{00000000-0005-0000-0000-000027000000}"/>
    <cellStyle name="20% - Accent2 6" xfId="68" xr:uid="{00000000-0005-0000-0000-000028000000}"/>
    <cellStyle name="20% - Accent2 7" xfId="69" xr:uid="{00000000-0005-0000-0000-000029000000}"/>
    <cellStyle name="20% - Accent2 8" xfId="70" xr:uid="{00000000-0005-0000-0000-00002A000000}"/>
    <cellStyle name="20% - Accent2 9" xfId="71" xr:uid="{00000000-0005-0000-0000-00002B000000}"/>
    <cellStyle name="20% - Accent3 10" xfId="72" xr:uid="{00000000-0005-0000-0000-00002C000000}"/>
    <cellStyle name="20% - Accent3 11" xfId="73" xr:uid="{00000000-0005-0000-0000-00002D000000}"/>
    <cellStyle name="20% - Accent3 12" xfId="74" xr:uid="{00000000-0005-0000-0000-00002E000000}"/>
    <cellStyle name="20% - Accent3 13" xfId="75" xr:uid="{00000000-0005-0000-0000-00002F000000}"/>
    <cellStyle name="20% - Accent3 14" xfId="76" xr:uid="{00000000-0005-0000-0000-000030000000}"/>
    <cellStyle name="20% - Accent3 15" xfId="77" xr:uid="{00000000-0005-0000-0000-000031000000}"/>
    <cellStyle name="20% - Accent3 16" xfId="78" xr:uid="{00000000-0005-0000-0000-000032000000}"/>
    <cellStyle name="20% - Accent3 17" xfId="79" xr:uid="{00000000-0005-0000-0000-000033000000}"/>
    <cellStyle name="20% - Accent3 18" xfId="80" xr:uid="{00000000-0005-0000-0000-000034000000}"/>
    <cellStyle name="20% - Accent3 19" xfId="81" xr:uid="{00000000-0005-0000-0000-000035000000}"/>
    <cellStyle name="20% - Accent3 2" xfId="82" xr:uid="{00000000-0005-0000-0000-000036000000}"/>
    <cellStyle name="20% - Accent3 20" xfId="83" xr:uid="{00000000-0005-0000-0000-000037000000}"/>
    <cellStyle name="20% - Accent3 21" xfId="84" xr:uid="{00000000-0005-0000-0000-000038000000}"/>
    <cellStyle name="20% - Accent3 22" xfId="85" xr:uid="{00000000-0005-0000-0000-000039000000}"/>
    <cellStyle name="20% - Accent3 23" xfId="86" xr:uid="{00000000-0005-0000-0000-00003A000000}"/>
    <cellStyle name="20% - Accent3 3" xfId="87" xr:uid="{00000000-0005-0000-0000-00003B000000}"/>
    <cellStyle name="20% - Accent3 4" xfId="88" xr:uid="{00000000-0005-0000-0000-00003C000000}"/>
    <cellStyle name="20% - Accent3 5" xfId="89" xr:uid="{00000000-0005-0000-0000-00003D000000}"/>
    <cellStyle name="20% - Accent3 6" xfId="90" xr:uid="{00000000-0005-0000-0000-00003E000000}"/>
    <cellStyle name="20% - Accent3 7" xfId="91" xr:uid="{00000000-0005-0000-0000-00003F000000}"/>
    <cellStyle name="20% - Accent3 8" xfId="92" xr:uid="{00000000-0005-0000-0000-000040000000}"/>
    <cellStyle name="20% - Accent3 9" xfId="93" xr:uid="{00000000-0005-0000-0000-000041000000}"/>
    <cellStyle name="20% - Accent4 10" xfId="94" xr:uid="{00000000-0005-0000-0000-000042000000}"/>
    <cellStyle name="20% - Accent4 11" xfId="95" xr:uid="{00000000-0005-0000-0000-000043000000}"/>
    <cellStyle name="20% - Accent4 12" xfId="96" xr:uid="{00000000-0005-0000-0000-000044000000}"/>
    <cellStyle name="20% - Accent4 13" xfId="97" xr:uid="{00000000-0005-0000-0000-000045000000}"/>
    <cellStyle name="20% - Accent4 14" xfId="98" xr:uid="{00000000-0005-0000-0000-000046000000}"/>
    <cellStyle name="20% - Accent4 15" xfId="99" xr:uid="{00000000-0005-0000-0000-000047000000}"/>
    <cellStyle name="20% - Accent4 16" xfId="100" xr:uid="{00000000-0005-0000-0000-000048000000}"/>
    <cellStyle name="20% - Accent4 17" xfId="101" xr:uid="{00000000-0005-0000-0000-000049000000}"/>
    <cellStyle name="20% - Accent4 18" xfId="102" xr:uid="{00000000-0005-0000-0000-00004A000000}"/>
    <cellStyle name="20% - Accent4 19" xfId="103" xr:uid="{00000000-0005-0000-0000-00004B000000}"/>
    <cellStyle name="20% - Accent4 2" xfId="104" xr:uid="{00000000-0005-0000-0000-00004C000000}"/>
    <cellStyle name="20% - Accent4 20" xfId="105" xr:uid="{00000000-0005-0000-0000-00004D000000}"/>
    <cellStyle name="20% - Accent4 21" xfId="106" xr:uid="{00000000-0005-0000-0000-00004E000000}"/>
    <cellStyle name="20% - Accent4 22" xfId="107" xr:uid="{00000000-0005-0000-0000-00004F000000}"/>
    <cellStyle name="20% - Accent4 23" xfId="108" xr:uid="{00000000-0005-0000-0000-000050000000}"/>
    <cellStyle name="20% - Accent4 3" xfId="109" xr:uid="{00000000-0005-0000-0000-000051000000}"/>
    <cellStyle name="20% - Accent4 4" xfId="110" xr:uid="{00000000-0005-0000-0000-000052000000}"/>
    <cellStyle name="20% - Accent4 5" xfId="111" xr:uid="{00000000-0005-0000-0000-000053000000}"/>
    <cellStyle name="20% - Accent4 6" xfId="112" xr:uid="{00000000-0005-0000-0000-000054000000}"/>
    <cellStyle name="20% - Accent4 7" xfId="113" xr:uid="{00000000-0005-0000-0000-000055000000}"/>
    <cellStyle name="20% - Accent4 8" xfId="114" xr:uid="{00000000-0005-0000-0000-000056000000}"/>
    <cellStyle name="20% - Accent4 9" xfId="115" xr:uid="{00000000-0005-0000-0000-000057000000}"/>
    <cellStyle name="20% - Accent5 10" xfId="116" xr:uid="{00000000-0005-0000-0000-000058000000}"/>
    <cellStyle name="20% - Accent5 11" xfId="117" xr:uid="{00000000-0005-0000-0000-000059000000}"/>
    <cellStyle name="20% - Accent5 12" xfId="118" xr:uid="{00000000-0005-0000-0000-00005A000000}"/>
    <cellStyle name="20% - Accent5 13" xfId="119" xr:uid="{00000000-0005-0000-0000-00005B000000}"/>
    <cellStyle name="20% - Accent5 14" xfId="120" xr:uid="{00000000-0005-0000-0000-00005C000000}"/>
    <cellStyle name="20% - Accent5 15" xfId="121" xr:uid="{00000000-0005-0000-0000-00005D000000}"/>
    <cellStyle name="20% - Accent5 16" xfId="122" xr:uid="{00000000-0005-0000-0000-00005E000000}"/>
    <cellStyle name="20% - Accent5 17" xfId="123" xr:uid="{00000000-0005-0000-0000-00005F000000}"/>
    <cellStyle name="20% - Accent5 18" xfId="124" xr:uid="{00000000-0005-0000-0000-000060000000}"/>
    <cellStyle name="20% - Accent5 19" xfId="125" xr:uid="{00000000-0005-0000-0000-000061000000}"/>
    <cellStyle name="20% - Accent5 2" xfId="126" xr:uid="{00000000-0005-0000-0000-000062000000}"/>
    <cellStyle name="20% - Accent5 20" xfId="127" xr:uid="{00000000-0005-0000-0000-000063000000}"/>
    <cellStyle name="20% - Accent5 21" xfId="128" xr:uid="{00000000-0005-0000-0000-000064000000}"/>
    <cellStyle name="20% - Accent5 22" xfId="129" xr:uid="{00000000-0005-0000-0000-000065000000}"/>
    <cellStyle name="20% - Accent5 23" xfId="130" xr:uid="{00000000-0005-0000-0000-000066000000}"/>
    <cellStyle name="20% - Accent5 3" xfId="131" xr:uid="{00000000-0005-0000-0000-000067000000}"/>
    <cellStyle name="20% - Accent5 4" xfId="132" xr:uid="{00000000-0005-0000-0000-000068000000}"/>
    <cellStyle name="20% - Accent5 5" xfId="133" xr:uid="{00000000-0005-0000-0000-000069000000}"/>
    <cellStyle name="20% - Accent5 6" xfId="134" xr:uid="{00000000-0005-0000-0000-00006A000000}"/>
    <cellStyle name="20% - Accent5 7" xfId="135" xr:uid="{00000000-0005-0000-0000-00006B000000}"/>
    <cellStyle name="20% - Accent5 8" xfId="136" xr:uid="{00000000-0005-0000-0000-00006C000000}"/>
    <cellStyle name="20% - Accent5 9" xfId="137" xr:uid="{00000000-0005-0000-0000-00006D000000}"/>
    <cellStyle name="20% - Accent6 10" xfId="138" xr:uid="{00000000-0005-0000-0000-00006E000000}"/>
    <cellStyle name="20% - Accent6 11" xfId="139" xr:uid="{00000000-0005-0000-0000-00006F000000}"/>
    <cellStyle name="20% - Accent6 12" xfId="140" xr:uid="{00000000-0005-0000-0000-000070000000}"/>
    <cellStyle name="20% - Accent6 13" xfId="141" xr:uid="{00000000-0005-0000-0000-000071000000}"/>
    <cellStyle name="20% - Accent6 14" xfId="142" xr:uid="{00000000-0005-0000-0000-000072000000}"/>
    <cellStyle name="20% - Accent6 15" xfId="143" xr:uid="{00000000-0005-0000-0000-000073000000}"/>
    <cellStyle name="20% - Accent6 16" xfId="144" xr:uid="{00000000-0005-0000-0000-000074000000}"/>
    <cellStyle name="20% - Accent6 17" xfId="145" xr:uid="{00000000-0005-0000-0000-000075000000}"/>
    <cellStyle name="20% - Accent6 18" xfId="146" xr:uid="{00000000-0005-0000-0000-000076000000}"/>
    <cellStyle name="20% - Accent6 19" xfId="147" xr:uid="{00000000-0005-0000-0000-000077000000}"/>
    <cellStyle name="20% - Accent6 2" xfId="148" xr:uid="{00000000-0005-0000-0000-000078000000}"/>
    <cellStyle name="20% - Accent6 20" xfId="149" xr:uid="{00000000-0005-0000-0000-000079000000}"/>
    <cellStyle name="20% - Accent6 21" xfId="150" xr:uid="{00000000-0005-0000-0000-00007A000000}"/>
    <cellStyle name="20% - Accent6 22" xfId="151" xr:uid="{00000000-0005-0000-0000-00007B000000}"/>
    <cellStyle name="20% - Accent6 23" xfId="152" xr:uid="{00000000-0005-0000-0000-00007C000000}"/>
    <cellStyle name="20% - Accent6 3" xfId="153" xr:uid="{00000000-0005-0000-0000-00007D000000}"/>
    <cellStyle name="20% - Accent6 4" xfId="154" xr:uid="{00000000-0005-0000-0000-00007E000000}"/>
    <cellStyle name="20% - Accent6 5" xfId="155" xr:uid="{00000000-0005-0000-0000-00007F000000}"/>
    <cellStyle name="20% - Accent6 6" xfId="156" xr:uid="{00000000-0005-0000-0000-000080000000}"/>
    <cellStyle name="20% - Accent6 7" xfId="157" xr:uid="{00000000-0005-0000-0000-000081000000}"/>
    <cellStyle name="20% - Accent6 8" xfId="158" xr:uid="{00000000-0005-0000-0000-000082000000}"/>
    <cellStyle name="20% - Accent6 9" xfId="159" xr:uid="{00000000-0005-0000-0000-000083000000}"/>
    <cellStyle name="40% - Accent1 10" xfId="160" xr:uid="{00000000-0005-0000-0000-000084000000}"/>
    <cellStyle name="40% - Accent1 11" xfId="161" xr:uid="{00000000-0005-0000-0000-000085000000}"/>
    <cellStyle name="40% - Accent1 12" xfId="162" xr:uid="{00000000-0005-0000-0000-000086000000}"/>
    <cellStyle name="40% - Accent1 13" xfId="163" xr:uid="{00000000-0005-0000-0000-000087000000}"/>
    <cellStyle name="40% - Accent1 14" xfId="164" xr:uid="{00000000-0005-0000-0000-000088000000}"/>
    <cellStyle name="40% - Accent1 15" xfId="165" xr:uid="{00000000-0005-0000-0000-000089000000}"/>
    <cellStyle name="40% - Accent1 16" xfId="166" xr:uid="{00000000-0005-0000-0000-00008A000000}"/>
    <cellStyle name="40% - Accent1 17" xfId="167" xr:uid="{00000000-0005-0000-0000-00008B000000}"/>
    <cellStyle name="40% - Accent1 18" xfId="168" xr:uid="{00000000-0005-0000-0000-00008C000000}"/>
    <cellStyle name="40% - Accent1 19" xfId="169" xr:uid="{00000000-0005-0000-0000-00008D000000}"/>
    <cellStyle name="40% - Accent1 2" xfId="170" xr:uid="{00000000-0005-0000-0000-00008E000000}"/>
    <cellStyle name="40% - Accent1 20" xfId="171" xr:uid="{00000000-0005-0000-0000-00008F000000}"/>
    <cellStyle name="40% - Accent1 21" xfId="172" xr:uid="{00000000-0005-0000-0000-000090000000}"/>
    <cellStyle name="40% - Accent1 22" xfId="173" xr:uid="{00000000-0005-0000-0000-000091000000}"/>
    <cellStyle name="40% - Accent1 23" xfId="174" xr:uid="{00000000-0005-0000-0000-000092000000}"/>
    <cellStyle name="40% - Accent1 3" xfId="175" xr:uid="{00000000-0005-0000-0000-000093000000}"/>
    <cellStyle name="40% - Accent1 4" xfId="176" xr:uid="{00000000-0005-0000-0000-000094000000}"/>
    <cellStyle name="40% - Accent1 5" xfId="177" xr:uid="{00000000-0005-0000-0000-000095000000}"/>
    <cellStyle name="40% - Accent1 6" xfId="178" xr:uid="{00000000-0005-0000-0000-000096000000}"/>
    <cellStyle name="40% - Accent1 7" xfId="179" xr:uid="{00000000-0005-0000-0000-000097000000}"/>
    <cellStyle name="40% - Accent1 8" xfId="180" xr:uid="{00000000-0005-0000-0000-000098000000}"/>
    <cellStyle name="40% - Accent1 9" xfId="181" xr:uid="{00000000-0005-0000-0000-000099000000}"/>
    <cellStyle name="40% - Accent2 10" xfId="182" xr:uid="{00000000-0005-0000-0000-00009A000000}"/>
    <cellStyle name="40% - Accent2 11" xfId="183" xr:uid="{00000000-0005-0000-0000-00009B000000}"/>
    <cellStyle name="40% - Accent2 12" xfId="184" xr:uid="{00000000-0005-0000-0000-00009C000000}"/>
    <cellStyle name="40% - Accent2 13" xfId="185" xr:uid="{00000000-0005-0000-0000-00009D000000}"/>
    <cellStyle name="40% - Accent2 14" xfId="186" xr:uid="{00000000-0005-0000-0000-00009E000000}"/>
    <cellStyle name="40% - Accent2 15" xfId="187" xr:uid="{00000000-0005-0000-0000-00009F000000}"/>
    <cellStyle name="40% - Accent2 16" xfId="188" xr:uid="{00000000-0005-0000-0000-0000A0000000}"/>
    <cellStyle name="40% - Accent2 17" xfId="189" xr:uid="{00000000-0005-0000-0000-0000A1000000}"/>
    <cellStyle name="40% - Accent2 18" xfId="190" xr:uid="{00000000-0005-0000-0000-0000A2000000}"/>
    <cellStyle name="40% - Accent2 19" xfId="191" xr:uid="{00000000-0005-0000-0000-0000A3000000}"/>
    <cellStyle name="40% - Accent2 2" xfId="192" xr:uid="{00000000-0005-0000-0000-0000A4000000}"/>
    <cellStyle name="40% - Accent2 20" xfId="193" xr:uid="{00000000-0005-0000-0000-0000A5000000}"/>
    <cellStyle name="40% - Accent2 21" xfId="194" xr:uid="{00000000-0005-0000-0000-0000A6000000}"/>
    <cellStyle name="40% - Accent2 22" xfId="195" xr:uid="{00000000-0005-0000-0000-0000A7000000}"/>
    <cellStyle name="40% - Accent2 23" xfId="196" xr:uid="{00000000-0005-0000-0000-0000A8000000}"/>
    <cellStyle name="40% - Accent2 3" xfId="197" xr:uid="{00000000-0005-0000-0000-0000A9000000}"/>
    <cellStyle name="40% - Accent2 4" xfId="198" xr:uid="{00000000-0005-0000-0000-0000AA000000}"/>
    <cellStyle name="40% - Accent2 5" xfId="199" xr:uid="{00000000-0005-0000-0000-0000AB000000}"/>
    <cellStyle name="40% - Accent2 6" xfId="200" xr:uid="{00000000-0005-0000-0000-0000AC000000}"/>
    <cellStyle name="40% - Accent2 7" xfId="201" xr:uid="{00000000-0005-0000-0000-0000AD000000}"/>
    <cellStyle name="40% - Accent2 8" xfId="202" xr:uid="{00000000-0005-0000-0000-0000AE000000}"/>
    <cellStyle name="40% - Accent2 9" xfId="203" xr:uid="{00000000-0005-0000-0000-0000AF000000}"/>
    <cellStyle name="40% - Accent3 10" xfId="204" xr:uid="{00000000-0005-0000-0000-0000B0000000}"/>
    <cellStyle name="40% - Accent3 11" xfId="205" xr:uid="{00000000-0005-0000-0000-0000B1000000}"/>
    <cellStyle name="40% - Accent3 12" xfId="206" xr:uid="{00000000-0005-0000-0000-0000B2000000}"/>
    <cellStyle name="40% - Accent3 13" xfId="207" xr:uid="{00000000-0005-0000-0000-0000B3000000}"/>
    <cellStyle name="40% - Accent3 14" xfId="208" xr:uid="{00000000-0005-0000-0000-0000B4000000}"/>
    <cellStyle name="40% - Accent3 15" xfId="209" xr:uid="{00000000-0005-0000-0000-0000B5000000}"/>
    <cellStyle name="40% - Accent3 16" xfId="210" xr:uid="{00000000-0005-0000-0000-0000B6000000}"/>
    <cellStyle name="40% - Accent3 17" xfId="211" xr:uid="{00000000-0005-0000-0000-0000B7000000}"/>
    <cellStyle name="40% - Accent3 18" xfId="212" xr:uid="{00000000-0005-0000-0000-0000B8000000}"/>
    <cellStyle name="40% - Accent3 19" xfId="213" xr:uid="{00000000-0005-0000-0000-0000B9000000}"/>
    <cellStyle name="40% - Accent3 2" xfId="214" xr:uid="{00000000-0005-0000-0000-0000BA000000}"/>
    <cellStyle name="40% - Accent3 20" xfId="215" xr:uid="{00000000-0005-0000-0000-0000BB000000}"/>
    <cellStyle name="40% - Accent3 21" xfId="216" xr:uid="{00000000-0005-0000-0000-0000BC000000}"/>
    <cellStyle name="40% - Accent3 22" xfId="217" xr:uid="{00000000-0005-0000-0000-0000BD000000}"/>
    <cellStyle name="40% - Accent3 23" xfId="218" xr:uid="{00000000-0005-0000-0000-0000BE000000}"/>
    <cellStyle name="40% - Accent3 3" xfId="219" xr:uid="{00000000-0005-0000-0000-0000BF000000}"/>
    <cellStyle name="40% - Accent3 4" xfId="220" xr:uid="{00000000-0005-0000-0000-0000C0000000}"/>
    <cellStyle name="40% - Accent3 5" xfId="221" xr:uid="{00000000-0005-0000-0000-0000C1000000}"/>
    <cellStyle name="40% - Accent3 6" xfId="222" xr:uid="{00000000-0005-0000-0000-0000C2000000}"/>
    <cellStyle name="40% - Accent3 7" xfId="223" xr:uid="{00000000-0005-0000-0000-0000C3000000}"/>
    <cellStyle name="40% - Accent3 8" xfId="224" xr:uid="{00000000-0005-0000-0000-0000C4000000}"/>
    <cellStyle name="40% - Accent3 9" xfId="225" xr:uid="{00000000-0005-0000-0000-0000C5000000}"/>
    <cellStyle name="40% - Accent4 10" xfId="226" xr:uid="{00000000-0005-0000-0000-0000C6000000}"/>
    <cellStyle name="40% - Accent4 11" xfId="227" xr:uid="{00000000-0005-0000-0000-0000C7000000}"/>
    <cellStyle name="40% - Accent4 12" xfId="228" xr:uid="{00000000-0005-0000-0000-0000C8000000}"/>
    <cellStyle name="40% - Accent4 13" xfId="229" xr:uid="{00000000-0005-0000-0000-0000C9000000}"/>
    <cellStyle name="40% - Accent4 14" xfId="230" xr:uid="{00000000-0005-0000-0000-0000CA000000}"/>
    <cellStyle name="40% - Accent4 15" xfId="231" xr:uid="{00000000-0005-0000-0000-0000CB000000}"/>
    <cellStyle name="40% - Accent4 16" xfId="232" xr:uid="{00000000-0005-0000-0000-0000CC000000}"/>
    <cellStyle name="40% - Accent4 17" xfId="233" xr:uid="{00000000-0005-0000-0000-0000CD000000}"/>
    <cellStyle name="40% - Accent4 18" xfId="234" xr:uid="{00000000-0005-0000-0000-0000CE000000}"/>
    <cellStyle name="40% - Accent4 19" xfId="235" xr:uid="{00000000-0005-0000-0000-0000CF000000}"/>
    <cellStyle name="40% - Accent4 2" xfId="236" xr:uid="{00000000-0005-0000-0000-0000D0000000}"/>
    <cellStyle name="40% - Accent4 20" xfId="237" xr:uid="{00000000-0005-0000-0000-0000D1000000}"/>
    <cellStyle name="40% - Accent4 21" xfId="238" xr:uid="{00000000-0005-0000-0000-0000D2000000}"/>
    <cellStyle name="40% - Accent4 22" xfId="239" xr:uid="{00000000-0005-0000-0000-0000D3000000}"/>
    <cellStyle name="40% - Accent4 23" xfId="240" xr:uid="{00000000-0005-0000-0000-0000D4000000}"/>
    <cellStyle name="40% - Accent4 3" xfId="241" xr:uid="{00000000-0005-0000-0000-0000D5000000}"/>
    <cellStyle name="40% - Accent4 4" xfId="242" xr:uid="{00000000-0005-0000-0000-0000D6000000}"/>
    <cellStyle name="40% - Accent4 5" xfId="243" xr:uid="{00000000-0005-0000-0000-0000D7000000}"/>
    <cellStyle name="40% - Accent4 6" xfId="244" xr:uid="{00000000-0005-0000-0000-0000D8000000}"/>
    <cellStyle name="40% - Accent4 7" xfId="245" xr:uid="{00000000-0005-0000-0000-0000D9000000}"/>
    <cellStyle name="40% - Accent4 8" xfId="246" xr:uid="{00000000-0005-0000-0000-0000DA000000}"/>
    <cellStyle name="40% - Accent4 9" xfId="247" xr:uid="{00000000-0005-0000-0000-0000DB000000}"/>
    <cellStyle name="40% - Accent5 10" xfId="248" xr:uid="{00000000-0005-0000-0000-0000DC000000}"/>
    <cellStyle name="40% - Accent5 11" xfId="249" xr:uid="{00000000-0005-0000-0000-0000DD000000}"/>
    <cellStyle name="40% - Accent5 12" xfId="250" xr:uid="{00000000-0005-0000-0000-0000DE000000}"/>
    <cellStyle name="40% - Accent5 13" xfId="251" xr:uid="{00000000-0005-0000-0000-0000DF000000}"/>
    <cellStyle name="40% - Accent5 14" xfId="252" xr:uid="{00000000-0005-0000-0000-0000E0000000}"/>
    <cellStyle name="40% - Accent5 15" xfId="253" xr:uid="{00000000-0005-0000-0000-0000E1000000}"/>
    <cellStyle name="40% - Accent5 16" xfId="254" xr:uid="{00000000-0005-0000-0000-0000E2000000}"/>
    <cellStyle name="40% - Accent5 17" xfId="255" xr:uid="{00000000-0005-0000-0000-0000E3000000}"/>
    <cellStyle name="40% - Accent5 18" xfId="256" xr:uid="{00000000-0005-0000-0000-0000E4000000}"/>
    <cellStyle name="40% - Accent5 19" xfId="257" xr:uid="{00000000-0005-0000-0000-0000E5000000}"/>
    <cellStyle name="40% - Accent5 2" xfId="258" xr:uid="{00000000-0005-0000-0000-0000E6000000}"/>
    <cellStyle name="40% - Accent5 20" xfId="259" xr:uid="{00000000-0005-0000-0000-0000E7000000}"/>
    <cellStyle name="40% - Accent5 21" xfId="260" xr:uid="{00000000-0005-0000-0000-0000E8000000}"/>
    <cellStyle name="40% - Accent5 22" xfId="261" xr:uid="{00000000-0005-0000-0000-0000E9000000}"/>
    <cellStyle name="40% - Accent5 23" xfId="262" xr:uid="{00000000-0005-0000-0000-0000EA000000}"/>
    <cellStyle name="40% - Accent5 3" xfId="263" xr:uid="{00000000-0005-0000-0000-0000EB000000}"/>
    <cellStyle name="40% - Accent5 4" xfId="264" xr:uid="{00000000-0005-0000-0000-0000EC000000}"/>
    <cellStyle name="40% - Accent5 5" xfId="265" xr:uid="{00000000-0005-0000-0000-0000ED000000}"/>
    <cellStyle name="40% - Accent5 6" xfId="266" xr:uid="{00000000-0005-0000-0000-0000EE000000}"/>
    <cellStyle name="40% - Accent5 7" xfId="267" xr:uid="{00000000-0005-0000-0000-0000EF000000}"/>
    <cellStyle name="40% - Accent5 8" xfId="268" xr:uid="{00000000-0005-0000-0000-0000F0000000}"/>
    <cellStyle name="40% - Accent5 9" xfId="269" xr:uid="{00000000-0005-0000-0000-0000F1000000}"/>
    <cellStyle name="40% - Accent6 10" xfId="270" xr:uid="{00000000-0005-0000-0000-0000F2000000}"/>
    <cellStyle name="40% - Accent6 11" xfId="271" xr:uid="{00000000-0005-0000-0000-0000F3000000}"/>
    <cellStyle name="40% - Accent6 12" xfId="272" xr:uid="{00000000-0005-0000-0000-0000F4000000}"/>
    <cellStyle name="40% - Accent6 13" xfId="273" xr:uid="{00000000-0005-0000-0000-0000F5000000}"/>
    <cellStyle name="40% - Accent6 14" xfId="274" xr:uid="{00000000-0005-0000-0000-0000F6000000}"/>
    <cellStyle name="40% - Accent6 15" xfId="275" xr:uid="{00000000-0005-0000-0000-0000F7000000}"/>
    <cellStyle name="40% - Accent6 16" xfId="276" xr:uid="{00000000-0005-0000-0000-0000F8000000}"/>
    <cellStyle name="40% - Accent6 17" xfId="277" xr:uid="{00000000-0005-0000-0000-0000F9000000}"/>
    <cellStyle name="40% - Accent6 18" xfId="278" xr:uid="{00000000-0005-0000-0000-0000FA000000}"/>
    <cellStyle name="40% - Accent6 19" xfId="279" xr:uid="{00000000-0005-0000-0000-0000FB000000}"/>
    <cellStyle name="40% - Accent6 2" xfId="280" xr:uid="{00000000-0005-0000-0000-0000FC000000}"/>
    <cellStyle name="40% - Accent6 20" xfId="281" xr:uid="{00000000-0005-0000-0000-0000FD000000}"/>
    <cellStyle name="40% - Accent6 21" xfId="282" xr:uid="{00000000-0005-0000-0000-0000FE000000}"/>
    <cellStyle name="40% - Accent6 22" xfId="283" xr:uid="{00000000-0005-0000-0000-0000FF000000}"/>
    <cellStyle name="40% - Accent6 23" xfId="284" xr:uid="{00000000-0005-0000-0000-000000010000}"/>
    <cellStyle name="40% - Accent6 3" xfId="285" xr:uid="{00000000-0005-0000-0000-000001010000}"/>
    <cellStyle name="40% - Accent6 4" xfId="286" xr:uid="{00000000-0005-0000-0000-000002010000}"/>
    <cellStyle name="40% - Accent6 5" xfId="287" xr:uid="{00000000-0005-0000-0000-000003010000}"/>
    <cellStyle name="40% - Accent6 6" xfId="288" xr:uid="{00000000-0005-0000-0000-000004010000}"/>
    <cellStyle name="40% - Accent6 7" xfId="289" xr:uid="{00000000-0005-0000-0000-000005010000}"/>
    <cellStyle name="40% - Accent6 8" xfId="290" xr:uid="{00000000-0005-0000-0000-000006010000}"/>
    <cellStyle name="40% - Accent6 9" xfId="291" xr:uid="{00000000-0005-0000-0000-000007010000}"/>
    <cellStyle name="60% - Accent1 10" xfId="292" xr:uid="{00000000-0005-0000-0000-000008010000}"/>
    <cellStyle name="60% - Accent1 11" xfId="293" xr:uid="{00000000-0005-0000-0000-000009010000}"/>
    <cellStyle name="60% - Accent1 12" xfId="294" xr:uid="{00000000-0005-0000-0000-00000A010000}"/>
    <cellStyle name="60% - Accent1 13" xfId="295" xr:uid="{00000000-0005-0000-0000-00000B010000}"/>
    <cellStyle name="60% - Accent1 14" xfId="296" xr:uid="{00000000-0005-0000-0000-00000C010000}"/>
    <cellStyle name="60% - Accent1 15" xfId="297" xr:uid="{00000000-0005-0000-0000-00000D010000}"/>
    <cellStyle name="60% - Accent1 16" xfId="298" xr:uid="{00000000-0005-0000-0000-00000E010000}"/>
    <cellStyle name="60% - Accent1 17" xfId="299" xr:uid="{00000000-0005-0000-0000-00000F010000}"/>
    <cellStyle name="60% - Accent1 18" xfId="300" xr:uid="{00000000-0005-0000-0000-000010010000}"/>
    <cellStyle name="60% - Accent1 19" xfId="301" xr:uid="{00000000-0005-0000-0000-000011010000}"/>
    <cellStyle name="60% - Accent1 2" xfId="302" xr:uid="{00000000-0005-0000-0000-000012010000}"/>
    <cellStyle name="60% - Accent1 20" xfId="303" xr:uid="{00000000-0005-0000-0000-000013010000}"/>
    <cellStyle name="60% - Accent1 21" xfId="304" xr:uid="{00000000-0005-0000-0000-000014010000}"/>
    <cellStyle name="60% - Accent1 22" xfId="305" xr:uid="{00000000-0005-0000-0000-000015010000}"/>
    <cellStyle name="60% - Accent1 23" xfId="306" xr:uid="{00000000-0005-0000-0000-000016010000}"/>
    <cellStyle name="60% - Accent1 3" xfId="307" xr:uid="{00000000-0005-0000-0000-000017010000}"/>
    <cellStyle name="60% - Accent1 4" xfId="308" xr:uid="{00000000-0005-0000-0000-000018010000}"/>
    <cellStyle name="60% - Accent1 5" xfId="309" xr:uid="{00000000-0005-0000-0000-000019010000}"/>
    <cellStyle name="60% - Accent1 6" xfId="310" xr:uid="{00000000-0005-0000-0000-00001A010000}"/>
    <cellStyle name="60% - Accent1 7" xfId="311" xr:uid="{00000000-0005-0000-0000-00001B010000}"/>
    <cellStyle name="60% - Accent1 8" xfId="312" xr:uid="{00000000-0005-0000-0000-00001C010000}"/>
    <cellStyle name="60% - Accent1 9" xfId="313" xr:uid="{00000000-0005-0000-0000-00001D010000}"/>
    <cellStyle name="60% - Accent2 10" xfId="314" xr:uid="{00000000-0005-0000-0000-00001E010000}"/>
    <cellStyle name="60% - Accent2 11" xfId="315" xr:uid="{00000000-0005-0000-0000-00001F010000}"/>
    <cellStyle name="60% - Accent2 12" xfId="316" xr:uid="{00000000-0005-0000-0000-000020010000}"/>
    <cellStyle name="60% - Accent2 13" xfId="317" xr:uid="{00000000-0005-0000-0000-000021010000}"/>
    <cellStyle name="60% - Accent2 14" xfId="318" xr:uid="{00000000-0005-0000-0000-000022010000}"/>
    <cellStyle name="60% - Accent2 15" xfId="319" xr:uid="{00000000-0005-0000-0000-000023010000}"/>
    <cellStyle name="60% - Accent2 16" xfId="320" xr:uid="{00000000-0005-0000-0000-000024010000}"/>
    <cellStyle name="60% - Accent2 17" xfId="321" xr:uid="{00000000-0005-0000-0000-000025010000}"/>
    <cellStyle name="60% - Accent2 18" xfId="322" xr:uid="{00000000-0005-0000-0000-000026010000}"/>
    <cellStyle name="60% - Accent2 19" xfId="323" xr:uid="{00000000-0005-0000-0000-000027010000}"/>
    <cellStyle name="60% - Accent2 2" xfId="324" xr:uid="{00000000-0005-0000-0000-000028010000}"/>
    <cellStyle name="60% - Accent2 20" xfId="325" xr:uid="{00000000-0005-0000-0000-000029010000}"/>
    <cellStyle name="60% - Accent2 21" xfId="326" xr:uid="{00000000-0005-0000-0000-00002A010000}"/>
    <cellStyle name="60% - Accent2 22" xfId="327" xr:uid="{00000000-0005-0000-0000-00002B010000}"/>
    <cellStyle name="60% - Accent2 23" xfId="328" xr:uid="{00000000-0005-0000-0000-00002C010000}"/>
    <cellStyle name="60% - Accent2 3" xfId="329" xr:uid="{00000000-0005-0000-0000-00002D010000}"/>
    <cellStyle name="60% - Accent2 4" xfId="330" xr:uid="{00000000-0005-0000-0000-00002E010000}"/>
    <cellStyle name="60% - Accent2 5" xfId="331" xr:uid="{00000000-0005-0000-0000-00002F010000}"/>
    <cellStyle name="60% - Accent2 6" xfId="332" xr:uid="{00000000-0005-0000-0000-000030010000}"/>
    <cellStyle name="60% - Accent2 7" xfId="333" xr:uid="{00000000-0005-0000-0000-000031010000}"/>
    <cellStyle name="60% - Accent2 8" xfId="334" xr:uid="{00000000-0005-0000-0000-000032010000}"/>
    <cellStyle name="60% - Accent2 9" xfId="335" xr:uid="{00000000-0005-0000-0000-000033010000}"/>
    <cellStyle name="60% - Accent3 10" xfId="336" xr:uid="{00000000-0005-0000-0000-000034010000}"/>
    <cellStyle name="60% - Accent3 11" xfId="337" xr:uid="{00000000-0005-0000-0000-000035010000}"/>
    <cellStyle name="60% - Accent3 12" xfId="338" xr:uid="{00000000-0005-0000-0000-000036010000}"/>
    <cellStyle name="60% - Accent3 13" xfId="339" xr:uid="{00000000-0005-0000-0000-000037010000}"/>
    <cellStyle name="60% - Accent3 14" xfId="340" xr:uid="{00000000-0005-0000-0000-000038010000}"/>
    <cellStyle name="60% - Accent3 15" xfId="341" xr:uid="{00000000-0005-0000-0000-000039010000}"/>
    <cellStyle name="60% - Accent3 16" xfId="342" xr:uid="{00000000-0005-0000-0000-00003A010000}"/>
    <cellStyle name="60% - Accent3 17" xfId="343" xr:uid="{00000000-0005-0000-0000-00003B010000}"/>
    <cellStyle name="60% - Accent3 18" xfId="344" xr:uid="{00000000-0005-0000-0000-00003C010000}"/>
    <cellStyle name="60% - Accent3 19" xfId="345" xr:uid="{00000000-0005-0000-0000-00003D010000}"/>
    <cellStyle name="60% - Accent3 2" xfId="346" xr:uid="{00000000-0005-0000-0000-00003E010000}"/>
    <cellStyle name="60% - Accent3 20" xfId="347" xr:uid="{00000000-0005-0000-0000-00003F010000}"/>
    <cellStyle name="60% - Accent3 21" xfId="348" xr:uid="{00000000-0005-0000-0000-000040010000}"/>
    <cellStyle name="60% - Accent3 22" xfId="349" xr:uid="{00000000-0005-0000-0000-000041010000}"/>
    <cellStyle name="60% - Accent3 23" xfId="350" xr:uid="{00000000-0005-0000-0000-000042010000}"/>
    <cellStyle name="60% - Accent3 3" xfId="351" xr:uid="{00000000-0005-0000-0000-000043010000}"/>
    <cellStyle name="60% - Accent3 4" xfId="352" xr:uid="{00000000-0005-0000-0000-000044010000}"/>
    <cellStyle name="60% - Accent3 5" xfId="353" xr:uid="{00000000-0005-0000-0000-000045010000}"/>
    <cellStyle name="60% - Accent3 6" xfId="354" xr:uid="{00000000-0005-0000-0000-000046010000}"/>
    <cellStyle name="60% - Accent3 7" xfId="355" xr:uid="{00000000-0005-0000-0000-000047010000}"/>
    <cellStyle name="60% - Accent3 8" xfId="356" xr:uid="{00000000-0005-0000-0000-000048010000}"/>
    <cellStyle name="60% - Accent3 9" xfId="357" xr:uid="{00000000-0005-0000-0000-000049010000}"/>
    <cellStyle name="60% - Accent4 10" xfId="358" xr:uid="{00000000-0005-0000-0000-00004A010000}"/>
    <cellStyle name="60% - Accent4 11" xfId="359" xr:uid="{00000000-0005-0000-0000-00004B010000}"/>
    <cellStyle name="60% - Accent4 12" xfId="360" xr:uid="{00000000-0005-0000-0000-00004C010000}"/>
    <cellStyle name="60% - Accent4 13" xfId="361" xr:uid="{00000000-0005-0000-0000-00004D010000}"/>
    <cellStyle name="60% - Accent4 14" xfId="362" xr:uid="{00000000-0005-0000-0000-00004E010000}"/>
    <cellStyle name="60% - Accent4 15" xfId="363" xr:uid="{00000000-0005-0000-0000-00004F010000}"/>
    <cellStyle name="60% - Accent4 16" xfId="364" xr:uid="{00000000-0005-0000-0000-000050010000}"/>
    <cellStyle name="60% - Accent4 17" xfId="365" xr:uid="{00000000-0005-0000-0000-000051010000}"/>
    <cellStyle name="60% - Accent4 18" xfId="366" xr:uid="{00000000-0005-0000-0000-000052010000}"/>
    <cellStyle name="60% - Accent4 19" xfId="367" xr:uid="{00000000-0005-0000-0000-000053010000}"/>
    <cellStyle name="60% - Accent4 2" xfId="368" xr:uid="{00000000-0005-0000-0000-000054010000}"/>
    <cellStyle name="60% - Accent4 20" xfId="369" xr:uid="{00000000-0005-0000-0000-000055010000}"/>
    <cellStyle name="60% - Accent4 21" xfId="370" xr:uid="{00000000-0005-0000-0000-000056010000}"/>
    <cellStyle name="60% - Accent4 22" xfId="371" xr:uid="{00000000-0005-0000-0000-000057010000}"/>
    <cellStyle name="60% - Accent4 23" xfId="372" xr:uid="{00000000-0005-0000-0000-000058010000}"/>
    <cellStyle name="60% - Accent4 3" xfId="373" xr:uid="{00000000-0005-0000-0000-000059010000}"/>
    <cellStyle name="60% - Accent4 4" xfId="374" xr:uid="{00000000-0005-0000-0000-00005A010000}"/>
    <cellStyle name="60% - Accent4 5" xfId="375" xr:uid="{00000000-0005-0000-0000-00005B010000}"/>
    <cellStyle name="60% - Accent4 6" xfId="376" xr:uid="{00000000-0005-0000-0000-00005C010000}"/>
    <cellStyle name="60% - Accent4 7" xfId="377" xr:uid="{00000000-0005-0000-0000-00005D010000}"/>
    <cellStyle name="60% - Accent4 8" xfId="378" xr:uid="{00000000-0005-0000-0000-00005E010000}"/>
    <cellStyle name="60% - Accent4 9" xfId="379" xr:uid="{00000000-0005-0000-0000-00005F010000}"/>
    <cellStyle name="60% - Accent5 10" xfId="380" xr:uid="{00000000-0005-0000-0000-000060010000}"/>
    <cellStyle name="60% - Accent5 11" xfId="381" xr:uid="{00000000-0005-0000-0000-000061010000}"/>
    <cellStyle name="60% - Accent5 12" xfId="382" xr:uid="{00000000-0005-0000-0000-000062010000}"/>
    <cellStyle name="60% - Accent5 13" xfId="383" xr:uid="{00000000-0005-0000-0000-000063010000}"/>
    <cellStyle name="60% - Accent5 14" xfId="384" xr:uid="{00000000-0005-0000-0000-000064010000}"/>
    <cellStyle name="60% - Accent5 15" xfId="385" xr:uid="{00000000-0005-0000-0000-000065010000}"/>
    <cellStyle name="60% - Accent5 16" xfId="386" xr:uid="{00000000-0005-0000-0000-000066010000}"/>
    <cellStyle name="60% - Accent5 17" xfId="387" xr:uid="{00000000-0005-0000-0000-000067010000}"/>
    <cellStyle name="60% - Accent5 18" xfId="388" xr:uid="{00000000-0005-0000-0000-000068010000}"/>
    <cellStyle name="60% - Accent5 19" xfId="389" xr:uid="{00000000-0005-0000-0000-000069010000}"/>
    <cellStyle name="60% - Accent5 2" xfId="390" xr:uid="{00000000-0005-0000-0000-00006A010000}"/>
    <cellStyle name="60% - Accent5 20" xfId="391" xr:uid="{00000000-0005-0000-0000-00006B010000}"/>
    <cellStyle name="60% - Accent5 21" xfId="392" xr:uid="{00000000-0005-0000-0000-00006C010000}"/>
    <cellStyle name="60% - Accent5 22" xfId="393" xr:uid="{00000000-0005-0000-0000-00006D010000}"/>
    <cellStyle name="60% - Accent5 23" xfId="394" xr:uid="{00000000-0005-0000-0000-00006E010000}"/>
    <cellStyle name="60% - Accent5 3" xfId="395" xr:uid="{00000000-0005-0000-0000-00006F010000}"/>
    <cellStyle name="60% - Accent5 4" xfId="396" xr:uid="{00000000-0005-0000-0000-000070010000}"/>
    <cellStyle name="60% - Accent5 5" xfId="397" xr:uid="{00000000-0005-0000-0000-000071010000}"/>
    <cellStyle name="60% - Accent5 6" xfId="398" xr:uid="{00000000-0005-0000-0000-000072010000}"/>
    <cellStyle name="60% - Accent5 7" xfId="399" xr:uid="{00000000-0005-0000-0000-000073010000}"/>
    <cellStyle name="60% - Accent5 8" xfId="400" xr:uid="{00000000-0005-0000-0000-000074010000}"/>
    <cellStyle name="60% - Accent5 9" xfId="401" xr:uid="{00000000-0005-0000-0000-000075010000}"/>
    <cellStyle name="60% - Accent6 10" xfId="402" xr:uid="{00000000-0005-0000-0000-000076010000}"/>
    <cellStyle name="60% - Accent6 11" xfId="403" xr:uid="{00000000-0005-0000-0000-000077010000}"/>
    <cellStyle name="60% - Accent6 12" xfId="404" xr:uid="{00000000-0005-0000-0000-000078010000}"/>
    <cellStyle name="60% - Accent6 13" xfId="405" xr:uid="{00000000-0005-0000-0000-000079010000}"/>
    <cellStyle name="60% - Accent6 14" xfId="406" xr:uid="{00000000-0005-0000-0000-00007A010000}"/>
    <cellStyle name="60% - Accent6 15" xfId="407" xr:uid="{00000000-0005-0000-0000-00007B010000}"/>
    <cellStyle name="60% - Accent6 16" xfId="408" xr:uid="{00000000-0005-0000-0000-00007C010000}"/>
    <cellStyle name="60% - Accent6 17" xfId="409" xr:uid="{00000000-0005-0000-0000-00007D010000}"/>
    <cellStyle name="60% - Accent6 18" xfId="410" xr:uid="{00000000-0005-0000-0000-00007E010000}"/>
    <cellStyle name="60% - Accent6 19" xfId="411" xr:uid="{00000000-0005-0000-0000-00007F010000}"/>
    <cellStyle name="60% - Accent6 2" xfId="412" xr:uid="{00000000-0005-0000-0000-000080010000}"/>
    <cellStyle name="60% - Accent6 20" xfId="413" xr:uid="{00000000-0005-0000-0000-000081010000}"/>
    <cellStyle name="60% - Accent6 21" xfId="414" xr:uid="{00000000-0005-0000-0000-000082010000}"/>
    <cellStyle name="60% - Accent6 22" xfId="415" xr:uid="{00000000-0005-0000-0000-000083010000}"/>
    <cellStyle name="60% - Accent6 23" xfId="416" xr:uid="{00000000-0005-0000-0000-000084010000}"/>
    <cellStyle name="60% - Accent6 3" xfId="417" xr:uid="{00000000-0005-0000-0000-000085010000}"/>
    <cellStyle name="60% - Accent6 4" xfId="418" xr:uid="{00000000-0005-0000-0000-000086010000}"/>
    <cellStyle name="60% - Accent6 5" xfId="419" xr:uid="{00000000-0005-0000-0000-000087010000}"/>
    <cellStyle name="60% - Accent6 6" xfId="420" xr:uid="{00000000-0005-0000-0000-000088010000}"/>
    <cellStyle name="60% - Accent6 7" xfId="421" xr:uid="{00000000-0005-0000-0000-000089010000}"/>
    <cellStyle name="60% - Accent6 8" xfId="422" xr:uid="{00000000-0005-0000-0000-00008A010000}"/>
    <cellStyle name="60% - Accent6 9" xfId="423" xr:uid="{00000000-0005-0000-0000-00008B010000}"/>
    <cellStyle name="Accent1 10" xfId="424" xr:uid="{00000000-0005-0000-0000-00008C010000}"/>
    <cellStyle name="Accent1 11" xfId="425" xr:uid="{00000000-0005-0000-0000-00008D010000}"/>
    <cellStyle name="Accent1 12" xfId="426" xr:uid="{00000000-0005-0000-0000-00008E010000}"/>
    <cellStyle name="Accent1 13" xfId="427" xr:uid="{00000000-0005-0000-0000-00008F010000}"/>
    <cellStyle name="Accent1 14" xfId="428" xr:uid="{00000000-0005-0000-0000-000090010000}"/>
    <cellStyle name="Accent1 15" xfId="429" xr:uid="{00000000-0005-0000-0000-000091010000}"/>
    <cellStyle name="Accent1 16" xfId="430" xr:uid="{00000000-0005-0000-0000-000092010000}"/>
    <cellStyle name="Accent1 17" xfId="431" xr:uid="{00000000-0005-0000-0000-000093010000}"/>
    <cellStyle name="Accent1 18" xfId="432" xr:uid="{00000000-0005-0000-0000-000094010000}"/>
    <cellStyle name="Accent1 19" xfId="433" xr:uid="{00000000-0005-0000-0000-000095010000}"/>
    <cellStyle name="Accent1 2" xfId="434" xr:uid="{00000000-0005-0000-0000-000096010000}"/>
    <cellStyle name="Accent1 20" xfId="435" xr:uid="{00000000-0005-0000-0000-000097010000}"/>
    <cellStyle name="Accent1 21" xfId="436" xr:uid="{00000000-0005-0000-0000-000098010000}"/>
    <cellStyle name="Accent1 22" xfId="437" xr:uid="{00000000-0005-0000-0000-000099010000}"/>
    <cellStyle name="Accent1 23" xfId="438" xr:uid="{00000000-0005-0000-0000-00009A010000}"/>
    <cellStyle name="Accent1 3" xfId="439" xr:uid="{00000000-0005-0000-0000-00009B010000}"/>
    <cellStyle name="Accent1 4" xfId="440" xr:uid="{00000000-0005-0000-0000-00009C010000}"/>
    <cellStyle name="Accent1 5" xfId="441" xr:uid="{00000000-0005-0000-0000-00009D010000}"/>
    <cellStyle name="Accent1 6" xfId="442" xr:uid="{00000000-0005-0000-0000-00009E010000}"/>
    <cellStyle name="Accent1 7" xfId="443" xr:uid="{00000000-0005-0000-0000-00009F010000}"/>
    <cellStyle name="Accent1 8" xfId="444" xr:uid="{00000000-0005-0000-0000-0000A0010000}"/>
    <cellStyle name="Accent1 9" xfId="445" xr:uid="{00000000-0005-0000-0000-0000A1010000}"/>
    <cellStyle name="Accent2 10" xfId="446" xr:uid="{00000000-0005-0000-0000-0000A2010000}"/>
    <cellStyle name="Accent2 11" xfId="447" xr:uid="{00000000-0005-0000-0000-0000A3010000}"/>
    <cellStyle name="Accent2 12" xfId="448" xr:uid="{00000000-0005-0000-0000-0000A4010000}"/>
    <cellStyle name="Accent2 13" xfId="449" xr:uid="{00000000-0005-0000-0000-0000A5010000}"/>
    <cellStyle name="Accent2 14" xfId="450" xr:uid="{00000000-0005-0000-0000-0000A6010000}"/>
    <cellStyle name="Accent2 15" xfId="451" xr:uid="{00000000-0005-0000-0000-0000A7010000}"/>
    <cellStyle name="Accent2 16" xfId="452" xr:uid="{00000000-0005-0000-0000-0000A8010000}"/>
    <cellStyle name="Accent2 17" xfId="453" xr:uid="{00000000-0005-0000-0000-0000A9010000}"/>
    <cellStyle name="Accent2 18" xfId="454" xr:uid="{00000000-0005-0000-0000-0000AA010000}"/>
    <cellStyle name="Accent2 19" xfId="455" xr:uid="{00000000-0005-0000-0000-0000AB010000}"/>
    <cellStyle name="Accent2 2" xfId="456" xr:uid="{00000000-0005-0000-0000-0000AC010000}"/>
    <cellStyle name="Accent2 20" xfId="457" xr:uid="{00000000-0005-0000-0000-0000AD010000}"/>
    <cellStyle name="Accent2 21" xfId="458" xr:uid="{00000000-0005-0000-0000-0000AE010000}"/>
    <cellStyle name="Accent2 22" xfId="459" xr:uid="{00000000-0005-0000-0000-0000AF010000}"/>
    <cellStyle name="Accent2 23" xfId="460" xr:uid="{00000000-0005-0000-0000-0000B0010000}"/>
    <cellStyle name="Accent2 3" xfId="461" xr:uid="{00000000-0005-0000-0000-0000B1010000}"/>
    <cellStyle name="Accent2 4" xfId="462" xr:uid="{00000000-0005-0000-0000-0000B2010000}"/>
    <cellStyle name="Accent2 5" xfId="463" xr:uid="{00000000-0005-0000-0000-0000B3010000}"/>
    <cellStyle name="Accent2 6" xfId="464" xr:uid="{00000000-0005-0000-0000-0000B4010000}"/>
    <cellStyle name="Accent2 7" xfId="465" xr:uid="{00000000-0005-0000-0000-0000B5010000}"/>
    <cellStyle name="Accent2 8" xfId="466" xr:uid="{00000000-0005-0000-0000-0000B6010000}"/>
    <cellStyle name="Accent2 9" xfId="467" xr:uid="{00000000-0005-0000-0000-0000B7010000}"/>
    <cellStyle name="Accent3 10" xfId="468" xr:uid="{00000000-0005-0000-0000-0000B8010000}"/>
    <cellStyle name="Accent3 11" xfId="469" xr:uid="{00000000-0005-0000-0000-0000B9010000}"/>
    <cellStyle name="Accent3 12" xfId="470" xr:uid="{00000000-0005-0000-0000-0000BA010000}"/>
    <cellStyle name="Accent3 13" xfId="471" xr:uid="{00000000-0005-0000-0000-0000BB010000}"/>
    <cellStyle name="Accent3 14" xfId="472" xr:uid="{00000000-0005-0000-0000-0000BC010000}"/>
    <cellStyle name="Accent3 15" xfId="473" xr:uid="{00000000-0005-0000-0000-0000BD010000}"/>
    <cellStyle name="Accent3 16" xfId="474" xr:uid="{00000000-0005-0000-0000-0000BE010000}"/>
    <cellStyle name="Accent3 17" xfId="475" xr:uid="{00000000-0005-0000-0000-0000BF010000}"/>
    <cellStyle name="Accent3 18" xfId="476" xr:uid="{00000000-0005-0000-0000-0000C0010000}"/>
    <cellStyle name="Accent3 19" xfId="477" xr:uid="{00000000-0005-0000-0000-0000C1010000}"/>
    <cellStyle name="Accent3 2" xfId="478" xr:uid="{00000000-0005-0000-0000-0000C2010000}"/>
    <cellStyle name="Accent3 20" xfId="479" xr:uid="{00000000-0005-0000-0000-0000C3010000}"/>
    <cellStyle name="Accent3 21" xfId="480" xr:uid="{00000000-0005-0000-0000-0000C4010000}"/>
    <cellStyle name="Accent3 22" xfId="481" xr:uid="{00000000-0005-0000-0000-0000C5010000}"/>
    <cellStyle name="Accent3 23" xfId="482" xr:uid="{00000000-0005-0000-0000-0000C6010000}"/>
    <cellStyle name="Accent3 3" xfId="483" xr:uid="{00000000-0005-0000-0000-0000C7010000}"/>
    <cellStyle name="Accent3 4" xfId="484" xr:uid="{00000000-0005-0000-0000-0000C8010000}"/>
    <cellStyle name="Accent3 5" xfId="485" xr:uid="{00000000-0005-0000-0000-0000C9010000}"/>
    <cellStyle name="Accent3 6" xfId="486" xr:uid="{00000000-0005-0000-0000-0000CA010000}"/>
    <cellStyle name="Accent3 7" xfId="487" xr:uid="{00000000-0005-0000-0000-0000CB010000}"/>
    <cellStyle name="Accent3 8" xfId="488" xr:uid="{00000000-0005-0000-0000-0000CC010000}"/>
    <cellStyle name="Accent3 9" xfId="489" xr:uid="{00000000-0005-0000-0000-0000CD010000}"/>
    <cellStyle name="Accent4 10" xfId="490" xr:uid="{00000000-0005-0000-0000-0000CE010000}"/>
    <cellStyle name="Accent4 11" xfId="491" xr:uid="{00000000-0005-0000-0000-0000CF010000}"/>
    <cellStyle name="Accent4 12" xfId="492" xr:uid="{00000000-0005-0000-0000-0000D0010000}"/>
    <cellStyle name="Accent4 13" xfId="493" xr:uid="{00000000-0005-0000-0000-0000D1010000}"/>
    <cellStyle name="Accent4 14" xfId="494" xr:uid="{00000000-0005-0000-0000-0000D2010000}"/>
    <cellStyle name="Accent4 15" xfId="495" xr:uid="{00000000-0005-0000-0000-0000D3010000}"/>
    <cellStyle name="Accent4 16" xfId="496" xr:uid="{00000000-0005-0000-0000-0000D4010000}"/>
    <cellStyle name="Accent4 17" xfId="497" xr:uid="{00000000-0005-0000-0000-0000D5010000}"/>
    <cellStyle name="Accent4 18" xfId="498" xr:uid="{00000000-0005-0000-0000-0000D6010000}"/>
    <cellStyle name="Accent4 19" xfId="499" xr:uid="{00000000-0005-0000-0000-0000D7010000}"/>
    <cellStyle name="Accent4 2" xfId="500" xr:uid="{00000000-0005-0000-0000-0000D8010000}"/>
    <cellStyle name="Accent4 20" xfId="501" xr:uid="{00000000-0005-0000-0000-0000D9010000}"/>
    <cellStyle name="Accent4 21" xfId="502" xr:uid="{00000000-0005-0000-0000-0000DA010000}"/>
    <cellStyle name="Accent4 22" xfId="503" xr:uid="{00000000-0005-0000-0000-0000DB010000}"/>
    <cellStyle name="Accent4 23" xfId="504" xr:uid="{00000000-0005-0000-0000-0000DC010000}"/>
    <cellStyle name="Accent4 3" xfId="505" xr:uid="{00000000-0005-0000-0000-0000DD010000}"/>
    <cellStyle name="Accent4 4" xfId="506" xr:uid="{00000000-0005-0000-0000-0000DE010000}"/>
    <cellStyle name="Accent4 5" xfId="507" xr:uid="{00000000-0005-0000-0000-0000DF010000}"/>
    <cellStyle name="Accent4 6" xfId="508" xr:uid="{00000000-0005-0000-0000-0000E0010000}"/>
    <cellStyle name="Accent4 7" xfId="509" xr:uid="{00000000-0005-0000-0000-0000E1010000}"/>
    <cellStyle name="Accent4 8" xfId="510" xr:uid="{00000000-0005-0000-0000-0000E2010000}"/>
    <cellStyle name="Accent4 9" xfId="511" xr:uid="{00000000-0005-0000-0000-0000E3010000}"/>
    <cellStyle name="Accent5 10" xfId="512" xr:uid="{00000000-0005-0000-0000-0000E4010000}"/>
    <cellStyle name="Accent5 11" xfId="513" xr:uid="{00000000-0005-0000-0000-0000E5010000}"/>
    <cellStyle name="Accent5 12" xfId="514" xr:uid="{00000000-0005-0000-0000-0000E6010000}"/>
    <cellStyle name="Accent5 13" xfId="515" xr:uid="{00000000-0005-0000-0000-0000E7010000}"/>
    <cellStyle name="Accent5 14" xfId="516" xr:uid="{00000000-0005-0000-0000-0000E8010000}"/>
    <cellStyle name="Accent5 15" xfId="517" xr:uid="{00000000-0005-0000-0000-0000E9010000}"/>
    <cellStyle name="Accent5 16" xfId="518" xr:uid="{00000000-0005-0000-0000-0000EA010000}"/>
    <cellStyle name="Accent5 17" xfId="519" xr:uid="{00000000-0005-0000-0000-0000EB010000}"/>
    <cellStyle name="Accent5 18" xfId="520" xr:uid="{00000000-0005-0000-0000-0000EC010000}"/>
    <cellStyle name="Accent5 19" xfId="521" xr:uid="{00000000-0005-0000-0000-0000ED010000}"/>
    <cellStyle name="Accent5 2" xfId="522" xr:uid="{00000000-0005-0000-0000-0000EE010000}"/>
    <cellStyle name="Accent5 20" xfId="523" xr:uid="{00000000-0005-0000-0000-0000EF010000}"/>
    <cellStyle name="Accent5 21" xfId="524" xr:uid="{00000000-0005-0000-0000-0000F0010000}"/>
    <cellStyle name="Accent5 22" xfId="525" xr:uid="{00000000-0005-0000-0000-0000F1010000}"/>
    <cellStyle name="Accent5 23" xfId="526" xr:uid="{00000000-0005-0000-0000-0000F2010000}"/>
    <cellStyle name="Accent5 3" xfId="527" xr:uid="{00000000-0005-0000-0000-0000F3010000}"/>
    <cellStyle name="Accent5 4" xfId="528" xr:uid="{00000000-0005-0000-0000-0000F4010000}"/>
    <cellStyle name="Accent5 5" xfId="529" xr:uid="{00000000-0005-0000-0000-0000F5010000}"/>
    <cellStyle name="Accent5 6" xfId="530" xr:uid="{00000000-0005-0000-0000-0000F6010000}"/>
    <cellStyle name="Accent5 7" xfId="531" xr:uid="{00000000-0005-0000-0000-0000F7010000}"/>
    <cellStyle name="Accent5 8" xfId="532" xr:uid="{00000000-0005-0000-0000-0000F8010000}"/>
    <cellStyle name="Accent5 9" xfId="533" xr:uid="{00000000-0005-0000-0000-0000F9010000}"/>
    <cellStyle name="Accent6 10" xfId="534" xr:uid="{00000000-0005-0000-0000-0000FA010000}"/>
    <cellStyle name="Accent6 11" xfId="535" xr:uid="{00000000-0005-0000-0000-0000FB010000}"/>
    <cellStyle name="Accent6 12" xfId="536" xr:uid="{00000000-0005-0000-0000-0000FC010000}"/>
    <cellStyle name="Accent6 13" xfId="537" xr:uid="{00000000-0005-0000-0000-0000FD010000}"/>
    <cellStyle name="Accent6 14" xfId="538" xr:uid="{00000000-0005-0000-0000-0000FE010000}"/>
    <cellStyle name="Accent6 15" xfId="539" xr:uid="{00000000-0005-0000-0000-0000FF010000}"/>
    <cellStyle name="Accent6 16" xfId="540" xr:uid="{00000000-0005-0000-0000-000000020000}"/>
    <cellStyle name="Accent6 17" xfId="541" xr:uid="{00000000-0005-0000-0000-000001020000}"/>
    <cellStyle name="Accent6 18" xfId="542" xr:uid="{00000000-0005-0000-0000-000002020000}"/>
    <cellStyle name="Accent6 19" xfId="543" xr:uid="{00000000-0005-0000-0000-000003020000}"/>
    <cellStyle name="Accent6 2" xfId="544" xr:uid="{00000000-0005-0000-0000-000004020000}"/>
    <cellStyle name="Accent6 20" xfId="545" xr:uid="{00000000-0005-0000-0000-000005020000}"/>
    <cellStyle name="Accent6 21" xfId="546" xr:uid="{00000000-0005-0000-0000-000006020000}"/>
    <cellStyle name="Accent6 22" xfId="547" xr:uid="{00000000-0005-0000-0000-000007020000}"/>
    <cellStyle name="Accent6 23" xfId="548" xr:uid="{00000000-0005-0000-0000-000008020000}"/>
    <cellStyle name="Accent6 3" xfId="549" xr:uid="{00000000-0005-0000-0000-000009020000}"/>
    <cellStyle name="Accent6 4" xfId="550" xr:uid="{00000000-0005-0000-0000-00000A020000}"/>
    <cellStyle name="Accent6 5" xfId="551" xr:uid="{00000000-0005-0000-0000-00000B020000}"/>
    <cellStyle name="Accent6 6" xfId="552" xr:uid="{00000000-0005-0000-0000-00000C020000}"/>
    <cellStyle name="Accent6 7" xfId="553" xr:uid="{00000000-0005-0000-0000-00000D020000}"/>
    <cellStyle name="Accent6 8" xfId="554" xr:uid="{00000000-0005-0000-0000-00000E020000}"/>
    <cellStyle name="Accent6 9" xfId="555" xr:uid="{00000000-0005-0000-0000-00000F020000}"/>
    <cellStyle name="Bad 10" xfId="556" xr:uid="{00000000-0005-0000-0000-000010020000}"/>
    <cellStyle name="Bad 11" xfId="557" xr:uid="{00000000-0005-0000-0000-000011020000}"/>
    <cellStyle name="Bad 12" xfId="558" xr:uid="{00000000-0005-0000-0000-000012020000}"/>
    <cellStyle name="Bad 13" xfId="559" xr:uid="{00000000-0005-0000-0000-000013020000}"/>
    <cellStyle name="Bad 14" xfId="560" xr:uid="{00000000-0005-0000-0000-000014020000}"/>
    <cellStyle name="Bad 15" xfId="561" xr:uid="{00000000-0005-0000-0000-000015020000}"/>
    <cellStyle name="Bad 16" xfId="562" xr:uid="{00000000-0005-0000-0000-000016020000}"/>
    <cellStyle name="Bad 17" xfId="563" xr:uid="{00000000-0005-0000-0000-000017020000}"/>
    <cellStyle name="Bad 18" xfId="564" xr:uid="{00000000-0005-0000-0000-000018020000}"/>
    <cellStyle name="Bad 19" xfId="565" xr:uid="{00000000-0005-0000-0000-000019020000}"/>
    <cellStyle name="Bad 2" xfId="566" xr:uid="{00000000-0005-0000-0000-00001A020000}"/>
    <cellStyle name="Bad 20" xfId="567" xr:uid="{00000000-0005-0000-0000-00001B020000}"/>
    <cellStyle name="Bad 21" xfId="568" xr:uid="{00000000-0005-0000-0000-00001C020000}"/>
    <cellStyle name="Bad 22" xfId="569" xr:uid="{00000000-0005-0000-0000-00001D020000}"/>
    <cellStyle name="Bad 23" xfId="570" xr:uid="{00000000-0005-0000-0000-00001E020000}"/>
    <cellStyle name="Bad 3" xfId="571" xr:uid="{00000000-0005-0000-0000-00001F020000}"/>
    <cellStyle name="Bad 4" xfId="572" xr:uid="{00000000-0005-0000-0000-000020020000}"/>
    <cellStyle name="Bad 5" xfId="573" xr:uid="{00000000-0005-0000-0000-000021020000}"/>
    <cellStyle name="Bad 6" xfId="574" xr:uid="{00000000-0005-0000-0000-000022020000}"/>
    <cellStyle name="Bad 7" xfId="575" xr:uid="{00000000-0005-0000-0000-000023020000}"/>
    <cellStyle name="Bad 8" xfId="576" xr:uid="{00000000-0005-0000-0000-000024020000}"/>
    <cellStyle name="Bad 9" xfId="577" xr:uid="{00000000-0005-0000-0000-000025020000}"/>
    <cellStyle name="Calculation 10" xfId="578" xr:uid="{00000000-0005-0000-0000-000026020000}"/>
    <cellStyle name="Calculation 11" xfId="579" xr:uid="{00000000-0005-0000-0000-000027020000}"/>
    <cellStyle name="Calculation 12" xfId="580" xr:uid="{00000000-0005-0000-0000-000028020000}"/>
    <cellStyle name="Calculation 13" xfId="581" xr:uid="{00000000-0005-0000-0000-000029020000}"/>
    <cellStyle name="Calculation 14" xfId="582" xr:uid="{00000000-0005-0000-0000-00002A020000}"/>
    <cellStyle name="Calculation 15" xfId="583" xr:uid="{00000000-0005-0000-0000-00002B020000}"/>
    <cellStyle name="Calculation 16" xfId="584" xr:uid="{00000000-0005-0000-0000-00002C020000}"/>
    <cellStyle name="Calculation 17" xfId="585" xr:uid="{00000000-0005-0000-0000-00002D020000}"/>
    <cellStyle name="Calculation 18" xfId="586" xr:uid="{00000000-0005-0000-0000-00002E020000}"/>
    <cellStyle name="Calculation 19" xfId="587" xr:uid="{00000000-0005-0000-0000-00002F020000}"/>
    <cellStyle name="Calculation 2" xfId="588" xr:uid="{00000000-0005-0000-0000-000030020000}"/>
    <cellStyle name="Calculation 20" xfId="589" xr:uid="{00000000-0005-0000-0000-000031020000}"/>
    <cellStyle name="Calculation 21" xfId="590" xr:uid="{00000000-0005-0000-0000-000032020000}"/>
    <cellStyle name="Calculation 22" xfId="591" xr:uid="{00000000-0005-0000-0000-000033020000}"/>
    <cellStyle name="Calculation 23" xfId="592" xr:uid="{00000000-0005-0000-0000-000034020000}"/>
    <cellStyle name="Calculation 3" xfId="593" xr:uid="{00000000-0005-0000-0000-000035020000}"/>
    <cellStyle name="Calculation 4" xfId="594" xr:uid="{00000000-0005-0000-0000-000036020000}"/>
    <cellStyle name="Calculation 5" xfId="595" xr:uid="{00000000-0005-0000-0000-000037020000}"/>
    <cellStyle name="Calculation 6" xfId="596" xr:uid="{00000000-0005-0000-0000-000038020000}"/>
    <cellStyle name="Calculation 7" xfId="597" xr:uid="{00000000-0005-0000-0000-000039020000}"/>
    <cellStyle name="Calculation 8" xfId="598" xr:uid="{00000000-0005-0000-0000-00003A020000}"/>
    <cellStyle name="Calculation 9" xfId="599" xr:uid="{00000000-0005-0000-0000-00003B020000}"/>
    <cellStyle name="Check Cell 10" xfId="600" xr:uid="{00000000-0005-0000-0000-00003C020000}"/>
    <cellStyle name="Check Cell 11" xfId="601" xr:uid="{00000000-0005-0000-0000-00003D020000}"/>
    <cellStyle name="Check Cell 12" xfId="602" xr:uid="{00000000-0005-0000-0000-00003E020000}"/>
    <cellStyle name="Check Cell 13" xfId="603" xr:uid="{00000000-0005-0000-0000-00003F020000}"/>
    <cellStyle name="Check Cell 14" xfId="604" xr:uid="{00000000-0005-0000-0000-000040020000}"/>
    <cellStyle name="Check Cell 15" xfId="605" xr:uid="{00000000-0005-0000-0000-000041020000}"/>
    <cellStyle name="Check Cell 16" xfId="606" xr:uid="{00000000-0005-0000-0000-000042020000}"/>
    <cellStyle name="Check Cell 17" xfId="607" xr:uid="{00000000-0005-0000-0000-000043020000}"/>
    <cellStyle name="Check Cell 18" xfId="608" xr:uid="{00000000-0005-0000-0000-000044020000}"/>
    <cellStyle name="Check Cell 19" xfId="609" xr:uid="{00000000-0005-0000-0000-000045020000}"/>
    <cellStyle name="Check Cell 2" xfId="610" xr:uid="{00000000-0005-0000-0000-000046020000}"/>
    <cellStyle name="Check Cell 20" xfId="611" xr:uid="{00000000-0005-0000-0000-000047020000}"/>
    <cellStyle name="Check Cell 21" xfId="612" xr:uid="{00000000-0005-0000-0000-000048020000}"/>
    <cellStyle name="Check Cell 22" xfId="613" xr:uid="{00000000-0005-0000-0000-000049020000}"/>
    <cellStyle name="Check Cell 23" xfId="614" xr:uid="{00000000-0005-0000-0000-00004A020000}"/>
    <cellStyle name="Check Cell 3" xfId="615" xr:uid="{00000000-0005-0000-0000-00004B020000}"/>
    <cellStyle name="Check Cell 4" xfId="616" xr:uid="{00000000-0005-0000-0000-00004C020000}"/>
    <cellStyle name="Check Cell 5" xfId="617" xr:uid="{00000000-0005-0000-0000-00004D020000}"/>
    <cellStyle name="Check Cell 6" xfId="618" xr:uid="{00000000-0005-0000-0000-00004E020000}"/>
    <cellStyle name="Check Cell 7" xfId="619" xr:uid="{00000000-0005-0000-0000-00004F020000}"/>
    <cellStyle name="Check Cell 8" xfId="620" xr:uid="{00000000-0005-0000-0000-000050020000}"/>
    <cellStyle name="Check Cell 9" xfId="621" xr:uid="{00000000-0005-0000-0000-000051020000}"/>
    <cellStyle name="Comma 22" xfId="622" xr:uid="{00000000-0005-0000-0000-000052020000}"/>
    <cellStyle name="Comma 22 2" xfId="623" xr:uid="{00000000-0005-0000-0000-000053020000}"/>
    <cellStyle name="Comma 22 2 2" xfId="624" xr:uid="{00000000-0005-0000-0000-000054020000}"/>
    <cellStyle name="Comma 22 3" xfId="625" xr:uid="{00000000-0005-0000-0000-000055020000}"/>
    <cellStyle name="Comma 22 3 2" xfId="626" xr:uid="{00000000-0005-0000-0000-000056020000}"/>
    <cellStyle name="Explanatory Text 10" xfId="627" xr:uid="{00000000-0005-0000-0000-000057020000}"/>
    <cellStyle name="Explanatory Text 11" xfId="628" xr:uid="{00000000-0005-0000-0000-000058020000}"/>
    <cellStyle name="Explanatory Text 12" xfId="629" xr:uid="{00000000-0005-0000-0000-000059020000}"/>
    <cellStyle name="Explanatory Text 13" xfId="630" xr:uid="{00000000-0005-0000-0000-00005A020000}"/>
    <cellStyle name="Explanatory Text 14" xfId="631" xr:uid="{00000000-0005-0000-0000-00005B020000}"/>
    <cellStyle name="Explanatory Text 15" xfId="632" xr:uid="{00000000-0005-0000-0000-00005C020000}"/>
    <cellStyle name="Explanatory Text 16" xfId="633" xr:uid="{00000000-0005-0000-0000-00005D020000}"/>
    <cellStyle name="Explanatory Text 17" xfId="634" xr:uid="{00000000-0005-0000-0000-00005E020000}"/>
    <cellStyle name="Explanatory Text 18" xfId="635" xr:uid="{00000000-0005-0000-0000-00005F020000}"/>
    <cellStyle name="Explanatory Text 19" xfId="636" xr:uid="{00000000-0005-0000-0000-000060020000}"/>
    <cellStyle name="Explanatory Text 2" xfId="637" xr:uid="{00000000-0005-0000-0000-000061020000}"/>
    <cellStyle name="Explanatory Text 20" xfId="638" xr:uid="{00000000-0005-0000-0000-000062020000}"/>
    <cellStyle name="Explanatory Text 21" xfId="639" xr:uid="{00000000-0005-0000-0000-000063020000}"/>
    <cellStyle name="Explanatory Text 22" xfId="640" xr:uid="{00000000-0005-0000-0000-000064020000}"/>
    <cellStyle name="Explanatory Text 23" xfId="641" xr:uid="{00000000-0005-0000-0000-000065020000}"/>
    <cellStyle name="Explanatory Text 3" xfId="642" xr:uid="{00000000-0005-0000-0000-000066020000}"/>
    <cellStyle name="Explanatory Text 4" xfId="643" xr:uid="{00000000-0005-0000-0000-000067020000}"/>
    <cellStyle name="Explanatory Text 5" xfId="644" xr:uid="{00000000-0005-0000-0000-000068020000}"/>
    <cellStyle name="Explanatory Text 6" xfId="645" xr:uid="{00000000-0005-0000-0000-000069020000}"/>
    <cellStyle name="Explanatory Text 7" xfId="646" xr:uid="{00000000-0005-0000-0000-00006A020000}"/>
    <cellStyle name="Explanatory Text 8" xfId="647" xr:uid="{00000000-0005-0000-0000-00006B020000}"/>
    <cellStyle name="Explanatory Text 9" xfId="648" xr:uid="{00000000-0005-0000-0000-00006C020000}"/>
    <cellStyle name="Good 10" xfId="649" xr:uid="{00000000-0005-0000-0000-00006D020000}"/>
    <cellStyle name="Good 11" xfId="650" xr:uid="{00000000-0005-0000-0000-00006E020000}"/>
    <cellStyle name="Good 12" xfId="651" xr:uid="{00000000-0005-0000-0000-00006F020000}"/>
    <cellStyle name="Good 13" xfId="652" xr:uid="{00000000-0005-0000-0000-000070020000}"/>
    <cellStyle name="Good 14" xfId="653" xr:uid="{00000000-0005-0000-0000-000071020000}"/>
    <cellStyle name="Good 15" xfId="654" xr:uid="{00000000-0005-0000-0000-000072020000}"/>
    <cellStyle name="Good 16" xfId="655" xr:uid="{00000000-0005-0000-0000-000073020000}"/>
    <cellStyle name="Good 17" xfId="656" xr:uid="{00000000-0005-0000-0000-000074020000}"/>
    <cellStyle name="Good 18" xfId="657" xr:uid="{00000000-0005-0000-0000-000075020000}"/>
    <cellStyle name="Good 19" xfId="658" xr:uid="{00000000-0005-0000-0000-000076020000}"/>
    <cellStyle name="Good 2" xfId="659" xr:uid="{00000000-0005-0000-0000-000077020000}"/>
    <cellStyle name="Good 20" xfId="660" xr:uid="{00000000-0005-0000-0000-000078020000}"/>
    <cellStyle name="Good 21" xfId="661" xr:uid="{00000000-0005-0000-0000-000079020000}"/>
    <cellStyle name="Good 22" xfId="662" xr:uid="{00000000-0005-0000-0000-00007A020000}"/>
    <cellStyle name="Good 23" xfId="663" xr:uid="{00000000-0005-0000-0000-00007B020000}"/>
    <cellStyle name="Good 3" xfId="664" xr:uid="{00000000-0005-0000-0000-00007C020000}"/>
    <cellStyle name="Good 4" xfId="665" xr:uid="{00000000-0005-0000-0000-00007D020000}"/>
    <cellStyle name="Good 5" xfId="666" xr:uid="{00000000-0005-0000-0000-00007E020000}"/>
    <cellStyle name="Good 6" xfId="667" xr:uid="{00000000-0005-0000-0000-00007F020000}"/>
    <cellStyle name="Good 7" xfId="668" xr:uid="{00000000-0005-0000-0000-000080020000}"/>
    <cellStyle name="Good 8" xfId="669" xr:uid="{00000000-0005-0000-0000-000081020000}"/>
    <cellStyle name="Good 9" xfId="670" xr:uid="{00000000-0005-0000-0000-000082020000}"/>
    <cellStyle name="Heading 1 10" xfId="671" xr:uid="{00000000-0005-0000-0000-000083020000}"/>
    <cellStyle name="Heading 1 11" xfId="672" xr:uid="{00000000-0005-0000-0000-000084020000}"/>
    <cellStyle name="Heading 1 12" xfId="673" xr:uid="{00000000-0005-0000-0000-000085020000}"/>
    <cellStyle name="Heading 1 13" xfId="674" xr:uid="{00000000-0005-0000-0000-000086020000}"/>
    <cellStyle name="Heading 1 14" xfId="675" xr:uid="{00000000-0005-0000-0000-000087020000}"/>
    <cellStyle name="Heading 1 15" xfId="676" xr:uid="{00000000-0005-0000-0000-000088020000}"/>
    <cellStyle name="Heading 1 16" xfId="677" xr:uid="{00000000-0005-0000-0000-000089020000}"/>
    <cellStyle name="Heading 1 17" xfId="678" xr:uid="{00000000-0005-0000-0000-00008A020000}"/>
    <cellStyle name="Heading 1 18" xfId="679" xr:uid="{00000000-0005-0000-0000-00008B020000}"/>
    <cellStyle name="Heading 1 19" xfId="680" xr:uid="{00000000-0005-0000-0000-00008C020000}"/>
    <cellStyle name="Heading 1 2" xfId="681" xr:uid="{00000000-0005-0000-0000-00008D020000}"/>
    <cellStyle name="Heading 1 20" xfId="682" xr:uid="{00000000-0005-0000-0000-00008E020000}"/>
    <cellStyle name="Heading 1 21" xfId="683" xr:uid="{00000000-0005-0000-0000-00008F020000}"/>
    <cellStyle name="Heading 1 22" xfId="684" xr:uid="{00000000-0005-0000-0000-000090020000}"/>
    <cellStyle name="Heading 1 23" xfId="685" xr:uid="{00000000-0005-0000-0000-000091020000}"/>
    <cellStyle name="Heading 1 3" xfId="686" xr:uid="{00000000-0005-0000-0000-000092020000}"/>
    <cellStyle name="Heading 1 4" xfId="687" xr:uid="{00000000-0005-0000-0000-000093020000}"/>
    <cellStyle name="Heading 1 5" xfId="688" xr:uid="{00000000-0005-0000-0000-000094020000}"/>
    <cellStyle name="Heading 1 6" xfId="689" xr:uid="{00000000-0005-0000-0000-000095020000}"/>
    <cellStyle name="Heading 1 7" xfId="690" xr:uid="{00000000-0005-0000-0000-000096020000}"/>
    <cellStyle name="Heading 1 8" xfId="691" xr:uid="{00000000-0005-0000-0000-000097020000}"/>
    <cellStyle name="Heading 1 9" xfId="692" xr:uid="{00000000-0005-0000-0000-000098020000}"/>
    <cellStyle name="Heading 2 10" xfId="693" xr:uid="{00000000-0005-0000-0000-000099020000}"/>
    <cellStyle name="Heading 2 11" xfId="694" xr:uid="{00000000-0005-0000-0000-00009A020000}"/>
    <cellStyle name="Heading 2 12" xfId="695" xr:uid="{00000000-0005-0000-0000-00009B020000}"/>
    <cellStyle name="Heading 2 13" xfId="696" xr:uid="{00000000-0005-0000-0000-00009C020000}"/>
    <cellStyle name="Heading 2 14" xfId="697" xr:uid="{00000000-0005-0000-0000-00009D020000}"/>
    <cellStyle name="Heading 2 15" xfId="698" xr:uid="{00000000-0005-0000-0000-00009E020000}"/>
    <cellStyle name="Heading 2 16" xfId="699" xr:uid="{00000000-0005-0000-0000-00009F020000}"/>
    <cellStyle name="Heading 2 17" xfId="700" xr:uid="{00000000-0005-0000-0000-0000A0020000}"/>
    <cellStyle name="Heading 2 18" xfId="701" xr:uid="{00000000-0005-0000-0000-0000A1020000}"/>
    <cellStyle name="Heading 2 19" xfId="702" xr:uid="{00000000-0005-0000-0000-0000A2020000}"/>
    <cellStyle name="Heading 2 2" xfId="703" xr:uid="{00000000-0005-0000-0000-0000A3020000}"/>
    <cellStyle name="Heading 2 20" xfId="704" xr:uid="{00000000-0005-0000-0000-0000A4020000}"/>
    <cellStyle name="Heading 2 21" xfId="705" xr:uid="{00000000-0005-0000-0000-0000A5020000}"/>
    <cellStyle name="Heading 2 22" xfId="706" xr:uid="{00000000-0005-0000-0000-0000A6020000}"/>
    <cellStyle name="Heading 2 23" xfId="707" xr:uid="{00000000-0005-0000-0000-0000A7020000}"/>
    <cellStyle name="Heading 2 3" xfId="708" xr:uid="{00000000-0005-0000-0000-0000A8020000}"/>
    <cellStyle name="Heading 2 4" xfId="709" xr:uid="{00000000-0005-0000-0000-0000A9020000}"/>
    <cellStyle name="Heading 2 5" xfId="710" xr:uid="{00000000-0005-0000-0000-0000AA020000}"/>
    <cellStyle name="Heading 2 6" xfId="711" xr:uid="{00000000-0005-0000-0000-0000AB020000}"/>
    <cellStyle name="Heading 2 7" xfId="712" xr:uid="{00000000-0005-0000-0000-0000AC020000}"/>
    <cellStyle name="Heading 2 8" xfId="713" xr:uid="{00000000-0005-0000-0000-0000AD020000}"/>
    <cellStyle name="Heading 2 9" xfId="714" xr:uid="{00000000-0005-0000-0000-0000AE020000}"/>
    <cellStyle name="Heading 3 10" xfId="715" xr:uid="{00000000-0005-0000-0000-0000AF020000}"/>
    <cellStyle name="Heading 3 11" xfId="716" xr:uid="{00000000-0005-0000-0000-0000B0020000}"/>
    <cellStyle name="Heading 3 12" xfId="717" xr:uid="{00000000-0005-0000-0000-0000B1020000}"/>
    <cellStyle name="Heading 3 13" xfId="718" xr:uid="{00000000-0005-0000-0000-0000B2020000}"/>
    <cellStyle name="Heading 3 14" xfId="719" xr:uid="{00000000-0005-0000-0000-0000B3020000}"/>
    <cellStyle name="Heading 3 15" xfId="720" xr:uid="{00000000-0005-0000-0000-0000B4020000}"/>
    <cellStyle name="Heading 3 16" xfId="721" xr:uid="{00000000-0005-0000-0000-0000B5020000}"/>
    <cellStyle name="Heading 3 17" xfId="722" xr:uid="{00000000-0005-0000-0000-0000B6020000}"/>
    <cellStyle name="Heading 3 18" xfId="723" xr:uid="{00000000-0005-0000-0000-0000B7020000}"/>
    <cellStyle name="Heading 3 19" xfId="724" xr:uid="{00000000-0005-0000-0000-0000B8020000}"/>
    <cellStyle name="Heading 3 2" xfId="725" xr:uid="{00000000-0005-0000-0000-0000B9020000}"/>
    <cellStyle name="Heading 3 20" xfId="726" xr:uid="{00000000-0005-0000-0000-0000BA020000}"/>
    <cellStyle name="Heading 3 21" xfId="727" xr:uid="{00000000-0005-0000-0000-0000BB020000}"/>
    <cellStyle name="Heading 3 22" xfId="728" xr:uid="{00000000-0005-0000-0000-0000BC020000}"/>
    <cellStyle name="Heading 3 23" xfId="729" xr:uid="{00000000-0005-0000-0000-0000BD020000}"/>
    <cellStyle name="Heading 3 3" xfId="730" xr:uid="{00000000-0005-0000-0000-0000BE020000}"/>
    <cellStyle name="Heading 3 4" xfId="731" xr:uid="{00000000-0005-0000-0000-0000BF020000}"/>
    <cellStyle name="Heading 3 5" xfId="732" xr:uid="{00000000-0005-0000-0000-0000C0020000}"/>
    <cellStyle name="Heading 3 6" xfId="733" xr:uid="{00000000-0005-0000-0000-0000C1020000}"/>
    <cellStyle name="Heading 3 7" xfId="734" xr:uid="{00000000-0005-0000-0000-0000C2020000}"/>
    <cellStyle name="Heading 3 8" xfId="735" xr:uid="{00000000-0005-0000-0000-0000C3020000}"/>
    <cellStyle name="Heading 3 9" xfId="736" xr:uid="{00000000-0005-0000-0000-0000C4020000}"/>
    <cellStyle name="Heading 4 10" xfId="737" xr:uid="{00000000-0005-0000-0000-0000C5020000}"/>
    <cellStyle name="Heading 4 11" xfId="738" xr:uid="{00000000-0005-0000-0000-0000C6020000}"/>
    <cellStyle name="Heading 4 12" xfId="739" xr:uid="{00000000-0005-0000-0000-0000C7020000}"/>
    <cellStyle name="Heading 4 13" xfId="740" xr:uid="{00000000-0005-0000-0000-0000C8020000}"/>
    <cellStyle name="Heading 4 14" xfId="741" xr:uid="{00000000-0005-0000-0000-0000C9020000}"/>
    <cellStyle name="Heading 4 15" xfId="742" xr:uid="{00000000-0005-0000-0000-0000CA020000}"/>
    <cellStyle name="Heading 4 16" xfId="743" xr:uid="{00000000-0005-0000-0000-0000CB020000}"/>
    <cellStyle name="Heading 4 17" xfId="744" xr:uid="{00000000-0005-0000-0000-0000CC020000}"/>
    <cellStyle name="Heading 4 18" xfId="745" xr:uid="{00000000-0005-0000-0000-0000CD020000}"/>
    <cellStyle name="Heading 4 19" xfId="746" xr:uid="{00000000-0005-0000-0000-0000CE020000}"/>
    <cellStyle name="Heading 4 2" xfId="747" xr:uid="{00000000-0005-0000-0000-0000CF020000}"/>
    <cellStyle name="Heading 4 20" xfId="748" xr:uid="{00000000-0005-0000-0000-0000D0020000}"/>
    <cellStyle name="Heading 4 21" xfId="749" xr:uid="{00000000-0005-0000-0000-0000D1020000}"/>
    <cellStyle name="Heading 4 22" xfId="750" xr:uid="{00000000-0005-0000-0000-0000D2020000}"/>
    <cellStyle name="Heading 4 23" xfId="751" xr:uid="{00000000-0005-0000-0000-0000D3020000}"/>
    <cellStyle name="Heading 4 3" xfId="752" xr:uid="{00000000-0005-0000-0000-0000D4020000}"/>
    <cellStyle name="Heading 4 4" xfId="753" xr:uid="{00000000-0005-0000-0000-0000D5020000}"/>
    <cellStyle name="Heading 4 5" xfId="754" xr:uid="{00000000-0005-0000-0000-0000D6020000}"/>
    <cellStyle name="Heading 4 6" xfId="755" xr:uid="{00000000-0005-0000-0000-0000D7020000}"/>
    <cellStyle name="Heading 4 7" xfId="756" xr:uid="{00000000-0005-0000-0000-0000D8020000}"/>
    <cellStyle name="Heading 4 8" xfId="757" xr:uid="{00000000-0005-0000-0000-0000D9020000}"/>
    <cellStyle name="Heading 4 9" xfId="758" xr:uid="{00000000-0005-0000-0000-0000DA020000}"/>
    <cellStyle name="Input 10" xfId="759" xr:uid="{00000000-0005-0000-0000-0000DB020000}"/>
    <cellStyle name="Input 11" xfId="760" xr:uid="{00000000-0005-0000-0000-0000DC020000}"/>
    <cellStyle name="Input 12" xfId="761" xr:uid="{00000000-0005-0000-0000-0000DD020000}"/>
    <cellStyle name="Input 13" xfId="762" xr:uid="{00000000-0005-0000-0000-0000DE020000}"/>
    <cellStyle name="Input 14" xfId="763" xr:uid="{00000000-0005-0000-0000-0000DF020000}"/>
    <cellStyle name="Input 15" xfId="764" xr:uid="{00000000-0005-0000-0000-0000E0020000}"/>
    <cellStyle name="Input 16" xfId="765" xr:uid="{00000000-0005-0000-0000-0000E1020000}"/>
    <cellStyle name="Input 17" xfId="766" xr:uid="{00000000-0005-0000-0000-0000E2020000}"/>
    <cellStyle name="Input 18" xfId="767" xr:uid="{00000000-0005-0000-0000-0000E3020000}"/>
    <cellStyle name="Input 19" xfId="768" xr:uid="{00000000-0005-0000-0000-0000E4020000}"/>
    <cellStyle name="Input 2" xfId="769" xr:uid="{00000000-0005-0000-0000-0000E5020000}"/>
    <cellStyle name="Input 20" xfId="770" xr:uid="{00000000-0005-0000-0000-0000E6020000}"/>
    <cellStyle name="Input 21" xfId="771" xr:uid="{00000000-0005-0000-0000-0000E7020000}"/>
    <cellStyle name="Input 22" xfId="772" xr:uid="{00000000-0005-0000-0000-0000E8020000}"/>
    <cellStyle name="Input 23" xfId="773" xr:uid="{00000000-0005-0000-0000-0000E9020000}"/>
    <cellStyle name="Input 3" xfId="774" xr:uid="{00000000-0005-0000-0000-0000EA020000}"/>
    <cellStyle name="Input 4" xfId="775" xr:uid="{00000000-0005-0000-0000-0000EB020000}"/>
    <cellStyle name="Input 5" xfId="776" xr:uid="{00000000-0005-0000-0000-0000EC020000}"/>
    <cellStyle name="Input 6" xfId="777" xr:uid="{00000000-0005-0000-0000-0000ED020000}"/>
    <cellStyle name="Input 7" xfId="778" xr:uid="{00000000-0005-0000-0000-0000EE020000}"/>
    <cellStyle name="Input 8" xfId="779" xr:uid="{00000000-0005-0000-0000-0000EF020000}"/>
    <cellStyle name="Input 9" xfId="780" xr:uid="{00000000-0005-0000-0000-0000F0020000}"/>
    <cellStyle name="Linked Cell 10" xfId="781" xr:uid="{00000000-0005-0000-0000-0000F1020000}"/>
    <cellStyle name="Linked Cell 11" xfId="782" xr:uid="{00000000-0005-0000-0000-0000F2020000}"/>
    <cellStyle name="Linked Cell 12" xfId="783" xr:uid="{00000000-0005-0000-0000-0000F3020000}"/>
    <cellStyle name="Linked Cell 13" xfId="784" xr:uid="{00000000-0005-0000-0000-0000F4020000}"/>
    <cellStyle name="Linked Cell 14" xfId="785" xr:uid="{00000000-0005-0000-0000-0000F5020000}"/>
    <cellStyle name="Linked Cell 15" xfId="786" xr:uid="{00000000-0005-0000-0000-0000F6020000}"/>
    <cellStyle name="Linked Cell 16" xfId="787" xr:uid="{00000000-0005-0000-0000-0000F7020000}"/>
    <cellStyle name="Linked Cell 17" xfId="788" xr:uid="{00000000-0005-0000-0000-0000F8020000}"/>
    <cellStyle name="Linked Cell 18" xfId="789" xr:uid="{00000000-0005-0000-0000-0000F9020000}"/>
    <cellStyle name="Linked Cell 19" xfId="790" xr:uid="{00000000-0005-0000-0000-0000FA020000}"/>
    <cellStyle name="Linked Cell 2" xfId="791" xr:uid="{00000000-0005-0000-0000-0000FB020000}"/>
    <cellStyle name="Linked Cell 20" xfId="792" xr:uid="{00000000-0005-0000-0000-0000FC020000}"/>
    <cellStyle name="Linked Cell 21" xfId="793" xr:uid="{00000000-0005-0000-0000-0000FD020000}"/>
    <cellStyle name="Linked Cell 22" xfId="794" xr:uid="{00000000-0005-0000-0000-0000FE020000}"/>
    <cellStyle name="Linked Cell 23" xfId="795" xr:uid="{00000000-0005-0000-0000-0000FF020000}"/>
    <cellStyle name="Linked Cell 3" xfId="796" xr:uid="{00000000-0005-0000-0000-000000030000}"/>
    <cellStyle name="Linked Cell 4" xfId="797" xr:uid="{00000000-0005-0000-0000-000001030000}"/>
    <cellStyle name="Linked Cell 5" xfId="798" xr:uid="{00000000-0005-0000-0000-000002030000}"/>
    <cellStyle name="Linked Cell 6" xfId="799" xr:uid="{00000000-0005-0000-0000-000003030000}"/>
    <cellStyle name="Linked Cell 7" xfId="800" xr:uid="{00000000-0005-0000-0000-000004030000}"/>
    <cellStyle name="Linked Cell 8" xfId="801" xr:uid="{00000000-0005-0000-0000-000005030000}"/>
    <cellStyle name="Linked Cell 9" xfId="802" xr:uid="{00000000-0005-0000-0000-000006030000}"/>
    <cellStyle name="MS_Arabic" xfId="803" xr:uid="{00000000-0005-0000-0000-000007030000}"/>
    <cellStyle name="Neutral 10" xfId="804" xr:uid="{00000000-0005-0000-0000-000008030000}"/>
    <cellStyle name="Neutral 11" xfId="805" xr:uid="{00000000-0005-0000-0000-000009030000}"/>
    <cellStyle name="Neutral 12" xfId="806" xr:uid="{00000000-0005-0000-0000-00000A030000}"/>
    <cellStyle name="Neutral 13" xfId="807" xr:uid="{00000000-0005-0000-0000-00000B030000}"/>
    <cellStyle name="Neutral 14" xfId="808" xr:uid="{00000000-0005-0000-0000-00000C030000}"/>
    <cellStyle name="Neutral 15" xfId="809" xr:uid="{00000000-0005-0000-0000-00000D030000}"/>
    <cellStyle name="Neutral 16" xfId="810" xr:uid="{00000000-0005-0000-0000-00000E030000}"/>
    <cellStyle name="Neutral 17" xfId="811" xr:uid="{00000000-0005-0000-0000-00000F030000}"/>
    <cellStyle name="Neutral 18" xfId="812" xr:uid="{00000000-0005-0000-0000-000010030000}"/>
    <cellStyle name="Neutral 19" xfId="813" xr:uid="{00000000-0005-0000-0000-000011030000}"/>
    <cellStyle name="Neutral 2" xfId="814" xr:uid="{00000000-0005-0000-0000-000012030000}"/>
    <cellStyle name="Neutral 20" xfId="815" xr:uid="{00000000-0005-0000-0000-000013030000}"/>
    <cellStyle name="Neutral 21" xfId="816" xr:uid="{00000000-0005-0000-0000-000014030000}"/>
    <cellStyle name="Neutral 22" xfId="817" xr:uid="{00000000-0005-0000-0000-000015030000}"/>
    <cellStyle name="Neutral 23" xfId="818" xr:uid="{00000000-0005-0000-0000-000016030000}"/>
    <cellStyle name="Neutral 3" xfId="819" xr:uid="{00000000-0005-0000-0000-000017030000}"/>
    <cellStyle name="Neutral 4" xfId="820" xr:uid="{00000000-0005-0000-0000-000018030000}"/>
    <cellStyle name="Neutral 5" xfId="821" xr:uid="{00000000-0005-0000-0000-000019030000}"/>
    <cellStyle name="Neutral 6" xfId="822" xr:uid="{00000000-0005-0000-0000-00001A030000}"/>
    <cellStyle name="Neutral 7" xfId="823" xr:uid="{00000000-0005-0000-0000-00001B030000}"/>
    <cellStyle name="Neutral 8" xfId="824" xr:uid="{00000000-0005-0000-0000-00001C030000}"/>
    <cellStyle name="Neutral 9" xfId="825" xr:uid="{00000000-0005-0000-0000-00001D030000}"/>
    <cellStyle name="Normal" xfId="0" builtinId="0"/>
    <cellStyle name="Normal 10" xfId="826" xr:uid="{00000000-0005-0000-0000-00001F030000}"/>
    <cellStyle name="Normal 10 2" xfId="827" xr:uid="{00000000-0005-0000-0000-000020030000}"/>
    <cellStyle name="Normal 11" xfId="828" xr:uid="{00000000-0005-0000-0000-000021030000}"/>
    <cellStyle name="Normal 12" xfId="829" xr:uid="{00000000-0005-0000-0000-000022030000}"/>
    <cellStyle name="Normal 13" xfId="830" xr:uid="{00000000-0005-0000-0000-000023030000}"/>
    <cellStyle name="Normal 13 2" xfId="831" xr:uid="{00000000-0005-0000-0000-000024030000}"/>
    <cellStyle name="Normal 14" xfId="832" xr:uid="{00000000-0005-0000-0000-000025030000}"/>
    <cellStyle name="Normal 14 2" xfId="833" xr:uid="{00000000-0005-0000-0000-000026030000}"/>
    <cellStyle name="Normal 14 2 2" xfId="834" xr:uid="{00000000-0005-0000-0000-000027030000}"/>
    <cellStyle name="Normal 15" xfId="835" xr:uid="{00000000-0005-0000-0000-000028030000}"/>
    <cellStyle name="Normal 15 2" xfId="836" xr:uid="{00000000-0005-0000-0000-000029030000}"/>
    <cellStyle name="Normal 15 2 2" xfId="837" xr:uid="{00000000-0005-0000-0000-00002A030000}"/>
    <cellStyle name="Normal 16" xfId="838" xr:uid="{00000000-0005-0000-0000-00002B030000}"/>
    <cellStyle name="Normal 16 2" xfId="839" xr:uid="{00000000-0005-0000-0000-00002C030000}"/>
    <cellStyle name="Normal 16 2 2" xfId="840" xr:uid="{00000000-0005-0000-0000-00002D030000}"/>
    <cellStyle name="Normal 18" xfId="841" xr:uid="{00000000-0005-0000-0000-00002E030000}"/>
    <cellStyle name="Normal 18 2" xfId="842" xr:uid="{00000000-0005-0000-0000-00002F030000}"/>
    <cellStyle name="Normal 19" xfId="843" xr:uid="{00000000-0005-0000-0000-000030030000}"/>
    <cellStyle name="Normal 19 2" xfId="844" xr:uid="{00000000-0005-0000-0000-000031030000}"/>
    <cellStyle name="Normal 19 2 2" xfId="845" xr:uid="{00000000-0005-0000-0000-000032030000}"/>
    <cellStyle name="Normal 2" xfId="4" xr:uid="{00000000-0005-0000-0000-000033030000}"/>
    <cellStyle name="Normal 2 2" xfId="7" xr:uid="{00000000-0005-0000-0000-000034030000}"/>
    <cellStyle name="Normal 2 2 2" xfId="846" xr:uid="{00000000-0005-0000-0000-000035030000}"/>
    <cellStyle name="Normal 2 3" xfId="847" xr:uid="{00000000-0005-0000-0000-000036030000}"/>
    <cellStyle name="Normal 2 3 2" xfId="848" xr:uid="{00000000-0005-0000-0000-000037030000}"/>
    <cellStyle name="Normal 20" xfId="849" xr:uid="{00000000-0005-0000-0000-000038030000}"/>
    <cellStyle name="Normal 20 2" xfId="850" xr:uid="{00000000-0005-0000-0000-000039030000}"/>
    <cellStyle name="Normal 20 2 2" xfId="851" xr:uid="{00000000-0005-0000-0000-00003A030000}"/>
    <cellStyle name="Normal 22" xfId="852" xr:uid="{00000000-0005-0000-0000-00003B030000}"/>
    <cellStyle name="Normal 22 2" xfId="853" xr:uid="{00000000-0005-0000-0000-00003C030000}"/>
    <cellStyle name="Normal 22 2 2" xfId="854" xr:uid="{00000000-0005-0000-0000-00003D030000}"/>
    <cellStyle name="Normal 22 3" xfId="855" xr:uid="{00000000-0005-0000-0000-00003E030000}"/>
    <cellStyle name="Normal 22 3 2" xfId="856" xr:uid="{00000000-0005-0000-0000-00003F030000}"/>
    <cellStyle name="Normal 23" xfId="857" xr:uid="{00000000-0005-0000-0000-000040030000}"/>
    <cellStyle name="Normal 23 2" xfId="858" xr:uid="{00000000-0005-0000-0000-000041030000}"/>
    <cellStyle name="Normal 3" xfId="6" xr:uid="{00000000-0005-0000-0000-000042030000}"/>
    <cellStyle name="Normal 3 2" xfId="10" xr:uid="{00000000-0005-0000-0000-000043030000}"/>
    <cellStyle name="Normal 3 3" xfId="24" xr:uid="{00000000-0005-0000-0000-000044030000}"/>
    <cellStyle name="Normal 3 4" xfId="22" xr:uid="{00000000-0005-0000-0000-000045030000}"/>
    <cellStyle name="Normal 4" xfId="9" xr:uid="{00000000-0005-0000-0000-000046030000}"/>
    <cellStyle name="Normal 4 2" xfId="11" xr:uid="{00000000-0005-0000-0000-000047030000}"/>
    <cellStyle name="Normal 4 3" xfId="21" xr:uid="{00000000-0005-0000-0000-000048030000}"/>
    <cellStyle name="Normal 5" xfId="23" xr:uid="{00000000-0005-0000-0000-000049030000}"/>
    <cellStyle name="Normal 5 2" xfId="859" xr:uid="{00000000-0005-0000-0000-00004A030000}"/>
    <cellStyle name="Normal 6" xfId="20" xr:uid="{00000000-0005-0000-0000-00004B030000}"/>
    <cellStyle name="Normal 6 2" xfId="860" xr:uid="{00000000-0005-0000-0000-00004C030000}"/>
    <cellStyle name="Normal 7" xfId="27" xr:uid="{00000000-0005-0000-0000-00004D030000}"/>
    <cellStyle name="Normal 8" xfId="861" xr:uid="{00000000-0005-0000-0000-00004E030000}"/>
    <cellStyle name="Normal 9" xfId="862" xr:uid="{00000000-0005-0000-0000-00004F030000}"/>
    <cellStyle name="Normal 9 2" xfId="863" xr:uid="{00000000-0005-0000-0000-000050030000}"/>
    <cellStyle name="Normal 9 2 2" xfId="864" xr:uid="{00000000-0005-0000-0000-000051030000}"/>
    <cellStyle name="Normal_BOP_11_14-19_21" xfId="1" xr:uid="{00000000-0005-0000-0000-000052030000}"/>
    <cellStyle name="Normal_BOP_11_14-19_21 2" xfId="5" xr:uid="{00000000-0005-0000-0000-000053030000}"/>
    <cellStyle name="Note 10" xfId="865" xr:uid="{00000000-0005-0000-0000-000054030000}"/>
    <cellStyle name="Note 10 2" xfId="866" xr:uid="{00000000-0005-0000-0000-000055030000}"/>
    <cellStyle name="Note 11" xfId="867" xr:uid="{00000000-0005-0000-0000-000056030000}"/>
    <cellStyle name="Note 11 2" xfId="868" xr:uid="{00000000-0005-0000-0000-000057030000}"/>
    <cellStyle name="Note 12" xfId="869" xr:uid="{00000000-0005-0000-0000-000058030000}"/>
    <cellStyle name="Note 12 2" xfId="870" xr:uid="{00000000-0005-0000-0000-000059030000}"/>
    <cellStyle name="Note 13" xfId="871" xr:uid="{00000000-0005-0000-0000-00005A030000}"/>
    <cellStyle name="Note 13 2" xfId="872" xr:uid="{00000000-0005-0000-0000-00005B030000}"/>
    <cellStyle name="Note 14" xfId="873" xr:uid="{00000000-0005-0000-0000-00005C030000}"/>
    <cellStyle name="Note 14 2" xfId="874" xr:uid="{00000000-0005-0000-0000-00005D030000}"/>
    <cellStyle name="Note 15" xfId="875" xr:uid="{00000000-0005-0000-0000-00005E030000}"/>
    <cellStyle name="Note 15 2" xfId="876" xr:uid="{00000000-0005-0000-0000-00005F030000}"/>
    <cellStyle name="Note 16" xfId="877" xr:uid="{00000000-0005-0000-0000-000060030000}"/>
    <cellStyle name="Note 16 2" xfId="878" xr:uid="{00000000-0005-0000-0000-000061030000}"/>
    <cellStyle name="Note 17" xfId="879" xr:uid="{00000000-0005-0000-0000-000062030000}"/>
    <cellStyle name="Note 17 2" xfId="880" xr:uid="{00000000-0005-0000-0000-000063030000}"/>
    <cellStyle name="Note 18" xfId="881" xr:uid="{00000000-0005-0000-0000-000064030000}"/>
    <cellStyle name="Note 18 2" xfId="882" xr:uid="{00000000-0005-0000-0000-000065030000}"/>
    <cellStyle name="Note 19" xfId="883" xr:uid="{00000000-0005-0000-0000-000066030000}"/>
    <cellStyle name="Note 19 2" xfId="884" xr:uid="{00000000-0005-0000-0000-000067030000}"/>
    <cellStyle name="Note 2" xfId="885" xr:uid="{00000000-0005-0000-0000-000068030000}"/>
    <cellStyle name="Note 2 2" xfId="886" xr:uid="{00000000-0005-0000-0000-000069030000}"/>
    <cellStyle name="Note 20" xfId="887" xr:uid="{00000000-0005-0000-0000-00006A030000}"/>
    <cellStyle name="Note 20 2" xfId="888" xr:uid="{00000000-0005-0000-0000-00006B030000}"/>
    <cellStyle name="Note 21" xfId="889" xr:uid="{00000000-0005-0000-0000-00006C030000}"/>
    <cellStyle name="Note 21 2" xfId="890" xr:uid="{00000000-0005-0000-0000-00006D030000}"/>
    <cellStyle name="Note 22" xfId="891" xr:uid="{00000000-0005-0000-0000-00006E030000}"/>
    <cellStyle name="Note 22 2" xfId="892" xr:uid="{00000000-0005-0000-0000-00006F030000}"/>
    <cellStyle name="Note 23" xfId="893" xr:uid="{00000000-0005-0000-0000-000070030000}"/>
    <cellStyle name="Note 23 2" xfId="894" xr:uid="{00000000-0005-0000-0000-000071030000}"/>
    <cellStyle name="Note 3" xfId="895" xr:uid="{00000000-0005-0000-0000-000072030000}"/>
    <cellStyle name="Note 3 2" xfId="896" xr:uid="{00000000-0005-0000-0000-000073030000}"/>
    <cellStyle name="Note 4" xfId="897" xr:uid="{00000000-0005-0000-0000-000074030000}"/>
    <cellStyle name="Note 4 2" xfId="898" xr:uid="{00000000-0005-0000-0000-000075030000}"/>
    <cellStyle name="Note 5" xfId="899" xr:uid="{00000000-0005-0000-0000-000076030000}"/>
    <cellStyle name="Note 5 2" xfId="900" xr:uid="{00000000-0005-0000-0000-000077030000}"/>
    <cellStyle name="Note 6" xfId="901" xr:uid="{00000000-0005-0000-0000-000078030000}"/>
    <cellStyle name="Note 6 2" xfId="902" xr:uid="{00000000-0005-0000-0000-000079030000}"/>
    <cellStyle name="Note 7" xfId="903" xr:uid="{00000000-0005-0000-0000-00007A030000}"/>
    <cellStyle name="Note 7 2" xfId="904" xr:uid="{00000000-0005-0000-0000-00007B030000}"/>
    <cellStyle name="Note 8" xfId="905" xr:uid="{00000000-0005-0000-0000-00007C030000}"/>
    <cellStyle name="Note 8 2" xfId="906" xr:uid="{00000000-0005-0000-0000-00007D030000}"/>
    <cellStyle name="Note 9" xfId="907" xr:uid="{00000000-0005-0000-0000-00007E030000}"/>
    <cellStyle name="Note 9 2" xfId="908" xr:uid="{00000000-0005-0000-0000-00007F030000}"/>
    <cellStyle name="Output 10" xfId="909" xr:uid="{00000000-0005-0000-0000-000080030000}"/>
    <cellStyle name="Output 11" xfId="910" xr:uid="{00000000-0005-0000-0000-000081030000}"/>
    <cellStyle name="Output 12" xfId="911" xr:uid="{00000000-0005-0000-0000-000082030000}"/>
    <cellStyle name="Output 13" xfId="912" xr:uid="{00000000-0005-0000-0000-000083030000}"/>
    <cellStyle name="Output 14" xfId="913" xr:uid="{00000000-0005-0000-0000-000084030000}"/>
    <cellStyle name="Output 15" xfId="914" xr:uid="{00000000-0005-0000-0000-000085030000}"/>
    <cellStyle name="Output 16" xfId="915" xr:uid="{00000000-0005-0000-0000-000086030000}"/>
    <cellStyle name="Output 17" xfId="916" xr:uid="{00000000-0005-0000-0000-000087030000}"/>
    <cellStyle name="Output 18" xfId="917" xr:uid="{00000000-0005-0000-0000-000088030000}"/>
    <cellStyle name="Output 19" xfId="918" xr:uid="{00000000-0005-0000-0000-000089030000}"/>
    <cellStyle name="Output 2" xfId="919" xr:uid="{00000000-0005-0000-0000-00008A030000}"/>
    <cellStyle name="Output 20" xfId="920" xr:uid="{00000000-0005-0000-0000-00008B030000}"/>
    <cellStyle name="Output 21" xfId="921" xr:uid="{00000000-0005-0000-0000-00008C030000}"/>
    <cellStyle name="Output 22" xfId="922" xr:uid="{00000000-0005-0000-0000-00008D030000}"/>
    <cellStyle name="Output 23" xfId="923" xr:uid="{00000000-0005-0000-0000-00008E030000}"/>
    <cellStyle name="Output 3" xfId="924" xr:uid="{00000000-0005-0000-0000-00008F030000}"/>
    <cellStyle name="Output 4" xfId="925" xr:uid="{00000000-0005-0000-0000-000090030000}"/>
    <cellStyle name="Output 5" xfId="926" xr:uid="{00000000-0005-0000-0000-000091030000}"/>
    <cellStyle name="Output 6" xfId="927" xr:uid="{00000000-0005-0000-0000-000092030000}"/>
    <cellStyle name="Output 7" xfId="928" xr:uid="{00000000-0005-0000-0000-000093030000}"/>
    <cellStyle name="Output 8" xfId="929" xr:uid="{00000000-0005-0000-0000-000094030000}"/>
    <cellStyle name="Output 9" xfId="930" xr:uid="{00000000-0005-0000-0000-000095030000}"/>
    <cellStyle name="Percent" xfId="2" builtinId="5"/>
    <cellStyle name="Percent 2" xfId="8" xr:uid="{00000000-0005-0000-0000-000097030000}"/>
    <cellStyle name="Percent 2 2" xfId="25" xr:uid="{00000000-0005-0000-0000-000098030000}"/>
    <cellStyle name="Percent 3" xfId="13" xr:uid="{00000000-0005-0000-0000-000099030000}"/>
    <cellStyle name="Percent 3 2" xfId="26" xr:uid="{00000000-0005-0000-0000-00009A030000}"/>
    <cellStyle name="Percent 4" xfId="12" xr:uid="{00000000-0005-0000-0000-00009B030000}"/>
    <cellStyle name="Spelling 1033,0" xfId="14" xr:uid="{00000000-0005-0000-0000-00009C030000}"/>
    <cellStyle name="Spelling 1033,0 2" xfId="931" xr:uid="{00000000-0005-0000-0000-00009D030000}"/>
    <cellStyle name="Spelling 1033,0 2 2" xfId="932" xr:uid="{00000000-0005-0000-0000-00009E030000}"/>
    <cellStyle name="Spelling 1033,0 3" xfId="933" xr:uid="{00000000-0005-0000-0000-00009F030000}"/>
    <cellStyle name="Spelling 1033,0 3 2" xfId="934" xr:uid="{00000000-0005-0000-0000-0000A0030000}"/>
    <cellStyle name="Spelling 1033,0 4" xfId="935" xr:uid="{00000000-0005-0000-0000-0000A1030000}"/>
    <cellStyle name="Spelling 1033,0 4 2" xfId="936" xr:uid="{00000000-0005-0000-0000-0000A2030000}"/>
    <cellStyle name="Spelling 1033,0 5" xfId="937" xr:uid="{00000000-0005-0000-0000-0000A3030000}"/>
    <cellStyle name="Spelling 1033,0 5 2" xfId="938" xr:uid="{00000000-0005-0000-0000-0000A4030000}"/>
    <cellStyle name="Spelling 1033,0 6" xfId="939" xr:uid="{00000000-0005-0000-0000-0000A5030000}"/>
    <cellStyle name="Spelling 1033,0 6 2" xfId="940" xr:uid="{00000000-0005-0000-0000-0000A6030000}"/>
    <cellStyle name="Spelling 1033,0 7" xfId="941" xr:uid="{00000000-0005-0000-0000-0000A7030000}"/>
    <cellStyle name="Spelling 1033,0_T12" xfId="942" xr:uid="{00000000-0005-0000-0000-0000A8030000}"/>
    <cellStyle name="Style 1" xfId="943" xr:uid="{00000000-0005-0000-0000-0000A9030000}"/>
    <cellStyle name="Style 1 2" xfId="944" xr:uid="{00000000-0005-0000-0000-0000AA030000}"/>
    <cellStyle name="Title 10" xfId="945" xr:uid="{00000000-0005-0000-0000-0000AB030000}"/>
    <cellStyle name="Title 11" xfId="946" xr:uid="{00000000-0005-0000-0000-0000AC030000}"/>
    <cellStyle name="Title 12" xfId="947" xr:uid="{00000000-0005-0000-0000-0000AD030000}"/>
    <cellStyle name="Title 13" xfId="948" xr:uid="{00000000-0005-0000-0000-0000AE030000}"/>
    <cellStyle name="Title 14" xfId="949" xr:uid="{00000000-0005-0000-0000-0000AF030000}"/>
    <cellStyle name="Title 15" xfId="950" xr:uid="{00000000-0005-0000-0000-0000B0030000}"/>
    <cellStyle name="Title 16" xfId="951" xr:uid="{00000000-0005-0000-0000-0000B1030000}"/>
    <cellStyle name="Title 17" xfId="952" xr:uid="{00000000-0005-0000-0000-0000B2030000}"/>
    <cellStyle name="Title 18" xfId="953" xr:uid="{00000000-0005-0000-0000-0000B3030000}"/>
    <cellStyle name="Title 19" xfId="954" xr:uid="{00000000-0005-0000-0000-0000B4030000}"/>
    <cellStyle name="Title 2" xfId="955" xr:uid="{00000000-0005-0000-0000-0000B5030000}"/>
    <cellStyle name="Title 20" xfId="956" xr:uid="{00000000-0005-0000-0000-0000B6030000}"/>
    <cellStyle name="Title 21" xfId="957" xr:uid="{00000000-0005-0000-0000-0000B7030000}"/>
    <cellStyle name="Title 22" xfId="958" xr:uid="{00000000-0005-0000-0000-0000B8030000}"/>
    <cellStyle name="Title 23" xfId="959" xr:uid="{00000000-0005-0000-0000-0000B9030000}"/>
    <cellStyle name="Title 3" xfId="960" xr:uid="{00000000-0005-0000-0000-0000BA030000}"/>
    <cellStyle name="Title 4" xfId="961" xr:uid="{00000000-0005-0000-0000-0000BB030000}"/>
    <cellStyle name="Title 5" xfId="962" xr:uid="{00000000-0005-0000-0000-0000BC030000}"/>
    <cellStyle name="Title 6" xfId="963" xr:uid="{00000000-0005-0000-0000-0000BD030000}"/>
    <cellStyle name="Title 7" xfId="964" xr:uid="{00000000-0005-0000-0000-0000BE030000}"/>
    <cellStyle name="Title 8" xfId="965" xr:uid="{00000000-0005-0000-0000-0000BF030000}"/>
    <cellStyle name="Title 9" xfId="966" xr:uid="{00000000-0005-0000-0000-0000C0030000}"/>
    <cellStyle name="Total 10" xfId="967" xr:uid="{00000000-0005-0000-0000-0000C1030000}"/>
    <cellStyle name="Total 11" xfId="968" xr:uid="{00000000-0005-0000-0000-0000C2030000}"/>
    <cellStyle name="Total 12" xfId="969" xr:uid="{00000000-0005-0000-0000-0000C3030000}"/>
    <cellStyle name="Total 13" xfId="970" xr:uid="{00000000-0005-0000-0000-0000C4030000}"/>
    <cellStyle name="Total 14" xfId="971" xr:uid="{00000000-0005-0000-0000-0000C5030000}"/>
    <cellStyle name="Total 15" xfId="972" xr:uid="{00000000-0005-0000-0000-0000C6030000}"/>
    <cellStyle name="Total 16" xfId="973" xr:uid="{00000000-0005-0000-0000-0000C7030000}"/>
    <cellStyle name="Total 17" xfId="974" xr:uid="{00000000-0005-0000-0000-0000C8030000}"/>
    <cellStyle name="Total 18" xfId="975" xr:uid="{00000000-0005-0000-0000-0000C9030000}"/>
    <cellStyle name="Total 19" xfId="976" xr:uid="{00000000-0005-0000-0000-0000CA030000}"/>
    <cellStyle name="Total 2" xfId="977" xr:uid="{00000000-0005-0000-0000-0000CB030000}"/>
    <cellStyle name="Total 20" xfId="978" xr:uid="{00000000-0005-0000-0000-0000CC030000}"/>
    <cellStyle name="Total 21" xfId="979" xr:uid="{00000000-0005-0000-0000-0000CD030000}"/>
    <cellStyle name="Total 22" xfId="980" xr:uid="{00000000-0005-0000-0000-0000CE030000}"/>
    <cellStyle name="Total 23" xfId="981" xr:uid="{00000000-0005-0000-0000-0000CF030000}"/>
    <cellStyle name="Total 3" xfId="982" xr:uid="{00000000-0005-0000-0000-0000D0030000}"/>
    <cellStyle name="Total 4" xfId="983" xr:uid="{00000000-0005-0000-0000-0000D1030000}"/>
    <cellStyle name="Total 5" xfId="984" xr:uid="{00000000-0005-0000-0000-0000D2030000}"/>
    <cellStyle name="Total 6" xfId="985" xr:uid="{00000000-0005-0000-0000-0000D3030000}"/>
    <cellStyle name="Total 7" xfId="986" xr:uid="{00000000-0005-0000-0000-0000D4030000}"/>
    <cellStyle name="Total 8" xfId="987" xr:uid="{00000000-0005-0000-0000-0000D5030000}"/>
    <cellStyle name="Total 9" xfId="988" xr:uid="{00000000-0005-0000-0000-0000D6030000}"/>
    <cellStyle name="Warning Text 10" xfId="989" xr:uid="{00000000-0005-0000-0000-0000D7030000}"/>
    <cellStyle name="Warning Text 11" xfId="990" xr:uid="{00000000-0005-0000-0000-0000D8030000}"/>
    <cellStyle name="Warning Text 12" xfId="991" xr:uid="{00000000-0005-0000-0000-0000D9030000}"/>
    <cellStyle name="Warning Text 13" xfId="992" xr:uid="{00000000-0005-0000-0000-0000DA030000}"/>
    <cellStyle name="Warning Text 14" xfId="993" xr:uid="{00000000-0005-0000-0000-0000DB030000}"/>
    <cellStyle name="Warning Text 15" xfId="994" xr:uid="{00000000-0005-0000-0000-0000DC030000}"/>
    <cellStyle name="Warning Text 16" xfId="995" xr:uid="{00000000-0005-0000-0000-0000DD030000}"/>
    <cellStyle name="Warning Text 17" xfId="996" xr:uid="{00000000-0005-0000-0000-0000DE030000}"/>
    <cellStyle name="Warning Text 18" xfId="997" xr:uid="{00000000-0005-0000-0000-0000DF030000}"/>
    <cellStyle name="Warning Text 19" xfId="998" xr:uid="{00000000-0005-0000-0000-0000E0030000}"/>
    <cellStyle name="Warning Text 2" xfId="999" xr:uid="{00000000-0005-0000-0000-0000E1030000}"/>
    <cellStyle name="Warning Text 20" xfId="1000" xr:uid="{00000000-0005-0000-0000-0000E2030000}"/>
    <cellStyle name="Warning Text 21" xfId="1001" xr:uid="{00000000-0005-0000-0000-0000E3030000}"/>
    <cellStyle name="Warning Text 22" xfId="1002" xr:uid="{00000000-0005-0000-0000-0000E4030000}"/>
    <cellStyle name="Warning Text 23" xfId="1003" xr:uid="{00000000-0005-0000-0000-0000E5030000}"/>
    <cellStyle name="Warning Text 3" xfId="1004" xr:uid="{00000000-0005-0000-0000-0000E6030000}"/>
    <cellStyle name="Warning Text 4" xfId="1005" xr:uid="{00000000-0005-0000-0000-0000E7030000}"/>
    <cellStyle name="Warning Text 5" xfId="1006" xr:uid="{00000000-0005-0000-0000-0000E8030000}"/>
    <cellStyle name="Warning Text 6" xfId="1007" xr:uid="{00000000-0005-0000-0000-0000E9030000}"/>
    <cellStyle name="Warning Text 7" xfId="1008" xr:uid="{00000000-0005-0000-0000-0000EA030000}"/>
    <cellStyle name="Warning Text 8" xfId="1009" xr:uid="{00000000-0005-0000-0000-0000EB030000}"/>
    <cellStyle name="Warning Text 9" xfId="1010" xr:uid="{00000000-0005-0000-0000-0000EC030000}"/>
    <cellStyle name="ارتباط تشعبي متبع_قطاعات" xfId="15" xr:uid="{00000000-0005-0000-0000-0000ED030000}"/>
    <cellStyle name="عادي_artim" xfId="3" xr:uid="{00000000-0005-0000-0000-0000EE030000}"/>
    <cellStyle name="عملة [0]_Book1" xfId="16" xr:uid="{00000000-0005-0000-0000-0000EF030000}"/>
    <cellStyle name="عملة_Book1" xfId="17" xr:uid="{00000000-0005-0000-0000-0000F0030000}"/>
    <cellStyle name="فاصلة [0]_Book1" xfId="18" xr:uid="{00000000-0005-0000-0000-0000F1030000}"/>
    <cellStyle name="فاصلة_Book1" xfId="19" xr:uid="{00000000-0005-0000-0000-0000F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53"/>
  <sheetViews>
    <sheetView zoomScaleNormal="100" workbookViewId="0">
      <selection activeCell="B17" sqref="B17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hidden="1" customWidth="1"/>
    <col min="10" max="10" width="10.85546875" style="16" hidden="1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127"/>
      <c r="D3" s="51"/>
      <c r="E3" s="52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7</v>
      </c>
      <c r="D5" s="160" t="s">
        <v>8</v>
      </c>
      <c r="E5" s="160" t="s">
        <v>9</v>
      </c>
      <c r="F5" s="160" t="s">
        <v>10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9">
        <v>7348.3</v>
      </c>
      <c r="D7" s="39">
        <v>7246.3</v>
      </c>
      <c r="E7" s="39">
        <v>7128.6</v>
      </c>
      <c r="F7" s="39">
        <v>8717.7999999999993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2708.5</v>
      </c>
      <c r="D8" s="12">
        <v>2782.8</v>
      </c>
      <c r="E8" s="12">
        <v>2559.5</v>
      </c>
      <c r="F8" s="12">
        <v>3238.6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591.5</v>
      </c>
      <c r="D9" s="12">
        <v>587.20000000000005</v>
      </c>
      <c r="E9" s="12">
        <v>502.8</v>
      </c>
      <c r="F9" s="12">
        <v>658.6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281.8</v>
      </c>
      <c r="D10" s="12">
        <v>191.2</v>
      </c>
      <c r="E10" s="12">
        <v>125.9</v>
      </c>
      <c r="F10" s="12">
        <v>145.9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1457.7</v>
      </c>
      <c r="D11" s="12">
        <v>1169.8</v>
      </c>
      <c r="E11" s="12">
        <v>1249.0999999999999</v>
      </c>
      <c r="F11" s="12">
        <v>1860.5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579.1</v>
      </c>
      <c r="D12" s="12">
        <v>566.20000000000005</v>
      </c>
      <c r="E12" s="12">
        <v>840.9</v>
      </c>
      <c r="F12" s="12">
        <v>749.5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1036.0999999999999</v>
      </c>
      <c r="D13" s="12">
        <v>1058.4000000000001</v>
      </c>
      <c r="E13" s="12">
        <v>1129.3</v>
      </c>
      <c r="F13" s="12">
        <v>1221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37.4</v>
      </c>
      <c r="D14" s="12">
        <v>28.8</v>
      </c>
      <c r="E14" s="12">
        <v>48.1</v>
      </c>
      <c r="F14" s="12">
        <v>62.2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58.7</v>
      </c>
      <c r="D15" s="12">
        <v>35.1</v>
      </c>
      <c r="E15" s="12">
        <v>138</v>
      </c>
      <c r="F15" s="12">
        <v>45.3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597.5</v>
      </c>
      <c r="D16" s="14">
        <v>826.8</v>
      </c>
      <c r="E16" s="14">
        <v>535</v>
      </c>
      <c r="F16" s="14">
        <v>736.2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:F2"/>
    <mergeCell ref="A21:F21"/>
    <mergeCell ref="F5:F6"/>
    <mergeCell ref="B4:B6"/>
    <mergeCell ref="A4:A6"/>
    <mergeCell ref="C5:C6"/>
    <mergeCell ref="D5:D6"/>
    <mergeCell ref="E5:E6"/>
  </mergeCells>
  <pageMargins left="0.7" right="0.7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653"/>
  <sheetViews>
    <sheetView workbookViewId="0">
      <selection activeCell="D20" sqref="D20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hidden="1" customWidth="1"/>
    <col min="10" max="10" width="10.85546875" style="16" hidden="1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33</v>
      </c>
      <c r="D5" s="160" t="s">
        <v>34</v>
      </c>
      <c r="E5" s="160" t="s">
        <v>35</v>
      </c>
      <c r="F5" s="160" t="s">
        <v>36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0">
        <f>8562.7-11.6</f>
        <v>8551.1</v>
      </c>
      <c r="D7" s="30">
        <v>8873.4</v>
      </c>
      <c r="E7" s="30">
        <v>9211.1</v>
      </c>
      <c r="F7" s="30">
        <f>11660.9+11.6</f>
        <v>11672.5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3033.6</v>
      </c>
      <c r="D8" s="12">
        <v>3212.4</v>
      </c>
      <c r="E8" s="12">
        <v>3475.8</v>
      </c>
      <c r="F8" s="12">
        <v>3283.7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725.6</v>
      </c>
      <c r="D9" s="12">
        <v>734.7</v>
      </c>
      <c r="E9" s="12">
        <v>554</v>
      </c>
      <c r="F9" s="12">
        <v>1191.3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194.2</v>
      </c>
      <c r="D10" s="12">
        <v>143.30000000000001</v>
      </c>
      <c r="E10" s="12">
        <v>180.3</v>
      </c>
      <c r="F10" s="12">
        <v>167.4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1772.5</v>
      </c>
      <c r="D11" s="12">
        <v>1960.2</v>
      </c>
      <c r="E11" s="12">
        <v>2043.6</v>
      </c>
      <c r="F11" s="12">
        <v>2486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740.9</v>
      </c>
      <c r="D12" s="12">
        <v>768.4</v>
      </c>
      <c r="E12" s="12">
        <v>858.9</v>
      </c>
      <c r="F12" s="12">
        <v>876.2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1366.4</v>
      </c>
      <c r="D13" s="12">
        <v>1436.4</v>
      </c>
      <c r="E13" s="12">
        <v>1505.1</v>
      </c>
      <c r="F13" s="12">
        <v>1719.7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72.8</v>
      </c>
      <c r="D14" s="12">
        <v>75.900000000000006</v>
      </c>
      <c r="E14" s="12">
        <v>30.8</v>
      </c>
      <c r="F14" s="12">
        <v>89.7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21</v>
      </c>
      <c r="D15" s="12">
        <v>41.8</v>
      </c>
      <c r="E15" s="12">
        <v>17.899999999999999</v>
      </c>
      <c r="F15" s="12">
        <v>27.1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f>635.7-11.6</f>
        <v>624.1</v>
      </c>
      <c r="D16" s="14">
        <v>500.3</v>
      </c>
      <c r="E16" s="14">
        <v>544.70000000000005</v>
      </c>
      <c r="F16" s="14">
        <f>1819.8+11.6</f>
        <v>1831.3999999999999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653"/>
  <sheetViews>
    <sheetView workbookViewId="0">
      <selection activeCell="A21" sqref="A21:F21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customWidth="1"/>
    <col min="10" max="10" width="10.85546875" style="16" customWidth="1"/>
    <col min="11" max="11" width="5.710937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37</v>
      </c>
      <c r="D5" s="160" t="s">
        <v>38</v>
      </c>
      <c r="E5" s="160" t="s">
        <v>39</v>
      </c>
      <c r="F5" s="160" t="s">
        <v>40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0">
        <v>11190.7</v>
      </c>
      <c r="D7" s="30">
        <v>13181.3</v>
      </c>
      <c r="E7" s="30">
        <v>13255.6</v>
      </c>
      <c r="F7" s="30">
        <v>15143.6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3581.4</v>
      </c>
      <c r="D8" s="12">
        <v>4574.3</v>
      </c>
      <c r="E8" s="12">
        <v>4863.8999999999996</v>
      </c>
      <c r="F8" s="12">
        <v>4987.8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879.2</v>
      </c>
      <c r="D9" s="12">
        <v>1000.3</v>
      </c>
      <c r="E9" s="12">
        <v>994.4</v>
      </c>
      <c r="F9" s="12">
        <v>1247.9000000000001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260.3</v>
      </c>
      <c r="D10" s="12">
        <v>397.4</v>
      </c>
      <c r="E10" s="12">
        <v>442.1</v>
      </c>
      <c r="F10" s="12">
        <v>623.6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2234.1</v>
      </c>
      <c r="D11" s="12">
        <v>2702.6</v>
      </c>
      <c r="E11" s="12">
        <v>2286.6999999999998</v>
      </c>
      <c r="F11" s="12">
        <v>2606.5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900.8</v>
      </c>
      <c r="D12" s="12">
        <v>1482.4</v>
      </c>
      <c r="E12" s="12">
        <v>1436.3</v>
      </c>
      <c r="F12" s="12">
        <v>1654.4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2362.5</v>
      </c>
      <c r="D13" s="12">
        <v>2185.3000000000002</v>
      </c>
      <c r="E13" s="12">
        <v>2392.3000000000002</v>
      </c>
      <c r="F13" s="12">
        <v>2930.1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74.400000000000006</v>
      </c>
      <c r="D14" s="12">
        <v>97.7</v>
      </c>
      <c r="E14" s="12">
        <v>103.3</v>
      </c>
      <c r="F14" s="12">
        <v>142.1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31.3</v>
      </c>
      <c r="D15" s="12">
        <v>55.1</v>
      </c>
      <c r="E15" s="12">
        <v>34.799999999999997</v>
      </c>
      <c r="F15" s="12">
        <v>62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866.7</v>
      </c>
      <c r="D16" s="14">
        <v>686.2</v>
      </c>
      <c r="E16" s="14">
        <v>701.8</v>
      </c>
      <c r="F16" s="14">
        <v>889.2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653"/>
  <sheetViews>
    <sheetView workbookViewId="0">
      <selection activeCell="F3" sqref="F3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hidden="1" customWidth="1"/>
    <col min="10" max="10" width="10.85546875" style="16" hidden="1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41</v>
      </c>
      <c r="D5" s="160" t="s">
        <v>42</v>
      </c>
      <c r="E5" s="160" t="s">
        <v>43</v>
      </c>
      <c r="F5" s="160" t="s">
        <v>44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0">
        <v>15162.9</v>
      </c>
      <c r="D7" s="30">
        <v>13060.9</v>
      </c>
      <c r="E7" s="30">
        <v>10523.6</v>
      </c>
      <c r="F7" s="30">
        <v>11594.8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5479.6</v>
      </c>
      <c r="D8" s="12">
        <v>4954.7</v>
      </c>
      <c r="E8" s="12">
        <v>3907.7</v>
      </c>
      <c r="F8" s="12">
        <v>4492.8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1489</v>
      </c>
      <c r="D9" s="12">
        <v>1205.5</v>
      </c>
      <c r="E9" s="12">
        <v>1316.1</v>
      </c>
      <c r="F9" s="12">
        <v>1407.9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480.9</v>
      </c>
      <c r="D10" s="12">
        <v>491.6</v>
      </c>
      <c r="E10" s="12">
        <v>284.2</v>
      </c>
      <c r="F10" s="12">
        <v>378.6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2240.8000000000002</v>
      </c>
      <c r="D11" s="12">
        <v>1915</v>
      </c>
      <c r="E11" s="12">
        <v>1738.4</v>
      </c>
      <c r="F11" s="12">
        <v>1581.8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1657.5</v>
      </c>
      <c r="D12" s="12">
        <v>1221.0999999999999</v>
      </c>
      <c r="E12" s="12">
        <v>870.5</v>
      </c>
      <c r="F12" s="12">
        <v>1001.4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3022.4</v>
      </c>
      <c r="D13" s="12">
        <v>2570.3000000000002</v>
      </c>
      <c r="E13" s="12">
        <v>1918</v>
      </c>
      <c r="F13" s="12">
        <v>2024.1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113.2</v>
      </c>
      <c r="D14" s="12">
        <v>131.80000000000001</v>
      </c>
      <c r="E14" s="12">
        <v>72.8</v>
      </c>
      <c r="F14" s="12">
        <v>92.5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62.2</v>
      </c>
      <c r="D15" s="13">
        <v>39.4</v>
      </c>
      <c r="E15" s="13">
        <v>59.5</v>
      </c>
      <c r="F15" s="13">
        <v>54.4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617.29999999999995</v>
      </c>
      <c r="D16" s="14">
        <v>531.5</v>
      </c>
      <c r="E16" s="14">
        <v>356.4</v>
      </c>
      <c r="F16" s="14">
        <v>561.29999999999995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653"/>
  <sheetViews>
    <sheetView workbookViewId="0">
      <selection activeCell="C20" sqref="C20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hidden="1" customWidth="1"/>
    <col min="10" max="10" width="10.85546875" style="16" hidden="1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45</v>
      </c>
      <c r="D5" s="160" t="s">
        <v>46</v>
      </c>
      <c r="E5" s="160" t="s">
        <v>47</v>
      </c>
      <c r="F5" s="160" t="s">
        <v>48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0">
        <v>11644.3</v>
      </c>
      <c r="D7" s="30">
        <v>11801.6</v>
      </c>
      <c r="E7" s="30">
        <v>12058.2</v>
      </c>
      <c r="F7" s="30">
        <v>13489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4442.3</v>
      </c>
      <c r="D8" s="12">
        <v>4381.6000000000004</v>
      </c>
      <c r="E8" s="12">
        <v>4571.7</v>
      </c>
      <c r="F8" s="12">
        <v>4494.8999999999996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1594.6</v>
      </c>
      <c r="D9" s="12">
        <v>1293.5999999999999</v>
      </c>
      <c r="E9" s="12">
        <v>1483.3</v>
      </c>
      <c r="F9" s="12">
        <v>1642.8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230.3</v>
      </c>
      <c r="D10" s="12">
        <v>329.6</v>
      </c>
      <c r="E10" s="12">
        <v>439.8</v>
      </c>
      <c r="F10" s="12">
        <v>360.3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1663.5</v>
      </c>
      <c r="D11" s="12">
        <v>1309.5</v>
      </c>
      <c r="E11" s="12">
        <v>830</v>
      </c>
      <c r="F11" s="12">
        <v>1496.8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1004</v>
      </c>
      <c r="D12" s="12">
        <v>1157.5999999999999</v>
      </c>
      <c r="E12" s="12">
        <v>1400.6</v>
      </c>
      <c r="F12" s="12">
        <v>1842.6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1953.2</v>
      </c>
      <c r="D13" s="12">
        <v>2783.3</v>
      </c>
      <c r="E13" s="12">
        <v>2607</v>
      </c>
      <c r="F13" s="12">
        <v>3173.6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75.5</v>
      </c>
      <c r="D14" s="12">
        <v>107.2</v>
      </c>
      <c r="E14" s="12">
        <v>180.9</v>
      </c>
      <c r="F14" s="12">
        <v>196.4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49.9</v>
      </c>
      <c r="D15" s="13">
        <v>42.1</v>
      </c>
      <c r="E15" s="13">
        <v>70.2</v>
      </c>
      <c r="F15" s="13">
        <v>83.7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631</v>
      </c>
      <c r="D16" s="14">
        <v>397.1</v>
      </c>
      <c r="E16" s="14">
        <v>474.7</v>
      </c>
      <c r="F16" s="14">
        <v>197.9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653"/>
  <sheetViews>
    <sheetView workbookViewId="0">
      <selection activeCell="A21" sqref="A21:F21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hidden="1" customWidth="1"/>
    <col min="10" max="10" width="10.85546875" style="16" hidden="1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49</v>
      </c>
      <c r="D5" s="160" t="s">
        <v>50</v>
      </c>
      <c r="E5" s="160" t="s">
        <v>51</v>
      </c>
      <c r="F5" s="160" t="s">
        <v>52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0">
        <v>13235.7</v>
      </c>
      <c r="D7" s="30">
        <v>13914.6</v>
      </c>
      <c r="E7" s="30">
        <v>12434.4</v>
      </c>
      <c r="F7" s="30">
        <v>14510.8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4409.3999999999996</v>
      </c>
      <c r="D8" s="12">
        <v>5134.09</v>
      </c>
      <c r="E8" s="12">
        <v>4333.91</v>
      </c>
      <c r="F8" s="12">
        <v>4829.7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1168.8</v>
      </c>
      <c r="D9" s="12">
        <v>1084.4000000000001</v>
      </c>
      <c r="E9" s="12">
        <v>1010.1</v>
      </c>
      <c r="F9" s="12">
        <v>1435.4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398.9</v>
      </c>
      <c r="D10" s="12">
        <v>165.3</v>
      </c>
      <c r="E10" s="12">
        <v>261.2</v>
      </c>
      <c r="F10" s="12">
        <v>248.2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1285.7</v>
      </c>
      <c r="D11" s="12">
        <v>1522.6</v>
      </c>
      <c r="E11" s="12">
        <v>1290.0999999999999</v>
      </c>
      <c r="F11" s="12">
        <v>1713.8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1782.4</v>
      </c>
      <c r="D12" s="12">
        <v>1983.8</v>
      </c>
      <c r="E12" s="12">
        <v>2120.1999999999998</v>
      </c>
      <c r="F12" s="12">
        <v>2793.1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2913.8</v>
      </c>
      <c r="D13" s="12">
        <v>2988.9</v>
      </c>
      <c r="E13" s="12">
        <v>2434.8000000000002</v>
      </c>
      <c r="F13" s="12">
        <v>2627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162.80000000000001</v>
      </c>
      <c r="D14" s="12">
        <v>133</v>
      </c>
      <c r="E14" s="12">
        <v>149.80000000000001</v>
      </c>
      <c r="F14" s="12">
        <v>179.5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97.2</v>
      </c>
      <c r="D15" s="13">
        <v>119.5</v>
      </c>
      <c r="E15" s="12">
        <v>85.8</v>
      </c>
      <c r="F15" s="12">
        <v>49.6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1016.7</v>
      </c>
      <c r="D16" s="14">
        <v>783.01000000000204</v>
      </c>
      <c r="E16" s="14">
        <v>748.48999999999705</v>
      </c>
      <c r="F16" s="14">
        <v>634.5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653"/>
  <sheetViews>
    <sheetView workbookViewId="0">
      <selection activeCell="F3" sqref="F3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hidden="1" customWidth="1"/>
    <col min="10" max="10" width="10.85546875" style="16" hidden="1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84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53</v>
      </c>
      <c r="D5" s="160" t="s">
        <v>54</v>
      </c>
      <c r="E5" s="160" t="s">
        <v>55</v>
      </c>
      <c r="F5" s="160" t="s">
        <v>56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8">
        <f>SUM(C8:C16)</f>
        <v>14715.699999999999</v>
      </c>
      <c r="D7" s="38">
        <f>SUM(D8:D16)</f>
        <v>14796.699999999999</v>
      </c>
      <c r="E7" s="38">
        <f>SUM(E8:E16)</f>
        <v>14526.3</v>
      </c>
      <c r="F7" s="38">
        <f>SUM(F8:F16)</f>
        <v>15172.2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4681</v>
      </c>
      <c r="D8" s="12">
        <v>4693.6000000000004</v>
      </c>
      <c r="E8" s="12">
        <v>4449.7</v>
      </c>
      <c r="F8" s="12">
        <v>5458.1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1412.9</v>
      </c>
      <c r="D9" s="12">
        <v>1336.4</v>
      </c>
      <c r="E9" s="12">
        <v>1594.3</v>
      </c>
      <c r="F9" s="12">
        <v>1756.3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347</v>
      </c>
      <c r="D10" s="12">
        <v>640.70000000000005</v>
      </c>
      <c r="E10" s="12">
        <v>680.7</v>
      </c>
      <c r="F10" s="12">
        <v>909.9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1524.9</v>
      </c>
      <c r="D11" s="12">
        <v>1320.5</v>
      </c>
      <c r="E11" s="12">
        <v>833.9</v>
      </c>
      <c r="F11" s="12">
        <v>1135.5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2490.3000000000002</v>
      </c>
      <c r="D12" s="12">
        <v>2362.1999999999998</v>
      </c>
      <c r="E12" s="12">
        <v>2665.5</v>
      </c>
      <c r="F12" s="12">
        <v>2663.8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2827.2</v>
      </c>
      <c r="D13" s="12">
        <v>2963.5</v>
      </c>
      <c r="E13" s="12">
        <v>2964.5</v>
      </c>
      <c r="F13" s="12">
        <v>2920.7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140.1</v>
      </c>
      <c r="D14" s="12">
        <v>159.5</v>
      </c>
      <c r="E14" s="12">
        <v>145.19999999999999</v>
      </c>
      <c r="F14" s="12">
        <v>60.2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62.5</v>
      </c>
      <c r="D15" s="12">
        <v>97.9</v>
      </c>
      <c r="E15" s="12">
        <v>117.7</v>
      </c>
      <c r="F15" s="12">
        <v>149.19999999999999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1229.8</v>
      </c>
      <c r="D16" s="14">
        <v>1222.4000000000001</v>
      </c>
      <c r="E16" s="14">
        <v>1074.8</v>
      </c>
      <c r="F16" s="14">
        <v>118.5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1653"/>
  <sheetViews>
    <sheetView workbookViewId="0">
      <selection activeCell="A19" sqref="A19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customWidth="1"/>
    <col min="10" max="10" width="10.85546875" style="16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3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58</v>
      </c>
      <c r="D5" s="160" t="s">
        <v>59</v>
      </c>
      <c r="E5" s="160" t="s">
        <v>60</v>
      </c>
      <c r="F5" s="160" t="s">
        <v>61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8">
        <f>SUM(C8:C16)</f>
        <v>13716.800000000001</v>
      </c>
      <c r="D7" s="38">
        <f>SUM(D8:D16)</f>
        <v>16411.7</v>
      </c>
      <c r="E7" s="38">
        <f>SUM(E8:E16)</f>
        <v>13530.300000000001</v>
      </c>
      <c r="F7" s="38">
        <f>SUM(F8:F16)</f>
        <v>14024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4236.5</v>
      </c>
      <c r="D8" s="12">
        <v>4824.2</v>
      </c>
      <c r="E8" s="12">
        <v>4072.1</v>
      </c>
      <c r="F8" s="12">
        <v>4549.3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1294.7</v>
      </c>
      <c r="D9" s="12">
        <v>1417.2</v>
      </c>
      <c r="E9" s="12">
        <v>1138.7</v>
      </c>
      <c r="F9" s="12">
        <v>1227.7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560.4</v>
      </c>
      <c r="D10" s="12">
        <v>588.4</v>
      </c>
      <c r="E10" s="12">
        <v>449.1</v>
      </c>
      <c r="F10" s="12">
        <v>447.6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970.9</v>
      </c>
      <c r="D11" s="12">
        <v>954</v>
      </c>
      <c r="E11" s="12">
        <v>981.9</v>
      </c>
      <c r="F11" s="12">
        <v>1070.2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2475.9</v>
      </c>
      <c r="D12" s="12">
        <v>3233.4</v>
      </c>
      <c r="E12" s="12">
        <v>2738.9</v>
      </c>
      <c r="F12" s="12">
        <v>2519.9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2760.8</v>
      </c>
      <c r="D13" s="12">
        <v>3345.8</v>
      </c>
      <c r="E13" s="12">
        <v>2886</v>
      </c>
      <c r="F13" s="12">
        <v>2933.1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143.6</v>
      </c>
      <c r="D14" s="12">
        <v>174.1</v>
      </c>
      <c r="E14" s="12">
        <v>136.5</v>
      </c>
      <c r="F14" s="12">
        <v>106.8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87.2</v>
      </c>
      <c r="D15" s="12">
        <v>55.1</v>
      </c>
      <c r="E15" s="12">
        <v>129.4</v>
      </c>
      <c r="F15" s="12">
        <v>85.1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1186.8</v>
      </c>
      <c r="D16" s="14">
        <v>1819.5</v>
      </c>
      <c r="E16" s="14">
        <v>997.7</v>
      </c>
      <c r="F16" s="14">
        <v>1084.3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1653"/>
  <sheetViews>
    <sheetView workbookViewId="0">
      <selection activeCell="H8" sqref="H8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6" width="20.7109375" style="17" customWidth="1"/>
    <col min="7" max="7" width="9.5703125" style="16" bestFit="1" customWidth="1"/>
    <col min="8" max="8" width="11.5703125" style="16" bestFit="1" customWidth="1"/>
    <col min="9" max="9" width="9.140625" style="16" customWidth="1"/>
    <col min="10" max="10" width="10.85546875" style="16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3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62</v>
      </c>
      <c r="D5" s="160" t="s">
        <v>63</v>
      </c>
      <c r="E5" s="160" t="s">
        <v>64</v>
      </c>
      <c r="F5" s="160" t="s">
        <v>65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76</v>
      </c>
      <c r="B7" s="42" t="s">
        <v>12</v>
      </c>
      <c r="C7" s="38">
        <v>13807.8</v>
      </c>
      <c r="D7" s="38">
        <v>14655.000000000002</v>
      </c>
      <c r="E7" s="38">
        <v>15535.900000000001</v>
      </c>
      <c r="F7" s="38">
        <v>16183.2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3938.3</v>
      </c>
      <c r="D8" s="12">
        <v>3910.3999999999996</v>
      </c>
      <c r="E8" s="12">
        <v>4274.2</v>
      </c>
      <c r="F8" s="12">
        <f>4106.1-0.1</f>
        <v>4106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1178.2</v>
      </c>
      <c r="D9" s="12">
        <v>1102.5999999999999</v>
      </c>
      <c r="E9" s="12">
        <v>1060.3</v>
      </c>
      <c r="F9" s="12">
        <v>946.3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321.7</v>
      </c>
      <c r="D10" s="12">
        <v>568.79999999999995</v>
      </c>
      <c r="E10" s="12">
        <v>881.2</v>
      </c>
      <c r="F10" s="12">
        <v>861.3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1045.3</v>
      </c>
      <c r="D11" s="12">
        <v>980.5</v>
      </c>
      <c r="E11" s="12">
        <v>953.59999999999991</v>
      </c>
      <c r="F11" s="12">
        <f>1188.5-0.1</f>
        <v>1188.4000000000001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3568.1</v>
      </c>
      <c r="D12" s="12">
        <v>4134.8999999999996</v>
      </c>
      <c r="E12" s="12">
        <v>4110.3999999999996</v>
      </c>
      <c r="F12" s="12">
        <f>4865.6+0.1</f>
        <v>4865.7000000000007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2719.1</v>
      </c>
      <c r="D13" s="12">
        <v>2919.7</v>
      </c>
      <c r="E13" s="12">
        <v>3291.6</v>
      </c>
      <c r="F13" s="12">
        <v>3228.2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89.5</v>
      </c>
      <c r="D14" s="12">
        <v>121.19999999999999</v>
      </c>
      <c r="E14" s="12">
        <v>106.4</v>
      </c>
      <c r="F14" s="12">
        <f>158.9-0.1</f>
        <v>158.80000000000001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77.3</v>
      </c>
      <c r="D15" s="12">
        <v>39</v>
      </c>
      <c r="E15" s="12">
        <v>83</v>
      </c>
      <c r="F15" s="12">
        <v>57.9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870.29999999999859</v>
      </c>
      <c r="D16" s="14">
        <v>877.90000000000305</v>
      </c>
      <c r="E16" s="14">
        <v>775.20000000000084</v>
      </c>
      <c r="F16" s="14">
        <f>770.4+0.2</f>
        <v>770.6</v>
      </c>
      <c r="G16" s="34"/>
      <c r="H16" s="36"/>
      <c r="I16" s="20"/>
      <c r="J16" s="27"/>
      <c r="L16" s="22"/>
      <c r="M16" s="20"/>
      <c r="N16" s="16"/>
    </row>
    <row r="17" spans="1:14" s="7" customFormat="1" ht="18" customHeight="1">
      <c r="A17" s="19" t="s">
        <v>77</v>
      </c>
      <c r="B17" s="66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8" customHeight="1">
      <c r="A18" s="40"/>
      <c r="B18" s="32"/>
      <c r="C18" s="32"/>
      <c r="D18" s="32"/>
      <c r="E18" s="32"/>
      <c r="F18" s="32"/>
      <c r="G18" s="31"/>
      <c r="H18" s="31"/>
      <c r="J18" s="24"/>
      <c r="L18" s="16"/>
      <c r="N18" s="16"/>
    </row>
    <row r="19" spans="1:14" s="7" customFormat="1" ht="18" customHeight="1">
      <c r="B19" s="33"/>
      <c r="C19" s="33"/>
      <c r="D19" s="33"/>
      <c r="E19" s="33"/>
      <c r="F19" s="33"/>
      <c r="G19" s="15"/>
      <c r="J19" s="27"/>
      <c r="K19" s="16"/>
      <c r="L19" s="16"/>
      <c r="N19" s="16"/>
    </row>
    <row r="20" spans="1:14">
      <c r="J20" s="24"/>
      <c r="M20" s="7"/>
    </row>
    <row r="21" spans="1:14" s="7" customFormat="1" ht="18" customHeight="1">
      <c r="A21" s="159"/>
      <c r="B21" s="159"/>
      <c r="C21" s="159"/>
      <c r="D21" s="159"/>
      <c r="E21" s="159"/>
      <c r="F21" s="159"/>
      <c r="G21" s="15"/>
      <c r="J21" s="27"/>
      <c r="K21" s="16"/>
      <c r="L21" s="16"/>
      <c r="N21" s="16"/>
    </row>
    <row r="22" spans="1:14" ht="18" customHeight="1">
      <c r="J22" s="24"/>
      <c r="M22" s="7"/>
    </row>
    <row r="23" spans="1:14" ht="18" customHeight="1">
      <c r="J23" s="27"/>
      <c r="M23" s="7"/>
    </row>
    <row r="24" spans="1:14" ht="18" customHeight="1">
      <c r="J24" s="24"/>
    </row>
    <row r="25" spans="1:14" ht="18" customHeight="1"/>
    <row r="26" spans="1:14" ht="18" customHeight="1"/>
    <row r="27" spans="1:14" ht="18" customHeight="1"/>
    <row r="28" spans="1:14" ht="18" customHeight="1"/>
    <row r="29" spans="1:14" ht="18" customHeight="1">
      <c r="A29" s="7"/>
    </row>
    <row r="30" spans="1:14" ht="18" customHeight="1"/>
    <row r="31" spans="1:14" ht="20.100000000000001" customHeight="1">
      <c r="A31"/>
    </row>
    <row r="32" spans="1:14" ht="20.100000000000001" customHeight="1">
      <c r="A32" s="7"/>
      <c r="B32" s="16"/>
      <c r="C32" s="16"/>
      <c r="D32" s="16"/>
      <c r="E32" s="16"/>
      <c r="F32" s="16"/>
    </row>
    <row r="33" spans="1:6" ht="20.100000000000001" customHeight="1">
      <c r="B33" s="16"/>
      <c r="C33" s="16"/>
      <c r="D33" s="16"/>
      <c r="E33" s="16"/>
      <c r="F33" s="16"/>
    </row>
    <row r="34" spans="1:6" ht="20.100000000000001" customHeight="1">
      <c r="B34" s="16"/>
      <c r="C34" s="16"/>
      <c r="D34" s="16"/>
      <c r="E34" s="16"/>
      <c r="F34" s="16"/>
    </row>
    <row r="35" spans="1:6" ht="20.100000000000001" customHeight="1">
      <c r="B35" s="16"/>
      <c r="C35" s="16"/>
      <c r="D35" s="16"/>
      <c r="E35" s="16"/>
      <c r="F35" s="16"/>
    </row>
    <row r="36" spans="1:6" ht="20.100000000000001" customHeight="1">
      <c r="B36" s="16"/>
      <c r="C36" s="16"/>
      <c r="D36" s="16"/>
      <c r="E36" s="16"/>
      <c r="F36" s="16"/>
    </row>
    <row r="37" spans="1:6" ht="20.100000000000001" customHeight="1">
      <c r="B37" s="16"/>
      <c r="C37" s="16"/>
      <c r="D37" s="16"/>
      <c r="E37" s="16"/>
      <c r="F37" s="16"/>
    </row>
    <row r="38" spans="1:6" ht="20.100000000000001" customHeight="1">
      <c r="B38" s="16"/>
      <c r="C38" s="16"/>
      <c r="D38" s="16"/>
      <c r="E38" s="16"/>
      <c r="F38" s="16"/>
    </row>
    <row r="39" spans="1:6" ht="20.100000000000001" customHeight="1">
      <c r="B39" s="16"/>
      <c r="C39" s="16"/>
      <c r="D39" s="16"/>
      <c r="E39" s="16"/>
      <c r="F39" s="16"/>
    </row>
    <row r="40" spans="1:6" ht="20.100000000000001" customHeight="1">
      <c r="B40" s="16"/>
      <c r="C40" s="16"/>
      <c r="D40" s="16"/>
      <c r="E40" s="16"/>
      <c r="F40" s="16"/>
    </row>
    <row r="41" spans="1:6" ht="20.100000000000001" customHeight="1">
      <c r="B41" s="16"/>
      <c r="C41" s="16"/>
      <c r="D41" s="16"/>
      <c r="E41" s="16"/>
      <c r="F41" s="16"/>
    </row>
    <row r="42" spans="1:6" ht="20.100000000000001" customHeight="1">
      <c r="B42" s="16"/>
      <c r="C42" s="16"/>
      <c r="D42" s="16"/>
      <c r="E42" s="16"/>
      <c r="F42" s="16"/>
    </row>
    <row r="43" spans="1:6" ht="20.100000000000001" customHeight="1">
      <c r="B43" s="16"/>
      <c r="C43" s="16"/>
      <c r="D43" s="16"/>
      <c r="E43" s="16"/>
      <c r="F43" s="16"/>
    </row>
    <row r="44" spans="1:6" ht="20.100000000000001" customHeight="1">
      <c r="B44" s="16"/>
      <c r="C44" s="16"/>
      <c r="D44" s="16"/>
      <c r="E44" s="16"/>
      <c r="F44" s="16"/>
    </row>
    <row r="45" spans="1:6" ht="20.100000000000001" customHeight="1">
      <c r="B45" s="16"/>
      <c r="C45" s="16"/>
      <c r="D45" s="16"/>
      <c r="E45" s="16"/>
      <c r="F45" s="16"/>
    </row>
    <row r="46" spans="1:6" ht="20.100000000000001" customHeight="1">
      <c r="B46" s="16"/>
      <c r="C46" s="16"/>
      <c r="D46" s="16"/>
      <c r="E46" s="16"/>
      <c r="F46" s="16"/>
    </row>
    <row r="47" spans="1:6" ht="20.100000000000001" customHeight="1">
      <c r="B47" s="16"/>
      <c r="C47" s="16"/>
      <c r="D47" s="16"/>
      <c r="E47" s="16"/>
      <c r="F47" s="16"/>
    </row>
    <row r="48" spans="1:6" ht="20.100000000000001" customHeight="1">
      <c r="A48" s="16"/>
      <c r="B48" s="16"/>
      <c r="C48" s="16"/>
      <c r="D48" s="16"/>
      <c r="E48" s="16"/>
      <c r="F48" s="16"/>
    </row>
    <row r="49" s="16" customFormat="1" ht="20.100000000000001" customHeight="1"/>
    <row r="50" s="16" customFormat="1" ht="20.100000000000001" customHeight="1"/>
    <row r="51" s="16" customFormat="1" ht="20.100000000000001" customHeight="1"/>
    <row r="52" s="16" customFormat="1" ht="20.100000000000001" customHeight="1"/>
    <row r="53" s="16" customFormat="1" ht="20.100000000000001" customHeight="1"/>
    <row r="54" s="16" customFormat="1" ht="20.100000000000001" customHeight="1"/>
    <row r="55" s="16" customFormat="1" ht="20.100000000000001" customHeight="1"/>
    <row r="56" s="16" customFormat="1" ht="20.100000000000001" customHeight="1"/>
    <row r="57" s="16" customFormat="1" ht="20.100000000000001" customHeight="1"/>
    <row r="58" s="16" customFormat="1" ht="20.100000000000001" customHeight="1"/>
    <row r="59" s="16" customFormat="1" ht="20.100000000000001" customHeight="1"/>
    <row r="60" s="16" customFormat="1" ht="20.100000000000001" customHeight="1"/>
    <row r="61" s="16" customFormat="1" ht="20.100000000000001" customHeight="1"/>
    <row r="62" s="16" customFormat="1" ht="20.100000000000001" customHeight="1"/>
    <row r="63" s="16" customFormat="1" ht="20.100000000000001" customHeight="1"/>
    <row r="64" s="16" customFormat="1" ht="20.100000000000001" customHeight="1"/>
    <row r="65" s="16" customFormat="1" ht="20.100000000000001" customHeight="1"/>
    <row r="66" s="16" customFormat="1" ht="20.100000000000001" customHeight="1"/>
    <row r="67" s="16" customFormat="1" ht="20.100000000000001" customHeight="1"/>
    <row r="68" s="16" customFormat="1" ht="20.100000000000001" customHeight="1"/>
    <row r="69" s="16" customFormat="1" ht="20.100000000000001" customHeight="1"/>
    <row r="70" s="16" customFormat="1" ht="20.100000000000001" customHeight="1"/>
    <row r="71" s="16" customFormat="1" ht="20.100000000000001" customHeight="1"/>
    <row r="72" s="16" customFormat="1" ht="20.100000000000001" customHeight="1"/>
    <row r="73" s="16" customFormat="1" ht="20.100000000000001" customHeight="1"/>
    <row r="74" s="16" customFormat="1" ht="20.100000000000001" customHeight="1"/>
    <row r="75" s="16" customFormat="1" ht="20.100000000000001" customHeight="1"/>
    <row r="76" s="16" customFormat="1" ht="20.100000000000001" customHeight="1"/>
    <row r="77" s="16" customFormat="1" ht="20.100000000000001" customHeight="1"/>
    <row r="78" s="16" customFormat="1" ht="20.100000000000001" customHeight="1"/>
    <row r="79" s="16" customFormat="1" ht="20.100000000000001" customHeight="1"/>
    <row r="80" s="16" customFormat="1" ht="20.100000000000001" customHeight="1"/>
    <row r="81" s="16" customFormat="1" ht="20.100000000000001" customHeight="1"/>
    <row r="82" s="16" customFormat="1" ht="20.100000000000001" customHeight="1"/>
    <row r="83" s="16" customFormat="1" ht="20.100000000000001" customHeight="1"/>
    <row r="84" s="16" customFormat="1" ht="20.100000000000001" customHeight="1"/>
    <row r="85" s="16" customFormat="1" ht="20.100000000000001" customHeight="1"/>
    <row r="86" s="16" customFormat="1" ht="20.100000000000001" customHeight="1"/>
    <row r="87" s="16" customFormat="1" ht="20.100000000000001" customHeight="1"/>
    <row r="88" s="16" customFormat="1" ht="20.100000000000001" customHeight="1"/>
    <row r="89" s="16" customFormat="1" ht="20.100000000000001" customHeight="1"/>
    <row r="90" s="16" customFormat="1" ht="20.100000000000001" customHeight="1"/>
    <row r="91" s="16" customFormat="1" ht="20.100000000000001" customHeight="1"/>
    <row r="92" s="16" customFormat="1" ht="20.100000000000001" customHeight="1"/>
    <row r="93" s="16" customFormat="1" ht="20.100000000000001" customHeight="1"/>
    <row r="94" s="16" customFormat="1" ht="20.100000000000001" customHeight="1"/>
    <row r="95" s="16" customFormat="1" ht="20.100000000000001" customHeight="1"/>
    <row r="96" s="16" customFormat="1" ht="20.100000000000001" customHeight="1"/>
    <row r="97" s="16" customFormat="1" ht="20.100000000000001" customHeight="1"/>
    <row r="98" s="16" customFormat="1" ht="20.100000000000001" customHeight="1"/>
    <row r="99" s="16" customFormat="1" ht="20.100000000000001" customHeight="1"/>
    <row r="100" s="16" customFormat="1" ht="20.100000000000001" customHeight="1"/>
    <row r="101" s="16" customFormat="1" ht="20.100000000000001" customHeight="1"/>
    <row r="102" s="16" customFormat="1" ht="20.100000000000001" customHeight="1"/>
    <row r="103" s="16" customFormat="1" ht="20.100000000000001" customHeight="1"/>
    <row r="104" s="16" customFormat="1" ht="20.100000000000001" customHeight="1"/>
    <row r="105" s="16" customFormat="1" ht="20.100000000000001" customHeight="1"/>
    <row r="106" s="16" customFormat="1" ht="20.100000000000001" customHeight="1"/>
    <row r="107" s="16" customFormat="1" ht="20.100000000000001" customHeight="1"/>
    <row r="108" s="16" customFormat="1" ht="20.100000000000001" customHeight="1"/>
    <row r="109" s="16" customFormat="1" ht="20.100000000000001" customHeight="1"/>
    <row r="110" s="16" customFormat="1" ht="20.100000000000001" customHeight="1"/>
    <row r="111" s="16" customFormat="1" ht="20.100000000000001" customHeight="1"/>
    <row r="112" s="16" customFormat="1" ht="20.100000000000001" customHeight="1"/>
    <row r="113" s="16" customFormat="1" ht="20.100000000000001" customHeight="1"/>
    <row r="114" s="16" customFormat="1" ht="20.100000000000001" customHeight="1"/>
    <row r="115" s="16" customFormat="1" ht="20.100000000000001" customHeight="1"/>
    <row r="116" s="16" customFormat="1" ht="20.100000000000001" customHeight="1"/>
    <row r="117" s="16" customFormat="1" ht="20.100000000000001" customHeight="1"/>
    <row r="118" s="16" customFormat="1" ht="20.100000000000001" customHeight="1"/>
    <row r="119" s="16" customFormat="1" ht="20.100000000000001" customHeight="1"/>
    <row r="120" s="16" customFormat="1" ht="20.100000000000001" customHeight="1"/>
    <row r="121" s="16" customFormat="1" ht="20.100000000000001" customHeight="1"/>
    <row r="122" s="16" customFormat="1" ht="20.100000000000001" customHeight="1"/>
    <row r="123" s="16" customFormat="1" ht="20.100000000000001" customHeight="1"/>
    <row r="124" s="16" customFormat="1" ht="20.100000000000001" customHeight="1"/>
    <row r="125" s="16" customFormat="1" ht="20.100000000000001" customHeight="1"/>
    <row r="126" s="16" customFormat="1" ht="20.100000000000001" customHeight="1"/>
    <row r="127" s="16" customFormat="1" ht="20.100000000000001" customHeight="1"/>
    <row r="128" s="16" customFormat="1" ht="20.100000000000001" customHeight="1"/>
    <row r="129" s="16" customFormat="1" ht="20.100000000000001" customHeight="1"/>
    <row r="130" s="16" customFormat="1" ht="20.100000000000001" customHeight="1"/>
    <row r="131" s="16" customFormat="1" ht="20.100000000000001" customHeight="1"/>
    <row r="132" s="16" customFormat="1" ht="20.100000000000001" customHeight="1"/>
    <row r="133" s="16" customFormat="1" ht="20.100000000000001" customHeight="1"/>
    <row r="134" s="16" customFormat="1" ht="20.100000000000001" customHeight="1"/>
    <row r="135" s="16" customFormat="1" ht="20.100000000000001" customHeight="1"/>
    <row r="136" s="16" customFormat="1" ht="20.100000000000001" customHeight="1"/>
    <row r="137" s="16" customFormat="1" ht="20.100000000000001" customHeight="1"/>
    <row r="138" s="16" customFormat="1" ht="20.100000000000001" customHeight="1"/>
    <row r="139" s="16" customFormat="1" ht="20.100000000000001" customHeight="1"/>
    <row r="140" s="16" customFormat="1" ht="20.100000000000001" customHeight="1"/>
    <row r="141" s="16" customFormat="1" ht="20.100000000000001" customHeight="1"/>
    <row r="142" s="16" customFormat="1" ht="20.100000000000001" customHeight="1"/>
    <row r="143" s="16" customFormat="1" ht="20.100000000000001" customHeight="1"/>
    <row r="144" s="16" customFormat="1" ht="20.100000000000001" customHeight="1"/>
    <row r="145" s="16" customFormat="1" ht="20.100000000000001" customHeight="1"/>
    <row r="146" s="16" customFormat="1" ht="20.100000000000001" customHeight="1"/>
    <row r="147" s="16" customFormat="1" ht="20.100000000000001" customHeight="1"/>
    <row r="148" s="16" customFormat="1" ht="20.100000000000001" customHeight="1"/>
    <row r="149" s="16" customFormat="1" ht="20.100000000000001" customHeight="1"/>
    <row r="150" s="16" customFormat="1" ht="20.100000000000001" customHeight="1"/>
    <row r="151" s="16" customFormat="1" ht="20.100000000000001" customHeight="1"/>
    <row r="152" s="16" customFormat="1" ht="20.100000000000001" customHeight="1"/>
    <row r="153" s="16" customFormat="1" ht="20.100000000000001" customHeight="1"/>
    <row r="154" s="16" customFormat="1" ht="20.100000000000001" customHeight="1"/>
    <row r="155" s="16" customFormat="1" ht="20.100000000000001" customHeight="1"/>
    <row r="156" s="16" customFormat="1" ht="20.100000000000001" customHeight="1"/>
    <row r="157" s="16" customFormat="1" ht="20.100000000000001" customHeight="1"/>
    <row r="158" s="16" customFormat="1" ht="20.100000000000001" customHeight="1"/>
    <row r="159" s="16" customFormat="1" ht="20.100000000000001" customHeight="1"/>
    <row r="160" s="16" customFormat="1" ht="20.100000000000001" customHeight="1"/>
    <row r="161" s="16" customFormat="1" ht="20.100000000000001" customHeight="1"/>
    <row r="162" s="16" customFormat="1" ht="20.100000000000001" customHeight="1"/>
    <row r="163" s="16" customFormat="1" ht="20.100000000000001" customHeight="1"/>
    <row r="164" s="16" customFormat="1" ht="20.100000000000001" customHeight="1"/>
    <row r="165" s="16" customFormat="1" ht="20.100000000000001" customHeight="1"/>
    <row r="166" s="16" customFormat="1" ht="20.100000000000001" customHeight="1"/>
    <row r="167" s="16" customFormat="1" ht="20.100000000000001" customHeight="1"/>
    <row r="168" s="16" customFormat="1" ht="20.100000000000001" customHeight="1"/>
    <row r="169" s="16" customFormat="1" ht="20.100000000000001" customHeight="1"/>
    <row r="170" s="16" customFormat="1" ht="20.100000000000001" customHeight="1"/>
    <row r="171" s="16" customFormat="1" ht="20.100000000000001" customHeight="1"/>
    <row r="172" s="16" customFormat="1" ht="20.100000000000001" customHeight="1"/>
    <row r="173" s="16" customFormat="1" ht="20.100000000000001" customHeight="1"/>
    <row r="174" s="16" customFormat="1" ht="20.100000000000001" customHeight="1"/>
    <row r="175" s="16" customFormat="1" ht="20.100000000000001" customHeight="1"/>
    <row r="176" s="16" customFormat="1" ht="20.100000000000001" customHeight="1"/>
    <row r="177" s="16" customFormat="1" ht="20.100000000000001" customHeight="1"/>
    <row r="178" s="16" customFormat="1" ht="20.100000000000001" customHeight="1"/>
    <row r="179" s="16" customFormat="1" ht="20.100000000000001" customHeight="1"/>
    <row r="180" s="16" customFormat="1" ht="20.100000000000001" customHeight="1"/>
    <row r="181" s="16" customFormat="1" ht="20.100000000000001" customHeight="1"/>
    <row r="182" s="16" customFormat="1" ht="20.100000000000001" customHeight="1"/>
    <row r="183" s="16" customFormat="1" ht="20.100000000000001" customHeight="1"/>
    <row r="184" s="16" customFormat="1" ht="20.100000000000001" customHeight="1"/>
    <row r="185" s="16" customFormat="1" ht="20.100000000000001" customHeight="1"/>
    <row r="186" s="16" customFormat="1" ht="20.100000000000001" customHeight="1"/>
    <row r="187" s="16" customFormat="1" ht="20.100000000000001" customHeight="1"/>
    <row r="188" s="16" customFormat="1" ht="20.100000000000001" customHeight="1"/>
    <row r="189" s="16" customFormat="1" ht="20.100000000000001" customHeight="1"/>
    <row r="190" s="16" customFormat="1" ht="20.100000000000001" customHeight="1"/>
    <row r="191" s="16" customFormat="1" ht="20.100000000000001" customHeight="1"/>
    <row r="192" s="16" customFormat="1" ht="20.100000000000001" customHeight="1"/>
    <row r="193" s="16" customFormat="1" ht="20.100000000000001" customHeight="1"/>
    <row r="194" s="16" customFormat="1" ht="20.100000000000001" customHeight="1"/>
    <row r="195" s="16" customFormat="1" ht="20.100000000000001" customHeight="1"/>
    <row r="196" s="16" customFormat="1" ht="20.100000000000001" customHeight="1"/>
    <row r="197" s="16" customFormat="1" ht="20.100000000000001" customHeight="1"/>
    <row r="198" s="16" customFormat="1" ht="20.100000000000001" customHeight="1"/>
    <row r="199" s="16" customFormat="1" ht="20.100000000000001" customHeight="1"/>
    <row r="200" s="16" customFormat="1" ht="20.100000000000001" customHeight="1"/>
    <row r="201" s="16" customFormat="1" ht="20.100000000000001" customHeight="1"/>
    <row r="202" s="16" customFormat="1" ht="20.100000000000001" customHeight="1"/>
    <row r="203" s="16" customFormat="1" ht="20.100000000000001" customHeight="1"/>
    <row r="204" s="16" customFormat="1" ht="20.100000000000001" customHeight="1"/>
    <row r="205" s="16" customFormat="1" ht="20.100000000000001" customHeight="1"/>
    <row r="206" s="16" customFormat="1" ht="20.100000000000001" customHeight="1"/>
    <row r="207" s="16" customFormat="1" ht="20.100000000000001" customHeight="1"/>
    <row r="208" s="16" customFormat="1" ht="20.100000000000001" customHeight="1"/>
    <row r="209" s="16" customFormat="1" ht="20.100000000000001" customHeight="1"/>
    <row r="210" s="16" customFormat="1" ht="20.100000000000001" customHeight="1"/>
    <row r="211" s="16" customFormat="1" ht="20.100000000000001" customHeight="1"/>
    <row r="212" s="16" customFormat="1" ht="20.100000000000001" customHeight="1"/>
    <row r="213" s="16" customFormat="1" ht="20.100000000000001" customHeight="1"/>
    <row r="214" s="16" customFormat="1" ht="20.100000000000001" customHeight="1"/>
    <row r="215" s="16" customFormat="1" ht="20.100000000000001" customHeight="1"/>
    <row r="216" s="16" customFormat="1" ht="20.100000000000001" customHeight="1"/>
    <row r="217" s="16" customFormat="1" ht="20.100000000000001" customHeight="1"/>
    <row r="218" s="16" customFormat="1" ht="20.100000000000001" customHeight="1"/>
    <row r="219" s="16" customFormat="1" ht="20.100000000000001" customHeight="1"/>
    <row r="220" s="16" customFormat="1" ht="20.100000000000001" customHeight="1"/>
    <row r="221" s="16" customFormat="1" ht="20.100000000000001" customHeight="1"/>
    <row r="222" s="16" customFormat="1" ht="20.100000000000001" customHeight="1"/>
    <row r="223" s="16" customFormat="1" ht="20.100000000000001" customHeight="1"/>
    <row r="224" s="16" customFormat="1" ht="20.100000000000001" customHeight="1"/>
    <row r="225" s="16" customFormat="1" ht="20.100000000000001" customHeight="1"/>
    <row r="226" s="16" customFormat="1" ht="20.100000000000001" customHeight="1"/>
    <row r="227" s="16" customFormat="1" ht="20.100000000000001" customHeight="1"/>
    <row r="228" s="16" customFormat="1" ht="20.100000000000001" customHeight="1"/>
    <row r="229" s="16" customFormat="1" ht="20.100000000000001" customHeight="1"/>
    <row r="230" s="16" customFormat="1" ht="20.100000000000001" customHeight="1"/>
    <row r="231" s="16" customFormat="1" ht="20.100000000000001" customHeight="1"/>
    <row r="232" s="16" customFormat="1" ht="20.100000000000001" customHeight="1"/>
    <row r="233" s="16" customFormat="1" ht="20.100000000000001" customHeight="1"/>
    <row r="234" s="16" customFormat="1" ht="20.100000000000001" customHeight="1"/>
    <row r="235" s="16" customFormat="1" ht="20.100000000000001" customHeight="1"/>
    <row r="236" s="16" customFormat="1" ht="20.100000000000001" customHeight="1"/>
    <row r="237" s="16" customFormat="1" ht="20.100000000000001" customHeight="1"/>
    <row r="238" s="16" customFormat="1" ht="20.100000000000001" customHeight="1"/>
    <row r="239" s="16" customFormat="1" ht="20.100000000000001" customHeight="1"/>
    <row r="240" s="16" customFormat="1" ht="20.100000000000001" customHeight="1"/>
    <row r="241" s="16" customFormat="1" ht="20.100000000000001" customHeight="1"/>
    <row r="242" s="16" customFormat="1" ht="20.100000000000001" customHeight="1"/>
    <row r="243" s="16" customFormat="1" ht="20.100000000000001" customHeight="1"/>
    <row r="244" s="16" customFormat="1" ht="20.100000000000001" customHeight="1"/>
    <row r="245" s="16" customFormat="1" ht="20.100000000000001" customHeight="1"/>
    <row r="246" s="16" customFormat="1" ht="20.100000000000001" customHeight="1"/>
    <row r="247" s="16" customFormat="1" ht="20.100000000000001" customHeight="1"/>
    <row r="248" s="16" customFormat="1" ht="20.100000000000001" customHeight="1"/>
    <row r="249" s="16" customFormat="1" ht="20.100000000000001" customHeight="1"/>
    <row r="250" s="16" customFormat="1" ht="20.100000000000001" customHeight="1"/>
    <row r="251" s="16" customFormat="1" ht="20.100000000000001" customHeight="1"/>
    <row r="252" s="16" customFormat="1" ht="20.100000000000001" customHeight="1"/>
    <row r="253" s="16" customFormat="1" ht="20.100000000000001" customHeight="1"/>
    <row r="254" s="16" customFormat="1" ht="20.100000000000001" customHeight="1"/>
    <row r="255" s="16" customFormat="1" ht="20.100000000000001" customHeight="1"/>
    <row r="256" s="16" customFormat="1" ht="20.100000000000001" customHeight="1"/>
    <row r="257" s="16" customFormat="1" ht="20.100000000000001" customHeight="1"/>
    <row r="258" s="16" customFormat="1" ht="20.100000000000001" customHeight="1"/>
    <row r="259" s="16" customFormat="1" ht="20.100000000000001" customHeight="1"/>
    <row r="260" s="16" customFormat="1" ht="20.100000000000001" customHeight="1"/>
    <row r="261" s="16" customFormat="1" ht="20.100000000000001" customHeight="1"/>
    <row r="262" s="16" customFormat="1" ht="20.100000000000001" customHeight="1"/>
    <row r="263" s="16" customFormat="1" ht="20.100000000000001" customHeight="1"/>
    <row r="264" s="16" customFormat="1" ht="20.100000000000001" customHeight="1"/>
    <row r="265" s="16" customFormat="1" ht="20.100000000000001" customHeight="1"/>
    <row r="266" s="16" customFormat="1" ht="20.100000000000001" customHeight="1"/>
    <row r="267" s="16" customFormat="1" ht="20.100000000000001" customHeight="1"/>
    <row r="268" s="16" customFormat="1" ht="20.100000000000001" customHeight="1"/>
    <row r="269" s="16" customFormat="1" ht="20.100000000000001" customHeight="1"/>
    <row r="270" s="16" customFormat="1" ht="20.100000000000001" customHeight="1"/>
    <row r="271" s="16" customFormat="1" ht="20.100000000000001" customHeight="1"/>
    <row r="272" s="16" customFormat="1" ht="20.100000000000001" customHeight="1"/>
    <row r="273" s="16" customFormat="1" ht="20.100000000000001" customHeight="1"/>
    <row r="274" s="16" customFormat="1" ht="20.100000000000001" customHeight="1"/>
    <row r="275" s="16" customFormat="1" ht="20.100000000000001" customHeight="1"/>
    <row r="276" s="16" customFormat="1" ht="20.100000000000001" customHeight="1"/>
    <row r="277" s="16" customFormat="1" ht="20.100000000000001" customHeight="1"/>
    <row r="278" s="16" customFormat="1" ht="20.100000000000001" customHeight="1"/>
    <row r="279" s="16" customFormat="1" ht="20.100000000000001" customHeight="1"/>
    <row r="280" s="16" customFormat="1" ht="20.100000000000001" customHeight="1"/>
    <row r="281" s="16" customFormat="1" ht="20.100000000000001" customHeight="1"/>
    <row r="282" s="16" customFormat="1" ht="20.100000000000001" customHeight="1"/>
    <row r="283" s="16" customFormat="1" ht="20.100000000000001" customHeight="1"/>
    <row r="284" s="16" customFormat="1" ht="20.100000000000001" customHeight="1"/>
    <row r="285" s="16" customFormat="1" ht="20.100000000000001" customHeight="1"/>
    <row r="286" s="16" customFormat="1" ht="20.100000000000001" customHeight="1"/>
    <row r="287" s="16" customFormat="1" ht="20.100000000000001" customHeight="1"/>
    <row r="288" s="16" customFormat="1" ht="20.100000000000001" customHeight="1"/>
    <row r="289" s="16" customFormat="1" ht="20.100000000000001" customHeight="1"/>
    <row r="290" s="16" customFormat="1" ht="20.100000000000001" customHeight="1"/>
    <row r="291" s="16" customFormat="1" ht="20.100000000000001" customHeight="1"/>
    <row r="292" s="16" customFormat="1" ht="20.100000000000001" customHeight="1"/>
    <row r="293" s="16" customFormat="1" ht="20.100000000000001" customHeight="1"/>
    <row r="294" s="16" customFormat="1" ht="20.100000000000001" customHeight="1"/>
    <row r="295" s="16" customFormat="1" ht="20.100000000000001" customHeight="1"/>
    <row r="296" s="16" customFormat="1" ht="20.100000000000001" customHeight="1"/>
    <row r="297" s="16" customFormat="1" ht="20.100000000000001" customHeight="1"/>
    <row r="298" s="16" customFormat="1" ht="20.100000000000001" customHeight="1"/>
    <row r="299" s="16" customFormat="1" ht="20.100000000000001" customHeight="1"/>
    <row r="300" s="16" customFormat="1" ht="20.100000000000001" customHeight="1"/>
    <row r="301" s="16" customFormat="1" ht="20.100000000000001" customHeight="1"/>
    <row r="302" s="16" customFormat="1" ht="20.100000000000001" customHeight="1"/>
    <row r="303" s="16" customFormat="1" ht="20.100000000000001" customHeight="1"/>
    <row r="304" s="16" customFormat="1" ht="20.100000000000001" customHeight="1"/>
    <row r="305" s="16" customFormat="1" ht="20.100000000000001" customHeight="1"/>
    <row r="306" s="16" customFormat="1" ht="20.100000000000001" customHeight="1"/>
    <row r="307" s="16" customFormat="1" ht="20.100000000000001" customHeight="1"/>
    <row r="308" s="16" customFormat="1" ht="20.100000000000001" customHeight="1"/>
    <row r="309" s="16" customFormat="1" ht="20.100000000000001" customHeight="1"/>
    <row r="310" s="16" customFormat="1" ht="20.100000000000001" customHeight="1"/>
    <row r="311" s="16" customFormat="1" ht="20.100000000000001" customHeight="1"/>
    <row r="312" s="16" customFormat="1" ht="20.100000000000001" customHeight="1"/>
    <row r="313" s="16" customFormat="1" ht="20.100000000000001" customHeight="1"/>
    <row r="314" s="16" customFormat="1" ht="20.100000000000001" customHeight="1"/>
    <row r="315" s="16" customFormat="1" ht="20.100000000000001" customHeight="1"/>
    <row r="316" s="16" customFormat="1" ht="20.100000000000001" customHeight="1"/>
    <row r="317" s="16" customFormat="1" ht="20.100000000000001" customHeight="1"/>
    <row r="318" s="16" customFormat="1" ht="20.100000000000001" customHeight="1"/>
    <row r="319" s="16" customFormat="1" ht="20.100000000000001" customHeight="1"/>
    <row r="320" s="16" customFormat="1" ht="20.100000000000001" customHeight="1"/>
    <row r="321" s="16" customFormat="1" ht="20.100000000000001" customHeight="1"/>
    <row r="322" s="16" customFormat="1" ht="20.100000000000001" customHeight="1"/>
    <row r="323" s="16" customFormat="1" ht="20.100000000000001" customHeight="1"/>
    <row r="324" s="16" customFormat="1" ht="20.100000000000001" customHeight="1"/>
    <row r="325" s="16" customFormat="1" ht="20.100000000000001" customHeight="1"/>
    <row r="326" s="16" customFormat="1" ht="20.100000000000001" customHeight="1"/>
    <row r="327" s="16" customFormat="1" ht="20.100000000000001" customHeight="1"/>
    <row r="328" s="16" customFormat="1" ht="20.100000000000001" customHeight="1"/>
    <row r="329" s="16" customFormat="1" ht="20.100000000000001" customHeight="1"/>
    <row r="330" s="16" customFormat="1" ht="20.100000000000001" customHeight="1"/>
    <row r="331" s="16" customFormat="1" ht="20.100000000000001" customHeight="1"/>
    <row r="332" s="16" customFormat="1" ht="20.100000000000001" customHeight="1"/>
    <row r="333" s="16" customFormat="1" ht="20.100000000000001" customHeight="1"/>
    <row r="334" s="16" customFormat="1" ht="20.100000000000001" customHeight="1"/>
    <row r="335" s="16" customFormat="1" ht="20.100000000000001" customHeight="1"/>
    <row r="336" s="16" customFormat="1" ht="20.100000000000001" customHeight="1"/>
    <row r="337" s="16" customFormat="1" ht="20.100000000000001" customHeight="1"/>
    <row r="338" s="16" customFormat="1" ht="20.100000000000001" customHeight="1"/>
    <row r="339" s="16" customFormat="1" ht="20.100000000000001" customHeight="1"/>
    <row r="340" s="16" customFormat="1" ht="20.100000000000001" customHeight="1"/>
    <row r="341" s="16" customFormat="1" ht="20.100000000000001" customHeight="1"/>
    <row r="342" s="16" customFormat="1" ht="20.100000000000001" customHeight="1"/>
    <row r="343" s="16" customFormat="1" ht="20.100000000000001" customHeight="1"/>
    <row r="344" s="16" customFormat="1" ht="20.100000000000001" customHeight="1"/>
    <row r="345" s="16" customFormat="1" ht="20.100000000000001" customHeight="1"/>
    <row r="346" s="16" customFormat="1" ht="20.100000000000001" customHeight="1"/>
    <row r="347" s="16" customFormat="1" ht="20.100000000000001" customHeight="1"/>
    <row r="348" s="16" customFormat="1" ht="20.100000000000001" customHeight="1"/>
    <row r="349" s="16" customFormat="1" ht="20.100000000000001" customHeight="1"/>
    <row r="350" s="16" customFormat="1" ht="20.100000000000001" customHeight="1"/>
    <row r="351" s="16" customFormat="1" ht="20.100000000000001" customHeight="1"/>
    <row r="352" s="16" customFormat="1" ht="20.100000000000001" customHeight="1"/>
    <row r="353" s="16" customFormat="1" ht="20.100000000000001" customHeight="1"/>
    <row r="354" s="16" customFormat="1" ht="20.100000000000001" customHeight="1"/>
    <row r="355" s="16" customFormat="1" ht="20.100000000000001" customHeight="1"/>
    <row r="356" s="16" customFormat="1" ht="20.100000000000001" customHeight="1"/>
    <row r="357" s="16" customFormat="1" ht="20.100000000000001" customHeight="1"/>
    <row r="358" s="16" customFormat="1" ht="20.100000000000001" customHeight="1"/>
    <row r="359" s="16" customFormat="1" ht="20.100000000000001" customHeight="1"/>
    <row r="360" s="16" customFormat="1" ht="20.100000000000001" customHeight="1"/>
    <row r="361" s="16" customFormat="1" ht="20.100000000000001" customHeight="1"/>
    <row r="362" s="16" customFormat="1" ht="20.100000000000001" customHeight="1"/>
    <row r="363" s="16" customFormat="1" ht="20.100000000000001" customHeight="1"/>
    <row r="364" s="16" customFormat="1" ht="20.100000000000001" customHeight="1"/>
    <row r="365" s="16" customFormat="1" ht="20.100000000000001" customHeight="1"/>
    <row r="366" s="16" customFormat="1" ht="20.100000000000001" customHeight="1"/>
    <row r="367" s="16" customFormat="1" ht="20.100000000000001" customHeight="1"/>
    <row r="368" s="16" customFormat="1" ht="20.100000000000001" customHeight="1"/>
    <row r="369" s="16" customFormat="1" ht="20.100000000000001" customHeight="1"/>
    <row r="370" s="16" customFormat="1" ht="20.100000000000001" customHeight="1"/>
    <row r="371" s="16" customFormat="1" ht="20.100000000000001" customHeight="1"/>
    <row r="372" s="16" customFormat="1" ht="20.100000000000001" customHeight="1"/>
    <row r="373" s="16" customFormat="1" ht="20.100000000000001" customHeight="1"/>
    <row r="374" s="16" customFormat="1" ht="20.100000000000001" customHeight="1"/>
    <row r="375" s="16" customFormat="1" ht="20.100000000000001" customHeight="1"/>
    <row r="376" s="16" customFormat="1" ht="20.100000000000001" customHeight="1"/>
    <row r="377" s="16" customFormat="1" ht="20.100000000000001" customHeight="1"/>
    <row r="378" s="16" customFormat="1" ht="20.100000000000001" customHeight="1"/>
    <row r="379" s="16" customFormat="1" ht="20.100000000000001" customHeight="1"/>
    <row r="380" s="16" customFormat="1" ht="20.100000000000001" customHeight="1"/>
    <row r="381" s="16" customFormat="1" ht="20.100000000000001" customHeight="1"/>
    <row r="382" s="16" customFormat="1" ht="20.100000000000001" customHeight="1"/>
    <row r="383" s="16" customFormat="1" ht="20.100000000000001" customHeight="1"/>
    <row r="384" s="16" customFormat="1" ht="20.100000000000001" customHeight="1"/>
    <row r="385" s="16" customFormat="1" ht="20.100000000000001" customHeight="1"/>
    <row r="386" s="16" customFormat="1" ht="20.100000000000001" customHeight="1"/>
    <row r="387" s="16" customFormat="1" ht="20.100000000000001" customHeight="1"/>
    <row r="388" s="16" customFormat="1" ht="20.100000000000001" customHeight="1"/>
    <row r="389" s="16" customFormat="1" ht="20.100000000000001" customHeight="1"/>
    <row r="390" s="16" customFormat="1" ht="20.100000000000001" customHeight="1"/>
    <row r="391" s="16" customFormat="1" ht="20.100000000000001" customHeight="1"/>
    <row r="392" s="16" customFormat="1" ht="20.100000000000001" customHeight="1"/>
    <row r="393" s="16" customFormat="1" ht="20.100000000000001" customHeight="1"/>
    <row r="394" s="16" customFormat="1" ht="20.100000000000001" customHeight="1"/>
    <row r="395" s="16" customFormat="1" ht="20.100000000000001" customHeight="1"/>
    <row r="396" s="16" customFormat="1" ht="20.100000000000001" customHeight="1"/>
    <row r="397" s="16" customFormat="1" ht="20.100000000000001" customHeight="1"/>
    <row r="398" s="16" customFormat="1" ht="20.100000000000001" customHeight="1"/>
    <row r="399" s="16" customFormat="1" ht="20.100000000000001" customHeight="1"/>
    <row r="400" s="16" customFormat="1" ht="20.100000000000001" customHeight="1"/>
    <row r="401" s="16" customFormat="1" ht="20.100000000000001" customHeight="1"/>
    <row r="402" s="16" customFormat="1" ht="20.100000000000001" customHeight="1"/>
    <row r="403" s="16" customFormat="1" ht="20.100000000000001" customHeight="1"/>
    <row r="404" s="16" customFormat="1" ht="20.100000000000001" customHeight="1"/>
    <row r="405" s="16" customFormat="1" ht="20.100000000000001" customHeight="1"/>
    <row r="406" s="16" customFormat="1" ht="20.100000000000001" customHeight="1"/>
    <row r="407" s="16" customFormat="1" ht="20.100000000000001" customHeight="1"/>
    <row r="408" s="16" customFormat="1" ht="20.100000000000001" customHeight="1"/>
    <row r="409" s="16" customFormat="1" ht="20.100000000000001" customHeight="1"/>
    <row r="410" s="16" customFormat="1" ht="20.100000000000001" customHeight="1"/>
    <row r="411" s="16" customFormat="1" ht="20.100000000000001" customHeight="1"/>
    <row r="412" s="16" customFormat="1" ht="20.100000000000001" customHeight="1"/>
    <row r="413" s="16" customFormat="1" ht="20.100000000000001" customHeight="1"/>
    <row r="414" s="16" customFormat="1" ht="20.100000000000001" customHeight="1"/>
    <row r="415" s="16" customFormat="1" ht="20.100000000000001" customHeight="1"/>
    <row r="416" s="16" customFormat="1" ht="20.100000000000001" customHeight="1"/>
    <row r="417" s="16" customFormat="1" ht="20.100000000000001" customHeight="1"/>
    <row r="418" s="16" customFormat="1" ht="20.100000000000001" customHeight="1"/>
    <row r="419" s="16" customFormat="1" ht="20.100000000000001" customHeight="1"/>
    <row r="420" s="16" customFormat="1" ht="20.100000000000001" customHeight="1"/>
    <row r="421" s="16" customFormat="1" ht="20.100000000000001" customHeight="1"/>
    <row r="422" s="16" customFormat="1" ht="20.100000000000001" customHeight="1"/>
    <row r="423" s="16" customFormat="1" ht="20.100000000000001" customHeight="1"/>
    <row r="424" s="16" customFormat="1" ht="20.100000000000001" customHeight="1"/>
    <row r="425" s="16" customFormat="1" ht="20.100000000000001" customHeight="1"/>
    <row r="426" s="16" customFormat="1" ht="20.100000000000001" customHeight="1"/>
    <row r="427" s="16" customFormat="1" ht="20.100000000000001" customHeight="1"/>
    <row r="428" s="16" customFormat="1" ht="20.100000000000001" customHeight="1"/>
    <row r="429" s="16" customFormat="1" ht="20.100000000000001" customHeight="1"/>
    <row r="430" s="16" customFormat="1" ht="20.100000000000001" customHeight="1"/>
    <row r="431" s="16" customFormat="1" ht="20.100000000000001" customHeight="1"/>
    <row r="432" s="16" customFormat="1" ht="20.100000000000001" customHeight="1"/>
    <row r="433" s="16" customFormat="1" ht="20.100000000000001" customHeight="1"/>
    <row r="434" s="16" customFormat="1" ht="20.100000000000001" customHeight="1"/>
    <row r="435" s="16" customFormat="1" ht="20.100000000000001" customHeight="1"/>
    <row r="436" s="16" customFormat="1" ht="20.100000000000001" customHeight="1"/>
    <row r="437" s="16" customFormat="1" ht="20.100000000000001" customHeight="1"/>
    <row r="438" s="16" customFormat="1" ht="20.100000000000001" customHeight="1"/>
    <row r="439" s="16" customFormat="1" ht="20.100000000000001" customHeight="1"/>
    <row r="440" s="16" customFormat="1" ht="20.100000000000001" customHeight="1"/>
    <row r="441" s="16" customFormat="1" ht="20.100000000000001" customHeight="1"/>
    <row r="442" s="16" customFormat="1" ht="20.100000000000001" customHeight="1"/>
    <row r="443" s="16" customFormat="1" ht="20.100000000000001" customHeight="1"/>
    <row r="444" s="16" customFormat="1" ht="20.100000000000001" customHeight="1"/>
    <row r="445" s="16" customFormat="1" ht="20.100000000000001" customHeight="1"/>
    <row r="446" s="16" customFormat="1" ht="20.100000000000001" customHeight="1"/>
    <row r="447" s="16" customFormat="1" ht="20.100000000000001" customHeight="1"/>
    <row r="448" s="16" customFormat="1" ht="20.100000000000001" customHeight="1"/>
    <row r="449" s="16" customFormat="1" ht="20.100000000000001" customHeight="1"/>
    <row r="450" s="16" customFormat="1" ht="20.100000000000001" customHeight="1"/>
    <row r="451" s="16" customFormat="1" ht="20.100000000000001" customHeight="1"/>
    <row r="452" s="16" customFormat="1" ht="20.100000000000001" customHeight="1"/>
    <row r="453" s="16" customFormat="1" ht="20.100000000000001" customHeight="1"/>
    <row r="454" s="16" customFormat="1" ht="20.100000000000001" customHeight="1"/>
    <row r="455" s="16" customFormat="1" ht="20.100000000000001" customHeight="1"/>
    <row r="456" s="16" customFormat="1" ht="20.100000000000001" customHeight="1"/>
    <row r="457" s="16" customFormat="1" ht="20.100000000000001" customHeight="1"/>
    <row r="458" s="16" customFormat="1" ht="20.100000000000001" customHeight="1"/>
    <row r="459" s="16" customFormat="1" ht="20.100000000000001" customHeight="1"/>
    <row r="460" s="16" customFormat="1" ht="20.100000000000001" customHeight="1"/>
    <row r="461" s="16" customFormat="1" ht="20.100000000000001" customHeight="1"/>
    <row r="462" s="16" customFormat="1" ht="20.100000000000001" customHeight="1"/>
    <row r="463" s="16" customFormat="1" ht="20.100000000000001" customHeight="1"/>
    <row r="464" s="16" customFormat="1" ht="20.100000000000001" customHeight="1"/>
    <row r="465" s="16" customFormat="1" ht="20.100000000000001" customHeight="1"/>
    <row r="466" s="16" customFormat="1" ht="20.100000000000001" customHeight="1"/>
    <row r="467" s="16" customFormat="1" ht="20.100000000000001" customHeight="1"/>
    <row r="468" s="16" customFormat="1" ht="20.100000000000001" customHeight="1"/>
    <row r="469" s="16" customFormat="1" ht="20.100000000000001" customHeight="1"/>
    <row r="470" s="16" customFormat="1" ht="20.100000000000001" customHeight="1"/>
    <row r="471" s="16" customFormat="1" ht="20.100000000000001" customHeight="1"/>
    <row r="472" s="16" customFormat="1" ht="20.100000000000001" customHeight="1"/>
    <row r="473" s="16" customFormat="1" ht="20.100000000000001" customHeight="1"/>
    <row r="474" s="16" customFormat="1" ht="20.100000000000001" customHeight="1"/>
    <row r="475" s="16" customFormat="1" ht="20.100000000000001" customHeight="1"/>
    <row r="476" s="16" customFormat="1" ht="20.100000000000001" customHeight="1"/>
    <row r="477" s="16" customFormat="1" ht="20.100000000000001" customHeight="1"/>
    <row r="478" s="16" customFormat="1" ht="20.100000000000001" customHeight="1"/>
    <row r="479" s="16" customFormat="1" ht="20.100000000000001" customHeight="1"/>
    <row r="480" s="16" customFormat="1" ht="20.100000000000001" customHeight="1"/>
    <row r="481" s="16" customFormat="1" ht="20.100000000000001" customHeight="1"/>
    <row r="482" s="16" customFormat="1" ht="20.100000000000001" customHeight="1"/>
    <row r="483" s="16" customFormat="1" ht="20.100000000000001" customHeight="1"/>
    <row r="484" s="16" customFormat="1" ht="20.100000000000001" customHeight="1"/>
    <row r="485" s="16" customFormat="1" ht="20.100000000000001" customHeight="1"/>
    <row r="486" s="16" customFormat="1" ht="20.100000000000001" customHeight="1"/>
    <row r="487" s="16" customFormat="1" ht="20.100000000000001" customHeight="1"/>
    <row r="488" s="16" customFormat="1" ht="20.100000000000001" customHeight="1"/>
    <row r="489" s="16" customFormat="1" ht="20.100000000000001" customHeight="1"/>
    <row r="490" s="16" customFormat="1" ht="20.100000000000001" customHeight="1"/>
    <row r="491" s="16" customFormat="1" ht="20.100000000000001" customHeight="1"/>
    <row r="492" s="16" customFormat="1" ht="20.100000000000001" customHeight="1"/>
    <row r="493" s="16" customFormat="1" ht="20.100000000000001" customHeight="1"/>
    <row r="494" s="16" customFormat="1" ht="20.100000000000001" customHeight="1"/>
    <row r="495" s="16" customFormat="1" ht="20.100000000000001" customHeight="1"/>
    <row r="496" s="16" customFormat="1" ht="20.100000000000001" customHeight="1"/>
    <row r="497" s="16" customFormat="1" ht="20.100000000000001" customHeight="1"/>
    <row r="498" s="16" customFormat="1" ht="20.100000000000001" customHeight="1"/>
    <row r="499" s="16" customFormat="1" ht="20.100000000000001" customHeight="1"/>
    <row r="500" s="16" customFormat="1" ht="20.100000000000001" customHeight="1"/>
    <row r="501" s="16" customFormat="1" ht="20.100000000000001" customHeight="1"/>
    <row r="502" s="16" customFormat="1" ht="20.100000000000001" customHeight="1"/>
    <row r="503" s="16" customFormat="1" ht="20.100000000000001" customHeight="1"/>
    <row r="504" s="16" customFormat="1" ht="20.100000000000001" customHeight="1"/>
    <row r="505" s="16" customFormat="1" ht="20.100000000000001" customHeight="1"/>
    <row r="506" s="16" customFormat="1" ht="20.100000000000001" customHeight="1"/>
    <row r="507" s="16" customFormat="1" ht="20.100000000000001" customHeight="1"/>
    <row r="508" s="16" customFormat="1" ht="20.100000000000001" customHeight="1"/>
    <row r="509" s="16" customFormat="1" ht="20.100000000000001" customHeight="1"/>
    <row r="510" s="16" customFormat="1" ht="20.100000000000001" customHeight="1"/>
    <row r="511" s="16" customFormat="1" ht="20.100000000000001" customHeight="1"/>
    <row r="512" s="16" customFormat="1" ht="20.100000000000001" customHeight="1"/>
    <row r="513" s="16" customFormat="1" ht="20.100000000000001" customHeight="1"/>
    <row r="514" s="16" customFormat="1" ht="20.100000000000001" customHeight="1"/>
    <row r="515" s="16" customFormat="1" ht="20.100000000000001" customHeight="1"/>
    <row r="516" s="16" customFormat="1" ht="20.100000000000001" customHeight="1"/>
    <row r="517" s="16" customFormat="1" ht="20.100000000000001" customHeight="1"/>
    <row r="518" s="16" customFormat="1" ht="20.100000000000001" customHeight="1"/>
    <row r="519" s="16" customFormat="1" ht="20.100000000000001" customHeight="1"/>
    <row r="520" s="16" customFormat="1" ht="20.100000000000001" customHeight="1"/>
    <row r="521" s="16" customFormat="1" ht="20.100000000000001" customHeight="1"/>
    <row r="522" s="16" customFormat="1" ht="20.100000000000001" customHeight="1"/>
    <row r="523" s="16" customFormat="1" ht="20.100000000000001" customHeight="1"/>
    <row r="524" s="16" customFormat="1" ht="20.100000000000001" customHeight="1"/>
    <row r="525" s="16" customFormat="1" ht="20.100000000000001" customHeight="1"/>
    <row r="526" s="16" customFormat="1" ht="20.100000000000001" customHeight="1"/>
    <row r="527" s="16" customFormat="1" ht="20.100000000000001" customHeight="1"/>
    <row r="528" s="16" customFormat="1" ht="20.100000000000001" customHeight="1"/>
    <row r="529" s="16" customFormat="1" ht="20.100000000000001" customHeight="1"/>
    <row r="530" s="16" customFormat="1" ht="20.100000000000001" customHeight="1"/>
    <row r="531" s="16" customFormat="1" ht="20.100000000000001" customHeight="1"/>
    <row r="532" s="16" customFormat="1" ht="20.100000000000001" customHeight="1"/>
    <row r="533" s="16" customFormat="1" ht="20.100000000000001" customHeight="1"/>
    <row r="534" s="16" customFormat="1" ht="20.100000000000001" customHeight="1"/>
    <row r="535" s="16" customFormat="1" ht="20.100000000000001" customHeight="1"/>
    <row r="536" s="16" customFormat="1" ht="20.100000000000001" customHeight="1"/>
    <row r="537" s="16" customFormat="1" ht="20.100000000000001" customHeight="1"/>
    <row r="538" s="16" customFormat="1" ht="20.100000000000001" customHeight="1"/>
    <row r="539" s="16" customFormat="1" ht="20.100000000000001" customHeight="1"/>
    <row r="540" s="16" customFormat="1" ht="20.100000000000001" customHeight="1"/>
    <row r="541" s="16" customFormat="1" ht="20.100000000000001" customHeight="1"/>
    <row r="542" s="16" customFormat="1" ht="20.100000000000001" customHeight="1"/>
    <row r="543" s="16" customFormat="1" ht="20.100000000000001" customHeight="1"/>
    <row r="544" s="16" customFormat="1" ht="20.100000000000001" customHeight="1"/>
    <row r="545" s="16" customFormat="1" ht="20.100000000000001" customHeight="1"/>
    <row r="546" s="16" customFormat="1" ht="20.100000000000001" customHeight="1"/>
    <row r="547" s="16" customFormat="1" ht="20.100000000000001" customHeight="1"/>
    <row r="548" s="16" customFormat="1" ht="20.100000000000001" customHeight="1"/>
    <row r="549" s="16" customFormat="1" ht="20.100000000000001" customHeight="1"/>
    <row r="550" s="16" customFormat="1" ht="20.100000000000001" customHeight="1"/>
    <row r="551" s="16" customFormat="1" ht="20.100000000000001" customHeight="1"/>
    <row r="552" s="16" customFormat="1" ht="20.100000000000001" customHeight="1"/>
    <row r="553" s="16" customFormat="1" ht="20.100000000000001" customHeight="1"/>
    <row r="554" s="16" customFormat="1" ht="20.100000000000001" customHeight="1"/>
    <row r="555" s="16" customFormat="1" ht="20.100000000000001" customHeight="1"/>
    <row r="556" s="16" customFormat="1" ht="20.100000000000001" customHeight="1"/>
    <row r="557" s="16" customFormat="1" ht="20.100000000000001" customHeight="1"/>
    <row r="558" s="16" customFormat="1" ht="20.100000000000001" customHeight="1"/>
    <row r="559" s="16" customFormat="1" ht="20.100000000000001" customHeight="1"/>
    <row r="560" s="16" customFormat="1" ht="20.100000000000001" customHeight="1"/>
    <row r="561" s="16" customFormat="1" ht="20.100000000000001" customHeight="1"/>
    <row r="562" s="16" customFormat="1" ht="20.100000000000001" customHeight="1"/>
    <row r="563" s="16" customFormat="1" ht="20.100000000000001" customHeight="1"/>
    <row r="564" s="16" customFormat="1" ht="20.100000000000001" customHeight="1"/>
    <row r="565" s="16" customFormat="1" ht="20.100000000000001" customHeight="1"/>
    <row r="566" s="16" customFormat="1" ht="20.100000000000001" customHeight="1"/>
    <row r="567" s="16" customFormat="1" ht="20.100000000000001" customHeight="1"/>
    <row r="568" s="16" customFormat="1" ht="20.100000000000001" customHeight="1"/>
    <row r="569" s="16" customFormat="1" ht="20.100000000000001" customHeight="1"/>
    <row r="570" s="16" customFormat="1" ht="20.100000000000001" customHeight="1"/>
    <row r="571" s="16" customFormat="1" ht="20.100000000000001" customHeight="1"/>
    <row r="572" s="16" customFormat="1" ht="20.100000000000001" customHeight="1"/>
    <row r="573" s="16" customFormat="1" ht="20.100000000000001" customHeight="1"/>
    <row r="574" s="16" customFormat="1" ht="20.100000000000001" customHeight="1"/>
    <row r="575" s="16" customFormat="1" ht="20.100000000000001" customHeight="1"/>
    <row r="576" s="16" customFormat="1" ht="20.100000000000001" customHeight="1"/>
    <row r="577" s="16" customFormat="1" ht="20.100000000000001" customHeight="1"/>
    <row r="578" s="16" customFormat="1" ht="20.100000000000001" customHeight="1"/>
    <row r="579" s="16" customFormat="1" ht="20.100000000000001" customHeight="1"/>
    <row r="580" s="16" customFormat="1" ht="20.100000000000001" customHeight="1"/>
    <row r="581" s="16" customFormat="1" ht="20.100000000000001" customHeight="1"/>
    <row r="582" s="16" customFormat="1" ht="20.100000000000001" customHeight="1"/>
    <row r="583" s="16" customFormat="1" ht="20.100000000000001" customHeight="1"/>
    <row r="584" s="16" customFormat="1" ht="20.100000000000001" customHeight="1"/>
    <row r="585" s="16" customFormat="1" ht="20.100000000000001" customHeight="1"/>
    <row r="586" s="16" customFormat="1" ht="20.100000000000001" customHeight="1"/>
    <row r="587" s="16" customFormat="1" ht="20.100000000000001" customHeight="1"/>
    <row r="588" s="16" customFormat="1" ht="20.100000000000001" customHeight="1"/>
    <row r="589" s="16" customFormat="1" ht="20.100000000000001" customHeight="1"/>
    <row r="590" s="16" customFormat="1" ht="20.100000000000001" customHeight="1"/>
    <row r="591" s="16" customFormat="1" ht="20.100000000000001" customHeight="1"/>
    <row r="592" s="16" customFormat="1" ht="20.100000000000001" customHeight="1"/>
    <row r="593" s="16" customFormat="1" ht="20.100000000000001" customHeight="1"/>
    <row r="594" s="16" customFormat="1" ht="20.100000000000001" customHeight="1"/>
    <row r="595" s="16" customFormat="1" ht="20.100000000000001" customHeight="1"/>
    <row r="596" s="16" customFormat="1" ht="20.100000000000001" customHeight="1"/>
    <row r="597" s="16" customFormat="1" ht="20.100000000000001" customHeight="1"/>
    <row r="598" s="16" customFormat="1" ht="20.100000000000001" customHeight="1"/>
    <row r="599" s="16" customFormat="1" ht="20.100000000000001" customHeight="1"/>
    <row r="600" s="16" customFormat="1" ht="20.100000000000001" customHeight="1"/>
    <row r="601" s="16" customFormat="1" ht="20.100000000000001" customHeight="1"/>
    <row r="602" s="16" customFormat="1" ht="20.100000000000001" customHeight="1"/>
    <row r="603" s="16" customFormat="1" ht="20.100000000000001" customHeight="1"/>
    <row r="604" s="16" customFormat="1" ht="20.100000000000001" customHeight="1"/>
    <row r="605" s="16" customFormat="1" ht="20.100000000000001" customHeight="1"/>
    <row r="606" s="16" customFormat="1" ht="20.100000000000001" customHeight="1"/>
    <row r="607" s="16" customFormat="1" ht="20.100000000000001" customHeight="1"/>
    <row r="608" s="16" customFormat="1" ht="20.100000000000001" customHeight="1"/>
    <row r="609" s="16" customFormat="1" ht="20.100000000000001" customHeight="1"/>
    <row r="610" s="16" customFormat="1" ht="20.100000000000001" customHeight="1"/>
    <row r="611" s="16" customFormat="1" ht="20.100000000000001" customHeight="1"/>
    <row r="612" s="16" customFormat="1" ht="20.100000000000001" customHeight="1"/>
    <row r="613" s="16" customFormat="1" ht="20.100000000000001" customHeight="1"/>
    <row r="614" s="16" customFormat="1" ht="20.100000000000001" customHeight="1"/>
    <row r="615" s="16" customFormat="1" ht="20.100000000000001" customHeight="1"/>
    <row r="616" s="16" customFormat="1" ht="20.100000000000001" customHeight="1"/>
    <row r="617" s="16" customFormat="1" ht="20.100000000000001" customHeight="1"/>
    <row r="618" s="16" customFormat="1" ht="20.100000000000001" customHeight="1"/>
    <row r="619" s="16" customFormat="1" ht="20.100000000000001" customHeight="1"/>
    <row r="620" s="16" customFormat="1" ht="20.100000000000001" customHeight="1"/>
    <row r="621" s="16" customFormat="1" ht="20.100000000000001" customHeight="1"/>
    <row r="622" s="16" customFormat="1" ht="20.100000000000001" customHeight="1"/>
    <row r="623" s="16" customFormat="1" ht="20.100000000000001" customHeight="1"/>
    <row r="624" s="16" customFormat="1" ht="20.100000000000001" customHeight="1"/>
    <row r="625" s="16" customFormat="1" ht="20.100000000000001" customHeight="1"/>
    <row r="626" s="16" customFormat="1" ht="20.100000000000001" customHeight="1"/>
    <row r="627" s="16" customFormat="1" ht="20.100000000000001" customHeight="1"/>
    <row r="628" s="16" customFormat="1" ht="20.100000000000001" customHeight="1"/>
    <row r="629" s="16" customFormat="1" ht="20.100000000000001" customHeight="1"/>
    <row r="630" s="16" customFormat="1" ht="20.100000000000001" customHeight="1"/>
    <row r="631" s="16" customFormat="1" ht="20.100000000000001" customHeight="1"/>
    <row r="632" s="16" customFormat="1" ht="20.100000000000001" customHeight="1"/>
    <row r="633" s="16" customFormat="1" ht="20.100000000000001" customHeight="1"/>
    <row r="634" s="16" customFormat="1" ht="20.100000000000001" customHeight="1"/>
    <row r="635" s="16" customFormat="1" ht="20.100000000000001" customHeight="1"/>
    <row r="636" s="16" customFormat="1" ht="20.100000000000001" customHeight="1"/>
    <row r="637" s="16" customFormat="1" ht="20.100000000000001" customHeight="1"/>
    <row r="638" s="16" customFormat="1" ht="20.100000000000001" customHeight="1"/>
    <row r="639" s="16" customFormat="1" ht="20.100000000000001" customHeight="1"/>
    <row r="640" s="16" customFormat="1" ht="20.100000000000001" customHeight="1"/>
    <row r="641" s="16" customFormat="1" ht="20.100000000000001" customHeight="1"/>
    <row r="642" s="16" customFormat="1" ht="20.100000000000001" customHeight="1"/>
    <row r="643" s="16" customFormat="1" ht="20.100000000000001" customHeight="1"/>
    <row r="644" s="16" customFormat="1" ht="20.100000000000001" customHeight="1"/>
    <row r="645" s="16" customFormat="1" ht="20.100000000000001" customHeight="1"/>
    <row r="646" s="16" customFormat="1" ht="20.100000000000001" customHeight="1"/>
    <row r="647" s="16" customFormat="1" ht="20.100000000000001" customHeight="1"/>
    <row r="648" s="16" customFormat="1" ht="20.100000000000001" customHeight="1"/>
    <row r="649" s="16" customFormat="1" ht="20.100000000000001" customHeight="1"/>
    <row r="650" s="16" customFormat="1" ht="20.100000000000001" customHeight="1"/>
    <row r="651" s="16" customFormat="1" ht="20.100000000000001" customHeight="1"/>
    <row r="652" s="16" customFormat="1" ht="20.100000000000001" customHeight="1"/>
    <row r="653" s="16" customFormat="1" ht="20.100000000000001" customHeight="1"/>
    <row r="654" s="16" customFormat="1" ht="20.100000000000001" customHeight="1"/>
    <row r="655" s="16" customFormat="1" ht="20.100000000000001" customHeight="1"/>
    <row r="656" s="16" customFormat="1" ht="20.100000000000001" customHeight="1"/>
    <row r="657" s="16" customFormat="1" ht="20.100000000000001" customHeight="1"/>
    <row r="658" s="16" customFormat="1" ht="20.100000000000001" customHeight="1"/>
    <row r="659" s="16" customFormat="1" ht="20.100000000000001" customHeight="1"/>
    <row r="660" s="16" customFormat="1" ht="20.100000000000001" customHeight="1"/>
    <row r="661" s="16" customFormat="1" ht="20.100000000000001" customHeight="1"/>
    <row r="662" s="16" customFormat="1" ht="20.100000000000001" customHeight="1"/>
    <row r="663" s="16" customFormat="1" ht="20.100000000000001" customHeight="1"/>
    <row r="664" s="16" customFormat="1" ht="20.100000000000001" customHeight="1"/>
    <row r="665" s="16" customFormat="1" ht="20.100000000000001" customHeight="1"/>
    <row r="666" s="16" customFormat="1" ht="20.100000000000001" customHeight="1"/>
    <row r="667" s="16" customFormat="1" ht="20.100000000000001" customHeight="1"/>
    <row r="668" s="16" customFormat="1" ht="20.100000000000001" customHeight="1"/>
    <row r="669" s="16" customFormat="1" ht="20.100000000000001" customHeight="1"/>
    <row r="670" s="16" customFormat="1" ht="20.100000000000001" customHeight="1"/>
    <row r="671" s="16" customFormat="1" ht="20.100000000000001" customHeight="1"/>
    <row r="672" s="16" customFormat="1" ht="20.100000000000001" customHeight="1"/>
    <row r="673" s="16" customFormat="1" ht="20.100000000000001" customHeight="1"/>
    <row r="674" s="16" customFormat="1" ht="20.100000000000001" customHeight="1"/>
    <row r="675" s="16" customFormat="1" ht="20.100000000000001" customHeight="1"/>
    <row r="676" s="16" customFormat="1" ht="20.100000000000001" customHeight="1"/>
    <row r="677" s="16" customFormat="1" ht="20.100000000000001" customHeight="1"/>
    <row r="678" s="16" customFormat="1" ht="20.100000000000001" customHeight="1"/>
    <row r="679" s="16" customFormat="1" ht="20.100000000000001" customHeight="1"/>
    <row r="680" s="16" customFormat="1" ht="20.100000000000001" customHeight="1"/>
    <row r="681" s="16" customFormat="1" ht="20.100000000000001" customHeight="1"/>
    <row r="682" s="16" customFormat="1" ht="20.100000000000001" customHeight="1"/>
    <row r="683" s="16" customFormat="1" ht="20.100000000000001" customHeight="1"/>
    <row r="684" s="16" customFormat="1" ht="20.100000000000001" customHeight="1"/>
    <row r="685" s="16" customFormat="1" ht="20.100000000000001" customHeight="1"/>
    <row r="686" s="16" customFormat="1" ht="20.100000000000001" customHeight="1"/>
    <row r="687" s="16" customFormat="1" ht="20.100000000000001" customHeight="1"/>
    <row r="688" s="16" customFormat="1" ht="20.100000000000001" customHeight="1"/>
    <row r="689" s="16" customFormat="1" ht="20.100000000000001" customHeight="1"/>
    <row r="690" s="16" customFormat="1" ht="20.100000000000001" customHeight="1"/>
    <row r="691" s="16" customFormat="1" ht="20.100000000000001" customHeight="1"/>
    <row r="692" s="16" customFormat="1" ht="20.100000000000001" customHeight="1"/>
    <row r="693" s="16" customFormat="1" ht="20.100000000000001" customHeight="1"/>
    <row r="694" s="16" customFormat="1" ht="20.100000000000001" customHeight="1"/>
    <row r="695" s="16" customFormat="1" ht="20.100000000000001" customHeight="1"/>
    <row r="696" s="16" customFormat="1" ht="20.100000000000001" customHeight="1"/>
    <row r="697" s="16" customFormat="1" ht="20.100000000000001" customHeight="1"/>
    <row r="698" s="16" customFormat="1" ht="20.100000000000001" customHeight="1"/>
    <row r="699" s="16" customFormat="1" ht="20.100000000000001" customHeight="1"/>
    <row r="700" s="16" customFormat="1" ht="20.100000000000001" customHeight="1"/>
    <row r="701" s="16" customFormat="1" ht="20.100000000000001" customHeight="1"/>
    <row r="702" s="16" customFormat="1" ht="20.100000000000001" customHeight="1"/>
    <row r="703" s="16" customFormat="1" ht="20.100000000000001" customHeight="1"/>
    <row r="704" s="16" customFormat="1" ht="20.100000000000001" customHeight="1"/>
    <row r="705" s="16" customFormat="1" ht="20.100000000000001" customHeight="1"/>
    <row r="706" s="16" customFormat="1" ht="20.100000000000001" customHeight="1"/>
    <row r="707" s="16" customFormat="1" ht="20.100000000000001" customHeight="1"/>
    <row r="708" s="16" customFormat="1" ht="20.100000000000001" customHeight="1"/>
    <row r="709" s="16" customFormat="1" ht="20.100000000000001" customHeight="1"/>
    <row r="710" s="16" customFormat="1" ht="20.100000000000001" customHeight="1"/>
    <row r="711" s="16" customFormat="1" ht="20.100000000000001" customHeight="1"/>
    <row r="712" s="16" customFormat="1" ht="20.100000000000001" customHeight="1"/>
    <row r="713" s="16" customFormat="1" ht="20.100000000000001" customHeight="1"/>
    <row r="714" s="16" customFormat="1" ht="20.100000000000001" customHeight="1"/>
    <row r="715" s="16" customFormat="1" ht="20.100000000000001" customHeight="1"/>
    <row r="716" s="16" customFormat="1" ht="20.100000000000001" customHeight="1"/>
    <row r="717" s="16" customFormat="1" ht="20.100000000000001" customHeight="1"/>
    <row r="718" s="16" customFormat="1" ht="20.100000000000001" customHeight="1"/>
    <row r="719" s="16" customFormat="1" ht="20.100000000000001" customHeight="1"/>
    <row r="720" s="16" customFormat="1" ht="20.100000000000001" customHeight="1"/>
    <row r="721" s="16" customFormat="1" ht="20.100000000000001" customHeight="1"/>
    <row r="722" s="16" customFormat="1" ht="20.100000000000001" customHeight="1"/>
    <row r="723" s="16" customFormat="1" ht="20.100000000000001" customHeight="1"/>
    <row r="724" s="16" customFormat="1" ht="20.100000000000001" customHeight="1"/>
    <row r="725" s="16" customFormat="1" ht="20.100000000000001" customHeight="1"/>
    <row r="726" s="16" customFormat="1" ht="20.100000000000001" customHeight="1"/>
    <row r="727" s="16" customFormat="1" ht="20.100000000000001" customHeight="1"/>
    <row r="728" s="16" customFormat="1" ht="20.100000000000001" customHeight="1"/>
    <row r="729" s="16" customFormat="1" ht="20.100000000000001" customHeight="1"/>
    <row r="730" s="16" customFormat="1" ht="20.100000000000001" customHeight="1"/>
    <row r="731" s="16" customFormat="1" ht="20.100000000000001" customHeight="1"/>
    <row r="732" s="16" customFormat="1" ht="20.100000000000001" customHeight="1"/>
    <row r="733" s="16" customFormat="1" ht="20.100000000000001" customHeight="1"/>
    <row r="734" s="16" customFormat="1" ht="20.100000000000001" customHeight="1"/>
    <row r="735" s="16" customFormat="1" ht="20.100000000000001" customHeight="1"/>
    <row r="736" s="16" customFormat="1" ht="20.100000000000001" customHeight="1"/>
    <row r="737" s="16" customFormat="1" ht="20.100000000000001" customHeight="1"/>
    <row r="738" s="16" customFormat="1" ht="20.100000000000001" customHeight="1"/>
    <row r="739" s="16" customFormat="1" ht="20.100000000000001" customHeight="1"/>
    <row r="740" s="16" customFormat="1" ht="20.100000000000001" customHeight="1"/>
    <row r="741" s="16" customFormat="1" ht="20.100000000000001" customHeight="1"/>
    <row r="742" s="16" customFormat="1" ht="20.100000000000001" customHeight="1"/>
    <row r="743" s="16" customFormat="1" ht="20.100000000000001" customHeight="1"/>
    <row r="744" s="16" customFormat="1" ht="20.100000000000001" customHeight="1"/>
    <row r="745" s="16" customFormat="1" ht="20.100000000000001" customHeight="1"/>
    <row r="746" s="16" customFormat="1" ht="20.100000000000001" customHeight="1"/>
    <row r="747" s="16" customFormat="1" ht="20.100000000000001" customHeight="1"/>
    <row r="748" s="16" customFormat="1" ht="20.100000000000001" customHeight="1"/>
    <row r="749" s="16" customFormat="1" ht="20.100000000000001" customHeight="1"/>
    <row r="750" s="16" customFormat="1" ht="20.100000000000001" customHeight="1"/>
    <row r="751" s="16" customFormat="1" ht="20.100000000000001" customHeight="1"/>
    <row r="752" s="16" customFormat="1" ht="20.100000000000001" customHeight="1"/>
    <row r="753" s="16" customFormat="1" ht="20.100000000000001" customHeight="1"/>
    <row r="754" s="16" customFormat="1" ht="20.100000000000001" customHeight="1"/>
    <row r="755" s="16" customFormat="1" ht="20.100000000000001" customHeight="1"/>
    <row r="756" s="16" customFormat="1" ht="20.100000000000001" customHeight="1"/>
    <row r="757" s="16" customFormat="1" ht="20.100000000000001" customHeight="1"/>
    <row r="758" s="16" customFormat="1" ht="20.100000000000001" customHeight="1"/>
    <row r="759" s="16" customFormat="1" ht="20.100000000000001" customHeight="1"/>
    <row r="760" s="16" customFormat="1" ht="20.100000000000001" customHeight="1"/>
    <row r="761" s="16" customFormat="1" ht="20.100000000000001" customHeight="1"/>
    <row r="762" s="16" customFormat="1" ht="20.100000000000001" customHeight="1"/>
    <row r="763" s="16" customFormat="1" ht="20.100000000000001" customHeight="1"/>
    <row r="764" s="16" customFormat="1" ht="20.100000000000001" customHeight="1"/>
    <row r="765" s="16" customFormat="1" ht="20.100000000000001" customHeight="1"/>
    <row r="766" s="16" customFormat="1" ht="20.100000000000001" customHeight="1"/>
    <row r="767" s="16" customFormat="1" ht="20.100000000000001" customHeight="1"/>
    <row r="768" s="16" customFormat="1" ht="20.100000000000001" customHeight="1"/>
    <row r="769" s="16" customFormat="1" ht="20.100000000000001" customHeight="1"/>
    <row r="770" s="16" customFormat="1" ht="20.100000000000001" customHeight="1"/>
    <row r="771" s="16" customFormat="1" ht="20.100000000000001" customHeight="1"/>
    <row r="772" s="16" customFormat="1" ht="20.100000000000001" customHeight="1"/>
    <row r="773" s="16" customFormat="1" ht="20.100000000000001" customHeight="1"/>
    <row r="774" s="16" customFormat="1" ht="20.100000000000001" customHeight="1"/>
    <row r="775" s="16" customFormat="1" ht="20.100000000000001" customHeight="1"/>
    <row r="776" s="16" customFormat="1" ht="20.100000000000001" customHeight="1"/>
    <row r="777" s="16" customFormat="1" ht="20.100000000000001" customHeight="1"/>
    <row r="778" s="16" customFormat="1" ht="20.100000000000001" customHeight="1"/>
    <row r="779" s="16" customFormat="1" ht="20.100000000000001" customHeight="1"/>
    <row r="780" s="16" customFormat="1" ht="20.100000000000001" customHeight="1"/>
    <row r="781" s="16" customFormat="1" ht="20.100000000000001" customHeight="1"/>
    <row r="782" s="16" customFormat="1" ht="20.100000000000001" customHeight="1"/>
    <row r="783" s="16" customFormat="1" ht="20.100000000000001" customHeight="1"/>
    <row r="784" s="16" customFormat="1" ht="20.100000000000001" customHeight="1"/>
    <row r="785" s="16" customFormat="1" ht="20.100000000000001" customHeight="1"/>
    <row r="786" s="16" customFormat="1" ht="20.100000000000001" customHeight="1"/>
    <row r="787" s="16" customFormat="1" ht="20.100000000000001" customHeight="1"/>
    <row r="788" s="16" customFormat="1" ht="20.100000000000001" customHeight="1"/>
    <row r="789" s="16" customFormat="1" ht="20.100000000000001" customHeight="1"/>
    <row r="790" s="16" customFormat="1" ht="20.100000000000001" customHeight="1"/>
    <row r="791" s="16" customFormat="1" ht="20.100000000000001" customHeight="1"/>
    <row r="792" s="16" customFormat="1" ht="20.100000000000001" customHeight="1"/>
    <row r="793" s="16" customFormat="1" ht="20.100000000000001" customHeight="1"/>
    <row r="794" s="16" customFormat="1" ht="20.100000000000001" customHeight="1"/>
    <row r="795" s="16" customFormat="1" ht="20.100000000000001" customHeight="1"/>
    <row r="796" s="16" customFormat="1" ht="20.100000000000001" customHeight="1"/>
    <row r="797" s="16" customFormat="1" ht="20.100000000000001" customHeight="1"/>
    <row r="798" s="16" customFormat="1" ht="20.100000000000001" customHeight="1"/>
    <row r="799" s="16" customFormat="1" ht="20.100000000000001" customHeight="1"/>
    <row r="800" s="16" customFormat="1" ht="20.100000000000001" customHeight="1"/>
    <row r="801" s="16" customFormat="1" ht="20.100000000000001" customHeight="1"/>
    <row r="802" s="16" customFormat="1" ht="20.100000000000001" customHeight="1"/>
    <row r="803" s="16" customFormat="1" ht="20.100000000000001" customHeight="1"/>
    <row r="804" s="16" customFormat="1" ht="20.100000000000001" customHeight="1"/>
    <row r="805" s="16" customFormat="1" ht="20.100000000000001" customHeight="1"/>
    <row r="806" s="16" customFormat="1" ht="20.100000000000001" customHeight="1"/>
    <row r="807" s="16" customFormat="1" ht="20.100000000000001" customHeight="1"/>
    <row r="808" s="16" customFormat="1" ht="20.100000000000001" customHeight="1"/>
    <row r="809" s="16" customFormat="1" ht="20.100000000000001" customHeight="1"/>
    <row r="810" s="16" customFormat="1" ht="20.100000000000001" customHeight="1"/>
    <row r="811" s="16" customFormat="1" ht="20.100000000000001" customHeight="1"/>
    <row r="812" s="16" customFormat="1" ht="20.100000000000001" customHeight="1"/>
    <row r="813" s="16" customFormat="1" ht="20.100000000000001" customHeight="1"/>
    <row r="814" s="16" customFormat="1" ht="20.100000000000001" customHeight="1"/>
    <row r="815" s="16" customFormat="1" ht="20.100000000000001" customHeight="1"/>
    <row r="816" s="16" customFormat="1" ht="20.100000000000001" customHeight="1"/>
    <row r="817" s="16" customFormat="1" ht="20.100000000000001" customHeight="1"/>
    <row r="818" s="16" customFormat="1" ht="20.100000000000001" customHeight="1"/>
    <row r="819" s="16" customFormat="1" ht="20.100000000000001" customHeight="1"/>
    <row r="820" s="16" customFormat="1" ht="20.100000000000001" customHeight="1"/>
    <row r="821" s="16" customFormat="1" ht="20.100000000000001" customHeight="1"/>
    <row r="822" s="16" customFormat="1" ht="20.100000000000001" customHeight="1"/>
    <row r="823" s="16" customFormat="1" ht="20.100000000000001" customHeight="1"/>
    <row r="824" s="16" customFormat="1" ht="20.100000000000001" customHeight="1"/>
    <row r="825" s="16" customFormat="1" ht="20.100000000000001" customHeight="1"/>
    <row r="826" s="16" customFormat="1" ht="20.100000000000001" customHeight="1"/>
    <row r="827" s="16" customFormat="1" ht="20.100000000000001" customHeight="1"/>
    <row r="828" s="16" customFormat="1" ht="20.100000000000001" customHeight="1"/>
    <row r="829" s="16" customFormat="1" ht="20.100000000000001" customHeight="1"/>
    <row r="830" s="16" customFormat="1" ht="20.100000000000001" customHeight="1"/>
    <row r="831" s="16" customFormat="1" ht="20.100000000000001" customHeight="1"/>
    <row r="832" s="16" customFormat="1" ht="20.100000000000001" customHeight="1"/>
    <row r="833" s="16" customFormat="1" ht="20.100000000000001" customHeight="1"/>
    <row r="834" s="16" customFormat="1" ht="20.100000000000001" customHeight="1"/>
    <row r="835" s="16" customFormat="1" ht="20.100000000000001" customHeight="1"/>
    <row r="836" s="16" customFormat="1" ht="20.100000000000001" customHeight="1"/>
    <row r="837" s="16" customFormat="1" ht="20.100000000000001" customHeight="1"/>
    <row r="838" s="16" customFormat="1" ht="20.100000000000001" customHeight="1"/>
    <row r="839" s="16" customFormat="1" ht="20.100000000000001" customHeight="1"/>
    <row r="840" s="16" customFormat="1" ht="20.100000000000001" customHeight="1"/>
    <row r="841" s="16" customFormat="1" ht="20.100000000000001" customHeight="1"/>
    <row r="842" s="16" customFormat="1" ht="20.100000000000001" customHeight="1"/>
    <row r="843" s="16" customFormat="1" ht="20.100000000000001" customHeight="1"/>
    <row r="844" s="16" customFormat="1" ht="20.100000000000001" customHeight="1"/>
    <row r="845" s="16" customFormat="1" ht="20.100000000000001" customHeight="1"/>
    <row r="846" s="16" customFormat="1" ht="20.100000000000001" customHeight="1"/>
    <row r="847" s="16" customFormat="1" ht="20.100000000000001" customHeight="1"/>
    <row r="848" s="16" customFormat="1" ht="20.100000000000001" customHeight="1"/>
    <row r="849" s="16" customFormat="1" ht="20.100000000000001" customHeight="1"/>
    <row r="850" s="16" customFormat="1" ht="20.100000000000001" customHeight="1"/>
    <row r="851" s="16" customFormat="1" ht="20.100000000000001" customHeight="1"/>
    <row r="852" s="16" customFormat="1" ht="20.100000000000001" customHeight="1"/>
    <row r="853" s="16" customFormat="1" ht="20.100000000000001" customHeight="1"/>
    <row r="854" s="16" customFormat="1" ht="20.100000000000001" customHeight="1"/>
    <row r="855" s="16" customFormat="1" ht="20.100000000000001" customHeight="1"/>
    <row r="856" s="16" customFormat="1" ht="20.100000000000001" customHeight="1"/>
    <row r="857" s="16" customFormat="1" ht="20.100000000000001" customHeight="1"/>
    <row r="858" s="16" customFormat="1" ht="20.100000000000001" customHeight="1"/>
    <row r="859" s="16" customFormat="1" ht="20.100000000000001" customHeight="1"/>
    <row r="860" s="16" customFormat="1" ht="20.100000000000001" customHeight="1"/>
    <row r="861" s="16" customFormat="1" ht="20.100000000000001" customHeight="1"/>
    <row r="862" s="16" customFormat="1" ht="20.100000000000001" customHeight="1"/>
    <row r="863" s="16" customFormat="1" ht="20.100000000000001" customHeight="1"/>
    <row r="864" s="16" customFormat="1" ht="20.100000000000001" customHeight="1"/>
    <row r="865" s="16" customFormat="1" ht="20.100000000000001" customHeight="1"/>
    <row r="866" s="16" customFormat="1" ht="20.100000000000001" customHeight="1"/>
    <row r="867" s="16" customFormat="1" ht="20.100000000000001" customHeight="1"/>
    <row r="868" s="16" customFormat="1" ht="20.100000000000001" customHeight="1"/>
    <row r="869" s="16" customFormat="1" ht="20.100000000000001" customHeight="1"/>
    <row r="870" s="16" customFormat="1" ht="20.100000000000001" customHeight="1"/>
    <row r="871" s="16" customFormat="1" ht="20.100000000000001" customHeight="1"/>
    <row r="872" s="16" customFormat="1" ht="20.100000000000001" customHeight="1"/>
    <row r="873" s="16" customFormat="1" ht="20.100000000000001" customHeight="1"/>
    <row r="874" s="16" customFormat="1" ht="20.100000000000001" customHeight="1"/>
    <row r="875" s="16" customFormat="1" ht="20.100000000000001" customHeight="1"/>
    <row r="876" s="16" customFormat="1" ht="20.100000000000001" customHeight="1"/>
    <row r="877" s="16" customFormat="1" ht="20.100000000000001" customHeight="1"/>
    <row r="878" s="16" customFormat="1" ht="20.100000000000001" customHeight="1"/>
    <row r="879" s="16" customFormat="1" ht="20.100000000000001" customHeight="1"/>
    <row r="880" s="16" customFormat="1" ht="20.100000000000001" customHeight="1"/>
    <row r="881" s="16" customFormat="1" ht="20.100000000000001" customHeight="1"/>
    <row r="882" s="16" customFormat="1" ht="20.100000000000001" customHeight="1"/>
    <row r="883" s="16" customFormat="1" ht="20.100000000000001" customHeight="1"/>
    <row r="884" s="16" customFormat="1" ht="20.100000000000001" customHeight="1"/>
    <row r="885" s="16" customFormat="1" ht="20.100000000000001" customHeight="1"/>
    <row r="886" s="16" customFormat="1" ht="20.100000000000001" customHeight="1"/>
    <row r="887" s="16" customFormat="1" ht="20.100000000000001" customHeight="1"/>
    <row r="888" s="16" customFormat="1" ht="20.100000000000001" customHeight="1"/>
    <row r="889" s="16" customFormat="1" ht="20.100000000000001" customHeight="1"/>
    <row r="890" s="16" customFormat="1" ht="20.100000000000001" customHeight="1"/>
    <row r="891" s="16" customFormat="1" ht="20.100000000000001" customHeight="1"/>
    <row r="892" s="16" customFormat="1" ht="20.100000000000001" customHeight="1"/>
    <row r="893" s="16" customFormat="1" ht="20.100000000000001" customHeight="1"/>
    <row r="894" s="16" customFormat="1" ht="20.100000000000001" customHeight="1"/>
    <row r="895" s="16" customFormat="1" ht="20.100000000000001" customHeight="1"/>
    <row r="896" s="16" customFormat="1" ht="20.100000000000001" customHeight="1"/>
    <row r="897" s="16" customFormat="1" ht="20.100000000000001" customHeight="1"/>
    <row r="898" s="16" customFormat="1" ht="20.100000000000001" customHeight="1"/>
    <row r="899" s="16" customFormat="1" ht="20.100000000000001" customHeight="1"/>
    <row r="900" s="16" customFormat="1" ht="20.100000000000001" customHeight="1"/>
    <row r="901" s="16" customFormat="1" ht="20.100000000000001" customHeight="1"/>
    <row r="902" s="16" customFormat="1" ht="20.100000000000001" customHeight="1"/>
    <row r="903" s="16" customFormat="1" ht="20.100000000000001" customHeight="1"/>
    <row r="904" s="16" customFormat="1" ht="20.100000000000001" customHeight="1"/>
    <row r="905" s="16" customFormat="1" ht="20.100000000000001" customHeight="1"/>
    <row r="906" s="16" customFormat="1" ht="20.100000000000001" customHeight="1"/>
    <row r="907" s="16" customFormat="1" ht="20.100000000000001" customHeight="1"/>
    <row r="908" s="16" customFormat="1" ht="20.100000000000001" customHeight="1"/>
    <row r="909" s="16" customFormat="1" ht="20.100000000000001" customHeight="1"/>
    <row r="910" s="16" customFormat="1" ht="20.100000000000001" customHeight="1"/>
    <row r="911" s="16" customFormat="1" ht="20.100000000000001" customHeight="1"/>
    <row r="912" s="16" customFormat="1" ht="20.100000000000001" customHeight="1"/>
    <row r="913" s="16" customFormat="1" ht="20.100000000000001" customHeight="1"/>
    <row r="914" s="16" customFormat="1" ht="20.100000000000001" customHeight="1"/>
    <row r="915" s="16" customFormat="1" ht="20.100000000000001" customHeight="1"/>
    <row r="916" s="16" customFormat="1" ht="20.100000000000001" customHeight="1"/>
    <row r="917" s="16" customFormat="1" ht="20.100000000000001" customHeight="1"/>
    <row r="918" s="16" customFormat="1" ht="20.100000000000001" customHeight="1"/>
    <row r="919" s="16" customFormat="1" ht="20.100000000000001" customHeight="1"/>
    <row r="920" s="16" customFormat="1" ht="20.100000000000001" customHeight="1"/>
    <row r="921" s="16" customFormat="1" ht="20.100000000000001" customHeight="1"/>
    <row r="922" s="16" customFormat="1" ht="20.100000000000001" customHeight="1"/>
    <row r="923" s="16" customFormat="1" ht="20.100000000000001" customHeight="1"/>
    <row r="924" s="16" customFormat="1" ht="20.100000000000001" customHeight="1"/>
    <row r="925" s="16" customFormat="1" ht="20.100000000000001" customHeight="1"/>
    <row r="926" s="16" customFormat="1" ht="20.100000000000001" customHeight="1"/>
    <row r="927" s="16" customFormat="1" ht="20.100000000000001" customHeight="1"/>
    <row r="928" s="16" customFormat="1" ht="20.100000000000001" customHeight="1"/>
    <row r="929" s="16" customFormat="1" ht="20.100000000000001" customHeight="1"/>
    <row r="930" s="16" customFormat="1" ht="20.100000000000001" customHeight="1"/>
    <row r="931" s="16" customFormat="1" ht="20.100000000000001" customHeight="1"/>
    <row r="932" s="16" customFormat="1" ht="20.100000000000001" customHeight="1"/>
    <row r="933" s="16" customFormat="1" ht="20.100000000000001" customHeight="1"/>
    <row r="934" s="16" customFormat="1" ht="20.100000000000001" customHeight="1"/>
    <row r="935" s="16" customFormat="1" ht="20.100000000000001" customHeight="1"/>
    <row r="936" s="16" customFormat="1" ht="20.100000000000001" customHeight="1"/>
    <row r="937" s="16" customFormat="1" ht="20.100000000000001" customHeight="1"/>
    <row r="938" s="16" customFormat="1" ht="20.100000000000001" customHeight="1"/>
    <row r="939" s="16" customFormat="1" ht="20.100000000000001" customHeight="1"/>
    <row r="940" s="16" customFormat="1" ht="20.100000000000001" customHeight="1"/>
    <row r="941" s="16" customFormat="1" ht="20.100000000000001" customHeight="1"/>
    <row r="942" s="16" customFormat="1" ht="20.100000000000001" customHeight="1"/>
    <row r="943" s="16" customFormat="1" ht="20.100000000000001" customHeight="1"/>
    <row r="944" s="16" customFormat="1" ht="20.100000000000001" customHeight="1"/>
    <row r="945" s="16" customFormat="1" ht="20.100000000000001" customHeight="1"/>
    <row r="946" s="16" customFormat="1" ht="20.100000000000001" customHeight="1"/>
    <row r="947" s="16" customFormat="1" ht="20.100000000000001" customHeight="1"/>
    <row r="948" s="16" customFormat="1" ht="20.100000000000001" customHeight="1"/>
    <row r="949" s="16" customFormat="1" ht="20.100000000000001" customHeight="1"/>
    <row r="950" s="16" customFormat="1" ht="20.100000000000001" customHeight="1"/>
    <row r="951" s="16" customFormat="1" ht="20.100000000000001" customHeight="1"/>
    <row r="952" s="16" customFormat="1" ht="20.100000000000001" customHeight="1"/>
    <row r="953" s="16" customFormat="1" ht="20.100000000000001" customHeight="1"/>
    <row r="954" s="16" customFormat="1" ht="20.100000000000001" customHeight="1"/>
    <row r="955" s="16" customFormat="1" ht="20.100000000000001" customHeight="1"/>
    <row r="956" s="16" customFormat="1" ht="20.100000000000001" customHeight="1"/>
    <row r="957" s="16" customFormat="1" ht="20.100000000000001" customHeight="1"/>
    <row r="958" s="16" customFormat="1" ht="20.100000000000001" customHeight="1"/>
    <row r="959" s="16" customFormat="1" ht="20.100000000000001" customHeight="1"/>
    <row r="960" s="16" customFormat="1" ht="20.100000000000001" customHeight="1"/>
    <row r="961" s="16" customFormat="1" ht="20.100000000000001" customHeight="1"/>
    <row r="962" s="16" customFormat="1" ht="20.100000000000001" customHeight="1"/>
    <row r="963" s="16" customFormat="1" ht="20.100000000000001" customHeight="1"/>
    <row r="964" s="16" customFormat="1" ht="20.100000000000001" customHeight="1"/>
    <row r="965" s="16" customFormat="1" ht="20.100000000000001" customHeight="1"/>
    <row r="966" s="16" customFormat="1" ht="20.100000000000001" customHeight="1"/>
    <row r="967" s="16" customFormat="1" ht="20.100000000000001" customHeight="1"/>
    <row r="968" s="16" customFormat="1" ht="20.100000000000001" customHeight="1"/>
    <row r="969" s="16" customFormat="1" ht="20.100000000000001" customHeight="1"/>
    <row r="970" s="16" customFormat="1" ht="20.100000000000001" customHeight="1"/>
    <row r="971" s="16" customFormat="1" ht="20.100000000000001" customHeight="1"/>
    <row r="972" s="16" customFormat="1" ht="20.100000000000001" customHeight="1"/>
    <row r="973" s="16" customFormat="1" ht="20.100000000000001" customHeight="1"/>
    <row r="974" s="16" customFormat="1" ht="20.100000000000001" customHeight="1"/>
    <row r="975" s="16" customFormat="1" ht="20.100000000000001" customHeight="1"/>
    <row r="976" s="16" customFormat="1" ht="20.100000000000001" customHeight="1"/>
    <row r="977" s="16" customFormat="1" ht="20.100000000000001" customHeight="1"/>
    <row r="978" s="16" customFormat="1" ht="20.100000000000001" customHeight="1"/>
    <row r="979" s="16" customFormat="1" ht="20.100000000000001" customHeight="1"/>
    <row r="980" s="16" customFormat="1" ht="20.100000000000001" customHeight="1"/>
    <row r="981" s="16" customFormat="1" ht="20.100000000000001" customHeight="1"/>
    <row r="982" s="16" customFormat="1" ht="20.100000000000001" customHeight="1"/>
    <row r="983" s="16" customFormat="1" ht="20.100000000000001" customHeight="1"/>
    <row r="984" s="16" customFormat="1" ht="20.100000000000001" customHeight="1"/>
    <row r="985" s="16" customFormat="1" ht="20.100000000000001" customHeight="1"/>
    <row r="986" s="16" customFormat="1" ht="20.100000000000001" customHeight="1"/>
    <row r="987" s="16" customFormat="1" ht="20.100000000000001" customHeight="1"/>
    <row r="988" s="16" customFormat="1" ht="20.100000000000001" customHeight="1"/>
    <row r="989" s="16" customFormat="1" ht="20.100000000000001" customHeight="1"/>
    <row r="990" s="16" customFormat="1" ht="20.100000000000001" customHeight="1"/>
    <row r="991" s="16" customFormat="1" ht="20.100000000000001" customHeight="1"/>
    <row r="992" s="16" customFormat="1" ht="20.100000000000001" customHeight="1"/>
    <row r="993" s="16" customFormat="1" ht="20.100000000000001" customHeight="1"/>
    <row r="994" s="16" customFormat="1" ht="20.100000000000001" customHeight="1"/>
    <row r="995" s="16" customFormat="1" ht="20.100000000000001" customHeight="1"/>
    <row r="996" s="16" customFormat="1" ht="20.100000000000001" customHeight="1"/>
    <row r="997" s="16" customFormat="1" ht="20.100000000000001" customHeight="1"/>
    <row r="998" s="16" customFormat="1" ht="20.100000000000001" customHeight="1"/>
    <row r="999" s="16" customFormat="1" ht="20.100000000000001" customHeight="1"/>
    <row r="1000" s="16" customFormat="1" ht="20.100000000000001" customHeight="1"/>
    <row r="1001" s="16" customFormat="1" ht="20.100000000000001" customHeight="1"/>
    <row r="1002" s="16" customFormat="1" ht="20.100000000000001" customHeight="1"/>
    <row r="1003" s="16" customFormat="1" ht="20.100000000000001" customHeight="1"/>
    <row r="1004" s="16" customFormat="1" ht="20.100000000000001" customHeight="1"/>
    <row r="1005" s="16" customFormat="1" ht="20.100000000000001" customHeight="1"/>
    <row r="1006" s="16" customFormat="1" ht="20.100000000000001" customHeight="1"/>
    <row r="1007" s="16" customFormat="1" ht="20.100000000000001" customHeight="1"/>
    <row r="1008" s="16" customFormat="1" ht="20.100000000000001" customHeight="1"/>
    <row r="1009" s="16" customFormat="1" ht="20.100000000000001" customHeight="1"/>
    <row r="1010" s="16" customFormat="1" ht="20.100000000000001" customHeight="1"/>
    <row r="1011" s="16" customFormat="1" ht="20.100000000000001" customHeight="1"/>
    <row r="1012" s="16" customFormat="1" ht="20.100000000000001" customHeight="1"/>
    <row r="1013" s="16" customFormat="1" ht="20.100000000000001" customHeight="1"/>
    <row r="1014" s="16" customFormat="1" ht="20.100000000000001" customHeight="1"/>
    <row r="1015" s="16" customFormat="1" ht="20.100000000000001" customHeight="1"/>
    <row r="1016" s="16" customFormat="1" ht="20.100000000000001" customHeight="1"/>
    <row r="1017" s="16" customFormat="1" ht="20.100000000000001" customHeight="1"/>
    <row r="1018" s="16" customFormat="1" ht="20.100000000000001" customHeight="1"/>
    <row r="1019" s="16" customFormat="1" ht="20.100000000000001" customHeight="1"/>
    <row r="1020" s="16" customFormat="1" ht="20.100000000000001" customHeight="1"/>
    <row r="1021" s="16" customFormat="1" ht="20.100000000000001" customHeight="1"/>
    <row r="1022" s="16" customFormat="1" ht="20.100000000000001" customHeight="1"/>
    <row r="1023" s="16" customFormat="1" ht="20.100000000000001" customHeight="1"/>
    <row r="1024" s="16" customFormat="1" ht="20.100000000000001" customHeight="1"/>
    <row r="1025" s="16" customFormat="1" ht="20.100000000000001" customHeight="1"/>
    <row r="1026" s="16" customFormat="1" ht="20.100000000000001" customHeight="1"/>
    <row r="1027" s="16" customFormat="1" ht="20.100000000000001" customHeight="1"/>
    <row r="1028" s="16" customFormat="1" ht="20.100000000000001" customHeight="1"/>
    <row r="1029" s="16" customFormat="1" ht="20.100000000000001" customHeight="1"/>
    <row r="1030" s="16" customFormat="1" ht="20.100000000000001" customHeight="1"/>
    <row r="1031" s="16" customFormat="1" ht="20.100000000000001" customHeight="1"/>
    <row r="1032" s="16" customFormat="1" ht="20.100000000000001" customHeight="1"/>
    <row r="1033" s="16" customFormat="1" ht="20.100000000000001" customHeight="1"/>
    <row r="1034" s="16" customFormat="1" ht="20.100000000000001" customHeight="1"/>
    <row r="1035" s="16" customFormat="1" ht="20.100000000000001" customHeight="1"/>
    <row r="1036" s="16" customFormat="1" ht="20.100000000000001" customHeight="1"/>
    <row r="1037" s="16" customFormat="1" ht="20.100000000000001" customHeight="1"/>
    <row r="1038" s="16" customFormat="1" ht="20.100000000000001" customHeight="1"/>
    <row r="1039" s="16" customFormat="1" ht="20.100000000000001" customHeight="1"/>
    <row r="1040" s="16" customFormat="1" ht="20.100000000000001" customHeight="1"/>
    <row r="1041" s="16" customFormat="1" ht="20.100000000000001" customHeight="1"/>
    <row r="1042" s="16" customFormat="1" ht="20.100000000000001" customHeight="1"/>
    <row r="1043" s="16" customFormat="1" ht="20.100000000000001" customHeight="1"/>
    <row r="1044" s="16" customFormat="1" ht="20.100000000000001" customHeight="1"/>
    <row r="1045" s="16" customFormat="1" ht="20.100000000000001" customHeight="1"/>
    <row r="1046" s="16" customFormat="1" ht="20.100000000000001" customHeight="1"/>
    <row r="1047" s="16" customFormat="1" ht="20.100000000000001" customHeight="1"/>
    <row r="1048" s="16" customFormat="1" ht="20.100000000000001" customHeight="1"/>
    <row r="1049" s="16" customFormat="1" ht="20.100000000000001" customHeight="1"/>
    <row r="1050" s="16" customFormat="1" ht="20.100000000000001" customHeight="1"/>
    <row r="1051" s="16" customFormat="1" ht="20.100000000000001" customHeight="1"/>
    <row r="1052" s="16" customFormat="1" ht="20.100000000000001" customHeight="1"/>
    <row r="1053" s="16" customFormat="1" ht="20.100000000000001" customHeight="1"/>
    <row r="1054" s="16" customFormat="1" ht="20.100000000000001" customHeight="1"/>
    <row r="1055" s="16" customFormat="1" ht="20.100000000000001" customHeight="1"/>
    <row r="1056" s="16" customFormat="1" ht="20.100000000000001" customHeight="1"/>
    <row r="1057" s="16" customFormat="1" ht="20.100000000000001" customHeight="1"/>
    <row r="1058" s="16" customFormat="1" ht="20.100000000000001" customHeight="1"/>
    <row r="1059" s="16" customFormat="1" ht="20.100000000000001" customHeight="1"/>
    <row r="1060" s="16" customFormat="1" ht="20.100000000000001" customHeight="1"/>
    <row r="1061" s="16" customFormat="1" ht="20.100000000000001" customHeight="1"/>
    <row r="1062" s="16" customFormat="1" ht="20.100000000000001" customHeight="1"/>
    <row r="1063" s="16" customFormat="1" ht="20.100000000000001" customHeight="1"/>
    <row r="1064" s="16" customFormat="1" ht="20.100000000000001" customHeight="1"/>
    <row r="1065" s="16" customFormat="1" ht="20.100000000000001" customHeight="1"/>
    <row r="1066" s="16" customFormat="1" ht="20.100000000000001" customHeight="1"/>
    <row r="1067" s="16" customFormat="1" ht="20.100000000000001" customHeight="1"/>
    <row r="1068" s="16" customFormat="1" ht="20.100000000000001" customHeight="1"/>
    <row r="1069" s="16" customFormat="1" ht="20.100000000000001" customHeight="1"/>
    <row r="1070" s="16" customFormat="1" ht="20.100000000000001" customHeight="1"/>
    <row r="1071" s="16" customFormat="1" ht="20.100000000000001" customHeight="1"/>
    <row r="1072" s="16" customFormat="1" ht="20.100000000000001" customHeight="1"/>
    <row r="1073" s="16" customFormat="1" ht="20.100000000000001" customHeight="1"/>
    <row r="1074" s="16" customFormat="1" ht="20.100000000000001" customHeight="1"/>
    <row r="1075" s="16" customFormat="1" ht="20.100000000000001" customHeight="1"/>
    <row r="1076" s="16" customFormat="1" ht="20.100000000000001" customHeight="1"/>
    <row r="1077" s="16" customFormat="1" ht="20.100000000000001" customHeight="1"/>
    <row r="1078" s="16" customFormat="1" ht="20.100000000000001" customHeight="1"/>
    <row r="1079" s="16" customFormat="1" ht="20.100000000000001" customHeight="1"/>
    <row r="1080" s="16" customFormat="1" ht="20.100000000000001" customHeight="1"/>
    <row r="1081" s="16" customFormat="1" ht="20.100000000000001" customHeight="1"/>
    <row r="1082" s="16" customFormat="1" ht="20.100000000000001" customHeight="1"/>
    <row r="1083" s="16" customFormat="1" ht="20.100000000000001" customHeight="1"/>
    <row r="1084" s="16" customFormat="1" ht="20.100000000000001" customHeight="1"/>
    <row r="1085" s="16" customFormat="1" ht="20.100000000000001" customHeight="1"/>
    <row r="1086" s="16" customFormat="1" ht="20.100000000000001" customHeight="1"/>
    <row r="1087" s="16" customFormat="1" ht="20.100000000000001" customHeight="1"/>
    <row r="1088" s="16" customFormat="1" ht="20.100000000000001" customHeight="1"/>
    <row r="1089" s="16" customFormat="1" ht="20.100000000000001" customHeight="1"/>
    <row r="1090" s="16" customFormat="1" ht="20.100000000000001" customHeight="1"/>
    <row r="1091" s="16" customFormat="1" ht="20.100000000000001" customHeight="1"/>
    <row r="1092" s="16" customFormat="1" ht="20.100000000000001" customHeight="1"/>
    <row r="1093" s="16" customFormat="1" ht="20.100000000000001" customHeight="1"/>
    <row r="1094" s="16" customFormat="1" ht="20.100000000000001" customHeight="1"/>
    <row r="1095" s="16" customFormat="1" ht="20.100000000000001" customHeight="1"/>
    <row r="1096" s="16" customFormat="1" ht="20.100000000000001" customHeight="1"/>
    <row r="1097" s="16" customFormat="1" ht="20.100000000000001" customHeight="1"/>
    <row r="1098" s="16" customFormat="1" ht="20.100000000000001" customHeight="1"/>
    <row r="1099" s="16" customFormat="1" ht="20.100000000000001" customHeight="1"/>
    <row r="1100" s="16" customFormat="1" ht="20.100000000000001" customHeight="1"/>
    <row r="1101" s="16" customFormat="1" ht="20.100000000000001" customHeight="1"/>
    <row r="1102" s="16" customFormat="1" ht="20.100000000000001" customHeight="1"/>
    <row r="1103" s="16" customFormat="1" ht="20.100000000000001" customHeight="1"/>
    <row r="1104" s="16" customFormat="1" ht="20.100000000000001" customHeight="1"/>
    <row r="1105" s="16" customFormat="1" ht="20.100000000000001" customHeight="1"/>
    <row r="1106" s="16" customFormat="1" ht="20.100000000000001" customHeight="1"/>
    <row r="1107" s="16" customFormat="1" ht="20.100000000000001" customHeight="1"/>
    <row r="1108" s="16" customFormat="1" ht="20.100000000000001" customHeight="1"/>
    <row r="1109" s="16" customFormat="1" ht="20.100000000000001" customHeight="1"/>
    <row r="1110" s="16" customFormat="1" ht="20.100000000000001" customHeight="1"/>
    <row r="1111" s="16" customFormat="1" ht="20.100000000000001" customHeight="1"/>
    <row r="1112" s="16" customFormat="1" ht="20.100000000000001" customHeight="1"/>
    <row r="1113" s="16" customFormat="1" ht="20.100000000000001" customHeight="1"/>
    <row r="1114" s="16" customFormat="1" ht="20.100000000000001" customHeight="1"/>
    <row r="1115" s="16" customFormat="1" ht="20.100000000000001" customHeight="1"/>
    <row r="1116" s="16" customFormat="1" ht="20.100000000000001" customHeight="1"/>
    <row r="1117" s="16" customFormat="1" ht="20.100000000000001" customHeight="1"/>
    <row r="1118" s="16" customFormat="1" ht="20.100000000000001" customHeight="1"/>
    <row r="1119" s="16" customFormat="1" ht="20.100000000000001" customHeight="1"/>
    <row r="1120" s="16" customFormat="1" ht="20.100000000000001" customHeight="1"/>
    <row r="1121" s="16" customFormat="1" ht="20.100000000000001" customHeight="1"/>
    <row r="1122" s="16" customFormat="1" ht="20.100000000000001" customHeight="1"/>
    <row r="1123" s="16" customFormat="1" ht="20.100000000000001" customHeight="1"/>
    <row r="1124" s="16" customFormat="1" ht="20.100000000000001" customHeight="1"/>
    <row r="1125" s="16" customFormat="1" ht="20.100000000000001" customHeight="1"/>
    <row r="1126" s="16" customFormat="1" ht="20.100000000000001" customHeight="1"/>
    <row r="1127" s="16" customFormat="1" ht="20.100000000000001" customHeight="1"/>
    <row r="1128" s="16" customFormat="1" ht="20.100000000000001" customHeight="1"/>
    <row r="1129" s="16" customFormat="1" ht="20.100000000000001" customHeight="1"/>
    <row r="1130" s="16" customFormat="1" ht="20.100000000000001" customHeight="1"/>
    <row r="1131" s="16" customFormat="1" ht="20.100000000000001" customHeight="1"/>
    <row r="1132" s="16" customFormat="1" ht="20.100000000000001" customHeight="1"/>
    <row r="1133" s="16" customFormat="1" ht="20.100000000000001" customHeight="1"/>
    <row r="1134" s="16" customFormat="1" ht="20.100000000000001" customHeight="1"/>
    <row r="1135" s="16" customFormat="1" ht="20.100000000000001" customHeight="1"/>
    <row r="1136" s="16" customFormat="1" ht="20.100000000000001" customHeight="1"/>
    <row r="1137" s="16" customFormat="1" ht="20.100000000000001" customHeight="1"/>
    <row r="1138" s="16" customFormat="1" ht="20.100000000000001" customHeight="1"/>
    <row r="1139" s="16" customFormat="1" ht="20.100000000000001" customHeight="1"/>
    <row r="1140" s="16" customFormat="1" ht="20.100000000000001" customHeight="1"/>
    <row r="1141" s="16" customFormat="1" ht="20.100000000000001" customHeight="1"/>
    <row r="1142" s="16" customFormat="1" ht="20.100000000000001" customHeight="1"/>
    <row r="1143" s="16" customFormat="1" ht="20.100000000000001" customHeight="1"/>
    <row r="1144" s="16" customFormat="1" ht="20.100000000000001" customHeight="1"/>
    <row r="1145" s="16" customFormat="1" ht="20.100000000000001" customHeight="1"/>
    <row r="1146" s="16" customFormat="1" ht="20.100000000000001" customHeight="1"/>
    <row r="1147" s="16" customFormat="1" ht="20.100000000000001" customHeight="1"/>
    <row r="1148" s="16" customFormat="1" ht="20.100000000000001" customHeight="1"/>
    <row r="1149" s="16" customFormat="1" ht="20.100000000000001" customHeight="1"/>
    <row r="1150" s="16" customFormat="1" ht="20.100000000000001" customHeight="1"/>
    <row r="1151" s="16" customFormat="1" ht="20.100000000000001" customHeight="1"/>
    <row r="1152" s="16" customFormat="1" ht="20.100000000000001" customHeight="1"/>
    <row r="1153" s="16" customFormat="1" ht="20.100000000000001" customHeight="1"/>
    <row r="1154" s="16" customFormat="1" ht="20.100000000000001" customHeight="1"/>
    <row r="1155" s="16" customFormat="1" ht="20.100000000000001" customHeight="1"/>
    <row r="1156" s="16" customFormat="1" ht="20.100000000000001" customHeight="1"/>
    <row r="1157" s="16" customFormat="1" ht="20.100000000000001" customHeight="1"/>
    <row r="1158" s="16" customFormat="1" ht="20.100000000000001" customHeight="1"/>
    <row r="1159" s="16" customFormat="1" ht="20.100000000000001" customHeight="1"/>
    <row r="1160" s="16" customFormat="1" ht="20.100000000000001" customHeight="1"/>
    <row r="1161" s="16" customFormat="1" ht="20.100000000000001" customHeight="1"/>
    <row r="1162" s="16" customFormat="1" ht="20.100000000000001" customHeight="1"/>
    <row r="1163" s="16" customFormat="1" ht="20.100000000000001" customHeight="1"/>
    <row r="1164" s="16" customFormat="1" ht="20.100000000000001" customHeight="1"/>
    <row r="1165" s="16" customFormat="1" ht="20.100000000000001" customHeight="1"/>
    <row r="1166" s="16" customFormat="1" ht="20.100000000000001" customHeight="1"/>
    <row r="1167" s="16" customFormat="1" ht="20.100000000000001" customHeight="1"/>
    <row r="1168" s="16" customFormat="1" ht="20.100000000000001" customHeight="1"/>
    <row r="1169" s="16" customFormat="1" ht="20.100000000000001" customHeight="1"/>
    <row r="1170" s="16" customFormat="1" ht="20.100000000000001" customHeight="1"/>
    <row r="1171" s="16" customFormat="1" ht="20.100000000000001" customHeight="1"/>
    <row r="1172" s="16" customFormat="1" ht="20.100000000000001" customHeight="1"/>
    <row r="1173" s="16" customFormat="1" ht="20.100000000000001" customHeight="1"/>
    <row r="1174" s="16" customFormat="1" ht="20.100000000000001" customHeight="1"/>
    <row r="1175" s="16" customFormat="1" ht="20.100000000000001" customHeight="1"/>
    <row r="1176" s="16" customFormat="1" ht="20.100000000000001" customHeight="1"/>
    <row r="1177" s="16" customFormat="1" ht="20.100000000000001" customHeight="1"/>
    <row r="1178" s="16" customFormat="1" ht="20.100000000000001" customHeight="1"/>
    <row r="1179" s="16" customFormat="1" ht="20.100000000000001" customHeight="1"/>
    <row r="1180" s="16" customFormat="1" ht="20.100000000000001" customHeight="1"/>
    <row r="1181" s="16" customFormat="1" ht="20.100000000000001" customHeight="1"/>
    <row r="1182" s="16" customFormat="1" ht="20.100000000000001" customHeight="1"/>
    <row r="1183" s="16" customFormat="1" ht="20.100000000000001" customHeight="1"/>
    <row r="1184" s="16" customFormat="1" ht="20.100000000000001" customHeight="1"/>
    <row r="1185" s="16" customFormat="1" ht="20.100000000000001" customHeight="1"/>
    <row r="1186" s="16" customFormat="1" ht="20.100000000000001" customHeight="1"/>
    <row r="1187" s="16" customFormat="1" ht="20.100000000000001" customHeight="1"/>
    <row r="1188" s="16" customFormat="1" ht="20.100000000000001" customHeight="1"/>
    <row r="1189" s="16" customFormat="1" ht="20.100000000000001" customHeight="1"/>
    <row r="1190" s="16" customFormat="1" ht="20.100000000000001" customHeight="1"/>
    <row r="1191" s="16" customFormat="1" ht="20.100000000000001" customHeight="1"/>
    <row r="1192" s="16" customFormat="1" ht="20.100000000000001" customHeight="1"/>
    <row r="1193" s="16" customFormat="1" ht="20.100000000000001" customHeight="1"/>
    <row r="1194" s="16" customFormat="1" ht="20.100000000000001" customHeight="1"/>
    <row r="1195" s="16" customFormat="1" ht="20.100000000000001" customHeight="1"/>
    <row r="1196" s="16" customFormat="1" ht="20.100000000000001" customHeight="1"/>
    <row r="1197" s="16" customFormat="1" ht="20.100000000000001" customHeight="1"/>
    <row r="1198" s="16" customFormat="1" ht="20.100000000000001" customHeight="1"/>
    <row r="1199" s="16" customFormat="1" ht="20.100000000000001" customHeight="1"/>
    <row r="1200" s="16" customFormat="1" ht="20.100000000000001" customHeight="1"/>
    <row r="1201" s="16" customFormat="1" ht="20.100000000000001" customHeight="1"/>
    <row r="1202" s="16" customFormat="1" ht="20.100000000000001" customHeight="1"/>
    <row r="1203" s="16" customFormat="1" ht="20.100000000000001" customHeight="1"/>
    <row r="1204" s="16" customFormat="1" ht="20.100000000000001" customHeight="1"/>
    <row r="1205" s="16" customFormat="1" ht="20.100000000000001" customHeight="1"/>
    <row r="1206" s="16" customFormat="1" ht="20.100000000000001" customHeight="1"/>
    <row r="1207" s="16" customFormat="1" ht="20.100000000000001" customHeight="1"/>
    <row r="1208" s="16" customFormat="1" ht="20.100000000000001" customHeight="1"/>
    <row r="1209" s="16" customFormat="1" ht="20.100000000000001" customHeight="1"/>
    <row r="1210" s="16" customFormat="1" ht="20.100000000000001" customHeight="1"/>
    <row r="1211" s="16" customFormat="1" ht="20.100000000000001" customHeight="1"/>
    <row r="1212" s="16" customFormat="1" ht="20.100000000000001" customHeight="1"/>
    <row r="1213" s="16" customFormat="1" ht="20.100000000000001" customHeight="1"/>
    <row r="1214" s="16" customFormat="1" ht="20.100000000000001" customHeight="1"/>
    <row r="1215" s="16" customFormat="1" ht="20.100000000000001" customHeight="1"/>
    <row r="1216" s="16" customFormat="1" ht="20.100000000000001" customHeight="1"/>
    <row r="1217" s="16" customFormat="1" ht="20.100000000000001" customHeight="1"/>
    <row r="1218" s="16" customFormat="1" ht="20.100000000000001" customHeight="1"/>
    <row r="1219" s="16" customFormat="1" ht="20.100000000000001" customHeight="1"/>
    <row r="1220" s="16" customFormat="1" ht="20.100000000000001" customHeight="1"/>
    <row r="1221" s="16" customFormat="1" ht="20.100000000000001" customHeight="1"/>
    <row r="1222" s="16" customFormat="1" ht="20.100000000000001" customHeight="1"/>
    <row r="1223" s="16" customFormat="1" ht="20.100000000000001" customHeight="1"/>
    <row r="1224" s="16" customFormat="1" ht="20.100000000000001" customHeight="1"/>
    <row r="1225" s="16" customFormat="1" ht="20.100000000000001" customHeight="1"/>
    <row r="1226" s="16" customFormat="1" ht="20.100000000000001" customHeight="1"/>
    <row r="1227" s="16" customFormat="1" ht="20.100000000000001" customHeight="1"/>
    <row r="1228" s="16" customFormat="1" ht="20.100000000000001" customHeight="1"/>
    <row r="1229" s="16" customFormat="1" ht="20.100000000000001" customHeight="1"/>
    <row r="1230" s="16" customFormat="1" ht="20.100000000000001" customHeight="1"/>
    <row r="1231" s="16" customFormat="1" ht="20.100000000000001" customHeight="1"/>
    <row r="1232" s="16" customFormat="1" ht="20.100000000000001" customHeight="1"/>
    <row r="1233" s="16" customFormat="1" ht="20.100000000000001" customHeight="1"/>
    <row r="1234" s="16" customFormat="1" ht="20.100000000000001" customHeight="1"/>
    <row r="1235" s="16" customFormat="1" ht="20.100000000000001" customHeight="1"/>
    <row r="1236" s="16" customFormat="1" ht="20.100000000000001" customHeight="1"/>
    <row r="1237" s="16" customFormat="1" ht="20.100000000000001" customHeight="1"/>
    <row r="1238" s="16" customFormat="1" ht="20.100000000000001" customHeight="1"/>
    <row r="1239" s="16" customFormat="1" ht="20.100000000000001" customHeight="1"/>
    <row r="1240" s="16" customFormat="1" ht="20.100000000000001" customHeight="1"/>
    <row r="1241" s="16" customFormat="1" ht="20.100000000000001" customHeight="1"/>
    <row r="1242" s="16" customFormat="1" ht="20.100000000000001" customHeight="1"/>
    <row r="1243" s="16" customFormat="1" ht="20.100000000000001" customHeight="1"/>
    <row r="1244" s="16" customFormat="1" ht="20.100000000000001" customHeight="1"/>
    <row r="1245" s="16" customFormat="1" ht="20.100000000000001" customHeight="1"/>
    <row r="1246" s="16" customFormat="1" ht="20.100000000000001" customHeight="1"/>
    <row r="1247" s="16" customFormat="1" ht="20.100000000000001" customHeight="1"/>
    <row r="1248" s="16" customFormat="1" ht="20.100000000000001" customHeight="1"/>
    <row r="1249" s="16" customFormat="1" ht="20.100000000000001" customHeight="1"/>
    <row r="1250" s="16" customFormat="1" ht="20.100000000000001" customHeight="1"/>
    <row r="1251" s="16" customFormat="1" ht="20.100000000000001" customHeight="1"/>
    <row r="1252" s="16" customFormat="1" ht="20.100000000000001" customHeight="1"/>
    <row r="1253" s="16" customFormat="1" ht="20.100000000000001" customHeight="1"/>
    <row r="1254" s="16" customFormat="1" ht="20.100000000000001" customHeight="1"/>
    <row r="1255" s="16" customFormat="1" ht="20.100000000000001" customHeight="1"/>
    <row r="1256" s="16" customFormat="1" ht="20.100000000000001" customHeight="1"/>
    <row r="1257" s="16" customFormat="1" ht="20.100000000000001" customHeight="1"/>
    <row r="1258" s="16" customFormat="1" ht="20.100000000000001" customHeight="1"/>
    <row r="1259" s="16" customFormat="1" ht="20.100000000000001" customHeight="1"/>
    <row r="1260" s="16" customFormat="1" ht="20.100000000000001" customHeight="1"/>
    <row r="1261" s="16" customFormat="1" ht="20.100000000000001" customHeight="1"/>
    <row r="1262" s="16" customFormat="1" ht="20.100000000000001" customHeight="1"/>
    <row r="1263" s="16" customFormat="1" ht="20.100000000000001" customHeight="1"/>
    <row r="1264" s="16" customFormat="1" ht="20.100000000000001" customHeight="1"/>
    <row r="1265" s="16" customFormat="1" ht="20.100000000000001" customHeight="1"/>
    <row r="1266" s="16" customFormat="1" ht="20.100000000000001" customHeight="1"/>
    <row r="1267" s="16" customFormat="1" ht="20.100000000000001" customHeight="1"/>
    <row r="1268" s="16" customFormat="1" ht="20.100000000000001" customHeight="1"/>
    <row r="1269" s="16" customFormat="1" ht="20.100000000000001" customHeight="1"/>
    <row r="1270" s="16" customFormat="1" ht="20.100000000000001" customHeight="1"/>
    <row r="1271" s="16" customFormat="1" ht="20.100000000000001" customHeight="1"/>
    <row r="1272" s="16" customFormat="1" ht="20.100000000000001" customHeight="1"/>
    <row r="1273" s="16" customFormat="1" ht="20.100000000000001" customHeight="1"/>
    <row r="1274" s="16" customFormat="1" ht="20.100000000000001" customHeight="1"/>
    <row r="1275" s="16" customFormat="1" ht="20.100000000000001" customHeight="1"/>
    <row r="1276" s="16" customFormat="1" ht="20.100000000000001" customHeight="1"/>
    <row r="1277" s="16" customFormat="1" ht="20.100000000000001" customHeight="1"/>
    <row r="1278" s="16" customFormat="1" ht="20.100000000000001" customHeight="1"/>
    <row r="1279" s="16" customFormat="1" ht="20.100000000000001" customHeight="1"/>
    <row r="1280" s="16" customFormat="1" ht="20.100000000000001" customHeight="1"/>
    <row r="1281" s="16" customFormat="1" ht="20.100000000000001" customHeight="1"/>
    <row r="1282" s="16" customFormat="1" ht="20.100000000000001" customHeight="1"/>
    <row r="1283" s="16" customFormat="1" ht="20.100000000000001" customHeight="1"/>
    <row r="1284" s="16" customFormat="1" ht="20.100000000000001" customHeight="1"/>
    <row r="1285" s="16" customFormat="1" ht="20.100000000000001" customHeight="1"/>
    <row r="1286" s="16" customFormat="1" ht="20.100000000000001" customHeight="1"/>
    <row r="1287" s="16" customFormat="1" ht="20.100000000000001" customHeight="1"/>
    <row r="1288" s="16" customFormat="1" ht="20.100000000000001" customHeight="1"/>
    <row r="1289" s="16" customFormat="1" ht="20.100000000000001" customHeight="1"/>
    <row r="1290" s="16" customFormat="1" ht="20.100000000000001" customHeight="1"/>
    <row r="1291" s="16" customFormat="1" ht="20.100000000000001" customHeight="1"/>
    <row r="1292" s="16" customFormat="1" ht="20.100000000000001" customHeight="1"/>
    <row r="1293" s="16" customFormat="1" ht="20.100000000000001" customHeight="1"/>
    <row r="1294" s="16" customFormat="1" ht="20.100000000000001" customHeight="1"/>
    <row r="1295" s="16" customFormat="1" ht="20.100000000000001" customHeight="1"/>
    <row r="1296" s="16" customFormat="1" ht="20.100000000000001" customHeight="1"/>
    <row r="1297" s="16" customFormat="1" ht="20.100000000000001" customHeight="1"/>
    <row r="1298" s="16" customFormat="1" ht="20.100000000000001" customHeight="1"/>
    <row r="1299" s="16" customFormat="1" ht="20.100000000000001" customHeight="1"/>
    <row r="1300" s="16" customFormat="1" ht="20.100000000000001" customHeight="1"/>
    <row r="1301" s="16" customFormat="1" ht="20.100000000000001" customHeight="1"/>
    <row r="1302" s="16" customFormat="1" ht="20.100000000000001" customHeight="1"/>
    <row r="1303" s="16" customFormat="1" ht="20.100000000000001" customHeight="1"/>
    <row r="1304" s="16" customFormat="1" ht="20.100000000000001" customHeight="1"/>
    <row r="1305" s="16" customFormat="1" ht="20.100000000000001" customHeight="1"/>
    <row r="1306" s="16" customFormat="1" ht="20.100000000000001" customHeight="1"/>
    <row r="1307" s="16" customFormat="1" ht="20.100000000000001" customHeight="1"/>
    <row r="1308" s="16" customFormat="1" ht="20.100000000000001" customHeight="1"/>
    <row r="1309" s="16" customFormat="1" ht="20.100000000000001" customHeight="1"/>
    <row r="1310" s="16" customFormat="1" ht="20.100000000000001" customHeight="1"/>
    <row r="1311" s="16" customFormat="1" ht="20.100000000000001" customHeight="1"/>
    <row r="1312" s="16" customFormat="1" ht="20.100000000000001" customHeight="1"/>
    <row r="1313" s="16" customFormat="1" ht="20.100000000000001" customHeight="1"/>
    <row r="1314" s="16" customFormat="1" ht="20.100000000000001" customHeight="1"/>
    <row r="1315" s="16" customFormat="1" ht="20.100000000000001" customHeight="1"/>
    <row r="1316" s="16" customFormat="1" ht="20.100000000000001" customHeight="1"/>
    <row r="1317" s="16" customFormat="1" ht="20.100000000000001" customHeight="1"/>
    <row r="1318" s="16" customFormat="1" ht="20.100000000000001" customHeight="1"/>
    <row r="1319" s="16" customFormat="1" ht="20.100000000000001" customHeight="1"/>
    <row r="1320" s="16" customFormat="1" ht="20.100000000000001" customHeight="1"/>
    <row r="1321" s="16" customFormat="1" ht="20.100000000000001" customHeight="1"/>
    <row r="1322" s="16" customFormat="1" ht="20.100000000000001" customHeight="1"/>
    <row r="1323" s="16" customFormat="1" ht="20.100000000000001" customHeight="1"/>
    <row r="1324" s="16" customFormat="1" ht="20.100000000000001" customHeight="1"/>
    <row r="1325" s="16" customFormat="1" ht="20.100000000000001" customHeight="1"/>
    <row r="1326" s="16" customFormat="1" ht="20.100000000000001" customHeight="1"/>
    <row r="1327" s="16" customFormat="1" ht="20.100000000000001" customHeight="1"/>
    <row r="1328" s="16" customFormat="1" ht="20.100000000000001" customHeight="1"/>
    <row r="1329" s="16" customFormat="1" ht="20.100000000000001" customHeight="1"/>
    <row r="1330" s="16" customFormat="1" ht="20.100000000000001" customHeight="1"/>
    <row r="1331" s="16" customFormat="1" ht="20.100000000000001" customHeight="1"/>
    <row r="1332" s="16" customFormat="1" ht="20.100000000000001" customHeight="1"/>
    <row r="1333" s="16" customFormat="1" ht="20.100000000000001" customHeight="1"/>
    <row r="1334" s="16" customFormat="1" ht="20.100000000000001" customHeight="1"/>
    <row r="1335" s="16" customFormat="1" ht="20.100000000000001" customHeight="1"/>
    <row r="1336" s="16" customFormat="1" ht="20.100000000000001" customHeight="1"/>
    <row r="1337" s="16" customFormat="1" ht="20.100000000000001" customHeight="1"/>
    <row r="1338" s="16" customFormat="1" ht="20.100000000000001" customHeight="1"/>
    <row r="1339" s="16" customFormat="1" ht="20.100000000000001" customHeight="1"/>
    <row r="1340" s="16" customFormat="1" ht="20.100000000000001" customHeight="1"/>
    <row r="1341" s="16" customFormat="1" ht="20.100000000000001" customHeight="1"/>
    <row r="1342" s="16" customFormat="1" ht="20.100000000000001" customHeight="1"/>
    <row r="1343" s="16" customFormat="1" ht="20.100000000000001" customHeight="1"/>
    <row r="1344" s="16" customFormat="1" ht="20.100000000000001" customHeight="1"/>
    <row r="1345" s="16" customFormat="1" ht="20.100000000000001" customHeight="1"/>
    <row r="1346" s="16" customFormat="1" ht="20.100000000000001" customHeight="1"/>
    <row r="1347" s="16" customFormat="1" ht="20.100000000000001" customHeight="1"/>
    <row r="1348" s="16" customFormat="1" ht="20.100000000000001" customHeight="1"/>
    <row r="1349" s="16" customFormat="1" ht="20.100000000000001" customHeight="1"/>
    <row r="1350" s="16" customFormat="1" ht="20.100000000000001" customHeight="1"/>
    <row r="1351" s="16" customFormat="1" ht="20.100000000000001" customHeight="1"/>
    <row r="1352" s="16" customFormat="1" ht="20.100000000000001" customHeight="1"/>
    <row r="1353" s="16" customFormat="1" ht="20.100000000000001" customHeight="1"/>
    <row r="1354" s="16" customFormat="1" ht="20.100000000000001" customHeight="1"/>
    <row r="1355" s="16" customFormat="1" ht="20.100000000000001" customHeight="1"/>
    <row r="1356" s="16" customFormat="1" ht="20.100000000000001" customHeight="1"/>
    <row r="1357" s="16" customFormat="1" ht="20.100000000000001" customHeight="1"/>
    <row r="1358" s="16" customFormat="1" ht="20.100000000000001" customHeight="1"/>
    <row r="1359" s="16" customFormat="1" ht="20.100000000000001" customHeight="1"/>
    <row r="1360" s="16" customFormat="1" ht="20.100000000000001" customHeight="1"/>
    <row r="1361" s="16" customFormat="1" ht="20.100000000000001" customHeight="1"/>
    <row r="1362" s="16" customFormat="1" ht="20.100000000000001" customHeight="1"/>
    <row r="1363" s="16" customFormat="1" ht="20.100000000000001" customHeight="1"/>
    <row r="1364" s="16" customFormat="1" ht="20.100000000000001" customHeight="1"/>
    <row r="1365" s="16" customFormat="1" ht="20.100000000000001" customHeight="1"/>
    <row r="1366" s="16" customFormat="1" ht="20.100000000000001" customHeight="1"/>
    <row r="1367" s="16" customFormat="1" ht="20.100000000000001" customHeight="1"/>
    <row r="1368" s="16" customFormat="1" ht="20.100000000000001" customHeight="1"/>
    <row r="1369" s="16" customFormat="1" ht="20.100000000000001" customHeight="1"/>
    <row r="1370" s="16" customFormat="1" ht="20.100000000000001" customHeight="1"/>
    <row r="1371" s="16" customFormat="1" ht="20.100000000000001" customHeight="1"/>
    <row r="1372" s="16" customFormat="1" ht="20.100000000000001" customHeight="1"/>
    <row r="1373" s="16" customFormat="1" ht="20.100000000000001" customHeight="1"/>
    <row r="1374" s="16" customFormat="1" ht="20.100000000000001" customHeight="1"/>
    <row r="1375" s="16" customFormat="1" ht="20.100000000000001" customHeight="1"/>
    <row r="1376" s="16" customFormat="1" ht="20.100000000000001" customHeight="1"/>
    <row r="1377" s="16" customFormat="1" ht="20.100000000000001" customHeight="1"/>
    <row r="1378" s="16" customFormat="1" ht="20.100000000000001" customHeight="1"/>
    <row r="1379" s="16" customFormat="1" ht="20.100000000000001" customHeight="1"/>
    <row r="1380" s="16" customFormat="1" ht="20.100000000000001" customHeight="1"/>
    <row r="1381" s="16" customFormat="1" ht="20.100000000000001" customHeight="1"/>
    <row r="1382" s="16" customFormat="1" ht="20.100000000000001" customHeight="1"/>
    <row r="1383" s="16" customFormat="1" ht="20.100000000000001" customHeight="1"/>
    <row r="1384" s="16" customFormat="1" ht="20.100000000000001" customHeight="1"/>
    <row r="1385" s="16" customFormat="1" ht="20.100000000000001" customHeight="1"/>
    <row r="1386" s="16" customFormat="1" ht="20.100000000000001" customHeight="1"/>
    <row r="1387" s="16" customFormat="1" ht="20.100000000000001" customHeight="1"/>
    <row r="1388" s="16" customFormat="1" ht="20.100000000000001" customHeight="1"/>
    <row r="1389" s="16" customFormat="1" ht="20.100000000000001" customHeight="1"/>
    <row r="1390" s="16" customFormat="1" ht="20.100000000000001" customHeight="1"/>
    <row r="1391" s="16" customFormat="1" ht="20.100000000000001" customHeight="1"/>
    <row r="1392" s="16" customFormat="1" ht="20.100000000000001" customHeight="1"/>
    <row r="1393" s="16" customFormat="1" ht="20.100000000000001" customHeight="1"/>
    <row r="1394" s="16" customFormat="1" ht="20.100000000000001" customHeight="1"/>
    <row r="1395" s="16" customFormat="1" ht="20.100000000000001" customHeight="1"/>
    <row r="1396" s="16" customFormat="1" ht="20.100000000000001" customHeight="1"/>
    <row r="1397" s="16" customFormat="1" ht="20.100000000000001" customHeight="1"/>
    <row r="1398" s="16" customFormat="1" ht="20.100000000000001" customHeight="1"/>
    <row r="1399" s="16" customFormat="1" ht="20.100000000000001" customHeight="1"/>
    <row r="1400" s="16" customFormat="1" ht="20.100000000000001" customHeight="1"/>
    <row r="1401" s="16" customFormat="1" ht="20.100000000000001" customHeight="1"/>
    <row r="1402" s="16" customFormat="1" ht="20.100000000000001" customHeight="1"/>
    <row r="1403" s="16" customFormat="1" ht="20.100000000000001" customHeight="1"/>
    <row r="1404" s="16" customFormat="1" ht="20.100000000000001" customHeight="1"/>
    <row r="1405" s="16" customFormat="1" ht="20.100000000000001" customHeight="1"/>
    <row r="1406" s="16" customFormat="1" ht="20.100000000000001" customHeight="1"/>
    <row r="1407" s="16" customFormat="1" ht="20.100000000000001" customHeight="1"/>
    <row r="1408" s="16" customFormat="1" ht="20.100000000000001" customHeight="1"/>
    <row r="1409" s="16" customFormat="1" ht="20.100000000000001" customHeight="1"/>
    <row r="1410" s="16" customFormat="1" ht="20.100000000000001" customHeight="1"/>
    <row r="1411" s="16" customFormat="1" ht="20.100000000000001" customHeight="1"/>
    <row r="1412" s="16" customFormat="1" ht="20.100000000000001" customHeight="1"/>
    <row r="1413" s="16" customFormat="1" ht="20.100000000000001" customHeight="1"/>
    <row r="1414" s="16" customFormat="1" ht="20.100000000000001" customHeight="1"/>
    <row r="1415" s="16" customFormat="1" ht="20.100000000000001" customHeight="1"/>
    <row r="1416" s="16" customFormat="1" ht="20.100000000000001" customHeight="1"/>
    <row r="1417" s="16" customFormat="1" ht="20.100000000000001" customHeight="1"/>
    <row r="1418" s="16" customFormat="1" ht="20.100000000000001" customHeight="1"/>
    <row r="1419" s="16" customFormat="1" ht="20.100000000000001" customHeight="1"/>
    <row r="1420" s="16" customFormat="1" ht="20.100000000000001" customHeight="1"/>
    <row r="1421" s="16" customFormat="1" ht="20.100000000000001" customHeight="1"/>
    <row r="1422" s="16" customFormat="1" ht="20.100000000000001" customHeight="1"/>
    <row r="1423" s="16" customFormat="1" ht="20.100000000000001" customHeight="1"/>
    <row r="1424" s="16" customFormat="1" ht="20.100000000000001" customHeight="1"/>
    <row r="1425" s="16" customFormat="1" ht="20.100000000000001" customHeight="1"/>
    <row r="1426" s="16" customFormat="1" ht="20.100000000000001" customHeight="1"/>
    <row r="1427" s="16" customFormat="1" ht="20.100000000000001" customHeight="1"/>
    <row r="1428" s="16" customFormat="1" ht="20.100000000000001" customHeight="1"/>
    <row r="1429" s="16" customFormat="1" ht="20.100000000000001" customHeight="1"/>
    <row r="1430" s="16" customFormat="1" ht="20.100000000000001" customHeight="1"/>
    <row r="1431" s="16" customFormat="1" ht="20.100000000000001" customHeight="1"/>
    <row r="1432" s="16" customFormat="1" ht="20.100000000000001" customHeight="1"/>
    <row r="1433" s="16" customFormat="1" ht="20.100000000000001" customHeight="1"/>
    <row r="1434" s="16" customFormat="1" ht="20.100000000000001" customHeight="1"/>
    <row r="1435" s="16" customFormat="1" ht="20.100000000000001" customHeight="1"/>
    <row r="1436" s="16" customFormat="1" ht="20.100000000000001" customHeight="1"/>
    <row r="1437" s="16" customFormat="1" ht="20.100000000000001" customHeight="1"/>
    <row r="1438" s="16" customFormat="1" ht="20.100000000000001" customHeight="1"/>
    <row r="1439" s="16" customFormat="1" ht="20.100000000000001" customHeight="1"/>
    <row r="1440" s="16" customFormat="1" ht="20.100000000000001" customHeight="1"/>
    <row r="1441" s="16" customFormat="1" ht="20.100000000000001" customHeight="1"/>
    <row r="1442" s="16" customFormat="1" ht="20.100000000000001" customHeight="1"/>
    <row r="1443" s="16" customFormat="1" ht="20.100000000000001" customHeight="1"/>
    <row r="1444" s="16" customFormat="1" ht="20.100000000000001" customHeight="1"/>
    <row r="1445" s="16" customFormat="1" ht="20.100000000000001" customHeight="1"/>
    <row r="1446" s="16" customFormat="1" ht="20.100000000000001" customHeight="1"/>
    <row r="1447" s="16" customFormat="1" ht="20.100000000000001" customHeight="1"/>
    <row r="1448" s="16" customFormat="1" ht="20.100000000000001" customHeight="1"/>
    <row r="1449" s="16" customFormat="1" ht="20.100000000000001" customHeight="1"/>
    <row r="1450" s="16" customFormat="1" ht="20.100000000000001" customHeight="1"/>
    <row r="1451" s="16" customFormat="1" ht="20.100000000000001" customHeight="1"/>
    <row r="1452" s="16" customFormat="1" ht="20.100000000000001" customHeight="1"/>
    <row r="1453" s="16" customFormat="1" ht="20.100000000000001" customHeight="1"/>
    <row r="1454" s="16" customFormat="1" ht="20.100000000000001" customHeight="1"/>
    <row r="1455" s="16" customFormat="1" ht="20.100000000000001" customHeight="1"/>
    <row r="1456" s="16" customFormat="1" ht="20.100000000000001" customHeight="1"/>
    <row r="1457" s="16" customFormat="1" ht="20.100000000000001" customHeight="1"/>
    <row r="1458" s="16" customFormat="1" ht="20.100000000000001" customHeight="1"/>
    <row r="1459" s="16" customFormat="1" ht="20.100000000000001" customHeight="1"/>
    <row r="1460" s="16" customFormat="1" ht="20.100000000000001" customHeight="1"/>
    <row r="1461" s="16" customFormat="1" ht="20.100000000000001" customHeight="1"/>
    <row r="1462" s="16" customFormat="1" ht="20.100000000000001" customHeight="1"/>
    <row r="1463" s="16" customFormat="1" ht="20.100000000000001" customHeight="1"/>
    <row r="1464" s="16" customFormat="1" ht="20.100000000000001" customHeight="1"/>
    <row r="1465" s="16" customFormat="1" ht="20.100000000000001" customHeight="1"/>
    <row r="1466" s="16" customFormat="1" ht="20.100000000000001" customHeight="1"/>
    <row r="1467" s="16" customFormat="1" ht="20.100000000000001" customHeight="1"/>
    <row r="1468" s="16" customFormat="1" ht="20.100000000000001" customHeight="1"/>
    <row r="1469" s="16" customFormat="1" ht="20.100000000000001" customHeight="1"/>
    <row r="1470" s="16" customFormat="1" ht="20.100000000000001" customHeight="1"/>
    <row r="1471" s="16" customFormat="1" ht="20.100000000000001" customHeight="1"/>
    <row r="1472" s="16" customFormat="1" ht="20.100000000000001" customHeight="1"/>
    <row r="1473" s="16" customFormat="1" ht="20.100000000000001" customHeight="1"/>
    <row r="1474" s="16" customFormat="1" ht="20.100000000000001" customHeight="1"/>
    <row r="1475" s="16" customFormat="1" ht="20.100000000000001" customHeight="1"/>
    <row r="1476" s="16" customFormat="1" ht="20.100000000000001" customHeight="1"/>
    <row r="1477" s="16" customFormat="1" ht="20.100000000000001" customHeight="1"/>
    <row r="1478" s="16" customFormat="1" ht="20.100000000000001" customHeight="1"/>
    <row r="1479" s="16" customFormat="1" ht="20.100000000000001" customHeight="1"/>
    <row r="1480" s="16" customFormat="1" ht="20.100000000000001" customHeight="1"/>
    <row r="1481" s="16" customFormat="1" ht="20.100000000000001" customHeight="1"/>
    <row r="1482" s="16" customFormat="1" ht="20.100000000000001" customHeight="1"/>
    <row r="1483" s="16" customFormat="1" ht="20.100000000000001" customHeight="1"/>
    <row r="1484" s="16" customFormat="1" ht="20.100000000000001" customHeight="1"/>
    <row r="1485" s="16" customFormat="1" ht="20.100000000000001" customHeight="1"/>
    <row r="1486" s="16" customFormat="1" ht="20.100000000000001" customHeight="1"/>
    <row r="1487" s="16" customFormat="1" ht="20.100000000000001" customHeight="1"/>
    <row r="1488" s="16" customFormat="1" ht="20.100000000000001" customHeight="1"/>
    <row r="1489" s="16" customFormat="1" ht="20.100000000000001" customHeight="1"/>
    <row r="1490" s="16" customFormat="1" ht="20.100000000000001" customHeight="1"/>
    <row r="1491" s="16" customFormat="1" ht="20.100000000000001" customHeight="1"/>
    <row r="1492" s="16" customFormat="1" ht="20.100000000000001" customHeight="1"/>
    <row r="1493" s="16" customFormat="1" ht="20.100000000000001" customHeight="1"/>
    <row r="1494" s="16" customFormat="1" ht="20.100000000000001" customHeight="1"/>
    <row r="1495" s="16" customFormat="1" ht="20.100000000000001" customHeight="1"/>
    <row r="1496" s="16" customFormat="1" ht="20.100000000000001" customHeight="1"/>
    <row r="1497" s="16" customFormat="1" ht="20.100000000000001" customHeight="1"/>
    <row r="1498" s="16" customFormat="1" ht="20.100000000000001" customHeight="1"/>
    <row r="1499" s="16" customFormat="1" ht="20.100000000000001" customHeight="1"/>
    <row r="1500" s="16" customFormat="1" ht="20.100000000000001" customHeight="1"/>
    <row r="1501" s="16" customFormat="1" ht="20.100000000000001" customHeight="1"/>
    <row r="1502" s="16" customFormat="1" ht="20.100000000000001" customHeight="1"/>
    <row r="1503" s="16" customFormat="1" ht="20.100000000000001" customHeight="1"/>
    <row r="1504" s="16" customFormat="1" ht="20.100000000000001" customHeight="1"/>
    <row r="1505" s="16" customFormat="1" ht="20.100000000000001" customHeight="1"/>
    <row r="1506" s="16" customFormat="1" ht="20.100000000000001" customHeight="1"/>
    <row r="1507" s="16" customFormat="1" ht="20.100000000000001" customHeight="1"/>
    <row r="1508" s="16" customFormat="1" ht="20.100000000000001" customHeight="1"/>
    <row r="1509" s="16" customFormat="1" ht="20.100000000000001" customHeight="1"/>
    <row r="1510" s="16" customFormat="1" ht="20.100000000000001" customHeight="1"/>
    <row r="1511" s="16" customFormat="1" ht="20.100000000000001" customHeight="1"/>
    <row r="1512" s="16" customFormat="1" ht="20.100000000000001" customHeight="1"/>
    <row r="1513" s="16" customFormat="1" ht="20.100000000000001" customHeight="1"/>
    <row r="1514" s="16" customFormat="1" ht="20.100000000000001" customHeight="1"/>
    <row r="1515" s="16" customFormat="1" ht="20.100000000000001" customHeight="1"/>
    <row r="1516" s="16" customFormat="1" ht="20.100000000000001" customHeight="1"/>
    <row r="1517" s="16" customFormat="1" ht="20.100000000000001" customHeight="1"/>
    <row r="1518" s="16" customFormat="1" ht="20.100000000000001" customHeight="1"/>
    <row r="1519" s="16" customFormat="1" ht="20.100000000000001" customHeight="1"/>
    <row r="1520" s="16" customFormat="1" ht="20.100000000000001" customHeight="1"/>
    <row r="1521" s="16" customFormat="1" ht="20.100000000000001" customHeight="1"/>
    <row r="1522" s="16" customFormat="1" ht="20.100000000000001" customHeight="1"/>
    <row r="1523" s="16" customFormat="1" ht="20.100000000000001" customHeight="1"/>
    <row r="1524" s="16" customFormat="1" ht="20.100000000000001" customHeight="1"/>
    <row r="1525" s="16" customFormat="1" ht="20.100000000000001" customHeight="1"/>
    <row r="1526" s="16" customFormat="1" ht="20.100000000000001" customHeight="1"/>
    <row r="1527" s="16" customFormat="1" ht="20.100000000000001" customHeight="1"/>
    <row r="1528" s="16" customFormat="1" ht="20.100000000000001" customHeight="1"/>
    <row r="1529" s="16" customFormat="1" ht="20.100000000000001" customHeight="1"/>
    <row r="1530" s="16" customFormat="1" ht="20.100000000000001" customHeight="1"/>
    <row r="1531" s="16" customFormat="1" ht="20.100000000000001" customHeight="1"/>
    <row r="1532" s="16" customFormat="1" ht="20.100000000000001" customHeight="1"/>
    <row r="1533" s="16" customFormat="1" ht="20.100000000000001" customHeight="1"/>
    <row r="1534" s="16" customFormat="1" ht="20.100000000000001" customHeight="1"/>
    <row r="1535" s="16" customFormat="1" ht="20.100000000000001" customHeight="1"/>
    <row r="1536" s="16" customFormat="1" ht="20.100000000000001" customHeight="1"/>
    <row r="1537" s="16" customFormat="1" ht="20.100000000000001" customHeight="1"/>
    <row r="1538" s="16" customFormat="1" ht="20.100000000000001" customHeight="1"/>
    <row r="1539" s="16" customFormat="1" ht="20.100000000000001" customHeight="1"/>
    <row r="1540" s="16" customFormat="1" ht="20.100000000000001" customHeight="1"/>
    <row r="1541" s="16" customFormat="1" ht="20.100000000000001" customHeight="1"/>
    <row r="1542" s="16" customFormat="1" ht="20.100000000000001" customHeight="1"/>
    <row r="1543" s="16" customFormat="1" ht="20.100000000000001" customHeight="1"/>
    <row r="1544" s="16" customFormat="1" ht="20.100000000000001" customHeight="1"/>
    <row r="1545" s="16" customFormat="1" ht="20.100000000000001" customHeight="1"/>
    <row r="1546" s="16" customFormat="1" ht="20.100000000000001" customHeight="1"/>
    <row r="1547" s="16" customFormat="1" ht="20.100000000000001" customHeight="1"/>
    <row r="1548" s="16" customFormat="1" ht="20.100000000000001" customHeight="1"/>
    <row r="1549" s="16" customFormat="1" ht="20.100000000000001" customHeight="1"/>
    <row r="1550" s="16" customFormat="1" ht="20.100000000000001" customHeight="1"/>
    <row r="1551" s="16" customFormat="1" ht="20.100000000000001" customHeight="1"/>
    <row r="1552" s="16" customFormat="1" ht="20.100000000000001" customHeight="1"/>
    <row r="1553" s="16" customFormat="1" ht="20.100000000000001" customHeight="1"/>
    <row r="1554" s="16" customFormat="1" ht="20.100000000000001" customHeight="1"/>
    <row r="1555" s="16" customFormat="1" ht="20.100000000000001" customHeight="1"/>
    <row r="1556" s="16" customFormat="1" ht="20.100000000000001" customHeight="1"/>
    <row r="1557" s="16" customFormat="1" ht="20.100000000000001" customHeight="1"/>
    <row r="1558" s="16" customFormat="1" ht="20.100000000000001" customHeight="1"/>
    <row r="1559" s="16" customFormat="1" ht="20.100000000000001" customHeight="1"/>
    <row r="1560" s="16" customFormat="1" ht="20.100000000000001" customHeight="1"/>
    <row r="1561" s="16" customFormat="1" ht="20.100000000000001" customHeight="1"/>
    <row r="1562" s="16" customFormat="1" ht="20.100000000000001" customHeight="1"/>
    <row r="1563" s="16" customFormat="1" ht="20.100000000000001" customHeight="1"/>
    <row r="1564" s="16" customFormat="1" ht="20.100000000000001" customHeight="1"/>
    <row r="1565" s="16" customFormat="1" ht="20.100000000000001" customHeight="1"/>
    <row r="1566" s="16" customFormat="1" ht="20.100000000000001" customHeight="1"/>
    <row r="1567" s="16" customFormat="1" ht="20.100000000000001" customHeight="1"/>
    <row r="1568" s="16" customFormat="1" ht="20.100000000000001" customHeight="1"/>
    <row r="1569" s="16" customFormat="1" ht="20.100000000000001" customHeight="1"/>
    <row r="1570" s="16" customFormat="1" ht="20.100000000000001" customHeight="1"/>
    <row r="1571" s="16" customFormat="1" ht="20.100000000000001" customHeight="1"/>
    <row r="1572" s="16" customFormat="1" ht="20.100000000000001" customHeight="1"/>
    <row r="1573" s="16" customFormat="1" ht="20.100000000000001" customHeight="1"/>
    <row r="1574" s="16" customFormat="1" ht="20.100000000000001" customHeight="1"/>
    <row r="1575" s="16" customFormat="1" ht="20.100000000000001" customHeight="1"/>
    <row r="1576" s="16" customFormat="1" ht="20.100000000000001" customHeight="1"/>
    <row r="1577" s="16" customFormat="1" ht="20.100000000000001" customHeight="1"/>
    <row r="1578" s="16" customFormat="1" ht="20.100000000000001" customHeight="1"/>
    <row r="1579" s="16" customFormat="1" ht="20.100000000000001" customHeight="1"/>
    <row r="1580" s="16" customFormat="1" ht="20.100000000000001" customHeight="1"/>
    <row r="1581" s="16" customFormat="1" ht="20.100000000000001" customHeight="1"/>
    <row r="1582" s="16" customFormat="1" ht="20.100000000000001" customHeight="1"/>
    <row r="1583" s="16" customFormat="1" ht="20.100000000000001" customHeight="1"/>
    <row r="1584" s="16" customFormat="1" ht="20.100000000000001" customHeight="1"/>
    <row r="1585" s="16" customFormat="1" ht="20.100000000000001" customHeight="1"/>
    <row r="1586" s="16" customFormat="1" ht="20.100000000000001" customHeight="1"/>
    <row r="1587" s="16" customFormat="1" ht="20.100000000000001" customHeight="1"/>
    <row r="1588" s="16" customFormat="1" ht="20.100000000000001" customHeight="1"/>
    <row r="1589" s="16" customFormat="1" ht="20.100000000000001" customHeight="1"/>
    <row r="1590" s="16" customFormat="1" ht="20.100000000000001" customHeight="1"/>
    <row r="1591" s="16" customFormat="1" ht="20.100000000000001" customHeight="1"/>
    <row r="1592" s="16" customFormat="1" ht="20.100000000000001" customHeight="1"/>
    <row r="1593" s="16" customFormat="1" ht="20.100000000000001" customHeight="1"/>
    <row r="1594" s="16" customFormat="1" ht="20.100000000000001" customHeight="1"/>
    <row r="1595" s="16" customFormat="1" ht="20.100000000000001" customHeight="1"/>
    <row r="1596" s="16" customFormat="1" ht="20.100000000000001" customHeight="1"/>
    <row r="1597" s="16" customFormat="1" ht="20.100000000000001" customHeight="1"/>
    <row r="1598" s="16" customFormat="1" ht="20.100000000000001" customHeight="1"/>
    <row r="1599" s="16" customFormat="1" ht="20.100000000000001" customHeight="1"/>
    <row r="1600" s="16" customFormat="1" ht="20.100000000000001" customHeight="1"/>
    <row r="1601" s="16" customFormat="1" ht="20.100000000000001" customHeight="1"/>
    <row r="1602" s="16" customFormat="1" ht="20.100000000000001" customHeight="1"/>
    <row r="1603" s="16" customFormat="1" ht="20.100000000000001" customHeight="1"/>
    <row r="1604" s="16" customFormat="1" ht="20.100000000000001" customHeight="1"/>
    <row r="1605" s="16" customFormat="1" ht="20.100000000000001" customHeight="1"/>
    <row r="1606" s="16" customFormat="1" ht="20.100000000000001" customHeight="1"/>
    <row r="1607" s="16" customFormat="1" ht="20.100000000000001" customHeight="1"/>
    <row r="1608" s="16" customFormat="1" ht="20.100000000000001" customHeight="1"/>
    <row r="1609" s="16" customFormat="1" ht="20.100000000000001" customHeight="1"/>
    <row r="1610" s="16" customFormat="1" ht="20.100000000000001" customHeight="1"/>
    <row r="1611" s="16" customFormat="1" ht="20.100000000000001" customHeight="1"/>
    <row r="1612" s="16" customFormat="1" ht="20.100000000000001" customHeight="1"/>
    <row r="1613" s="16" customFormat="1" ht="20.100000000000001" customHeight="1"/>
    <row r="1614" s="16" customFormat="1" ht="20.100000000000001" customHeight="1"/>
    <row r="1615" s="16" customFormat="1" ht="20.100000000000001" customHeight="1"/>
    <row r="1616" s="16" customFormat="1" ht="20.100000000000001" customHeight="1"/>
    <row r="1617" s="16" customFormat="1" ht="20.100000000000001" customHeight="1"/>
    <row r="1618" s="16" customFormat="1" ht="20.100000000000001" customHeight="1"/>
    <row r="1619" s="16" customFormat="1" ht="20.100000000000001" customHeight="1"/>
    <row r="1620" s="16" customFormat="1" ht="20.100000000000001" customHeight="1"/>
    <row r="1621" s="16" customFormat="1" ht="20.100000000000001" customHeight="1"/>
    <row r="1622" s="16" customFormat="1" ht="20.100000000000001" customHeight="1"/>
    <row r="1623" s="16" customFormat="1" ht="20.100000000000001" customHeight="1"/>
    <row r="1624" s="16" customFormat="1" ht="20.100000000000001" customHeight="1"/>
    <row r="1625" s="16" customFormat="1" ht="20.100000000000001" customHeight="1"/>
    <row r="1626" s="16" customFormat="1" ht="20.100000000000001" customHeight="1"/>
    <row r="1627" s="16" customFormat="1" ht="20.100000000000001" customHeight="1"/>
    <row r="1628" s="16" customFormat="1" ht="20.100000000000001" customHeight="1"/>
    <row r="1629" s="16" customFormat="1" ht="20.100000000000001" customHeight="1"/>
    <row r="1630" s="16" customFormat="1" ht="20.100000000000001" customHeight="1"/>
    <row r="1631" s="16" customFormat="1" ht="20.100000000000001" customHeight="1"/>
    <row r="1632" s="16" customFormat="1" ht="20.100000000000001" customHeight="1"/>
    <row r="1633" s="16" customFormat="1" ht="20.100000000000001" customHeight="1"/>
    <row r="1634" s="16" customFormat="1" ht="20.100000000000001" customHeight="1"/>
    <row r="1635" s="16" customFormat="1" ht="20.100000000000001" customHeight="1"/>
    <row r="1636" s="16" customFormat="1" ht="20.100000000000001" customHeight="1"/>
    <row r="1637" s="16" customFormat="1" ht="20.100000000000001" customHeight="1"/>
    <row r="1638" s="16" customFormat="1" ht="20.100000000000001" customHeight="1"/>
    <row r="1639" s="16" customFormat="1" ht="20.100000000000001" customHeight="1"/>
    <row r="1640" s="16" customFormat="1" ht="20.100000000000001" customHeight="1"/>
    <row r="1641" s="16" customFormat="1" ht="20.100000000000001" customHeight="1"/>
    <row r="1642" s="16" customFormat="1" ht="20.100000000000001" customHeight="1"/>
    <row r="1643" s="16" customFormat="1" ht="20.100000000000001" customHeight="1"/>
    <row r="1644" s="16" customFormat="1" ht="20.100000000000001" customHeight="1"/>
    <row r="1645" s="16" customFormat="1" ht="20.100000000000001" customHeight="1"/>
    <row r="1646" s="16" customFormat="1" ht="20.100000000000001" customHeight="1"/>
    <row r="1647" s="16" customFormat="1" ht="20.100000000000001" customHeight="1"/>
    <row r="1648" s="16" customFormat="1" ht="20.100000000000001" customHeight="1"/>
    <row r="1649" s="16" customFormat="1" ht="20.100000000000001" customHeight="1"/>
    <row r="1650" s="16" customFormat="1" ht="20.100000000000001" customHeight="1"/>
    <row r="1651" s="16" customFormat="1" ht="20.100000000000001" customHeight="1"/>
    <row r="1652" s="16" customFormat="1" ht="20.100000000000001" customHeight="1"/>
    <row r="1653" s="16" customFormat="1" ht="20.100000000000001" customHeight="1"/>
  </sheetData>
  <mergeCells count="8">
    <mergeCell ref="A21:F21"/>
    <mergeCell ref="A2:F2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652"/>
  <sheetViews>
    <sheetView zoomScaleNormal="100" workbookViewId="0">
      <selection activeCell="A15" sqref="A15:F15"/>
    </sheetView>
  </sheetViews>
  <sheetFormatPr defaultColWidth="9.140625" defaultRowHeight="15"/>
  <cols>
    <col min="1" max="1" width="36" style="18" bestFit="1" customWidth="1"/>
    <col min="2" max="2" width="38.7109375" style="17" customWidth="1"/>
    <col min="3" max="4" width="20.7109375" style="17" customWidth="1"/>
    <col min="5" max="5" width="23.42578125" style="17" customWidth="1"/>
    <col min="6" max="6" width="21.85546875" style="17" customWidth="1"/>
    <col min="7" max="7" width="9.5703125" style="16" bestFit="1" customWidth="1"/>
    <col min="8" max="8" width="11.5703125" style="16" bestFit="1" customWidth="1"/>
    <col min="9" max="9" width="9.140625" style="16" customWidth="1"/>
    <col min="10" max="10" width="10.85546875" style="16" customWidth="1"/>
    <col min="11" max="11" width="1.42578125" style="16" customWidth="1"/>
    <col min="12" max="12" width="7.7109375" style="16" customWidth="1"/>
    <col min="13" max="13" width="9.5703125" style="16" bestFit="1" customWidth="1"/>
    <col min="14" max="14" width="11.42578125" style="16" bestFit="1" customWidth="1"/>
    <col min="15" max="16384" width="9.140625" style="16"/>
  </cols>
  <sheetData>
    <row r="1" spans="1:42" s="7" customFormat="1" ht="20.25" customHeight="1">
      <c r="A1" s="21"/>
      <c r="G1" s="15"/>
      <c r="M1" s="26"/>
    </row>
    <row r="2" spans="1:42" s="2" customFormat="1" ht="29.1" customHeight="1">
      <c r="A2" s="158" t="s">
        <v>0</v>
      </c>
      <c r="B2" s="158"/>
      <c r="C2" s="158"/>
      <c r="D2" s="158"/>
      <c r="E2" s="158"/>
      <c r="F2" s="158"/>
      <c r="G2" s="1"/>
      <c r="H2" s="1"/>
      <c r="I2" s="1"/>
      <c r="J2" s="1"/>
      <c r="K2" s="7"/>
      <c r="L2" s="26"/>
      <c r="M2" s="26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6" customFormat="1" ht="23.25" customHeight="1">
      <c r="A3" s="4"/>
      <c r="B3" s="3"/>
      <c r="C3" s="4"/>
      <c r="D3" s="3"/>
      <c r="E3" s="4"/>
      <c r="F3" s="3" t="s">
        <v>57</v>
      </c>
      <c r="G3" s="5"/>
      <c r="H3" s="5"/>
      <c r="I3" s="5"/>
      <c r="J3" s="5"/>
      <c r="K3" s="9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7" customFormat="1" ht="18.75" customHeight="1">
      <c r="A4" s="162" t="s">
        <v>1</v>
      </c>
      <c r="B4" s="162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8"/>
      <c r="K4" s="11"/>
    </row>
    <row r="5" spans="1:42" s="7" customFormat="1" ht="17.25" customHeight="1">
      <c r="A5" s="163"/>
      <c r="B5" s="163"/>
      <c r="C5" s="160" t="s">
        <v>68</v>
      </c>
      <c r="D5" s="160" t="s">
        <v>69</v>
      </c>
      <c r="E5" s="160" t="s">
        <v>70</v>
      </c>
      <c r="F5" s="160" t="s">
        <v>71</v>
      </c>
      <c r="G5" s="25"/>
      <c r="L5" s="11"/>
      <c r="M5" s="11"/>
      <c r="N5" s="11"/>
    </row>
    <row r="6" spans="1:42" s="9" customFormat="1" ht="18.75" customHeight="1">
      <c r="A6" s="164"/>
      <c r="B6" s="164"/>
      <c r="C6" s="161"/>
      <c r="D6" s="161"/>
      <c r="E6" s="161"/>
      <c r="F6" s="161"/>
      <c r="G6" s="10"/>
      <c r="J6" s="28"/>
      <c r="K6" s="7"/>
      <c r="L6" s="11"/>
      <c r="M6" s="20"/>
      <c r="N6" s="11"/>
    </row>
    <row r="7" spans="1:42" s="11" customFormat="1" ht="21.95" customHeight="1">
      <c r="A7" s="41" t="s">
        <v>11</v>
      </c>
      <c r="B7" s="42" t="s">
        <v>12</v>
      </c>
      <c r="C7" s="38">
        <v>16338.799999999997</v>
      </c>
      <c r="D7" s="38">
        <v>16392.899999999998</v>
      </c>
      <c r="E7" s="38">
        <v>13911.3</v>
      </c>
      <c r="F7" s="38">
        <v>14662.5</v>
      </c>
      <c r="G7" s="34"/>
      <c r="H7" s="36"/>
      <c r="I7" s="20"/>
      <c r="J7" s="23"/>
      <c r="K7" s="7"/>
      <c r="L7" s="22"/>
      <c r="M7" s="20"/>
      <c r="N7" s="7"/>
    </row>
    <row r="8" spans="1:42" s="7" customFormat="1" ht="21.95" customHeight="1">
      <c r="A8" s="43" t="s">
        <v>13</v>
      </c>
      <c r="B8" s="44" t="s">
        <v>14</v>
      </c>
      <c r="C8" s="12">
        <v>4490</v>
      </c>
      <c r="D8" s="12">
        <v>4887.1000000000004</v>
      </c>
      <c r="E8" s="12">
        <v>3983.2</v>
      </c>
      <c r="F8" s="12">
        <v>4455</v>
      </c>
      <c r="G8" s="34"/>
      <c r="H8" s="36"/>
      <c r="I8" s="20"/>
      <c r="J8" s="27"/>
      <c r="L8" s="22"/>
      <c r="M8" s="20"/>
    </row>
    <row r="9" spans="1:42" s="7" customFormat="1" ht="21.95" customHeight="1">
      <c r="A9" s="43" t="s">
        <v>15</v>
      </c>
      <c r="B9" s="44" t="s">
        <v>16</v>
      </c>
      <c r="C9" s="12">
        <v>1194.5</v>
      </c>
      <c r="D9" s="12">
        <v>1342.5</v>
      </c>
      <c r="E9" s="12">
        <v>897.5</v>
      </c>
      <c r="F9" s="12">
        <v>1036.7</v>
      </c>
      <c r="G9" s="35"/>
      <c r="H9" s="36"/>
      <c r="I9" s="20"/>
      <c r="J9" s="24"/>
      <c r="L9" s="22"/>
      <c r="M9" s="20"/>
    </row>
    <row r="10" spans="1:42" s="7" customFormat="1" ht="21.95" customHeight="1">
      <c r="A10" s="43" t="s">
        <v>17</v>
      </c>
      <c r="B10" s="44" t="s">
        <v>18</v>
      </c>
      <c r="C10" s="12">
        <v>638.79999999999995</v>
      </c>
      <c r="D10" s="12">
        <v>822.9</v>
      </c>
      <c r="E10" s="12">
        <v>779.7</v>
      </c>
      <c r="F10" s="12">
        <v>736.5</v>
      </c>
      <c r="G10" s="34"/>
      <c r="H10" s="36"/>
      <c r="I10" s="20"/>
      <c r="J10" s="29"/>
      <c r="L10" s="22"/>
      <c r="M10" s="20"/>
    </row>
    <row r="11" spans="1:42" s="7" customFormat="1" ht="21.95" customHeight="1">
      <c r="A11" s="43" t="s">
        <v>19</v>
      </c>
      <c r="B11" s="44" t="s">
        <v>20</v>
      </c>
      <c r="C11" s="12">
        <v>849.5</v>
      </c>
      <c r="D11" s="12">
        <v>896.2</v>
      </c>
      <c r="E11" s="12">
        <v>1202.0999999999999</v>
      </c>
      <c r="F11" s="12">
        <v>956.4</v>
      </c>
      <c r="G11" s="34"/>
      <c r="H11" s="36"/>
      <c r="I11" s="20"/>
      <c r="J11" s="24"/>
      <c r="K11" s="11"/>
      <c r="L11" s="22"/>
      <c r="M11" s="20"/>
    </row>
    <row r="12" spans="1:42" s="7" customFormat="1" ht="21.95" customHeight="1">
      <c r="A12" s="43" t="s">
        <v>21</v>
      </c>
      <c r="B12" s="45" t="s">
        <v>22</v>
      </c>
      <c r="C12" s="12">
        <v>4529.6000000000004</v>
      </c>
      <c r="D12" s="12">
        <v>3133.8</v>
      </c>
      <c r="E12" s="12">
        <v>2722.7</v>
      </c>
      <c r="F12" s="12">
        <v>3226.4</v>
      </c>
      <c r="G12" s="36"/>
      <c r="H12" s="36"/>
      <c r="I12" s="20"/>
      <c r="J12" s="29"/>
      <c r="K12" s="11"/>
      <c r="L12" s="22"/>
      <c r="M12" s="20"/>
      <c r="N12" s="16"/>
    </row>
    <row r="13" spans="1:42" s="7" customFormat="1" ht="21.95" customHeight="1">
      <c r="A13" s="43" t="s">
        <v>23</v>
      </c>
      <c r="B13" s="46" t="s">
        <v>24</v>
      </c>
      <c r="C13" s="12">
        <v>3260.4</v>
      </c>
      <c r="D13" s="12">
        <v>3945.5</v>
      </c>
      <c r="E13" s="12">
        <v>3036</v>
      </c>
      <c r="F13" s="12">
        <v>3059.3</v>
      </c>
      <c r="G13" s="34"/>
      <c r="H13" s="36"/>
      <c r="I13" s="20"/>
      <c r="J13" s="24"/>
      <c r="L13" s="22"/>
      <c r="M13" s="20"/>
    </row>
    <row r="14" spans="1:42" s="11" customFormat="1" ht="21.95" customHeight="1">
      <c r="A14" s="43" t="s">
        <v>25</v>
      </c>
      <c r="B14" s="47" t="s">
        <v>26</v>
      </c>
      <c r="C14" s="12">
        <v>123.6</v>
      </c>
      <c r="D14" s="12">
        <v>148.4</v>
      </c>
      <c r="E14" s="12">
        <v>168.9</v>
      </c>
      <c r="F14" s="12">
        <v>112.9</v>
      </c>
      <c r="G14" s="34"/>
      <c r="H14" s="36"/>
      <c r="I14" s="20"/>
      <c r="J14" s="27"/>
      <c r="K14" s="7"/>
      <c r="L14" s="22"/>
      <c r="M14" s="20"/>
      <c r="N14" s="16"/>
    </row>
    <row r="15" spans="1:42" s="11" customFormat="1" ht="21.95" customHeight="1">
      <c r="A15" s="43" t="s">
        <v>27</v>
      </c>
      <c r="B15" s="46" t="s">
        <v>28</v>
      </c>
      <c r="C15" s="12">
        <v>82.9</v>
      </c>
      <c r="D15" s="12">
        <v>93.1</v>
      </c>
      <c r="E15" s="12">
        <v>64.5</v>
      </c>
      <c r="F15" s="12">
        <v>125.2</v>
      </c>
      <c r="G15" s="34"/>
      <c r="H15" s="36"/>
      <c r="I15" s="20"/>
      <c r="J15" s="24"/>
      <c r="K15" s="7"/>
      <c r="L15" s="22"/>
      <c r="M15" s="20"/>
      <c r="N15" s="16"/>
    </row>
    <row r="16" spans="1:42" s="7" customFormat="1" ht="21.95" customHeight="1">
      <c r="A16" s="48" t="s">
        <v>29</v>
      </c>
      <c r="B16" s="49" t="s">
        <v>30</v>
      </c>
      <c r="C16" s="14">
        <v>1169.4999999999977</v>
      </c>
      <c r="D16" s="14">
        <v>1123.3999999999969</v>
      </c>
      <c r="E16" s="14">
        <v>1056.6999999999975</v>
      </c>
      <c r="F16" s="14">
        <v>954.09999999999968</v>
      </c>
      <c r="G16" s="34"/>
      <c r="H16" s="36"/>
      <c r="I16" s="20"/>
      <c r="J16" s="27"/>
      <c r="L16" s="22"/>
      <c r="M16" s="20"/>
      <c r="N16" s="16"/>
    </row>
    <row r="17" spans="1:14" s="7" customFormat="1" ht="22.5">
      <c r="A17" s="19" t="s">
        <v>31</v>
      </c>
      <c r="B17" s="37" t="s">
        <v>32</v>
      </c>
      <c r="C17" s="37"/>
      <c r="D17" s="37"/>
      <c r="E17" s="37"/>
      <c r="F17" s="37"/>
      <c r="G17" s="15"/>
      <c r="J17" s="27"/>
      <c r="K17" s="16"/>
      <c r="L17" s="16"/>
      <c r="N17" s="16"/>
    </row>
    <row r="18" spans="1:14" s="7" customFormat="1" ht="14.25">
      <c r="B18" s="33"/>
      <c r="C18" s="33"/>
      <c r="D18" s="33"/>
      <c r="E18" s="33"/>
      <c r="F18" s="33"/>
      <c r="G18" s="15"/>
      <c r="J18" s="27"/>
      <c r="K18" s="16"/>
      <c r="L18" s="16"/>
      <c r="N18" s="16"/>
    </row>
    <row r="19" spans="1:14">
      <c r="J19" s="24"/>
      <c r="M19" s="7"/>
    </row>
    <row r="20" spans="1:14" s="7" customFormat="1">
      <c r="A20" s="18"/>
      <c r="B20" s="17"/>
      <c r="C20" s="17"/>
      <c r="D20" s="17"/>
      <c r="E20" s="17"/>
      <c r="F20" s="17"/>
      <c r="G20" s="15"/>
      <c r="J20" s="27"/>
      <c r="K20" s="16"/>
      <c r="L20" s="16"/>
      <c r="N20" s="16"/>
    </row>
    <row r="21" spans="1:14">
      <c r="J21" s="24"/>
      <c r="M21" s="7"/>
    </row>
    <row r="22" spans="1:14">
      <c r="J22" s="27"/>
      <c r="M22" s="7"/>
    </row>
    <row r="23" spans="1:14">
      <c r="J23" s="24"/>
    </row>
    <row r="28" spans="1:14" ht="12.75">
      <c r="A28" s="7"/>
    </row>
    <row r="30" spans="1:14" ht="12.75">
      <c r="A30"/>
    </row>
    <row r="31" spans="1:14" ht="12.75">
      <c r="A31" s="7"/>
      <c r="B31" s="16"/>
      <c r="C31" s="16"/>
      <c r="D31" s="16"/>
      <c r="E31" s="16"/>
      <c r="F31" s="16"/>
    </row>
    <row r="32" spans="1:14">
      <c r="B32" s="16"/>
      <c r="C32" s="16"/>
      <c r="D32" s="16"/>
      <c r="E32" s="16"/>
      <c r="F32" s="16"/>
    </row>
    <row r="33" spans="1:6">
      <c r="B33" s="16"/>
      <c r="C33" s="16"/>
      <c r="D33" s="16"/>
      <c r="E33" s="16"/>
      <c r="F33" s="16"/>
    </row>
    <row r="34" spans="1:6">
      <c r="B34" s="16"/>
      <c r="C34" s="16"/>
      <c r="D34" s="16"/>
      <c r="E34" s="16"/>
      <c r="F34" s="16"/>
    </row>
    <row r="35" spans="1:6">
      <c r="B35" s="16"/>
      <c r="C35" s="16"/>
      <c r="D35" s="16"/>
      <c r="E35" s="16"/>
      <c r="F35" s="16"/>
    </row>
    <row r="36" spans="1:6">
      <c r="B36" s="16"/>
      <c r="C36" s="16"/>
      <c r="D36" s="16"/>
      <c r="E36" s="16"/>
      <c r="F36" s="16"/>
    </row>
    <row r="37" spans="1:6">
      <c r="B37" s="16"/>
      <c r="C37" s="16"/>
      <c r="D37" s="16"/>
      <c r="E37" s="16"/>
      <c r="F37" s="16"/>
    </row>
    <row r="38" spans="1:6">
      <c r="B38" s="16"/>
      <c r="C38" s="16"/>
      <c r="D38" s="16"/>
      <c r="E38" s="16"/>
      <c r="F38" s="16"/>
    </row>
    <row r="39" spans="1:6">
      <c r="B39" s="16"/>
      <c r="C39" s="16"/>
      <c r="D39" s="16"/>
      <c r="E39" s="16"/>
      <c r="F39" s="16"/>
    </row>
    <row r="40" spans="1:6">
      <c r="B40" s="16"/>
      <c r="C40" s="16"/>
      <c r="D40" s="16"/>
      <c r="E40" s="16"/>
      <c r="F40" s="16"/>
    </row>
    <row r="41" spans="1:6">
      <c r="B41" s="16"/>
      <c r="C41" s="16"/>
      <c r="D41" s="16"/>
      <c r="E41" s="16"/>
      <c r="F41" s="16"/>
    </row>
    <row r="42" spans="1:6">
      <c r="B42" s="16"/>
      <c r="C42" s="16"/>
      <c r="D42" s="16"/>
      <c r="E42" s="16"/>
      <c r="F42" s="16"/>
    </row>
    <row r="43" spans="1:6">
      <c r="B43" s="16"/>
      <c r="C43" s="16"/>
      <c r="D43" s="16"/>
      <c r="E43" s="16"/>
      <c r="F43" s="16"/>
    </row>
    <row r="44" spans="1:6">
      <c r="B44" s="16"/>
      <c r="C44" s="16"/>
      <c r="D44" s="16"/>
      <c r="E44" s="16"/>
      <c r="F44" s="16"/>
    </row>
    <row r="45" spans="1:6">
      <c r="B45" s="16"/>
      <c r="C45" s="16"/>
      <c r="D45" s="16"/>
      <c r="E45" s="16"/>
      <c r="F45" s="16"/>
    </row>
    <row r="46" spans="1:6">
      <c r="B46" s="16"/>
      <c r="C46" s="16"/>
      <c r="D46" s="16"/>
      <c r="E46" s="16"/>
      <c r="F46" s="16"/>
    </row>
    <row r="47" spans="1:6" ht="12.75">
      <c r="A47" s="16"/>
      <c r="B47" s="16"/>
      <c r="C47" s="16"/>
      <c r="D47" s="16"/>
      <c r="E47" s="16"/>
      <c r="F47" s="16"/>
    </row>
    <row r="48" spans="1:6" ht="12.75">
      <c r="A48" s="16"/>
      <c r="B48" s="16"/>
      <c r="C48" s="16"/>
      <c r="D48" s="16"/>
      <c r="E48" s="16"/>
      <c r="F48" s="16"/>
    </row>
    <row r="49" s="16" customFormat="1" ht="12.75"/>
    <row r="50" s="16" customFormat="1" ht="12.75"/>
    <row r="51" s="16" customFormat="1" ht="12.75"/>
    <row r="52" s="16" customFormat="1" ht="12.75"/>
    <row r="53" s="16" customFormat="1" ht="12.75"/>
    <row r="54" s="16" customFormat="1" ht="12.75"/>
    <row r="55" s="16" customFormat="1" ht="12.75"/>
    <row r="56" s="16" customFormat="1" ht="12.75"/>
    <row r="57" s="16" customFormat="1" ht="12.75"/>
    <row r="58" s="16" customFormat="1" ht="12.75"/>
    <row r="59" s="16" customFormat="1" ht="12.75"/>
    <row r="60" s="16" customFormat="1" ht="12.75"/>
    <row r="61" s="16" customFormat="1" ht="12.75"/>
    <row r="62" s="16" customFormat="1" ht="12.75"/>
    <row r="63" s="16" customFormat="1" ht="12.75"/>
    <row r="64" s="16" customFormat="1" ht="12.75"/>
    <row r="65" s="16" customFormat="1" ht="12.75"/>
    <row r="66" s="16" customFormat="1" ht="12.75"/>
    <row r="67" s="16" customFormat="1" ht="12.75"/>
    <row r="68" s="16" customFormat="1" ht="12.75"/>
    <row r="69" s="16" customFormat="1" ht="12.75"/>
    <row r="70" s="16" customFormat="1" ht="12.75"/>
    <row r="71" s="16" customFormat="1" ht="12.75"/>
    <row r="72" s="16" customFormat="1" ht="12.75"/>
    <row r="73" s="16" customFormat="1" ht="12.75"/>
    <row r="74" s="16" customFormat="1" ht="12.75"/>
    <row r="75" s="16" customFormat="1" ht="12.75"/>
    <row r="76" s="16" customFormat="1" ht="12.75"/>
    <row r="77" s="16" customFormat="1" ht="12.75"/>
    <row r="78" s="16" customFormat="1" ht="12.75"/>
    <row r="79" s="16" customFormat="1" ht="12.75"/>
    <row r="80" s="16" customFormat="1" ht="12.75"/>
    <row r="81" s="16" customFormat="1" ht="12.75"/>
    <row r="82" s="16" customFormat="1" ht="12.75"/>
    <row r="83" s="16" customFormat="1" ht="12.75"/>
    <row r="84" s="16" customFormat="1" ht="12.75"/>
    <row r="85" s="16" customFormat="1" ht="12.75"/>
    <row r="86" s="16" customFormat="1" ht="12.75"/>
    <row r="87" s="16" customFormat="1" ht="12.75"/>
    <row r="88" s="16" customFormat="1" ht="12.75"/>
    <row r="89" s="16" customFormat="1" ht="12.75"/>
    <row r="90" s="16" customFormat="1" ht="12.75"/>
    <row r="91" s="16" customFormat="1" ht="12.75"/>
    <row r="92" s="16" customFormat="1" ht="12.75"/>
    <row r="93" s="16" customFormat="1" ht="12.75"/>
    <row r="94" s="16" customFormat="1" ht="12.75"/>
    <row r="95" s="16" customFormat="1" ht="12.75"/>
    <row r="96" s="16" customFormat="1" ht="12.75"/>
    <row r="97" s="16" customFormat="1" ht="12.75"/>
    <row r="98" s="16" customFormat="1" ht="12.75"/>
    <row r="99" s="16" customFormat="1" ht="12.75"/>
    <row r="100" s="16" customFormat="1" ht="12.75"/>
    <row r="101" s="16" customFormat="1" ht="12.75"/>
    <row r="102" s="16" customFormat="1" ht="12.75"/>
    <row r="103" s="16" customFormat="1" ht="12.75"/>
    <row r="104" s="16" customFormat="1" ht="12.75"/>
    <row r="105" s="16" customFormat="1" ht="12.75"/>
    <row r="106" s="16" customFormat="1" ht="12.75"/>
    <row r="107" s="16" customFormat="1" ht="12.75"/>
    <row r="108" s="16" customFormat="1" ht="12.75"/>
    <row r="109" s="16" customFormat="1" ht="12.75"/>
    <row r="110" s="16" customFormat="1" ht="12.75"/>
    <row r="111" s="16" customFormat="1" ht="12.75"/>
    <row r="112" s="16" customFormat="1" ht="12.75"/>
    <row r="113" s="16" customFormat="1" ht="12.75"/>
    <row r="114" s="16" customFormat="1" ht="12.75"/>
    <row r="115" s="16" customFormat="1" ht="12.75"/>
    <row r="116" s="16" customFormat="1" ht="12.75"/>
    <row r="117" s="16" customFormat="1" ht="12.75"/>
    <row r="118" s="16" customFormat="1" ht="12.75"/>
    <row r="119" s="16" customFormat="1" ht="12.75"/>
    <row r="120" s="16" customFormat="1" ht="12.75"/>
    <row r="121" s="16" customFormat="1" ht="12.75"/>
    <row r="122" s="16" customFormat="1" ht="12.75"/>
    <row r="123" s="16" customFormat="1" ht="12.75"/>
    <row r="124" s="16" customFormat="1" ht="12.75"/>
    <row r="125" s="16" customFormat="1" ht="12.75"/>
    <row r="126" s="16" customFormat="1" ht="12.75"/>
    <row r="127" s="16" customFormat="1" ht="12.75"/>
    <row r="128" s="16" customFormat="1" ht="12.75"/>
    <row r="129" s="16" customFormat="1" ht="12.75"/>
    <row r="130" s="16" customFormat="1" ht="12.75"/>
    <row r="131" s="16" customFormat="1" ht="12.75"/>
    <row r="132" s="16" customFormat="1" ht="12.75"/>
    <row r="133" s="16" customFormat="1" ht="12.75"/>
    <row r="134" s="16" customFormat="1" ht="12.75"/>
    <row r="135" s="16" customFormat="1" ht="12.75"/>
    <row r="136" s="16" customFormat="1" ht="12.75"/>
    <row r="137" s="16" customFormat="1" ht="12.75"/>
    <row r="138" s="16" customFormat="1" ht="12.75"/>
    <row r="139" s="16" customFormat="1" ht="12.75"/>
    <row r="140" s="16" customFormat="1" ht="12.75"/>
    <row r="141" s="16" customFormat="1" ht="12.75"/>
    <row r="142" s="16" customFormat="1" ht="12.75"/>
    <row r="143" s="16" customFormat="1" ht="12.75"/>
    <row r="144" s="16" customFormat="1" ht="12.75"/>
    <row r="145" s="16" customFormat="1" ht="12.75"/>
    <row r="146" s="16" customFormat="1" ht="12.75"/>
    <row r="147" s="16" customFormat="1" ht="12.75"/>
    <row r="148" s="16" customFormat="1" ht="12.75"/>
    <row r="149" s="16" customFormat="1" ht="12.75"/>
    <row r="150" s="16" customFormat="1" ht="12.75"/>
    <row r="151" s="16" customFormat="1" ht="12.75"/>
    <row r="152" s="16" customFormat="1" ht="12.75"/>
    <row r="153" s="16" customFormat="1" ht="12.75"/>
    <row r="154" s="16" customFormat="1" ht="12.75"/>
    <row r="155" s="16" customFormat="1" ht="12.75"/>
    <row r="156" s="16" customFormat="1" ht="12.75"/>
    <row r="157" s="16" customFormat="1" ht="12.75"/>
    <row r="158" s="16" customFormat="1" ht="12.75"/>
    <row r="159" s="16" customFormat="1" ht="12.75"/>
    <row r="160" s="16" customFormat="1" ht="12.75"/>
    <row r="161" s="16" customFormat="1" ht="12.75"/>
    <row r="162" s="16" customFormat="1" ht="12.75"/>
    <row r="163" s="16" customFormat="1" ht="12.75"/>
    <row r="164" s="16" customFormat="1" ht="12.75"/>
    <row r="165" s="16" customFormat="1" ht="12.75"/>
    <row r="166" s="16" customFormat="1" ht="12.75"/>
    <row r="167" s="16" customFormat="1" ht="12.75"/>
    <row r="168" s="16" customFormat="1" ht="12.75"/>
    <row r="169" s="16" customFormat="1" ht="12.75"/>
    <row r="170" s="16" customFormat="1" ht="12.75"/>
    <row r="171" s="16" customFormat="1" ht="12.75"/>
    <row r="172" s="16" customFormat="1" ht="12.75"/>
    <row r="173" s="16" customFormat="1" ht="12.75"/>
    <row r="174" s="16" customFormat="1" ht="12.75"/>
    <row r="175" s="16" customFormat="1" ht="12.75"/>
    <row r="176" s="16" customFormat="1" ht="12.75"/>
    <row r="177" s="16" customFormat="1" ht="12.75"/>
    <row r="178" s="16" customFormat="1" ht="12.75"/>
    <row r="179" s="16" customFormat="1" ht="12.75"/>
    <row r="180" s="16" customFormat="1" ht="12.75"/>
    <row r="181" s="16" customFormat="1" ht="12.75"/>
    <row r="182" s="16" customFormat="1" ht="12.75"/>
    <row r="183" s="16" customFormat="1" ht="12.75"/>
    <row r="184" s="16" customFormat="1" ht="12.75"/>
    <row r="185" s="16" customFormat="1" ht="12.75"/>
    <row r="186" s="16" customFormat="1" ht="12.75"/>
    <row r="187" s="16" customFormat="1" ht="12.75"/>
    <row r="188" s="16" customFormat="1" ht="12.75"/>
    <row r="189" s="16" customFormat="1" ht="12.75"/>
    <row r="190" s="16" customFormat="1" ht="12.75"/>
    <row r="191" s="16" customFormat="1" ht="12.75"/>
    <row r="192" s="16" customFormat="1" ht="12.75"/>
    <row r="193" s="16" customFormat="1" ht="12.75"/>
    <row r="194" s="16" customFormat="1" ht="12.75"/>
    <row r="195" s="16" customFormat="1" ht="12.75"/>
    <row r="196" s="16" customFormat="1" ht="12.75"/>
    <row r="197" s="16" customFormat="1" ht="12.75"/>
    <row r="198" s="16" customFormat="1" ht="12.75"/>
    <row r="199" s="16" customFormat="1" ht="12.75"/>
    <row r="200" s="16" customFormat="1" ht="12.75"/>
    <row r="201" s="16" customFormat="1" ht="12.75"/>
    <row r="202" s="16" customFormat="1" ht="12.75"/>
    <row r="203" s="16" customFormat="1" ht="12.75"/>
    <row r="204" s="16" customFormat="1" ht="12.75"/>
    <row r="205" s="16" customFormat="1" ht="12.75"/>
    <row r="206" s="16" customFormat="1" ht="12.75"/>
    <row r="207" s="16" customFormat="1" ht="12.75"/>
    <row r="208" s="16" customFormat="1" ht="12.75"/>
    <row r="209" s="16" customFormat="1" ht="12.75"/>
    <row r="210" s="16" customFormat="1" ht="12.75"/>
    <row r="211" s="16" customFormat="1" ht="12.75"/>
    <row r="212" s="16" customFormat="1" ht="12.75"/>
    <row r="213" s="16" customFormat="1" ht="12.75"/>
    <row r="214" s="16" customFormat="1" ht="12.75"/>
    <row r="215" s="16" customFormat="1" ht="12.75"/>
    <row r="216" s="16" customFormat="1" ht="12.75"/>
    <row r="217" s="16" customFormat="1" ht="12.75"/>
    <row r="218" s="16" customFormat="1" ht="12.75"/>
    <row r="219" s="16" customFormat="1" ht="12.75"/>
    <row r="220" s="16" customFormat="1" ht="12.75"/>
    <row r="221" s="16" customFormat="1" ht="12.75"/>
    <row r="222" s="16" customFormat="1" ht="12.75"/>
    <row r="223" s="16" customFormat="1" ht="12.75"/>
    <row r="224" s="16" customFormat="1" ht="12.75"/>
    <row r="225" s="16" customFormat="1" ht="12.75"/>
    <row r="226" s="16" customFormat="1" ht="12.75"/>
    <row r="227" s="16" customFormat="1" ht="12.75"/>
    <row r="228" s="16" customFormat="1" ht="12.75"/>
    <row r="229" s="16" customFormat="1" ht="12.75"/>
    <row r="230" s="16" customFormat="1" ht="12.75"/>
    <row r="231" s="16" customFormat="1" ht="12.75"/>
    <row r="232" s="16" customFormat="1" ht="12.75"/>
    <row r="233" s="16" customFormat="1" ht="12.75"/>
    <row r="234" s="16" customFormat="1" ht="12.75"/>
    <row r="235" s="16" customFormat="1" ht="12.75"/>
    <row r="236" s="16" customFormat="1" ht="12.75"/>
    <row r="237" s="16" customFormat="1" ht="12.75"/>
    <row r="238" s="16" customFormat="1" ht="12.75"/>
    <row r="239" s="16" customFormat="1" ht="12.75"/>
    <row r="240" s="16" customFormat="1" ht="12.75"/>
    <row r="241" s="16" customFormat="1" ht="12.75"/>
    <row r="242" s="16" customFormat="1" ht="12.75"/>
    <row r="243" s="16" customFormat="1" ht="12.75"/>
    <row r="244" s="16" customFormat="1" ht="12.75"/>
    <row r="245" s="16" customFormat="1" ht="12.75"/>
    <row r="246" s="16" customFormat="1" ht="12.75"/>
    <row r="247" s="16" customFormat="1" ht="12.75"/>
    <row r="248" s="16" customFormat="1" ht="12.75"/>
    <row r="249" s="16" customFormat="1" ht="12.75"/>
    <row r="250" s="16" customFormat="1" ht="12.75"/>
    <row r="251" s="16" customFormat="1" ht="12.75"/>
    <row r="252" s="16" customFormat="1" ht="12.75"/>
    <row r="253" s="16" customFormat="1" ht="12.75"/>
    <row r="254" s="16" customFormat="1" ht="12.75"/>
    <row r="255" s="16" customFormat="1" ht="12.75"/>
    <row r="256" s="16" customFormat="1" ht="12.75"/>
    <row r="257" s="16" customFormat="1" ht="12.75"/>
    <row r="258" s="16" customFormat="1" ht="12.75"/>
    <row r="259" s="16" customFormat="1" ht="12.75"/>
    <row r="260" s="16" customFormat="1" ht="12.75"/>
    <row r="261" s="16" customFormat="1" ht="12.75"/>
    <row r="262" s="16" customFormat="1" ht="12.75"/>
    <row r="263" s="16" customFormat="1" ht="12.75"/>
    <row r="264" s="16" customFormat="1" ht="12.75"/>
    <row r="265" s="16" customFormat="1" ht="12.75"/>
    <row r="266" s="16" customFormat="1" ht="12.75"/>
    <row r="267" s="16" customFormat="1" ht="12.75"/>
    <row r="268" s="16" customFormat="1" ht="12.75"/>
    <row r="269" s="16" customFormat="1" ht="12.75"/>
    <row r="270" s="16" customFormat="1" ht="12.75"/>
    <row r="271" s="16" customFormat="1" ht="12.75"/>
    <row r="272" s="16" customFormat="1" ht="12.75"/>
    <row r="273" s="16" customFormat="1" ht="12.75"/>
    <row r="274" s="16" customFormat="1" ht="12.75"/>
    <row r="275" s="16" customFormat="1" ht="12.75"/>
    <row r="276" s="16" customFormat="1" ht="12.75"/>
    <row r="277" s="16" customFormat="1" ht="12.75"/>
    <row r="278" s="16" customFormat="1" ht="12.75"/>
    <row r="279" s="16" customFormat="1" ht="12.75"/>
    <row r="280" s="16" customFormat="1" ht="12.75"/>
    <row r="281" s="16" customFormat="1" ht="12.75"/>
    <row r="282" s="16" customFormat="1" ht="12.75"/>
    <row r="283" s="16" customFormat="1" ht="12.75"/>
    <row r="284" s="16" customFormat="1" ht="12.75"/>
    <row r="285" s="16" customFormat="1" ht="12.75"/>
    <row r="286" s="16" customFormat="1" ht="12.75"/>
    <row r="287" s="16" customFormat="1" ht="12.75"/>
    <row r="288" s="16" customFormat="1" ht="12.75"/>
    <row r="289" s="16" customFormat="1" ht="12.75"/>
    <row r="290" s="16" customFormat="1" ht="12.75"/>
    <row r="291" s="16" customFormat="1" ht="12.75"/>
    <row r="292" s="16" customFormat="1" ht="12.75"/>
    <row r="293" s="16" customFormat="1" ht="12.75"/>
    <row r="294" s="16" customFormat="1" ht="12.75"/>
    <row r="295" s="16" customFormat="1" ht="12.75"/>
    <row r="296" s="16" customFormat="1" ht="12.75"/>
    <row r="297" s="16" customFormat="1" ht="12.75"/>
    <row r="298" s="16" customFormat="1" ht="12.75"/>
    <row r="299" s="16" customFormat="1" ht="12.75"/>
    <row r="300" s="16" customFormat="1" ht="12.75"/>
    <row r="301" s="16" customFormat="1" ht="12.75"/>
    <row r="302" s="16" customFormat="1" ht="12.75"/>
    <row r="303" s="16" customFormat="1" ht="12.75"/>
    <row r="304" s="16" customFormat="1" ht="12.75"/>
    <row r="305" s="16" customFormat="1" ht="12.75"/>
    <row r="306" s="16" customFormat="1" ht="12.75"/>
    <row r="307" s="16" customFormat="1" ht="12.75"/>
    <row r="308" s="16" customFormat="1" ht="12.75"/>
    <row r="309" s="16" customFormat="1" ht="12.75"/>
    <row r="310" s="16" customFormat="1" ht="12.75"/>
    <row r="311" s="16" customFormat="1" ht="12.75"/>
    <row r="312" s="16" customFormat="1" ht="12.75"/>
    <row r="313" s="16" customFormat="1" ht="12.75"/>
    <row r="314" s="16" customFormat="1" ht="12.75"/>
    <row r="315" s="16" customFormat="1" ht="12.75"/>
    <row r="316" s="16" customFormat="1" ht="12.75"/>
    <row r="317" s="16" customFormat="1" ht="12.75"/>
    <row r="318" s="16" customFormat="1" ht="12.75"/>
    <row r="319" s="16" customFormat="1" ht="12.75"/>
    <row r="320" s="16" customFormat="1" ht="12.75"/>
    <row r="321" s="16" customFormat="1" ht="12.75"/>
    <row r="322" s="16" customFormat="1" ht="12.75"/>
    <row r="323" s="16" customFormat="1" ht="12.75"/>
    <row r="324" s="16" customFormat="1" ht="12.75"/>
    <row r="325" s="16" customFormat="1" ht="12.75"/>
    <row r="326" s="16" customFormat="1" ht="12.75"/>
    <row r="327" s="16" customFormat="1" ht="12.75"/>
    <row r="328" s="16" customFormat="1" ht="12.75"/>
    <row r="329" s="16" customFormat="1" ht="12.75"/>
    <row r="330" s="16" customFormat="1" ht="12.75"/>
    <row r="331" s="16" customFormat="1" ht="12.75"/>
    <row r="332" s="16" customFormat="1" ht="12.75"/>
    <row r="333" s="16" customFormat="1" ht="12.75"/>
    <row r="334" s="16" customFormat="1" ht="12.75"/>
    <row r="335" s="16" customFormat="1" ht="12.75"/>
    <row r="336" s="16" customFormat="1" ht="12.75"/>
    <row r="337" s="16" customFormat="1" ht="12.75"/>
    <row r="338" s="16" customFormat="1" ht="12.75"/>
    <row r="339" s="16" customFormat="1" ht="12.75"/>
    <row r="340" s="16" customFormat="1" ht="12.75"/>
    <row r="341" s="16" customFormat="1" ht="12.75"/>
    <row r="342" s="16" customFormat="1" ht="12.75"/>
    <row r="343" s="16" customFormat="1" ht="12.75"/>
    <row r="344" s="16" customFormat="1" ht="12.75"/>
    <row r="345" s="16" customFormat="1" ht="12.75"/>
    <row r="346" s="16" customFormat="1" ht="12.75"/>
    <row r="347" s="16" customFormat="1" ht="12.75"/>
    <row r="348" s="16" customFormat="1" ht="12.75"/>
    <row r="349" s="16" customFormat="1" ht="12.75"/>
    <row r="350" s="16" customFormat="1" ht="12.75"/>
    <row r="351" s="16" customFormat="1" ht="12.75"/>
    <row r="352" s="16" customFormat="1" ht="12.75"/>
    <row r="353" s="16" customFormat="1" ht="12.75"/>
    <row r="354" s="16" customFormat="1" ht="12.75"/>
    <row r="355" s="16" customFormat="1" ht="12.75"/>
    <row r="356" s="16" customFormat="1" ht="12.75"/>
    <row r="357" s="16" customFormat="1" ht="12.75"/>
    <row r="358" s="16" customFormat="1" ht="12.75"/>
    <row r="359" s="16" customFormat="1" ht="12.75"/>
    <row r="360" s="16" customFormat="1" ht="12.75"/>
    <row r="361" s="16" customFormat="1" ht="12.75"/>
    <row r="362" s="16" customFormat="1" ht="12.75"/>
    <row r="363" s="16" customFormat="1" ht="12.75"/>
    <row r="364" s="16" customFormat="1" ht="12.75"/>
    <row r="365" s="16" customFormat="1" ht="12.75"/>
    <row r="366" s="16" customFormat="1" ht="12.75"/>
    <row r="367" s="16" customFormat="1" ht="12.75"/>
    <row r="368" s="16" customFormat="1" ht="12.75"/>
    <row r="369" s="16" customFormat="1" ht="12.75"/>
    <row r="370" s="16" customFormat="1" ht="12.75"/>
    <row r="371" s="16" customFormat="1" ht="12.75"/>
    <row r="372" s="16" customFormat="1" ht="12.75"/>
    <row r="373" s="16" customFormat="1" ht="12.75"/>
    <row r="374" s="16" customFormat="1" ht="12.75"/>
    <row r="375" s="16" customFormat="1" ht="12.75"/>
    <row r="376" s="16" customFormat="1" ht="12.75"/>
    <row r="377" s="16" customFormat="1" ht="12.75"/>
    <row r="378" s="16" customFormat="1" ht="12.75"/>
    <row r="379" s="16" customFormat="1" ht="12.75"/>
    <row r="380" s="16" customFormat="1" ht="12.75"/>
    <row r="381" s="16" customFormat="1" ht="12.75"/>
    <row r="382" s="16" customFormat="1" ht="12.75"/>
    <row r="383" s="16" customFormat="1" ht="12.75"/>
    <row r="384" s="16" customFormat="1" ht="12.75"/>
    <row r="385" s="16" customFormat="1" ht="12.75"/>
    <row r="386" s="16" customFormat="1" ht="12.75"/>
    <row r="387" s="16" customFormat="1" ht="12.75"/>
    <row r="388" s="16" customFormat="1" ht="12.75"/>
    <row r="389" s="16" customFormat="1" ht="12.75"/>
    <row r="390" s="16" customFormat="1" ht="12.75"/>
    <row r="391" s="16" customFormat="1" ht="12.75"/>
    <row r="392" s="16" customFormat="1" ht="12.75"/>
    <row r="393" s="16" customFormat="1" ht="12.75"/>
    <row r="394" s="16" customFormat="1" ht="12.75"/>
    <row r="395" s="16" customFormat="1" ht="12.75"/>
    <row r="396" s="16" customFormat="1" ht="12.75"/>
    <row r="397" s="16" customFormat="1" ht="12.75"/>
    <row r="398" s="16" customFormat="1" ht="12.75"/>
    <row r="399" s="16" customFormat="1" ht="12.75"/>
    <row r="400" s="16" customFormat="1" ht="12.75"/>
    <row r="401" s="16" customFormat="1" ht="12.75"/>
    <row r="402" s="16" customFormat="1" ht="12.75"/>
    <row r="403" s="16" customFormat="1" ht="12.75"/>
    <row r="404" s="16" customFormat="1" ht="12.75"/>
    <row r="405" s="16" customFormat="1" ht="12.75"/>
    <row r="406" s="16" customFormat="1" ht="12.75"/>
    <row r="407" s="16" customFormat="1" ht="12.75"/>
    <row r="408" s="16" customFormat="1" ht="12.75"/>
    <row r="409" s="16" customFormat="1" ht="12.75"/>
    <row r="410" s="16" customFormat="1" ht="12.75"/>
    <row r="411" s="16" customFormat="1" ht="12.75"/>
    <row r="412" s="16" customFormat="1" ht="12.75"/>
    <row r="413" s="16" customFormat="1" ht="12.75"/>
    <row r="414" s="16" customFormat="1" ht="12.75"/>
    <row r="415" s="16" customFormat="1" ht="12.75"/>
    <row r="416" s="16" customFormat="1" ht="12.75"/>
    <row r="417" s="16" customFormat="1" ht="12.75"/>
    <row r="418" s="16" customFormat="1" ht="12.75"/>
    <row r="419" s="16" customFormat="1" ht="12.75"/>
    <row r="420" s="16" customFormat="1" ht="12.75"/>
    <row r="421" s="16" customFormat="1" ht="12.75"/>
    <row r="422" s="16" customFormat="1" ht="12.75"/>
    <row r="423" s="16" customFormat="1" ht="12.75"/>
    <row r="424" s="16" customFormat="1" ht="12.75"/>
    <row r="425" s="16" customFormat="1" ht="12.75"/>
    <row r="426" s="16" customFormat="1" ht="12.75"/>
    <row r="427" s="16" customFormat="1" ht="12.75"/>
    <row r="428" s="16" customFormat="1" ht="12.75"/>
    <row r="429" s="16" customFormat="1" ht="12.75"/>
    <row r="430" s="16" customFormat="1" ht="12.75"/>
    <row r="431" s="16" customFormat="1" ht="12.75"/>
    <row r="432" s="16" customFormat="1" ht="12.75"/>
    <row r="433" s="16" customFormat="1" ht="12.75"/>
    <row r="434" s="16" customFormat="1" ht="12.75"/>
    <row r="435" s="16" customFormat="1" ht="12.75"/>
    <row r="436" s="16" customFormat="1" ht="12.75"/>
    <row r="437" s="16" customFormat="1" ht="12.75"/>
    <row r="438" s="16" customFormat="1" ht="12.75"/>
    <row r="439" s="16" customFormat="1" ht="12.75"/>
    <row r="440" s="16" customFormat="1" ht="12.75"/>
    <row r="441" s="16" customFormat="1" ht="12.75"/>
    <row r="442" s="16" customFormat="1" ht="12.75"/>
    <row r="443" s="16" customFormat="1" ht="12.75"/>
    <row r="444" s="16" customFormat="1" ht="12.75"/>
    <row r="445" s="16" customFormat="1" ht="12.75"/>
    <row r="446" s="16" customFormat="1" ht="12.75"/>
    <row r="447" s="16" customFormat="1" ht="12.75"/>
    <row r="448" s="16" customFormat="1" ht="12.75"/>
    <row r="449" s="16" customFormat="1" ht="12.75"/>
    <row r="450" s="16" customFormat="1" ht="12.75"/>
    <row r="451" s="16" customFormat="1" ht="12.75"/>
    <row r="452" s="16" customFormat="1" ht="12.75"/>
    <row r="453" s="16" customFormat="1" ht="12.75"/>
    <row r="454" s="16" customFormat="1" ht="12.75"/>
    <row r="455" s="16" customFormat="1" ht="12.75"/>
    <row r="456" s="16" customFormat="1" ht="12.75"/>
    <row r="457" s="16" customFormat="1" ht="12.75"/>
    <row r="458" s="16" customFormat="1" ht="12.75"/>
    <row r="459" s="16" customFormat="1" ht="12.75"/>
    <row r="460" s="16" customFormat="1" ht="12.75"/>
    <row r="461" s="16" customFormat="1" ht="12.75"/>
    <row r="462" s="16" customFormat="1" ht="12.75"/>
    <row r="463" s="16" customFormat="1" ht="12.75"/>
    <row r="464" s="16" customFormat="1" ht="12.75"/>
    <row r="465" s="16" customFormat="1" ht="12.75"/>
    <row r="466" s="16" customFormat="1" ht="12.75"/>
    <row r="467" s="16" customFormat="1" ht="12.75"/>
    <row r="468" s="16" customFormat="1" ht="12.75"/>
    <row r="469" s="16" customFormat="1" ht="12.75"/>
    <row r="470" s="16" customFormat="1" ht="12.75"/>
    <row r="471" s="16" customFormat="1" ht="12.75"/>
    <row r="472" s="16" customFormat="1" ht="12.75"/>
    <row r="473" s="16" customFormat="1" ht="12.75"/>
    <row r="474" s="16" customFormat="1" ht="12.75"/>
    <row r="475" s="16" customFormat="1" ht="12.75"/>
    <row r="476" s="16" customFormat="1" ht="12.75"/>
    <row r="477" s="16" customFormat="1" ht="12.75"/>
    <row r="478" s="16" customFormat="1" ht="12.75"/>
    <row r="479" s="16" customFormat="1" ht="12.75"/>
    <row r="480" s="16" customFormat="1" ht="12.75"/>
    <row r="481" s="16" customFormat="1" ht="12.75"/>
    <row r="482" s="16" customFormat="1" ht="12.75"/>
    <row r="483" s="16" customFormat="1" ht="12.75"/>
    <row r="484" s="16" customFormat="1" ht="12.75"/>
    <row r="485" s="16" customFormat="1" ht="12.75"/>
    <row r="486" s="16" customFormat="1" ht="12.75"/>
    <row r="487" s="16" customFormat="1" ht="12.75"/>
    <row r="488" s="16" customFormat="1" ht="12.75"/>
    <row r="489" s="16" customFormat="1" ht="12.75"/>
    <row r="490" s="16" customFormat="1" ht="12.75"/>
    <row r="491" s="16" customFormat="1" ht="12.75"/>
    <row r="492" s="16" customFormat="1" ht="12.75"/>
    <row r="493" s="16" customFormat="1" ht="12.75"/>
    <row r="494" s="16" customFormat="1" ht="12.75"/>
    <row r="495" s="16" customFormat="1" ht="12.75"/>
    <row r="496" s="16" customFormat="1" ht="12.75"/>
    <row r="497" s="16" customFormat="1" ht="12.75"/>
    <row r="498" s="16" customFormat="1" ht="12.75"/>
    <row r="499" s="16" customFormat="1" ht="12.75"/>
    <row r="500" s="16" customFormat="1" ht="12.75"/>
    <row r="501" s="16" customFormat="1" ht="12.75"/>
    <row r="502" s="16" customFormat="1" ht="12.75"/>
    <row r="503" s="16" customFormat="1" ht="12.75"/>
    <row r="504" s="16" customFormat="1" ht="12.75"/>
    <row r="505" s="16" customFormat="1" ht="12.75"/>
    <row r="506" s="16" customFormat="1" ht="12.75"/>
    <row r="507" s="16" customFormat="1" ht="12.75"/>
    <row r="508" s="16" customFormat="1" ht="12.75"/>
    <row r="509" s="16" customFormat="1" ht="12.75"/>
    <row r="510" s="16" customFormat="1" ht="12.75"/>
    <row r="511" s="16" customFormat="1" ht="12.75"/>
    <row r="512" s="16" customFormat="1" ht="12.75"/>
    <row r="513" s="16" customFormat="1" ht="12.75"/>
    <row r="514" s="16" customFormat="1" ht="12.75"/>
    <row r="515" s="16" customFormat="1" ht="12.75"/>
    <row r="516" s="16" customFormat="1" ht="12.75"/>
    <row r="517" s="16" customFormat="1" ht="12.75"/>
    <row r="518" s="16" customFormat="1" ht="12.75"/>
    <row r="519" s="16" customFormat="1" ht="12.75"/>
    <row r="520" s="16" customFormat="1" ht="12.75"/>
    <row r="521" s="16" customFormat="1" ht="12.75"/>
    <row r="522" s="16" customFormat="1" ht="12.75"/>
    <row r="523" s="16" customFormat="1" ht="12.75"/>
    <row r="524" s="16" customFormat="1" ht="12.75"/>
    <row r="525" s="16" customFormat="1" ht="12.75"/>
    <row r="526" s="16" customFormat="1" ht="12.75"/>
    <row r="527" s="16" customFormat="1" ht="12.75"/>
    <row r="528" s="16" customFormat="1" ht="12.75"/>
    <row r="529" s="16" customFormat="1" ht="12.75"/>
    <row r="530" s="16" customFormat="1" ht="12.75"/>
    <row r="531" s="16" customFormat="1" ht="12.75"/>
    <row r="532" s="16" customFormat="1" ht="12.75"/>
    <row r="533" s="16" customFormat="1" ht="12.75"/>
    <row r="534" s="16" customFormat="1" ht="12.75"/>
    <row r="535" s="16" customFormat="1" ht="12.75"/>
    <row r="536" s="16" customFormat="1" ht="12.75"/>
    <row r="537" s="16" customFormat="1" ht="12.75"/>
    <row r="538" s="16" customFormat="1" ht="12.75"/>
    <row r="539" s="16" customFormat="1" ht="12.75"/>
    <row r="540" s="16" customFormat="1" ht="12.75"/>
    <row r="541" s="16" customFormat="1" ht="12.75"/>
    <row r="542" s="16" customFormat="1" ht="12.75"/>
    <row r="543" s="16" customFormat="1" ht="12.75"/>
    <row r="544" s="16" customFormat="1" ht="12.75"/>
    <row r="545" s="16" customFormat="1" ht="12.75"/>
    <row r="546" s="16" customFormat="1" ht="12.75"/>
    <row r="547" s="16" customFormat="1" ht="12.75"/>
    <row r="548" s="16" customFormat="1" ht="12.75"/>
    <row r="549" s="16" customFormat="1" ht="12.75"/>
    <row r="550" s="16" customFormat="1" ht="12.75"/>
    <row r="551" s="16" customFormat="1" ht="12.75"/>
    <row r="552" s="16" customFormat="1" ht="12.75"/>
    <row r="553" s="16" customFormat="1" ht="12.75"/>
    <row r="554" s="16" customFormat="1" ht="12.75"/>
    <row r="555" s="16" customFormat="1" ht="12.75"/>
    <row r="556" s="16" customFormat="1" ht="12.75"/>
    <row r="557" s="16" customFormat="1" ht="12.75"/>
    <row r="558" s="16" customFormat="1" ht="12.75"/>
    <row r="559" s="16" customFormat="1" ht="12.75"/>
    <row r="560" s="16" customFormat="1" ht="12.75"/>
    <row r="561" s="16" customFormat="1" ht="12.75"/>
    <row r="562" s="16" customFormat="1" ht="12.75"/>
    <row r="563" s="16" customFormat="1" ht="12.75"/>
    <row r="564" s="16" customFormat="1" ht="12.75"/>
    <row r="565" s="16" customFormat="1" ht="12.75"/>
    <row r="566" s="16" customFormat="1" ht="12.75"/>
    <row r="567" s="16" customFormat="1" ht="12.75"/>
    <row r="568" s="16" customFormat="1" ht="12.75"/>
    <row r="569" s="16" customFormat="1" ht="12.75"/>
    <row r="570" s="16" customFormat="1" ht="12.75"/>
    <row r="571" s="16" customFormat="1" ht="12.75"/>
    <row r="572" s="16" customFormat="1" ht="12.75"/>
    <row r="573" s="16" customFormat="1" ht="12.75"/>
    <row r="574" s="16" customFormat="1" ht="12.75"/>
    <row r="575" s="16" customFormat="1" ht="12.75"/>
    <row r="576" s="16" customFormat="1" ht="12.75"/>
    <row r="577" s="16" customFormat="1" ht="12.75"/>
    <row r="578" s="16" customFormat="1" ht="12.75"/>
    <row r="579" s="16" customFormat="1" ht="12.75"/>
    <row r="580" s="16" customFormat="1" ht="12.75"/>
    <row r="581" s="16" customFormat="1" ht="12.75"/>
    <row r="582" s="16" customFormat="1" ht="12.75"/>
    <row r="583" s="16" customFormat="1" ht="12.75"/>
    <row r="584" s="16" customFormat="1" ht="12.75"/>
    <row r="585" s="16" customFormat="1" ht="12.75"/>
    <row r="586" s="16" customFormat="1" ht="12.75"/>
    <row r="587" s="16" customFormat="1" ht="12.75"/>
    <row r="588" s="16" customFormat="1" ht="12.75"/>
    <row r="589" s="16" customFormat="1" ht="12.75"/>
    <row r="590" s="16" customFormat="1" ht="12.75"/>
    <row r="591" s="16" customFormat="1" ht="12.75"/>
    <row r="592" s="16" customFormat="1" ht="12.75"/>
    <row r="593" s="16" customFormat="1" ht="12.75"/>
    <row r="594" s="16" customFormat="1" ht="12.75"/>
    <row r="595" s="16" customFormat="1" ht="12.75"/>
    <row r="596" s="16" customFormat="1" ht="12.75"/>
    <row r="597" s="16" customFormat="1" ht="12.75"/>
    <row r="598" s="16" customFormat="1" ht="12.75"/>
    <row r="599" s="16" customFormat="1" ht="12.75"/>
    <row r="600" s="16" customFormat="1" ht="12.75"/>
    <row r="601" s="16" customFormat="1" ht="12.75"/>
    <row r="602" s="16" customFormat="1" ht="12.75"/>
    <row r="603" s="16" customFormat="1" ht="12.75"/>
    <row r="604" s="16" customFormat="1" ht="12.75"/>
    <row r="605" s="16" customFormat="1" ht="12.75"/>
    <row r="606" s="16" customFormat="1" ht="12.75"/>
    <row r="607" s="16" customFormat="1" ht="12.75"/>
    <row r="608" s="16" customFormat="1" ht="12.75"/>
    <row r="609" s="16" customFormat="1" ht="12.75"/>
    <row r="610" s="16" customFormat="1" ht="12.75"/>
    <row r="611" s="16" customFormat="1" ht="12.75"/>
    <row r="612" s="16" customFormat="1" ht="12.75"/>
    <row r="613" s="16" customFormat="1" ht="12.75"/>
    <row r="614" s="16" customFormat="1" ht="12.75"/>
    <row r="615" s="16" customFormat="1" ht="12.75"/>
    <row r="616" s="16" customFormat="1" ht="12.75"/>
    <row r="617" s="16" customFormat="1" ht="12.75"/>
    <row r="618" s="16" customFormat="1" ht="12.75"/>
    <row r="619" s="16" customFormat="1" ht="12.75"/>
    <row r="620" s="16" customFormat="1" ht="12.75"/>
    <row r="621" s="16" customFormat="1" ht="12.75"/>
    <row r="622" s="16" customFormat="1" ht="12.75"/>
    <row r="623" s="16" customFormat="1" ht="12.75"/>
    <row r="624" s="16" customFormat="1" ht="12.75"/>
    <row r="625" s="16" customFormat="1" ht="12.75"/>
    <row r="626" s="16" customFormat="1" ht="12.75"/>
    <row r="627" s="16" customFormat="1" ht="12.75"/>
    <row r="628" s="16" customFormat="1" ht="12.75"/>
    <row r="629" s="16" customFormat="1" ht="12.75"/>
    <row r="630" s="16" customFormat="1" ht="12.75"/>
    <row r="631" s="16" customFormat="1" ht="12.75"/>
    <row r="632" s="16" customFormat="1" ht="12.75"/>
    <row r="633" s="16" customFormat="1" ht="12.75"/>
    <row r="634" s="16" customFormat="1" ht="12.75"/>
    <row r="635" s="16" customFormat="1" ht="12.75"/>
    <row r="636" s="16" customFormat="1" ht="12.75"/>
    <row r="637" s="16" customFormat="1" ht="12.75"/>
    <row r="638" s="16" customFormat="1" ht="12.75"/>
    <row r="639" s="16" customFormat="1" ht="12.75"/>
    <row r="640" s="16" customFormat="1" ht="12.75"/>
    <row r="641" s="16" customFormat="1" ht="12.75"/>
    <row r="642" s="16" customFormat="1" ht="12.75"/>
    <row r="643" s="16" customFormat="1" ht="12.75"/>
    <row r="644" s="16" customFormat="1" ht="12.75"/>
    <row r="645" s="16" customFormat="1" ht="12.75"/>
    <row r="646" s="16" customFormat="1" ht="12.75"/>
    <row r="647" s="16" customFormat="1" ht="12.75"/>
    <row r="648" s="16" customFormat="1" ht="12.75"/>
    <row r="649" s="16" customFormat="1" ht="12.75"/>
    <row r="650" s="16" customFormat="1" ht="12.75"/>
    <row r="651" s="16" customFormat="1" ht="12.75"/>
    <row r="652" s="16" customFormat="1" ht="12.75"/>
    <row r="653" s="16" customFormat="1" ht="12.75"/>
    <row r="654" s="16" customFormat="1" ht="12.75"/>
    <row r="655" s="16" customFormat="1" ht="12.75"/>
    <row r="656" s="16" customFormat="1" ht="12.75"/>
    <row r="657" s="16" customFormat="1" ht="12.75"/>
    <row r="658" s="16" customFormat="1" ht="12.75"/>
    <row r="659" s="16" customFormat="1" ht="12.75"/>
    <row r="660" s="16" customFormat="1" ht="12.75"/>
    <row r="661" s="16" customFormat="1" ht="12.75"/>
    <row r="662" s="16" customFormat="1" ht="12.75"/>
    <row r="663" s="16" customFormat="1" ht="12.75"/>
    <row r="664" s="16" customFormat="1" ht="12.75"/>
    <row r="665" s="16" customFormat="1" ht="12.75"/>
    <row r="666" s="16" customFormat="1" ht="12.75"/>
    <row r="667" s="16" customFormat="1" ht="12.75"/>
    <row r="668" s="16" customFormat="1" ht="12.75"/>
    <row r="669" s="16" customFormat="1" ht="12.75"/>
    <row r="670" s="16" customFormat="1" ht="12.75"/>
    <row r="671" s="16" customFormat="1" ht="12.75"/>
    <row r="672" s="16" customFormat="1" ht="12.75"/>
    <row r="673" s="16" customFormat="1" ht="12.75"/>
    <row r="674" s="16" customFormat="1" ht="12.75"/>
    <row r="675" s="16" customFormat="1" ht="12.75"/>
    <row r="676" s="16" customFormat="1" ht="12.75"/>
    <row r="677" s="16" customFormat="1" ht="12.75"/>
    <row r="678" s="16" customFormat="1" ht="12.75"/>
    <row r="679" s="16" customFormat="1" ht="12.75"/>
    <row r="680" s="16" customFormat="1" ht="12.75"/>
    <row r="681" s="16" customFormat="1" ht="12.75"/>
    <row r="682" s="16" customFormat="1" ht="12.75"/>
    <row r="683" s="16" customFormat="1" ht="12.75"/>
    <row r="684" s="16" customFormat="1" ht="12.75"/>
    <row r="685" s="16" customFormat="1" ht="12.75"/>
    <row r="686" s="16" customFormat="1" ht="12.75"/>
    <row r="687" s="16" customFormat="1" ht="12.75"/>
    <row r="688" s="16" customFormat="1" ht="12.75"/>
    <row r="689" s="16" customFormat="1" ht="12.75"/>
    <row r="690" s="16" customFormat="1" ht="12.75"/>
    <row r="691" s="16" customFormat="1" ht="12.75"/>
    <row r="692" s="16" customFormat="1" ht="12.75"/>
    <row r="693" s="16" customFormat="1" ht="12.75"/>
    <row r="694" s="16" customFormat="1" ht="12.75"/>
    <row r="695" s="16" customFormat="1" ht="12.75"/>
    <row r="696" s="16" customFormat="1" ht="12.75"/>
    <row r="697" s="16" customFormat="1" ht="12.75"/>
    <row r="698" s="16" customFormat="1" ht="12.75"/>
    <row r="699" s="16" customFormat="1" ht="12.75"/>
    <row r="700" s="16" customFormat="1" ht="12.75"/>
    <row r="701" s="16" customFormat="1" ht="12.75"/>
    <row r="702" s="16" customFormat="1" ht="12.75"/>
    <row r="703" s="16" customFormat="1" ht="12.75"/>
    <row r="704" s="16" customFormat="1" ht="12.75"/>
    <row r="705" s="16" customFormat="1" ht="12.75"/>
    <row r="706" s="16" customFormat="1" ht="12.75"/>
    <row r="707" s="16" customFormat="1" ht="12.75"/>
    <row r="708" s="16" customFormat="1" ht="12.75"/>
    <row r="709" s="16" customFormat="1" ht="12.75"/>
    <row r="710" s="16" customFormat="1" ht="12.75"/>
    <row r="711" s="16" customFormat="1" ht="12.75"/>
    <row r="712" s="16" customFormat="1" ht="12.75"/>
    <row r="713" s="16" customFormat="1" ht="12.75"/>
    <row r="714" s="16" customFormat="1" ht="12.75"/>
    <row r="715" s="16" customFormat="1" ht="12.75"/>
    <row r="716" s="16" customFormat="1" ht="12.75"/>
    <row r="717" s="16" customFormat="1" ht="12.75"/>
    <row r="718" s="16" customFormat="1" ht="12.75"/>
    <row r="719" s="16" customFormat="1" ht="12.75"/>
    <row r="720" s="16" customFormat="1" ht="12.75"/>
    <row r="721" s="16" customFormat="1" ht="12.75"/>
    <row r="722" s="16" customFormat="1" ht="12.75"/>
    <row r="723" s="16" customFormat="1" ht="12.75"/>
    <row r="724" s="16" customFormat="1" ht="12.75"/>
    <row r="725" s="16" customFormat="1" ht="12.75"/>
    <row r="726" s="16" customFormat="1" ht="12.75"/>
    <row r="727" s="16" customFormat="1" ht="12.75"/>
    <row r="728" s="16" customFormat="1" ht="12.75"/>
    <row r="729" s="16" customFormat="1" ht="12.75"/>
    <row r="730" s="16" customFormat="1" ht="12.75"/>
    <row r="731" s="16" customFormat="1" ht="12.75"/>
    <row r="732" s="16" customFormat="1" ht="12.75"/>
    <row r="733" s="16" customFormat="1" ht="12.75"/>
    <row r="734" s="16" customFormat="1" ht="12.75"/>
    <row r="735" s="16" customFormat="1" ht="12.75"/>
    <row r="736" s="16" customFormat="1" ht="12.75"/>
    <row r="737" s="16" customFormat="1" ht="12.75"/>
    <row r="738" s="16" customFormat="1" ht="12.75"/>
    <row r="739" s="16" customFormat="1" ht="12.75"/>
    <row r="740" s="16" customFormat="1" ht="12.75"/>
    <row r="741" s="16" customFormat="1" ht="12.75"/>
    <row r="742" s="16" customFormat="1" ht="12.75"/>
    <row r="743" s="16" customFormat="1" ht="12.75"/>
    <row r="744" s="16" customFormat="1" ht="12.75"/>
    <row r="745" s="16" customFormat="1" ht="12.75"/>
    <row r="746" s="16" customFormat="1" ht="12.75"/>
    <row r="747" s="16" customFormat="1" ht="12.75"/>
    <row r="748" s="16" customFormat="1" ht="12.75"/>
    <row r="749" s="16" customFormat="1" ht="12.75"/>
    <row r="750" s="16" customFormat="1" ht="12.75"/>
    <row r="751" s="16" customFormat="1" ht="12.75"/>
    <row r="752" s="16" customFormat="1" ht="12.75"/>
    <row r="753" s="16" customFormat="1" ht="12.75"/>
    <row r="754" s="16" customFormat="1" ht="12.75"/>
    <row r="755" s="16" customFormat="1" ht="12.75"/>
    <row r="756" s="16" customFormat="1" ht="12.75"/>
    <row r="757" s="16" customFormat="1" ht="12.75"/>
    <row r="758" s="16" customFormat="1" ht="12.75"/>
    <row r="759" s="16" customFormat="1" ht="12.75"/>
    <row r="760" s="16" customFormat="1" ht="12.75"/>
    <row r="761" s="16" customFormat="1" ht="12.75"/>
    <row r="762" s="16" customFormat="1" ht="12.75"/>
    <row r="763" s="16" customFormat="1" ht="12.75"/>
    <row r="764" s="16" customFormat="1" ht="12.75"/>
    <row r="765" s="16" customFormat="1" ht="12.75"/>
    <row r="766" s="16" customFormat="1" ht="12.75"/>
    <row r="767" s="16" customFormat="1" ht="12.75"/>
    <row r="768" s="16" customFormat="1" ht="12.75"/>
    <row r="769" s="16" customFormat="1" ht="12.75"/>
    <row r="770" s="16" customFormat="1" ht="12.75"/>
    <row r="771" s="16" customFormat="1" ht="12.75"/>
    <row r="772" s="16" customFormat="1" ht="12.75"/>
    <row r="773" s="16" customFormat="1" ht="12.75"/>
    <row r="774" s="16" customFormat="1" ht="12.75"/>
    <row r="775" s="16" customFormat="1" ht="12.75"/>
    <row r="776" s="16" customFormat="1" ht="12.75"/>
    <row r="777" s="16" customFormat="1" ht="12.75"/>
    <row r="778" s="16" customFormat="1" ht="12.75"/>
    <row r="779" s="16" customFormat="1" ht="12.75"/>
    <row r="780" s="16" customFormat="1" ht="12.75"/>
    <row r="781" s="16" customFormat="1" ht="12.75"/>
    <row r="782" s="16" customFormat="1" ht="12.75"/>
    <row r="783" s="16" customFormat="1" ht="12.75"/>
    <row r="784" s="16" customFormat="1" ht="12.75"/>
    <row r="785" s="16" customFormat="1" ht="12.75"/>
    <row r="786" s="16" customFormat="1" ht="12.75"/>
    <row r="787" s="16" customFormat="1" ht="12.75"/>
    <row r="788" s="16" customFormat="1" ht="12.75"/>
    <row r="789" s="16" customFormat="1" ht="12.75"/>
    <row r="790" s="16" customFormat="1" ht="12.75"/>
    <row r="791" s="16" customFormat="1" ht="12.75"/>
    <row r="792" s="16" customFormat="1" ht="12.75"/>
    <row r="793" s="16" customFormat="1" ht="12.75"/>
    <row r="794" s="16" customFormat="1" ht="12.75"/>
    <row r="795" s="16" customFormat="1" ht="12.75"/>
    <row r="796" s="16" customFormat="1" ht="12.75"/>
    <row r="797" s="16" customFormat="1" ht="12.75"/>
    <row r="798" s="16" customFormat="1" ht="12.75"/>
    <row r="799" s="16" customFormat="1" ht="12.75"/>
    <row r="800" s="16" customFormat="1" ht="12.75"/>
    <row r="801" s="16" customFormat="1" ht="12.75"/>
    <row r="802" s="16" customFormat="1" ht="12.75"/>
    <row r="803" s="16" customFormat="1" ht="12.75"/>
    <row r="804" s="16" customFormat="1" ht="12.75"/>
    <row r="805" s="16" customFormat="1" ht="12.75"/>
    <row r="806" s="16" customFormat="1" ht="12.75"/>
    <row r="807" s="16" customFormat="1" ht="12.75"/>
    <row r="808" s="16" customFormat="1" ht="12.75"/>
    <row r="809" s="16" customFormat="1" ht="12.75"/>
    <row r="810" s="16" customFormat="1" ht="12.75"/>
    <row r="811" s="16" customFormat="1" ht="12.75"/>
    <row r="812" s="16" customFormat="1" ht="12.75"/>
    <row r="813" s="16" customFormat="1" ht="12.75"/>
    <row r="814" s="16" customFormat="1" ht="12.75"/>
    <row r="815" s="16" customFormat="1" ht="12.75"/>
    <row r="816" s="16" customFormat="1" ht="12.75"/>
    <row r="817" s="16" customFormat="1" ht="12.75"/>
    <row r="818" s="16" customFormat="1" ht="12.75"/>
    <row r="819" s="16" customFormat="1" ht="12.75"/>
    <row r="820" s="16" customFormat="1" ht="12.75"/>
    <row r="821" s="16" customFormat="1" ht="12.75"/>
    <row r="822" s="16" customFormat="1" ht="12.75"/>
    <row r="823" s="16" customFormat="1" ht="12.75"/>
    <row r="824" s="16" customFormat="1" ht="12.75"/>
    <row r="825" s="16" customFormat="1" ht="12.75"/>
    <row r="826" s="16" customFormat="1" ht="12.75"/>
    <row r="827" s="16" customFormat="1" ht="12.75"/>
    <row r="828" s="16" customFormat="1" ht="12.75"/>
    <row r="829" s="16" customFormat="1" ht="12.75"/>
    <row r="830" s="16" customFormat="1" ht="12.75"/>
    <row r="831" s="16" customFormat="1" ht="12.75"/>
    <row r="832" s="16" customFormat="1" ht="12.75"/>
    <row r="833" s="16" customFormat="1" ht="12.75"/>
    <row r="834" s="16" customFormat="1" ht="12.75"/>
    <row r="835" s="16" customFormat="1" ht="12.75"/>
    <row r="836" s="16" customFormat="1" ht="12.75"/>
    <row r="837" s="16" customFormat="1" ht="12.75"/>
    <row r="838" s="16" customFormat="1" ht="12.75"/>
    <row r="839" s="16" customFormat="1" ht="12.75"/>
    <row r="840" s="16" customFormat="1" ht="12.75"/>
    <row r="841" s="16" customFormat="1" ht="12.75"/>
    <row r="842" s="16" customFormat="1" ht="12.75"/>
    <row r="843" s="16" customFormat="1" ht="12.75"/>
    <row r="844" s="16" customFormat="1" ht="12.75"/>
    <row r="845" s="16" customFormat="1" ht="12.75"/>
    <row r="846" s="16" customFormat="1" ht="12.75"/>
    <row r="847" s="16" customFormat="1" ht="12.75"/>
    <row r="848" s="16" customFormat="1" ht="12.75"/>
    <row r="849" s="16" customFormat="1" ht="12.75"/>
    <row r="850" s="16" customFormat="1" ht="12.75"/>
    <row r="851" s="16" customFormat="1" ht="12.75"/>
    <row r="852" s="16" customFormat="1" ht="12.75"/>
    <row r="853" s="16" customFormat="1" ht="12.75"/>
    <row r="854" s="16" customFormat="1" ht="12.75"/>
    <row r="855" s="16" customFormat="1" ht="12.75"/>
    <row r="856" s="16" customFormat="1" ht="12.75"/>
    <row r="857" s="16" customFormat="1" ht="12.75"/>
    <row r="858" s="16" customFormat="1" ht="12.75"/>
    <row r="859" s="16" customFormat="1" ht="12.75"/>
    <row r="860" s="16" customFormat="1" ht="12.75"/>
    <row r="861" s="16" customFormat="1" ht="12.75"/>
    <row r="862" s="16" customFormat="1" ht="12.75"/>
    <row r="863" s="16" customFormat="1" ht="12.75"/>
    <row r="864" s="16" customFormat="1" ht="12.75"/>
    <row r="865" s="16" customFormat="1" ht="12.75"/>
    <row r="866" s="16" customFormat="1" ht="12.75"/>
    <row r="867" s="16" customFormat="1" ht="12.75"/>
    <row r="868" s="16" customFormat="1" ht="12.75"/>
    <row r="869" s="16" customFormat="1" ht="12.75"/>
    <row r="870" s="16" customFormat="1" ht="12.75"/>
    <row r="871" s="16" customFormat="1" ht="12.75"/>
    <row r="872" s="16" customFormat="1" ht="12.75"/>
    <row r="873" s="16" customFormat="1" ht="12.75"/>
    <row r="874" s="16" customFormat="1" ht="12.75"/>
    <row r="875" s="16" customFormat="1" ht="12.75"/>
    <row r="876" s="16" customFormat="1" ht="12.75"/>
    <row r="877" s="16" customFormat="1" ht="12.75"/>
    <row r="878" s="16" customFormat="1" ht="12.75"/>
    <row r="879" s="16" customFormat="1" ht="12.75"/>
    <row r="880" s="16" customFormat="1" ht="12.75"/>
    <row r="881" s="16" customFormat="1" ht="12.75"/>
    <row r="882" s="16" customFormat="1" ht="12.75"/>
    <row r="883" s="16" customFormat="1" ht="12.75"/>
    <row r="884" s="16" customFormat="1" ht="12.75"/>
    <row r="885" s="16" customFormat="1" ht="12.75"/>
    <row r="886" s="16" customFormat="1" ht="12.75"/>
    <row r="887" s="16" customFormat="1" ht="12.75"/>
    <row r="888" s="16" customFormat="1" ht="12.75"/>
    <row r="889" s="16" customFormat="1" ht="12.75"/>
    <row r="890" s="16" customFormat="1" ht="12.75"/>
    <row r="891" s="16" customFormat="1" ht="12.75"/>
    <row r="892" s="16" customFormat="1" ht="12.75"/>
    <row r="893" s="16" customFormat="1" ht="12.75"/>
    <row r="894" s="16" customFormat="1" ht="12.75"/>
    <row r="895" s="16" customFormat="1" ht="12.75"/>
    <row r="896" s="16" customFormat="1" ht="12.75"/>
    <row r="897" s="16" customFormat="1" ht="12.75"/>
    <row r="898" s="16" customFormat="1" ht="12.75"/>
    <row r="899" s="16" customFormat="1" ht="12.75"/>
    <row r="900" s="16" customFormat="1" ht="12.75"/>
    <row r="901" s="16" customFormat="1" ht="12.75"/>
    <row r="902" s="16" customFormat="1" ht="12.75"/>
    <row r="903" s="16" customFormat="1" ht="12.75"/>
    <row r="904" s="16" customFormat="1" ht="12.75"/>
    <row r="905" s="16" customFormat="1" ht="12.75"/>
    <row r="906" s="16" customFormat="1" ht="12.75"/>
    <row r="907" s="16" customFormat="1" ht="12.75"/>
    <row r="908" s="16" customFormat="1" ht="12.75"/>
    <row r="909" s="16" customFormat="1" ht="12.75"/>
    <row r="910" s="16" customFormat="1" ht="12.75"/>
    <row r="911" s="16" customFormat="1" ht="12.75"/>
    <row r="912" s="16" customFormat="1" ht="12.75"/>
    <row r="913" s="16" customFormat="1" ht="12.75"/>
    <row r="914" s="16" customFormat="1" ht="12.75"/>
    <row r="915" s="16" customFormat="1" ht="12.75"/>
    <row r="916" s="16" customFormat="1" ht="12.75"/>
    <row r="917" s="16" customFormat="1" ht="12.75"/>
    <row r="918" s="16" customFormat="1" ht="12.75"/>
    <row r="919" s="16" customFormat="1" ht="12.75"/>
    <row r="920" s="16" customFormat="1" ht="12.75"/>
    <row r="921" s="16" customFormat="1" ht="12.75"/>
    <row r="922" s="16" customFormat="1" ht="12.75"/>
    <row r="923" s="16" customFormat="1" ht="12.75"/>
    <row r="924" s="16" customFormat="1" ht="12.75"/>
    <row r="925" s="16" customFormat="1" ht="12.75"/>
    <row r="926" s="16" customFormat="1" ht="12.75"/>
    <row r="927" s="16" customFormat="1" ht="12.75"/>
    <row r="928" s="16" customFormat="1" ht="12.75"/>
    <row r="929" s="16" customFormat="1" ht="12.75"/>
    <row r="930" s="16" customFormat="1" ht="12.75"/>
    <row r="931" s="16" customFormat="1" ht="12.75"/>
    <row r="932" s="16" customFormat="1" ht="12.75"/>
    <row r="933" s="16" customFormat="1" ht="12.75"/>
    <row r="934" s="16" customFormat="1" ht="12.75"/>
    <row r="935" s="16" customFormat="1" ht="12.75"/>
    <row r="936" s="16" customFormat="1" ht="12.75"/>
    <row r="937" s="16" customFormat="1" ht="12.75"/>
    <row r="938" s="16" customFormat="1" ht="12.75"/>
    <row r="939" s="16" customFormat="1" ht="12.75"/>
    <row r="940" s="16" customFormat="1" ht="12.75"/>
    <row r="941" s="16" customFormat="1" ht="12.75"/>
    <row r="942" s="16" customFormat="1" ht="12.75"/>
    <row r="943" s="16" customFormat="1" ht="12.75"/>
    <row r="944" s="16" customFormat="1" ht="12.75"/>
    <row r="945" s="16" customFormat="1" ht="12.75"/>
    <row r="946" s="16" customFormat="1" ht="12.75"/>
    <row r="947" s="16" customFormat="1" ht="12.75"/>
    <row r="948" s="16" customFormat="1" ht="12.75"/>
    <row r="949" s="16" customFormat="1" ht="12.75"/>
    <row r="950" s="16" customFormat="1" ht="12.75"/>
    <row r="951" s="16" customFormat="1" ht="12.75"/>
    <row r="952" s="16" customFormat="1" ht="12.75"/>
    <row r="953" s="16" customFormat="1" ht="12.75"/>
    <row r="954" s="16" customFormat="1" ht="12.75"/>
    <row r="955" s="16" customFormat="1" ht="12.75"/>
    <row r="956" s="16" customFormat="1" ht="12.75"/>
    <row r="957" s="16" customFormat="1" ht="12.75"/>
    <row r="958" s="16" customFormat="1" ht="12.75"/>
    <row r="959" s="16" customFormat="1" ht="12.75"/>
    <row r="960" s="16" customFormat="1" ht="12.75"/>
    <row r="961" s="16" customFormat="1" ht="12.75"/>
    <row r="962" s="16" customFormat="1" ht="12.75"/>
    <row r="963" s="16" customFormat="1" ht="12.75"/>
    <row r="964" s="16" customFormat="1" ht="12.75"/>
    <row r="965" s="16" customFormat="1" ht="12.75"/>
    <row r="966" s="16" customFormat="1" ht="12.75"/>
    <row r="967" s="16" customFormat="1" ht="12.75"/>
    <row r="968" s="16" customFormat="1" ht="12.75"/>
    <row r="969" s="16" customFormat="1" ht="12.75"/>
    <row r="970" s="16" customFormat="1" ht="12.75"/>
    <row r="971" s="16" customFormat="1" ht="12.75"/>
    <row r="972" s="16" customFormat="1" ht="12.75"/>
    <row r="973" s="16" customFormat="1" ht="12.75"/>
    <row r="974" s="16" customFormat="1" ht="12.75"/>
    <row r="975" s="16" customFormat="1" ht="12.75"/>
    <row r="976" s="16" customFormat="1" ht="12.75"/>
    <row r="977" s="16" customFormat="1" ht="12.75"/>
    <row r="978" s="16" customFormat="1" ht="12.75"/>
    <row r="979" s="16" customFormat="1" ht="12.75"/>
    <row r="980" s="16" customFormat="1" ht="12.75"/>
    <row r="981" s="16" customFormat="1" ht="12.75"/>
    <row r="982" s="16" customFormat="1" ht="12.75"/>
    <row r="983" s="16" customFormat="1" ht="12.75"/>
    <row r="984" s="16" customFormat="1" ht="12.75"/>
    <row r="985" s="16" customFormat="1" ht="12.75"/>
    <row r="986" s="16" customFormat="1" ht="12.75"/>
    <row r="987" s="16" customFormat="1" ht="12.75"/>
    <row r="988" s="16" customFormat="1" ht="12.75"/>
    <row r="989" s="16" customFormat="1" ht="12.75"/>
    <row r="990" s="16" customFormat="1" ht="12.75"/>
    <row r="991" s="16" customFormat="1" ht="12.75"/>
    <row r="992" s="16" customFormat="1" ht="12.75"/>
    <row r="993" s="16" customFormat="1" ht="12.75"/>
    <row r="994" s="16" customFormat="1" ht="12.75"/>
    <row r="995" s="16" customFormat="1" ht="12.75"/>
    <row r="996" s="16" customFormat="1" ht="12.75"/>
    <row r="997" s="16" customFormat="1" ht="12.75"/>
    <row r="998" s="16" customFormat="1" ht="12.75"/>
    <row r="999" s="16" customFormat="1" ht="12.75"/>
    <row r="1000" s="16" customFormat="1" ht="12.75"/>
    <row r="1001" s="16" customFormat="1" ht="12.75"/>
    <row r="1002" s="16" customFormat="1" ht="12.75"/>
    <row r="1003" s="16" customFormat="1" ht="12.75"/>
    <row r="1004" s="16" customFormat="1" ht="12.75"/>
    <row r="1005" s="16" customFormat="1" ht="12.75"/>
    <row r="1006" s="16" customFormat="1" ht="12.75"/>
    <row r="1007" s="16" customFormat="1" ht="12.75"/>
    <row r="1008" s="16" customFormat="1" ht="12.75"/>
    <row r="1009" s="16" customFormat="1" ht="12.75"/>
    <row r="1010" s="16" customFormat="1" ht="12.75"/>
    <row r="1011" s="16" customFormat="1" ht="12.75"/>
    <row r="1012" s="16" customFormat="1" ht="12.75"/>
    <row r="1013" s="16" customFormat="1" ht="12.75"/>
    <row r="1014" s="16" customFormat="1" ht="12.75"/>
    <row r="1015" s="16" customFormat="1" ht="12.75"/>
    <row r="1016" s="16" customFormat="1" ht="12.75"/>
    <row r="1017" s="16" customFormat="1" ht="12.75"/>
    <row r="1018" s="16" customFormat="1" ht="12.75"/>
    <row r="1019" s="16" customFormat="1" ht="12.75"/>
    <row r="1020" s="16" customFormat="1" ht="12.75"/>
    <row r="1021" s="16" customFormat="1" ht="12.75"/>
    <row r="1022" s="16" customFormat="1" ht="12.75"/>
    <row r="1023" s="16" customFormat="1" ht="12.75"/>
    <row r="1024" s="16" customFormat="1" ht="12.75"/>
    <row r="1025" s="16" customFormat="1" ht="12.75"/>
    <row r="1026" s="16" customFormat="1" ht="12.75"/>
    <row r="1027" s="16" customFormat="1" ht="12.75"/>
    <row r="1028" s="16" customFormat="1" ht="12.75"/>
    <row r="1029" s="16" customFormat="1" ht="12.75"/>
    <row r="1030" s="16" customFormat="1" ht="12.75"/>
    <row r="1031" s="16" customFormat="1" ht="12.75"/>
    <row r="1032" s="16" customFormat="1" ht="12.75"/>
    <row r="1033" s="16" customFormat="1" ht="12.75"/>
    <row r="1034" s="16" customFormat="1" ht="12.75"/>
    <row r="1035" s="16" customFormat="1" ht="12.75"/>
    <row r="1036" s="16" customFormat="1" ht="12.75"/>
    <row r="1037" s="16" customFormat="1" ht="12.75"/>
    <row r="1038" s="16" customFormat="1" ht="12.75"/>
    <row r="1039" s="16" customFormat="1" ht="12.75"/>
    <row r="1040" s="16" customFormat="1" ht="12.75"/>
    <row r="1041" s="16" customFormat="1" ht="12.75"/>
    <row r="1042" s="16" customFormat="1" ht="12.75"/>
    <row r="1043" s="16" customFormat="1" ht="12.75"/>
    <row r="1044" s="16" customFormat="1" ht="12.75"/>
    <row r="1045" s="16" customFormat="1" ht="12.75"/>
    <row r="1046" s="16" customFormat="1" ht="12.75"/>
    <row r="1047" s="16" customFormat="1" ht="12.75"/>
    <row r="1048" s="16" customFormat="1" ht="12.75"/>
    <row r="1049" s="16" customFormat="1" ht="12.75"/>
    <row r="1050" s="16" customFormat="1" ht="12.75"/>
    <row r="1051" s="16" customFormat="1" ht="12.75"/>
    <row r="1052" s="16" customFormat="1" ht="12.75"/>
    <row r="1053" s="16" customFormat="1" ht="12.75"/>
    <row r="1054" s="16" customFormat="1" ht="12.75"/>
    <row r="1055" s="16" customFormat="1" ht="12.75"/>
    <row r="1056" s="16" customFormat="1" ht="12.75"/>
    <row r="1057" s="16" customFormat="1" ht="12.75"/>
    <row r="1058" s="16" customFormat="1" ht="12.75"/>
    <row r="1059" s="16" customFormat="1" ht="12.75"/>
    <row r="1060" s="16" customFormat="1" ht="12.75"/>
    <row r="1061" s="16" customFormat="1" ht="12.75"/>
    <row r="1062" s="16" customFormat="1" ht="12.75"/>
    <row r="1063" s="16" customFormat="1" ht="12.75"/>
    <row r="1064" s="16" customFormat="1" ht="12.75"/>
    <row r="1065" s="16" customFormat="1" ht="12.75"/>
    <row r="1066" s="16" customFormat="1" ht="12.75"/>
    <row r="1067" s="16" customFormat="1" ht="12.75"/>
    <row r="1068" s="16" customFormat="1" ht="12.75"/>
    <row r="1069" s="16" customFormat="1" ht="12.75"/>
    <row r="1070" s="16" customFormat="1" ht="12.75"/>
    <row r="1071" s="16" customFormat="1" ht="12.75"/>
    <row r="1072" s="16" customFormat="1" ht="12.75"/>
    <row r="1073" s="16" customFormat="1" ht="12.75"/>
    <row r="1074" s="16" customFormat="1" ht="12.75"/>
    <row r="1075" s="16" customFormat="1" ht="12.75"/>
    <row r="1076" s="16" customFormat="1" ht="12.75"/>
    <row r="1077" s="16" customFormat="1" ht="12.75"/>
    <row r="1078" s="16" customFormat="1" ht="12.75"/>
    <row r="1079" s="16" customFormat="1" ht="12.75"/>
    <row r="1080" s="16" customFormat="1" ht="12.75"/>
    <row r="1081" s="16" customFormat="1" ht="12.75"/>
    <row r="1082" s="16" customFormat="1" ht="12.75"/>
    <row r="1083" s="16" customFormat="1" ht="12.75"/>
    <row r="1084" s="16" customFormat="1" ht="12.75"/>
    <row r="1085" s="16" customFormat="1" ht="12.75"/>
    <row r="1086" s="16" customFormat="1" ht="12.75"/>
    <row r="1087" s="16" customFormat="1" ht="12.75"/>
    <row r="1088" s="16" customFormat="1" ht="12.75"/>
    <row r="1089" s="16" customFormat="1" ht="12.75"/>
    <row r="1090" s="16" customFormat="1" ht="12.75"/>
    <row r="1091" s="16" customFormat="1" ht="12.75"/>
    <row r="1092" s="16" customFormat="1" ht="12.75"/>
    <row r="1093" s="16" customFormat="1" ht="12.75"/>
    <row r="1094" s="16" customFormat="1" ht="12.75"/>
    <row r="1095" s="16" customFormat="1" ht="12.75"/>
    <row r="1096" s="16" customFormat="1" ht="12.75"/>
    <row r="1097" s="16" customFormat="1" ht="12.75"/>
    <row r="1098" s="16" customFormat="1" ht="12.75"/>
    <row r="1099" s="16" customFormat="1" ht="12.75"/>
    <row r="1100" s="16" customFormat="1" ht="12.75"/>
    <row r="1101" s="16" customFormat="1" ht="12.75"/>
    <row r="1102" s="16" customFormat="1" ht="12.75"/>
    <row r="1103" s="16" customFormat="1" ht="12.75"/>
    <row r="1104" s="16" customFormat="1" ht="12.75"/>
    <row r="1105" s="16" customFormat="1" ht="12.75"/>
    <row r="1106" s="16" customFormat="1" ht="12.75"/>
    <row r="1107" s="16" customFormat="1" ht="12.75"/>
    <row r="1108" s="16" customFormat="1" ht="12.75"/>
    <row r="1109" s="16" customFormat="1" ht="12.75"/>
    <row r="1110" s="16" customFormat="1" ht="12.75"/>
    <row r="1111" s="16" customFormat="1" ht="12.75"/>
    <row r="1112" s="16" customFormat="1" ht="12.75"/>
    <row r="1113" s="16" customFormat="1" ht="12.75"/>
    <row r="1114" s="16" customFormat="1" ht="12.75"/>
    <row r="1115" s="16" customFormat="1" ht="12.75"/>
    <row r="1116" s="16" customFormat="1" ht="12.75"/>
    <row r="1117" s="16" customFormat="1" ht="12.75"/>
    <row r="1118" s="16" customFormat="1" ht="12.75"/>
    <row r="1119" s="16" customFormat="1" ht="12.75"/>
    <row r="1120" s="16" customFormat="1" ht="12.75"/>
    <row r="1121" s="16" customFormat="1" ht="12.75"/>
    <row r="1122" s="16" customFormat="1" ht="12.75"/>
    <row r="1123" s="16" customFormat="1" ht="12.75"/>
    <row r="1124" s="16" customFormat="1" ht="12.75"/>
    <row r="1125" s="16" customFormat="1" ht="12.75"/>
    <row r="1126" s="16" customFormat="1" ht="12.75"/>
    <row r="1127" s="16" customFormat="1" ht="12.75"/>
    <row r="1128" s="16" customFormat="1" ht="12.75"/>
    <row r="1129" s="16" customFormat="1" ht="12.75"/>
    <row r="1130" s="16" customFormat="1" ht="12.75"/>
    <row r="1131" s="16" customFormat="1" ht="12.75"/>
    <row r="1132" s="16" customFormat="1" ht="12.75"/>
    <row r="1133" s="16" customFormat="1" ht="12.75"/>
    <row r="1134" s="16" customFormat="1" ht="12.75"/>
    <row r="1135" s="16" customFormat="1" ht="12.75"/>
    <row r="1136" s="16" customFormat="1" ht="12.75"/>
    <row r="1137" s="16" customFormat="1" ht="12.75"/>
    <row r="1138" s="16" customFormat="1" ht="12.75"/>
    <row r="1139" s="16" customFormat="1" ht="12.75"/>
    <row r="1140" s="16" customFormat="1" ht="12.75"/>
    <row r="1141" s="16" customFormat="1" ht="12.75"/>
    <row r="1142" s="16" customFormat="1" ht="12.75"/>
    <row r="1143" s="16" customFormat="1" ht="12.75"/>
    <row r="1144" s="16" customFormat="1" ht="12.75"/>
    <row r="1145" s="16" customFormat="1" ht="12.75"/>
    <row r="1146" s="16" customFormat="1" ht="12.75"/>
    <row r="1147" s="16" customFormat="1" ht="12.75"/>
    <row r="1148" s="16" customFormat="1" ht="12.75"/>
    <row r="1149" s="16" customFormat="1" ht="12.75"/>
    <row r="1150" s="16" customFormat="1" ht="12.75"/>
    <row r="1151" s="16" customFormat="1" ht="12.75"/>
    <row r="1152" s="16" customFormat="1" ht="12.75"/>
    <row r="1153" s="16" customFormat="1" ht="12.75"/>
    <row r="1154" s="16" customFormat="1" ht="12.75"/>
    <row r="1155" s="16" customFormat="1" ht="12.75"/>
    <row r="1156" s="16" customFormat="1" ht="12.75"/>
    <row r="1157" s="16" customFormat="1" ht="12.75"/>
    <row r="1158" s="16" customFormat="1" ht="12.75"/>
    <row r="1159" s="16" customFormat="1" ht="12.75"/>
    <row r="1160" s="16" customFormat="1" ht="12.75"/>
    <row r="1161" s="16" customFormat="1" ht="12.75"/>
    <row r="1162" s="16" customFormat="1" ht="12.75"/>
    <row r="1163" s="16" customFormat="1" ht="12.75"/>
    <row r="1164" s="16" customFormat="1" ht="12.75"/>
    <row r="1165" s="16" customFormat="1" ht="12.75"/>
    <row r="1166" s="16" customFormat="1" ht="12.75"/>
    <row r="1167" s="16" customFormat="1" ht="12.75"/>
    <row r="1168" s="16" customFormat="1" ht="12.75"/>
    <row r="1169" s="16" customFormat="1" ht="12.75"/>
    <row r="1170" s="16" customFormat="1" ht="12.75"/>
    <row r="1171" s="16" customFormat="1" ht="12.75"/>
    <row r="1172" s="16" customFormat="1" ht="12.75"/>
    <row r="1173" s="16" customFormat="1" ht="12.75"/>
    <row r="1174" s="16" customFormat="1" ht="12.75"/>
    <row r="1175" s="16" customFormat="1" ht="12.75"/>
    <row r="1176" s="16" customFormat="1" ht="12.75"/>
    <row r="1177" s="16" customFormat="1" ht="12.75"/>
    <row r="1178" s="16" customFormat="1" ht="12.75"/>
    <row r="1179" s="16" customFormat="1" ht="12.75"/>
    <row r="1180" s="16" customFormat="1" ht="12.75"/>
    <row r="1181" s="16" customFormat="1" ht="12.75"/>
    <row r="1182" s="16" customFormat="1" ht="12.75"/>
    <row r="1183" s="16" customFormat="1" ht="12.75"/>
    <row r="1184" s="16" customFormat="1" ht="12.75"/>
    <row r="1185" s="16" customFormat="1" ht="12.75"/>
    <row r="1186" s="16" customFormat="1" ht="12.75"/>
    <row r="1187" s="16" customFormat="1" ht="12.75"/>
    <row r="1188" s="16" customFormat="1" ht="12.75"/>
    <row r="1189" s="16" customFormat="1" ht="12.75"/>
    <row r="1190" s="16" customFormat="1" ht="12.75"/>
    <row r="1191" s="16" customFormat="1" ht="12.75"/>
    <row r="1192" s="16" customFormat="1" ht="12.75"/>
    <row r="1193" s="16" customFormat="1" ht="12.75"/>
    <row r="1194" s="16" customFormat="1" ht="12.75"/>
    <row r="1195" s="16" customFormat="1" ht="12.75"/>
    <row r="1196" s="16" customFormat="1" ht="12.75"/>
    <row r="1197" s="16" customFormat="1" ht="12.75"/>
    <row r="1198" s="16" customFormat="1" ht="12.75"/>
    <row r="1199" s="16" customFormat="1" ht="12.75"/>
    <row r="1200" s="16" customFormat="1" ht="12.75"/>
    <row r="1201" s="16" customFormat="1" ht="12.75"/>
    <row r="1202" s="16" customFormat="1" ht="12.75"/>
    <row r="1203" s="16" customFormat="1" ht="12.75"/>
    <row r="1204" s="16" customFormat="1" ht="12.75"/>
    <row r="1205" s="16" customFormat="1" ht="12.75"/>
    <row r="1206" s="16" customFormat="1" ht="12.75"/>
    <row r="1207" s="16" customFormat="1" ht="12.75"/>
    <row r="1208" s="16" customFormat="1" ht="12.75"/>
    <row r="1209" s="16" customFormat="1" ht="12.75"/>
    <row r="1210" s="16" customFormat="1" ht="12.75"/>
    <row r="1211" s="16" customFormat="1" ht="12.75"/>
    <row r="1212" s="16" customFormat="1" ht="12.75"/>
    <row r="1213" s="16" customFormat="1" ht="12.75"/>
    <row r="1214" s="16" customFormat="1" ht="12.75"/>
    <row r="1215" s="16" customFormat="1" ht="12.75"/>
    <row r="1216" s="16" customFormat="1" ht="12.75"/>
    <row r="1217" s="16" customFormat="1" ht="12.75"/>
    <row r="1218" s="16" customFormat="1" ht="12.75"/>
    <row r="1219" s="16" customFormat="1" ht="12.75"/>
    <row r="1220" s="16" customFormat="1" ht="12.75"/>
    <row r="1221" s="16" customFormat="1" ht="12.75"/>
    <row r="1222" s="16" customFormat="1" ht="12.75"/>
    <row r="1223" s="16" customFormat="1" ht="12.75"/>
    <row r="1224" s="16" customFormat="1" ht="12.75"/>
    <row r="1225" s="16" customFormat="1" ht="12.75"/>
    <row r="1226" s="16" customFormat="1" ht="12.75"/>
    <row r="1227" s="16" customFormat="1" ht="12.75"/>
    <row r="1228" s="16" customFormat="1" ht="12.75"/>
    <row r="1229" s="16" customFormat="1" ht="12.75"/>
    <row r="1230" s="16" customFormat="1" ht="12.75"/>
    <row r="1231" s="16" customFormat="1" ht="12.75"/>
    <row r="1232" s="16" customFormat="1" ht="12.75"/>
    <row r="1233" s="16" customFormat="1" ht="12.75"/>
    <row r="1234" s="16" customFormat="1" ht="12.75"/>
    <row r="1235" s="16" customFormat="1" ht="12.75"/>
    <row r="1236" s="16" customFormat="1" ht="12.75"/>
    <row r="1237" s="16" customFormat="1" ht="12.75"/>
    <row r="1238" s="16" customFormat="1" ht="12.75"/>
    <row r="1239" s="16" customFormat="1" ht="12.75"/>
    <row r="1240" s="16" customFormat="1" ht="12.75"/>
    <row r="1241" s="16" customFormat="1" ht="12.75"/>
    <row r="1242" s="16" customFormat="1" ht="12.75"/>
    <row r="1243" s="16" customFormat="1" ht="12.75"/>
    <row r="1244" s="16" customFormat="1" ht="12.75"/>
    <row r="1245" s="16" customFormat="1" ht="12.75"/>
    <row r="1246" s="16" customFormat="1" ht="12.75"/>
    <row r="1247" s="16" customFormat="1" ht="12.75"/>
    <row r="1248" s="16" customFormat="1" ht="12.75"/>
    <row r="1249" s="16" customFormat="1" ht="12.75"/>
    <row r="1250" s="16" customFormat="1" ht="12.75"/>
    <row r="1251" s="16" customFormat="1" ht="12.75"/>
    <row r="1252" s="16" customFormat="1" ht="12.75"/>
    <row r="1253" s="16" customFormat="1" ht="12.75"/>
    <row r="1254" s="16" customFormat="1" ht="12.75"/>
    <row r="1255" s="16" customFormat="1" ht="12.75"/>
    <row r="1256" s="16" customFormat="1" ht="12.75"/>
    <row r="1257" s="16" customFormat="1" ht="12.75"/>
    <row r="1258" s="16" customFormat="1" ht="12.75"/>
    <row r="1259" s="16" customFormat="1" ht="12.75"/>
    <row r="1260" s="16" customFormat="1" ht="12.75"/>
    <row r="1261" s="16" customFormat="1" ht="12.75"/>
    <row r="1262" s="16" customFormat="1" ht="12.75"/>
    <row r="1263" s="16" customFormat="1" ht="12.75"/>
    <row r="1264" s="16" customFormat="1" ht="12.75"/>
    <row r="1265" s="16" customFormat="1" ht="12.75"/>
    <row r="1266" s="16" customFormat="1" ht="12.75"/>
    <row r="1267" s="16" customFormat="1" ht="12.75"/>
    <row r="1268" s="16" customFormat="1" ht="12.75"/>
    <row r="1269" s="16" customFormat="1" ht="12.75"/>
    <row r="1270" s="16" customFormat="1" ht="12.75"/>
    <row r="1271" s="16" customFormat="1" ht="12.75"/>
    <row r="1272" s="16" customFormat="1" ht="12.75"/>
    <row r="1273" s="16" customFormat="1" ht="12.75"/>
    <row r="1274" s="16" customFormat="1" ht="12.75"/>
    <row r="1275" s="16" customFormat="1" ht="12.75"/>
    <row r="1276" s="16" customFormat="1" ht="12.75"/>
    <row r="1277" s="16" customFormat="1" ht="12.75"/>
    <row r="1278" s="16" customFormat="1" ht="12.75"/>
    <row r="1279" s="16" customFormat="1" ht="12.75"/>
    <row r="1280" s="16" customFormat="1" ht="12.75"/>
    <row r="1281" s="16" customFormat="1" ht="12.75"/>
    <row r="1282" s="16" customFormat="1" ht="12.75"/>
    <row r="1283" s="16" customFormat="1" ht="12.75"/>
    <row r="1284" s="16" customFormat="1" ht="12.75"/>
    <row r="1285" s="16" customFormat="1" ht="12.75"/>
    <row r="1286" s="16" customFormat="1" ht="12.75"/>
    <row r="1287" s="16" customFormat="1" ht="12.75"/>
    <row r="1288" s="16" customFormat="1" ht="12.75"/>
    <row r="1289" s="16" customFormat="1" ht="12.75"/>
    <row r="1290" s="16" customFormat="1" ht="12.75"/>
    <row r="1291" s="16" customFormat="1" ht="12.75"/>
    <row r="1292" s="16" customFormat="1" ht="12.75"/>
    <row r="1293" s="16" customFormat="1" ht="12.75"/>
    <row r="1294" s="16" customFormat="1" ht="12.75"/>
    <row r="1295" s="16" customFormat="1" ht="12.75"/>
    <row r="1296" s="16" customFormat="1" ht="12.75"/>
    <row r="1297" s="16" customFormat="1" ht="12.75"/>
    <row r="1298" s="16" customFormat="1" ht="12.75"/>
    <row r="1299" s="16" customFormat="1" ht="12.75"/>
    <row r="1300" s="16" customFormat="1" ht="12.75"/>
    <row r="1301" s="16" customFormat="1" ht="12.75"/>
    <row r="1302" s="16" customFormat="1" ht="12.75"/>
    <row r="1303" s="16" customFormat="1" ht="12.75"/>
    <row r="1304" s="16" customFormat="1" ht="12.75"/>
    <row r="1305" s="16" customFormat="1" ht="12.75"/>
    <row r="1306" s="16" customFormat="1" ht="12.75"/>
    <row r="1307" s="16" customFormat="1" ht="12.75"/>
    <row r="1308" s="16" customFormat="1" ht="12.75"/>
    <row r="1309" s="16" customFormat="1" ht="12.75"/>
    <row r="1310" s="16" customFormat="1" ht="12.75"/>
    <row r="1311" s="16" customFormat="1" ht="12.75"/>
    <row r="1312" s="16" customFormat="1" ht="12.75"/>
    <row r="1313" s="16" customFormat="1" ht="12.75"/>
    <row r="1314" s="16" customFormat="1" ht="12.75"/>
    <row r="1315" s="16" customFormat="1" ht="12.75"/>
    <row r="1316" s="16" customFormat="1" ht="12.75"/>
    <row r="1317" s="16" customFormat="1" ht="12.75"/>
    <row r="1318" s="16" customFormat="1" ht="12.75"/>
    <row r="1319" s="16" customFormat="1" ht="12.75"/>
    <row r="1320" s="16" customFormat="1" ht="12.75"/>
    <row r="1321" s="16" customFormat="1" ht="12.75"/>
    <row r="1322" s="16" customFormat="1" ht="12.75"/>
    <row r="1323" s="16" customFormat="1" ht="12.75"/>
    <row r="1324" s="16" customFormat="1" ht="12.75"/>
    <row r="1325" s="16" customFormat="1" ht="12.75"/>
    <row r="1326" s="16" customFormat="1" ht="12.75"/>
    <row r="1327" s="16" customFormat="1" ht="12.75"/>
    <row r="1328" s="16" customFormat="1" ht="12.75"/>
    <row r="1329" s="16" customFormat="1" ht="12.75"/>
    <row r="1330" s="16" customFormat="1" ht="12.75"/>
    <row r="1331" s="16" customFormat="1" ht="12.75"/>
    <row r="1332" s="16" customFormat="1" ht="12.75"/>
    <row r="1333" s="16" customFormat="1" ht="12.75"/>
    <row r="1334" s="16" customFormat="1" ht="12.75"/>
    <row r="1335" s="16" customFormat="1" ht="12.75"/>
    <row r="1336" s="16" customFormat="1" ht="12.75"/>
    <row r="1337" s="16" customFormat="1" ht="12.75"/>
    <row r="1338" s="16" customFormat="1" ht="12.75"/>
    <row r="1339" s="16" customFormat="1" ht="12.75"/>
    <row r="1340" s="16" customFormat="1" ht="12.75"/>
    <row r="1341" s="16" customFormat="1" ht="12.75"/>
    <row r="1342" s="16" customFormat="1" ht="12.75"/>
    <row r="1343" s="16" customFormat="1" ht="12.75"/>
    <row r="1344" s="16" customFormat="1" ht="12.75"/>
    <row r="1345" s="16" customFormat="1" ht="12.75"/>
    <row r="1346" s="16" customFormat="1" ht="12.75"/>
    <row r="1347" s="16" customFormat="1" ht="12.75"/>
    <row r="1348" s="16" customFormat="1" ht="12.75"/>
    <row r="1349" s="16" customFormat="1" ht="12.75"/>
    <row r="1350" s="16" customFormat="1" ht="12.75"/>
    <row r="1351" s="16" customFormat="1" ht="12.75"/>
    <row r="1352" s="16" customFormat="1" ht="12.75"/>
    <row r="1353" s="16" customFormat="1" ht="12.75"/>
    <row r="1354" s="16" customFormat="1" ht="12.75"/>
    <row r="1355" s="16" customFormat="1" ht="12.75"/>
    <row r="1356" s="16" customFormat="1" ht="12.75"/>
    <row r="1357" s="16" customFormat="1" ht="12.75"/>
    <row r="1358" s="16" customFormat="1" ht="12.75"/>
    <row r="1359" s="16" customFormat="1" ht="12.75"/>
    <row r="1360" s="16" customFormat="1" ht="12.75"/>
    <row r="1361" s="16" customFormat="1" ht="12.75"/>
    <row r="1362" s="16" customFormat="1" ht="12.75"/>
    <row r="1363" s="16" customFormat="1" ht="12.75"/>
    <row r="1364" s="16" customFormat="1" ht="12.75"/>
    <row r="1365" s="16" customFormat="1" ht="12.75"/>
    <row r="1366" s="16" customFormat="1" ht="12.75"/>
    <row r="1367" s="16" customFormat="1" ht="12.75"/>
    <row r="1368" s="16" customFormat="1" ht="12.75"/>
    <row r="1369" s="16" customFormat="1" ht="12.75"/>
    <row r="1370" s="16" customFormat="1" ht="12.75"/>
    <row r="1371" s="16" customFormat="1" ht="12.75"/>
    <row r="1372" s="16" customFormat="1" ht="12.75"/>
    <row r="1373" s="16" customFormat="1" ht="12.75"/>
    <row r="1374" s="16" customFormat="1" ht="12.75"/>
    <row r="1375" s="16" customFormat="1" ht="12.75"/>
    <row r="1376" s="16" customFormat="1" ht="12.75"/>
    <row r="1377" s="16" customFormat="1" ht="12.75"/>
    <row r="1378" s="16" customFormat="1" ht="12.75"/>
    <row r="1379" s="16" customFormat="1" ht="12.75"/>
    <row r="1380" s="16" customFormat="1" ht="12.75"/>
    <row r="1381" s="16" customFormat="1" ht="12.75"/>
    <row r="1382" s="16" customFormat="1" ht="12.75"/>
    <row r="1383" s="16" customFormat="1" ht="12.75"/>
    <row r="1384" s="16" customFormat="1" ht="12.75"/>
    <row r="1385" s="16" customFormat="1" ht="12.75"/>
    <row r="1386" s="16" customFormat="1" ht="12.75"/>
    <row r="1387" s="16" customFormat="1" ht="12.75"/>
    <row r="1388" s="16" customFormat="1" ht="12.75"/>
    <row r="1389" s="16" customFormat="1" ht="12.75"/>
    <row r="1390" s="16" customFormat="1" ht="12.75"/>
    <row r="1391" s="16" customFormat="1" ht="12.75"/>
    <row r="1392" s="16" customFormat="1" ht="12.75"/>
    <row r="1393" s="16" customFormat="1" ht="12.75"/>
    <row r="1394" s="16" customFormat="1" ht="12.75"/>
    <row r="1395" s="16" customFormat="1" ht="12.75"/>
    <row r="1396" s="16" customFormat="1" ht="12.75"/>
    <row r="1397" s="16" customFormat="1" ht="12.75"/>
    <row r="1398" s="16" customFormat="1" ht="12.75"/>
    <row r="1399" s="16" customFormat="1" ht="12.75"/>
    <row r="1400" s="16" customFormat="1" ht="12.75"/>
    <row r="1401" s="16" customFormat="1" ht="12.75"/>
    <row r="1402" s="16" customFormat="1" ht="12.75"/>
    <row r="1403" s="16" customFormat="1" ht="12.75"/>
    <row r="1404" s="16" customFormat="1" ht="12.75"/>
    <row r="1405" s="16" customFormat="1" ht="12.75"/>
    <row r="1406" s="16" customFormat="1" ht="12.75"/>
    <row r="1407" s="16" customFormat="1" ht="12.75"/>
    <row r="1408" s="16" customFormat="1" ht="12.75"/>
    <row r="1409" s="16" customFormat="1" ht="12.75"/>
    <row r="1410" s="16" customFormat="1" ht="12.75"/>
    <row r="1411" s="16" customFormat="1" ht="12.75"/>
    <row r="1412" s="16" customFormat="1" ht="12.75"/>
    <row r="1413" s="16" customFormat="1" ht="12.75"/>
    <row r="1414" s="16" customFormat="1" ht="12.75"/>
    <row r="1415" s="16" customFormat="1" ht="12.75"/>
    <row r="1416" s="16" customFormat="1" ht="12.75"/>
    <row r="1417" s="16" customFormat="1" ht="12.75"/>
    <row r="1418" s="16" customFormat="1" ht="12.75"/>
    <row r="1419" s="16" customFormat="1" ht="12.75"/>
    <row r="1420" s="16" customFormat="1" ht="12.75"/>
    <row r="1421" s="16" customFormat="1" ht="12.75"/>
    <row r="1422" s="16" customFormat="1" ht="12.75"/>
    <row r="1423" s="16" customFormat="1" ht="12.75"/>
    <row r="1424" s="16" customFormat="1" ht="12.75"/>
    <row r="1425" s="16" customFormat="1" ht="12.75"/>
    <row r="1426" s="16" customFormat="1" ht="12.75"/>
    <row r="1427" s="16" customFormat="1" ht="12.75"/>
    <row r="1428" s="16" customFormat="1" ht="12.75"/>
    <row r="1429" s="16" customFormat="1" ht="12.75"/>
    <row r="1430" s="16" customFormat="1" ht="12.75"/>
    <row r="1431" s="16" customFormat="1" ht="12.75"/>
    <row r="1432" s="16" customFormat="1" ht="12.75"/>
    <row r="1433" s="16" customFormat="1" ht="12.75"/>
    <row r="1434" s="16" customFormat="1" ht="12.75"/>
    <row r="1435" s="16" customFormat="1" ht="12.75"/>
    <row r="1436" s="16" customFormat="1" ht="12.75"/>
    <row r="1437" s="16" customFormat="1" ht="12.75"/>
    <row r="1438" s="16" customFormat="1" ht="12.75"/>
    <row r="1439" s="16" customFormat="1" ht="12.75"/>
    <row r="1440" s="16" customFormat="1" ht="12.75"/>
    <row r="1441" s="16" customFormat="1" ht="12.75"/>
    <row r="1442" s="16" customFormat="1" ht="12.75"/>
    <row r="1443" s="16" customFormat="1" ht="12.75"/>
    <row r="1444" s="16" customFormat="1" ht="12.75"/>
    <row r="1445" s="16" customFormat="1" ht="12.75"/>
    <row r="1446" s="16" customFormat="1" ht="12.75"/>
    <row r="1447" s="16" customFormat="1" ht="12.75"/>
    <row r="1448" s="16" customFormat="1" ht="12.75"/>
    <row r="1449" s="16" customFormat="1" ht="12.75"/>
    <row r="1450" s="16" customFormat="1" ht="12.75"/>
    <row r="1451" s="16" customFormat="1" ht="12.75"/>
    <row r="1452" s="16" customFormat="1" ht="12.75"/>
    <row r="1453" s="16" customFormat="1" ht="12.75"/>
    <row r="1454" s="16" customFormat="1" ht="12.75"/>
    <row r="1455" s="16" customFormat="1" ht="12.75"/>
    <row r="1456" s="16" customFormat="1" ht="12.75"/>
    <row r="1457" s="16" customFormat="1" ht="12.75"/>
    <row r="1458" s="16" customFormat="1" ht="12.75"/>
    <row r="1459" s="16" customFormat="1" ht="12.75"/>
    <row r="1460" s="16" customFormat="1" ht="12.75"/>
    <row r="1461" s="16" customFormat="1" ht="12.75"/>
    <row r="1462" s="16" customFormat="1" ht="12.75"/>
    <row r="1463" s="16" customFormat="1" ht="12.75"/>
    <row r="1464" s="16" customFormat="1" ht="12.75"/>
    <row r="1465" s="16" customFormat="1" ht="12.75"/>
    <row r="1466" s="16" customFormat="1" ht="12.75"/>
    <row r="1467" s="16" customFormat="1" ht="12.75"/>
    <row r="1468" s="16" customFormat="1" ht="12.75"/>
    <row r="1469" s="16" customFormat="1" ht="12.75"/>
    <row r="1470" s="16" customFormat="1" ht="12.75"/>
    <row r="1471" s="16" customFormat="1" ht="12.75"/>
    <row r="1472" s="16" customFormat="1" ht="12.75"/>
    <row r="1473" s="16" customFormat="1" ht="12.75"/>
    <row r="1474" s="16" customFormat="1" ht="12.75"/>
    <row r="1475" s="16" customFormat="1" ht="12.75"/>
    <row r="1476" s="16" customFormat="1" ht="12.75"/>
    <row r="1477" s="16" customFormat="1" ht="12.75"/>
    <row r="1478" s="16" customFormat="1" ht="12.75"/>
    <row r="1479" s="16" customFormat="1" ht="12.75"/>
    <row r="1480" s="16" customFormat="1" ht="12.75"/>
    <row r="1481" s="16" customFormat="1" ht="12.75"/>
    <row r="1482" s="16" customFormat="1" ht="12.75"/>
    <row r="1483" s="16" customFormat="1" ht="12.75"/>
    <row r="1484" s="16" customFormat="1" ht="12.75"/>
    <row r="1485" s="16" customFormat="1" ht="12.75"/>
    <row r="1486" s="16" customFormat="1" ht="12.75"/>
    <row r="1487" s="16" customFormat="1" ht="12.75"/>
    <row r="1488" s="16" customFormat="1" ht="12.75"/>
    <row r="1489" s="16" customFormat="1" ht="12.75"/>
    <row r="1490" s="16" customFormat="1" ht="12.75"/>
    <row r="1491" s="16" customFormat="1" ht="12.75"/>
    <row r="1492" s="16" customFormat="1" ht="12.75"/>
    <row r="1493" s="16" customFormat="1" ht="12.75"/>
    <row r="1494" s="16" customFormat="1" ht="12.75"/>
    <row r="1495" s="16" customFormat="1" ht="12.75"/>
    <row r="1496" s="16" customFormat="1" ht="12.75"/>
    <row r="1497" s="16" customFormat="1" ht="12.75"/>
    <row r="1498" s="16" customFormat="1" ht="12.75"/>
    <row r="1499" s="16" customFormat="1" ht="12.75"/>
    <row r="1500" s="16" customFormat="1" ht="12.75"/>
    <row r="1501" s="16" customFormat="1" ht="12.75"/>
    <row r="1502" s="16" customFormat="1" ht="12.75"/>
    <row r="1503" s="16" customFormat="1" ht="12.75"/>
    <row r="1504" s="16" customFormat="1" ht="12.75"/>
    <row r="1505" s="16" customFormat="1" ht="12.75"/>
    <row r="1506" s="16" customFormat="1" ht="12.75"/>
    <row r="1507" s="16" customFormat="1" ht="12.75"/>
    <row r="1508" s="16" customFormat="1" ht="12.75"/>
    <row r="1509" s="16" customFormat="1" ht="12.75"/>
    <row r="1510" s="16" customFormat="1" ht="12.75"/>
    <row r="1511" s="16" customFormat="1" ht="12.75"/>
    <row r="1512" s="16" customFormat="1" ht="12.75"/>
    <row r="1513" s="16" customFormat="1" ht="12.75"/>
    <row r="1514" s="16" customFormat="1" ht="12.75"/>
    <row r="1515" s="16" customFormat="1" ht="12.75"/>
    <row r="1516" s="16" customFormat="1" ht="12.75"/>
    <row r="1517" s="16" customFormat="1" ht="12.75"/>
    <row r="1518" s="16" customFormat="1" ht="12.75"/>
    <row r="1519" s="16" customFormat="1" ht="12.75"/>
    <row r="1520" s="16" customFormat="1" ht="12.75"/>
    <row r="1521" s="16" customFormat="1" ht="12.75"/>
    <row r="1522" s="16" customFormat="1" ht="12.75"/>
    <row r="1523" s="16" customFormat="1" ht="12.75"/>
    <row r="1524" s="16" customFormat="1" ht="12.75"/>
    <row r="1525" s="16" customFormat="1" ht="12.75"/>
    <row r="1526" s="16" customFormat="1" ht="12.75"/>
    <row r="1527" s="16" customFormat="1" ht="12.75"/>
    <row r="1528" s="16" customFormat="1" ht="12.75"/>
    <row r="1529" s="16" customFormat="1" ht="12.75"/>
    <row r="1530" s="16" customFormat="1" ht="12.75"/>
    <row r="1531" s="16" customFormat="1" ht="12.75"/>
    <row r="1532" s="16" customFormat="1" ht="12.75"/>
    <row r="1533" s="16" customFormat="1" ht="12.75"/>
    <row r="1534" s="16" customFormat="1" ht="12.75"/>
    <row r="1535" s="16" customFormat="1" ht="12.75"/>
    <row r="1536" s="16" customFormat="1" ht="12.75"/>
    <row r="1537" s="16" customFormat="1" ht="12.75"/>
    <row r="1538" s="16" customFormat="1" ht="12.75"/>
    <row r="1539" s="16" customFormat="1" ht="12.75"/>
    <row r="1540" s="16" customFormat="1" ht="12.75"/>
    <row r="1541" s="16" customFormat="1" ht="12.75"/>
    <row r="1542" s="16" customFormat="1" ht="12.75"/>
    <row r="1543" s="16" customFormat="1" ht="12.75"/>
    <row r="1544" s="16" customFormat="1" ht="12.75"/>
    <row r="1545" s="16" customFormat="1" ht="12.75"/>
    <row r="1546" s="16" customFormat="1" ht="12.75"/>
    <row r="1547" s="16" customFormat="1" ht="12.75"/>
    <row r="1548" s="16" customFormat="1" ht="12.75"/>
    <row r="1549" s="16" customFormat="1" ht="12.75"/>
    <row r="1550" s="16" customFormat="1" ht="12.75"/>
    <row r="1551" s="16" customFormat="1" ht="12.75"/>
    <row r="1552" s="16" customFormat="1" ht="12.75"/>
    <row r="1553" s="16" customFormat="1" ht="12.75"/>
    <row r="1554" s="16" customFormat="1" ht="12.75"/>
    <row r="1555" s="16" customFormat="1" ht="12.75"/>
    <row r="1556" s="16" customFormat="1" ht="12.75"/>
    <row r="1557" s="16" customFormat="1" ht="12.75"/>
    <row r="1558" s="16" customFormat="1" ht="12.75"/>
    <row r="1559" s="16" customFormat="1" ht="12.75"/>
    <row r="1560" s="16" customFormat="1" ht="12.75"/>
    <row r="1561" s="16" customFormat="1" ht="12.75"/>
    <row r="1562" s="16" customFormat="1" ht="12.75"/>
    <row r="1563" s="16" customFormat="1" ht="12.75"/>
    <row r="1564" s="16" customFormat="1" ht="12.75"/>
    <row r="1565" s="16" customFormat="1" ht="12.75"/>
    <row r="1566" s="16" customFormat="1" ht="12.75"/>
    <row r="1567" s="16" customFormat="1" ht="12.75"/>
    <row r="1568" s="16" customFormat="1" ht="12.75"/>
    <row r="1569" s="16" customFormat="1" ht="12.75"/>
    <row r="1570" s="16" customFormat="1" ht="12.75"/>
    <row r="1571" s="16" customFormat="1" ht="12.75"/>
    <row r="1572" s="16" customFormat="1" ht="12.75"/>
    <row r="1573" s="16" customFormat="1" ht="12.75"/>
    <row r="1574" s="16" customFormat="1" ht="12.75"/>
    <row r="1575" s="16" customFormat="1" ht="12.75"/>
    <row r="1576" s="16" customFormat="1" ht="12.75"/>
    <row r="1577" s="16" customFormat="1" ht="12.75"/>
    <row r="1578" s="16" customFormat="1" ht="12.75"/>
    <row r="1579" s="16" customFormat="1" ht="12.75"/>
    <row r="1580" s="16" customFormat="1" ht="12.75"/>
    <row r="1581" s="16" customFormat="1" ht="12.75"/>
    <row r="1582" s="16" customFormat="1" ht="12.75"/>
    <row r="1583" s="16" customFormat="1" ht="12.75"/>
    <row r="1584" s="16" customFormat="1" ht="12.75"/>
    <row r="1585" s="16" customFormat="1" ht="12.75"/>
    <row r="1586" s="16" customFormat="1" ht="12.75"/>
    <row r="1587" s="16" customFormat="1" ht="12.75"/>
    <row r="1588" s="16" customFormat="1" ht="12.75"/>
    <row r="1589" s="16" customFormat="1" ht="12.75"/>
    <row r="1590" s="16" customFormat="1" ht="12.75"/>
    <row r="1591" s="16" customFormat="1" ht="12.75"/>
    <row r="1592" s="16" customFormat="1" ht="12.75"/>
    <row r="1593" s="16" customFormat="1" ht="12.75"/>
    <row r="1594" s="16" customFormat="1" ht="12.75"/>
    <row r="1595" s="16" customFormat="1" ht="12.75"/>
    <row r="1596" s="16" customFormat="1" ht="12.75"/>
    <row r="1597" s="16" customFormat="1" ht="12.75"/>
    <row r="1598" s="16" customFormat="1" ht="12.75"/>
    <row r="1599" s="16" customFormat="1" ht="12.75"/>
    <row r="1600" s="16" customFormat="1" ht="12.75"/>
    <row r="1601" s="16" customFormat="1" ht="12.75"/>
    <row r="1602" s="16" customFormat="1" ht="12.75"/>
    <row r="1603" s="16" customFormat="1" ht="12.75"/>
    <row r="1604" s="16" customFormat="1" ht="12.75"/>
    <row r="1605" s="16" customFormat="1" ht="12.75"/>
    <row r="1606" s="16" customFormat="1" ht="12.75"/>
    <row r="1607" s="16" customFormat="1" ht="12.75"/>
    <row r="1608" s="16" customFormat="1" ht="12.75"/>
    <row r="1609" s="16" customFormat="1" ht="12.75"/>
    <row r="1610" s="16" customFormat="1" ht="12.75"/>
    <row r="1611" s="16" customFormat="1" ht="12.75"/>
    <row r="1612" s="16" customFormat="1" ht="12.75"/>
    <row r="1613" s="16" customFormat="1" ht="12.75"/>
    <row r="1614" s="16" customFormat="1" ht="12.75"/>
    <row r="1615" s="16" customFormat="1" ht="12.75"/>
    <row r="1616" s="16" customFormat="1" ht="12.75"/>
    <row r="1617" s="16" customFormat="1" ht="12.75"/>
    <row r="1618" s="16" customFormat="1" ht="12.75"/>
    <row r="1619" s="16" customFormat="1" ht="12.75"/>
    <row r="1620" s="16" customFormat="1" ht="12.75"/>
    <row r="1621" s="16" customFormat="1" ht="12.75"/>
    <row r="1622" s="16" customFormat="1" ht="12.75"/>
    <row r="1623" s="16" customFormat="1" ht="12.75"/>
    <row r="1624" s="16" customFormat="1" ht="12.75"/>
    <row r="1625" s="16" customFormat="1" ht="12.75"/>
    <row r="1626" s="16" customFormat="1" ht="12.75"/>
    <row r="1627" s="16" customFormat="1" ht="12.75"/>
    <row r="1628" s="16" customFormat="1" ht="12.75"/>
    <row r="1629" s="16" customFormat="1" ht="12.75"/>
    <row r="1630" s="16" customFormat="1" ht="12.75"/>
    <row r="1631" s="16" customFormat="1" ht="12.75"/>
    <row r="1632" s="16" customFormat="1" ht="12.75"/>
    <row r="1633" s="16" customFormat="1" ht="12.75"/>
    <row r="1634" s="16" customFormat="1" ht="12.75"/>
    <row r="1635" s="16" customFormat="1" ht="12.75"/>
    <row r="1636" s="16" customFormat="1" ht="12.75"/>
    <row r="1637" s="16" customFormat="1" ht="12.75"/>
    <row r="1638" s="16" customFormat="1" ht="12.75"/>
    <row r="1639" s="16" customFormat="1" ht="12.75"/>
    <row r="1640" s="16" customFormat="1" ht="12.75"/>
    <row r="1641" s="16" customFormat="1" ht="12.75"/>
    <row r="1642" s="16" customFormat="1" ht="12.75"/>
    <row r="1643" s="16" customFormat="1" ht="12.75"/>
    <row r="1644" s="16" customFormat="1" ht="12.75"/>
    <row r="1645" s="16" customFormat="1" ht="12.75"/>
    <row r="1646" s="16" customFormat="1" ht="12.75"/>
    <row r="1647" s="16" customFormat="1" ht="12.75"/>
    <row r="1648" s="16" customFormat="1" ht="12.75"/>
    <row r="1649" s="16" customFormat="1" ht="12.75"/>
    <row r="1650" s="16" customFormat="1" ht="12.75"/>
    <row r="1651" s="16" customFormat="1" ht="12.75"/>
    <row r="1652" s="16" customFormat="1" ht="12.75"/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scale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47"/>
  <sheetViews>
    <sheetView workbookViewId="0">
      <selection activeCell="D15" sqref="D15"/>
    </sheetView>
  </sheetViews>
  <sheetFormatPr defaultRowHeight="12.75"/>
  <cols>
    <col min="1" max="1" width="35.140625" customWidth="1"/>
    <col min="2" max="2" width="43.5703125" customWidth="1"/>
    <col min="3" max="4" width="22.42578125" customWidth="1"/>
    <col min="5" max="6" width="23.140625" customWidth="1"/>
  </cols>
  <sheetData>
    <row r="1" spans="1:38" ht="22.5">
      <c r="A1" s="21"/>
      <c r="B1" s="53"/>
      <c r="C1" s="53"/>
      <c r="D1" s="53"/>
      <c r="E1" s="53"/>
      <c r="F1" s="53"/>
      <c r="G1" s="53"/>
      <c r="H1" s="53"/>
      <c r="I1" s="26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ht="20.25">
      <c r="A2" s="167" t="s">
        <v>0</v>
      </c>
      <c r="B2" s="167"/>
      <c r="C2" s="167"/>
      <c r="D2" s="167"/>
      <c r="E2" s="167"/>
      <c r="F2" s="167"/>
      <c r="G2" s="53"/>
      <c r="H2" s="26"/>
      <c r="I2" s="26"/>
      <c r="J2" s="5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24">
      <c r="A3" s="4"/>
      <c r="B3" s="3"/>
      <c r="C3" s="3"/>
      <c r="E3" s="3"/>
      <c r="F3" s="3" t="s">
        <v>57</v>
      </c>
      <c r="G3" s="9"/>
      <c r="H3" s="53"/>
      <c r="I3" s="53"/>
      <c r="J3" s="5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21.75" customHeight="1">
      <c r="A4" s="162" t="s">
        <v>1</v>
      </c>
      <c r="B4" s="162" t="s">
        <v>2</v>
      </c>
      <c r="C4" s="54" t="s">
        <v>3</v>
      </c>
      <c r="D4" s="55" t="s">
        <v>4</v>
      </c>
      <c r="E4" s="55" t="s">
        <v>5</v>
      </c>
      <c r="F4" s="55" t="s">
        <v>6</v>
      </c>
      <c r="G4" s="11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</row>
    <row r="5" spans="1:38" ht="15" customHeight="1">
      <c r="A5" s="163"/>
      <c r="B5" s="163"/>
      <c r="C5" s="165" t="s">
        <v>72</v>
      </c>
      <c r="D5" s="165" t="s">
        <v>73</v>
      </c>
      <c r="E5" s="165" t="s">
        <v>74</v>
      </c>
      <c r="F5" s="165" t="s">
        <v>75</v>
      </c>
      <c r="G5" s="53"/>
      <c r="H5" s="11"/>
      <c r="I5" s="11"/>
      <c r="J5" s="11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</row>
    <row r="6" spans="1:38" ht="15.75" customHeight="1">
      <c r="A6" s="164"/>
      <c r="B6" s="164"/>
      <c r="C6" s="166"/>
      <c r="D6" s="166"/>
      <c r="E6" s="166"/>
      <c r="F6" s="166"/>
      <c r="G6" s="56"/>
      <c r="H6" s="11"/>
      <c r="I6" s="20"/>
      <c r="J6" s="1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spans="1:38" ht="24">
      <c r="A7" s="41" t="s">
        <v>11</v>
      </c>
      <c r="B7" s="42" t="s">
        <v>12</v>
      </c>
      <c r="C7" s="38">
        <v>14742.6</v>
      </c>
      <c r="D7" s="38">
        <v>14265.9</v>
      </c>
      <c r="E7" s="38">
        <v>14245.8</v>
      </c>
      <c r="F7" s="38">
        <v>14133.4</v>
      </c>
      <c r="G7" s="57"/>
      <c r="H7" s="58"/>
      <c r="I7" s="20"/>
      <c r="J7" s="5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3.25">
      <c r="A8" s="43" t="s">
        <v>13</v>
      </c>
      <c r="B8" s="59" t="s">
        <v>14</v>
      </c>
      <c r="C8" s="12">
        <v>4329</v>
      </c>
      <c r="D8" s="12">
        <v>4299.6000000000004</v>
      </c>
      <c r="E8" s="12">
        <v>4531</v>
      </c>
      <c r="F8" s="12">
        <v>4256.1000000000004</v>
      </c>
      <c r="G8" s="60"/>
      <c r="H8" s="58"/>
      <c r="I8" s="20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</row>
    <row r="9" spans="1:38" ht="23.25">
      <c r="A9" s="43" t="s">
        <v>15</v>
      </c>
      <c r="B9" s="59" t="s">
        <v>16</v>
      </c>
      <c r="C9" s="12">
        <v>869.8</v>
      </c>
      <c r="D9" s="12">
        <v>931.5</v>
      </c>
      <c r="E9" s="12">
        <v>1135.9000000000001</v>
      </c>
      <c r="F9" s="12">
        <v>1135.2</v>
      </c>
      <c r="G9" s="60"/>
      <c r="H9" s="58"/>
      <c r="I9" s="20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</row>
    <row r="10" spans="1:38" ht="23.25">
      <c r="A10" s="43" t="s">
        <v>17</v>
      </c>
      <c r="B10" s="59" t="s">
        <v>18</v>
      </c>
      <c r="C10" s="12">
        <v>1630.8</v>
      </c>
      <c r="D10" s="12">
        <v>755.4</v>
      </c>
      <c r="E10" s="12">
        <v>832</v>
      </c>
      <c r="F10" s="12">
        <v>732.39999999999986</v>
      </c>
      <c r="G10" s="60"/>
      <c r="H10" s="58"/>
      <c r="I10" s="20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spans="1:38" ht="23.25">
      <c r="A11" s="43" t="s">
        <v>19</v>
      </c>
      <c r="B11" s="59" t="s">
        <v>20</v>
      </c>
      <c r="C11" s="12">
        <v>562</v>
      </c>
      <c r="D11" s="12">
        <v>737.8</v>
      </c>
      <c r="E11" s="12">
        <v>634.70000000000005</v>
      </c>
      <c r="F11" s="12">
        <v>653</v>
      </c>
      <c r="G11" s="60"/>
      <c r="H11" s="58"/>
      <c r="I11" s="20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  <row r="12" spans="1:38" ht="23.25">
      <c r="A12" s="43" t="s">
        <v>21</v>
      </c>
      <c r="B12" s="61" t="s">
        <v>22</v>
      </c>
      <c r="C12" s="12">
        <v>2918.3</v>
      </c>
      <c r="D12" s="12">
        <v>2825.2</v>
      </c>
      <c r="E12" s="12">
        <v>2426</v>
      </c>
      <c r="F12" s="12">
        <v>2254.2000000000007</v>
      </c>
      <c r="G12" s="60"/>
      <c r="H12" s="58"/>
      <c r="I12" s="20"/>
      <c r="J12" s="62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</row>
    <row r="13" spans="1:38" ht="23.25">
      <c r="A13" s="43" t="s">
        <v>23</v>
      </c>
      <c r="B13" s="63" t="s">
        <v>24</v>
      </c>
      <c r="C13" s="12">
        <v>2988.7</v>
      </c>
      <c r="D13" s="12">
        <v>2946.8</v>
      </c>
      <c r="E13" s="12">
        <v>2797.6000000000004</v>
      </c>
      <c r="F13" s="12">
        <v>2669.2999999999993</v>
      </c>
      <c r="G13" s="60"/>
      <c r="H13" s="58"/>
      <c r="I13" s="20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spans="1:38" ht="23.25">
      <c r="A14" s="43" t="s">
        <v>25</v>
      </c>
      <c r="B14" s="64" t="s">
        <v>26</v>
      </c>
      <c r="C14" s="12">
        <v>139.5</v>
      </c>
      <c r="D14" s="12">
        <v>214.9</v>
      </c>
      <c r="E14" s="12">
        <v>165.5</v>
      </c>
      <c r="F14" s="12">
        <v>215.5</v>
      </c>
      <c r="G14" s="60"/>
      <c r="H14" s="58"/>
      <c r="I14" s="20"/>
      <c r="J14" s="6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3.25">
      <c r="A15" s="43" t="s">
        <v>27</v>
      </c>
      <c r="B15" s="64" t="s">
        <v>28</v>
      </c>
      <c r="C15" s="12">
        <v>74.300000000000011</v>
      </c>
      <c r="D15" s="12">
        <v>52.900000000000006</v>
      </c>
      <c r="E15" s="12">
        <v>73.399999999999991</v>
      </c>
      <c r="F15" s="12">
        <v>145.30000000000001</v>
      </c>
      <c r="G15" s="60"/>
      <c r="H15" s="58"/>
      <c r="I15" s="20"/>
      <c r="J15" s="6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3.25">
      <c r="A16" s="48" t="s">
        <v>29</v>
      </c>
      <c r="B16" s="65" t="s">
        <v>30</v>
      </c>
      <c r="C16" s="14">
        <v>1230.2000000000007</v>
      </c>
      <c r="D16" s="14">
        <v>1501.8</v>
      </c>
      <c r="E16" s="14">
        <v>1649.6999999999998</v>
      </c>
      <c r="F16" s="14">
        <v>2072.3999999999996</v>
      </c>
      <c r="G16" s="60"/>
      <c r="H16" s="58"/>
      <c r="I16" s="20"/>
      <c r="J16" s="6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</row>
    <row r="17" spans="1:10" ht="22.5">
      <c r="A17" s="19" t="s">
        <v>31</v>
      </c>
      <c r="B17" s="66" t="s">
        <v>32</v>
      </c>
      <c r="C17" s="66"/>
      <c r="D17" s="66"/>
      <c r="E17" s="53"/>
      <c r="F17" s="53"/>
      <c r="G17" s="62"/>
      <c r="H17" s="62"/>
      <c r="I17" s="53"/>
      <c r="J17" s="62"/>
    </row>
    <row r="18" spans="1:10" ht="22.5">
      <c r="A18" s="40"/>
      <c r="B18" s="67"/>
      <c r="C18" s="67"/>
      <c r="D18" s="67"/>
      <c r="E18" s="53"/>
      <c r="F18" s="53"/>
      <c r="G18" s="53"/>
      <c r="H18" s="62"/>
      <c r="I18" s="53"/>
      <c r="J18" s="62"/>
    </row>
    <row r="19" spans="1:10" ht="14.25">
      <c r="A19" s="53"/>
      <c r="B19" s="33"/>
      <c r="C19" s="33"/>
      <c r="D19" s="33"/>
      <c r="E19" s="53"/>
      <c r="F19" s="53"/>
      <c r="G19" s="62"/>
      <c r="H19" s="62"/>
      <c r="I19" s="53"/>
      <c r="J19" s="62"/>
    </row>
    <row r="20" spans="1:10">
      <c r="A20" s="68"/>
      <c r="B20" s="68"/>
      <c r="C20" s="68"/>
      <c r="D20" s="68"/>
      <c r="E20" s="68"/>
      <c r="F20" s="68"/>
      <c r="G20" s="68"/>
      <c r="H20" s="68"/>
      <c r="I20" s="53"/>
      <c r="J20" s="68"/>
    </row>
    <row r="21" spans="1:10" ht="15.75">
      <c r="A21" s="159"/>
      <c r="B21" s="159"/>
      <c r="C21" s="159"/>
      <c r="D21" s="69"/>
      <c r="E21" s="53"/>
      <c r="F21" s="53"/>
      <c r="G21" s="62"/>
      <c r="H21" s="62"/>
      <c r="I21" s="53"/>
      <c r="J21" s="62"/>
    </row>
    <row r="22" spans="1:10">
      <c r="A22" s="68"/>
      <c r="B22" s="68"/>
      <c r="C22" s="68"/>
      <c r="D22" s="68"/>
      <c r="E22" s="68"/>
      <c r="F22" s="68"/>
      <c r="G22" s="68"/>
      <c r="H22" s="68"/>
      <c r="I22" s="53"/>
      <c r="J22" s="68"/>
    </row>
    <row r="23" spans="1:10">
      <c r="A23" s="68"/>
      <c r="B23" s="68"/>
      <c r="C23" s="68"/>
      <c r="D23" s="68"/>
      <c r="E23" s="68"/>
      <c r="F23" s="68"/>
      <c r="G23" s="68"/>
      <c r="H23" s="68"/>
      <c r="I23" s="53"/>
      <c r="J23" s="68"/>
    </row>
    <row r="24" spans="1:10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9" spans="1:10">
      <c r="A29" s="53"/>
      <c r="B29" s="68"/>
      <c r="C29" s="68"/>
      <c r="D29" s="68"/>
      <c r="E29" s="68"/>
      <c r="F29" s="68"/>
      <c r="G29" s="68"/>
      <c r="H29" s="68"/>
      <c r="I29" s="68"/>
      <c r="J29" s="68"/>
    </row>
    <row r="31" spans="1:10">
      <c r="A31" s="68"/>
      <c r="B31" s="68"/>
      <c r="C31" s="68"/>
      <c r="D31" s="68"/>
      <c r="E31" s="68"/>
      <c r="F31" s="68"/>
      <c r="G31" s="68"/>
      <c r="H31" s="68"/>
      <c r="I31" s="68"/>
      <c r="J31" s="68"/>
    </row>
    <row r="32" spans="1:10">
      <c r="A32" s="53"/>
    </row>
    <row r="33" spans="1:1" ht="15">
      <c r="A33" s="18"/>
    </row>
    <row r="34" spans="1:1" ht="15">
      <c r="A34" s="18"/>
    </row>
    <row r="35" spans="1:1" ht="15">
      <c r="A35" s="18"/>
    </row>
    <row r="36" spans="1:1" ht="15">
      <c r="A36" s="18"/>
    </row>
    <row r="37" spans="1:1" ht="15">
      <c r="A37" s="18"/>
    </row>
    <row r="38" spans="1:1" ht="15">
      <c r="A38" s="18"/>
    </row>
    <row r="39" spans="1:1" ht="15">
      <c r="A39" s="18"/>
    </row>
    <row r="40" spans="1:1" ht="15">
      <c r="A40" s="18"/>
    </row>
    <row r="41" spans="1:1" ht="15">
      <c r="A41" s="18"/>
    </row>
    <row r="42" spans="1:1" ht="15">
      <c r="A42" s="18"/>
    </row>
    <row r="43" spans="1:1" ht="15">
      <c r="A43" s="18"/>
    </row>
    <row r="44" spans="1:1" ht="15">
      <c r="A44" s="18"/>
    </row>
    <row r="45" spans="1:1" ht="15">
      <c r="A45" s="18"/>
    </row>
    <row r="46" spans="1:1" ht="15">
      <c r="A46" s="18"/>
    </row>
    <row r="47" spans="1:1" ht="15">
      <c r="A47" s="18"/>
    </row>
  </sheetData>
  <mergeCells count="8">
    <mergeCell ref="A21:C21"/>
    <mergeCell ref="A4:A6"/>
    <mergeCell ref="B4:B6"/>
    <mergeCell ref="C5:C6"/>
    <mergeCell ref="A2:F2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J47"/>
  <sheetViews>
    <sheetView topLeftCell="B1" workbookViewId="0">
      <selection activeCell="G1" sqref="G1"/>
    </sheetView>
  </sheetViews>
  <sheetFormatPr defaultColWidth="9.140625" defaultRowHeight="12.75"/>
  <cols>
    <col min="1" max="1" width="39.140625" bestFit="1" customWidth="1"/>
    <col min="2" max="2" width="56.85546875" customWidth="1"/>
    <col min="3" max="3" width="19.85546875" customWidth="1"/>
    <col min="4" max="4" width="20" customWidth="1"/>
    <col min="5" max="6" width="22" style="16" customWidth="1"/>
    <col min="7" max="7" width="9.5703125" style="16" bestFit="1" customWidth="1"/>
    <col min="8" max="8" width="11.42578125" style="16" bestFit="1" customWidth="1"/>
    <col min="9" max="16384" width="9.140625" style="16"/>
  </cols>
  <sheetData>
    <row r="1" spans="1:36" s="7" customFormat="1" ht="20.25" customHeight="1">
      <c r="A1" s="21"/>
      <c r="B1" s="53"/>
      <c r="C1" s="53"/>
      <c r="D1" s="53"/>
      <c r="G1" s="26"/>
    </row>
    <row r="2" spans="1:36" s="2" customFormat="1" ht="29.1" customHeight="1">
      <c r="A2" s="167" t="s">
        <v>0</v>
      </c>
      <c r="B2" s="167"/>
      <c r="C2" s="167"/>
      <c r="D2" s="167"/>
      <c r="E2" s="167"/>
      <c r="F2" s="167"/>
      <c r="G2" s="2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6" customFormat="1" ht="23.25" customHeight="1">
      <c r="A3" s="4"/>
      <c r="B3" s="3"/>
      <c r="C3"/>
      <c r="F3" s="84" t="s">
        <v>57</v>
      </c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7" customFormat="1" ht="18.75" customHeight="1">
      <c r="A4" s="168" t="s">
        <v>1</v>
      </c>
      <c r="B4" s="168" t="s">
        <v>2</v>
      </c>
      <c r="C4" s="55" t="s">
        <v>3</v>
      </c>
      <c r="D4" s="55" t="s">
        <v>4</v>
      </c>
      <c r="E4" s="55" t="s">
        <v>5</v>
      </c>
      <c r="F4" s="55" t="s">
        <v>6</v>
      </c>
    </row>
    <row r="5" spans="1:36" s="7" customFormat="1" ht="17.25" customHeight="1">
      <c r="A5" s="169"/>
      <c r="B5" s="169"/>
      <c r="C5" s="165" t="s">
        <v>78</v>
      </c>
      <c r="D5" s="165" t="s">
        <v>79</v>
      </c>
      <c r="E5" s="165" t="s">
        <v>80</v>
      </c>
      <c r="F5" s="165" t="s">
        <v>81</v>
      </c>
      <c r="G5" s="11"/>
      <c r="H5" s="11"/>
    </row>
    <row r="6" spans="1:36" s="9" customFormat="1" ht="18.75" customHeight="1">
      <c r="A6" s="170"/>
      <c r="B6" s="170"/>
      <c r="C6" s="166"/>
      <c r="D6" s="166"/>
      <c r="E6" s="166"/>
      <c r="F6" s="166"/>
      <c r="G6" s="20"/>
      <c r="H6" s="11"/>
    </row>
    <row r="7" spans="1:36" s="11" customFormat="1" ht="24.95" customHeight="1">
      <c r="A7" s="70" t="s">
        <v>66</v>
      </c>
      <c r="B7" s="71" t="s">
        <v>12</v>
      </c>
      <c r="C7" s="72">
        <v>14700.4</v>
      </c>
      <c r="D7" s="72">
        <v>15250.7</v>
      </c>
      <c r="E7" s="72">
        <v>14555.3</v>
      </c>
      <c r="F7" s="72">
        <v>14496.6</v>
      </c>
      <c r="G7" s="20"/>
      <c r="H7" s="22"/>
      <c r="K7" s="20"/>
    </row>
    <row r="8" spans="1:36" s="7" customFormat="1" ht="24.95" customHeight="1">
      <c r="A8" s="73" t="s">
        <v>13</v>
      </c>
      <c r="B8" s="74" t="s">
        <v>14</v>
      </c>
      <c r="C8" s="75">
        <v>3870.9</v>
      </c>
      <c r="D8" s="75">
        <v>4094.4</v>
      </c>
      <c r="E8" s="75">
        <v>3828.9</v>
      </c>
      <c r="F8" s="75">
        <v>4099.8</v>
      </c>
      <c r="G8" s="20"/>
      <c r="H8" s="22"/>
      <c r="K8" s="20"/>
    </row>
    <row r="9" spans="1:36" s="7" customFormat="1" ht="24.95" customHeight="1">
      <c r="A9" s="73" t="s">
        <v>15</v>
      </c>
      <c r="B9" s="74" t="s">
        <v>16</v>
      </c>
      <c r="C9" s="75">
        <v>915.9</v>
      </c>
      <c r="D9" s="75">
        <v>1021.9</v>
      </c>
      <c r="E9" s="75">
        <v>1214.7</v>
      </c>
      <c r="F9" s="75">
        <v>1029.7</v>
      </c>
      <c r="G9" s="20"/>
      <c r="H9" s="22"/>
      <c r="K9" s="20"/>
    </row>
    <row r="10" spans="1:36" s="7" customFormat="1" ht="24.95" customHeight="1">
      <c r="A10" s="73" t="s">
        <v>17</v>
      </c>
      <c r="B10" s="74" t="s">
        <v>18</v>
      </c>
      <c r="C10" s="75">
        <v>769.7</v>
      </c>
      <c r="D10" s="75">
        <v>1151.8</v>
      </c>
      <c r="E10" s="75">
        <v>1054.0999999999999</v>
      </c>
      <c r="F10" s="75">
        <v>1319.6</v>
      </c>
      <c r="G10" s="20"/>
      <c r="H10" s="22"/>
      <c r="K10" s="20"/>
    </row>
    <row r="11" spans="1:36" s="7" customFormat="1" ht="24.95" customHeight="1">
      <c r="A11" s="73" t="s">
        <v>19</v>
      </c>
      <c r="B11" s="74" t="s">
        <v>20</v>
      </c>
      <c r="C11" s="75">
        <v>828.8</v>
      </c>
      <c r="D11" s="75">
        <v>727.9</v>
      </c>
      <c r="E11" s="75">
        <v>675.5</v>
      </c>
      <c r="F11" s="75">
        <v>673.8</v>
      </c>
      <c r="G11" s="20"/>
      <c r="H11" s="22"/>
      <c r="K11" s="20"/>
    </row>
    <row r="12" spans="1:36" s="7" customFormat="1" ht="24.95" customHeight="1">
      <c r="A12" s="73" t="s">
        <v>21</v>
      </c>
      <c r="B12" s="76" t="s">
        <v>22</v>
      </c>
      <c r="C12" s="75">
        <v>2737</v>
      </c>
      <c r="D12" s="75">
        <v>3048.6</v>
      </c>
      <c r="E12" s="75">
        <v>2595</v>
      </c>
      <c r="F12" s="75">
        <v>2590.5</v>
      </c>
      <c r="G12" s="20"/>
      <c r="H12" s="22"/>
      <c r="K12" s="20"/>
    </row>
    <row r="13" spans="1:36" s="7" customFormat="1" ht="24.95" customHeight="1">
      <c r="A13" s="73" t="s">
        <v>23</v>
      </c>
      <c r="B13" s="77" t="s">
        <v>24</v>
      </c>
      <c r="C13" s="75">
        <v>2863.6</v>
      </c>
      <c r="D13" s="75">
        <v>2745.4</v>
      </c>
      <c r="E13" s="75">
        <v>2625.7</v>
      </c>
      <c r="F13" s="75">
        <v>2514.6</v>
      </c>
      <c r="G13" s="20"/>
      <c r="H13" s="22"/>
      <c r="K13" s="20"/>
    </row>
    <row r="14" spans="1:36" s="11" customFormat="1" ht="24.95" customHeight="1">
      <c r="A14" s="73" t="s">
        <v>25</v>
      </c>
      <c r="B14" s="78" t="s">
        <v>26</v>
      </c>
      <c r="C14" s="75">
        <v>166.3</v>
      </c>
      <c r="D14" s="75">
        <v>259.3</v>
      </c>
      <c r="E14" s="75">
        <v>185.6</v>
      </c>
      <c r="F14" s="75">
        <v>183.4</v>
      </c>
      <c r="G14" s="20"/>
      <c r="H14" s="22"/>
      <c r="K14" s="20"/>
    </row>
    <row r="15" spans="1:36" s="11" customFormat="1" ht="24.95" customHeight="1">
      <c r="A15" s="73" t="s">
        <v>27</v>
      </c>
      <c r="B15" s="78" t="s">
        <v>28</v>
      </c>
      <c r="C15" s="75">
        <v>59.8</v>
      </c>
      <c r="D15" s="75">
        <v>40.900000000000006</v>
      </c>
      <c r="E15" s="75">
        <v>67</v>
      </c>
      <c r="F15" s="75">
        <v>66</v>
      </c>
      <c r="G15" s="20"/>
      <c r="H15" s="22"/>
      <c r="K15" s="20"/>
    </row>
    <row r="16" spans="1:36" s="7" customFormat="1" ht="24.95" customHeight="1">
      <c r="A16" s="79" t="s">
        <v>29</v>
      </c>
      <c r="B16" s="80" t="s">
        <v>30</v>
      </c>
      <c r="C16" s="81">
        <v>2488.4000000000015</v>
      </c>
      <c r="D16" s="81">
        <v>2160.5000000000018</v>
      </c>
      <c r="E16" s="81">
        <v>2308.7999999999975</v>
      </c>
      <c r="F16" s="81">
        <v>2019.1999999999989</v>
      </c>
      <c r="G16" s="20"/>
      <c r="H16" s="22"/>
      <c r="K16" s="20"/>
    </row>
    <row r="17" spans="1:8" s="7" customFormat="1" ht="19.5">
      <c r="A17" s="82" t="s">
        <v>67</v>
      </c>
      <c r="B17" s="83" t="s">
        <v>32</v>
      </c>
      <c r="C17" s="66"/>
      <c r="D17" s="62"/>
      <c r="E17" s="16"/>
      <c r="F17" s="16"/>
      <c r="H17" s="16"/>
    </row>
    <row r="18" spans="1:8" s="7" customFormat="1" ht="22.5">
      <c r="A18" s="40"/>
      <c r="B18" s="67"/>
      <c r="C18" s="67"/>
      <c r="D18" s="53"/>
      <c r="H18" s="16"/>
    </row>
    <row r="19" spans="1:8" s="7" customFormat="1" ht="14.25">
      <c r="A19" s="53"/>
      <c r="B19" s="33"/>
      <c r="C19" s="33"/>
      <c r="D19" s="62"/>
      <c r="E19" s="16"/>
      <c r="F19" s="16"/>
      <c r="H19" s="16"/>
    </row>
    <row r="20" spans="1:8">
      <c r="A20" s="68"/>
      <c r="B20" s="68"/>
      <c r="C20" s="68"/>
      <c r="D20" s="68"/>
      <c r="G20" s="7"/>
    </row>
    <row r="21" spans="1:8" s="7" customFormat="1" ht="15.75">
      <c r="A21" s="159"/>
      <c r="B21" s="159"/>
      <c r="C21" s="159"/>
      <c r="D21" s="62"/>
      <c r="E21" s="16"/>
      <c r="F21" s="16"/>
      <c r="H21" s="16"/>
    </row>
    <row r="22" spans="1:8">
      <c r="A22" s="68"/>
      <c r="B22" s="68"/>
      <c r="C22" s="68"/>
      <c r="D22" s="68"/>
      <c r="G22" s="7"/>
    </row>
    <row r="23" spans="1:8">
      <c r="A23" s="68"/>
      <c r="B23" s="68"/>
      <c r="C23" s="68"/>
      <c r="D23" s="68"/>
      <c r="G23" s="7"/>
    </row>
    <row r="24" spans="1:8">
      <c r="A24" s="68"/>
      <c r="B24" s="68"/>
      <c r="C24" s="68"/>
      <c r="D24" s="68"/>
    </row>
    <row r="29" spans="1:8">
      <c r="A29" s="53"/>
      <c r="B29" s="68"/>
      <c r="C29" s="68"/>
      <c r="D29" s="68"/>
    </row>
    <row r="31" spans="1:8">
      <c r="A31" s="68"/>
      <c r="B31" s="68"/>
      <c r="C31" s="68"/>
      <c r="D31" s="68"/>
    </row>
    <row r="32" spans="1:8">
      <c r="A32" s="53"/>
    </row>
    <row r="33" spans="1:1" ht="15">
      <c r="A33" s="18"/>
    </row>
    <row r="34" spans="1:1" ht="15">
      <c r="A34" s="18"/>
    </row>
    <row r="35" spans="1:1" ht="15">
      <c r="A35" s="18"/>
    </row>
    <row r="36" spans="1:1" ht="15">
      <c r="A36" s="18"/>
    </row>
    <row r="37" spans="1:1" ht="15">
      <c r="A37" s="18"/>
    </row>
    <row r="38" spans="1:1" ht="15">
      <c r="A38" s="18"/>
    </row>
    <row r="39" spans="1:1" ht="15">
      <c r="A39" s="18"/>
    </row>
    <row r="40" spans="1:1" ht="15">
      <c r="A40" s="18"/>
    </row>
    <row r="41" spans="1:1" ht="15">
      <c r="A41" s="18"/>
    </row>
    <row r="42" spans="1:1" ht="15">
      <c r="A42" s="18"/>
    </row>
    <row r="43" spans="1:1" ht="15">
      <c r="A43" s="18"/>
    </row>
    <row r="44" spans="1:1" ht="15">
      <c r="A44" s="18"/>
    </row>
    <row r="45" spans="1:1" ht="15">
      <c r="A45" s="18"/>
    </row>
    <row r="46" spans="1:1" ht="15">
      <c r="A46" s="18"/>
    </row>
    <row r="47" spans="1:1" ht="15">
      <c r="A47" s="18"/>
    </row>
  </sheetData>
  <mergeCells count="8">
    <mergeCell ref="F5:F6"/>
    <mergeCell ref="A2:F2"/>
    <mergeCell ref="E5:E6"/>
    <mergeCell ref="A21:C21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F47"/>
  <sheetViews>
    <sheetView topLeftCell="B1" zoomScaleNormal="100" workbookViewId="0">
      <selection activeCell="I8" sqref="I8"/>
    </sheetView>
  </sheetViews>
  <sheetFormatPr defaultColWidth="9.140625" defaultRowHeight="14.25"/>
  <cols>
    <col min="1" max="1" width="39" style="87" bestFit="1" customWidth="1"/>
    <col min="2" max="2" width="59.28515625" style="87" customWidth="1"/>
    <col min="3" max="3" width="19.85546875" style="87" customWidth="1"/>
    <col min="4" max="4" width="19.85546875" style="115" customWidth="1"/>
    <col min="5" max="5" width="22" style="87" customWidth="1"/>
    <col min="6" max="6" width="21.7109375" style="87" customWidth="1"/>
    <col min="7" max="16384" width="9.140625" style="87"/>
  </cols>
  <sheetData>
    <row r="1" spans="1:32" ht="22.5">
      <c r="A1" s="85"/>
      <c r="B1" s="86"/>
      <c r="C1" s="86"/>
      <c r="D1" s="117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</row>
    <row r="2" spans="1:32" ht="20.25">
      <c r="A2" s="173" t="s">
        <v>0</v>
      </c>
      <c r="B2" s="173"/>
      <c r="C2" s="173"/>
      <c r="D2" s="173"/>
      <c r="E2" s="173"/>
      <c r="F2" s="173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</row>
    <row r="3" spans="1:32" ht="24">
      <c r="A3" s="89"/>
      <c r="B3" s="90"/>
      <c r="F3" s="84" t="s">
        <v>57</v>
      </c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</row>
    <row r="4" spans="1:32" ht="21.75" customHeight="1">
      <c r="A4" s="175" t="s">
        <v>1</v>
      </c>
      <c r="B4" s="175" t="s">
        <v>2</v>
      </c>
      <c r="C4" s="92" t="s">
        <v>3</v>
      </c>
      <c r="D4" s="121" t="s">
        <v>4</v>
      </c>
      <c r="E4" s="55" t="s">
        <v>5</v>
      </c>
      <c r="F4" s="121" t="s">
        <v>6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</row>
    <row r="5" spans="1:32" ht="15" customHeight="1">
      <c r="A5" s="176"/>
      <c r="B5" s="176"/>
      <c r="C5" s="171" t="s">
        <v>84</v>
      </c>
      <c r="D5" s="171" t="s">
        <v>85</v>
      </c>
      <c r="E5" s="165" t="s">
        <v>86</v>
      </c>
      <c r="F5" s="171" t="s">
        <v>87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</row>
    <row r="6" spans="1:32" ht="15.75" customHeight="1">
      <c r="A6" s="177"/>
      <c r="B6" s="177"/>
      <c r="C6" s="172"/>
      <c r="D6" s="172"/>
      <c r="E6" s="166"/>
      <c r="F6" s="172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</row>
    <row r="7" spans="1:32" ht="24.95" customHeight="1">
      <c r="A7" s="95" t="s">
        <v>11</v>
      </c>
      <c r="B7" s="96" t="s">
        <v>12</v>
      </c>
      <c r="C7" s="97">
        <v>14747.6</v>
      </c>
      <c r="D7" s="122">
        <v>16055.300000000001</v>
      </c>
      <c r="E7" s="122">
        <v>16011.4</v>
      </c>
      <c r="F7" s="122">
        <v>16288.7</v>
      </c>
      <c r="G7" s="93"/>
      <c r="H7" s="126"/>
      <c r="I7" s="93"/>
      <c r="J7" s="93"/>
      <c r="K7" s="126"/>
      <c r="L7" s="126"/>
      <c r="M7" s="126"/>
      <c r="N7" s="126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</row>
    <row r="8" spans="1:32" ht="24.95" customHeight="1">
      <c r="A8" s="98" t="s">
        <v>13</v>
      </c>
      <c r="B8" s="99" t="s">
        <v>14</v>
      </c>
      <c r="C8" s="100">
        <v>4307.3</v>
      </c>
      <c r="D8" s="123">
        <v>3988.0999999999995</v>
      </c>
      <c r="E8" s="123">
        <v>4104.6000000000004</v>
      </c>
      <c r="F8" s="123">
        <v>4308.8</v>
      </c>
      <c r="G8" s="86"/>
      <c r="H8" s="131"/>
      <c r="I8" s="86"/>
      <c r="J8" s="86"/>
      <c r="K8" s="126"/>
      <c r="L8" s="126"/>
      <c r="M8" s="126"/>
      <c r="N8" s="12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</row>
    <row r="9" spans="1:32" ht="24.95" customHeight="1">
      <c r="A9" s="98" t="s">
        <v>15</v>
      </c>
      <c r="B9" s="99" t="s">
        <v>16</v>
      </c>
      <c r="C9" s="100">
        <v>898.5</v>
      </c>
      <c r="D9" s="123">
        <v>1064.2</v>
      </c>
      <c r="E9" s="123">
        <v>1073.5999999999999</v>
      </c>
      <c r="F9" s="123">
        <v>1221.9000000000001</v>
      </c>
      <c r="G9" s="86"/>
      <c r="H9" s="131"/>
      <c r="I9" s="86"/>
      <c r="J9" s="86"/>
      <c r="K9" s="126"/>
      <c r="L9" s="126"/>
      <c r="M9" s="126"/>
      <c r="N9" s="12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</row>
    <row r="10" spans="1:32" ht="24.95" customHeight="1">
      <c r="A10" s="98" t="s">
        <v>17</v>
      </c>
      <c r="B10" s="99" t="s">
        <v>18</v>
      </c>
      <c r="C10" s="100">
        <v>1012.1</v>
      </c>
      <c r="D10" s="123">
        <v>1382.6</v>
      </c>
      <c r="E10" s="123">
        <v>1416.5</v>
      </c>
      <c r="F10" s="123">
        <v>1022.1</v>
      </c>
      <c r="G10" s="86"/>
      <c r="H10" s="131"/>
      <c r="I10" s="86"/>
      <c r="J10" s="86"/>
      <c r="K10" s="126"/>
      <c r="L10" s="126"/>
      <c r="M10" s="126"/>
      <c r="N10" s="12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</row>
    <row r="11" spans="1:32" ht="24.95" customHeight="1">
      <c r="A11" s="98" t="s">
        <v>19</v>
      </c>
      <c r="B11" s="99" t="s">
        <v>20</v>
      </c>
      <c r="C11" s="100">
        <v>637.20000000000005</v>
      </c>
      <c r="D11" s="123">
        <v>719.09999999999991</v>
      </c>
      <c r="E11" s="123">
        <v>769</v>
      </c>
      <c r="F11" s="123">
        <v>815.3</v>
      </c>
      <c r="G11" s="86"/>
      <c r="H11" s="131"/>
      <c r="I11" s="86"/>
      <c r="J11" s="86"/>
      <c r="K11" s="126"/>
      <c r="L11" s="126"/>
      <c r="M11" s="126"/>
      <c r="N11" s="12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</row>
    <row r="12" spans="1:32" ht="24.95" customHeight="1">
      <c r="A12" s="98" t="s">
        <v>21</v>
      </c>
      <c r="B12" s="101" t="s">
        <v>22</v>
      </c>
      <c r="C12" s="100">
        <v>2715.7</v>
      </c>
      <c r="D12" s="123">
        <v>3553.1000000000004</v>
      </c>
      <c r="E12" s="123">
        <v>3210.4</v>
      </c>
      <c r="F12" s="123">
        <v>2891.5</v>
      </c>
      <c r="G12" s="86"/>
      <c r="H12" s="131"/>
      <c r="I12" s="86"/>
      <c r="J12" s="86"/>
      <c r="K12" s="126"/>
      <c r="L12" s="126"/>
      <c r="M12" s="126"/>
      <c r="N12" s="12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</row>
    <row r="13" spans="1:32" ht="24.95" customHeight="1">
      <c r="A13" s="98" t="s">
        <v>23</v>
      </c>
      <c r="B13" s="102" t="s">
        <v>24</v>
      </c>
      <c r="C13" s="100">
        <v>2921.8</v>
      </c>
      <c r="D13" s="123">
        <v>3122.3</v>
      </c>
      <c r="E13" s="123">
        <v>3084.1</v>
      </c>
      <c r="F13" s="123">
        <v>3430.3</v>
      </c>
      <c r="G13" s="86"/>
      <c r="H13" s="131"/>
      <c r="I13" s="86"/>
      <c r="J13" s="86"/>
      <c r="K13" s="126"/>
      <c r="L13" s="126"/>
      <c r="M13" s="126"/>
      <c r="N13" s="12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</row>
    <row r="14" spans="1:32" ht="24.95" customHeight="1">
      <c r="A14" s="98" t="s">
        <v>25</v>
      </c>
      <c r="B14" s="103" t="s">
        <v>26</v>
      </c>
      <c r="C14" s="100">
        <v>277.10000000000002</v>
      </c>
      <c r="D14" s="123">
        <v>193.59999999999997</v>
      </c>
      <c r="E14" s="123">
        <v>119.7</v>
      </c>
      <c r="F14" s="123">
        <v>106.9</v>
      </c>
      <c r="G14" s="93"/>
      <c r="H14" s="131"/>
      <c r="I14" s="93"/>
      <c r="J14" s="93"/>
      <c r="K14" s="126"/>
      <c r="L14" s="126"/>
      <c r="M14" s="126"/>
      <c r="N14" s="126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</row>
    <row r="15" spans="1:32" ht="24.95" customHeight="1">
      <c r="A15" s="98" t="s">
        <v>27</v>
      </c>
      <c r="B15" s="103" t="s">
        <v>28</v>
      </c>
      <c r="C15" s="100">
        <v>69.400000000000006</v>
      </c>
      <c r="D15" s="123">
        <v>60.1</v>
      </c>
      <c r="E15" s="123">
        <v>80.400000000000006</v>
      </c>
      <c r="F15" s="123">
        <v>70</v>
      </c>
      <c r="G15" s="93"/>
      <c r="H15" s="131"/>
      <c r="I15" s="93"/>
      <c r="J15" s="93"/>
      <c r="K15" s="126"/>
      <c r="L15" s="126"/>
      <c r="M15" s="126"/>
      <c r="N15" s="126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</row>
    <row r="16" spans="1:32" ht="24.95" customHeight="1">
      <c r="A16" s="104" t="s">
        <v>29</v>
      </c>
      <c r="B16" s="105" t="s">
        <v>30</v>
      </c>
      <c r="C16" s="106">
        <v>1908.5</v>
      </c>
      <c r="D16" s="124">
        <v>1972.2</v>
      </c>
      <c r="E16" s="124">
        <v>2153.1</v>
      </c>
      <c r="F16" s="124">
        <v>2421.9</v>
      </c>
      <c r="G16" s="86"/>
      <c r="H16" s="131"/>
      <c r="I16" s="86"/>
      <c r="J16" s="86"/>
      <c r="K16" s="126"/>
      <c r="L16" s="126"/>
      <c r="M16" s="126"/>
      <c r="N16" s="12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</row>
    <row r="17" spans="1:14" ht="22.5">
      <c r="A17" s="107" t="s">
        <v>31</v>
      </c>
      <c r="B17" s="108" t="s">
        <v>32</v>
      </c>
      <c r="C17" s="109"/>
      <c r="D17" s="125"/>
      <c r="L17" s="126"/>
      <c r="M17" s="126"/>
      <c r="N17" s="126"/>
    </row>
    <row r="18" spans="1:14" ht="22.5">
      <c r="A18" s="110"/>
      <c r="B18" s="111"/>
      <c r="C18" s="111"/>
      <c r="D18" s="119"/>
    </row>
    <row r="19" spans="1:14">
      <c r="A19" s="86"/>
      <c r="B19" s="112"/>
      <c r="C19" s="112"/>
      <c r="D19" s="120"/>
    </row>
    <row r="20" spans="1:14">
      <c r="A20" s="113"/>
      <c r="B20" s="113"/>
      <c r="C20" s="113"/>
      <c r="D20" s="116"/>
    </row>
    <row r="21" spans="1:14" ht="15.75">
      <c r="A21" s="174"/>
      <c r="B21" s="174"/>
      <c r="C21" s="174"/>
      <c r="D21" s="118"/>
    </row>
    <row r="22" spans="1:14">
      <c r="A22" s="113"/>
      <c r="B22" s="113"/>
      <c r="C22" s="113"/>
      <c r="D22" s="116"/>
    </row>
    <row r="23" spans="1:14">
      <c r="A23" s="113"/>
      <c r="B23" s="113"/>
      <c r="C23" s="113"/>
      <c r="D23" s="116"/>
    </row>
    <row r="24" spans="1:14">
      <c r="A24" s="113"/>
      <c r="B24" s="113"/>
      <c r="C24" s="113"/>
      <c r="D24" s="116"/>
    </row>
    <row r="29" spans="1:14">
      <c r="A29" s="86"/>
      <c r="B29" s="113"/>
      <c r="C29" s="113"/>
      <c r="D29" s="116"/>
    </row>
    <row r="31" spans="1:14">
      <c r="A31" s="113"/>
      <c r="B31" s="113"/>
      <c r="C31" s="113"/>
      <c r="D31" s="116"/>
    </row>
    <row r="32" spans="1:14">
      <c r="A32" s="86"/>
    </row>
    <row r="33" spans="1:1" ht="15">
      <c r="A33" s="114"/>
    </row>
    <row r="34" spans="1:1" ht="15">
      <c r="A34" s="114"/>
    </row>
    <row r="35" spans="1:1" ht="15">
      <c r="A35" s="114"/>
    </row>
    <row r="36" spans="1:1" ht="15">
      <c r="A36" s="114"/>
    </row>
    <row r="37" spans="1:1" ht="15">
      <c r="A37" s="114"/>
    </row>
    <row r="38" spans="1:1" ht="15">
      <c r="A38" s="114"/>
    </row>
    <row r="39" spans="1:1" ht="15">
      <c r="A39" s="114"/>
    </row>
    <row r="40" spans="1:1" ht="15">
      <c r="A40" s="114"/>
    </row>
    <row r="41" spans="1:1" ht="15">
      <c r="A41" s="114"/>
    </row>
    <row r="42" spans="1:1" ht="15">
      <c r="A42" s="114"/>
    </row>
    <row r="43" spans="1:1" ht="15">
      <c r="A43" s="114"/>
    </row>
    <row r="44" spans="1:1" ht="15">
      <c r="A44" s="114"/>
    </row>
    <row r="45" spans="1:1" ht="15">
      <c r="A45" s="114"/>
    </row>
    <row r="46" spans="1:1" ht="15">
      <c r="A46" s="114"/>
    </row>
    <row r="47" spans="1:1" ht="15">
      <c r="A47" s="114"/>
    </row>
  </sheetData>
  <mergeCells count="8">
    <mergeCell ref="F5:F6"/>
    <mergeCell ref="A2:F2"/>
    <mergeCell ref="E5:E6"/>
    <mergeCell ref="A21:C21"/>
    <mergeCell ref="D5:D6"/>
    <mergeCell ref="A4:A6"/>
    <mergeCell ref="B4:B6"/>
    <mergeCell ref="C5:C6"/>
  </mergeCells>
  <printOptions horizontalCentered="1"/>
  <pageMargins left="0.51181102362204722" right="0.51181102362204722" top="0.74803149606299213" bottom="0.74803149606299213" header="0.31496062992125984" footer="0.31496062992125984"/>
  <pageSetup paperSize="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7"/>
  <sheetViews>
    <sheetView view="pageBreakPreview" zoomScale="70" zoomScaleNormal="100" zoomScaleSheetLayoutView="70" workbookViewId="0">
      <selection activeCell="G7" sqref="G7"/>
    </sheetView>
  </sheetViews>
  <sheetFormatPr defaultColWidth="9.140625" defaultRowHeight="14.25"/>
  <cols>
    <col min="1" max="1" width="41.140625" style="115" customWidth="1"/>
    <col min="2" max="2" width="59.28515625" style="115" customWidth="1"/>
    <col min="3" max="3" width="19.85546875" style="115" customWidth="1"/>
    <col min="4" max="4" width="20.28515625" style="115" customWidth="1"/>
    <col min="5" max="5" width="20.5703125" style="115" customWidth="1"/>
    <col min="6" max="6" width="21.42578125" style="115" customWidth="1"/>
    <col min="7" max="16384" width="9.140625" style="115"/>
  </cols>
  <sheetData>
    <row r="1" spans="1:17" ht="22.5">
      <c r="A1" s="85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ht="20.25">
      <c r="A2" s="173" t="s">
        <v>0</v>
      </c>
      <c r="B2" s="173"/>
      <c r="C2" s="173"/>
      <c r="D2" s="173"/>
      <c r="E2" s="173"/>
      <c r="F2" s="173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1:17" ht="24">
      <c r="A3" s="89"/>
      <c r="B3" s="90"/>
      <c r="E3" s="84"/>
      <c r="F3" s="84" t="s">
        <v>57</v>
      </c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</row>
    <row r="4" spans="1:17" ht="21.75" customHeight="1">
      <c r="A4" s="175" t="s">
        <v>1</v>
      </c>
      <c r="B4" s="175" t="s">
        <v>2</v>
      </c>
      <c r="C4" s="121" t="s">
        <v>3</v>
      </c>
      <c r="D4" s="121" t="s">
        <v>4</v>
      </c>
      <c r="E4" s="55" t="s">
        <v>5</v>
      </c>
      <c r="F4" s="121" t="s">
        <v>6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ht="15" customHeight="1">
      <c r="A5" s="176"/>
      <c r="B5" s="176"/>
      <c r="C5" s="171" t="s">
        <v>88</v>
      </c>
      <c r="D5" s="171" t="s">
        <v>89</v>
      </c>
      <c r="E5" s="165" t="s">
        <v>90</v>
      </c>
      <c r="F5" s="171" t="s">
        <v>91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ht="15.75" customHeight="1">
      <c r="A6" s="177"/>
      <c r="B6" s="177"/>
      <c r="C6" s="172"/>
      <c r="D6" s="172"/>
      <c r="E6" s="166"/>
      <c r="F6" s="172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ht="24.95" customHeight="1">
      <c r="A7" s="95" t="s">
        <v>11</v>
      </c>
      <c r="B7" s="96" t="s">
        <v>12</v>
      </c>
      <c r="C7" s="122">
        <v>16597.8</v>
      </c>
      <c r="D7" s="122">
        <v>16927.599999999999</v>
      </c>
      <c r="E7" s="122">
        <v>17133.5</v>
      </c>
      <c r="F7" s="122">
        <v>15870.499999999993</v>
      </c>
      <c r="G7" s="130"/>
      <c r="H7" s="130"/>
      <c r="I7" s="130"/>
      <c r="J7" s="130"/>
      <c r="K7" s="93"/>
      <c r="L7" s="93"/>
      <c r="M7" s="93"/>
      <c r="N7" s="93"/>
      <c r="O7" s="93"/>
      <c r="P7" s="93"/>
      <c r="Q7" s="93"/>
    </row>
    <row r="8" spans="1:17" ht="24.95" customHeight="1">
      <c r="A8" s="98" t="s">
        <v>13</v>
      </c>
      <c r="B8" s="99" t="s">
        <v>14</v>
      </c>
      <c r="C8" s="123">
        <v>4463.3</v>
      </c>
      <c r="D8" s="123">
        <v>4581.3</v>
      </c>
      <c r="E8" s="123">
        <v>4396.5</v>
      </c>
      <c r="F8" s="123">
        <v>4312.3000000000029</v>
      </c>
      <c r="G8" s="130"/>
      <c r="H8" s="130"/>
      <c r="I8" s="130"/>
      <c r="J8" s="130"/>
      <c r="K8" s="117"/>
      <c r="L8" s="117"/>
      <c r="M8" s="117"/>
      <c r="N8" s="117"/>
      <c r="O8" s="117"/>
      <c r="P8" s="117"/>
      <c r="Q8" s="117"/>
    </row>
    <row r="9" spans="1:17" ht="24.95" customHeight="1">
      <c r="A9" s="98" t="s">
        <v>15</v>
      </c>
      <c r="B9" s="99" t="s">
        <v>16</v>
      </c>
      <c r="C9" s="123">
        <v>1287.5</v>
      </c>
      <c r="D9" s="123">
        <v>1403.5</v>
      </c>
      <c r="E9" s="123">
        <v>1362.1</v>
      </c>
      <c r="F9" s="123">
        <v>1291.2999999999997</v>
      </c>
      <c r="G9" s="130"/>
      <c r="H9" s="130"/>
      <c r="I9" s="130"/>
      <c r="J9" s="130"/>
      <c r="K9" s="117"/>
      <c r="L9" s="117"/>
      <c r="M9" s="117"/>
      <c r="N9" s="117"/>
      <c r="O9" s="117"/>
      <c r="P9" s="117"/>
      <c r="Q9" s="117"/>
    </row>
    <row r="10" spans="1:17" ht="24.95" customHeight="1">
      <c r="A10" s="98" t="s">
        <v>17</v>
      </c>
      <c r="B10" s="99" t="s">
        <v>18</v>
      </c>
      <c r="C10" s="123">
        <v>1025.8</v>
      </c>
      <c r="D10" s="123">
        <v>1461.1000000000001</v>
      </c>
      <c r="E10" s="123">
        <v>2318.2000000000003</v>
      </c>
      <c r="F10" s="123">
        <v>1243.1999999999994</v>
      </c>
      <c r="G10" s="130"/>
      <c r="H10" s="130"/>
      <c r="I10" s="130"/>
      <c r="J10" s="130"/>
      <c r="K10" s="117"/>
      <c r="L10" s="117"/>
      <c r="M10" s="117"/>
      <c r="N10" s="117"/>
      <c r="O10" s="117"/>
      <c r="P10" s="117"/>
      <c r="Q10" s="117"/>
    </row>
    <row r="11" spans="1:17" ht="24.95" customHeight="1">
      <c r="A11" s="98" t="s">
        <v>19</v>
      </c>
      <c r="B11" s="99" t="s">
        <v>20</v>
      </c>
      <c r="C11" s="123">
        <v>867.5</v>
      </c>
      <c r="D11" s="123">
        <v>884</v>
      </c>
      <c r="E11" s="123">
        <v>804.90000000000009</v>
      </c>
      <c r="F11" s="123">
        <v>827.40000000000009</v>
      </c>
      <c r="G11" s="130"/>
      <c r="H11" s="130"/>
      <c r="I11" s="130"/>
      <c r="J11" s="130"/>
      <c r="K11" s="117"/>
      <c r="L11" s="117"/>
      <c r="M11" s="117"/>
      <c r="N11" s="117"/>
      <c r="O11" s="117"/>
      <c r="P11" s="117"/>
      <c r="Q11" s="117"/>
    </row>
    <row r="12" spans="1:17" ht="24.95" customHeight="1">
      <c r="A12" s="98" t="s">
        <v>21</v>
      </c>
      <c r="B12" s="101" t="s">
        <v>22</v>
      </c>
      <c r="C12" s="123">
        <v>3532.7</v>
      </c>
      <c r="D12" s="123">
        <v>2778</v>
      </c>
      <c r="E12" s="123">
        <v>3283.9</v>
      </c>
      <c r="F12" s="123">
        <v>3276.6000000000013</v>
      </c>
      <c r="G12" s="130"/>
      <c r="H12" s="130"/>
      <c r="I12" s="130"/>
      <c r="J12" s="130"/>
      <c r="K12" s="117"/>
      <c r="L12" s="117"/>
      <c r="M12" s="117"/>
      <c r="N12" s="117"/>
      <c r="O12" s="117"/>
      <c r="P12" s="117"/>
      <c r="Q12" s="117"/>
    </row>
    <row r="13" spans="1:17" ht="24.95" customHeight="1">
      <c r="A13" s="98" t="s">
        <v>23</v>
      </c>
      <c r="B13" s="102" t="s">
        <v>24</v>
      </c>
      <c r="C13" s="123">
        <v>3670.4</v>
      </c>
      <c r="D13" s="123">
        <v>3739.4999999999995</v>
      </c>
      <c r="E13" s="123">
        <v>3593.8999999999996</v>
      </c>
      <c r="F13" s="123">
        <v>3416.4000000000015</v>
      </c>
      <c r="G13" s="130"/>
      <c r="H13" s="130"/>
      <c r="I13" s="130"/>
      <c r="J13" s="130"/>
      <c r="K13" s="117"/>
      <c r="L13" s="117"/>
      <c r="M13" s="117"/>
      <c r="N13" s="117"/>
      <c r="O13" s="117"/>
      <c r="P13" s="117"/>
      <c r="Q13" s="117"/>
    </row>
    <row r="14" spans="1:17" ht="24.95" customHeight="1">
      <c r="A14" s="98" t="s">
        <v>25</v>
      </c>
      <c r="B14" s="103" t="s">
        <v>26</v>
      </c>
      <c r="C14" s="123">
        <v>161</v>
      </c>
      <c r="D14" s="123">
        <v>82.9</v>
      </c>
      <c r="E14" s="123">
        <v>112.1</v>
      </c>
      <c r="F14" s="123">
        <v>105.60000000000002</v>
      </c>
      <c r="G14" s="130"/>
      <c r="H14" s="130"/>
      <c r="I14" s="130"/>
      <c r="J14" s="130"/>
      <c r="K14" s="93"/>
      <c r="L14" s="93"/>
      <c r="M14" s="93"/>
      <c r="N14" s="93"/>
      <c r="O14" s="93"/>
      <c r="P14" s="93"/>
      <c r="Q14" s="93"/>
    </row>
    <row r="15" spans="1:17" ht="24.95" customHeight="1">
      <c r="A15" s="98" t="s">
        <v>27</v>
      </c>
      <c r="B15" s="103" t="s">
        <v>28</v>
      </c>
      <c r="C15" s="123">
        <v>148.4</v>
      </c>
      <c r="D15" s="123">
        <v>57.400000000000006</v>
      </c>
      <c r="E15" s="123">
        <v>96.099999999999966</v>
      </c>
      <c r="F15" s="123">
        <v>82.300000000000011</v>
      </c>
      <c r="G15" s="130"/>
      <c r="H15" s="130"/>
      <c r="I15" s="130"/>
      <c r="J15" s="130"/>
      <c r="K15" s="93"/>
      <c r="L15" s="93"/>
      <c r="M15" s="93"/>
      <c r="N15" s="93"/>
      <c r="O15" s="93"/>
      <c r="P15" s="93"/>
      <c r="Q15" s="93"/>
    </row>
    <row r="16" spans="1:17" ht="24.95" customHeight="1">
      <c r="A16" s="104" t="s">
        <v>29</v>
      </c>
      <c r="B16" s="105" t="s">
        <v>30</v>
      </c>
      <c r="C16" s="124">
        <v>1441.2</v>
      </c>
      <c r="D16" s="124">
        <v>1939.9</v>
      </c>
      <c r="E16" s="124">
        <v>1165.8</v>
      </c>
      <c r="F16" s="124">
        <v>1315.4</v>
      </c>
      <c r="G16" s="130"/>
      <c r="H16" s="130"/>
      <c r="I16" s="130"/>
      <c r="J16" s="130"/>
      <c r="K16" s="117"/>
      <c r="L16" s="117"/>
      <c r="M16" s="117"/>
      <c r="N16" s="117"/>
      <c r="O16" s="117"/>
      <c r="P16" s="117"/>
      <c r="Q16" s="117"/>
    </row>
    <row r="17" spans="1:3" ht="22.5">
      <c r="A17" s="128" t="s">
        <v>83</v>
      </c>
      <c r="B17" s="129" t="s">
        <v>32</v>
      </c>
      <c r="C17" s="125"/>
    </row>
    <row r="18" spans="1:3" ht="22.5">
      <c r="A18" s="110"/>
      <c r="B18" s="119"/>
      <c r="C18" s="119"/>
    </row>
    <row r="19" spans="1:3">
      <c r="A19" s="117"/>
      <c r="B19" s="120"/>
      <c r="C19" s="120"/>
    </row>
    <row r="20" spans="1:3">
      <c r="A20" s="116"/>
      <c r="B20" s="116"/>
      <c r="C20" s="116"/>
    </row>
    <row r="21" spans="1:3" ht="15.75">
      <c r="A21" s="174"/>
      <c r="B21" s="174"/>
      <c r="C21" s="174"/>
    </row>
    <row r="22" spans="1:3">
      <c r="A22" s="116"/>
      <c r="B22" s="116"/>
      <c r="C22" s="116"/>
    </row>
    <row r="23" spans="1:3">
      <c r="A23" s="116"/>
      <c r="B23" s="116"/>
      <c r="C23" s="116"/>
    </row>
    <row r="24" spans="1:3">
      <c r="A24" s="116"/>
      <c r="B24" s="116"/>
      <c r="C24" s="116"/>
    </row>
    <row r="29" spans="1:3">
      <c r="A29" s="117"/>
      <c r="B29" s="116"/>
      <c r="C29" s="116"/>
    </row>
    <row r="31" spans="1:3">
      <c r="A31" s="116"/>
      <c r="B31" s="116"/>
      <c r="C31" s="116"/>
    </row>
    <row r="32" spans="1:3">
      <c r="A32" s="117"/>
    </row>
    <row r="33" spans="1:1" ht="15">
      <c r="A33" s="114"/>
    </row>
    <row r="34" spans="1:1" ht="15">
      <c r="A34" s="114"/>
    </row>
    <row r="35" spans="1:1" ht="15">
      <c r="A35" s="114"/>
    </row>
    <row r="36" spans="1:1" ht="15">
      <c r="A36" s="114"/>
    </row>
    <row r="37" spans="1:1" ht="15">
      <c r="A37" s="114"/>
    </row>
    <row r="38" spans="1:1" ht="15">
      <c r="A38" s="114"/>
    </row>
    <row r="39" spans="1:1" ht="15">
      <c r="A39" s="114"/>
    </row>
    <row r="40" spans="1:1" ht="15">
      <c r="A40" s="114"/>
    </row>
    <row r="41" spans="1:1" ht="15">
      <c r="A41" s="114"/>
    </row>
    <row r="42" spans="1:1" ht="15">
      <c r="A42" s="114"/>
    </row>
    <row r="43" spans="1:1" ht="15">
      <c r="A43" s="114"/>
    </row>
    <row r="44" spans="1:1" ht="15">
      <c r="A44" s="114"/>
    </row>
    <row r="45" spans="1:1" ht="15">
      <c r="A45" s="114"/>
    </row>
    <row r="46" spans="1:1" ht="15">
      <c r="A46" s="114"/>
    </row>
    <row r="47" spans="1:1" ht="15">
      <c r="A47" s="114"/>
    </row>
  </sheetData>
  <mergeCells count="8">
    <mergeCell ref="A2:F2"/>
    <mergeCell ref="F5:F6"/>
    <mergeCell ref="E5:E6"/>
    <mergeCell ref="D5:D6"/>
    <mergeCell ref="A21:C21"/>
    <mergeCell ref="A4:A6"/>
    <mergeCell ref="B4:B6"/>
    <mergeCell ref="C5:C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68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7"/>
  <sheetViews>
    <sheetView view="pageBreakPreview" zoomScale="90" zoomScaleNormal="100" zoomScaleSheetLayoutView="90" workbookViewId="0">
      <selection activeCell="G18" sqref="G18"/>
    </sheetView>
  </sheetViews>
  <sheetFormatPr defaultColWidth="9.140625" defaultRowHeight="14.25"/>
  <cols>
    <col min="1" max="1" width="41.140625" style="115" customWidth="1"/>
    <col min="2" max="2" width="59.28515625" style="115" customWidth="1"/>
    <col min="3" max="3" width="19.85546875" style="115" customWidth="1"/>
    <col min="4" max="4" width="21.140625" style="115" customWidth="1"/>
    <col min="5" max="5" width="23" style="115" customWidth="1"/>
    <col min="6" max="6" width="22" style="115" customWidth="1"/>
    <col min="7" max="16384" width="9.140625" style="115"/>
  </cols>
  <sheetData>
    <row r="1" spans="1:17" ht="22.5">
      <c r="A1" s="85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ht="20.25">
      <c r="A2" s="173" t="s">
        <v>0</v>
      </c>
      <c r="B2" s="173"/>
      <c r="C2" s="173"/>
      <c r="D2" s="173"/>
      <c r="E2" s="173"/>
      <c r="F2" s="173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1:17" ht="24">
      <c r="A3" s="89"/>
      <c r="B3" s="90"/>
      <c r="F3" s="84" t="s">
        <v>57</v>
      </c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</row>
    <row r="4" spans="1:17" ht="21.75" customHeight="1">
      <c r="A4" s="175" t="s">
        <v>1</v>
      </c>
      <c r="B4" s="175" t="s">
        <v>2</v>
      </c>
      <c r="C4" s="121" t="s">
        <v>3</v>
      </c>
      <c r="D4" s="121" t="s">
        <v>4</v>
      </c>
      <c r="E4" s="55" t="s">
        <v>5</v>
      </c>
      <c r="F4" s="121" t="s">
        <v>6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ht="15" customHeight="1">
      <c r="A5" s="176"/>
      <c r="B5" s="176"/>
      <c r="C5" s="171" t="s">
        <v>97</v>
      </c>
      <c r="D5" s="171" t="s">
        <v>98</v>
      </c>
      <c r="E5" s="165" t="s">
        <v>99</v>
      </c>
      <c r="F5" s="171" t="s">
        <v>100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ht="15.75" customHeight="1">
      <c r="A6" s="177"/>
      <c r="B6" s="177"/>
      <c r="C6" s="172"/>
      <c r="D6" s="172"/>
      <c r="E6" s="166"/>
      <c r="F6" s="172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ht="24.95" customHeight="1">
      <c r="A7" s="95" t="s">
        <v>11</v>
      </c>
      <c r="B7" s="96" t="s">
        <v>12</v>
      </c>
      <c r="C7" s="122">
        <v>15904</v>
      </c>
      <c r="D7" s="122">
        <v>17051</v>
      </c>
      <c r="E7" s="122">
        <v>16057.099999999999</v>
      </c>
      <c r="F7" s="122">
        <v>13829</v>
      </c>
      <c r="G7" s="131"/>
      <c r="H7" s="131"/>
      <c r="I7" s="131"/>
      <c r="J7" s="131"/>
      <c r="K7" s="131"/>
      <c r="L7" s="93"/>
      <c r="M7" s="93"/>
      <c r="N7" s="93"/>
      <c r="O7" s="93"/>
      <c r="P7" s="93"/>
      <c r="Q7" s="93"/>
    </row>
    <row r="8" spans="1:17" ht="24.95" customHeight="1">
      <c r="A8" s="98" t="s">
        <v>13</v>
      </c>
      <c r="B8" s="99" t="s">
        <v>14</v>
      </c>
      <c r="C8" s="123">
        <v>4668.2</v>
      </c>
      <c r="D8" s="123">
        <v>4677.0000000000009</v>
      </c>
      <c r="E8" s="123">
        <v>3773</v>
      </c>
      <c r="F8" s="123">
        <v>3718.8999999999978</v>
      </c>
      <c r="G8" s="131"/>
      <c r="H8" s="131"/>
      <c r="I8" s="131"/>
      <c r="J8" s="131"/>
      <c r="K8" s="117"/>
      <c r="L8" s="117"/>
      <c r="M8" s="117"/>
      <c r="N8" s="117"/>
      <c r="O8" s="117"/>
      <c r="P8" s="117"/>
      <c r="Q8" s="117"/>
    </row>
    <row r="9" spans="1:17" ht="24.95" customHeight="1">
      <c r="A9" s="98" t="s">
        <v>15</v>
      </c>
      <c r="B9" s="99" t="s">
        <v>16</v>
      </c>
      <c r="C9" s="123">
        <v>1121</v>
      </c>
      <c r="D9" s="123">
        <v>1188.8000000000002</v>
      </c>
      <c r="E9" s="123">
        <v>1801</v>
      </c>
      <c r="F9" s="123">
        <v>1676.4999999999991</v>
      </c>
      <c r="G9" s="131"/>
      <c r="H9" s="131"/>
      <c r="I9" s="131"/>
      <c r="J9" s="131"/>
      <c r="K9" s="117"/>
      <c r="L9" s="117"/>
      <c r="M9" s="117"/>
      <c r="N9" s="117"/>
      <c r="O9" s="117"/>
      <c r="P9" s="117"/>
      <c r="Q9" s="117"/>
    </row>
    <row r="10" spans="1:17" ht="24.95" customHeight="1">
      <c r="A10" s="98" t="s">
        <v>17</v>
      </c>
      <c r="B10" s="99" t="s">
        <v>18</v>
      </c>
      <c r="C10" s="123">
        <v>784.6</v>
      </c>
      <c r="D10" s="123">
        <v>1499</v>
      </c>
      <c r="E10" s="123">
        <v>1359</v>
      </c>
      <c r="F10" s="123">
        <v>769.90000000000009</v>
      </c>
      <c r="G10" s="131"/>
      <c r="H10" s="131"/>
      <c r="I10" s="131"/>
      <c r="J10" s="131"/>
      <c r="K10" s="117"/>
      <c r="L10" s="117"/>
      <c r="M10" s="117"/>
      <c r="N10" s="117"/>
      <c r="O10" s="117"/>
      <c r="P10" s="117"/>
      <c r="Q10" s="117"/>
    </row>
    <row r="11" spans="1:17" ht="24.95" customHeight="1">
      <c r="A11" s="98" t="s">
        <v>19</v>
      </c>
      <c r="B11" s="99" t="s">
        <v>20</v>
      </c>
      <c r="C11" s="123">
        <v>840.9</v>
      </c>
      <c r="D11" s="123">
        <v>775.19999999999993</v>
      </c>
      <c r="E11" s="123">
        <v>933.6</v>
      </c>
      <c r="F11" s="123">
        <v>647.80000000000018</v>
      </c>
      <c r="G11" s="131"/>
      <c r="H11" s="131"/>
      <c r="I11" s="131"/>
      <c r="J11" s="131"/>
      <c r="K11" s="117"/>
      <c r="L11" s="117"/>
      <c r="M11" s="117"/>
      <c r="N11" s="117"/>
      <c r="O11" s="117"/>
      <c r="P11" s="117"/>
      <c r="Q11" s="117"/>
    </row>
    <row r="12" spans="1:17" ht="24.95" customHeight="1">
      <c r="A12" s="98" t="s">
        <v>21</v>
      </c>
      <c r="B12" s="101" t="s">
        <v>22</v>
      </c>
      <c r="C12" s="123">
        <v>3258.2</v>
      </c>
      <c r="D12" s="123">
        <v>3677.2</v>
      </c>
      <c r="E12" s="123">
        <v>3464.3999999999996</v>
      </c>
      <c r="F12" s="123">
        <v>2180.5</v>
      </c>
      <c r="G12" s="131"/>
      <c r="H12" s="131"/>
      <c r="I12" s="131"/>
      <c r="J12" s="131"/>
      <c r="K12" s="117"/>
      <c r="L12" s="117"/>
      <c r="M12" s="117"/>
      <c r="N12" s="117"/>
      <c r="O12" s="117"/>
      <c r="P12" s="117"/>
      <c r="Q12" s="117"/>
    </row>
    <row r="13" spans="1:17" ht="24.95" customHeight="1">
      <c r="A13" s="98" t="s">
        <v>23</v>
      </c>
      <c r="B13" s="102" t="s">
        <v>24</v>
      </c>
      <c r="C13" s="123">
        <v>3484.5</v>
      </c>
      <c r="D13" s="123">
        <v>3777.8</v>
      </c>
      <c r="E13" s="123">
        <v>3609.4000000000005</v>
      </c>
      <c r="F13" s="123">
        <v>3636.5999999999985</v>
      </c>
      <c r="G13" s="131"/>
      <c r="H13" s="131"/>
      <c r="I13" s="131"/>
      <c r="J13" s="131"/>
      <c r="K13" s="117"/>
      <c r="L13" s="117"/>
      <c r="M13" s="117"/>
      <c r="N13" s="117"/>
      <c r="O13" s="117"/>
      <c r="P13" s="117"/>
      <c r="Q13" s="117"/>
    </row>
    <row r="14" spans="1:17" ht="24.95" customHeight="1">
      <c r="A14" s="98" t="s">
        <v>25</v>
      </c>
      <c r="B14" s="103" t="s">
        <v>26</v>
      </c>
      <c r="C14" s="123">
        <v>62.8</v>
      </c>
      <c r="D14" s="123">
        <v>119.8</v>
      </c>
      <c r="E14" s="123">
        <v>121.50000000000001</v>
      </c>
      <c r="F14" s="123">
        <v>93.399999999999977</v>
      </c>
      <c r="G14" s="131"/>
      <c r="H14" s="131"/>
      <c r="I14" s="131"/>
      <c r="J14" s="131"/>
      <c r="K14" s="93"/>
      <c r="L14" s="93"/>
      <c r="M14" s="93"/>
      <c r="N14" s="93"/>
      <c r="O14" s="93"/>
      <c r="P14" s="93"/>
      <c r="Q14" s="93"/>
    </row>
    <row r="15" spans="1:17" ht="24.95" customHeight="1">
      <c r="A15" s="98" t="s">
        <v>27</v>
      </c>
      <c r="B15" s="103" t="s">
        <v>28</v>
      </c>
      <c r="C15" s="123">
        <v>43.6</v>
      </c>
      <c r="D15" s="123">
        <v>63.300000000000004</v>
      </c>
      <c r="E15" s="123">
        <v>101.9</v>
      </c>
      <c r="F15" s="123">
        <v>106.69999999999999</v>
      </c>
      <c r="G15" s="131"/>
      <c r="H15" s="131"/>
      <c r="I15" s="131"/>
      <c r="J15" s="131"/>
      <c r="K15" s="93"/>
      <c r="L15" s="93"/>
      <c r="M15" s="93"/>
      <c r="N15" s="93"/>
      <c r="O15" s="93"/>
      <c r="P15" s="93"/>
      <c r="Q15" s="93"/>
    </row>
    <row r="16" spans="1:17" ht="24.95" customHeight="1">
      <c r="A16" s="104" t="s">
        <v>29</v>
      </c>
      <c r="B16" s="105" t="s">
        <v>30</v>
      </c>
      <c r="C16" s="124">
        <v>1640.2</v>
      </c>
      <c r="D16" s="124">
        <v>1272.900000000003</v>
      </c>
      <c r="E16" s="124">
        <v>893.3</v>
      </c>
      <c r="F16" s="124">
        <v>998.7</v>
      </c>
      <c r="G16" s="131"/>
      <c r="H16" s="131"/>
      <c r="I16" s="131"/>
      <c r="J16" s="131"/>
      <c r="K16" s="117"/>
      <c r="L16" s="117"/>
      <c r="M16" s="117"/>
      <c r="N16" s="117"/>
      <c r="O16" s="117"/>
      <c r="P16" s="117"/>
      <c r="Q16" s="117"/>
    </row>
    <row r="17" spans="1:10" ht="22.5">
      <c r="A17" s="128" t="s">
        <v>82</v>
      </c>
      <c r="B17" s="129" t="s">
        <v>32</v>
      </c>
      <c r="C17" s="125"/>
      <c r="G17" s="131"/>
      <c r="H17" s="131"/>
      <c r="I17" s="131"/>
      <c r="J17" s="131"/>
    </row>
    <row r="18" spans="1:10" ht="22.5">
      <c r="A18" s="110"/>
      <c r="B18" s="119"/>
      <c r="C18" s="119"/>
    </row>
    <row r="19" spans="1:10">
      <c r="A19" s="117"/>
      <c r="B19" s="120"/>
      <c r="C19" s="120"/>
    </row>
    <row r="20" spans="1:10">
      <c r="A20" s="116"/>
      <c r="B20" s="116"/>
      <c r="C20" s="116"/>
    </row>
    <row r="21" spans="1:10" ht="15.75">
      <c r="A21" s="174"/>
      <c r="B21" s="174"/>
      <c r="C21" s="174"/>
    </row>
    <row r="22" spans="1:10">
      <c r="A22" s="116"/>
      <c r="B22" s="116"/>
      <c r="C22" s="116"/>
    </row>
    <row r="23" spans="1:10">
      <c r="A23" s="116"/>
      <c r="B23" s="116"/>
      <c r="C23" s="116"/>
    </row>
    <row r="24" spans="1:10">
      <c r="A24" s="116"/>
      <c r="B24" s="116"/>
      <c r="C24" s="116"/>
    </row>
    <row r="29" spans="1:10">
      <c r="A29" s="117"/>
      <c r="B29" s="116"/>
      <c r="C29" s="116"/>
    </row>
    <row r="31" spans="1:10">
      <c r="A31" s="116"/>
      <c r="B31" s="116"/>
      <c r="C31" s="116"/>
    </row>
    <row r="32" spans="1:10">
      <c r="A32" s="117"/>
    </row>
    <row r="33" spans="1:1" ht="15">
      <c r="A33" s="114"/>
    </row>
    <row r="34" spans="1:1" ht="15">
      <c r="A34" s="114"/>
    </row>
    <row r="35" spans="1:1" ht="15">
      <c r="A35" s="114"/>
    </row>
    <row r="36" spans="1:1" ht="15">
      <c r="A36" s="114"/>
    </row>
    <row r="37" spans="1:1" ht="15">
      <c r="A37" s="114"/>
    </row>
    <row r="38" spans="1:1" ht="15">
      <c r="A38" s="114"/>
    </row>
    <row r="39" spans="1:1" ht="15">
      <c r="A39" s="114"/>
    </row>
    <row r="40" spans="1:1" ht="15">
      <c r="A40" s="114"/>
    </row>
    <row r="41" spans="1:1" ht="15">
      <c r="A41" s="114"/>
    </row>
    <row r="42" spans="1:1" ht="15">
      <c r="A42" s="114"/>
    </row>
    <row r="43" spans="1:1" ht="15">
      <c r="A43" s="114"/>
    </row>
    <row r="44" spans="1:1" ht="15">
      <c r="A44" s="114"/>
    </row>
    <row r="45" spans="1:1" ht="15">
      <c r="A45" s="114"/>
    </row>
    <row r="46" spans="1:1" ht="15">
      <c r="A46" s="114"/>
    </row>
    <row r="47" spans="1:1" ht="15">
      <c r="A47" s="114"/>
    </row>
  </sheetData>
  <mergeCells count="8">
    <mergeCell ref="F5:F6"/>
    <mergeCell ref="A2:F2"/>
    <mergeCell ref="E5:E6"/>
    <mergeCell ref="D5:D6"/>
    <mergeCell ref="A21:C21"/>
    <mergeCell ref="A4:A6"/>
    <mergeCell ref="B4:B6"/>
    <mergeCell ref="C5:C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66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7"/>
  <sheetViews>
    <sheetView view="pageBreakPreview" zoomScale="80" zoomScaleNormal="80" zoomScaleSheetLayoutView="80" workbookViewId="0">
      <selection activeCell="H15" sqref="H15"/>
    </sheetView>
  </sheetViews>
  <sheetFormatPr defaultColWidth="9.140625" defaultRowHeight="14.25"/>
  <cols>
    <col min="1" max="1" width="41.140625" style="115" customWidth="1"/>
    <col min="2" max="2" width="59.28515625" style="115" customWidth="1"/>
    <col min="3" max="3" width="19.85546875" style="115" customWidth="1"/>
    <col min="4" max="4" width="21.140625" style="115" customWidth="1"/>
    <col min="5" max="5" width="22" style="115" customWidth="1"/>
    <col min="6" max="6" width="24.42578125" customWidth="1"/>
    <col min="7" max="7" width="9.5703125" style="115" bestFit="1" customWidth="1"/>
    <col min="8" max="16384" width="9.140625" style="115"/>
  </cols>
  <sheetData>
    <row r="1" spans="1:16" ht="22.5">
      <c r="A1" s="85"/>
      <c r="B1" s="117"/>
      <c r="C1" s="117"/>
      <c r="D1" s="117"/>
      <c r="E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 ht="20.25">
      <c r="A2" s="173" t="s">
        <v>0</v>
      </c>
      <c r="B2" s="173"/>
      <c r="C2" s="173"/>
      <c r="D2" s="173"/>
      <c r="E2" s="173"/>
      <c r="F2" s="173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16" ht="24">
      <c r="A3" s="89"/>
      <c r="B3" s="90"/>
      <c r="F3" s="84" t="s">
        <v>57</v>
      </c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ht="21.75" customHeight="1">
      <c r="A4" s="175" t="s">
        <v>1</v>
      </c>
      <c r="B4" s="175" t="s">
        <v>2</v>
      </c>
      <c r="C4" s="121" t="s">
        <v>3</v>
      </c>
      <c r="D4" s="121" t="s">
        <v>4</v>
      </c>
      <c r="E4" s="55" t="s">
        <v>5</v>
      </c>
      <c r="F4" s="121" t="s">
        <v>6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6" ht="15" customHeight="1">
      <c r="A5" s="176"/>
      <c r="B5" s="176"/>
      <c r="C5" s="171" t="s">
        <v>101</v>
      </c>
      <c r="D5" s="171" t="s">
        <v>102</v>
      </c>
      <c r="E5" s="165" t="s">
        <v>103</v>
      </c>
      <c r="F5" s="171" t="s">
        <v>104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1:16" ht="15.75" customHeight="1">
      <c r="A6" s="177"/>
      <c r="B6" s="177"/>
      <c r="C6" s="172"/>
      <c r="D6" s="172"/>
      <c r="E6" s="166"/>
      <c r="F6" s="172"/>
      <c r="G6" s="94"/>
      <c r="H6" s="94"/>
      <c r="I6" s="94"/>
      <c r="J6" s="94"/>
      <c r="K6" s="94"/>
      <c r="L6" s="94"/>
      <c r="M6" s="94"/>
      <c r="N6" s="94"/>
      <c r="O6" s="94"/>
      <c r="P6" s="94"/>
    </row>
    <row r="7" spans="1:16" ht="24.95" customHeight="1">
      <c r="A7" s="95" t="s">
        <v>11</v>
      </c>
      <c r="B7" s="96" t="s">
        <v>12</v>
      </c>
      <c r="C7" s="122">
        <v>14839.9</v>
      </c>
      <c r="D7" s="122">
        <v>17287.300000000003</v>
      </c>
      <c r="E7" s="122">
        <v>19020.799999999996</v>
      </c>
      <c r="F7" s="122">
        <v>19588.100000000006</v>
      </c>
      <c r="G7" s="131"/>
      <c r="H7" s="131"/>
      <c r="I7" s="131"/>
      <c r="J7" s="131"/>
      <c r="K7" s="131"/>
      <c r="L7" s="131"/>
      <c r="M7" s="131"/>
      <c r="N7" s="131"/>
      <c r="O7" s="93"/>
      <c r="P7" s="93"/>
    </row>
    <row r="8" spans="1:16" ht="24.95" customHeight="1">
      <c r="A8" s="98" t="s">
        <v>13</v>
      </c>
      <c r="B8" s="99" t="s">
        <v>14</v>
      </c>
      <c r="C8" s="123">
        <v>3978.4</v>
      </c>
      <c r="D8" s="123">
        <v>4251.3000000000011</v>
      </c>
      <c r="E8" s="123">
        <v>4361.2999999999993</v>
      </c>
      <c r="F8" s="123">
        <v>4658.4000000000015</v>
      </c>
      <c r="G8" s="131"/>
      <c r="H8" s="131"/>
      <c r="I8" s="131"/>
      <c r="J8" s="131"/>
      <c r="K8" s="131"/>
      <c r="L8" s="131"/>
      <c r="M8" s="131"/>
      <c r="N8" s="131"/>
      <c r="O8" s="117"/>
      <c r="P8" s="117"/>
    </row>
    <row r="9" spans="1:16" ht="24.95" customHeight="1">
      <c r="A9" s="98" t="s">
        <v>15</v>
      </c>
      <c r="B9" s="99" t="s">
        <v>16</v>
      </c>
      <c r="C9" s="123">
        <v>1610.7</v>
      </c>
      <c r="D9" s="123">
        <v>1695.1000000000001</v>
      </c>
      <c r="E9" s="123">
        <v>1909.2</v>
      </c>
      <c r="F9" s="123">
        <v>2133.6000000000004</v>
      </c>
      <c r="G9" s="131"/>
      <c r="H9" s="131"/>
      <c r="I9" s="131"/>
      <c r="J9" s="131"/>
      <c r="K9" s="131"/>
      <c r="L9" s="131"/>
      <c r="M9" s="131"/>
      <c r="N9" s="131"/>
      <c r="O9" s="117"/>
      <c r="P9" s="117"/>
    </row>
    <row r="10" spans="1:16" ht="24.95" customHeight="1">
      <c r="A10" s="98" t="s">
        <v>17</v>
      </c>
      <c r="B10" s="99" t="s">
        <v>18</v>
      </c>
      <c r="C10" s="123">
        <v>788.1</v>
      </c>
      <c r="D10" s="123">
        <v>1032.1999999999998</v>
      </c>
      <c r="E10" s="123">
        <v>1621.9</v>
      </c>
      <c r="F10" s="123">
        <v>998.49999999999989</v>
      </c>
      <c r="G10" s="131"/>
      <c r="H10" s="131"/>
      <c r="I10" s="131"/>
      <c r="J10" s="131"/>
      <c r="K10" s="131"/>
      <c r="L10" s="131"/>
      <c r="M10" s="131"/>
      <c r="N10" s="131"/>
      <c r="O10" s="117"/>
      <c r="P10" s="117"/>
    </row>
    <row r="11" spans="1:16" ht="24.95" customHeight="1">
      <c r="A11" s="98" t="s">
        <v>19</v>
      </c>
      <c r="B11" s="99" t="s">
        <v>20</v>
      </c>
      <c r="C11" s="123">
        <v>748.9</v>
      </c>
      <c r="D11" s="123">
        <v>795.50000000000011</v>
      </c>
      <c r="E11" s="123">
        <v>1029.5</v>
      </c>
      <c r="F11" s="123">
        <v>1091.1999999999998</v>
      </c>
      <c r="G11" s="131"/>
      <c r="H11" s="131"/>
      <c r="I11" s="131"/>
      <c r="J11" s="131"/>
      <c r="K11" s="131"/>
      <c r="L11" s="131"/>
      <c r="M11" s="131"/>
      <c r="N11" s="131"/>
      <c r="O11" s="117"/>
      <c r="P11" s="117"/>
    </row>
    <row r="12" spans="1:16" ht="24.95" customHeight="1">
      <c r="A12" s="98" t="s">
        <v>21</v>
      </c>
      <c r="B12" s="101" t="s">
        <v>22</v>
      </c>
      <c r="C12" s="123">
        <v>2708.1</v>
      </c>
      <c r="D12" s="123">
        <v>3027.0000000000005</v>
      </c>
      <c r="E12" s="123">
        <v>3478.6999999999994</v>
      </c>
      <c r="F12" s="123">
        <v>3991.1000000000008</v>
      </c>
      <c r="G12" s="131"/>
      <c r="H12" s="131"/>
      <c r="I12" s="131"/>
      <c r="J12" s="131"/>
      <c r="K12" s="131"/>
      <c r="L12" s="131"/>
      <c r="M12" s="131"/>
      <c r="N12" s="131"/>
      <c r="O12" s="117"/>
      <c r="P12" s="117"/>
    </row>
    <row r="13" spans="1:16" ht="24.95" customHeight="1">
      <c r="A13" s="98" t="s">
        <v>23</v>
      </c>
      <c r="B13" s="102" t="s">
        <v>24</v>
      </c>
      <c r="C13" s="123">
        <v>3685.1</v>
      </c>
      <c r="D13" s="123">
        <v>4390</v>
      </c>
      <c r="E13" s="123">
        <v>4452.6999999999989</v>
      </c>
      <c r="F13" s="123">
        <v>4876</v>
      </c>
      <c r="G13" s="131"/>
      <c r="H13" s="131"/>
      <c r="I13" s="131"/>
      <c r="J13" s="131"/>
      <c r="K13" s="131"/>
      <c r="L13" s="131"/>
      <c r="M13" s="131"/>
      <c r="N13" s="131"/>
      <c r="O13" s="117"/>
      <c r="P13" s="117"/>
    </row>
    <row r="14" spans="1:16" ht="24.95" customHeight="1">
      <c r="A14" s="98" t="s">
        <v>25</v>
      </c>
      <c r="B14" s="103" t="s">
        <v>26</v>
      </c>
      <c r="C14" s="123">
        <v>72.7</v>
      </c>
      <c r="D14" s="123">
        <v>117.99999999999999</v>
      </c>
      <c r="E14" s="123">
        <v>113.3</v>
      </c>
      <c r="F14" s="123">
        <v>133.39999999999998</v>
      </c>
      <c r="G14" s="131"/>
      <c r="H14" s="131"/>
      <c r="I14" s="131"/>
      <c r="J14" s="131"/>
      <c r="K14" s="131"/>
      <c r="L14" s="131"/>
      <c r="M14" s="131"/>
      <c r="N14" s="131"/>
      <c r="O14" s="93"/>
      <c r="P14" s="93"/>
    </row>
    <row r="15" spans="1:16" ht="24.95" customHeight="1">
      <c r="A15" s="98" t="s">
        <v>27</v>
      </c>
      <c r="B15" s="103" t="s">
        <v>28</v>
      </c>
      <c r="C15" s="123">
        <v>43.9</v>
      </c>
      <c r="D15" s="123">
        <v>53.6</v>
      </c>
      <c r="E15" s="123">
        <v>133</v>
      </c>
      <c r="F15" s="123">
        <v>61.300000000000018</v>
      </c>
      <c r="G15" s="131"/>
      <c r="H15" s="131"/>
      <c r="I15" s="131"/>
      <c r="J15" s="131"/>
      <c r="K15" s="131"/>
      <c r="L15" s="131"/>
      <c r="M15" s="131"/>
      <c r="N15" s="131"/>
      <c r="O15" s="93"/>
      <c r="P15" s="93"/>
    </row>
    <row r="16" spans="1:16" ht="24.95" customHeight="1">
      <c r="A16" s="104" t="s">
        <v>29</v>
      </c>
      <c r="B16" s="105" t="s">
        <v>30</v>
      </c>
      <c r="C16" s="124">
        <v>1204.0000000000007</v>
      </c>
      <c r="D16" s="124">
        <v>1924.5999999999988</v>
      </c>
      <c r="E16" s="124">
        <v>1921.2</v>
      </c>
      <c r="F16" s="124">
        <v>1644.6</v>
      </c>
      <c r="G16" s="131"/>
      <c r="H16" s="131"/>
      <c r="I16" s="131"/>
      <c r="J16" s="131"/>
      <c r="K16" s="131"/>
      <c r="L16" s="131"/>
      <c r="M16" s="131"/>
      <c r="N16" s="131"/>
      <c r="O16" s="117"/>
      <c r="P16" s="117"/>
    </row>
    <row r="17" spans="1:9" ht="22.5">
      <c r="A17" s="128" t="s">
        <v>82</v>
      </c>
      <c r="B17" s="129" t="s">
        <v>32</v>
      </c>
      <c r="C17" s="125"/>
      <c r="G17" s="131"/>
      <c r="H17" s="131"/>
      <c r="I17" s="131"/>
    </row>
    <row r="18" spans="1:9" ht="22.5">
      <c r="A18" s="110"/>
      <c r="B18" s="119"/>
      <c r="C18" s="119"/>
    </row>
    <row r="19" spans="1:9">
      <c r="A19" s="117"/>
      <c r="B19" s="120"/>
      <c r="C19" s="120"/>
    </row>
    <row r="20" spans="1:9">
      <c r="A20" s="116"/>
      <c r="B20" s="116"/>
      <c r="C20" s="116"/>
    </row>
    <row r="21" spans="1:9" ht="15.75">
      <c r="A21" s="174"/>
      <c r="B21" s="174"/>
      <c r="C21" s="174"/>
    </row>
    <row r="22" spans="1:9">
      <c r="A22" s="116"/>
      <c r="B22" s="116"/>
      <c r="C22" s="116"/>
    </row>
    <row r="23" spans="1:9">
      <c r="A23" s="116"/>
      <c r="B23" s="116"/>
      <c r="C23" s="116"/>
    </row>
    <row r="24" spans="1:9">
      <c r="A24" s="116"/>
      <c r="B24" s="116"/>
      <c r="C24" s="116"/>
    </row>
    <row r="29" spans="1:9">
      <c r="A29" s="117"/>
      <c r="B29" s="116"/>
      <c r="C29" s="116"/>
    </row>
    <row r="31" spans="1:9">
      <c r="A31" s="116"/>
      <c r="B31" s="116"/>
      <c r="C31" s="116"/>
    </row>
    <row r="32" spans="1:9">
      <c r="A32" s="117"/>
    </row>
    <row r="33" spans="1:1" ht="15">
      <c r="A33" s="114"/>
    </row>
    <row r="34" spans="1:1" ht="15">
      <c r="A34" s="114"/>
    </row>
    <row r="35" spans="1:1" ht="15">
      <c r="A35" s="114"/>
    </row>
    <row r="36" spans="1:1" ht="15">
      <c r="A36" s="114"/>
    </row>
    <row r="37" spans="1:1" ht="15">
      <c r="A37" s="114"/>
    </row>
    <row r="38" spans="1:1" ht="15">
      <c r="A38" s="114"/>
    </row>
    <row r="39" spans="1:1" ht="15">
      <c r="A39" s="114"/>
    </row>
    <row r="40" spans="1:1" ht="15">
      <c r="A40" s="114"/>
    </row>
    <row r="41" spans="1:1" ht="15">
      <c r="A41" s="114"/>
    </row>
    <row r="42" spans="1:1" ht="15">
      <c r="A42" s="114"/>
    </row>
    <row r="43" spans="1:1" ht="15">
      <c r="A43" s="114"/>
    </row>
    <row r="44" spans="1:1" ht="15">
      <c r="A44" s="114"/>
    </row>
    <row r="45" spans="1:1" ht="15">
      <c r="A45" s="114"/>
    </row>
    <row r="46" spans="1:1" ht="15">
      <c r="A46" s="114"/>
    </row>
    <row r="47" spans="1:1" ht="15">
      <c r="A47" s="114"/>
    </row>
  </sheetData>
  <mergeCells count="8">
    <mergeCell ref="F5:F6"/>
    <mergeCell ref="A2:F2"/>
    <mergeCell ref="E5:E6"/>
    <mergeCell ref="D5:D6"/>
    <mergeCell ref="A21:C21"/>
    <mergeCell ref="A4:A6"/>
    <mergeCell ref="B4:B6"/>
    <mergeCell ref="C5:C6"/>
  </mergeCells>
  <pageMargins left="0.7" right="0.7" top="0.75" bottom="0.75" header="0.3" footer="0.3"/>
  <pageSetup paperSize="9" scale="4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20"/>
  <sheetViews>
    <sheetView view="pageBreakPreview" topLeftCell="B1" zoomScaleNormal="100" zoomScaleSheetLayoutView="100" workbookViewId="0">
      <selection activeCell="B17" sqref="A17:XFD17"/>
    </sheetView>
  </sheetViews>
  <sheetFormatPr defaultRowHeight="14.25"/>
  <cols>
    <col min="1" max="1" width="44.140625" style="134" bestFit="1" customWidth="1"/>
    <col min="2" max="2" width="65" style="134" customWidth="1"/>
    <col min="3" max="3" width="23" style="134" customWidth="1"/>
    <col min="4" max="4" width="22" style="134" customWidth="1"/>
    <col min="5" max="5" width="27.140625" style="134" customWidth="1"/>
    <col min="6" max="6" width="23.5703125" style="134" customWidth="1"/>
    <col min="7" max="16384" width="9.140625" style="134"/>
  </cols>
  <sheetData>
    <row r="1" spans="1:14" ht="22.5">
      <c r="A1" s="132"/>
      <c r="B1" s="133"/>
      <c r="C1" s="133"/>
    </row>
    <row r="2" spans="1:14" ht="20.25">
      <c r="A2" s="178" t="s">
        <v>92</v>
      </c>
      <c r="B2" s="178"/>
      <c r="C2" s="178"/>
      <c r="D2" s="178"/>
      <c r="E2" s="178"/>
      <c r="F2" s="178"/>
    </row>
    <row r="3" spans="1:14" ht="15.75">
      <c r="A3" s="135"/>
      <c r="B3" s="90"/>
      <c r="F3" s="136" t="s">
        <v>57</v>
      </c>
    </row>
    <row r="4" spans="1:14" s="137" customFormat="1" ht="18.75">
      <c r="A4" s="179" t="s">
        <v>1</v>
      </c>
      <c r="B4" s="179" t="s">
        <v>2</v>
      </c>
      <c r="C4" s="121" t="s">
        <v>3</v>
      </c>
      <c r="D4" s="121" t="s">
        <v>4</v>
      </c>
      <c r="E4" s="121" t="s">
        <v>5</v>
      </c>
      <c r="F4" s="121" t="s">
        <v>6</v>
      </c>
    </row>
    <row r="5" spans="1:14" s="137" customFormat="1" ht="18" customHeight="1">
      <c r="A5" s="180"/>
      <c r="B5" s="180"/>
      <c r="C5" s="171" t="s">
        <v>109</v>
      </c>
      <c r="D5" s="171" t="s">
        <v>110</v>
      </c>
      <c r="E5" s="171" t="s">
        <v>111</v>
      </c>
      <c r="F5" s="171" t="s">
        <v>112</v>
      </c>
    </row>
    <row r="6" spans="1:14" s="137" customFormat="1" ht="18" customHeight="1">
      <c r="A6" s="181"/>
      <c r="B6" s="181"/>
      <c r="C6" s="172"/>
      <c r="D6" s="172"/>
      <c r="E6" s="172"/>
      <c r="F6" s="172"/>
    </row>
    <row r="7" spans="1:14" s="142" customFormat="1" ht="24.95" customHeight="1">
      <c r="A7" s="138" t="s">
        <v>66</v>
      </c>
      <c r="B7" s="139" t="s">
        <v>12</v>
      </c>
      <c r="C7" s="140">
        <v>19926.8</v>
      </c>
      <c r="D7" s="122">
        <v>22475.399999999998</v>
      </c>
      <c r="E7" s="122">
        <v>23605.000000000004</v>
      </c>
      <c r="F7" s="122">
        <v>21295.200000000001</v>
      </c>
      <c r="G7" s="141"/>
      <c r="H7" s="141"/>
      <c r="I7" s="141"/>
      <c r="J7" s="141"/>
      <c r="K7" s="141"/>
      <c r="L7" s="141"/>
      <c r="M7" s="141"/>
      <c r="N7" s="141"/>
    </row>
    <row r="8" spans="1:14" s="142" customFormat="1" ht="24.95" customHeight="1">
      <c r="A8" s="98" t="s">
        <v>13</v>
      </c>
      <c r="B8" s="99" t="s">
        <v>93</v>
      </c>
      <c r="C8" s="123">
        <v>4360.6000000000004</v>
      </c>
      <c r="D8" s="123">
        <v>5135.9999999999982</v>
      </c>
      <c r="E8" s="123">
        <v>4520.2000000000007</v>
      </c>
      <c r="F8" s="123">
        <v>4174.2999999999993</v>
      </c>
      <c r="G8" s="141"/>
      <c r="H8" s="141"/>
      <c r="K8" s="141"/>
      <c r="L8" s="141"/>
      <c r="M8" s="141"/>
      <c r="N8" s="141"/>
    </row>
    <row r="9" spans="1:14" s="142" customFormat="1" ht="24.95" customHeight="1">
      <c r="A9" s="98" t="s">
        <v>15</v>
      </c>
      <c r="B9" s="99" t="s">
        <v>16</v>
      </c>
      <c r="C9" s="123">
        <v>2212.5</v>
      </c>
      <c r="D9" s="123">
        <v>2343.6000000000004</v>
      </c>
      <c r="E9" s="123">
        <v>2708.7</v>
      </c>
      <c r="F9" s="123">
        <v>1992.3000000000002</v>
      </c>
      <c r="G9" s="141"/>
      <c r="H9" s="141"/>
      <c r="K9" s="141"/>
      <c r="L9" s="141"/>
      <c r="M9" s="141"/>
      <c r="N9" s="141"/>
    </row>
    <row r="10" spans="1:14" s="142" customFormat="1" ht="24.95" customHeight="1">
      <c r="A10" s="98" t="s">
        <v>17</v>
      </c>
      <c r="B10" s="99" t="s">
        <v>18</v>
      </c>
      <c r="C10" s="123">
        <v>1090.8</v>
      </c>
      <c r="D10" s="123">
        <v>1464.0000000000002</v>
      </c>
      <c r="E10" s="123">
        <v>1182.8999999999999</v>
      </c>
      <c r="F10" s="123">
        <v>627.9</v>
      </c>
      <c r="G10" s="141"/>
      <c r="H10" s="141"/>
      <c r="K10" s="141"/>
      <c r="L10" s="141"/>
      <c r="M10" s="141"/>
      <c r="N10" s="141"/>
    </row>
    <row r="11" spans="1:14" s="142" customFormat="1" ht="24.95" customHeight="1">
      <c r="A11" s="98" t="s">
        <v>19</v>
      </c>
      <c r="B11" s="99" t="s">
        <v>20</v>
      </c>
      <c r="C11" s="123">
        <v>949.8</v>
      </c>
      <c r="D11" s="123">
        <v>1426.3</v>
      </c>
      <c r="E11" s="123">
        <v>1310.0999999999997</v>
      </c>
      <c r="F11" s="123">
        <v>1343.2</v>
      </c>
      <c r="G11" s="141"/>
      <c r="H11" s="141"/>
      <c r="K11" s="141"/>
      <c r="L11" s="141"/>
      <c r="M11" s="141"/>
      <c r="N11" s="141"/>
    </row>
    <row r="12" spans="1:14" s="142" customFormat="1" ht="24.95" customHeight="1">
      <c r="A12" s="98" t="s">
        <v>21</v>
      </c>
      <c r="B12" s="101" t="s">
        <v>22</v>
      </c>
      <c r="C12" s="123">
        <v>4159.5</v>
      </c>
      <c r="D12" s="123">
        <v>3956.1000000000004</v>
      </c>
      <c r="E12" s="123">
        <v>4783.5</v>
      </c>
      <c r="F12" s="123">
        <v>6024.9</v>
      </c>
      <c r="G12" s="141"/>
      <c r="H12" s="141"/>
      <c r="K12" s="141"/>
      <c r="L12" s="141"/>
      <c r="M12" s="141"/>
      <c r="N12" s="141"/>
    </row>
    <row r="13" spans="1:14" s="142" customFormat="1" ht="24.95" customHeight="1">
      <c r="A13" s="98" t="s">
        <v>23</v>
      </c>
      <c r="B13" s="102" t="s">
        <v>24</v>
      </c>
      <c r="C13" s="123">
        <v>5217.8</v>
      </c>
      <c r="D13" s="123">
        <v>5843.7</v>
      </c>
      <c r="E13" s="123">
        <v>6277.2</v>
      </c>
      <c r="F13" s="123">
        <v>5322.8999999999969</v>
      </c>
      <c r="G13" s="141"/>
      <c r="H13" s="141"/>
      <c r="K13" s="141"/>
      <c r="L13" s="141"/>
      <c r="M13" s="141"/>
      <c r="N13" s="141"/>
    </row>
    <row r="14" spans="1:14" s="142" customFormat="1" ht="24.95" customHeight="1">
      <c r="A14" s="98" t="s">
        <v>25</v>
      </c>
      <c r="B14" s="103" t="s">
        <v>26</v>
      </c>
      <c r="C14" s="123">
        <v>129.5</v>
      </c>
      <c r="D14" s="123">
        <v>156.39999999999998</v>
      </c>
      <c r="E14" s="123">
        <v>165.8</v>
      </c>
      <c r="F14" s="123">
        <v>135.50000000000006</v>
      </c>
      <c r="G14" s="141"/>
      <c r="H14" s="141"/>
      <c r="K14" s="141"/>
      <c r="L14" s="141"/>
      <c r="M14" s="141"/>
      <c r="N14" s="141"/>
    </row>
    <row r="15" spans="1:14" s="142" customFormat="1" ht="24.95" customHeight="1">
      <c r="A15" s="98" t="s">
        <v>27</v>
      </c>
      <c r="B15" s="102" t="s">
        <v>28</v>
      </c>
      <c r="C15" s="123">
        <v>116.6</v>
      </c>
      <c r="D15" s="123">
        <v>130.6</v>
      </c>
      <c r="E15" s="123">
        <v>180.9</v>
      </c>
      <c r="F15" s="123">
        <v>108.80000000000001</v>
      </c>
      <c r="G15" s="141"/>
      <c r="H15" s="141"/>
      <c r="K15" s="141"/>
      <c r="L15" s="141"/>
      <c r="M15" s="141"/>
      <c r="N15" s="141"/>
    </row>
    <row r="16" spans="1:14" s="142" customFormat="1" ht="24.95" customHeight="1">
      <c r="A16" s="104" t="s">
        <v>29</v>
      </c>
      <c r="B16" s="105" t="s">
        <v>30</v>
      </c>
      <c r="C16" s="124">
        <v>1689.7000000000003</v>
      </c>
      <c r="D16" s="124">
        <v>2018.699999999998</v>
      </c>
      <c r="E16" s="124">
        <v>2475.6999999999994</v>
      </c>
      <c r="F16" s="124">
        <v>1565.4</v>
      </c>
      <c r="G16" s="141"/>
      <c r="H16" s="141"/>
      <c r="K16" s="141"/>
      <c r="L16" s="141"/>
      <c r="M16" s="141"/>
      <c r="N16" s="141"/>
    </row>
    <row r="17" spans="1:10" ht="18.75" customHeight="1">
      <c r="A17" s="143" t="s">
        <v>96</v>
      </c>
      <c r="B17" s="129" t="s">
        <v>32</v>
      </c>
      <c r="C17" s="146"/>
      <c r="E17" s="141"/>
      <c r="F17" s="141"/>
      <c r="G17" s="141"/>
      <c r="H17" s="141"/>
      <c r="I17" s="141"/>
      <c r="J17" s="141"/>
    </row>
    <row r="18" spans="1:10">
      <c r="B18" s="147"/>
      <c r="C18" s="147"/>
    </row>
    <row r="19" spans="1:10" ht="15">
      <c r="A19" s="114"/>
      <c r="B19" s="148"/>
      <c r="C19" s="148"/>
    </row>
    <row r="20" spans="1:10" ht="15">
      <c r="A20" s="114"/>
      <c r="B20" s="148"/>
      <c r="C20" s="148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0A64-1C55-447E-8E55-64952B597BC5}">
  <sheetPr>
    <pageSetUpPr fitToPage="1"/>
  </sheetPr>
  <dimension ref="A1:K20"/>
  <sheetViews>
    <sheetView view="pageBreakPreview" zoomScale="87" zoomScaleNormal="100" zoomScaleSheetLayoutView="87" workbookViewId="0">
      <selection activeCell="F5" sqref="F5:F6"/>
    </sheetView>
  </sheetViews>
  <sheetFormatPr defaultRowHeight="14.25"/>
  <cols>
    <col min="1" max="1" width="44.140625" style="134" bestFit="1" customWidth="1"/>
    <col min="2" max="2" width="65" style="134" customWidth="1"/>
    <col min="3" max="4" width="23" style="134" customWidth="1"/>
    <col min="5" max="5" width="23.85546875" style="134" customWidth="1"/>
    <col min="6" max="6" width="22" style="134" customWidth="1"/>
    <col min="7" max="16384" width="9.140625" style="134"/>
  </cols>
  <sheetData>
    <row r="1" spans="1:11" ht="22.5">
      <c r="A1" s="132"/>
      <c r="B1" s="133"/>
      <c r="C1" s="133"/>
      <c r="D1" s="133"/>
    </row>
    <row r="2" spans="1:11" ht="20.25">
      <c r="A2" s="178" t="s">
        <v>92</v>
      </c>
      <c r="B2" s="178"/>
      <c r="C2" s="178"/>
      <c r="D2" s="178"/>
      <c r="E2" s="178"/>
      <c r="F2" s="178"/>
    </row>
    <row r="3" spans="1:11" ht="15.75">
      <c r="A3" s="135"/>
      <c r="B3" s="90"/>
      <c r="D3" s="153"/>
      <c r="F3" s="149" t="s">
        <v>57</v>
      </c>
    </row>
    <row r="4" spans="1:11" s="137" customFormat="1" ht="18.75">
      <c r="A4" s="179" t="s">
        <v>1</v>
      </c>
      <c r="B4" s="179" t="s">
        <v>2</v>
      </c>
      <c r="C4" s="121" t="s">
        <v>3</v>
      </c>
      <c r="D4" s="121" t="s">
        <v>4</v>
      </c>
      <c r="E4" s="121" t="s">
        <v>5</v>
      </c>
      <c r="F4" s="121" t="s">
        <v>6</v>
      </c>
    </row>
    <row r="5" spans="1:11" s="137" customFormat="1" ht="18" customHeight="1">
      <c r="A5" s="180"/>
      <c r="B5" s="180"/>
      <c r="C5" s="171" t="s">
        <v>117</v>
      </c>
      <c r="D5" s="171" t="s">
        <v>118</v>
      </c>
      <c r="E5" s="171" t="s">
        <v>119</v>
      </c>
      <c r="F5" s="171" t="s">
        <v>120</v>
      </c>
    </row>
    <row r="6" spans="1:11" s="137" customFormat="1" ht="18" customHeight="1">
      <c r="A6" s="181"/>
      <c r="B6" s="181"/>
      <c r="C6" s="172"/>
      <c r="D6" s="172"/>
      <c r="E6" s="172"/>
      <c r="F6" s="172"/>
    </row>
    <row r="7" spans="1:11" s="142" customFormat="1" ht="24.95" customHeight="1">
      <c r="A7" s="138" t="s">
        <v>66</v>
      </c>
      <c r="B7" s="139" t="s">
        <v>12</v>
      </c>
      <c r="C7" s="140">
        <v>19067.400000000001</v>
      </c>
      <c r="D7" s="140">
        <v>17987.400000000001</v>
      </c>
      <c r="E7" s="150">
        <v>17551.399999999994</v>
      </c>
      <c r="F7" s="150">
        <v>16177.400000000009</v>
      </c>
      <c r="G7" s="141"/>
      <c r="H7" s="141"/>
      <c r="I7" s="141"/>
      <c r="J7" s="141"/>
      <c r="K7" s="141"/>
    </row>
    <row r="8" spans="1:11" s="142" customFormat="1" ht="24.95" customHeight="1">
      <c r="A8" s="98" t="s">
        <v>13</v>
      </c>
      <c r="B8" s="99" t="s">
        <v>93</v>
      </c>
      <c r="C8" s="123">
        <v>3890.8</v>
      </c>
      <c r="D8" s="123">
        <v>3906.3</v>
      </c>
      <c r="E8" s="151">
        <v>3808.3999999999996</v>
      </c>
      <c r="F8" s="151">
        <v>3275.3999999999996</v>
      </c>
      <c r="H8" s="141"/>
      <c r="I8" s="141"/>
      <c r="J8" s="141"/>
      <c r="K8" s="141"/>
    </row>
    <row r="9" spans="1:11" s="142" customFormat="1" ht="24.95" customHeight="1">
      <c r="A9" s="98" t="s">
        <v>15</v>
      </c>
      <c r="B9" s="99" t="s">
        <v>16</v>
      </c>
      <c r="C9" s="123">
        <v>1696.7</v>
      </c>
      <c r="D9" s="123">
        <v>1756.2</v>
      </c>
      <c r="E9" s="151">
        <v>1656.1000000000001</v>
      </c>
      <c r="F9" s="151">
        <v>1576.6000000000001</v>
      </c>
      <c r="H9" s="141"/>
      <c r="I9" s="141"/>
      <c r="J9" s="141"/>
      <c r="K9" s="141"/>
    </row>
    <row r="10" spans="1:11" s="142" customFormat="1" ht="24.95" customHeight="1">
      <c r="A10" s="98" t="s">
        <v>17</v>
      </c>
      <c r="B10" s="99" t="s">
        <v>18</v>
      </c>
      <c r="C10" s="123">
        <v>490.7</v>
      </c>
      <c r="D10" s="123">
        <v>735.2</v>
      </c>
      <c r="E10" s="151">
        <v>960.59999999999991</v>
      </c>
      <c r="F10" s="151">
        <v>850.09999999999991</v>
      </c>
      <c r="H10" s="141"/>
      <c r="I10" s="141"/>
      <c r="J10" s="141"/>
      <c r="K10" s="141"/>
    </row>
    <row r="11" spans="1:11" s="142" customFormat="1" ht="24.95" customHeight="1">
      <c r="A11" s="98" t="s">
        <v>19</v>
      </c>
      <c r="B11" s="99" t="s">
        <v>20</v>
      </c>
      <c r="C11" s="123">
        <v>1183.4000000000001</v>
      </c>
      <c r="D11" s="123">
        <v>999.5</v>
      </c>
      <c r="E11" s="151">
        <v>1137.0999999999999</v>
      </c>
      <c r="F11" s="151">
        <v>885.80000000000018</v>
      </c>
      <c r="H11" s="141"/>
      <c r="I11" s="141"/>
      <c r="J11" s="141"/>
      <c r="K11" s="141"/>
    </row>
    <row r="12" spans="1:11" s="142" customFormat="1" ht="24.95" customHeight="1">
      <c r="A12" s="98" t="s">
        <v>21</v>
      </c>
      <c r="B12" s="101" t="s">
        <v>22</v>
      </c>
      <c r="C12" s="123">
        <v>4570.5</v>
      </c>
      <c r="D12" s="123">
        <v>3448.8999999999996</v>
      </c>
      <c r="E12" s="151">
        <v>3334</v>
      </c>
      <c r="F12" s="151">
        <v>3122.6000000000004</v>
      </c>
      <c r="H12" s="141"/>
      <c r="I12" s="141"/>
      <c r="J12" s="141"/>
      <c r="K12" s="141"/>
    </row>
    <row r="13" spans="1:11" s="142" customFormat="1" ht="24.95" customHeight="1">
      <c r="A13" s="98" t="s">
        <v>23</v>
      </c>
      <c r="B13" s="102" t="s">
        <v>24</v>
      </c>
      <c r="C13" s="123">
        <v>4659.5</v>
      </c>
      <c r="D13" s="123">
        <v>4247.3999999999996</v>
      </c>
      <c r="E13" s="151">
        <v>4207.1000000000004</v>
      </c>
      <c r="F13" s="151">
        <v>4051.5999999999985</v>
      </c>
      <c r="H13" s="141"/>
      <c r="I13" s="141"/>
      <c r="J13" s="141"/>
      <c r="K13" s="141"/>
    </row>
    <row r="14" spans="1:11" s="142" customFormat="1" ht="24.95" customHeight="1">
      <c r="A14" s="98" t="s">
        <v>25</v>
      </c>
      <c r="B14" s="103" t="s">
        <v>26</v>
      </c>
      <c r="C14" s="123">
        <v>153</v>
      </c>
      <c r="D14" s="123">
        <v>116.80000000000001</v>
      </c>
      <c r="E14" s="151">
        <v>74.399999999999977</v>
      </c>
      <c r="F14" s="151">
        <v>124.69999999999999</v>
      </c>
      <c r="H14" s="141"/>
      <c r="I14" s="141"/>
      <c r="J14" s="141"/>
      <c r="K14" s="141"/>
    </row>
    <row r="15" spans="1:11" s="142" customFormat="1" ht="24.95" customHeight="1">
      <c r="A15" s="98" t="s">
        <v>27</v>
      </c>
      <c r="B15" s="102" t="s">
        <v>28</v>
      </c>
      <c r="C15" s="123">
        <v>99.1</v>
      </c>
      <c r="D15" s="123">
        <v>93.200000000000017</v>
      </c>
      <c r="E15" s="151">
        <v>102.80000000000001</v>
      </c>
      <c r="F15" s="151">
        <v>66</v>
      </c>
      <c r="H15" s="141"/>
      <c r="I15" s="141"/>
      <c r="J15" s="141"/>
      <c r="K15" s="141"/>
    </row>
    <row r="16" spans="1:11" s="142" customFormat="1" ht="24.95" customHeight="1">
      <c r="A16" s="104" t="s">
        <v>29</v>
      </c>
      <c r="B16" s="105" t="s">
        <v>30</v>
      </c>
      <c r="C16" s="124">
        <v>2323.7000000000012</v>
      </c>
      <c r="D16" s="124">
        <v>2683.8999999999992</v>
      </c>
      <c r="E16" s="152">
        <v>2270.9</v>
      </c>
      <c r="F16" s="152">
        <v>2224.6</v>
      </c>
      <c r="H16" s="141"/>
      <c r="I16" s="141"/>
      <c r="J16" s="141"/>
      <c r="K16" s="141"/>
    </row>
    <row r="17" spans="1:7" ht="18.75" customHeight="1">
      <c r="A17" s="143" t="s">
        <v>96</v>
      </c>
      <c r="B17" s="129" t="s">
        <v>32</v>
      </c>
      <c r="C17" s="146"/>
      <c r="D17" s="146"/>
      <c r="E17" s="141"/>
      <c r="F17" s="141"/>
      <c r="G17" s="141"/>
    </row>
    <row r="18" spans="1:7">
      <c r="B18" s="147"/>
      <c r="C18" s="147"/>
      <c r="D18" s="147"/>
    </row>
    <row r="19" spans="1:7" ht="15">
      <c r="A19" s="114"/>
      <c r="B19" s="148"/>
      <c r="C19" s="148"/>
      <c r="D19" s="148"/>
    </row>
    <row r="20" spans="1:7" ht="15">
      <c r="A20" s="114"/>
      <c r="B20" s="148"/>
      <c r="C20" s="148"/>
      <c r="D20" s="148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C717-AA90-4656-9022-1AE7B9613E8F}">
  <sheetPr>
    <pageSetUpPr fitToPage="1"/>
  </sheetPr>
  <dimension ref="A1:F21"/>
  <sheetViews>
    <sheetView view="pageBreakPreview" zoomScaleNormal="100" zoomScaleSheetLayoutView="100" workbookViewId="0">
      <selection activeCell="F4" sqref="F4:F6"/>
    </sheetView>
  </sheetViews>
  <sheetFormatPr defaultRowHeight="14.25"/>
  <cols>
    <col min="1" max="1" width="38.5703125" style="134" bestFit="1" customWidth="1"/>
    <col min="2" max="2" width="56.85546875" style="134" customWidth="1"/>
    <col min="3" max="3" width="20.140625" style="134" customWidth="1"/>
    <col min="4" max="5" width="21.85546875" style="134" customWidth="1"/>
    <col min="6" max="6" width="21.7109375" style="134" customWidth="1"/>
    <col min="7" max="16384" width="9.140625" style="134"/>
  </cols>
  <sheetData>
    <row r="1" spans="1:6" ht="22.5">
      <c r="A1" s="132"/>
      <c r="B1" s="133"/>
      <c r="C1" s="133"/>
    </row>
    <row r="2" spans="1:6" ht="20.25">
      <c r="A2" s="178" t="s">
        <v>92</v>
      </c>
      <c r="B2" s="178"/>
      <c r="C2" s="178"/>
      <c r="D2" s="178"/>
      <c r="E2" s="178"/>
      <c r="F2" s="178"/>
    </row>
    <row r="3" spans="1:6" ht="15.75">
      <c r="A3" s="135"/>
      <c r="B3" s="90"/>
      <c r="F3" s="149" t="s">
        <v>57</v>
      </c>
    </row>
    <row r="4" spans="1:6" s="137" customFormat="1" ht="18.75">
      <c r="A4" s="179" t="s">
        <v>1</v>
      </c>
      <c r="B4" s="179" t="s">
        <v>2</v>
      </c>
      <c r="C4" s="121" t="s">
        <v>3</v>
      </c>
      <c r="D4" s="121" t="s">
        <v>4</v>
      </c>
      <c r="E4" s="121" t="s">
        <v>5</v>
      </c>
      <c r="F4" s="121" t="s">
        <v>6</v>
      </c>
    </row>
    <row r="5" spans="1:6" s="137" customFormat="1" ht="18" customHeight="1">
      <c r="A5" s="180"/>
      <c r="B5" s="180"/>
      <c r="C5" s="171" t="s">
        <v>105</v>
      </c>
      <c r="D5" s="171" t="s">
        <v>106</v>
      </c>
      <c r="E5" s="171" t="s">
        <v>107</v>
      </c>
      <c r="F5" s="171" t="s">
        <v>108</v>
      </c>
    </row>
    <row r="6" spans="1:6" s="137" customFormat="1" ht="18" customHeight="1">
      <c r="A6" s="181"/>
      <c r="B6" s="181"/>
      <c r="C6" s="172"/>
      <c r="D6" s="172"/>
      <c r="E6" s="172"/>
      <c r="F6" s="172"/>
    </row>
    <row r="7" spans="1:6" s="142" customFormat="1" ht="24.95" customHeight="1">
      <c r="A7" s="138" t="s">
        <v>66</v>
      </c>
      <c r="B7" s="139" t="s">
        <v>12</v>
      </c>
      <c r="C7" s="150">
        <v>16269.8</v>
      </c>
      <c r="D7" s="150">
        <v>18836.5</v>
      </c>
      <c r="E7" s="150">
        <v>17813.8</v>
      </c>
      <c r="F7" s="150">
        <v>19214.599999999999</v>
      </c>
    </row>
    <row r="8" spans="1:6" s="142" customFormat="1" ht="24.95" customHeight="1">
      <c r="A8" s="98" t="s">
        <v>13</v>
      </c>
      <c r="B8" s="99" t="s">
        <v>93</v>
      </c>
      <c r="C8" s="151">
        <v>3690.9</v>
      </c>
      <c r="D8" s="151">
        <v>4070.9999999999995</v>
      </c>
      <c r="E8" s="151">
        <v>3924.3000000000006</v>
      </c>
      <c r="F8" s="151">
        <v>4093.3999999999996</v>
      </c>
    </row>
    <row r="9" spans="1:6" s="142" customFormat="1" ht="24.95" customHeight="1">
      <c r="A9" s="98" t="s">
        <v>15</v>
      </c>
      <c r="B9" s="99" t="s">
        <v>16</v>
      </c>
      <c r="C9" s="151">
        <v>1733.6</v>
      </c>
      <c r="D9" s="151">
        <v>1944.1</v>
      </c>
      <c r="E9" s="151">
        <v>2001</v>
      </c>
      <c r="F9" s="151">
        <v>2011.6000000000004</v>
      </c>
    </row>
    <row r="10" spans="1:6" s="142" customFormat="1" ht="24.95" customHeight="1">
      <c r="A10" s="98" t="s">
        <v>17</v>
      </c>
      <c r="B10" s="99" t="s">
        <v>18</v>
      </c>
      <c r="C10" s="151">
        <v>694.1</v>
      </c>
      <c r="D10" s="151">
        <v>868.30000000000007</v>
      </c>
      <c r="E10" s="151">
        <v>1190.1999999999998</v>
      </c>
      <c r="F10" s="151">
        <v>1504.0000000000005</v>
      </c>
    </row>
    <row r="11" spans="1:6" s="142" customFormat="1" ht="24.95" customHeight="1">
      <c r="A11" s="98" t="s">
        <v>19</v>
      </c>
      <c r="B11" s="99" t="s">
        <v>20</v>
      </c>
      <c r="C11" s="151">
        <v>816.6</v>
      </c>
      <c r="D11" s="151">
        <v>887.49999999999989</v>
      </c>
      <c r="E11" s="151">
        <v>1001.7000000000002</v>
      </c>
      <c r="F11" s="151">
        <v>1238.2999999999997</v>
      </c>
    </row>
    <row r="12" spans="1:6" s="142" customFormat="1" ht="24.95" customHeight="1">
      <c r="A12" s="98" t="s">
        <v>21</v>
      </c>
      <c r="B12" s="101" t="s">
        <v>22</v>
      </c>
      <c r="C12" s="151">
        <v>3347.2</v>
      </c>
      <c r="D12" s="151">
        <v>3802.4000000000005</v>
      </c>
      <c r="E12" s="151">
        <v>3470.5</v>
      </c>
      <c r="F12" s="151">
        <v>3559.5</v>
      </c>
    </row>
    <row r="13" spans="1:6" s="142" customFormat="1" ht="24.95" customHeight="1">
      <c r="A13" s="98" t="s">
        <v>23</v>
      </c>
      <c r="B13" s="102" t="s">
        <v>24</v>
      </c>
      <c r="C13" s="151">
        <v>3769.3</v>
      </c>
      <c r="D13" s="151">
        <v>4132.5999999999995</v>
      </c>
      <c r="E13" s="151">
        <v>4506.4999999999991</v>
      </c>
      <c r="F13" s="151">
        <v>4746.0000000000018</v>
      </c>
    </row>
    <row r="14" spans="1:6" s="142" customFormat="1" ht="24.95" customHeight="1">
      <c r="A14" s="98" t="s">
        <v>25</v>
      </c>
      <c r="B14" s="103" t="s">
        <v>26</v>
      </c>
      <c r="C14" s="151">
        <v>116.5</v>
      </c>
      <c r="D14" s="151">
        <v>90.300000000000011</v>
      </c>
      <c r="E14" s="151">
        <v>81.699999999999989</v>
      </c>
      <c r="F14" s="151">
        <v>118.69999999999999</v>
      </c>
    </row>
    <row r="15" spans="1:6" s="142" customFormat="1" ht="24.95" customHeight="1">
      <c r="A15" s="98" t="s">
        <v>27</v>
      </c>
      <c r="B15" s="102" t="s">
        <v>28</v>
      </c>
      <c r="C15" s="151">
        <v>79.5</v>
      </c>
      <c r="D15" s="151">
        <v>113.9</v>
      </c>
      <c r="E15" s="151">
        <v>107.1</v>
      </c>
      <c r="F15" s="151">
        <v>63.199999999999989</v>
      </c>
    </row>
    <row r="16" spans="1:6" s="142" customFormat="1" ht="24.95" customHeight="1">
      <c r="A16" s="104" t="s">
        <v>29</v>
      </c>
      <c r="B16" s="105" t="s">
        <v>30</v>
      </c>
      <c r="C16" s="152">
        <v>2022.0999999999985</v>
      </c>
      <c r="D16" s="152">
        <v>2926.4000000000024</v>
      </c>
      <c r="E16" s="152">
        <v>1530.7999999999965</v>
      </c>
      <c r="F16" s="152">
        <v>1879.8999999999996</v>
      </c>
    </row>
    <row r="17" spans="1:3" ht="20.25">
      <c r="A17" s="143" t="s">
        <v>94</v>
      </c>
      <c r="B17" s="144" t="s">
        <v>95</v>
      </c>
      <c r="C17" s="145"/>
    </row>
    <row r="18" spans="1:3" ht="18.75" customHeight="1">
      <c r="A18" s="143" t="s">
        <v>96</v>
      </c>
      <c r="B18" s="129" t="s">
        <v>32</v>
      </c>
      <c r="C18" s="146"/>
    </row>
    <row r="19" spans="1:3">
      <c r="B19" s="147"/>
      <c r="C19" s="147"/>
    </row>
    <row r="20" spans="1:3" ht="15">
      <c r="A20" s="114"/>
      <c r="B20" s="148"/>
      <c r="C20" s="148"/>
    </row>
    <row r="21" spans="1:3" ht="14.25" customHeight="1">
      <c r="A21" s="114"/>
      <c r="B21" s="148"/>
      <c r="C21" s="148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60F7-28C7-4C1A-AEC1-66D954535639}">
  <sheetPr>
    <pageSetUpPr fitToPage="1"/>
  </sheetPr>
  <dimension ref="A1:F21"/>
  <sheetViews>
    <sheetView view="pageBreakPreview" zoomScaleNormal="100" zoomScaleSheetLayoutView="100" workbookViewId="0">
      <selection activeCell="E4" sqref="E4:E6"/>
    </sheetView>
  </sheetViews>
  <sheetFormatPr defaultRowHeight="14.25"/>
  <cols>
    <col min="1" max="1" width="38.5703125" style="134" bestFit="1" customWidth="1"/>
    <col min="2" max="2" width="56.85546875" style="134" customWidth="1"/>
    <col min="3" max="6" width="22.7109375" style="134" customWidth="1"/>
    <col min="7" max="16384" width="9.140625" style="134"/>
  </cols>
  <sheetData>
    <row r="1" spans="1:6" ht="22.5">
      <c r="A1" s="132"/>
      <c r="B1" s="133"/>
      <c r="C1" s="133"/>
    </row>
    <row r="2" spans="1:6" ht="20.25">
      <c r="A2" s="178" t="s">
        <v>92</v>
      </c>
      <c r="B2" s="178"/>
      <c r="C2" s="178"/>
      <c r="D2" s="178"/>
      <c r="E2" s="178"/>
      <c r="F2" s="178"/>
    </row>
    <row r="3" spans="1:6" ht="15.75">
      <c r="A3" s="135"/>
      <c r="B3" s="90"/>
      <c r="F3" s="149" t="s">
        <v>57</v>
      </c>
    </row>
    <row r="4" spans="1:6" s="137" customFormat="1" ht="18.75">
      <c r="A4" s="179" t="s">
        <v>1</v>
      </c>
      <c r="B4" s="179" t="s">
        <v>2</v>
      </c>
      <c r="C4" s="121" t="s">
        <v>3</v>
      </c>
      <c r="D4" s="121" t="s">
        <v>4</v>
      </c>
      <c r="E4" s="121" t="s">
        <v>5</v>
      </c>
      <c r="F4" s="121" t="s">
        <v>6</v>
      </c>
    </row>
    <row r="5" spans="1:6" s="137" customFormat="1" ht="18" customHeight="1">
      <c r="A5" s="180"/>
      <c r="B5" s="180"/>
      <c r="C5" s="171" t="s">
        <v>113</v>
      </c>
      <c r="D5" s="171" t="s">
        <v>114</v>
      </c>
      <c r="E5" s="171" t="s">
        <v>115</v>
      </c>
      <c r="F5" s="171" t="s">
        <v>116</v>
      </c>
    </row>
    <row r="6" spans="1:6" s="137" customFormat="1" ht="18" customHeight="1">
      <c r="A6" s="181"/>
      <c r="B6" s="181"/>
      <c r="C6" s="172"/>
      <c r="D6" s="172"/>
      <c r="E6" s="172"/>
      <c r="F6" s="172"/>
    </row>
    <row r="7" spans="1:6" s="142" customFormat="1" ht="24.95" customHeight="1">
      <c r="A7" s="138" t="s">
        <v>66</v>
      </c>
      <c r="B7" s="139" t="s">
        <v>12</v>
      </c>
      <c r="C7" s="150">
        <v>23149.200000000001</v>
      </c>
      <c r="D7" s="150">
        <v>23063.100000000002</v>
      </c>
      <c r="E7" s="150">
        <v>21871.499999999996</v>
      </c>
      <c r="F7" s="150">
        <v>23130.599999999988</v>
      </c>
    </row>
    <row r="8" spans="1:6" s="142" customFormat="1" ht="24.95" customHeight="1">
      <c r="A8" s="98" t="s">
        <v>13</v>
      </c>
      <c r="B8" s="99" t="s">
        <v>93</v>
      </c>
      <c r="C8" s="151">
        <v>4495.1000000000004</v>
      </c>
      <c r="D8" s="151">
        <v>4402.2999999999993</v>
      </c>
      <c r="E8" s="151">
        <v>4041.3000000000011</v>
      </c>
      <c r="F8" s="151">
        <v>4118</v>
      </c>
    </row>
    <row r="9" spans="1:6" s="142" customFormat="1" ht="24.95" customHeight="1">
      <c r="A9" s="98" t="s">
        <v>15</v>
      </c>
      <c r="B9" s="99" t="s">
        <v>16</v>
      </c>
      <c r="C9" s="151">
        <v>2288.4</v>
      </c>
      <c r="D9" s="151">
        <v>2146.6</v>
      </c>
      <c r="E9" s="151">
        <v>1916.9999999999995</v>
      </c>
      <c r="F9" s="151">
        <v>1845.6</v>
      </c>
    </row>
    <row r="10" spans="1:6" s="142" customFormat="1" ht="24.95" customHeight="1">
      <c r="A10" s="98" t="s">
        <v>17</v>
      </c>
      <c r="B10" s="99" t="s">
        <v>18</v>
      </c>
      <c r="C10" s="151">
        <v>1359.8</v>
      </c>
      <c r="D10" s="151">
        <v>1384.2</v>
      </c>
      <c r="E10" s="151">
        <v>1394.2</v>
      </c>
      <c r="F10" s="151">
        <v>1123.0000000000002</v>
      </c>
    </row>
    <row r="11" spans="1:6" s="142" customFormat="1" ht="24.95" customHeight="1">
      <c r="A11" s="98" t="s">
        <v>19</v>
      </c>
      <c r="B11" s="99" t="s">
        <v>20</v>
      </c>
      <c r="C11" s="151">
        <v>1916.7</v>
      </c>
      <c r="D11" s="151">
        <v>1973.4999999999998</v>
      </c>
      <c r="E11" s="151">
        <v>2448</v>
      </c>
      <c r="F11" s="151">
        <v>2372.0999999999995</v>
      </c>
    </row>
    <row r="12" spans="1:6" s="142" customFormat="1" ht="24.95" customHeight="1">
      <c r="A12" s="98" t="s">
        <v>21</v>
      </c>
      <c r="B12" s="101" t="s">
        <v>22</v>
      </c>
      <c r="C12" s="151">
        <v>4544.7</v>
      </c>
      <c r="D12" s="151">
        <v>4400.3</v>
      </c>
      <c r="E12" s="151">
        <v>3879.0000000000009</v>
      </c>
      <c r="F12" s="151">
        <v>4659.3</v>
      </c>
    </row>
    <row r="13" spans="1:6" s="142" customFormat="1" ht="24.95" customHeight="1">
      <c r="A13" s="98" t="s">
        <v>23</v>
      </c>
      <c r="B13" s="102" t="s">
        <v>24</v>
      </c>
      <c r="C13" s="151">
        <v>6037.3</v>
      </c>
      <c r="D13" s="151">
        <v>5951.9000000000005</v>
      </c>
      <c r="E13" s="151">
        <v>5822.9999999999991</v>
      </c>
      <c r="F13" s="151">
        <v>5818.7</v>
      </c>
    </row>
    <row r="14" spans="1:6" s="142" customFormat="1" ht="24.95" customHeight="1">
      <c r="A14" s="98" t="s">
        <v>25</v>
      </c>
      <c r="B14" s="103" t="s">
        <v>26</v>
      </c>
      <c r="C14" s="151">
        <v>257.2</v>
      </c>
      <c r="D14" s="151">
        <v>239.8</v>
      </c>
      <c r="E14" s="151">
        <v>164.5</v>
      </c>
      <c r="F14" s="151">
        <v>175.20000000000005</v>
      </c>
    </row>
    <row r="15" spans="1:6" s="142" customFormat="1" ht="24.95" customHeight="1">
      <c r="A15" s="98" t="s">
        <v>27</v>
      </c>
      <c r="B15" s="102" t="s">
        <v>28</v>
      </c>
      <c r="C15" s="151">
        <v>123.9</v>
      </c>
      <c r="D15" s="151">
        <v>89.6</v>
      </c>
      <c r="E15" s="151">
        <v>106.80000000000001</v>
      </c>
      <c r="F15" s="151">
        <v>77.699999999999989</v>
      </c>
    </row>
    <row r="16" spans="1:6" s="142" customFormat="1" ht="24.95" customHeight="1">
      <c r="A16" s="104" t="s">
        <v>29</v>
      </c>
      <c r="B16" s="105" t="s">
        <v>30</v>
      </c>
      <c r="C16" s="152">
        <v>2126.1</v>
      </c>
      <c r="D16" s="152">
        <v>2474.9</v>
      </c>
      <c r="E16" s="152">
        <v>2097.6999999999998</v>
      </c>
      <c r="F16" s="152">
        <v>2941</v>
      </c>
    </row>
    <row r="17" spans="1:6" ht="20.25">
      <c r="A17" s="143" t="s">
        <v>94</v>
      </c>
      <c r="B17" s="144" t="s">
        <v>95</v>
      </c>
      <c r="C17" s="145"/>
    </row>
    <row r="18" spans="1:6" ht="18.75" customHeight="1">
      <c r="A18" s="143" t="s">
        <v>96</v>
      </c>
      <c r="B18" s="129" t="s">
        <v>32</v>
      </c>
      <c r="C18" s="146"/>
    </row>
    <row r="19" spans="1:6">
      <c r="B19" s="147"/>
      <c r="C19" s="147"/>
    </row>
    <row r="20" spans="1:6" ht="15">
      <c r="A20" s="114"/>
      <c r="B20" s="148"/>
      <c r="C20" s="148"/>
    </row>
    <row r="21" spans="1:6" ht="14.25" customHeight="1">
      <c r="A21" s="114"/>
      <c r="B21" s="148"/>
      <c r="C21" s="148"/>
      <c r="F21" s="154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6142-1496-4560-9BFC-2A22ED2B3A86}">
  <dimension ref="A1:E21"/>
  <sheetViews>
    <sheetView tabSelected="1" view="pageBreakPreview" zoomScale="80" zoomScaleNormal="100" zoomScaleSheetLayoutView="80" workbookViewId="0">
      <selection activeCell="D17" sqref="D17"/>
    </sheetView>
  </sheetViews>
  <sheetFormatPr defaultRowHeight="14.25"/>
  <cols>
    <col min="1" max="1" width="38.5703125" style="134" bestFit="1" customWidth="1"/>
    <col min="2" max="2" width="56.85546875" style="134" customWidth="1"/>
    <col min="3" max="5" width="22.7109375" style="134" customWidth="1"/>
    <col min="6" max="16384" width="9.140625" style="134"/>
  </cols>
  <sheetData>
    <row r="1" spans="1:5" ht="22.5">
      <c r="A1" s="132"/>
      <c r="B1" s="133"/>
      <c r="C1" s="133"/>
    </row>
    <row r="2" spans="1:5" ht="20.25">
      <c r="A2" s="178" t="s">
        <v>92</v>
      </c>
      <c r="B2" s="178"/>
      <c r="C2" s="178"/>
      <c r="D2" s="178"/>
      <c r="E2" s="178"/>
    </row>
    <row r="3" spans="1:5" ht="15.75">
      <c r="A3" s="135"/>
      <c r="B3" s="90"/>
      <c r="E3" s="149" t="s">
        <v>57</v>
      </c>
    </row>
    <row r="4" spans="1:5" s="137" customFormat="1" ht="18.75">
      <c r="A4" s="179" t="s">
        <v>1</v>
      </c>
      <c r="B4" s="179" t="s">
        <v>2</v>
      </c>
      <c r="C4" s="121" t="s">
        <v>3</v>
      </c>
      <c r="D4" s="121" t="s">
        <v>4</v>
      </c>
      <c r="E4" s="121" t="s">
        <v>5</v>
      </c>
    </row>
    <row r="5" spans="1:5" s="137" customFormat="1" ht="18" customHeight="1">
      <c r="A5" s="180"/>
      <c r="B5" s="180"/>
      <c r="C5" s="171" t="s">
        <v>121</v>
      </c>
      <c r="D5" s="171" t="s">
        <v>122</v>
      </c>
      <c r="E5" s="171" t="s">
        <v>123</v>
      </c>
    </row>
    <row r="6" spans="1:5" s="137" customFormat="1" ht="18" customHeight="1">
      <c r="A6" s="181"/>
      <c r="B6" s="181"/>
      <c r="C6" s="172"/>
      <c r="D6" s="172"/>
      <c r="E6" s="172"/>
    </row>
    <row r="7" spans="1:5" s="142" customFormat="1" ht="24.95" customHeight="1">
      <c r="A7" s="138" t="s">
        <v>66</v>
      </c>
      <c r="B7" s="139" t="s">
        <v>12</v>
      </c>
      <c r="C7" s="155">
        <v>25706.3</v>
      </c>
      <c r="D7" s="155">
        <v>26940.7</v>
      </c>
      <c r="E7" s="155">
        <v>26595.000000000004</v>
      </c>
    </row>
    <row r="8" spans="1:5" s="142" customFormat="1" ht="24.95" customHeight="1">
      <c r="A8" s="98" t="s">
        <v>13</v>
      </c>
      <c r="B8" s="99" t="s">
        <v>93</v>
      </c>
      <c r="C8" s="156">
        <v>4481.3</v>
      </c>
      <c r="D8" s="156">
        <v>4726.5999999999995</v>
      </c>
      <c r="E8" s="156">
        <v>4295.800000000002</v>
      </c>
    </row>
    <row r="9" spans="1:5" s="142" customFormat="1" ht="24.95" customHeight="1">
      <c r="A9" s="98" t="s">
        <v>15</v>
      </c>
      <c r="B9" s="99" t="s">
        <v>16</v>
      </c>
      <c r="C9" s="156">
        <v>2073.6</v>
      </c>
      <c r="D9" s="156">
        <v>2038.7000000000003</v>
      </c>
      <c r="E9" s="156">
        <v>1959</v>
      </c>
    </row>
    <row r="10" spans="1:5" s="142" customFormat="1" ht="24.95" customHeight="1">
      <c r="A10" s="98" t="s">
        <v>17</v>
      </c>
      <c r="B10" s="99" t="s">
        <v>18</v>
      </c>
      <c r="C10" s="156">
        <v>1160</v>
      </c>
      <c r="D10" s="156">
        <v>1061.3000000000002</v>
      </c>
      <c r="E10" s="156">
        <v>1203.7999999999997</v>
      </c>
    </row>
    <row r="11" spans="1:5" s="142" customFormat="1" ht="24.95" customHeight="1">
      <c r="A11" s="98" t="s">
        <v>19</v>
      </c>
      <c r="B11" s="99" t="s">
        <v>20</v>
      </c>
      <c r="C11" s="156">
        <v>3367.4</v>
      </c>
      <c r="D11" s="156">
        <v>3203.1</v>
      </c>
      <c r="E11" s="156">
        <v>3216.8999999999992</v>
      </c>
    </row>
    <row r="12" spans="1:5" s="142" customFormat="1" ht="24.95" customHeight="1">
      <c r="A12" s="98" t="s">
        <v>21</v>
      </c>
      <c r="B12" s="101" t="s">
        <v>22</v>
      </c>
      <c r="C12" s="156">
        <v>5052.5</v>
      </c>
      <c r="D12" s="156">
        <v>4770.3999999999996</v>
      </c>
      <c r="E12" s="156">
        <v>6682.8000000000011</v>
      </c>
    </row>
    <row r="13" spans="1:5" s="142" customFormat="1" ht="24.95" customHeight="1">
      <c r="A13" s="98" t="s">
        <v>23</v>
      </c>
      <c r="B13" s="102" t="s">
        <v>24</v>
      </c>
      <c r="C13" s="156">
        <v>6830.5</v>
      </c>
      <c r="D13" s="156">
        <v>7135.5</v>
      </c>
      <c r="E13" s="156">
        <v>6447.5999999999985</v>
      </c>
    </row>
    <row r="14" spans="1:5" s="142" customFormat="1" ht="24.95" customHeight="1">
      <c r="A14" s="98" t="s">
        <v>25</v>
      </c>
      <c r="B14" s="103" t="s">
        <v>26</v>
      </c>
      <c r="C14" s="156">
        <v>228.8</v>
      </c>
      <c r="D14" s="156">
        <v>274.5</v>
      </c>
      <c r="E14" s="156">
        <v>169.8</v>
      </c>
    </row>
    <row r="15" spans="1:5" s="142" customFormat="1" ht="24.95" customHeight="1">
      <c r="A15" s="98" t="s">
        <v>27</v>
      </c>
      <c r="B15" s="102" t="s">
        <v>28</v>
      </c>
      <c r="C15" s="156">
        <v>97.7</v>
      </c>
      <c r="D15" s="156">
        <v>67.399999999999991</v>
      </c>
      <c r="E15" s="156">
        <v>95.90000000000002</v>
      </c>
    </row>
    <row r="16" spans="1:5" s="142" customFormat="1" ht="24.95" customHeight="1">
      <c r="A16" s="104" t="s">
        <v>29</v>
      </c>
      <c r="B16" s="105" t="s">
        <v>30</v>
      </c>
      <c r="C16" s="157">
        <v>2414.5000000000018</v>
      </c>
      <c r="D16" s="157">
        <v>3663.2</v>
      </c>
      <c r="E16" s="157">
        <v>2523.3999999999987</v>
      </c>
    </row>
    <row r="17" spans="1:3" ht="20.25">
      <c r="A17" s="143" t="s">
        <v>94</v>
      </c>
      <c r="B17" s="144" t="s">
        <v>95</v>
      </c>
      <c r="C17" s="145"/>
    </row>
    <row r="18" spans="1:3" ht="18.75" customHeight="1">
      <c r="A18" s="143" t="s">
        <v>96</v>
      </c>
      <c r="B18" s="129" t="s">
        <v>32</v>
      </c>
      <c r="C18" s="146"/>
    </row>
    <row r="19" spans="1:3">
      <c r="B19" s="147"/>
      <c r="C19" s="147"/>
    </row>
    <row r="20" spans="1:3" ht="15">
      <c r="A20" s="114"/>
      <c r="B20" s="148"/>
      <c r="C20" s="148"/>
    </row>
    <row r="21" spans="1:3" ht="14.25" customHeight="1">
      <c r="A21" s="114"/>
      <c r="B21" s="148"/>
      <c r="C21" s="148"/>
    </row>
  </sheetData>
  <mergeCells count="6">
    <mergeCell ref="E5:E6"/>
    <mergeCell ref="A2:E2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65DD95-7D4C-4605-BAEE-2D99C62934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8EBBE17-78F7-4748-9837-317B160FD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1120EF-2323-4016-AF7C-8668D05233FB}">
  <ds:schemaRefs>
    <ds:schemaRef ds:uri="http://schemas.microsoft.com/office/2006/documentManagement/types"/>
    <ds:schemaRef ds:uri="4a1cef21-950b-48ce-bef3-2690db201377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06035d9-ad3b-44db-92a1-1ed4b9daec3e"/>
  </ds:schemaRefs>
</ds:datastoreItem>
</file>

<file path=customXml/itemProps4.xml><?xml version="1.0" encoding="utf-8"?>
<ds:datastoreItem xmlns:ds="http://schemas.openxmlformats.org/officeDocument/2006/customXml" ds:itemID="{978D7C69-334F-4EC4-A6DA-8FB206F898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</vt:i4>
      </vt:variant>
    </vt:vector>
  </HeadingPairs>
  <TitlesOfParts>
    <vt:vector size="30" baseType="lpstr"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'2005-2006'!Print_Area</vt:lpstr>
      <vt:lpstr>'2018-2019'!Print_Area</vt:lpstr>
      <vt:lpstr>'2019-2020'!Print_Area</vt:lpstr>
      <vt:lpstr>'2020-2021'!Print_Area</vt:lpstr>
      <vt:lpstr>'2021-2022'!Print_Area</vt:lpstr>
      <vt:lpstr>'2022-2023'!Print_Area</vt:lpstr>
      <vt:lpstr>'2023-2024'!Print_Area</vt:lpstr>
      <vt:lpstr>'2024-2025'!Print_Area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</dc:title>
  <dc:creator>Internet Research</dc:creator>
  <cp:lastModifiedBy>Ibrahim Kamel</cp:lastModifiedBy>
  <cp:lastPrinted>2026-07-27T10:57:40Z</cp:lastPrinted>
  <dcterms:created xsi:type="dcterms:W3CDTF">1996-10-14T23:33:28Z</dcterms:created>
  <dcterms:modified xsi:type="dcterms:W3CDTF">2026-07-27T10:57:42Z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