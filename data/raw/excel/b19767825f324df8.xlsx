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Time Series\2025\Budget without GDP\Exp\"/>
    </mc:Choice>
  </mc:AlternateContent>
  <xr:revisionPtr revIDLastSave="0" documentId="13_ncr:1_{81B7D6AB-CDAC-401B-A8C2-74EECC9455CD}" xr6:coauthVersionLast="47" xr6:coauthVersionMax="47" xr10:uidLastSave="{00000000-0000-0000-0000-000000000000}"/>
  <bookViews>
    <workbookView xWindow="-108" yWindow="-108" windowWidth="17496" windowHeight="10560" tabRatio="814" firstSheet="15" activeTab="18" xr2:uid="{00000000-000D-0000-FFFF-FFFF00000000}"/>
  </bookViews>
  <sheets>
    <sheet name="Expenditures 2006-2007" sheetId="36" r:id="rId1"/>
    <sheet name="Expenditures 2007-2008" sheetId="37" r:id="rId2"/>
    <sheet name="Expenditures 2008-2009" sheetId="38" r:id="rId3"/>
    <sheet name=" Expenditures 2009-2010" sheetId="39" r:id="rId4"/>
    <sheet name="Expenditures 2010-2011 " sheetId="42" r:id="rId5"/>
    <sheet name="Expenditures 2011-2012" sheetId="40" r:id="rId6"/>
    <sheet name="Expenditures 2012-2013" sheetId="41" r:id="rId7"/>
    <sheet name="Expenditures 2013-2014" sheetId="43" r:id="rId8"/>
    <sheet name="Expenditures 2014-2015" sheetId="44" r:id="rId9"/>
    <sheet name="Expenditures 2015-2016" sheetId="45" r:id="rId10"/>
    <sheet name="Expenditures 2016-2017 " sheetId="46" r:id="rId11"/>
    <sheet name="Expenditures 2017-2018 " sheetId="47" r:id="rId12"/>
    <sheet name="Expenditures 2018-2019  " sheetId="50" r:id="rId13"/>
    <sheet name="Expenditures 2019-2020" sheetId="51" r:id="rId14"/>
    <sheet name="Expenditures 2020-2021" sheetId="52" r:id="rId15"/>
    <sheet name="Expenditures 2021-2022" sheetId="53" r:id="rId16"/>
    <sheet name="Expenditures 2022-2023" sheetId="54" r:id="rId17"/>
    <sheet name="Expenditures 2023-2024" sheetId="56" r:id="rId18"/>
    <sheet name="Expenditures 2024-2025" sheetId="58" r:id="rId19"/>
  </sheets>
  <definedNames>
    <definedName name="_xlnm.Print_Area" localSheetId="3">' Expenditures 2009-2010'!$A$1:$J$40</definedName>
    <definedName name="_xlnm.Print_Area" localSheetId="0">'Expenditures 2006-2007'!$A$1:$J$40</definedName>
    <definedName name="_xlnm.Print_Area" localSheetId="1">'Expenditures 2007-2008'!$A$1:$J$40</definedName>
    <definedName name="_xlnm.Print_Area" localSheetId="2">'Expenditures 2008-2009'!$A$1:$J$40</definedName>
    <definedName name="_xlnm.Print_Area" localSheetId="4">'Expenditures 2010-2011 '!$A$1:$J$40</definedName>
    <definedName name="_xlnm.Print_Area" localSheetId="5">'Expenditures 2011-2012'!$A$1:$J$40</definedName>
    <definedName name="_xlnm.Print_Area" localSheetId="6">'Expenditures 2012-2013'!$A$1:$J$40</definedName>
    <definedName name="_xlnm.Print_Area" localSheetId="7">'Expenditures 2013-2014'!$A$1:$J$40</definedName>
    <definedName name="_xlnm.Print_Area" localSheetId="8">'Expenditures 2014-2015'!$A$1:$J$40</definedName>
    <definedName name="_xlnm.Print_Area" localSheetId="9">'Expenditures 2015-2016'!$A$1:$J$41</definedName>
    <definedName name="_xlnm.Print_Area" localSheetId="10">'Expenditures 2016-2017 '!$A$1:$J$41</definedName>
    <definedName name="_xlnm.Print_Area" localSheetId="11">'Expenditures 2017-2018 '!$A$1:$J$40</definedName>
    <definedName name="_xlnm.Print_Area" localSheetId="12">'Expenditures 2018-2019  '!$A$1:$J$41</definedName>
    <definedName name="_xlnm.Print_Area" localSheetId="13">'Expenditures 2019-2020'!$A$1:$J$40</definedName>
    <definedName name="_xlnm.Print_Area" localSheetId="14">'Expenditures 2020-2021'!$A$1:$J$40</definedName>
    <definedName name="_xlnm.Print_Area" localSheetId="15">'Expenditures 2021-2022'!$A$1:$J$40</definedName>
    <definedName name="_xlnm.Print_Area" localSheetId="16">'Expenditures 2022-2023'!$A$1:$J$40</definedName>
    <definedName name="_xlnm.Print_Area" localSheetId="17">'Expenditures 2023-2024'!$A$1:$J$40</definedName>
    <definedName name="_xlnm.Print_Area" localSheetId="18">'Expenditures 2024-2025'!$A$1:$J$40</definedName>
    <definedName name="_xlnm.Print_Titles" localSheetId="3">' Expenditures 2009-2010'!$B:$B</definedName>
    <definedName name="_xlnm.Print_Titles" localSheetId="0">'Expenditures 2006-2007'!$B:$B</definedName>
    <definedName name="_xlnm.Print_Titles" localSheetId="1">'Expenditures 2007-2008'!$B:$B</definedName>
    <definedName name="_xlnm.Print_Titles" localSheetId="2">'Expenditures 2008-2009'!$B:$B</definedName>
    <definedName name="_xlnm.Print_Titles" localSheetId="4">'Expenditures 2010-2011 '!$B:$B</definedName>
    <definedName name="_xlnm.Print_Titles" localSheetId="5">'Expenditures 2011-2012'!$B:$B</definedName>
    <definedName name="_xlnm.Print_Titles" localSheetId="6">'Expenditures 2012-2013'!$B:$B</definedName>
    <definedName name="_xlnm.Print_Titles" localSheetId="7">'Expenditures 2013-2014'!$B:$B</definedName>
    <definedName name="_xlnm.Print_Titles" localSheetId="8">'Expenditures 2014-2015'!$B:$B</definedName>
    <definedName name="_xlnm.Print_Titles" localSheetId="9">'Expenditures 2015-2016'!$B:$B</definedName>
    <definedName name="_xlnm.Print_Titles" localSheetId="10">'Expenditures 2016-2017 '!$B:$B</definedName>
    <definedName name="_xlnm.Print_Titles" localSheetId="11">'Expenditures 2017-2018 '!$B:$B</definedName>
    <definedName name="_xlnm.Print_Titles" localSheetId="12">'Expenditures 2018-2019  '!$B:$B</definedName>
    <definedName name="_xlnm.Print_Titles" localSheetId="13">'Expenditures 2019-2020'!$B:$B</definedName>
    <definedName name="_xlnm.Print_Titles" localSheetId="14">'Expenditures 2020-2021'!$B:$B</definedName>
    <definedName name="_xlnm.Print_Titles" localSheetId="15">'Expenditures 2021-2022'!$B:$B</definedName>
    <definedName name="_xlnm.Print_Titles" localSheetId="16">'Expenditures 2022-2023'!$B:$B</definedName>
    <definedName name="_xlnm.Print_Titles" localSheetId="17">'Expenditures 2023-2024'!$B:$B</definedName>
    <definedName name="_xlnm.Print_Titles" localSheetId="18">'Expenditures 2024-2025'!$B:$B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5" i="58" l="1"/>
  <c r="I35" i="58"/>
  <c r="H35" i="58"/>
  <c r="G35" i="58"/>
  <c r="F35" i="58"/>
  <c r="E35" i="58"/>
  <c r="D35" i="58"/>
  <c r="C35" i="58"/>
  <c r="J32" i="58"/>
  <c r="I32" i="58"/>
  <c r="H32" i="58"/>
  <c r="G32" i="58"/>
  <c r="F32" i="58"/>
  <c r="E32" i="58"/>
  <c r="D32" i="58"/>
  <c r="C32" i="58"/>
  <c r="J28" i="58"/>
  <c r="I28" i="58"/>
  <c r="H28" i="58"/>
  <c r="G28" i="58"/>
  <c r="F28" i="58"/>
  <c r="E28" i="58"/>
  <c r="D28" i="58"/>
  <c r="C28" i="58"/>
  <c r="J23" i="58"/>
  <c r="I23" i="58"/>
  <c r="H23" i="58"/>
  <c r="G23" i="58"/>
  <c r="F23" i="58"/>
  <c r="E23" i="58"/>
  <c r="D23" i="58"/>
  <c r="C23" i="58"/>
  <c r="J22" i="58"/>
  <c r="I22" i="58"/>
  <c r="H22" i="58"/>
  <c r="G22" i="58"/>
  <c r="F22" i="58"/>
  <c r="E22" i="58"/>
  <c r="D22" i="58"/>
  <c r="C22" i="58"/>
  <c r="J18" i="58"/>
  <c r="I18" i="58"/>
  <c r="H18" i="58"/>
  <c r="G18" i="58"/>
  <c r="F18" i="58"/>
  <c r="E18" i="58"/>
  <c r="D18" i="58"/>
  <c r="C18" i="58"/>
  <c r="J17" i="58"/>
  <c r="I17" i="58"/>
  <c r="H17" i="58"/>
  <c r="G17" i="58"/>
  <c r="F17" i="58"/>
  <c r="E17" i="58"/>
  <c r="D17" i="58"/>
  <c r="C17" i="58"/>
  <c r="J13" i="58"/>
  <c r="I13" i="58"/>
  <c r="H13" i="58"/>
  <c r="G13" i="58"/>
  <c r="F13" i="58"/>
  <c r="E13" i="58"/>
  <c r="D13" i="58"/>
  <c r="C13" i="58"/>
  <c r="J9" i="58"/>
  <c r="I9" i="58"/>
  <c r="H9" i="58"/>
  <c r="G9" i="58"/>
  <c r="F9" i="58"/>
  <c r="E9" i="58"/>
  <c r="D9" i="58"/>
  <c r="C9" i="58"/>
  <c r="J8" i="58"/>
  <c r="I8" i="58"/>
  <c r="H8" i="58"/>
  <c r="G8" i="58"/>
  <c r="F8" i="58"/>
  <c r="E8" i="58"/>
  <c r="D8" i="58"/>
  <c r="C8" i="58"/>
  <c r="J35" i="56" l="1"/>
  <c r="I35" i="56"/>
  <c r="H35" i="56"/>
  <c r="G35" i="56"/>
  <c r="F35" i="56"/>
  <c r="E35" i="56"/>
  <c r="D35" i="56"/>
  <c r="C35" i="56"/>
  <c r="J32" i="56"/>
  <c r="I32" i="56"/>
  <c r="H32" i="56"/>
  <c r="G32" i="56"/>
  <c r="F32" i="56"/>
  <c r="E32" i="56"/>
  <c r="D32" i="56"/>
  <c r="C32" i="56"/>
  <c r="J28" i="56"/>
  <c r="I28" i="56"/>
  <c r="H28" i="56"/>
  <c r="G28" i="56"/>
  <c r="F28" i="56"/>
  <c r="E28" i="56"/>
  <c r="D28" i="56"/>
  <c r="C28" i="56"/>
  <c r="J23" i="56"/>
  <c r="I23" i="56"/>
  <c r="H23" i="56"/>
  <c r="G23" i="56"/>
  <c r="F23" i="56"/>
  <c r="E23" i="56"/>
  <c r="D23" i="56"/>
  <c r="C23" i="56"/>
  <c r="J22" i="56"/>
  <c r="I22" i="56"/>
  <c r="H22" i="56"/>
  <c r="G22" i="56"/>
  <c r="F22" i="56"/>
  <c r="E22" i="56"/>
  <c r="D22" i="56"/>
  <c r="C22" i="56"/>
  <c r="J18" i="56"/>
  <c r="I18" i="56"/>
  <c r="H18" i="56"/>
  <c r="G18" i="56"/>
  <c r="F18" i="56"/>
  <c r="E18" i="56"/>
  <c r="D18" i="56"/>
  <c r="C18" i="56"/>
  <c r="J17" i="56"/>
  <c r="I17" i="56"/>
  <c r="H17" i="56"/>
  <c r="G17" i="56"/>
  <c r="F17" i="56"/>
  <c r="E17" i="56"/>
  <c r="D17" i="56"/>
  <c r="C17" i="56"/>
  <c r="J13" i="56"/>
  <c r="I13" i="56"/>
  <c r="H13" i="56"/>
  <c r="G13" i="56"/>
  <c r="F13" i="56"/>
  <c r="E13" i="56"/>
  <c r="D13" i="56"/>
  <c r="C13" i="56"/>
  <c r="J9" i="56"/>
  <c r="I9" i="56"/>
  <c r="H9" i="56"/>
  <c r="G9" i="56"/>
  <c r="F9" i="56"/>
  <c r="E9" i="56"/>
  <c r="D9" i="56"/>
  <c r="C9" i="56"/>
  <c r="J8" i="56"/>
  <c r="I8" i="56"/>
  <c r="H8" i="56"/>
  <c r="G8" i="56"/>
  <c r="F8" i="56"/>
  <c r="E8" i="56"/>
  <c r="D8" i="56"/>
  <c r="C8" i="56"/>
  <c r="J35" i="54" l="1"/>
  <c r="I35" i="54"/>
  <c r="H35" i="54"/>
  <c r="G35" i="54"/>
  <c r="F35" i="54"/>
  <c r="E35" i="54"/>
  <c r="D35" i="54"/>
  <c r="C35" i="54"/>
  <c r="J32" i="54"/>
  <c r="I32" i="54"/>
  <c r="H32" i="54"/>
  <c r="G32" i="54"/>
  <c r="F32" i="54"/>
  <c r="E32" i="54"/>
  <c r="D32" i="54"/>
  <c r="C32" i="54"/>
  <c r="J28" i="54"/>
  <c r="I28" i="54"/>
  <c r="H28" i="54"/>
  <c r="G28" i="54"/>
  <c r="F28" i="54"/>
  <c r="E28" i="54"/>
  <c r="D28" i="54"/>
  <c r="C28" i="54"/>
  <c r="J23" i="54"/>
  <c r="I23" i="54"/>
  <c r="H23" i="54"/>
  <c r="G23" i="54"/>
  <c r="G22" i="54" s="1"/>
  <c r="F23" i="54"/>
  <c r="F22" i="54" s="1"/>
  <c r="E23" i="54"/>
  <c r="E22" i="54" s="1"/>
  <c r="D23" i="54"/>
  <c r="C23" i="54"/>
  <c r="C22" i="54" s="1"/>
  <c r="J22" i="54"/>
  <c r="H22" i="54"/>
  <c r="D22" i="54"/>
  <c r="J18" i="54"/>
  <c r="I18" i="54"/>
  <c r="H18" i="54"/>
  <c r="G18" i="54"/>
  <c r="F18" i="54"/>
  <c r="E18" i="54"/>
  <c r="D18" i="54"/>
  <c r="C18" i="54"/>
  <c r="J17" i="54"/>
  <c r="I17" i="54"/>
  <c r="H17" i="54"/>
  <c r="G17" i="54"/>
  <c r="F17" i="54"/>
  <c r="E17" i="54"/>
  <c r="D17" i="54"/>
  <c r="C17" i="54"/>
  <c r="J13" i="54"/>
  <c r="I13" i="54"/>
  <c r="H13" i="54"/>
  <c r="G13" i="54"/>
  <c r="F13" i="54"/>
  <c r="E13" i="54"/>
  <c r="D13" i="54"/>
  <c r="C13" i="54"/>
  <c r="J9" i="54"/>
  <c r="I9" i="54"/>
  <c r="H9" i="54"/>
  <c r="H8" i="54" s="1"/>
  <c r="G9" i="54"/>
  <c r="F9" i="54"/>
  <c r="E9" i="54"/>
  <c r="D9" i="54"/>
  <c r="D8" i="54" s="1"/>
  <c r="C9" i="54"/>
  <c r="I22" i="54" l="1"/>
  <c r="I8" i="54" s="1"/>
  <c r="J8" i="54"/>
  <c r="E8" i="54"/>
  <c r="F8" i="54"/>
  <c r="C8" i="54"/>
  <c r="G8" i="54"/>
  <c r="G32" i="38"/>
  <c r="G8" i="38" s="1"/>
  <c r="J35" i="53" l="1"/>
  <c r="I35" i="53"/>
  <c r="H35" i="53"/>
  <c r="G35" i="53"/>
  <c r="F35" i="53"/>
  <c r="E35" i="53"/>
  <c r="D35" i="53"/>
  <c r="C35" i="53"/>
  <c r="J32" i="53"/>
  <c r="I32" i="53"/>
  <c r="H32" i="53"/>
  <c r="G32" i="53"/>
  <c r="F32" i="53"/>
  <c r="E32" i="53"/>
  <c r="D32" i="53"/>
  <c r="C32" i="53"/>
  <c r="J28" i="53"/>
  <c r="I28" i="53"/>
  <c r="H28" i="53"/>
  <c r="G28" i="53"/>
  <c r="F28" i="53"/>
  <c r="E28" i="53"/>
  <c r="D28" i="53"/>
  <c r="C28" i="53"/>
  <c r="J23" i="53"/>
  <c r="I23" i="53"/>
  <c r="H23" i="53"/>
  <c r="G23" i="53"/>
  <c r="F23" i="53"/>
  <c r="E23" i="53"/>
  <c r="D23" i="53"/>
  <c r="C23" i="53"/>
  <c r="J22" i="53"/>
  <c r="I22" i="53"/>
  <c r="H22" i="53"/>
  <c r="G22" i="53"/>
  <c r="F22" i="53"/>
  <c r="E22" i="53"/>
  <c r="D22" i="53"/>
  <c r="C22" i="53"/>
  <c r="J18" i="53"/>
  <c r="I18" i="53"/>
  <c r="H18" i="53"/>
  <c r="G18" i="53"/>
  <c r="F18" i="53"/>
  <c r="E18" i="53"/>
  <c r="D18" i="53"/>
  <c r="C18" i="53"/>
  <c r="J17" i="53"/>
  <c r="I17" i="53"/>
  <c r="H17" i="53"/>
  <c r="G17" i="53"/>
  <c r="F17" i="53"/>
  <c r="E17" i="53"/>
  <c r="D17" i="53"/>
  <c r="C17" i="53"/>
  <c r="J13" i="53"/>
  <c r="I13" i="53"/>
  <c r="H13" i="53"/>
  <c r="G13" i="53"/>
  <c r="F13" i="53"/>
  <c r="E13" i="53"/>
  <c r="D13" i="53"/>
  <c r="C13" i="53"/>
  <c r="J9" i="53"/>
  <c r="I9" i="53"/>
  <c r="H9" i="53"/>
  <c r="G9" i="53"/>
  <c r="F9" i="53"/>
  <c r="E9" i="53"/>
  <c r="D9" i="53"/>
  <c r="C9" i="53"/>
  <c r="J8" i="53"/>
  <c r="I8" i="53"/>
  <c r="H8" i="53"/>
  <c r="G8" i="53"/>
  <c r="F8" i="53"/>
  <c r="E8" i="53"/>
  <c r="D8" i="53"/>
  <c r="C8" i="53"/>
</calcChain>
</file>

<file path=xl/sharedStrings.xml><?xml version="1.0" encoding="utf-8"?>
<sst xmlns="http://schemas.openxmlformats.org/spreadsheetml/2006/main" count="1719" uniqueCount="121">
  <si>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</si>
  <si>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</si>
  <si>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</si>
  <si>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</si>
  <si>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</si>
  <si>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</si>
  <si>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</si>
  <si>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</si>
  <si>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</si>
  <si>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</si>
  <si>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</si>
  <si>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</si>
  <si>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</si>
  <si>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</si>
  <si>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</si>
  <si>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</si>
  <si>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</si>
  <si>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</si>
  <si>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</si>
  <si>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</si>
  <si>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</si>
  <si>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</si>
  <si>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</si>
  <si>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2011/2012</t>
  </si>
  <si>
    <t>July/Dec.</t>
  </si>
  <si>
    <t>July/March</t>
  </si>
  <si>
    <t>July/June</t>
  </si>
  <si>
    <t>2012/2013</t>
  </si>
  <si>
    <t>2009/2010</t>
  </si>
  <si>
    <t>2008/2009</t>
  </si>
  <si>
    <t>2007/2008</t>
  </si>
  <si>
    <t>2006/2007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</si>
  <si>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</si>
  <si>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</si>
  <si>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</si>
  <si>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</si>
  <si>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</si>
  <si>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</si>
  <si>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</si>
  <si>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</si>
  <si>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</si>
  <si>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</si>
  <si>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</si>
  <si>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</si>
  <si>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</si>
  <si>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</si>
  <si>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</si>
  <si>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</si>
  <si>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</si>
  <si>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</si>
  <si>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</si>
  <si>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</si>
  <si>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t>(LE mn)</t>
  </si>
  <si>
    <t>2010/2011</t>
  </si>
  <si>
    <t>Subsidies</t>
  </si>
  <si>
    <t>Grants</t>
  </si>
  <si>
    <t>Social Benefits</t>
  </si>
  <si>
    <t>2013/2014</t>
  </si>
  <si>
    <t>إجمالى النفقات</t>
  </si>
  <si>
    <t>النفقات الأخرى</t>
  </si>
  <si>
    <t>2014/2015</t>
  </si>
  <si>
    <t>2015/2016</t>
  </si>
  <si>
    <t>Interest</t>
  </si>
  <si>
    <t>Foreign interest</t>
  </si>
  <si>
    <t>..</t>
  </si>
  <si>
    <t>2016/2017</t>
  </si>
  <si>
    <t>The General Government</t>
  </si>
  <si>
    <t>المصدر : وزارة المالية.</t>
  </si>
  <si>
    <t>Source: Ministry of Finance.</t>
  </si>
  <si>
    <t>.. Not Available.</t>
  </si>
  <si>
    <t>2017/2018</t>
  </si>
  <si>
    <r>
      <t xml:space="preserve"> </t>
    </r>
    <r>
      <rPr>
        <vertAlign val="superscript"/>
        <sz val="16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</si>
  <si>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</si>
  <si>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</si>
  <si>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rPr>
        <vertAlign val="superscript"/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</si>
  <si>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</t>
    </r>
    <r>
      <rPr>
        <vertAlign val="superscript"/>
        <sz val="20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</si>
  <si>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20"/>
        <rFont val="Arial"/>
        <family val="2"/>
      </rPr>
      <t xml:space="preserve"> 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</si>
  <si>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20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</si>
  <si>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rPr>
        <vertAlign val="superscript"/>
        <sz val="16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</si>
  <si>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t xml:space="preserve"> </t>
    </r>
    <r>
      <rPr>
        <vertAlign val="superscript"/>
        <sz val="20"/>
        <rFont val="Arial"/>
        <family val="2"/>
      </rPr>
      <t>+</t>
    </r>
    <r>
      <rPr>
        <vertAlign val="superscript"/>
        <sz val="18"/>
        <rFont val="Arial"/>
        <family val="2"/>
      </rPr>
      <t xml:space="preserve"> </t>
    </r>
    <r>
      <rPr>
        <sz val="14"/>
        <rFont val="Arial"/>
        <family val="2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</si>
  <si>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22"/>
        <rFont val="Arial"/>
        <family val="2"/>
      </rPr>
      <t xml:space="preserve"> +</t>
    </r>
    <r>
      <rPr>
        <sz val="14"/>
        <rFont val="Arial"/>
        <family val="2"/>
      </rPr>
      <t xml:space="preserve"> Includes the Budget Sector, NIB, and SIFs.</t>
    </r>
  </si>
  <si>
    <r>
      <t xml:space="preserve"> </t>
    </r>
    <r>
      <rPr>
        <vertAlign val="superscript"/>
        <sz val="18"/>
        <rFont val="Arial"/>
        <family val="2"/>
      </rPr>
      <t>+</t>
    </r>
    <r>
      <rPr>
        <vertAlign val="superscript"/>
        <sz val="14"/>
        <rFont val="Arial"/>
        <family val="2"/>
      </rPr>
      <t xml:space="preserve"> </t>
    </r>
    <r>
      <rPr>
        <sz val="14"/>
        <rFont val="Arial"/>
        <family val="2"/>
      </rPr>
      <t>Includes the Budget Sector, NIB, and SIFs.</t>
    </r>
  </si>
  <si>
    <r>
      <rPr>
        <vertAlign val="superscript"/>
        <sz val="16"/>
        <rFont val="Arial"/>
        <family val="2"/>
      </rPr>
      <t xml:space="preserve"> 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</si>
  <si>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16"/>
        <rFont val="Arial"/>
        <family val="2"/>
      </rPr>
      <t xml:space="preserve">+ </t>
    </r>
    <r>
      <rPr>
        <sz val="14"/>
        <rFont val="Arial"/>
        <family val="2"/>
      </rPr>
      <t>Includes the Budget Sector, NIB, and SIFs.</t>
    </r>
  </si>
  <si>
    <r>
      <rPr>
        <vertAlign val="superscript"/>
        <sz val="16"/>
        <rFont val="Arial"/>
        <family val="2"/>
      </rPr>
      <t xml:space="preserve"> </t>
    </r>
    <r>
      <rPr>
        <vertAlign val="superscript"/>
        <sz val="20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</si>
  <si>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r>
      <t xml:space="preserve"> </t>
    </r>
    <r>
      <rPr>
        <vertAlign val="superscript"/>
        <sz val="22"/>
        <rFont val="Arial"/>
        <family val="2"/>
      </rPr>
      <t>+</t>
    </r>
    <r>
      <rPr>
        <vertAlign val="superscript"/>
        <sz val="14"/>
        <rFont val="Arial"/>
        <family val="2"/>
      </rPr>
      <t xml:space="preserve"> </t>
    </r>
    <r>
      <rPr>
        <sz val="14"/>
        <rFont val="Arial"/>
        <family val="2"/>
      </rPr>
      <t>Includes the Budget Sector, NIB, and SIFs.</t>
    </r>
  </si>
  <si>
    <t xml:space="preserve"> ..   غير  متوافر.  </t>
  </si>
  <si>
    <t xml:space="preserve">..   غير   متوافر.  </t>
  </si>
  <si>
    <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</si>
  <si>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rPr>
        <vertAlign val="superscript"/>
        <sz val="18"/>
        <rFont val="Arial"/>
        <family val="2"/>
      </rPr>
      <t xml:space="preserve"> </t>
    </r>
    <r>
      <rPr>
        <vertAlign val="superscript"/>
        <sz val="22"/>
        <rFont val="Arial"/>
        <family val="2"/>
      </rPr>
      <t>+</t>
    </r>
    <r>
      <rPr>
        <sz val="14"/>
        <rFont val="Arial"/>
        <family val="2"/>
      </rPr>
      <t xml:space="preserve">  تتضمن كل من قطاع الموازنة العامة، وبنك الاستثمار القومى، وصناديق التأمين الاجتماعى.</t>
    </r>
  </si>
  <si>
    <t>Compensations of Employees</t>
  </si>
  <si>
    <t>Wages and salaries</t>
  </si>
  <si>
    <t>2018/2019</t>
  </si>
  <si>
    <t>Wages &amp; Compensations of Employees</t>
  </si>
  <si>
    <t xml:space="preserve">محلية </t>
  </si>
  <si>
    <t xml:space="preserve">Domestic interest </t>
  </si>
  <si>
    <t>2019/2020</t>
  </si>
  <si>
    <t>2020/2021</t>
  </si>
  <si>
    <t>2021/2022</t>
  </si>
  <si>
    <t>Wages and Compensations of Employees</t>
  </si>
  <si>
    <t xml:space="preserve">Wages and allowances </t>
  </si>
  <si>
    <t xml:space="preserve"> المزايا الاجتماعية</t>
  </si>
  <si>
    <r>
      <t xml:space="preserve">العمليات المالية الموحدة *
 للحكومة العامة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</t>
    </r>
  </si>
  <si>
    <r>
      <t xml:space="preserve"> Consolidated Fiscal Operations*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 
</t>
    </r>
  </si>
  <si>
    <r>
      <t xml:space="preserve">   ال</t>
    </r>
    <r>
      <rPr>
        <b/>
        <u/>
        <sz val="16"/>
        <rFont val="Arial"/>
        <family val="2"/>
      </rPr>
      <t>مزايا الاجتماعية</t>
    </r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</si>
  <si>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</si>
  <si>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</si>
  <si>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r>
      <rPr>
        <sz val="20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</si>
  <si>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sz val="22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</si>
  <si>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</si>
  <si>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</si>
  <si>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20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</si>
  <si>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8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</si>
  <si>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sz val="16"/>
        <rFont val="Arial"/>
        <family val="2"/>
      </rPr>
      <t>*</t>
    </r>
    <r>
      <rPr>
        <vertAlign val="superscript"/>
        <sz val="16"/>
        <rFont val="Arial"/>
        <family val="2"/>
      </rPr>
      <t xml:space="preserve"> </t>
    </r>
    <r>
      <rPr>
        <sz val="14"/>
        <rFont val="Arial"/>
        <family val="2"/>
      </rPr>
      <t xml:space="preserve"> A new budget classification was prepared in accordance with the IMF's 2001 GFS (Government Finance Statistics) Manual  and the latest modifications.</t>
    </r>
  </si>
  <si>
    <r>
      <rPr>
        <sz val="20"/>
        <rFont val="Arial"/>
        <family val="2"/>
      </rPr>
      <t xml:space="preserve">* </t>
    </r>
    <r>
      <rPr>
        <sz val="14"/>
        <rFont val="Arial"/>
        <family val="2"/>
      </rPr>
      <t xml:space="preserve"> A new budget classification was prepared in accordance with the IMF's 2001 GFS (Government Finance Statistics) Manual  and the latest modifications.</t>
    </r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</si>
  <si>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</si>
  <si>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Domestic interest</t>
  </si>
  <si>
    <t>2022/2023</t>
  </si>
  <si>
    <t>2023/2024</t>
  </si>
  <si>
    <r>
      <t xml:space="preserve"> </t>
    </r>
    <r>
      <rPr>
        <b/>
        <u/>
        <sz val="16"/>
        <rFont val="Arial"/>
        <family val="2"/>
      </rPr>
      <t>Other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</si>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</sst>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ج.م.‏&quot;\ #,##0_-;[Red]&quot;ج.م.‏&quot;\ #,##0\-"/>
    <numFmt numFmtId="165" formatCode="&quot;ج.م.‏&quot;\ #,##0.00_-;[Red]&quot;ج.م.‏&quot;\ #,##0.00\-"/>
    <numFmt numFmtId="166" formatCode="_-* #,##0_-;_-* #,##0\-;_-* &quot;-&quot;_-;_-@_-"/>
  </numFmts>
  <fonts count="2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vertAlign val="superscript"/>
      <sz val="14"/>
      <name val="Arial"/>
      <family val="2"/>
    </font>
    <font>
      <vertAlign val="superscript"/>
      <sz val="16"/>
      <name val="Arial"/>
      <family val="2"/>
    </font>
    <font>
      <vertAlign val="superscript"/>
      <sz val="18"/>
      <name val="Arial"/>
      <family val="2"/>
    </font>
    <font>
      <vertAlign val="superscript"/>
      <sz val="20"/>
      <name val="Arial"/>
      <family val="2"/>
    </font>
    <font>
      <vertAlign val="superscript"/>
      <sz val="2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269">
    <xf numFmtId="0" fontId="0" fillId="0" borderId="0" xfId="0"/>
    <xf numFmtId="0" fontId="9" fillId="0" borderId="0" xfId="3" applyFont="1" applyAlignment="1">
      <alignment vertical="center"/>
    </xf>
    <xf numFmtId="0" fontId="9" fillId="0" borderId="0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" fillId="0" borderId="0" xfId="3" applyFont="1" applyFill="1" applyBorder="1" applyAlignment="1">
      <alignment vertical="center"/>
    </xf>
    <xf numFmtId="0" fontId="9" fillId="0" borderId="0" xfId="3" applyFont="1" applyFill="1" applyAlignment="1">
      <alignment horizontal="center" vertical="center"/>
    </xf>
    <xf numFmtId="0" fontId="2" fillId="0" borderId="0" xfId="3" applyFont="1" applyBorder="1" applyAlignment="1">
      <alignment vertical="center" wrapText="1" readingOrder="2"/>
    </xf>
    <xf numFmtId="1" fontId="9" fillId="0" borderId="2" xfId="4" applyNumberFormat="1" applyFont="1" applyBorder="1" applyAlignment="1">
      <alignment horizontal="center" vertical="center" readingOrder="1"/>
    </xf>
    <xf numFmtId="49" fontId="2" fillId="0" borderId="0" xfId="4" applyNumberFormat="1" applyFont="1" applyBorder="1" applyAlignment="1">
      <alignment horizontal="center" vertical="center"/>
    </xf>
    <xf numFmtId="0" fontId="9" fillId="0" borderId="0" xfId="4" applyFont="1"/>
    <xf numFmtId="0" fontId="9" fillId="0" borderId="0" xfId="4" applyFont="1" applyAlignment="1">
      <alignment horizontal="center"/>
    </xf>
    <xf numFmtId="0" fontId="9" fillId="0" borderId="0" xfId="4" applyFont="1" applyAlignment="1"/>
    <xf numFmtId="0" fontId="2" fillId="0" borderId="0" xfId="4" applyFont="1" applyAlignment="1"/>
    <xf numFmtId="0" fontId="2" fillId="0" borderId="0" xfId="4" applyFont="1"/>
    <xf numFmtId="0" fontId="9" fillId="0" borderId="0" xfId="4" applyFont="1" applyAlignment="1">
      <alignment vertical="center"/>
    </xf>
    <xf numFmtId="0" fontId="9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49" fontId="2" fillId="0" borderId="0" xfId="4" applyNumberFormat="1" applyFont="1" applyBorder="1" applyAlignment="1">
      <alignment vertical="center"/>
    </xf>
    <xf numFmtId="0" fontId="10" fillId="0" borderId="0" xfId="4" applyFont="1" applyAlignment="1"/>
    <xf numFmtId="0" fontId="10" fillId="0" borderId="0" xfId="4" applyFont="1"/>
    <xf numFmtId="0" fontId="9" fillId="3" borderId="0" xfId="4" applyFont="1" applyFill="1" applyAlignment="1">
      <alignment horizontal="center"/>
    </xf>
    <xf numFmtId="0" fontId="9" fillId="3" borderId="0" xfId="4" applyFont="1" applyFill="1" applyAlignment="1"/>
    <xf numFmtId="0" fontId="9" fillId="2" borderId="0" xfId="0" applyFont="1" applyFill="1" applyAlignment="1">
      <alignment horizontal="left" vertical="center" wrapText="1" readingOrder="1"/>
    </xf>
    <xf numFmtId="0" fontId="2" fillId="0" borderId="0" xfId="4" applyFont="1" applyBorder="1" applyAlignment="1">
      <alignment vertical="center" wrapText="1" readingOrder="2"/>
    </xf>
    <xf numFmtId="0" fontId="9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vertical="center" wrapText="1" readingOrder="2"/>
    </xf>
    <xf numFmtId="0" fontId="9" fillId="0" borderId="0" xfId="4" applyFont="1" applyAlignment="1">
      <alignment horizontal="center" vertical="center"/>
    </xf>
    <xf numFmtId="0" fontId="9" fillId="0" borderId="0" xfId="4" applyFont="1" applyFill="1" applyAlignment="1">
      <alignment vertical="center"/>
    </xf>
    <xf numFmtId="1" fontId="9" fillId="0" borderId="0" xfId="4" applyNumberFormat="1" applyFont="1" applyFill="1" applyBorder="1" applyAlignment="1">
      <alignment horizontal="left" vertical="center" indent="1" readingOrder="1"/>
    </xf>
    <xf numFmtId="0" fontId="9" fillId="0" borderId="0" xfId="0" applyFont="1" applyFill="1" applyAlignment="1">
      <alignment horizontal="left" vertical="center" wrapText="1" readingOrder="1"/>
    </xf>
    <xf numFmtId="49" fontId="2" fillId="0" borderId="0" xfId="4" applyNumberFormat="1" applyFont="1" applyFill="1" applyBorder="1" applyAlignment="1">
      <alignment horizontal="center" vertical="center"/>
    </xf>
    <xf numFmtId="0" fontId="9" fillId="0" borderId="0" xfId="4" applyFont="1" applyFill="1" applyBorder="1"/>
    <xf numFmtId="1" fontId="9" fillId="0" borderId="2" xfId="4" applyNumberFormat="1" applyFont="1" applyBorder="1" applyAlignment="1">
      <alignment horizontal="left" vertical="center" indent="1" readingOrder="1"/>
    </xf>
    <xf numFmtId="0" fontId="9" fillId="0" borderId="0" xfId="4" applyFont="1" applyFill="1" applyBorder="1" applyAlignment="1">
      <alignment horizontal="center"/>
    </xf>
    <xf numFmtId="0" fontId="9" fillId="0" borderId="0" xfId="4" applyFont="1" applyBorder="1" applyAlignment="1">
      <alignment horizontal="center"/>
    </xf>
    <xf numFmtId="0" fontId="9" fillId="0" borderId="0" xfId="4" applyFont="1" applyFill="1"/>
    <xf numFmtId="0" fontId="9" fillId="0" borderId="0" xfId="4" applyFont="1" applyFill="1" applyAlignment="1">
      <alignment horizontal="center"/>
    </xf>
    <xf numFmtId="0" fontId="9" fillId="0" borderId="0" xfId="4" applyFont="1" applyFill="1" applyAlignment="1">
      <alignment horizontal="center" vertical="center"/>
    </xf>
    <xf numFmtId="0" fontId="9" fillId="0" borderId="0" xfId="4" applyFont="1" applyFill="1" applyAlignment="1"/>
    <xf numFmtId="0" fontId="10" fillId="0" borderId="0" xfId="4" applyFont="1" applyFill="1" applyAlignment="1"/>
    <xf numFmtId="0" fontId="10" fillId="0" borderId="0" xfId="4" applyFont="1" applyFill="1"/>
    <xf numFmtId="0" fontId="2" fillId="0" borderId="0" xfId="4" applyFont="1" applyFill="1" applyAlignment="1"/>
    <xf numFmtId="0" fontId="2" fillId="0" borderId="0" xfId="4" applyFont="1" applyFill="1"/>
    <xf numFmtId="0" fontId="9" fillId="0" borderId="0" xfId="3" applyFont="1"/>
    <xf numFmtId="0" fontId="9" fillId="0" borderId="0" xfId="3" applyFont="1" applyAlignment="1">
      <alignment horizontal="center"/>
    </xf>
    <xf numFmtId="0" fontId="9" fillId="0" borderId="0" xfId="3" applyFont="1" applyAlignment="1">
      <alignment horizontal="center" vertical="center"/>
    </xf>
    <xf numFmtId="0" fontId="9" fillId="0" borderId="0" xfId="3" applyFont="1" applyFill="1" applyBorder="1"/>
    <xf numFmtId="0" fontId="9" fillId="3" borderId="0" xfId="3" applyFont="1" applyFill="1" applyAlignment="1">
      <alignment horizontal="center"/>
    </xf>
    <xf numFmtId="0" fontId="9" fillId="3" borderId="0" xfId="3" applyFont="1" applyFill="1" applyAlignment="1"/>
    <xf numFmtId="0" fontId="10" fillId="0" borderId="0" xfId="3" applyFont="1" applyAlignment="1"/>
    <xf numFmtId="0" fontId="10" fillId="0" borderId="0" xfId="3" applyFont="1"/>
    <xf numFmtId="0" fontId="2" fillId="0" borderId="0" xfId="3" applyFont="1" applyAlignment="1"/>
    <xf numFmtId="0" fontId="2" fillId="0" borderId="0" xfId="3" applyFont="1"/>
    <xf numFmtId="0" fontId="9" fillId="0" borderId="0" xfId="3" applyFont="1" applyAlignment="1"/>
    <xf numFmtId="0" fontId="9" fillId="0" borderId="0" xfId="3" applyFont="1" applyFill="1" applyBorder="1" applyAlignment="1">
      <alignment horizontal="center"/>
    </xf>
    <xf numFmtId="0" fontId="9" fillId="0" borderId="0" xfId="3" applyFont="1" applyBorder="1" applyAlignment="1">
      <alignment horizontal="center"/>
    </xf>
    <xf numFmtId="0" fontId="9" fillId="0" borderId="0" xfId="4" applyFont="1" applyFill="1" applyAlignment="1">
      <alignment horizontal="left" vertical="center"/>
    </xf>
    <xf numFmtId="49" fontId="2" fillId="0" borderId="0" xfId="3" applyNumberFormat="1" applyFont="1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2" xfId="0" applyFont="1" applyBorder="1" applyAlignment="1">
      <alignment horizontal="right" vertical="center" indent="1" readingOrder="2"/>
    </xf>
    <xf numFmtId="0" fontId="9" fillId="0" borderId="0" xfId="4" applyFont="1" applyAlignment="1">
      <alignment horizontal="right" vertical="center" wrapText="1" readingOrder="2"/>
    </xf>
    <xf numFmtId="0" fontId="9" fillId="2" borderId="0" xfId="0" applyFont="1" applyFill="1" applyAlignment="1">
      <alignment horizontal="center" vertical="center"/>
    </xf>
    <xf numFmtId="0" fontId="9" fillId="0" borderId="0" xfId="4" applyFont="1" applyAlignment="1">
      <alignment horizontal="center" vertical="top"/>
    </xf>
    <xf numFmtId="0" fontId="9" fillId="0" borderId="0" xfId="0" applyFont="1" applyBorder="1" applyAlignment="1">
      <alignment horizontal="right" vertical="center" readingOrder="2"/>
    </xf>
    <xf numFmtId="1" fontId="9" fillId="0" borderId="0" xfId="4" applyNumberFormat="1" applyFont="1" applyBorder="1" applyAlignment="1">
      <alignment horizontal="left" vertical="center" readingOrder="1"/>
    </xf>
    <xf numFmtId="0" fontId="9" fillId="0" borderId="0" xfId="0" applyFont="1" applyFill="1" applyBorder="1" applyAlignment="1">
      <alignment horizontal="right" vertical="center" indent="1" readingOrder="2"/>
    </xf>
    <xf numFmtId="0" fontId="9" fillId="0" borderId="0" xfId="4" applyFont="1" applyFill="1" applyAlignment="1">
      <alignment horizontal="right" vertical="center" wrapText="1" readingOrder="2"/>
    </xf>
    <xf numFmtId="0" fontId="9" fillId="0" borderId="0" xfId="4" applyFont="1" applyFill="1" applyAlignment="1">
      <alignment horizontal="right" vertical="center" readingOrder="2"/>
    </xf>
    <xf numFmtId="0" fontId="9" fillId="0" borderId="0" xfId="4" applyFont="1" applyAlignment="1">
      <alignment horizontal="center" vertical="center" readingOrder="1"/>
    </xf>
    <xf numFmtId="0" fontId="9" fillId="0" borderId="0" xfId="4" applyFont="1" applyAlignment="1">
      <alignment horizontal="right" vertical="center" readingOrder="2"/>
    </xf>
    <xf numFmtId="0" fontId="9" fillId="0" borderId="0" xfId="0" applyFont="1" applyFill="1" applyBorder="1" applyAlignment="1">
      <alignment horizontal="right" vertical="center" readingOrder="2"/>
    </xf>
    <xf numFmtId="1" fontId="9" fillId="0" borderId="0" xfId="4" applyNumberFormat="1" applyFont="1" applyFill="1" applyBorder="1" applyAlignment="1">
      <alignment horizontal="left" vertical="center" readingOrder="1"/>
    </xf>
    <xf numFmtId="0" fontId="9" fillId="0" borderId="0" xfId="4" applyFont="1" applyFill="1" applyAlignment="1">
      <alignment horizontal="center" vertical="center" readingOrder="1"/>
    </xf>
    <xf numFmtId="0" fontId="9" fillId="0" borderId="0" xfId="4" applyFont="1" applyFill="1" applyAlignment="1">
      <alignment horizontal="left" vertical="center"/>
    </xf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wrapText="1" readingOrder="1"/>
    </xf>
    <xf numFmtId="0" fontId="17" fillId="0" borderId="0" xfId="4" applyFont="1" applyFill="1" applyAlignment="1">
      <alignment horizontal="center" vertical="center" wrapText="1" readingOrder="2"/>
    </xf>
    <xf numFmtId="0" fontId="17" fillId="0" borderId="0" xfId="4" applyFont="1" applyFill="1" applyAlignment="1">
      <alignment horizontal="center" vertical="center" wrapText="1" readingOrder="1"/>
    </xf>
    <xf numFmtId="0" fontId="19" fillId="0" borderId="0" xfId="4" applyFont="1" applyFill="1"/>
    <xf numFmtId="0" fontId="19" fillId="0" borderId="0" xfId="4" applyFont="1" applyFill="1" applyAlignment="1">
      <alignment horizontal="center"/>
    </xf>
    <xf numFmtId="0" fontId="19" fillId="0" borderId="0" xfId="4" applyFont="1" applyFill="1" applyAlignment="1">
      <alignment horizontal="center" vertical="center"/>
    </xf>
    <xf numFmtId="0" fontId="19" fillId="0" borderId="0" xfId="4" applyFont="1" applyFill="1" applyBorder="1" applyAlignment="1">
      <alignment vertical="center"/>
    </xf>
    <xf numFmtId="0" fontId="17" fillId="0" borderId="0" xfId="4" applyFont="1" applyFill="1" applyBorder="1" applyAlignment="1">
      <alignment horizontal="center" vertical="center"/>
    </xf>
    <xf numFmtId="0" fontId="19" fillId="4" borderId="3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9" fillId="4" borderId="1" xfId="4" applyFont="1" applyFill="1" applyBorder="1" applyAlignment="1"/>
    <xf numFmtId="0" fontId="19" fillId="4" borderId="2" xfId="4" applyFont="1" applyFill="1" applyBorder="1" applyAlignment="1">
      <alignment horizontal="right" vertical="center" indent="1"/>
    </xf>
    <xf numFmtId="0" fontId="17" fillId="4" borderId="2" xfId="4" quotePrefix="1" applyFont="1" applyFill="1" applyBorder="1" applyAlignment="1">
      <alignment horizontal="center" vertical="center" wrapText="1"/>
    </xf>
    <xf numFmtId="0" fontId="17" fillId="4" borderId="9" xfId="4" quotePrefix="1" applyFont="1" applyFill="1" applyBorder="1" applyAlignment="1">
      <alignment horizontal="center" vertical="center" wrapText="1"/>
    </xf>
    <xf numFmtId="0" fontId="17" fillId="4" borderId="12" xfId="4" quotePrefix="1" applyFont="1" applyFill="1" applyBorder="1" applyAlignment="1">
      <alignment horizontal="center" vertical="center" wrapText="1"/>
    </xf>
    <xf numFmtId="0" fontId="20" fillId="0" borderId="3" xfId="2" applyFont="1" applyFill="1" applyBorder="1" applyAlignment="1">
      <alignment horizontal="right" vertical="center" readingOrder="2"/>
    </xf>
    <xf numFmtId="1" fontId="20" fillId="0" borderId="3" xfId="4" applyNumberFormat="1" applyFont="1" applyFill="1" applyBorder="1" applyAlignment="1">
      <alignment horizontal="left" vertical="center" readingOrder="1"/>
    </xf>
    <xf numFmtId="1" fontId="20" fillId="0" borderId="3" xfId="4" applyNumberFormat="1" applyFont="1" applyBorder="1" applyAlignment="1">
      <alignment horizontal="center" vertical="center"/>
    </xf>
    <xf numFmtId="0" fontId="20" fillId="0" borderId="1" xfId="2" applyFont="1" applyFill="1" applyBorder="1" applyAlignment="1">
      <alignment horizontal="right" vertical="center" readingOrder="2"/>
    </xf>
    <xf numFmtId="1" fontId="20" fillId="0" borderId="1" xfId="4" applyNumberFormat="1" applyFont="1" applyFill="1" applyBorder="1" applyAlignment="1">
      <alignment horizontal="left" vertical="center" readingOrder="1"/>
    </xf>
    <xf numFmtId="1" fontId="20" fillId="0" borderId="1" xfId="4" applyNumberFormat="1" applyFont="1" applyBorder="1" applyAlignment="1">
      <alignment horizontal="center" vertical="center"/>
    </xf>
    <xf numFmtId="0" fontId="19" fillId="0" borderId="1" xfId="2" applyFont="1" applyFill="1" applyBorder="1" applyAlignment="1">
      <alignment horizontal="right" vertical="center" indent="1" readingOrder="2"/>
    </xf>
    <xf numFmtId="1" fontId="19" fillId="0" borderId="1" xfId="4" applyNumberFormat="1" applyFont="1" applyFill="1" applyBorder="1" applyAlignment="1">
      <alignment horizontal="left" vertical="center" indent="1" readingOrder="1"/>
    </xf>
    <xf numFmtId="1" fontId="19" fillId="0" borderId="1" xfId="4" applyNumberFormat="1" applyFont="1" applyBorder="1" applyAlignment="1">
      <alignment horizontal="center" vertical="center"/>
    </xf>
    <xf numFmtId="0" fontId="20" fillId="0" borderId="1" xfId="2" applyFont="1" applyBorder="1" applyAlignment="1">
      <alignment horizontal="right" vertical="center" readingOrder="2"/>
    </xf>
    <xf numFmtId="1" fontId="20" fillId="0" borderId="1" xfId="4" applyNumberFormat="1" applyFont="1" applyBorder="1" applyAlignment="1">
      <alignment horizontal="left" vertical="center" readingOrder="1"/>
    </xf>
    <xf numFmtId="0" fontId="17" fillId="0" borderId="1" xfId="2" applyFont="1" applyBorder="1" applyAlignment="1">
      <alignment horizontal="right" vertical="center" indent="1" readingOrder="2"/>
    </xf>
    <xf numFmtId="1" fontId="17" fillId="0" borderId="1" xfId="4" applyNumberFormat="1" applyFont="1" applyBorder="1" applyAlignment="1">
      <alignment horizontal="left" vertical="center" indent="1" readingOrder="1"/>
    </xf>
    <xf numFmtId="1" fontId="17" fillId="0" borderId="1" xfId="4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right" vertical="center" indent="2" readingOrder="2"/>
    </xf>
    <xf numFmtId="1" fontId="19" fillId="0" borderId="1" xfId="4" applyNumberFormat="1" applyFont="1" applyBorder="1" applyAlignment="1">
      <alignment horizontal="left" vertical="center" indent="2" readingOrder="1"/>
    </xf>
    <xf numFmtId="0" fontId="20" fillId="0" borderId="1" xfId="4" applyFont="1" applyFill="1" applyBorder="1" applyAlignment="1">
      <alignment horizontal="right" vertical="center" readingOrder="2"/>
    </xf>
    <xf numFmtId="0" fontId="20" fillId="0" borderId="1" xfId="2" applyFont="1" applyFill="1" applyBorder="1" applyAlignment="1">
      <alignment horizontal="right" vertical="center" indent="1" readingOrder="2"/>
    </xf>
    <xf numFmtId="1" fontId="20" fillId="0" borderId="1" xfId="4" applyNumberFormat="1" applyFont="1" applyFill="1" applyBorder="1" applyAlignment="1">
      <alignment horizontal="left" vertical="center" indent="1" readingOrder="1"/>
    </xf>
    <xf numFmtId="0" fontId="19" fillId="0" borderId="1" xfId="2" applyFont="1" applyFill="1" applyBorder="1" applyAlignment="1">
      <alignment horizontal="right" vertical="center" indent="2" readingOrder="2"/>
    </xf>
    <xf numFmtId="1" fontId="19" fillId="0" borderId="1" xfId="4" applyNumberFormat="1" applyFont="1" applyFill="1" applyBorder="1" applyAlignment="1">
      <alignment horizontal="left" vertical="center" indent="2" readingOrder="1"/>
    </xf>
    <xf numFmtId="1" fontId="17" fillId="0" borderId="1" xfId="4" applyNumberFormat="1" applyFont="1" applyFill="1" applyBorder="1" applyAlignment="1">
      <alignment horizontal="left" vertical="center" indent="1" readingOrder="1"/>
    </xf>
    <xf numFmtId="1" fontId="20" fillId="0" borderId="1" xfId="4" applyNumberFormat="1" applyFont="1" applyFill="1" applyBorder="1" applyAlignment="1">
      <alignment horizontal="left" vertical="center" wrapText="1" readingOrder="1"/>
    </xf>
    <xf numFmtId="0" fontId="19" fillId="0" borderId="2" xfId="2" applyFont="1" applyFill="1" applyBorder="1" applyAlignment="1">
      <alignment horizontal="right" vertical="center" indent="1" readingOrder="2"/>
    </xf>
    <xf numFmtId="1" fontId="19" fillId="0" borderId="2" xfId="4" applyNumberFormat="1" applyFont="1" applyFill="1" applyBorder="1" applyAlignment="1">
      <alignment horizontal="left" vertical="center" indent="1" readingOrder="1"/>
    </xf>
    <xf numFmtId="1" fontId="19" fillId="0" borderId="2" xfId="4" applyNumberFormat="1" applyFont="1" applyBorder="1" applyAlignment="1">
      <alignment horizontal="center" vertical="center"/>
    </xf>
    <xf numFmtId="0" fontId="19" fillId="0" borderId="0" xfId="3" applyFont="1" applyFill="1" applyBorder="1" applyAlignment="1">
      <alignment horizontal="center" vertical="center"/>
    </xf>
    <xf numFmtId="0" fontId="19" fillId="0" borderId="4" xfId="3" applyFont="1" applyFill="1" applyBorder="1" applyAlignment="1">
      <alignment horizontal="left" vertical="center"/>
    </xf>
    <xf numFmtId="0" fontId="17" fillId="0" borderId="0" xfId="3" applyFont="1" applyFill="1" applyBorder="1" applyAlignment="1">
      <alignment horizontal="center" vertical="center"/>
    </xf>
    <xf numFmtId="0" fontId="19" fillId="4" borderId="3" xfId="3" applyFont="1" applyFill="1" applyBorder="1" applyAlignment="1">
      <alignment horizontal="center"/>
    </xf>
    <xf numFmtId="0" fontId="19" fillId="4" borderId="1" xfId="3" applyFont="1" applyFill="1" applyBorder="1" applyAlignment="1">
      <alignment horizontal="center"/>
    </xf>
    <xf numFmtId="0" fontId="19" fillId="4" borderId="1" xfId="3" applyFont="1" applyFill="1" applyBorder="1" applyAlignment="1"/>
    <xf numFmtId="0" fontId="19" fillId="4" borderId="2" xfId="3" applyFont="1" applyFill="1" applyBorder="1" applyAlignment="1">
      <alignment horizontal="right" vertical="center" indent="1"/>
    </xf>
    <xf numFmtId="0" fontId="17" fillId="4" borderId="2" xfId="3" quotePrefix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right" vertical="center" readingOrder="2"/>
    </xf>
    <xf numFmtId="1" fontId="20" fillId="0" borderId="3" xfId="4" applyNumberFormat="1" applyFont="1" applyBorder="1" applyAlignment="1">
      <alignment horizontal="left" vertical="center" readingOrder="1"/>
    </xf>
    <xf numFmtId="1" fontId="20" fillId="0" borderId="1" xfId="3" applyNumberFormat="1" applyFont="1" applyBorder="1" applyAlignment="1">
      <alignment horizontal="center" vertical="center" readingOrder="1"/>
    </xf>
    <xf numFmtId="0" fontId="20" fillId="0" borderId="1" xfId="0" applyFont="1" applyBorder="1" applyAlignment="1">
      <alignment horizontal="right" vertical="center" readingOrder="2"/>
    </xf>
    <xf numFmtId="0" fontId="19" fillId="0" borderId="1" xfId="0" applyFont="1" applyBorder="1" applyAlignment="1">
      <alignment horizontal="right" vertical="center" indent="1" readingOrder="2"/>
    </xf>
    <xf numFmtId="1" fontId="19" fillId="0" borderId="1" xfId="4" applyNumberFormat="1" applyFont="1" applyBorder="1" applyAlignment="1">
      <alignment horizontal="left" vertical="center" indent="1" readingOrder="1"/>
    </xf>
    <xf numFmtId="1" fontId="19" fillId="0" borderId="1" xfId="3" applyNumberFormat="1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right" vertical="center" indent="2" readingOrder="2"/>
    </xf>
    <xf numFmtId="0" fontId="20" fillId="0" borderId="1" xfId="4" applyFont="1" applyBorder="1" applyAlignment="1">
      <alignment horizontal="right" vertical="center" readingOrder="2"/>
    </xf>
    <xf numFmtId="0" fontId="20" fillId="0" borderId="1" xfId="0" applyFont="1" applyBorder="1" applyAlignment="1">
      <alignment horizontal="right" vertical="center" indent="1" readingOrder="2"/>
    </xf>
    <xf numFmtId="1" fontId="20" fillId="0" borderId="1" xfId="4" applyNumberFormat="1" applyFont="1" applyBorder="1" applyAlignment="1">
      <alignment horizontal="left" vertical="center" indent="1" readingOrder="1"/>
    </xf>
    <xf numFmtId="0" fontId="17" fillId="0" borderId="1" xfId="0" applyFont="1" applyBorder="1" applyAlignment="1">
      <alignment horizontal="right" vertical="center" readingOrder="2"/>
    </xf>
    <xf numFmtId="1" fontId="20" fillId="0" borderId="1" xfId="4" applyNumberFormat="1" applyFont="1" applyBorder="1" applyAlignment="1">
      <alignment horizontal="left" vertical="center" wrapText="1" readingOrder="1"/>
    </xf>
    <xf numFmtId="0" fontId="19" fillId="0" borderId="2" xfId="0" applyFont="1" applyBorder="1" applyAlignment="1">
      <alignment horizontal="right" vertical="center" indent="1" readingOrder="2"/>
    </xf>
    <xf numFmtId="1" fontId="19" fillId="0" borderId="2" xfId="4" applyNumberFormat="1" applyFont="1" applyBorder="1" applyAlignment="1">
      <alignment horizontal="left" vertical="center" indent="1" readingOrder="1"/>
    </xf>
    <xf numFmtId="1" fontId="19" fillId="0" borderId="2" xfId="3" applyNumberFormat="1" applyFont="1" applyBorder="1" applyAlignment="1">
      <alignment horizontal="center" vertical="center" readingOrder="1"/>
    </xf>
    <xf numFmtId="0" fontId="9" fillId="0" borderId="0" xfId="4" applyFont="1" applyAlignment="1">
      <alignment horizontal="right" vertical="top" wrapText="1" readingOrder="2"/>
    </xf>
    <xf numFmtId="0" fontId="19" fillId="0" borderId="0" xfId="3" applyFont="1" applyFill="1" applyBorder="1" applyAlignment="1">
      <alignment horizontal="left" vertical="center"/>
    </xf>
    <xf numFmtId="0" fontId="19" fillId="4" borderId="5" xfId="4" applyFont="1" applyFill="1" applyBorder="1" applyAlignment="1">
      <alignment horizontal="center"/>
    </xf>
    <xf numFmtId="0" fontId="19" fillId="4" borderId="6" xfId="4" applyFont="1" applyFill="1" applyBorder="1" applyAlignment="1">
      <alignment horizontal="center"/>
    </xf>
    <xf numFmtId="0" fontId="19" fillId="4" borderId="6" xfId="4" applyFont="1" applyFill="1" applyBorder="1" applyAlignment="1"/>
    <xf numFmtId="1" fontId="20" fillId="0" borderId="3" xfId="4" applyNumberFormat="1" applyFont="1" applyBorder="1" applyAlignment="1">
      <alignment horizontal="center" vertical="center" readingOrder="1"/>
    </xf>
    <xf numFmtId="1" fontId="20" fillId="0" borderId="1" xfId="4" applyNumberFormat="1" applyFont="1" applyBorder="1" applyAlignment="1">
      <alignment horizontal="center" vertical="center" readingOrder="1"/>
    </xf>
    <xf numFmtId="1" fontId="19" fillId="0" borderId="1" xfId="4" applyNumberFormat="1" applyFont="1" applyBorder="1" applyAlignment="1">
      <alignment horizontal="center" vertical="center" readingOrder="1"/>
    </xf>
    <xf numFmtId="0" fontId="19" fillId="4" borderId="5" xfId="3" applyFont="1" applyFill="1" applyBorder="1" applyAlignment="1">
      <alignment horizontal="center"/>
    </xf>
    <xf numFmtId="0" fontId="19" fillId="4" borderId="6" xfId="3" applyFont="1" applyFill="1" applyBorder="1" applyAlignment="1">
      <alignment horizontal="center"/>
    </xf>
    <xf numFmtId="0" fontId="19" fillId="4" borderId="6" xfId="3" applyFont="1" applyFill="1" applyBorder="1" applyAlignment="1"/>
    <xf numFmtId="1" fontId="20" fillId="0" borderId="3" xfId="3" applyNumberFormat="1" applyFont="1" applyBorder="1" applyAlignment="1">
      <alignment horizontal="center" vertical="center"/>
    </xf>
    <xf numFmtId="1" fontId="20" fillId="0" borderId="1" xfId="3" applyNumberFormat="1" applyFont="1" applyBorder="1" applyAlignment="1">
      <alignment horizontal="center" vertical="center"/>
    </xf>
    <xf numFmtId="1" fontId="19" fillId="0" borderId="1" xfId="3" applyNumberFormat="1" applyFont="1" applyBorder="1" applyAlignment="1">
      <alignment horizontal="center" vertical="center"/>
    </xf>
    <xf numFmtId="1" fontId="19" fillId="0" borderId="2" xfId="3" applyNumberFormat="1" applyFont="1" applyBorder="1" applyAlignment="1">
      <alignment horizontal="center" vertical="center"/>
    </xf>
    <xf numFmtId="0" fontId="19" fillId="0" borderId="0" xfId="3" applyFont="1"/>
    <xf numFmtId="0" fontId="19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0" borderId="0" xfId="4" applyFont="1"/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center" vertical="center"/>
    </xf>
    <xf numFmtId="0" fontId="19" fillId="0" borderId="0" xfId="4" applyFont="1" applyBorder="1" applyAlignment="1">
      <alignment vertical="center"/>
    </xf>
    <xf numFmtId="0" fontId="19" fillId="0" borderId="0" xfId="4" applyFont="1" applyFill="1" applyBorder="1"/>
    <xf numFmtId="0" fontId="20" fillId="0" borderId="3" xfId="0" applyFont="1" applyFill="1" applyBorder="1" applyAlignment="1">
      <alignment horizontal="right" vertical="center" readingOrder="2"/>
    </xf>
    <xf numFmtId="0" fontId="20" fillId="0" borderId="1" xfId="0" applyFont="1" applyFill="1" applyBorder="1" applyAlignment="1">
      <alignment horizontal="right" vertical="center" readingOrder="2"/>
    </xf>
    <xf numFmtId="0" fontId="17" fillId="0" borderId="1" xfId="0" applyFont="1" applyFill="1" applyBorder="1" applyAlignment="1">
      <alignment horizontal="right" vertical="center" readingOrder="2"/>
    </xf>
    <xf numFmtId="0" fontId="19" fillId="0" borderId="1" xfId="0" applyFont="1" applyFill="1" applyBorder="1" applyAlignment="1">
      <alignment horizontal="right" vertical="center" readingOrder="2"/>
    </xf>
    <xf numFmtId="1" fontId="19" fillId="0" borderId="1" xfId="4" applyNumberFormat="1" applyFont="1" applyFill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readingOrder="1"/>
    </xf>
    <xf numFmtId="0" fontId="19" fillId="0" borderId="1" xfId="0" applyFont="1" applyBorder="1" applyAlignment="1">
      <alignment horizontal="right" vertical="center" readingOrder="2"/>
    </xf>
    <xf numFmtId="1" fontId="19" fillId="0" borderId="1" xfId="4" applyNumberFormat="1" applyFont="1" applyBorder="1" applyAlignment="1">
      <alignment horizontal="left" vertical="center" readingOrder="1"/>
    </xf>
    <xf numFmtId="1" fontId="17" fillId="0" borderId="1" xfId="4" applyNumberFormat="1" applyFont="1" applyFill="1" applyBorder="1" applyAlignment="1">
      <alignment horizontal="left" vertical="center" readingOrder="1"/>
    </xf>
    <xf numFmtId="0" fontId="19" fillId="0" borderId="2" xfId="0" applyFont="1" applyFill="1" applyBorder="1" applyAlignment="1">
      <alignment horizontal="right" vertical="center" readingOrder="2"/>
    </xf>
    <xf numFmtId="1" fontId="19" fillId="0" borderId="2" xfId="4" applyNumberFormat="1" applyFont="1" applyFill="1" applyBorder="1" applyAlignment="1">
      <alignment horizontal="left" vertical="center" readingOrder="1"/>
    </xf>
    <xf numFmtId="1" fontId="20" fillId="0" borderId="0" xfId="4" applyNumberFormat="1" applyFont="1" applyFill="1" applyAlignment="1">
      <alignment horizontal="center" vertical="center"/>
    </xf>
    <xf numFmtId="1" fontId="20" fillId="0" borderId="3" xfId="4" applyNumberFormat="1" applyFont="1" applyFill="1" applyBorder="1" applyAlignment="1">
      <alignment horizontal="center" vertical="center"/>
    </xf>
    <xf numFmtId="1" fontId="20" fillId="0" borderId="5" xfId="4" applyNumberFormat="1" applyFont="1" applyBorder="1" applyAlignment="1">
      <alignment horizontal="center" vertical="center"/>
    </xf>
    <xf numFmtId="1" fontId="20" fillId="0" borderId="1" xfId="4" applyNumberFormat="1" applyFont="1" applyFill="1" applyBorder="1" applyAlignment="1">
      <alignment horizontal="center" vertical="center"/>
    </xf>
    <xf numFmtId="1" fontId="20" fillId="0" borderId="6" xfId="4" applyNumberFormat="1" applyFont="1" applyBorder="1" applyAlignment="1">
      <alignment horizontal="center" vertical="center"/>
    </xf>
    <xf numFmtId="1" fontId="19" fillId="0" borderId="0" xfId="4" applyNumberFormat="1" applyFont="1" applyFill="1" applyAlignment="1">
      <alignment horizontal="center" vertical="center"/>
    </xf>
    <xf numFmtId="1" fontId="19" fillId="0" borderId="1" xfId="4" applyNumberFormat="1" applyFont="1" applyFill="1" applyBorder="1" applyAlignment="1">
      <alignment horizontal="center" vertical="center"/>
    </xf>
    <xf numFmtId="1" fontId="19" fillId="0" borderId="6" xfId="4" applyNumberFormat="1" applyFont="1" applyBorder="1" applyAlignment="1">
      <alignment horizontal="center" vertical="center"/>
    </xf>
    <xf numFmtId="1" fontId="17" fillId="0" borderId="0" xfId="4" applyNumberFormat="1" applyFont="1" applyFill="1" applyAlignment="1">
      <alignment horizontal="center" vertical="center"/>
    </xf>
    <xf numFmtId="1" fontId="17" fillId="0" borderId="1" xfId="4" applyNumberFormat="1" applyFont="1" applyFill="1" applyBorder="1" applyAlignment="1">
      <alignment horizontal="center" vertical="center"/>
    </xf>
    <xf numFmtId="1" fontId="17" fillId="0" borderId="6" xfId="4" applyNumberFormat="1" applyFont="1" applyBorder="1" applyAlignment="1">
      <alignment horizontal="center" vertical="center"/>
    </xf>
    <xf numFmtId="1" fontId="19" fillId="0" borderId="7" xfId="4" applyNumberFormat="1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right" vertical="center" readingOrder="2"/>
    </xf>
    <xf numFmtId="1" fontId="19" fillId="0" borderId="2" xfId="4" applyNumberFormat="1" applyFont="1" applyFill="1" applyBorder="1" applyAlignment="1">
      <alignment horizontal="center" vertical="center"/>
    </xf>
    <xf numFmtId="1" fontId="19" fillId="0" borderId="9" xfId="4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indent="1" readingOrder="2"/>
    </xf>
    <xf numFmtId="1" fontId="17" fillId="0" borderId="1" xfId="3" applyNumberFormat="1" applyFont="1" applyBorder="1" applyAlignment="1">
      <alignment horizontal="center" vertical="center" readingOrder="1"/>
    </xf>
    <xf numFmtId="1" fontId="17" fillId="0" borderId="1" xfId="4" applyNumberFormat="1" applyFont="1" applyBorder="1" applyAlignment="1">
      <alignment horizontal="center" vertical="center" readingOrder="1"/>
    </xf>
    <xf numFmtId="1" fontId="17" fillId="0" borderId="1" xfId="3" applyNumberFormat="1" applyFont="1" applyBorder="1" applyAlignment="1">
      <alignment horizontal="center" vertical="center"/>
    </xf>
    <xf numFmtId="0" fontId="19" fillId="4" borderId="3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9" fillId="4" borderId="3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9" fillId="4" borderId="3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7" fillId="0" borderId="0" xfId="4" applyFont="1" applyAlignment="1">
      <alignment horizontal="center" vertical="center" wrapText="1" readingOrder="2"/>
    </xf>
    <xf numFmtId="0" fontId="17" fillId="0" borderId="0" xfId="4" applyFont="1" applyAlignment="1">
      <alignment horizontal="center" vertical="center" wrapText="1" readingOrder="1"/>
    </xf>
    <xf numFmtId="0" fontId="2" fillId="0" borderId="0" xfId="4" applyFont="1" applyAlignment="1">
      <alignment vertical="center" wrapText="1" readingOrder="2"/>
    </xf>
    <xf numFmtId="0" fontId="19" fillId="0" borderId="0" xfId="4" applyFont="1" applyAlignment="1">
      <alignment vertical="center"/>
    </xf>
    <xf numFmtId="0" fontId="17" fillId="0" borderId="0" xfId="4" applyFont="1" applyAlignment="1">
      <alignment horizontal="center" vertical="center"/>
    </xf>
    <xf numFmtId="0" fontId="19" fillId="4" borderId="1" xfId="4" applyFont="1" applyFill="1" applyBorder="1"/>
    <xf numFmtId="0" fontId="20" fillId="0" borderId="3" xfId="2" applyFont="1" applyBorder="1" applyAlignment="1">
      <alignment horizontal="right" vertical="center" readingOrder="2"/>
    </xf>
    <xf numFmtId="0" fontId="19" fillId="0" borderId="1" xfId="2" applyFont="1" applyBorder="1" applyAlignment="1">
      <alignment horizontal="right" vertical="center" indent="1" readingOrder="2"/>
    </xf>
    <xf numFmtId="0" fontId="20" fillId="0" borderId="1" xfId="2" applyFont="1" applyBorder="1" applyAlignment="1">
      <alignment horizontal="right" vertical="center" indent="1" readingOrder="2"/>
    </xf>
    <xf numFmtId="0" fontId="19" fillId="0" borderId="2" xfId="2" applyFont="1" applyBorder="1" applyAlignment="1">
      <alignment horizontal="right" vertical="center" indent="1" readingOrder="2"/>
    </xf>
    <xf numFmtId="0" fontId="9" fillId="0" borderId="0" xfId="2" applyFont="1" applyAlignment="1">
      <alignment horizontal="right" vertical="center" readingOrder="2"/>
    </xf>
    <xf numFmtId="1" fontId="9" fillId="0" borderId="0" xfId="4" applyNumberFormat="1" applyFont="1" applyAlignment="1">
      <alignment horizontal="left" vertical="center" readingOrder="1"/>
    </xf>
    <xf numFmtId="0" fontId="9" fillId="0" borderId="0" xfId="2" applyFont="1" applyAlignment="1">
      <alignment horizontal="left" vertical="center" wrapText="1" readingOrder="1"/>
    </xf>
    <xf numFmtId="49" fontId="2" fillId="0" borderId="0" xfId="4" applyNumberFormat="1" applyFont="1" applyAlignment="1">
      <alignment horizontal="center" vertical="center"/>
    </xf>
    <xf numFmtId="0" fontId="19" fillId="4" borderId="3" xfId="3" applyFont="1" applyFill="1" applyBorder="1" applyAlignment="1">
      <alignment horizontal="center"/>
    </xf>
    <xf numFmtId="0" fontId="19" fillId="4" borderId="1" xfId="3" applyFont="1" applyFill="1" applyBorder="1" applyAlignment="1">
      <alignment horizontal="center"/>
    </xf>
    <xf numFmtId="0" fontId="17" fillId="4" borderId="1" xfId="3" applyFont="1" applyFill="1" applyBorder="1" applyAlignment="1">
      <alignment horizontal="center" vertical="center"/>
    </xf>
    <xf numFmtId="0" fontId="17" fillId="4" borderId="2" xfId="3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10" xfId="3" applyFont="1" applyFill="1" applyBorder="1" applyAlignment="1">
      <alignment horizontal="center" vertical="center"/>
    </xf>
    <xf numFmtId="0" fontId="17" fillId="4" borderId="11" xfId="3" applyFont="1" applyFill="1" applyBorder="1" applyAlignment="1">
      <alignment horizontal="center" vertical="center"/>
    </xf>
    <xf numFmtId="0" fontId="17" fillId="4" borderId="9" xfId="3" applyFont="1" applyFill="1" applyBorder="1" applyAlignment="1">
      <alignment horizontal="center" vertical="center"/>
    </xf>
    <xf numFmtId="0" fontId="17" fillId="4" borderId="4" xfId="3" applyFont="1" applyFill="1" applyBorder="1" applyAlignment="1">
      <alignment horizontal="center" vertical="center"/>
    </xf>
    <xf numFmtId="0" fontId="17" fillId="4" borderId="8" xfId="3" applyFont="1" applyFill="1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19" fillId="4" borderId="3" xfId="4" applyFont="1" applyFill="1" applyBorder="1" applyAlignment="1">
      <alignment horizontal="center"/>
    </xf>
    <xf numFmtId="0" fontId="19" fillId="4" borderId="1" xfId="4" applyFont="1" applyFill="1" applyBorder="1" applyAlignment="1">
      <alignment horizontal="center"/>
    </xf>
    <xf numFmtId="0" fontId="17" fillId="4" borderId="5" xfId="4" applyFont="1" applyFill="1" applyBorder="1" applyAlignment="1">
      <alignment horizontal="center" vertical="center"/>
    </xf>
    <xf numFmtId="0" fontId="17" fillId="4" borderId="10" xfId="4" applyFont="1" applyFill="1" applyBorder="1" applyAlignment="1">
      <alignment horizontal="center" vertical="center"/>
    </xf>
    <xf numFmtId="0" fontId="17" fillId="4" borderId="11" xfId="4" applyFont="1" applyFill="1" applyBorder="1" applyAlignment="1">
      <alignment horizontal="center" vertical="center"/>
    </xf>
    <xf numFmtId="0" fontId="17" fillId="4" borderId="9" xfId="4" applyFont="1" applyFill="1" applyBorder="1" applyAlignment="1">
      <alignment horizontal="center" vertical="center"/>
    </xf>
    <xf numFmtId="0" fontId="17" fillId="4" borderId="4" xfId="4" applyFont="1" applyFill="1" applyBorder="1" applyAlignment="1">
      <alignment horizontal="center" vertical="center"/>
    </xf>
    <xf numFmtId="0" fontId="17" fillId="4" borderId="8" xfId="4" applyFont="1" applyFill="1" applyBorder="1" applyAlignment="1">
      <alignment horizontal="center" vertical="center"/>
    </xf>
    <xf numFmtId="0" fontId="17" fillId="4" borderId="1" xfId="4" applyFont="1" applyFill="1" applyBorder="1" applyAlignment="1">
      <alignment horizontal="center" vertical="center"/>
    </xf>
    <xf numFmtId="0" fontId="17" fillId="4" borderId="2" xfId="4" applyFont="1" applyFill="1" applyBorder="1" applyAlignment="1">
      <alignment horizontal="center" vertical="center"/>
    </xf>
    <xf numFmtId="49" fontId="2" fillId="0" borderId="0" xfId="3" applyNumberFormat="1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/>
    </xf>
    <xf numFmtId="0" fontId="19" fillId="0" borderId="0" xfId="4" applyFont="1" applyBorder="1" applyAlignment="1">
      <alignment horizontal="center" vertical="center"/>
    </xf>
    <xf numFmtId="0" fontId="19" fillId="0" borderId="0" xfId="4" applyFont="1" applyFill="1" applyBorder="1" applyAlignment="1">
      <alignment horizontal="center" vertical="center"/>
    </xf>
    <xf numFmtId="0" fontId="9" fillId="0" borderId="0" xfId="4" applyFont="1" applyFill="1" applyAlignment="1">
      <alignment horizontal="left" vertical="center"/>
    </xf>
    <xf numFmtId="0" fontId="17" fillId="4" borderId="6" xfId="4" applyFont="1" applyFill="1" applyBorder="1" applyAlignment="1">
      <alignment horizontal="center" vertical="center"/>
    </xf>
    <xf numFmtId="0" fontId="17" fillId="4" borderId="3" xfId="4" applyFont="1" applyFill="1" applyBorder="1" applyAlignment="1">
      <alignment horizontal="center" vertical="center"/>
    </xf>
    <xf numFmtId="1" fontId="9" fillId="0" borderId="2" xfId="4" applyNumberFormat="1" applyFont="1" applyBorder="1" applyAlignment="1">
      <alignment horizontal="center" vertical="center"/>
    </xf>
    <xf numFmtId="1" fontId="20" fillId="0" borderId="3" xfId="6" applyNumberFormat="1" applyFont="1" applyFill="1" applyBorder="1" applyAlignment="1">
      <alignment horizontal="center" vertical="center" readingOrder="1"/>
    </xf>
    <xf numFmtId="1" fontId="20" fillId="0" borderId="1" xfId="6" applyNumberFormat="1" applyFont="1" applyFill="1" applyBorder="1" applyAlignment="1">
      <alignment horizontal="center" vertical="center" readingOrder="1"/>
    </xf>
    <xf numFmtId="1" fontId="19" fillId="0" borderId="1" xfId="6" applyNumberFormat="1" applyFont="1" applyFill="1" applyBorder="1" applyAlignment="1">
      <alignment horizontal="center" vertical="center" readingOrder="1"/>
    </xf>
    <xf numFmtId="1" fontId="23" fillId="0" borderId="1" xfId="6" applyNumberFormat="1" applyFont="1" applyFill="1" applyBorder="1" applyAlignment="1">
      <alignment horizontal="center" vertical="center" readingOrder="1"/>
    </xf>
    <xf numFmtId="1" fontId="17" fillId="0" borderId="1" xfId="6" applyNumberFormat="1" applyFont="1" applyFill="1" applyBorder="1" applyAlignment="1">
      <alignment horizontal="center" vertical="center" readingOrder="1"/>
    </xf>
    <xf numFmtId="1" fontId="27" fillId="0" borderId="1" xfId="6" applyNumberFormat="1" applyFont="1" applyFill="1" applyBorder="1" applyAlignment="1">
      <alignment horizontal="center" vertical="center" readingOrder="1"/>
    </xf>
    <xf numFmtId="1" fontId="23" fillId="0" borderId="1" xfId="5" applyNumberFormat="1" applyFont="1" applyFill="1" applyBorder="1" applyAlignment="1">
      <alignment horizontal="center" vertical="center" readingOrder="1"/>
    </xf>
    <xf numFmtId="1" fontId="24" fillId="0" borderId="1" xfId="6" applyNumberFormat="1" applyFont="1" applyFill="1" applyBorder="1" applyAlignment="1">
      <alignment horizontal="center" vertical="center" readingOrder="1"/>
    </xf>
    <xf numFmtId="1" fontId="23" fillId="0" borderId="2" xfId="6" applyNumberFormat="1" applyFont="1" applyFill="1" applyBorder="1" applyAlignment="1">
      <alignment horizontal="center" vertical="center" readingOrder="1"/>
    </xf>
    <xf numFmtId="1" fontId="25" fillId="0" borderId="7" xfId="4" applyNumberFormat="1" applyFont="1" applyFill="1" applyBorder="1" applyAlignment="1">
      <alignment horizontal="center" vertical="center"/>
    </xf>
    <xf numFmtId="1" fontId="20" fillId="0" borderId="5" xfId="4" applyNumberFormat="1" applyFont="1" applyFill="1" applyBorder="1" applyAlignment="1">
      <alignment horizontal="center" vertical="center"/>
    </xf>
    <xf numFmtId="1" fontId="20" fillId="0" borderId="6" xfId="4" applyNumberFormat="1" applyFont="1" applyFill="1" applyBorder="1" applyAlignment="1">
      <alignment horizontal="center" vertical="center"/>
    </xf>
    <xf numFmtId="1" fontId="26" fillId="0" borderId="7" xfId="4" applyNumberFormat="1" applyFont="1" applyFill="1" applyBorder="1" applyAlignment="1">
      <alignment horizontal="center" vertical="center"/>
    </xf>
    <xf numFmtId="1" fontId="19" fillId="0" borderId="6" xfId="4" applyNumberFormat="1" applyFont="1" applyFill="1" applyBorder="1" applyAlignment="1">
      <alignment horizontal="center" vertical="center"/>
    </xf>
    <xf numFmtId="1" fontId="28" fillId="0" borderId="7" xfId="4" applyNumberFormat="1" applyFont="1" applyFill="1" applyBorder="1" applyAlignment="1">
      <alignment horizontal="center" vertical="center"/>
    </xf>
    <xf numFmtId="1" fontId="17" fillId="0" borderId="6" xfId="4" applyNumberFormat="1" applyFont="1" applyFill="1" applyBorder="1" applyAlignment="1">
      <alignment horizontal="center" vertical="center"/>
    </xf>
    <xf numFmtId="1" fontId="25" fillId="0" borderId="1" xfId="4" applyNumberFormat="1" applyFont="1" applyFill="1" applyBorder="1" applyAlignment="1">
      <alignment horizontal="center" vertical="center"/>
    </xf>
    <xf numFmtId="1" fontId="26" fillId="0" borderId="8" xfId="4" applyNumberFormat="1" applyFont="1" applyFill="1" applyBorder="1" applyAlignment="1">
      <alignment horizontal="center" vertical="center"/>
    </xf>
    <xf numFmtId="1" fontId="19" fillId="0" borderId="9" xfId="4" applyNumberFormat="1" applyFont="1" applyFill="1" applyBorder="1" applyAlignment="1">
      <alignment horizontal="center" vertical="center"/>
    </xf>
    <xf numFmtId="1" fontId="25" fillId="0" borderId="7" xfId="4" applyNumberFormat="1" applyFont="1" applyBorder="1" applyAlignment="1">
      <alignment horizontal="center" vertical="center"/>
    </xf>
    <xf numFmtId="1" fontId="26" fillId="0" borderId="7" xfId="4" applyNumberFormat="1" applyFont="1" applyBorder="1" applyAlignment="1">
      <alignment horizontal="center" vertical="center"/>
    </xf>
    <xf numFmtId="1" fontId="28" fillId="0" borderId="7" xfId="4" applyNumberFormat="1" applyFont="1" applyBorder="1" applyAlignment="1">
      <alignment horizontal="center" vertical="center"/>
    </xf>
    <xf numFmtId="1" fontId="25" fillId="0" borderId="1" xfId="4" applyNumberFormat="1" applyFont="1" applyBorder="1" applyAlignment="1">
      <alignment horizontal="center" vertical="center"/>
    </xf>
    <xf numFmtId="1" fontId="19" fillId="0" borderId="7" xfId="4" applyNumberFormat="1" applyFont="1" applyBorder="1" applyAlignment="1">
      <alignment horizontal="center" vertical="center"/>
    </xf>
    <xf numFmtId="1" fontId="23" fillId="0" borderId="2" xfId="6" applyNumberFormat="1" applyFont="1" applyBorder="1" applyAlignment="1">
      <alignment horizontal="center" vertical="center" readingOrder="1"/>
    </xf>
    <xf numFmtId="1" fontId="26" fillId="0" borderId="2" xfId="4" applyNumberFormat="1" applyFont="1" applyBorder="1" applyAlignment="1">
      <alignment horizontal="center" vertical="center"/>
    </xf>
    <xf numFmtId="1" fontId="26" fillId="0" borderId="8" xfId="4" applyNumberFormat="1" applyFont="1" applyBorder="1" applyAlignment="1">
      <alignment horizontal="center" vertical="center"/>
    </xf>
  </cellXfs>
  <cellStyles count="15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" xfId="3" xr:uid="{00000000-0005-0000-0000-000003000000}"/>
    <cellStyle name="Normal_wafaa file_12_22-24_26-34 2" xfId="4" xr:uid="{00000000-0005-0000-0000-000004000000}"/>
    <cellStyle name="Normal_التبويب الجديد" xfId="5" xr:uid="{00000000-0005-0000-0000-000005000000}"/>
    <cellStyle name="Normal_ملحق العدد الثالث" xfId="6" xr:uid="{00000000-0005-0000-0000-000006000000}"/>
    <cellStyle name="Spelling 1033,0" xfId="7" xr:uid="{00000000-0005-0000-0000-000007000000}"/>
    <cellStyle name="ارتباط تشعبي متبع_قطاعات" xfId="8" xr:uid="{00000000-0005-0000-0000-000008000000}"/>
    <cellStyle name="ارتباط تشعبي_a" xfId="9" xr:uid="{00000000-0005-0000-0000-000009000000}"/>
    <cellStyle name="عادي_2002 2003 الرابع" xfId="10" xr:uid="{00000000-0005-0000-0000-00000A000000}"/>
    <cellStyle name="عملة [0]_2002 2003 الرابع" xfId="11" xr:uid="{00000000-0005-0000-0000-00000B000000}"/>
    <cellStyle name="عملة_2002 2003 الرابع" xfId="12" xr:uid="{00000000-0005-0000-0000-00000C000000}"/>
    <cellStyle name="فاصلة [0]_2002 2003 الرابع" xfId="13" xr:uid="{00000000-0005-0000-0000-00000D000000}"/>
    <cellStyle name="فاصلة_2002 2003 الرابع" xfId="14" xr:uid="{00000000-0005-0000-0000-00000E000000}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10" width="24.6640625" style="44" customWidth="1"/>
    <col min="11" max="16384" width="9.109375" style="43"/>
  </cols>
  <sheetData>
    <row r="1" spans="1:61" s="1" customFormat="1" ht="69.7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17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47" customFormat="1" ht="15" customHeight="1" x14ac:dyDescent="0.35">
      <c r="A3" s="119"/>
      <c r="B3" s="213" t="s">
        <v>2</v>
      </c>
      <c r="C3" s="217" t="s">
        <v>31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26">
        <v>37304</v>
      </c>
      <c r="D8" s="126">
        <v>42053</v>
      </c>
      <c r="E8" s="126">
        <v>84411</v>
      </c>
      <c r="F8" s="126">
        <v>95048</v>
      </c>
      <c r="G8" s="126">
        <v>127846</v>
      </c>
      <c r="H8" s="126">
        <v>143290</v>
      </c>
      <c r="I8" s="126">
        <v>222029</v>
      </c>
      <c r="J8" s="126">
        <v>244018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26">
        <v>13939</v>
      </c>
      <c r="D9" s="126">
        <v>14063</v>
      </c>
      <c r="E9" s="126">
        <v>24913</v>
      </c>
      <c r="F9" s="126">
        <v>25164</v>
      </c>
      <c r="G9" s="126">
        <v>35912</v>
      </c>
      <c r="H9" s="126">
        <v>36287</v>
      </c>
      <c r="I9" s="126">
        <v>52153</v>
      </c>
      <c r="J9" s="126">
        <v>52746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30">
        <v>11682</v>
      </c>
      <c r="D10" s="130">
        <v>11791</v>
      </c>
      <c r="E10" s="130">
        <v>20691</v>
      </c>
      <c r="F10" s="130">
        <v>20912</v>
      </c>
      <c r="G10" s="130">
        <v>29754</v>
      </c>
      <c r="H10" s="130">
        <v>30087</v>
      </c>
      <c r="I10" s="130">
        <v>42399</v>
      </c>
      <c r="J10" s="130">
        <v>42935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30">
        <v>1660</v>
      </c>
      <c r="D11" s="130">
        <v>1673</v>
      </c>
      <c r="E11" s="130">
        <v>2840</v>
      </c>
      <c r="F11" s="130">
        <v>2867</v>
      </c>
      <c r="G11" s="130">
        <v>3967</v>
      </c>
      <c r="H11" s="130">
        <v>4004</v>
      </c>
      <c r="I11" s="130">
        <v>5518</v>
      </c>
      <c r="J11" s="130">
        <v>5570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30">
        <v>597</v>
      </c>
      <c r="D12" s="130">
        <v>599</v>
      </c>
      <c r="E12" s="130">
        <v>1382</v>
      </c>
      <c r="F12" s="130">
        <v>1385</v>
      </c>
      <c r="G12" s="130">
        <v>2191</v>
      </c>
      <c r="H12" s="130">
        <v>2196</v>
      </c>
      <c r="I12" s="130">
        <v>4236</v>
      </c>
      <c r="J12" s="130">
        <v>4241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26">
        <v>2230</v>
      </c>
      <c r="D13" s="126">
        <v>2240</v>
      </c>
      <c r="E13" s="126">
        <v>5980</v>
      </c>
      <c r="F13" s="126">
        <v>6004</v>
      </c>
      <c r="G13" s="126">
        <v>9067</v>
      </c>
      <c r="H13" s="126">
        <v>9101</v>
      </c>
      <c r="I13" s="126">
        <v>17028</v>
      </c>
      <c r="J13" s="126">
        <v>17121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30">
        <v>962</v>
      </c>
      <c r="D14" s="130">
        <v>964</v>
      </c>
      <c r="E14" s="130">
        <v>2838</v>
      </c>
      <c r="F14" s="130">
        <v>2842</v>
      </c>
      <c r="G14" s="130">
        <v>4264</v>
      </c>
      <c r="H14" s="130">
        <v>4271</v>
      </c>
      <c r="I14" s="130">
        <v>6539</v>
      </c>
      <c r="J14" s="130">
        <v>6552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30">
        <v>1115</v>
      </c>
      <c r="D15" s="130">
        <v>1123</v>
      </c>
      <c r="E15" s="130">
        <v>2652</v>
      </c>
      <c r="F15" s="130">
        <v>2668</v>
      </c>
      <c r="G15" s="130">
        <v>3948</v>
      </c>
      <c r="H15" s="130">
        <v>3971</v>
      </c>
      <c r="I15" s="130">
        <v>6984</v>
      </c>
      <c r="J15" s="130">
        <v>7039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30">
        <v>153</v>
      </c>
      <c r="D16" s="130">
        <v>153</v>
      </c>
      <c r="E16" s="130">
        <v>490</v>
      </c>
      <c r="F16" s="130">
        <v>494</v>
      </c>
      <c r="G16" s="130">
        <v>855</v>
      </c>
      <c r="H16" s="130">
        <v>859</v>
      </c>
      <c r="I16" s="130">
        <v>3505</v>
      </c>
      <c r="J16" s="130">
        <v>3530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26">
        <v>10083</v>
      </c>
      <c r="D17" s="126">
        <v>7574</v>
      </c>
      <c r="E17" s="126">
        <v>17576</v>
      </c>
      <c r="F17" s="126">
        <v>12552</v>
      </c>
      <c r="G17" s="126">
        <v>31983</v>
      </c>
      <c r="H17" s="126">
        <v>24545</v>
      </c>
      <c r="I17" s="126">
        <v>47700</v>
      </c>
      <c r="J17" s="126">
        <v>38368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0">
        <v>8861</v>
      </c>
      <c r="D18" s="190">
        <v>6352</v>
      </c>
      <c r="E18" s="190">
        <v>16023</v>
      </c>
      <c r="F18" s="190">
        <v>10999</v>
      </c>
      <c r="G18" s="190">
        <v>29347</v>
      </c>
      <c r="H18" s="190">
        <v>21909</v>
      </c>
      <c r="I18" s="190">
        <v>44667</v>
      </c>
      <c r="J18" s="190">
        <v>35335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30">
        <v>3862</v>
      </c>
      <c r="D19" s="130">
        <v>0</v>
      </c>
      <c r="E19" s="130">
        <v>7893</v>
      </c>
      <c r="F19" s="130">
        <v>0</v>
      </c>
      <c r="G19" s="130">
        <v>12818</v>
      </c>
      <c r="H19" s="130">
        <v>0</v>
      </c>
      <c r="I19" s="130">
        <v>17324</v>
      </c>
      <c r="J19" s="130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30">
        <v>4999</v>
      </c>
      <c r="D20" s="130">
        <v>6352</v>
      </c>
      <c r="E20" s="130">
        <v>8130</v>
      </c>
      <c r="F20" s="130">
        <v>10999</v>
      </c>
      <c r="G20" s="130">
        <v>16529</v>
      </c>
      <c r="H20" s="130">
        <v>21909</v>
      </c>
      <c r="I20" s="130">
        <v>27343</v>
      </c>
      <c r="J20" s="130">
        <v>35335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0">
        <v>1222</v>
      </c>
      <c r="D21" s="190">
        <v>1222</v>
      </c>
      <c r="E21" s="190">
        <v>1553</v>
      </c>
      <c r="F21" s="190">
        <v>1553</v>
      </c>
      <c r="G21" s="190">
        <v>2636</v>
      </c>
      <c r="H21" s="190">
        <v>2636</v>
      </c>
      <c r="I21" s="190">
        <v>3033</v>
      </c>
      <c r="J21" s="190">
        <v>3033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26">
        <v>4754</v>
      </c>
      <c r="D22" s="126">
        <v>11878</v>
      </c>
      <c r="E22" s="126">
        <v>20482</v>
      </c>
      <c r="F22" s="126">
        <v>35865</v>
      </c>
      <c r="G22" s="126">
        <v>25304</v>
      </c>
      <c r="H22" s="126">
        <v>47730</v>
      </c>
      <c r="I22" s="126">
        <v>58442</v>
      </c>
      <c r="J22" s="126">
        <v>88684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26">
        <v>3073</v>
      </c>
      <c r="D23" s="126">
        <v>3073</v>
      </c>
      <c r="E23" s="126">
        <v>18027</v>
      </c>
      <c r="F23" s="126">
        <v>18027</v>
      </c>
      <c r="G23" s="126">
        <v>22108</v>
      </c>
      <c r="H23" s="126">
        <v>22108</v>
      </c>
      <c r="I23" s="126">
        <v>53959</v>
      </c>
      <c r="J23" s="126">
        <v>53959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30">
        <v>0</v>
      </c>
      <c r="D24" s="130">
        <v>0</v>
      </c>
      <c r="E24" s="130">
        <v>11922</v>
      </c>
      <c r="F24" s="130">
        <v>11922</v>
      </c>
      <c r="G24" s="130">
        <v>11922</v>
      </c>
      <c r="H24" s="130">
        <v>11922</v>
      </c>
      <c r="I24" s="130">
        <v>40130</v>
      </c>
      <c r="J24" s="130">
        <v>40130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30">
        <v>2770</v>
      </c>
      <c r="D25" s="130">
        <v>2770</v>
      </c>
      <c r="E25" s="130">
        <v>4459</v>
      </c>
      <c r="F25" s="130">
        <v>4459</v>
      </c>
      <c r="G25" s="130">
        <v>7365</v>
      </c>
      <c r="H25" s="130">
        <v>7365</v>
      </c>
      <c r="I25" s="130">
        <v>9406</v>
      </c>
      <c r="J25" s="130">
        <v>9406</v>
      </c>
      <c r="K25" s="53"/>
      <c r="L25" s="53"/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30">
        <v>303</v>
      </c>
      <c r="D26" s="130">
        <v>303</v>
      </c>
      <c r="E26" s="130">
        <v>1646</v>
      </c>
      <c r="F26" s="130">
        <v>1646</v>
      </c>
      <c r="G26" s="130">
        <v>2821</v>
      </c>
      <c r="H26" s="130">
        <v>2821</v>
      </c>
      <c r="I26" s="130">
        <v>4423</v>
      </c>
      <c r="J26" s="130">
        <v>4423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26">
        <v>1581</v>
      </c>
      <c r="D27" s="126">
        <v>1581</v>
      </c>
      <c r="E27" s="126">
        <v>982</v>
      </c>
      <c r="F27" s="126">
        <v>982</v>
      </c>
      <c r="G27" s="126">
        <v>1638</v>
      </c>
      <c r="H27" s="126">
        <v>1638</v>
      </c>
      <c r="I27" s="126">
        <v>2599</v>
      </c>
      <c r="J27" s="126">
        <v>2599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26">
        <v>60</v>
      </c>
      <c r="D28" s="126">
        <v>7184</v>
      </c>
      <c r="E28" s="126">
        <v>1291</v>
      </c>
      <c r="F28" s="126">
        <v>16674</v>
      </c>
      <c r="G28" s="126">
        <v>1339</v>
      </c>
      <c r="H28" s="126">
        <v>23765</v>
      </c>
      <c r="I28" s="126">
        <v>1612</v>
      </c>
      <c r="J28" s="126">
        <v>31854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30">
        <v>0</v>
      </c>
      <c r="D29" s="130">
        <v>0</v>
      </c>
      <c r="E29" s="130">
        <v>0</v>
      </c>
      <c r="F29" s="130">
        <v>15383</v>
      </c>
      <c r="G29" s="130">
        <v>0</v>
      </c>
      <c r="H29" s="130">
        <v>22426</v>
      </c>
      <c r="I29" s="130">
        <v>0</v>
      </c>
      <c r="J29" s="130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30">
        <v>60</v>
      </c>
      <c r="D30" s="130">
        <v>7184</v>
      </c>
      <c r="E30" s="130">
        <v>1291</v>
      </c>
      <c r="F30" s="130">
        <v>1291</v>
      </c>
      <c r="G30" s="130">
        <v>1339</v>
      </c>
      <c r="H30" s="130">
        <v>1339</v>
      </c>
      <c r="I30" s="130">
        <v>1612</v>
      </c>
      <c r="J30" s="130">
        <v>31854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26">
        <v>40</v>
      </c>
      <c r="D31" s="126">
        <v>40</v>
      </c>
      <c r="E31" s="126">
        <v>182</v>
      </c>
      <c r="F31" s="126">
        <v>182</v>
      </c>
      <c r="G31" s="126">
        <v>219</v>
      </c>
      <c r="H31" s="126">
        <v>219</v>
      </c>
      <c r="I31" s="126">
        <v>272</v>
      </c>
      <c r="J31" s="126">
        <v>272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26">
        <v>4278</v>
      </c>
      <c r="D32" s="126">
        <v>4278</v>
      </c>
      <c r="E32" s="126">
        <v>9381</v>
      </c>
      <c r="F32" s="126">
        <v>9381</v>
      </c>
      <c r="G32" s="126">
        <v>14748</v>
      </c>
      <c r="H32" s="126">
        <v>14789</v>
      </c>
      <c r="I32" s="126">
        <v>21208</v>
      </c>
      <c r="J32" s="126">
        <v>21571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30">
        <v>3805</v>
      </c>
      <c r="D33" s="130">
        <v>3805</v>
      </c>
      <c r="E33" s="130">
        <v>8365</v>
      </c>
      <c r="F33" s="130">
        <v>8365</v>
      </c>
      <c r="G33" s="130">
        <v>12909</v>
      </c>
      <c r="H33" s="130">
        <v>12909</v>
      </c>
      <c r="I33" s="130">
        <v>17718</v>
      </c>
      <c r="J33" s="130">
        <v>17718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30">
        <v>473</v>
      </c>
      <c r="D34" s="130">
        <v>473</v>
      </c>
      <c r="E34" s="130">
        <v>1016</v>
      </c>
      <c r="F34" s="130">
        <v>1016</v>
      </c>
      <c r="G34" s="130">
        <v>1839</v>
      </c>
      <c r="H34" s="130">
        <v>1880</v>
      </c>
      <c r="I34" s="130">
        <v>3490</v>
      </c>
      <c r="J34" s="130">
        <v>3853</v>
      </c>
      <c r="K34" s="53"/>
      <c r="L34" s="53"/>
      <c r="M34" s="53"/>
      <c r="N34" s="53"/>
      <c r="O34" s="53"/>
    </row>
    <row r="35" spans="1:15" s="50" customFormat="1" ht="54.75" customHeight="1" x14ac:dyDescent="0.3">
      <c r="A35" s="127" t="s">
        <v>50</v>
      </c>
      <c r="B35" s="136" t="s">
        <v>14</v>
      </c>
      <c r="C35" s="126">
        <v>2020</v>
      </c>
      <c r="D35" s="126">
        <v>2020</v>
      </c>
      <c r="E35" s="126">
        <v>6079</v>
      </c>
      <c r="F35" s="126">
        <v>6082</v>
      </c>
      <c r="G35" s="126">
        <v>10832</v>
      </c>
      <c r="H35" s="126">
        <v>10838</v>
      </c>
      <c r="I35" s="126">
        <v>25498</v>
      </c>
      <c r="J35" s="126">
        <v>25528</v>
      </c>
    </row>
    <row r="36" spans="1:15" ht="40.200000000000003" customHeight="1" x14ac:dyDescent="0.3">
      <c r="A36" s="128" t="s">
        <v>51</v>
      </c>
      <c r="B36" s="129" t="s">
        <v>9</v>
      </c>
      <c r="C36" s="130">
        <v>1885</v>
      </c>
      <c r="D36" s="130">
        <v>1885</v>
      </c>
      <c r="E36" s="130">
        <v>5548</v>
      </c>
      <c r="F36" s="130">
        <v>5550</v>
      </c>
      <c r="G36" s="130">
        <v>9850</v>
      </c>
      <c r="H36" s="130">
        <v>9856</v>
      </c>
      <c r="I36" s="130">
        <v>20928</v>
      </c>
      <c r="J36" s="130">
        <v>20958</v>
      </c>
    </row>
    <row r="37" spans="1:15" ht="40.200000000000003" customHeight="1" x14ac:dyDescent="0.3">
      <c r="A37" s="137" t="s">
        <v>35</v>
      </c>
      <c r="B37" s="138" t="s">
        <v>10</v>
      </c>
      <c r="C37" s="139">
        <v>135</v>
      </c>
      <c r="D37" s="139">
        <v>135</v>
      </c>
      <c r="E37" s="139">
        <v>531</v>
      </c>
      <c r="F37" s="139">
        <v>532</v>
      </c>
      <c r="G37" s="139">
        <v>982</v>
      </c>
      <c r="H37" s="139">
        <v>982</v>
      </c>
      <c r="I37" s="139">
        <v>4570</v>
      </c>
      <c r="J37" s="139">
        <v>4570</v>
      </c>
    </row>
    <row r="38" spans="1:15" ht="21.9" customHeight="1" x14ac:dyDescent="0.3">
      <c r="A38" s="63" t="s">
        <v>67</v>
      </c>
      <c r="B38" s="64" t="s">
        <v>68</v>
      </c>
      <c r="C38" s="45"/>
      <c r="D38" s="45"/>
      <c r="E38" s="45"/>
      <c r="F38" s="45"/>
      <c r="G38" s="45"/>
      <c r="H38" s="45"/>
      <c r="I38" s="45"/>
      <c r="J38" s="45"/>
    </row>
    <row r="39" spans="1:15" ht="88.2" customHeight="1" x14ac:dyDescent="0.3">
      <c r="A39" s="60" t="s">
        <v>106</v>
      </c>
      <c r="B39" s="22" t="s">
        <v>105</v>
      </c>
      <c r="C39" s="61"/>
      <c r="D39" s="61"/>
      <c r="E39" s="61"/>
      <c r="F39" s="61"/>
      <c r="G39" s="61"/>
      <c r="H39" s="61"/>
      <c r="I39" s="61"/>
      <c r="J39" s="61"/>
    </row>
    <row r="40" spans="1:15" ht="54" customHeight="1" x14ac:dyDescent="0.3">
      <c r="A40" s="60" t="s">
        <v>73</v>
      </c>
      <c r="B40" s="58" t="s">
        <v>75</v>
      </c>
      <c r="C40" s="61"/>
      <c r="D40" s="61"/>
      <c r="E40" s="61"/>
      <c r="F40" s="61"/>
      <c r="G40" s="61"/>
      <c r="H40" s="61"/>
      <c r="I40" s="61"/>
      <c r="J40" s="61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7"/>
      <c r="H42" s="57"/>
      <c r="I42" s="57"/>
      <c r="J42" s="57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6">
    <mergeCell ref="B3:B4"/>
    <mergeCell ref="C5:D6"/>
    <mergeCell ref="E5:F6"/>
    <mergeCell ref="G5:H6"/>
    <mergeCell ref="I5:J6"/>
    <mergeCell ref="C3:J4"/>
  </mergeCells>
  <phoneticPr fontId="8" type="noConversion"/>
  <printOptions horizontalCentered="1" verticalCentered="1"/>
  <pageMargins left="0" right="0" top="0" bottom="0" header="0" footer="0"/>
  <pageSetup paperSize="9" scale="37" orientation="landscape" horizontalDpi="4294967295" verticalDpi="4294967295" r:id="rId1"/>
  <headerFooter alignWithMargins="0"/>
  <rowBreaks count="1" manualBreakCount="1">
    <brk id="3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10" width="24.6640625" style="44" customWidth="1"/>
    <col min="11" max="16384" width="9.109375" style="43"/>
  </cols>
  <sheetData>
    <row r="1" spans="1:61" s="1" customFormat="1" ht="58.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17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47" customFormat="1" ht="15" customHeight="1" x14ac:dyDescent="0.35">
      <c r="A3" s="119"/>
      <c r="B3" s="213" t="s">
        <v>2</v>
      </c>
      <c r="C3" s="217" t="s">
        <v>30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26">
        <v>46799</v>
      </c>
      <c r="D8" s="126">
        <v>52811</v>
      </c>
      <c r="E8" s="126">
        <v>96156</v>
      </c>
      <c r="F8" s="126">
        <v>106300</v>
      </c>
      <c r="G8" s="126">
        <v>179366</v>
      </c>
      <c r="H8" s="126">
        <v>197275</v>
      </c>
      <c r="I8" s="126">
        <v>282290</v>
      </c>
      <c r="J8" s="126">
        <v>305795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26">
        <v>15773</v>
      </c>
      <c r="D9" s="126">
        <v>15904</v>
      </c>
      <c r="E9" s="126">
        <v>28135</v>
      </c>
      <c r="F9" s="126">
        <v>28413</v>
      </c>
      <c r="G9" s="126">
        <v>41367</v>
      </c>
      <c r="H9" s="126">
        <v>41792</v>
      </c>
      <c r="I9" s="126">
        <v>62839</v>
      </c>
      <c r="J9" s="126">
        <v>63531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30">
        <v>13393</v>
      </c>
      <c r="D10" s="130">
        <v>13510</v>
      </c>
      <c r="E10" s="130">
        <v>23624</v>
      </c>
      <c r="F10" s="130">
        <v>23874</v>
      </c>
      <c r="G10" s="130">
        <v>34588</v>
      </c>
      <c r="H10" s="130">
        <v>34966</v>
      </c>
      <c r="I10" s="130">
        <v>51172</v>
      </c>
      <c r="J10" s="130">
        <v>51809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30">
        <v>1764</v>
      </c>
      <c r="D11" s="130">
        <v>1778</v>
      </c>
      <c r="E11" s="130">
        <v>2959</v>
      </c>
      <c r="F11" s="130">
        <v>2984</v>
      </c>
      <c r="G11" s="130">
        <v>4395</v>
      </c>
      <c r="H11" s="130">
        <v>4437</v>
      </c>
      <c r="I11" s="130">
        <v>6165</v>
      </c>
      <c r="J11" s="130">
        <v>6214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30">
        <v>616</v>
      </c>
      <c r="D12" s="130">
        <v>616</v>
      </c>
      <c r="E12" s="130">
        <v>1552</v>
      </c>
      <c r="F12" s="130">
        <v>1555</v>
      </c>
      <c r="G12" s="130">
        <v>2384</v>
      </c>
      <c r="H12" s="130">
        <v>2389</v>
      </c>
      <c r="I12" s="130">
        <v>5502</v>
      </c>
      <c r="J12" s="130">
        <v>5508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26">
        <v>2636</v>
      </c>
      <c r="D13" s="126">
        <v>2651</v>
      </c>
      <c r="E13" s="126">
        <v>6081</v>
      </c>
      <c r="F13" s="126">
        <v>6111</v>
      </c>
      <c r="G13" s="126">
        <v>10120</v>
      </c>
      <c r="H13" s="126">
        <v>10167</v>
      </c>
      <c r="I13" s="126">
        <v>18470</v>
      </c>
      <c r="J13" s="126">
        <v>18790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30">
        <v>1177</v>
      </c>
      <c r="D14" s="130">
        <v>1177</v>
      </c>
      <c r="E14" s="130">
        <v>2877</v>
      </c>
      <c r="F14" s="130">
        <v>2882</v>
      </c>
      <c r="G14" s="130">
        <v>4832</v>
      </c>
      <c r="H14" s="130">
        <v>4840</v>
      </c>
      <c r="I14" s="130">
        <v>7272</v>
      </c>
      <c r="J14" s="130">
        <v>7287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30">
        <v>1274</v>
      </c>
      <c r="D15" s="130">
        <v>1279</v>
      </c>
      <c r="E15" s="130">
        <v>2755</v>
      </c>
      <c r="F15" s="130">
        <v>2770</v>
      </c>
      <c r="G15" s="130">
        <v>4334</v>
      </c>
      <c r="H15" s="130">
        <v>4361</v>
      </c>
      <c r="I15" s="130">
        <v>7625</v>
      </c>
      <c r="J15" s="130">
        <v>7698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30">
        <v>185</v>
      </c>
      <c r="D16" s="130">
        <v>195</v>
      </c>
      <c r="E16" s="130">
        <v>449</v>
      </c>
      <c r="F16" s="130">
        <v>459</v>
      </c>
      <c r="G16" s="130">
        <v>954</v>
      </c>
      <c r="H16" s="130">
        <v>966</v>
      </c>
      <c r="I16" s="130">
        <v>3573</v>
      </c>
      <c r="J16" s="130">
        <v>3805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26">
        <v>10888</v>
      </c>
      <c r="D17" s="126">
        <v>7994</v>
      </c>
      <c r="E17" s="126">
        <v>18924</v>
      </c>
      <c r="F17" s="126">
        <v>13565</v>
      </c>
      <c r="G17" s="126">
        <v>35083</v>
      </c>
      <c r="H17" s="126">
        <v>28237</v>
      </c>
      <c r="I17" s="126">
        <v>50528</v>
      </c>
      <c r="J17" s="126">
        <v>40956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0">
        <v>9555</v>
      </c>
      <c r="D18" s="190">
        <v>6661</v>
      </c>
      <c r="E18" s="190">
        <v>17282</v>
      </c>
      <c r="F18" s="190">
        <v>11923</v>
      </c>
      <c r="G18" s="190">
        <v>31642</v>
      </c>
      <c r="H18" s="190">
        <v>24796</v>
      </c>
      <c r="I18" s="190">
        <v>46791</v>
      </c>
      <c r="J18" s="190">
        <v>37219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30">
        <v>4305</v>
      </c>
      <c r="D19" s="130">
        <v>0</v>
      </c>
      <c r="E19" s="130">
        <v>8762</v>
      </c>
      <c r="F19" s="130">
        <v>0</v>
      </c>
      <c r="G19" s="130">
        <v>13305</v>
      </c>
      <c r="H19" s="130">
        <v>0</v>
      </c>
      <c r="I19" s="130">
        <v>17854</v>
      </c>
      <c r="J19" s="130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30">
        <v>5250</v>
      </c>
      <c r="D20" s="130">
        <v>6661</v>
      </c>
      <c r="E20" s="130">
        <v>8520</v>
      </c>
      <c r="F20" s="130">
        <v>11923</v>
      </c>
      <c r="G20" s="130">
        <v>18337</v>
      </c>
      <c r="H20" s="130">
        <v>24796</v>
      </c>
      <c r="I20" s="130">
        <v>28937</v>
      </c>
      <c r="J20" s="130">
        <v>37219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0">
        <v>1333</v>
      </c>
      <c r="D21" s="190">
        <v>1333</v>
      </c>
      <c r="E21" s="190">
        <v>1642</v>
      </c>
      <c r="F21" s="190">
        <v>1642</v>
      </c>
      <c r="G21" s="190">
        <v>3441</v>
      </c>
      <c r="H21" s="190">
        <v>3441</v>
      </c>
      <c r="I21" s="190">
        <v>3737</v>
      </c>
      <c r="J21" s="190">
        <v>3737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26">
        <v>8316</v>
      </c>
      <c r="D22" s="126">
        <v>17070</v>
      </c>
      <c r="E22" s="126">
        <v>22819</v>
      </c>
      <c r="F22" s="126">
        <v>37996</v>
      </c>
      <c r="G22" s="126">
        <v>59316</v>
      </c>
      <c r="H22" s="126">
        <v>83565</v>
      </c>
      <c r="I22" s="126">
        <v>92371</v>
      </c>
      <c r="J22" s="126">
        <v>124249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26">
        <v>5205</v>
      </c>
      <c r="D23" s="126">
        <v>5205</v>
      </c>
      <c r="E23" s="126">
        <v>17248</v>
      </c>
      <c r="F23" s="126">
        <v>17248</v>
      </c>
      <c r="G23" s="126">
        <v>52915</v>
      </c>
      <c r="H23" s="126">
        <v>52915</v>
      </c>
      <c r="I23" s="126">
        <v>84205</v>
      </c>
      <c r="J23" s="126">
        <v>84205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30">
        <v>0</v>
      </c>
      <c r="D24" s="130">
        <v>0</v>
      </c>
      <c r="E24" s="130">
        <v>3932</v>
      </c>
      <c r="F24" s="130">
        <v>3932</v>
      </c>
      <c r="G24" s="130">
        <v>35427</v>
      </c>
      <c r="H24" s="130">
        <v>35427</v>
      </c>
      <c r="I24" s="130">
        <v>60249</v>
      </c>
      <c r="J24" s="130">
        <v>60249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30">
        <v>2752</v>
      </c>
      <c r="D25" s="130">
        <v>2752</v>
      </c>
      <c r="E25" s="130">
        <v>9080</v>
      </c>
      <c r="F25" s="130">
        <v>9080</v>
      </c>
      <c r="G25" s="130">
        <v>12952</v>
      </c>
      <c r="H25" s="130">
        <v>12952</v>
      </c>
      <c r="I25" s="130">
        <v>16445</v>
      </c>
      <c r="J25" s="130">
        <v>16445</v>
      </c>
      <c r="K25" s="53"/>
      <c r="L25" s="53"/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30">
        <v>2453</v>
      </c>
      <c r="D26" s="130">
        <v>2453</v>
      </c>
      <c r="E26" s="130">
        <v>4236</v>
      </c>
      <c r="F26" s="130">
        <v>4236</v>
      </c>
      <c r="G26" s="130">
        <v>4536</v>
      </c>
      <c r="H26" s="130">
        <v>4536</v>
      </c>
      <c r="I26" s="130">
        <v>7511</v>
      </c>
      <c r="J26" s="130">
        <v>7511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26">
        <v>1857</v>
      </c>
      <c r="D27" s="126">
        <v>1857</v>
      </c>
      <c r="E27" s="126">
        <v>2136</v>
      </c>
      <c r="F27" s="126">
        <v>2136</v>
      </c>
      <c r="G27" s="126">
        <v>2951</v>
      </c>
      <c r="H27" s="126">
        <v>2951</v>
      </c>
      <c r="I27" s="126">
        <v>3890</v>
      </c>
      <c r="J27" s="126">
        <v>3890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26">
        <v>1206</v>
      </c>
      <c r="D28" s="126">
        <v>9960</v>
      </c>
      <c r="E28" s="126">
        <v>3341</v>
      </c>
      <c r="F28" s="126">
        <v>18518</v>
      </c>
      <c r="G28" s="126">
        <v>3345</v>
      </c>
      <c r="H28" s="126">
        <v>27594</v>
      </c>
      <c r="I28" s="126">
        <v>4050</v>
      </c>
      <c r="J28" s="126">
        <v>35928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30">
        <v>0</v>
      </c>
      <c r="D29" s="130">
        <v>0</v>
      </c>
      <c r="E29" s="130">
        <v>2000</v>
      </c>
      <c r="F29" s="130">
        <v>0</v>
      </c>
      <c r="G29" s="130">
        <v>2000</v>
      </c>
      <c r="H29" s="130">
        <v>0</v>
      </c>
      <c r="I29" s="130">
        <v>2600</v>
      </c>
      <c r="J29" s="130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30">
        <v>1206</v>
      </c>
      <c r="D30" s="130">
        <v>9960</v>
      </c>
      <c r="E30" s="130">
        <v>1341</v>
      </c>
      <c r="F30" s="130">
        <v>18518</v>
      </c>
      <c r="G30" s="130">
        <v>1345</v>
      </c>
      <c r="H30" s="130">
        <v>27594</v>
      </c>
      <c r="I30" s="130">
        <v>1450</v>
      </c>
      <c r="J30" s="130">
        <v>35928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26">
        <v>48</v>
      </c>
      <c r="D31" s="126">
        <v>48</v>
      </c>
      <c r="E31" s="126">
        <v>94</v>
      </c>
      <c r="F31" s="126">
        <v>94</v>
      </c>
      <c r="G31" s="126">
        <v>105</v>
      </c>
      <c r="H31" s="126">
        <v>105</v>
      </c>
      <c r="I31" s="126">
        <v>226</v>
      </c>
      <c r="J31" s="126">
        <v>226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26">
        <v>5338</v>
      </c>
      <c r="D32" s="126">
        <v>5338</v>
      </c>
      <c r="E32" s="126">
        <v>10571</v>
      </c>
      <c r="F32" s="126">
        <v>10581</v>
      </c>
      <c r="G32" s="126">
        <v>16757</v>
      </c>
      <c r="H32" s="126">
        <v>16771</v>
      </c>
      <c r="I32" s="126">
        <v>23891</v>
      </c>
      <c r="J32" s="126">
        <v>23972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30">
        <v>4754</v>
      </c>
      <c r="D33" s="130">
        <v>4754</v>
      </c>
      <c r="E33" s="130">
        <v>9076</v>
      </c>
      <c r="F33" s="130">
        <v>9076</v>
      </c>
      <c r="G33" s="130">
        <v>13992</v>
      </c>
      <c r="H33" s="130">
        <v>13992</v>
      </c>
      <c r="I33" s="130">
        <v>19849</v>
      </c>
      <c r="J33" s="130">
        <v>19849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30">
        <v>584</v>
      </c>
      <c r="D34" s="130">
        <v>584</v>
      </c>
      <c r="E34" s="130">
        <v>1495</v>
      </c>
      <c r="F34" s="130">
        <v>1505</v>
      </c>
      <c r="G34" s="130">
        <v>2765</v>
      </c>
      <c r="H34" s="130">
        <v>2779</v>
      </c>
      <c r="I34" s="130">
        <v>4042</v>
      </c>
      <c r="J34" s="130">
        <v>4123</v>
      </c>
      <c r="K34" s="53"/>
      <c r="L34" s="53"/>
      <c r="M34" s="53"/>
      <c r="N34" s="53"/>
      <c r="O34" s="53"/>
    </row>
    <row r="35" spans="1:15" s="50" customFormat="1" ht="40.200000000000003" customHeight="1" x14ac:dyDescent="0.3">
      <c r="A35" s="127" t="s">
        <v>50</v>
      </c>
      <c r="B35" s="136" t="s">
        <v>14</v>
      </c>
      <c r="C35" s="126">
        <v>3848</v>
      </c>
      <c r="D35" s="126">
        <v>3854</v>
      </c>
      <c r="E35" s="126">
        <v>9626</v>
      </c>
      <c r="F35" s="126">
        <v>9634</v>
      </c>
      <c r="G35" s="126">
        <v>16723</v>
      </c>
      <c r="H35" s="126">
        <v>16743</v>
      </c>
      <c r="I35" s="126">
        <v>34191</v>
      </c>
      <c r="J35" s="126">
        <v>34297</v>
      </c>
    </row>
    <row r="36" spans="1:15" ht="40.200000000000003" customHeight="1" x14ac:dyDescent="0.3">
      <c r="A36" s="128" t="s">
        <v>51</v>
      </c>
      <c r="B36" s="129" t="s">
        <v>9</v>
      </c>
      <c r="C36" s="130">
        <v>3582</v>
      </c>
      <c r="D36" s="130">
        <v>3588</v>
      </c>
      <c r="E36" s="130">
        <v>8683</v>
      </c>
      <c r="F36" s="130">
        <v>8691</v>
      </c>
      <c r="G36" s="130">
        <v>15275</v>
      </c>
      <c r="H36" s="130">
        <v>15295</v>
      </c>
      <c r="I36" s="130">
        <v>28186</v>
      </c>
      <c r="J36" s="130">
        <v>28292</v>
      </c>
    </row>
    <row r="37" spans="1:15" ht="40.200000000000003" customHeight="1" x14ac:dyDescent="0.3">
      <c r="A37" s="137" t="s">
        <v>35</v>
      </c>
      <c r="B37" s="138" t="s">
        <v>10</v>
      </c>
      <c r="C37" s="139">
        <v>266</v>
      </c>
      <c r="D37" s="139">
        <v>266</v>
      </c>
      <c r="E37" s="139">
        <v>943</v>
      </c>
      <c r="F37" s="139">
        <v>943</v>
      </c>
      <c r="G37" s="139">
        <v>1448</v>
      </c>
      <c r="H37" s="139">
        <v>1448</v>
      </c>
      <c r="I37" s="139">
        <v>6005</v>
      </c>
      <c r="J37" s="139">
        <v>6005</v>
      </c>
    </row>
    <row r="38" spans="1:15" ht="21.9" customHeight="1" x14ac:dyDescent="0.3">
      <c r="A38" s="63" t="s">
        <v>67</v>
      </c>
      <c r="B38" s="64" t="s">
        <v>68</v>
      </c>
      <c r="C38" s="45"/>
      <c r="D38" s="45"/>
      <c r="E38" s="45"/>
      <c r="F38" s="45"/>
      <c r="G38" s="45"/>
      <c r="H38" s="45"/>
      <c r="I38" s="45"/>
      <c r="J38" s="45"/>
    </row>
    <row r="39" spans="1:15" ht="100.2" customHeight="1" x14ac:dyDescent="0.3">
      <c r="A39" s="60" t="s">
        <v>74</v>
      </c>
      <c r="B39" s="22" t="s">
        <v>78</v>
      </c>
      <c r="C39" s="61"/>
      <c r="D39" s="61"/>
      <c r="E39" s="61"/>
      <c r="F39" s="61"/>
      <c r="G39" s="61"/>
      <c r="H39" s="61"/>
      <c r="I39" s="61"/>
      <c r="J39" s="61"/>
    </row>
    <row r="40" spans="1:15" ht="54" customHeight="1" x14ac:dyDescent="0.3">
      <c r="A40" s="60" t="s">
        <v>77</v>
      </c>
      <c r="B40" s="26" t="s">
        <v>76</v>
      </c>
      <c r="C40" s="61"/>
      <c r="D40" s="61"/>
      <c r="E40" s="61"/>
      <c r="F40" s="61"/>
      <c r="G40" s="61"/>
      <c r="H40" s="61"/>
      <c r="I40" s="61"/>
      <c r="J40" s="61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7"/>
      <c r="H42" s="57"/>
      <c r="I42" s="57"/>
      <c r="J42" s="57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6"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8" orientation="landscape" r:id="rId1"/>
  <headerFooter alignWithMargins="0"/>
  <rowBreaks count="1" manualBreakCount="1">
    <brk id="37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10" width="24.6640625" style="44" customWidth="1"/>
    <col min="11" max="16384" width="9.109375" style="43"/>
  </cols>
  <sheetData>
    <row r="1" spans="1:61" s="1" customFormat="1" ht="59.2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17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47" customFormat="1" ht="15" customHeight="1" x14ac:dyDescent="0.35">
      <c r="A3" s="119"/>
      <c r="B3" s="213" t="s">
        <v>2</v>
      </c>
      <c r="C3" s="217" t="s">
        <v>29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52">
        <v>65130</v>
      </c>
      <c r="D8" s="152">
        <v>66748</v>
      </c>
      <c r="E8" s="152">
        <v>163499</v>
      </c>
      <c r="F8" s="152">
        <v>164328</v>
      </c>
      <c r="G8" s="126">
        <f>G9+G13+G17+G22+G32+G35</f>
        <v>243574</v>
      </c>
      <c r="H8" s="126">
        <v>247044</v>
      </c>
      <c r="I8" s="126">
        <v>351500</v>
      </c>
      <c r="J8" s="126">
        <v>356944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52">
        <v>18218</v>
      </c>
      <c r="D9" s="152">
        <v>18384</v>
      </c>
      <c r="E9" s="152">
        <v>33303</v>
      </c>
      <c r="F9" s="152">
        <v>33687</v>
      </c>
      <c r="G9" s="126">
        <v>50255</v>
      </c>
      <c r="H9" s="126">
        <v>50834</v>
      </c>
      <c r="I9" s="126">
        <v>76147</v>
      </c>
      <c r="J9" s="126">
        <v>76968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53">
        <v>15555</v>
      </c>
      <c r="D10" s="153">
        <v>15707</v>
      </c>
      <c r="E10" s="153">
        <v>28231</v>
      </c>
      <c r="F10" s="153">
        <v>28586</v>
      </c>
      <c r="G10" s="130">
        <v>42054</v>
      </c>
      <c r="H10" s="130">
        <v>42584</v>
      </c>
      <c r="I10" s="130">
        <v>62658</v>
      </c>
      <c r="J10" s="130">
        <v>63412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53">
        <v>1915</v>
      </c>
      <c r="D11" s="153">
        <v>1928</v>
      </c>
      <c r="E11" s="153">
        <v>3312</v>
      </c>
      <c r="F11" s="153">
        <v>3336</v>
      </c>
      <c r="G11" s="130">
        <v>5094</v>
      </c>
      <c r="H11" s="130">
        <v>5138</v>
      </c>
      <c r="I11" s="130">
        <v>7210</v>
      </c>
      <c r="J11" s="130">
        <v>7276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53">
        <v>748</v>
      </c>
      <c r="D12" s="153">
        <v>749</v>
      </c>
      <c r="E12" s="153">
        <v>1760</v>
      </c>
      <c r="F12" s="153">
        <v>1765</v>
      </c>
      <c r="G12" s="130">
        <v>3107</v>
      </c>
      <c r="H12" s="130">
        <v>3112</v>
      </c>
      <c r="I12" s="130">
        <v>6279</v>
      </c>
      <c r="J12" s="130">
        <v>6280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52">
        <v>3159</v>
      </c>
      <c r="D13" s="152">
        <v>3185</v>
      </c>
      <c r="E13" s="152">
        <v>7824</v>
      </c>
      <c r="F13" s="152">
        <v>7872</v>
      </c>
      <c r="G13" s="126">
        <v>13071</v>
      </c>
      <c r="H13" s="126">
        <v>13174</v>
      </c>
      <c r="I13" s="126">
        <v>25072</v>
      </c>
      <c r="J13" s="126">
        <v>25203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53">
        <v>1358</v>
      </c>
      <c r="D14" s="153">
        <v>1360</v>
      </c>
      <c r="E14" s="153">
        <v>3726</v>
      </c>
      <c r="F14" s="153">
        <v>3732</v>
      </c>
      <c r="G14" s="130">
        <v>6304</v>
      </c>
      <c r="H14" s="130">
        <v>6314</v>
      </c>
      <c r="I14" s="130">
        <v>11404</v>
      </c>
      <c r="J14" s="130">
        <v>11418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53">
        <v>1575</v>
      </c>
      <c r="D15" s="153">
        <v>1586</v>
      </c>
      <c r="E15" s="153">
        <v>3582</v>
      </c>
      <c r="F15" s="153">
        <v>3606</v>
      </c>
      <c r="G15" s="130">
        <v>5900</v>
      </c>
      <c r="H15" s="130">
        <v>5939</v>
      </c>
      <c r="I15" s="130">
        <v>9805</v>
      </c>
      <c r="J15" s="130">
        <v>9859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53">
        <v>226</v>
      </c>
      <c r="D16" s="153">
        <v>239</v>
      </c>
      <c r="E16" s="153">
        <v>516</v>
      </c>
      <c r="F16" s="153">
        <v>534</v>
      </c>
      <c r="G16" s="130">
        <v>867</v>
      </c>
      <c r="H16" s="130">
        <v>921</v>
      </c>
      <c r="I16" s="130">
        <v>3863</v>
      </c>
      <c r="J16" s="130">
        <v>3926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52">
        <v>12123</v>
      </c>
      <c r="D17" s="152">
        <v>9683</v>
      </c>
      <c r="E17" s="152">
        <v>23727</v>
      </c>
      <c r="F17" s="152">
        <v>17672</v>
      </c>
      <c r="G17" s="126">
        <v>40521</v>
      </c>
      <c r="H17" s="126">
        <v>33420</v>
      </c>
      <c r="I17" s="126">
        <v>52810</v>
      </c>
      <c r="J17" s="126">
        <v>43755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2">
        <v>10595</v>
      </c>
      <c r="D18" s="192">
        <v>8155</v>
      </c>
      <c r="E18" s="192">
        <v>21908</v>
      </c>
      <c r="F18" s="192">
        <v>15853</v>
      </c>
      <c r="G18" s="190">
        <v>37195</v>
      </c>
      <c r="H18" s="190">
        <v>30094</v>
      </c>
      <c r="I18" s="190">
        <v>49212</v>
      </c>
      <c r="J18" s="190">
        <v>40157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53">
        <v>4502</v>
      </c>
      <c r="D19" s="153">
        <v>2062</v>
      </c>
      <c r="E19" s="153">
        <v>10569</v>
      </c>
      <c r="F19" s="153">
        <v>4514</v>
      </c>
      <c r="G19" s="130">
        <v>14216</v>
      </c>
      <c r="H19" s="130">
        <v>0</v>
      </c>
      <c r="I19" s="130">
        <v>18615</v>
      </c>
      <c r="J19" s="130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53">
        <v>6093</v>
      </c>
      <c r="D20" s="153">
        <v>6093</v>
      </c>
      <c r="E20" s="153">
        <v>11339</v>
      </c>
      <c r="F20" s="153">
        <v>11339</v>
      </c>
      <c r="G20" s="130">
        <v>22979</v>
      </c>
      <c r="H20" s="130">
        <v>30094</v>
      </c>
      <c r="I20" s="130">
        <v>30597</v>
      </c>
      <c r="J20" s="130">
        <v>40157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2">
        <v>1528</v>
      </c>
      <c r="D21" s="192">
        <v>1528</v>
      </c>
      <c r="E21" s="192">
        <v>1819</v>
      </c>
      <c r="F21" s="192">
        <v>1819</v>
      </c>
      <c r="G21" s="190">
        <v>3326</v>
      </c>
      <c r="H21" s="190">
        <v>3326</v>
      </c>
      <c r="I21" s="190">
        <v>3598</v>
      </c>
      <c r="J21" s="190">
        <v>3598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52">
        <v>20169</v>
      </c>
      <c r="D22" s="152">
        <v>23700</v>
      </c>
      <c r="E22" s="152">
        <v>72704</v>
      </c>
      <c r="F22" s="152">
        <v>79125</v>
      </c>
      <c r="G22" s="126">
        <v>95526</v>
      </c>
      <c r="H22" s="126">
        <v>105295</v>
      </c>
      <c r="I22" s="126">
        <v>127033</v>
      </c>
      <c r="J22" s="126">
        <v>140262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52">
        <v>10763</v>
      </c>
      <c r="D23" s="152">
        <v>10763</v>
      </c>
      <c r="E23" s="152">
        <v>55960</v>
      </c>
      <c r="F23" s="152">
        <v>55960</v>
      </c>
      <c r="G23" s="126">
        <v>70971</v>
      </c>
      <c r="H23" s="126">
        <v>70971</v>
      </c>
      <c r="I23" s="126">
        <v>93830</v>
      </c>
      <c r="J23" s="126">
        <v>93830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53">
        <v>0</v>
      </c>
      <c r="D24" s="153">
        <v>0</v>
      </c>
      <c r="E24" s="153">
        <v>35809</v>
      </c>
      <c r="F24" s="153">
        <v>35809</v>
      </c>
      <c r="G24" s="130">
        <v>46576</v>
      </c>
      <c r="H24" s="130">
        <v>46576</v>
      </c>
      <c r="I24" s="130">
        <v>62703</v>
      </c>
      <c r="J24" s="130">
        <v>62703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53">
        <v>9981</v>
      </c>
      <c r="D25" s="153">
        <v>9981</v>
      </c>
      <c r="E25" s="153">
        <v>17144</v>
      </c>
      <c r="F25" s="153">
        <v>17144</v>
      </c>
      <c r="G25" s="130">
        <v>18915</v>
      </c>
      <c r="H25" s="130">
        <v>18915</v>
      </c>
      <c r="I25" s="130">
        <v>21072</v>
      </c>
      <c r="J25" s="130">
        <v>21072</v>
      </c>
      <c r="K25" s="53"/>
      <c r="L25" s="53"/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53">
        <v>782</v>
      </c>
      <c r="D26" s="153">
        <v>782</v>
      </c>
      <c r="E26" s="153">
        <v>3007</v>
      </c>
      <c r="F26" s="153">
        <v>3007</v>
      </c>
      <c r="G26" s="130">
        <v>5480</v>
      </c>
      <c r="H26" s="130">
        <v>5480</v>
      </c>
      <c r="I26" s="130">
        <v>10055</v>
      </c>
      <c r="J26" s="130">
        <v>10055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52">
        <v>1359</v>
      </c>
      <c r="D27" s="152">
        <v>1359</v>
      </c>
      <c r="E27" s="152">
        <v>1894</v>
      </c>
      <c r="F27" s="152">
        <v>1894</v>
      </c>
      <c r="G27" s="126">
        <v>2823</v>
      </c>
      <c r="H27" s="126">
        <v>2823</v>
      </c>
      <c r="I27" s="126">
        <v>4213</v>
      </c>
      <c r="J27" s="126">
        <v>4213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52">
        <v>7961</v>
      </c>
      <c r="D28" s="152">
        <v>11492</v>
      </c>
      <c r="E28" s="152">
        <v>14734</v>
      </c>
      <c r="F28" s="152">
        <v>21155</v>
      </c>
      <c r="G28" s="126">
        <v>21581</v>
      </c>
      <c r="H28" s="126">
        <v>31350</v>
      </c>
      <c r="I28" s="126">
        <v>28707</v>
      </c>
      <c r="J28" s="126">
        <v>41936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53">
        <v>6715</v>
      </c>
      <c r="D29" s="153">
        <v>0</v>
      </c>
      <c r="E29" s="153">
        <v>13403</v>
      </c>
      <c r="F29" s="153">
        <v>0</v>
      </c>
      <c r="G29" s="130">
        <v>20104</v>
      </c>
      <c r="H29" s="130">
        <v>0</v>
      </c>
      <c r="I29" s="130">
        <v>26805</v>
      </c>
      <c r="J29" s="130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53">
        <v>1246</v>
      </c>
      <c r="D30" s="153">
        <v>11492</v>
      </c>
      <c r="E30" s="153">
        <v>1331</v>
      </c>
      <c r="F30" s="153">
        <v>21155</v>
      </c>
      <c r="G30" s="130">
        <v>1477</v>
      </c>
      <c r="H30" s="130">
        <v>31350</v>
      </c>
      <c r="I30" s="130">
        <v>1902</v>
      </c>
      <c r="J30" s="130">
        <v>41936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52">
        <v>86</v>
      </c>
      <c r="D31" s="152">
        <v>86</v>
      </c>
      <c r="E31" s="152">
        <v>116</v>
      </c>
      <c r="F31" s="152">
        <v>116</v>
      </c>
      <c r="G31" s="126">
        <v>151</v>
      </c>
      <c r="H31" s="126">
        <v>151</v>
      </c>
      <c r="I31" s="126">
        <v>283</v>
      </c>
      <c r="J31" s="126">
        <v>283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52">
        <v>5719</v>
      </c>
      <c r="D32" s="152">
        <v>6045</v>
      </c>
      <c r="E32" s="152">
        <v>11480</v>
      </c>
      <c r="F32" s="152">
        <v>11496</v>
      </c>
      <c r="G32" s="126">
        <f>G33+G34</f>
        <v>19106</v>
      </c>
      <c r="H32" s="126">
        <v>19200</v>
      </c>
      <c r="I32" s="126">
        <v>27008</v>
      </c>
      <c r="J32" s="126">
        <v>27276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53">
        <v>5069</v>
      </c>
      <c r="D33" s="153">
        <v>5069</v>
      </c>
      <c r="E33" s="153">
        <v>10220</v>
      </c>
      <c r="F33" s="153">
        <v>10220</v>
      </c>
      <c r="G33" s="130">
        <v>16514</v>
      </c>
      <c r="H33" s="130">
        <v>16514</v>
      </c>
      <c r="I33" s="130">
        <v>22267</v>
      </c>
      <c r="J33" s="130">
        <v>22267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53">
        <v>650</v>
      </c>
      <c r="D34" s="153">
        <v>976</v>
      </c>
      <c r="E34" s="153">
        <v>1260</v>
      </c>
      <c r="F34" s="153">
        <v>1276</v>
      </c>
      <c r="G34" s="130">
        <v>2592</v>
      </c>
      <c r="H34" s="130">
        <v>2686</v>
      </c>
      <c r="I34" s="130">
        <v>4741</v>
      </c>
      <c r="J34" s="130">
        <v>5009</v>
      </c>
      <c r="K34" s="53"/>
      <c r="L34" s="53"/>
      <c r="M34" s="53"/>
      <c r="N34" s="53"/>
      <c r="O34" s="53"/>
    </row>
    <row r="35" spans="1:15" s="50" customFormat="1" ht="40.200000000000003" customHeight="1" x14ac:dyDescent="0.3">
      <c r="A35" s="127" t="s">
        <v>50</v>
      </c>
      <c r="B35" s="136" t="s">
        <v>14</v>
      </c>
      <c r="C35" s="152">
        <v>5742</v>
      </c>
      <c r="D35" s="152">
        <v>5751</v>
      </c>
      <c r="E35" s="152">
        <v>14461</v>
      </c>
      <c r="F35" s="152">
        <v>14476</v>
      </c>
      <c r="G35" s="126">
        <v>25095</v>
      </c>
      <c r="H35" s="126">
        <v>25121</v>
      </c>
      <c r="I35" s="126">
        <v>43430</v>
      </c>
      <c r="J35" s="126">
        <v>43480</v>
      </c>
    </row>
    <row r="36" spans="1:15" ht="40.200000000000003" customHeight="1" x14ac:dyDescent="0.3">
      <c r="A36" s="128" t="s">
        <v>51</v>
      </c>
      <c r="B36" s="129" t="s">
        <v>9</v>
      </c>
      <c r="C36" s="153">
        <v>5334</v>
      </c>
      <c r="D36" s="153">
        <v>5334</v>
      </c>
      <c r="E36" s="153">
        <v>13095</v>
      </c>
      <c r="F36" s="153">
        <v>13096</v>
      </c>
      <c r="G36" s="130">
        <v>22748</v>
      </c>
      <c r="H36" s="130">
        <v>22774</v>
      </c>
      <c r="I36" s="130">
        <v>34654</v>
      </c>
      <c r="J36" s="130">
        <v>34704</v>
      </c>
    </row>
    <row r="37" spans="1:15" ht="40.200000000000003" customHeight="1" x14ac:dyDescent="0.3">
      <c r="A37" s="137" t="s">
        <v>35</v>
      </c>
      <c r="B37" s="138" t="s">
        <v>10</v>
      </c>
      <c r="C37" s="154">
        <v>408</v>
      </c>
      <c r="D37" s="154">
        <v>417</v>
      </c>
      <c r="E37" s="154">
        <v>1366</v>
      </c>
      <c r="F37" s="154">
        <v>1380</v>
      </c>
      <c r="G37" s="139">
        <v>2347</v>
      </c>
      <c r="H37" s="139">
        <v>2347</v>
      </c>
      <c r="I37" s="139">
        <v>8776</v>
      </c>
      <c r="J37" s="139">
        <v>8776</v>
      </c>
    </row>
    <row r="38" spans="1:15" ht="21.9" customHeight="1" x14ac:dyDescent="0.3">
      <c r="A38" s="63" t="s">
        <v>67</v>
      </c>
      <c r="B38" s="64" t="s">
        <v>68</v>
      </c>
      <c r="C38" s="45"/>
      <c r="D38" s="45"/>
      <c r="E38" s="45"/>
      <c r="F38" s="45"/>
      <c r="G38" s="45"/>
      <c r="H38" s="45"/>
      <c r="I38" s="45"/>
      <c r="J38" s="45"/>
    </row>
    <row r="39" spans="1:15" ht="106.95" customHeight="1" x14ac:dyDescent="0.3">
      <c r="A39" s="60" t="s">
        <v>108</v>
      </c>
      <c r="B39" s="22" t="s">
        <v>107</v>
      </c>
      <c r="C39" s="61"/>
      <c r="D39" s="61"/>
      <c r="E39" s="61"/>
      <c r="F39" s="61"/>
      <c r="G39" s="61"/>
      <c r="H39" s="61"/>
      <c r="I39" s="61"/>
      <c r="J39" s="61"/>
    </row>
    <row r="40" spans="1:15" ht="54" customHeight="1" x14ac:dyDescent="0.3">
      <c r="A40" s="140" t="s">
        <v>79</v>
      </c>
      <c r="B40" s="62" t="s">
        <v>75</v>
      </c>
      <c r="C40" s="61"/>
      <c r="D40" s="61"/>
      <c r="E40" s="61"/>
      <c r="F40" s="61"/>
      <c r="G40" s="61"/>
      <c r="H40" s="61"/>
      <c r="I40" s="61"/>
      <c r="J40" s="61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7"/>
      <c r="H42" s="57"/>
      <c r="I42" s="57"/>
      <c r="J42" s="57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6">
    <mergeCell ref="B3:B4"/>
    <mergeCell ref="C3:J4"/>
    <mergeCell ref="E5:F6"/>
    <mergeCell ref="G5:H6"/>
    <mergeCell ref="I5:J6"/>
    <mergeCell ref="C5:D6"/>
  </mergeCells>
  <printOptions horizontalCentered="1" verticalCentered="1"/>
  <pageMargins left="0" right="0" top="0" bottom="0" header="0" footer="0"/>
  <pageSetup paperSize="9" scale="37" orientation="landscape" r:id="rId1"/>
  <headerFooter alignWithMargins="0"/>
  <rowBreaks count="1" manualBreakCount="1">
    <brk id="37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10" width="24.6640625" style="44" customWidth="1"/>
    <col min="11" max="16384" width="9.109375" style="43"/>
  </cols>
  <sheetData>
    <row r="1" spans="1:61" s="1" customFormat="1" ht="63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17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47" customFormat="1" ht="15" customHeight="1" x14ac:dyDescent="0.35">
      <c r="A3" s="119"/>
      <c r="B3" s="213" t="s">
        <v>2</v>
      </c>
      <c r="C3" s="217" t="s">
        <v>28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52">
        <v>68345</v>
      </c>
      <c r="D8" s="152">
        <v>75845</v>
      </c>
      <c r="E8" s="152">
        <v>152442</v>
      </c>
      <c r="F8" s="152">
        <v>168484</v>
      </c>
      <c r="G8" s="152">
        <v>238928</v>
      </c>
      <c r="H8" s="152">
        <v>261088</v>
      </c>
      <c r="I8" s="126">
        <v>365987</v>
      </c>
      <c r="J8" s="126">
        <v>396768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52">
        <v>19658</v>
      </c>
      <c r="D9" s="152">
        <v>19890</v>
      </c>
      <c r="E9" s="152">
        <v>38013</v>
      </c>
      <c r="F9" s="152">
        <v>38485</v>
      </c>
      <c r="G9" s="152">
        <v>57962</v>
      </c>
      <c r="H9" s="152">
        <v>58658</v>
      </c>
      <c r="I9" s="126">
        <v>85369</v>
      </c>
      <c r="J9" s="126">
        <v>86377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53">
        <v>16849</v>
      </c>
      <c r="D10" s="153">
        <v>17059</v>
      </c>
      <c r="E10" s="153">
        <v>32057</v>
      </c>
      <c r="F10" s="153">
        <v>32493</v>
      </c>
      <c r="G10" s="153">
        <v>48572</v>
      </c>
      <c r="H10" s="153">
        <v>49213</v>
      </c>
      <c r="I10" s="130">
        <v>70321</v>
      </c>
      <c r="J10" s="130">
        <v>71247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53">
        <v>1914</v>
      </c>
      <c r="D11" s="153">
        <v>1928</v>
      </c>
      <c r="E11" s="153">
        <v>3506</v>
      </c>
      <c r="F11" s="153">
        <v>3534</v>
      </c>
      <c r="G11" s="153">
        <v>5712</v>
      </c>
      <c r="H11" s="153">
        <v>5757</v>
      </c>
      <c r="I11" s="130">
        <v>7850</v>
      </c>
      <c r="J11" s="130">
        <v>7918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53">
        <v>895</v>
      </c>
      <c r="D12" s="153">
        <v>903</v>
      </c>
      <c r="E12" s="153">
        <v>2450</v>
      </c>
      <c r="F12" s="153">
        <v>2458</v>
      </c>
      <c r="G12" s="153">
        <v>3678</v>
      </c>
      <c r="H12" s="153">
        <v>3688</v>
      </c>
      <c r="I12" s="130">
        <v>7198</v>
      </c>
      <c r="J12" s="130">
        <v>7212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52">
        <v>3917</v>
      </c>
      <c r="D13" s="152">
        <v>3957</v>
      </c>
      <c r="E13" s="152">
        <v>9651</v>
      </c>
      <c r="F13" s="152">
        <v>9718</v>
      </c>
      <c r="G13" s="152">
        <v>15349</v>
      </c>
      <c r="H13" s="152">
        <v>15452</v>
      </c>
      <c r="I13" s="126">
        <v>28059</v>
      </c>
      <c r="J13" s="126">
        <v>28244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53">
        <v>1595</v>
      </c>
      <c r="D14" s="153">
        <v>1615</v>
      </c>
      <c r="E14" s="153">
        <v>4443</v>
      </c>
      <c r="F14" s="153">
        <v>4451</v>
      </c>
      <c r="G14" s="153">
        <v>7396</v>
      </c>
      <c r="H14" s="153">
        <v>7409</v>
      </c>
      <c r="I14" s="130">
        <v>11967</v>
      </c>
      <c r="J14" s="130">
        <v>11986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53">
        <v>2116</v>
      </c>
      <c r="D15" s="153">
        <v>2123</v>
      </c>
      <c r="E15" s="153">
        <v>4607</v>
      </c>
      <c r="F15" s="153">
        <v>4640</v>
      </c>
      <c r="G15" s="153">
        <v>6878</v>
      </c>
      <c r="H15" s="153">
        <v>6935</v>
      </c>
      <c r="I15" s="130">
        <v>11442</v>
      </c>
      <c r="J15" s="130">
        <v>11560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53">
        <v>206</v>
      </c>
      <c r="D16" s="153">
        <v>219</v>
      </c>
      <c r="E16" s="153">
        <v>601</v>
      </c>
      <c r="F16" s="153">
        <v>627</v>
      </c>
      <c r="G16" s="153">
        <v>1075</v>
      </c>
      <c r="H16" s="153">
        <v>1108</v>
      </c>
      <c r="I16" s="130">
        <v>4650</v>
      </c>
      <c r="J16" s="130">
        <v>4698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52">
        <v>18876</v>
      </c>
      <c r="D17" s="152">
        <v>16207</v>
      </c>
      <c r="E17" s="152">
        <v>33232</v>
      </c>
      <c r="F17" s="152">
        <v>28343</v>
      </c>
      <c r="G17" s="152">
        <v>53798</v>
      </c>
      <c r="H17" s="152">
        <v>45240</v>
      </c>
      <c r="I17" s="126">
        <v>72333</v>
      </c>
      <c r="J17" s="126">
        <v>62277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2">
        <v>17711</v>
      </c>
      <c r="D18" s="192">
        <v>15042</v>
      </c>
      <c r="E18" s="192">
        <v>31724</v>
      </c>
      <c r="F18" s="192">
        <v>26835</v>
      </c>
      <c r="G18" s="192">
        <v>51228</v>
      </c>
      <c r="H18" s="192">
        <v>42670</v>
      </c>
      <c r="I18" s="190">
        <v>69493</v>
      </c>
      <c r="J18" s="190">
        <v>59437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53">
        <v>4347</v>
      </c>
      <c r="D19" s="153">
        <v>0</v>
      </c>
      <c r="E19" s="153">
        <v>8830</v>
      </c>
      <c r="F19" s="153">
        <v>0</v>
      </c>
      <c r="G19" s="153">
        <v>14288</v>
      </c>
      <c r="H19" s="153">
        <v>0</v>
      </c>
      <c r="I19" s="130">
        <v>19044</v>
      </c>
      <c r="J19" s="130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53">
        <v>13364</v>
      </c>
      <c r="D20" s="153">
        <v>15042</v>
      </c>
      <c r="E20" s="153">
        <v>22894</v>
      </c>
      <c r="F20" s="153">
        <v>26835</v>
      </c>
      <c r="G20" s="153">
        <v>36940</v>
      </c>
      <c r="H20" s="153">
        <v>42670</v>
      </c>
      <c r="I20" s="130">
        <v>50449</v>
      </c>
      <c r="J20" s="130">
        <v>59437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2">
        <v>1165</v>
      </c>
      <c r="D21" s="192">
        <v>1165</v>
      </c>
      <c r="E21" s="192">
        <v>1508</v>
      </c>
      <c r="F21" s="192">
        <v>1508</v>
      </c>
      <c r="G21" s="192">
        <v>2570</v>
      </c>
      <c r="H21" s="192">
        <v>2570</v>
      </c>
      <c r="I21" s="190">
        <v>2840</v>
      </c>
      <c r="J21" s="190">
        <v>2840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52">
        <v>11408</v>
      </c>
      <c r="D22" s="152">
        <v>21225</v>
      </c>
      <c r="E22" s="152">
        <v>39441</v>
      </c>
      <c r="F22" s="152">
        <v>59702</v>
      </c>
      <c r="G22" s="152">
        <v>62339</v>
      </c>
      <c r="H22" s="152">
        <v>92079</v>
      </c>
      <c r="I22" s="126">
        <v>102975</v>
      </c>
      <c r="J22" s="126">
        <v>142360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52">
        <v>8125</v>
      </c>
      <c r="D23" s="152">
        <v>8125</v>
      </c>
      <c r="E23" s="152">
        <v>34253</v>
      </c>
      <c r="F23" s="152">
        <v>34253</v>
      </c>
      <c r="G23" s="152">
        <v>55161</v>
      </c>
      <c r="H23" s="152">
        <v>55161</v>
      </c>
      <c r="I23" s="126">
        <v>93570</v>
      </c>
      <c r="J23" s="126">
        <v>93570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53">
        <v>0</v>
      </c>
      <c r="D24" s="153">
        <v>0</v>
      </c>
      <c r="E24" s="153">
        <v>18782</v>
      </c>
      <c r="F24" s="153">
        <v>18782</v>
      </c>
      <c r="G24" s="153">
        <v>33694</v>
      </c>
      <c r="H24" s="153">
        <v>33694</v>
      </c>
      <c r="I24" s="130">
        <v>66524</v>
      </c>
      <c r="J24" s="130">
        <v>66524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53">
        <v>6128</v>
      </c>
      <c r="D25" s="153">
        <v>6128</v>
      </c>
      <c r="E25" s="153">
        <v>10212</v>
      </c>
      <c r="F25" s="153">
        <v>10212</v>
      </c>
      <c r="G25" s="153">
        <v>13502</v>
      </c>
      <c r="H25" s="153">
        <v>13502</v>
      </c>
      <c r="I25" s="130">
        <v>16819</v>
      </c>
      <c r="J25" s="130">
        <v>16819</v>
      </c>
      <c r="K25" s="53"/>
      <c r="L25" s="53"/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53">
        <v>1997</v>
      </c>
      <c r="D26" s="153">
        <v>1997</v>
      </c>
      <c r="E26" s="153">
        <v>5259</v>
      </c>
      <c r="F26" s="153">
        <v>5259</v>
      </c>
      <c r="G26" s="153">
        <v>7965</v>
      </c>
      <c r="H26" s="153">
        <v>7965</v>
      </c>
      <c r="I26" s="130">
        <v>10227</v>
      </c>
      <c r="J26" s="130">
        <v>10227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52">
        <v>1404</v>
      </c>
      <c r="D27" s="152">
        <v>1404</v>
      </c>
      <c r="E27" s="152">
        <v>2522</v>
      </c>
      <c r="F27" s="152">
        <v>2522</v>
      </c>
      <c r="G27" s="152">
        <v>3572</v>
      </c>
      <c r="H27" s="152">
        <v>3572</v>
      </c>
      <c r="I27" s="126">
        <v>4380</v>
      </c>
      <c r="J27" s="126">
        <v>4380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52">
        <v>1774</v>
      </c>
      <c r="D28" s="152">
        <v>11591</v>
      </c>
      <c r="E28" s="152">
        <v>2517</v>
      </c>
      <c r="F28" s="152">
        <v>22778</v>
      </c>
      <c r="G28" s="152">
        <v>3408</v>
      </c>
      <c r="H28" s="152">
        <v>33148</v>
      </c>
      <c r="I28" s="126">
        <v>4483</v>
      </c>
      <c r="J28" s="126">
        <v>43868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53">
        <v>540</v>
      </c>
      <c r="D29" s="153">
        <v>0</v>
      </c>
      <c r="E29" s="153">
        <v>1160</v>
      </c>
      <c r="F29" s="153">
        <v>0</v>
      </c>
      <c r="G29" s="153">
        <v>1779</v>
      </c>
      <c r="H29" s="153">
        <v>0</v>
      </c>
      <c r="I29" s="130">
        <v>2400</v>
      </c>
      <c r="J29" s="130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53">
        <v>1234</v>
      </c>
      <c r="D30" s="153">
        <v>11591</v>
      </c>
      <c r="E30" s="153">
        <v>1357</v>
      </c>
      <c r="F30" s="153">
        <v>22778</v>
      </c>
      <c r="G30" s="153">
        <v>1629</v>
      </c>
      <c r="H30" s="153">
        <v>33148</v>
      </c>
      <c r="I30" s="130">
        <v>2083</v>
      </c>
      <c r="J30" s="130">
        <v>43868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52">
        <v>105</v>
      </c>
      <c r="D31" s="152">
        <v>105</v>
      </c>
      <c r="E31" s="152">
        <v>149</v>
      </c>
      <c r="F31" s="152">
        <v>149</v>
      </c>
      <c r="G31" s="152">
        <v>198</v>
      </c>
      <c r="H31" s="152">
        <v>198</v>
      </c>
      <c r="I31" s="126">
        <v>542</v>
      </c>
      <c r="J31" s="126">
        <v>542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52">
        <v>6744</v>
      </c>
      <c r="D32" s="152">
        <v>6807</v>
      </c>
      <c r="E32" s="152">
        <v>13762</v>
      </c>
      <c r="F32" s="152">
        <v>13867</v>
      </c>
      <c r="G32" s="152">
        <v>21333</v>
      </c>
      <c r="H32" s="152">
        <v>21467</v>
      </c>
      <c r="I32" s="126">
        <v>28901</v>
      </c>
      <c r="J32" s="126">
        <v>29047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53">
        <v>6029</v>
      </c>
      <c r="D33" s="153">
        <v>6029</v>
      </c>
      <c r="E33" s="153">
        <v>11382</v>
      </c>
      <c r="F33" s="153">
        <v>11382</v>
      </c>
      <c r="G33" s="153">
        <v>17621</v>
      </c>
      <c r="H33" s="153">
        <v>17621</v>
      </c>
      <c r="I33" s="130">
        <v>23453</v>
      </c>
      <c r="J33" s="130">
        <v>23453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53">
        <v>715</v>
      </c>
      <c r="D34" s="153">
        <v>778</v>
      </c>
      <c r="E34" s="153">
        <v>2380</v>
      </c>
      <c r="F34" s="153">
        <v>2485</v>
      </c>
      <c r="G34" s="153">
        <v>3712</v>
      </c>
      <c r="H34" s="153">
        <v>3846</v>
      </c>
      <c r="I34" s="130">
        <v>5448</v>
      </c>
      <c r="J34" s="130">
        <v>5594</v>
      </c>
      <c r="K34" s="53"/>
      <c r="L34" s="53"/>
      <c r="M34" s="53"/>
      <c r="N34" s="53"/>
      <c r="O34" s="53"/>
    </row>
    <row r="35" spans="1:15" s="50" customFormat="1" ht="40.200000000000003" customHeight="1" x14ac:dyDescent="0.3">
      <c r="A35" s="127" t="s">
        <v>50</v>
      </c>
      <c r="B35" s="136" t="s">
        <v>14</v>
      </c>
      <c r="C35" s="152">
        <v>7742</v>
      </c>
      <c r="D35" s="152">
        <v>7759</v>
      </c>
      <c r="E35" s="152">
        <v>18343</v>
      </c>
      <c r="F35" s="152">
        <v>18369</v>
      </c>
      <c r="G35" s="152">
        <v>28147</v>
      </c>
      <c r="H35" s="152">
        <v>28192</v>
      </c>
      <c r="I35" s="126">
        <v>48350</v>
      </c>
      <c r="J35" s="126">
        <v>48463</v>
      </c>
    </row>
    <row r="36" spans="1:15" ht="40.200000000000003" customHeight="1" x14ac:dyDescent="0.3">
      <c r="A36" s="128" t="s">
        <v>51</v>
      </c>
      <c r="B36" s="129" t="s">
        <v>9</v>
      </c>
      <c r="C36" s="153">
        <v>6287</v>
      </c>
      <c r="D36" s="153">
        <v>6304</v>
      </c>
      <c r="E36" s="153">
        <v>16455</v>
      </c>
      <c r="F36" s="153">
        <v>16481</v>
      </c>
      <c r="G36" s="153">
        <v>25341</v>
      </c>
      <c r="H36" s="153">
        <v>25386</v>
      </c>
      <c r="I36" s="130">
        <v>39205</v>
      </c>
      <c r="J36" s="130">
        <v>39319</v>
      </c>
    </row>
    <row r="37" spans="1:15" ht="40.200000000000003" customHeight="1" x14ac:dyDescent="0.3">
      <c r="A37" s="137" t="s">
        <v>35</v>
      </c>
      <c r="B37" s="138" t="s">
        <v>10</v>
      </c>
      <c r="C37" s="154">
        <v>1455</v>
      </c>
      <c r="D37" s="154">
        <v>1455</v>
      </c>
      <c r="E37" s="154">
        <v>1888</v>
      </c>
      <c r="F37" s="154">
        <v>1888</v>
      </c>
      <c r="G37" s="154">
        <v>2806</v>
      </c>
      <c r="H37" s="154">
        <v>2806</v>
      </c>
      <c r="I37" s="139">
        <v>9145</v>
      </c>
      <c r="J37" s="139">
        <v>9144</v>
      </c>
    </row>
    <row r="38" spans="1:15" ht="21.9" customHeight="1" x14ac:dyDescent="0.3">
      <c r="A38" s="63" t="s">
        <v>67</v>
      </c>
      <c r="B38" s="64" t="s">
        <v>68</v>
      </c>
      <c r="C38" s="45"/>
      <c r="D38" s="45"/>
      <c r="E38" s="45"/>
      <c r="F38" s="45"/>
      <c r="G38" s="45"/>
      <c r="H38" s="45"/>
      <c r="I38" s="45"/>
      <c r="J38" s="45"/>
    </row>
    <row r="39" spans="1:15" ht="100.2" customHeight="1" x14ac:dyDescent="0.3">
      <c r="A39" s="60" t="s">
        <v>110</v>
      </c>
      <c r="B39" s="22" t="s">
        <v>109</v>
      </c>
      <c r="C39" s="61"/>
      <c r="D39" s="61"/>
      <c r="E39" s="61"/>
      <c r="F39" s="61"/>
      <c r="G39" s="61"/>
      <c r="H39" s="61"/>
      <c r="I39" s="61"/>
      <c r="J39" s="61"/>
    </row>
    <row r="40" spans="1:15" ht="54" customHeight="1" x14ac:dyDescent="0.3">
      <c r="A40" s="60" t="s">
        <v>73</v>
      </c>
      <c r="B40" s="223" t="s">
        <v>80</v>
      </c>
      <c r="C40" s="223"/>
      <c r="D40" s="61"/>
      <c r="E40" s="61"/>
      <c r="F40" s="61"/>
      <c r="G40" s="61"/>
      <c r="H40" s="61"/>
      <c r="I40" s="61"/>
      <c r="J40" s="61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7"/>
      <c r="H42" s="57"/>
      <c r="I42" s="57"/>
      <c r="J42" s="57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7">
    <mergeCell ref="B40:C40"/>
    <mergeCell ref="B3:B4"/>
    <mergeCell ref="C3:J4"/>
    <mergeCell ref="I5:J6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9" customWidth="1"/>
    <col min="3" max="4" width="24.6640625" style="10" customWidth="1"/>
    <col min="5" max="6" width="24.6640625" style="11" customWidth="1"/>
    <col min="7" max="10" width="24.6640625" style="10" customWidth="1"/>
    <col min="11" max="16384" width="9.109375" style="9"/>
  </cols>
  <sheetData>
    <row r="1" spans="1:61" s="1" customFormat="1" ht="66.7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41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20" customFormat="1" ht="15" customHeight="1" x14ac:dyDescent="0.35">
      <c r="A3" s="142"/>
      <c r="B3" s="224" t="s">
        <v>2</v>
      </c>
      <c r="C3" s="226" t="s">
        <v>53</v>
      </c>
      <c r="D3" s="227"/>
      <c r="E3" s="227"/>
      <c r="F3" s="227"/>
      <c r="G3" s="227"/>
      <c r="H3" s="227"/>
      <c r="I3" s="227"/>
      <c r="J3" s="228"/>
    </row>
    <row r="4" spans="1:61" s="20" customFormat="1" ht="15" customHeight="1" x14ac:dyDescent="0.35">
      <c r="A4" s="143"/>
      <c r="B4" s="225"/>
      <c r="C4" s="229"/>
      <c r="D4" s="230"/>
      <c r="E4" s="230"/>
      <c r="F4" s="230"/>
      <c r="G4" s="230"/>
      <c r="H4" s="230"/>
      <c r="I4" s="230"/>
      <c r="J4" s="231"/>
    </row>
    <row r="5" spans="1:61" s="20" customFormat="1" ht="15" customHeight="1" x14ac:dyDescent="0.35">
      <c r="A5" s="143"/>
      <c r="B5" s="84"/>
      <c r="C5" s="232" t="s">
        <v>22</v>
      </c>
      <c r="D5" s="232"/>
      <c r="E5" s="226" t="s">
        <v>24</v>
      </c>
      <c r="F5" s="228"/>
      <c r="G5" s="232" t="s">
        <v>25</v>
      </c>
      <c r="H5" s="232"/>
      <c r="I5" s="232" t="s">
        <v>26</v>
      </c>
      <c r="J5" s="232"/>
    </row>
    <row r="6" spans="1:61" s="20" customFormat="1" ht="15" customHeight="1" x14ac:dyDescent="0.35">
      <c r="A6" s="143"/>
      <c r="B6" s="84"/>
      <c r="C6" s="233"/>
      <c r="D6" s="233"/>
      <c r="E6" s="229"/>
      <c r="F6" s="231"/>
      <c r="G6" s="233"/>
      <c r="H6" s="233"/>
      <c r="I6" s="233"/>
      <c r="J6" s="233"/>
    </row>
    <row r="7" spans="1:61" s="21" customFormat="1" ht="76.5" customHeight="1" x14ac:dyDescent="0.35">
      <c r="A7" s="144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61" s="19" customFormat="1" ht="40.200000000000003" customHeight="1" x14ac:dyDescent="0.3">
      <c r="A8" s="124" t="s">
        <v>58</v>
      </c>
      <c r="B8" s="125" t="s">
        <v>0</v>
      </c>
      <c r="C8" s="95">
        <v>74324</v>
      </c>
      <c r="D8" s="95">
        <v>83953</v>
      </c>
      <c r="E8" s="95">
        <v>161145</v>
      </c>
      <c r="F8" s="95">
        <v>174563</v>
      </c>
      <c r="G8" s="95">
        <v>239798</v>
      </c>
      <c r="H8" s="95">
        <v>267555</v>
      </c>
      <c r="I8" s="145">
        <v>401866</v>
      </c>
      <c r="J8" s="145">
        <v>440410</v>
      </c>
      <c r="K8" s="18"/>
      <c r="L8" s="18"/>
      <c r="M8" s="18"/>
      <c r="N8" s="18"/>
      <c r="O8" s="18"/>
    </row>
    <row r="9" spans="1:61" s="19" customFormat="1" ht="40.200000000000003" customHeight="1" x14ac:dyDescent="0.3">
      <c r="A9" s="127" t="s">
        <v>32</v>
      </c>
      <c r="B9" s="100" t="s">
        <v>90</v>
      </c>
      <c r="C9" s="95">
        <v>21275</v>
      </c>
      <c r="D9" s="95">
        <v>21545</v>
      </c>
      <c r="E9" s="95">
        <v>42460</v>
      </c>
      <c r="F9" s="95">
        <v>43031</v>
      </c>
      <c r="G9" s="95">
        <v>64273</v>
      </c>
      <c r="H9" s="95">
        <v>65176</v>
      </c>
      <c r="I9" s="146">
        <v>96271</v>
      </c>
      <c r="J9" s="146">
        <v>97558</v>
      </c>
      <c r="K9" s="18"/>
      <c r="L9" s="18"/>
      <c r="M9" s="18"/>
      <c r="N9" s="18"/>
      <c r="O9" s="18"/>
    </row>
    <row r="10" spans="1:61" s="13" customFormat="1" ht="40.200000000000003" customHeight="1" x14ac:dyDescent="0.3">
      <c r="A10" s="128" t="s">
        <v>33</v>
      </c>
      <c r="B10" s="129" t="s">
        <v>91</v>
      </c>
      <c r="C10" s="98">
        <v>17869</v>
      </c>
      <c r="D10" s="98">
        <v>18107</v>
      </c>
      <c r="E10" s="98">
        <v>35319</v>
      </c>
      <c r="F10" s="98">
        <v>35824</v>
      </c>
      <c r="G10" s="98">
        <v>53076</v>
      </c>
      <c r="H10" s="98">
        <v>53871</v>
      </c>
      <c r="I10" s="147">
        <v>78270</v>
      </c>
      <c r="J10" s="147">
        <v>79377</v>
      </c>
      <c r="K10" s="12"/>
      <c r="L10" s="12"/>
      <c r="M10" s="12"/>
      <c r="N10" s="12"/>
      <c r="O10" s="12"/>
    </row>
    <row r="11" spans="1:61" s="13" customFormat="1" ht="40.200000000000003" customHeight="1" x14ac:dyDescent="0.3">
      <c r="A11" s="128" t="s">
        <v>34</v>
      </c>
      <c r="B11" s="129" t="s">
        <v>5</v>
      </c>
      <c r="C11" s="98">
        <v>2051</v>
      </c>
      <c r="D11" s="98">
        <v>2069</v>
      </c>
      <c r="E11" s="98">
        <v>4021</v>
      </c>
      <c r="F11" s="98">
        <v>4059</v>
      </c>
      <c r="G11" s="98">
        <v>6226</v>
      </c>
      <c r="H11" s="98">
        <v>6288</v>
      </c>
      <c r="I11" s="147">
        <v>9103</v>
      </c>
      <c r="J11" s="147">
        <v>9191</v>
      </c>
      <c r="K11" s="12"/>
      <c r="L11" s="12"/>
      <c r="M11" s="12"/>
      <c r="N11" s="12"/>
      <c r="O11" s="12"/>
    </row>
    <row r="12" spans="1:61" s="13" customFormat="1" ht="40.200000000000003" customHeight="1" x14ac:dyDescent="0.3">
      <c r="A12" s="128" t="s">
        <v>35</v>
      </c>
      <c r="B12" s="129" t="s">
        <v>1</v>
      </c>
      <c r="C12" s="98">
        <v>1355</v>
      </c>
      <c r="D12" s="98">
        <v>1369</v>
      </c>
      <c r="E12" s="98">
        <v>3120</v>
      </c>
      <c r="F12" s="98">
        <v>3148</v>
      </c>
      <c r="G12" s="98">
        <v>4971</v>
      </c>
      <c r="H12" s="98">
        <v>5017</v>
      </c>
      <c r="I12" s="147">
        <v>8898</v>
      </c>
      <c r="J12" s="147">
        <v>8990</v>
      </c>
      <c r="K12" s="12"/>
      <c r="L12" s="12"/>
      <c r="M12" s="12"/>
      <c r="N12" s="12"/>
      <c r="O12" s="12"/>
    </row>
    <row r="13" spans="1:61" s="19" customFormat="1" ht="40.200000000000003" customHeight="1" x14ac:dyDescent="0.3">
      <c r="A13" s="127" t="s">
        <v>36</v>
      </c>
      <c r="B13" s="100" t="s">
        <v>12</v>
      </c>
      <c r="C13" s="95">
        <v>3705</v>
      </c>
      <c r="D13" s="95">
        <v>3995</v>
      </c>
      <c r="E13" s="95">
        <v>9271</v>
      </c>
      <c r="F13" s="95">
        <v>9408</v>
      </c>
      <c r="G13" s="95">
        <v>13736</v>
      </c>
      <c r="H13" s="95">
        <v>13901</v>
      </c>
      <c r="I13" s="146">
        <v>26148</v>
      </c>
      <c r="J13" s="146">
        <v>26645</v>
      </c>
      <c r="K13" s="18"/>
      <c r="L13" s="18"/>
      <c r="M13" s="18"/>
      <c r="N13" s="18"/>
      <c r="O13" s="18"/>
    </row>
    <row r="14" spans="1:61" s="13" customFormat="1" ht="40.200000000000003" customHeight="1" x14ac:dyDescent="0.3">
      <c r="A14" s="128" t="s">
        <v>37</v>
      </c>
      <c r="B14" s="129" t="s">
        <v>6</v>
      </c>
      <c r="C14" s="98">
        <v>1292</v>
      </c>
      <c r="D14" s="98">
        <v>1297</v>
      </c>
      <c r="E14" s="98">
        <v>3769</v>
      </c>
      <c r="F14" s="98">
        <v>3777</v>
      </c>
      <c r="G14" s="98">
        <v>5722</v>
      </c>
      <c r="H14" s="98">
        <v>5734</v>
      </c>
      <c r="I14" s="147">
        <v>9979</v>
      </c>
      <c r="J14" s="147">
        <v>9998</v>
      </c>
      <c r="K14" s="12"/>
      <c r="L14" s="12"/>
      <c r="M14" s="12"/>
      <c r="N14" s="12"/>
      <c r="O14" s="12"/>
    </row>
    <row r="15" spans="1:61" s="13" customFormat="1" ht="40.200000000000003" customHeight="1" x14ac:dyDescent="0.3">
      <c r="A15" s="128" t="s">
        <v>38</v>
      </c>
      <c r="B15" s="129" t="s">
        <v>15</v>
      </c>
      <c r="C15" s="98">
        <v>2113</v>
      </c>
      <c r="D15" s="98">
        <v>2143</v>
      </c>
      <c r="E15" s="98">
        <v>4500</v>
      </c>
      <c r="F15" s="98">
        <v>4566</v>
      </c>
      <c r="G15" s="98">
        <v>6433</v>
      </c>
      <c r="H15" s="98">
        <v>6520</v>
      </c>
      <c r="I15" s="147">
        <v>10716</v>
      </c>
      <c r="J15" s="147">
        <v>10891</v>
      </c>
      <c r="K15" s="12"/>
      <c r="L15" s="12"/>
      <c r="M15" s="12"/>
      <c r="N15" s="12"/>
      <c r="O15" s="12"/>
    </row>
    <row r="16" spans="1:61" s="13" customFormat="1" ht="40.200000000000003" customHeight="1" x14ac:dyDescent="0.3">
      <c r="A16" s="128" t="s">
        <v>35</v>
      </c>
      <c r="B16" s="129" t="s">
        <v>1</v>
      </c>
      <c r="C16" s="98">
        <v>300</v>
      </c>
      <c r="D16" s="98">
        <v>555</v>
      </c>
      <c r="E16" s="98">
        <v>1002</v>
      </c>
      <c r="F16" s="98">
        <v>1065</v>
      </c>
      <c r="G16" s="98">
        <v>1581</v>
      </c>
      <c r="H16" s="98">
        <v>1647</v>
      </c>
      <c r="I16" s="147">
        <v>5453</v>
      </c>
      <c r="J16" s="147">
        <v>5756</v>
      </c>
      <c r="K16" s="12"/>
      <c r="L16" s="12"/>
      <c r="M16" s="12"/>
      <c r="N16" s="12"/>
      <c r="O16" s="12"/>
    </row>
    <row r="17" spans="1:15" s="19" customFormat="1" ht="40.200000000000003" customHeight="1" x14ac:dyDescent="0.3">
      <c r="A17" s="127" t="s">
        <v>39</v>
      </c>
      <c r="B17" s="100" t="s">
        <v>62</v>
      </c>
      <c r="C17" s="95">
        <v>19944</v>
      </c>
      <c r="D17" s="95">
        <v>17226</v>
      </c>
      <c r="E17" s="95">
        <v>35702</v>
      </c>
      <c r="F17" s="95">
        <v>21477</v>
      </c>
      <c r="G17" s="95">
        <v>60831</v>
      </c>
      <c r="H17" s="95">
        <v>46150</v>
      </c>
      <c r="I17" s="146">
        <v>85077</v>
      </c>
      <c r="J17" s="146">
        <v>76363</v>
      </c>
      <c r="K17" s="18"/>
      <c r="L17" s="18"/>
      <c r="M17" s="18"/>
      <c r="N17" s="18"/>
      <c r="O17" s="18"/>
    </row>
    <row r="18" spans="1:15" s="13" customFormat="1" ht="40.200000000000003" customHeight="1" x14ac:dyDescent="0.3">
      <c r="A18" s="189" t="s">
        <v>94</v>
      </c>
      <c r="B18" s="102" t="s">
        <v>95</v>
      </c>
      <c r="C18" s="103">
        <v>18886</v>
      </c>
      <c r="D18" s="103">
        <v>16168</v>
      </c>
      <c r="E18" s="103">
        <v>34030</v>
      </c>
      <c r="F18" s="103">
        <v>19805</v>
      </c>
      <c r="G18" s="103">
        <v>58069</v>
      </c>
      <c r="H18" s="103">
        <v>43388</v>
      </c>
      <c r="I18" s="191">
        <v>81661</v>
      </c>
      <c r="J18" s="191">
        <v>72947</v>
      </c>
      <c r="K18" s="12"/>
      <c r="L18" s="12"/>
      <c r="M18" s="12"/>
      <c r="N18" s="12"/>
      <c r="O18" s="12"/>
    </row>
    <row r="19" spans="1:15" ht="40.200000000000003" customHeight="1" x14ac:dyDescent="0.3">
      <c r="A19" s="131" t="s">
        <v>40</v>
      </c>
      <c r="B19" s="105" t="s">
        <v>21</v>
      </c>
      <c r="C19" s="98">
        <v>4435</v>
      </c>
      <c r="D19" s="98">
        <v>0</v>
      </c>
      <c r="E19" s="98">
        <v>14225</v>
      </c>
      <c r="F19" s="98">
        <v>0</v>
      </c>
      <c r="G19" s="98">
        <v>14682</v>
      </c>
      <c r="H19" s="98">
        <v>0</v>
      </c>
      <c r="I19" s="147">
        <v>19140</v>
      </c>
      <c r="J19" s="147">
        <v>0</v>
      </c>
      <c r="K19" s="11"/>
      <c r="L19" s="11"/>
      <c r="M19" s="11"/>
      <c r="N19" s="11"/>
      <c r="O19" s="11"/>
    </row>
    <row r="20" spans="1:15" ht="40.200000000000003" customHeight="1" x14ac:dyDescent="0.3">
      <c r="A20" s="131" t="s">
        <v>35</v>
      </c>
      <c r="B20" s="105" t="s">
        <v>7</v>
      </c>
      <c r="C20" s="98">
        <v>14451</v>
      </c>
      <c r="D20" s="98">
        <v>16168</v>
      </c>
      <c r="E20" s="98">
        <v>19805</v>
      </c>
      <c r="F20" s="98">
        <v>19805</v>
      </c>
      <c r="G20" s="98">
        <v>43387</v>
      </c>
      <c r="H20" s="98">
        <v>43388</v>
      </c>
      <c r="I20" s="147">
        <v>62521</v>
      </c>
      <c r="J20" s="147">
        <v>72947</v>
      </c>
      <c r="K20" s="11"/>
      <c r="L20" s="11"/>
      <c r="M20" s="11"/>
      <c r="N20" s="11"/>
      <c r="O20" s="11"/>
    </row>
    <row r="21" spans="1:15" s="13" customFormat="1" ht="40.200000000000003" customHeight="1" x14ac:dyDescent="0.3">
      <c r="A21" s="189" t="s">
        <v>41</v>
      </c>
      <c r="B21" s="102" t="s">
        <v>63</v>
      </c>
      <c r="C21" s="103">
        <v>1058</v>
      </c>
      <c r="D21" s="103">
        <v>1058</v>
      </c>
      <c r="E21" s="103">
        <v>1672</v>
      </c>
      <c r="F21" s="103">
        <v>1672</v>
      </c>
      <c r="G21" s="103">
        <v>2762</v>
      </c>
      <c r="H21" s="103">
        <v>2762</v>
      </c>
      <c r="I21" s="191">
        <v>3416</v>
      </c>
      <c r="J21" s="191">
        <v>3416</v>
      </c>
      <c r="K21" s="12"/>
      <c r="L21" s="12"/>
      <c r="M21" s="12"/>
      <c r="N21" s="12"/>
      <c r="O21" s="12"/>
    </row>
    <row r="22" spans="1:15" s="19" customFormat="1" ht="40.200000000000003" customHeight="1" x14ac:dyDescent="0.3">
      <c r="A22" s="132" t="s">
        <v>42</v>
      </c>
      <c r="B22" s="100" t="s">
        <v>13</v>
      </c>
      <c r="C22" s="95">
        <v>12514</v>
      </c>
      <c r="D22" s="95">
        <v>24266</v>
      </c>
      <c r="E22" s="95">
        <v>41559</v>
      </c>
      <c r="F22" s="95">
        <v>68331</v>
      </c>
      <c r="G22" s="95">
        <v>54491</v>
      </c>
      <c r="H22" s="95">
        <v>95607</v>
      </c>
      <c r="I22" s="146">
        <v>123125</v>
      </c>
      <c r="J22" s="146">
        <v>168265</v>
      </c>
      <c r="K22" s="18"/>
      <c r="L22" s="18"/>
      <c r="M22" s="18"/>
      <c r="N22" s="18"/>
      <c r="O22" s="18"/>
    </row>
    <row r="23" spans="1:15" s="19" customFormat="1" ht="40.200000000000003" customHeight="1" x14ac:dyDescent="0.3">
      <c r="A23" s="133" t="s">
        <v>43</v>
      </c>
      <c r="B23" s="134" t="s">
        <v>54</v>
      </c>
      <c r="C23" s="95">
        <v>7937</v>
      </c>
      <c r="D23" s="95">
        <v>7937</v>
      </c>
      <c r="E23" s="95">
        <v>34894</v>
      </c>
      <c r="F23" s="95">
        <v>34894</v>
      </c>
      <c r="G23" s="95">
        <v>45281</v>
      </c>
      <c r="H23" s="95">
        <v>45281</v>
      </c>
      <c r="I23" s="146">
        <v>111211</v>
      </c>
      <c r="J23" s="146">
        <v>111211</v>
      </c>
      <c r="K23" s="18"/>
      <c r="L23" s="18"/>
      <c r="M23" s="18"/>
      <c r="N23" s="18"/>
      <c r="O23" s="18"/>
    </row>
    <row r="24" spans="1:15" ht="40.200000000000003" customHeight="1" x14ac:dyDescent="0.3">
      <c r="A24" s="131" t="s">
        <v>44</v>
      </c>
      <c r="B24" s="105" t="s">
        <v>17</v>
      </c>
      <c r="C24" s="98">
        <v>0</v>
      </c>
      <c r="D24" s="98">
        <v>0</v>
      </c>
      <c r="E24" s="98">
        <v>16990</v>
      </c>
      <c r="F24" s="98">
        <v>16990</v>
      </c>
      <c r="G24" s="98">
        <v>16990</v>
      </c>
      <c r="H24" s="98">
        <v>16990</v>
      </c>
      <c r="I24" s="147">
        <v>67680</v>
      </c>
      <c r="J24" s="147">
        <v>67680</v>
      </c>
      <c r="K24" s="11"/>
      <c r="L24" s="11"/>
      <c r="M24" s="11"/>
      <c r="N24" s="11"/>
      <c r="O24" s="11"/>
    </row>
    <row r="25" spans="1:15" ht="40.200000000000003" customHeight="1" x14ac:dyDescent="0.3">
      <c r="A25" s="131" t="s">
        <v>45</v>
      </c>
      <c r="B25" s="105" t="s">
        <v>16</v>
      </c>
      <c r="C25" s="98">
        <v>5454</v>
      </c>
      <c r="D25" s="98">
        <v>5454</v>
      </c>
      <c r="E25" s="98">
        <v>12280</v>
      </c>
      <c r="F25" s="98">
        <v>12280</v>
      </c>
      <c r="G25" s="98">
        <v>20416</v>
      </c>
      <c r="H25" s="98">
        <v>20416</v>
      </c>
      <c r="I25" s="147">
        <v>32743</v>
      </c>
      <c r="J25" s="147">
        <v>32743</v>
      </c>
      <c r="K25" s="11"/>
      <c r="L25" s="11"/>
      <c r="M25" s="11"/>
      <c r="N25" s="11"/>
      <c r="O25" s="11"/>
    </row>
    <row r="26" spans="1:15" ht="40.200000000000003" customHeight="1" x14ac:dyDescent="0.3">
      <c r="A26" s="131" t="s">
        <v>35</v>
      </c>
      <c r="B26" s="105" t="s">
        <v>18</v>
      </c>
      <c r="C26" s="98">
        <v>2483</v>
      </c>
      <c r="D26" s="98">
        <v>2483</v>
      </c>
      <c r="E26" s="98">
        <v>5624</v>
      </c>
      <c r="F26" s="98">
        <v>5624</v>
      </c>
      <c r="G26" s="98">
        <v>7875</v>
      </c>
      <c r="H26" s="98">
        <v>7875</v>
      </c>
      <c r="I26" s="147">
        <v>10788</v>
      </c>
      <c r="J26" s="147">
        <v>10788</v>
      </c>
      <c r="K26" s="11"/>
      <c r="L26" s="11"/>
      <c r="M26" s="11"/>
      <c r="N26" s="11"/>
      <c r="O26" s="11"/>
    </row>
    <row r="27" spans="1:15" s="19" customFormat="1" ht="40.200000000000003" customHeight="1" x14ac:dyDescent="0.3">
      <c r="A27" s="133" t="s">
        <v>46</v>
      </c>
      <c r="B27" s="134" t="s">
        <v>55</v>
      </c>
      <c r="C27" s="95">
        <v>1685</v>
      </c>
      <c r="D27" s="95">
        <v>1685</v>
      </c>
      <c r="E27" s="95">
        <v>2974</v>
      </c>
      <c r="F27" s="95">
        <v>2974</v>
      </c>
      <c r="G27" s="95">
        <v>3996</v>
      </c>
      <c r="H27" s="95">
        <v>3996</v>
      </c>
      <c r="I27" s="146">
        <v>5319</v>
      </c>
      <c r="J27" s="146">
        <v>5319</v>
      </c>
      <c r="K27" s="18"/>
      <c r="L27" s="18"/>
      <c r="M27" s="18"/>
      <c r="N27" s="18"/>
      <c r="O27" s="18"/>
    </row>
    <row r="28" spans="1:15" s="19" customFormat="1" ht="40.200000000000003" customHeight="1" x14ac:dyDescent="0.3">
      <c r="A28" s="135" t="s">
        <v>104</v>
      </c>
      <c r="B28" s="134" t="s">
        <v>56</v>
      </c>
      <c r="C28" s="95">
        <v>2693</v>
      </c>
      <c r="D28" s="95">
        <v>14445</v>
      </c>
      <c r="E28" s="95">
        <v>3418</v>
      </c>
      <c r="F28" s="95">
        <v>30190</v>
      </c>
      <c r="G28" s="95">
        <v>4886</v>
      </c>
      <c r="H28" s="95">
        <v>46002</v>
      </c>
      <c r="I28" s="146">
        <v>6118</v>
      </c>
      <c r="J28" s="146">
        <v>51258</v>
      </c>
      <c r="K28" s="18"/>
      <c r="L28" s="18"/>
      <c r="M28" s="18"/>
      <c r="N28" s="18"/>
      <c r="O28" s="18"/>
    </row>
    <row r="29" spans="1:15" ht="40.200000000000003" customHeight="1" x14ac:dyDescent="0.3">
      <c r="A29" s="131" t="s">
        <v>47</v>
      </c>
      <c r="B29" s="105" t="s">
        <v>19</v>
      </c>
      <c r="C29" s="98">
        <v>944</v>
      </c>
      <c r="D29" s="98">
        <v>0</v>
      </c>
      <c r="E29" s="98">
        <v>1556</v>
      </c>
      <c r="F29" s="98">
        <v>0</v>
      </c>
      <c r="G29" s="98">
        <v>2660</v>
      </c>
      <c r="H29" s="98">
        <v>0</v>
      </c>
      <c r="I29" s="147">
        <v>3438</v>
      </c>
      <c r="J29" s="147">
        <v>0</v>
      </c>
      <c r="K29" s="11"/>
      <c r="L29" s="11"/>
      <c r="M29" s="11"/>
      <c r="N29" s="11"/>
      <c r="O29" s="11"/>
    </row>
    <row r="30" spans="1:15" ht="40.200000000000003" customHeight="1" x14ac:dyDescent="0.3">
      <c r="A30" s="131" t="s">
        <v>35</v>
      </c>
      <c r="B30" s="105" t="s">
        <v>20</v>
      </c>
      <c r="C30" s="98">
        <v>1749</v>
      </c>
      <c r="D30" s="98">
        <v>14445</v>
      </c>
      <c r="E30" s="98">
        <v>1862</v>
      </c>
      <c r="F30" s="98">
        <v>30190</v>
      </c>
      <c r="G30" s="98">
        <v>2226</v>
      </c>
      <c r="H30" s="98">
        <v>46002</v>
      </c>
      <c r="I30" s="147">
        <v>2680</v>
      </c>
      <c r="J30" s="147">
        <v>51258</v>
      </c>
      <c r="K30" s="11"/>
      <c r="L30" s="11"/>
      <c r="M30" s="11"/>
      <c r="N30" s="11"/>
      <c r="O30" s="11"/>
    </row>
    <row r="31" spans="1:15" s="19" customFormat="1" ht="40.200000000000003" customHeight="1" x14ac:dyDescent="0.3">
      <c r="A31" s="133" t="s">
        <v>48</v>
      </c>
      <c r="B31" s="102" t="s">
        <v>119</v>
      </c>
      <c r="C31" s="95">
        <v>199</v>
      </c>
      <c r="D31" s="95">
        <v>199</v>
      </c>
      <c r="E31" s="95">
        <v>273</v>
      </c>
      <c r="F31" s="95">
        <v>273</v>
      </c>
      <c r="G31" s="95">
        <v>328</v>
      </c>
      <c r="H31" s="95">
        <v>328</v>
      </c>
      <c r="I31" s="146">
        <v>477</v>
      </c>
      <c r="J31" s="146">
        <v>477</v>
      </c>
      <c r="K31" s="18"/>
      <c r="L31" s="18"/>
      <c r="M31" s="18"/>
      <c r="N31" s="18"/>
      <c r="O31" s="18"/>
    </row>
    <row r="32" spans="1:15" s="19" customFormat="1" ht="40.200000000000003" customHeight="1" x14ac:dyDescent="0.3">
      <c r="A32" s="127" t="s">
        <v>59</v>
      </c>
      <c r="B32" s="100" t="s">
        <v>11</v>
      </c>
      <c r="C32" s="95">
        <v>9903</v>
      </c>
      <c r="D32" s="95">
        <v>9921</v>
      </c>
      <c r="E32" s="95">
        <v>15883</v>
      </c>
      <c r="F32" s="95">
        <v>15954</v>
      </c>
      <c r="G32" s="95">
        <v>22720</v>
      </c>
      <c r="H32" s="95">
        <v>22854</v>
      </c>
      <c r="I32" s="146">
        <v>31364</v>
      </c>
      <c r="J32" s="146">
        <v>31554</v>
      </c>
      <c r="K32" s="18"/>
      <c r="L32" s="18"/>
      <c r="M32" s="18"/>
      <c r="N32" s="18"/>
      <c r="O32" s="18"/>
    </row>
    <row r="33" spans="1:15" ht="40.200000000000003" customHeight="1" x14ac:dyDescent="0.3">
      <c r="A33" s="128" t="s">
        <v>49</v>
      </c>
      <c r="B33" s="129" t="s">
        <v>4</v>
      </c>
      <c r="C33" s="98">
        <v>8951</v>
      </c>
      <c r="D33" s="98">
        <v>8951</v>
      </c>
      <c r="E33" s="98">
        <v>14178</v>
      </c>
      <c r="F33" s="98">
        <v>14178</v>
      </c>
      <c r="G33" s="98">
        <v>19500</v>
      </c>
      <c r="H33" s="98">
        <v>19500</v>
      </c>
      <c r="I33" s="147">
        <v>26484</v>
      </c>
      <c r="J33" s="147">
        <v>26484</v>
      </c>
      <c r="K33" s="11"/>
      <c r="L33" s="11"/>
      <c r="M33" s="11"/>
      <c r="N33" s="11"/>
      <c r="O33" s="11"/>
    </row>
    <row r="34" spans="1:15" ht="40.200000000000003" customHeight="1" x14ac:dyDescent="0.3">
      <c r="A34" s="128" t="s">
        <v>35</v>
      </c>
      <c r="B34" s="129" t="s">
        <v>8</v>
      </c>
      <c r="C34" s="98">
        <v>952</v>
      </c>
      <c r="D34" s="98">
        <v>970</v>
      </c>
      <c r="E34" s="98">
        <v>1705</v>
      </c>
      <c r="F34" s="98">
        <v>1776</v>
      </c>
      <c r="G34" s="98">
        <v>3220</v>
      </c>
      <c r="H34" s="98">
        <v>3354</v>
      </c>
      <c r="I34" s="147">
        <v>4880</v>
      </c>
      <c r="J34" s="147">
        <v>5070</v>
      </c>
      <c r="K34" s="11"/>
      <c r="L34" s="11"/>
      <c r="M34" s="11"/>
      <c r="N34" s="11"/>
      <c r="O34" s="11"/>
    </row>
    <row r="35" spans="1:15" s="19" customFormat="1" ht="40.200000000000003" customHeight="1" x14ac:dyDescent="0.3">
      <c r="A35" s="127" t="s">
        <v>50</v>
      </c>
      <c r="B35" s="136" t="s">
        <v>14</v>
      </c>
      <c r="C35" s="95">
        <v>6983</v>
      </c>
      <c r="D35" s="95">
        <v>7000</v>
      </c>
      <c r="E35" s="95">
        <v>16270</v>
      </c>
      <c r="F35" s="95">
        <v>16362</v>
      </c>
      <c r="G35" s="95">
        <v>23747</v>
      </c>
      <c r="H35" s="95">
        <v>23867</v>
      </c>
      <c r="I35" s="146">
        <v>39881</v>
      </c>
      <c r="J35" s="146">
        <v>40025</v>
      </c>
    </row>
    <row r="36" spans="1:15" ht="40.200000000000003" customHeight="1" x14ac:dyDescent="0.3">
      <c r="A36" s="128" t="s">
        <v>51</v>
      </c>
      <c r="B36" s="129" t="s">
        <v>9</v>
      </c>
      <c r="C36" s="98">
        <v>6518</v>
      </c>
      <c r="D36" s="98">
        <v>6535</v>
      </c>
      <c r="E36" s="98">
        <v>14628</v>
      </c>
      <c r="F36" s="98">
        <v>14720</v>
      </c>
      <c r="G36" s="98">
        <v>21248</v>
      </c>
      <c r="H36" s="98">
        <v>21368</v>
      </c>
      <c r="I36" s="147">
        <v>33303</v>
      </c>
      <c r="J36" s="147">
        <v>33447</v>
      </c>
    </row>
    <row r="37" spans="1:15" ht="40.200000000000003" customHeight="1" x14ac:dyDescent="0.3">
      <c r="A37" s="59" t="s">
        <v>35</v>
      </c>
      <c r="B37" s="32" t="s">
        <v>10</v>
      </c>
      <c r="C37" s="241">
        <v>465</v>
      </c>
      <c r="D37" s="241">
        <v>465</v>
      </c>
      <c r="E37" s="241">
        <v>1642</v>
      </c>
      <c r="F37" s="241">
        <v>1642</v>
      </c>
      <c r="G37" s="241">
        <v>2499</v>
      </c>
      <c r="H37" s="241">
        <v>2499</v>
      </c>
      <c r="I37" s="7">
        <v>6578</v>
      </c>
      <c r="J37" s="7">
        <v>6578</v>
      </c>
    </row>
    <row r="38" spans="1:15" ht="21.9" customHeight="1" x14ac:dyDescent="0.3">
      <c r="A38" s="63" t="s">
        <v>67</v>
      </c>
      <c r="B38" s="64" t="s">
        <v>68</v>
      </c>
      <c r="C38" s="26"/>
      <c r="D38" s="26"/>
      <c r="E38" s="14"/>
      <c r="F38" s="14"/>
      <c r="G38" s="26"/>
      <c r="H38" s="26"/>
      <c r="I38" s="26"/>
      <c r="J38" s="26"/>
    </row>
    <row r="39" spans="1:15" ht="103.95" customHeight="1" x14ac:dyDescent="0.3">
      <c r="A39" s="60" t="s">
        <v>111</v>
      </c>
      <c r="B39" s="22" t="s">
        <v>107</v>
      </c>
      <c r="C39" s="15"/>
      <c r="D39" s="15"/>
      <c r="E39" s="16"/>
      <c r="F39" s="16"/>
      <c r="G39" s="15"/>
      <c r="H39" s="15"/>
      <c r="I39" s="15"/>
      <c r="J39" s="15"/>
    </row>
    <row r="40" spans="1:15" ht="54" customHeight="1" x14ac:dyDescent="0.3">
      <c r="A40" s="60" t="s">
        <v>73</v>
      </c>
      <c r="B40" s="26" t="s">
        <v>81</v>
      </c>
      <c r="C40" s="15"/>
      <c r="D40" s="15"/>
      <c r="E40" s="16"/>
      <c r="F40" s="16"/>
      <c r="G40" s="15"/>
      <c r="H40" s="15"/>
      <c r="I40" s="15"/>
      <c r="J40" s="15"/>
    </row>
    <row r="41" spans="1:15" ht="21.9" customHeight="1" x14ac:dyDescent="0.3"/>
    <row r="42" spans="1:15" ht="21.9" customHeight="1" x14ac:dyDescent="0.3">
      <c r="B42" s="8"/>
      <c r="C42" s="8"/>
      <c r="D42" s="8"/>
      <c r="E42" s="17"/>
      <c r="F42" s="17"/>
      <c r="G42" s="8"/>
      <c r="H42" s="8"/>
      <c r="I42" s="8"/>
      <c r="J42" s="8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6"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4" width="24.6640625" style="54" customWidth="1"/>
    <col min="5" max="10" width="24.6640625" style="44" customWidth="1"/>
    <col min="11" max="16384" width="9.109375" style="43"/>
  </cols>
  <sheetData>
    <row r="1" spans="1:61" s="1" customFormat="1" ht="64.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s="5" customFormat="1" ht="25.2" customHeight="1" x14ac:dyDescent="0.25">
      <c r="A2" s="116"/>
      <c r="B2" s="141"/>
      <c r="C2" s="116"/>
      <c r="D2" s="116"/>
      <c r="E2" s="116"/>
      <c r="F2" s="116"/>
      <c r="G2" s="116"/>
      <c r="H2" s="116"/>
      <c r="I2" s="116"/>
      <c r="J2" s="118" t="s">
        <v>52</v>
      </c>
      <c r="K2" s="2"/>
      <c r="L2" s="2"/>
      <c r="M2" s="2"/>
      <c r="N2" s="2"/>
      <c r="O2" s="4"/>
    </row>
    <row r="3" spans="1:61" s="47" customFormat="1" ht="15" customHeight="1" x14ac:dyDescent="0.35">
      <c r="A3" s="148"/>
      <c r="B3" s="213" t="s">
        <v>2</v>
      </c>
      <c r="C3" s="217" t="s">
        <v>23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49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49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49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50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51">
        <v>84403.3</v>
      </c>
      <c r="D8" s="152">
        <v>96929.32</v>
      </c>
      <c r="E8" s="152">
        <v>189673</v>
      </c>
      <c r="F8" s="152">
        <v>213828</v>
      </c>
      <c r="G8" s="152">
        <v>310813</v>
      </c>
      <c r="H8" s="152">
        <v>349053</v>
      </c>
      <c r="I8" s="152">
        <v>470992</v>
      </c>
      <c r="J8" s="152">
        <v>516422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52">
        <v>27255.599999999999</v>
      </c>
      <c r="D9" s="152">
        <v>27622.12</v>
      </c>
      <c r="E9" s="152">
        <v>54051</v>
      </c>
      <c r="F9" s="152">
        <v>54803</v>
      </c>
      <c r="G9" s="152">
        <v>82866</v>
      </c>
      <c r="H9" s="152">
        <v>84060</v>
      </c>
      <c r="I9" s="152">
        <v>122818</v>
      </c>
      <c r="J9" s="152">
        <v>124457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53">
        <v>22547</v>
      </c>
      <c r="D10" s="153">
        <v>22885.18</v>
      </c>
      <c r="E10" s="153">
        <v>44629</v>
      </c>
      <c r="F10" s="153">
        <v>45325</v>
      </c>
      <c r="G10" s="153">
        <v>67849</v>
      </c>
      <c r="H10" s="153">
        <v>68945</v>
      </c>
      <c r="I10" s="153">
        <v>99926</v>
      </c>
      <c r="J10" s="153">
        <v>101432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53">
        <v>2707.9</v>
      </c>
      <c r="D11" s="153">
        <v>2733.14</v>
      </c>
      <c r="E11" s="153">
        <v>5147</v>
      </c>
      <c r="F11" s="153">
        <v>5197</v>
      </c>
      <c r="G11" s="153">
        <v>8129</v>
      </c>
      <c r="H11" s="153">
        <v>8216</v>
      </c>
      <c r="I11" s="153">
        <v>11589</v>
      </c>
      <c r="J11" s="153">
        <v>11706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53">
        <v>2000.7</v>
      </c>
      <c r="D12" s="153">
        <v>2003.8</v>
      </c>
      <c r="E12" s="153">
        <v>4275</v>
      </c>
      <c r="F12" s="153">
        <v>4281</v>
      </c>
      <c r="G12" s="153">
        <v>6888</v>
      </c>
      <c r="H12" s="153">
        <v>6899</v>
      </c>
      <c r="I12" s="153">
        <v>11303</v>
      </c>
      <c r="J12" s="153">
        <v>11319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52">
        <v>3286.1</v>
      </c>
      <c r="D13" s="152">
        <v>3346.07</v>
      </c>
      <c r="E13" s="152">
        <v>8253</v>
      </c>
      <c r="F13" s="152">
        <v>8365</v>
      </c>
      <c r="G13" s="152">
        <v>14332</v>
      </c>
      <c r="H13" s="152">
        <v>14490</v>
      </c>
      <c r="I13" s="152">
        <v>26826</v>
      </c>
      <c r="J13" s="152">
        <v>27079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53">
        <v>1277.8</v>
      </c>
      <c r="D14" s="153">
        <v>1283.05</v>
      </c>
      <c r="E14" s="153">
        <v>3329</v>
      </c>
      <c r="F14" s="153">
        <v>3336</v>
      </c>
      <c r="G14" s="153">
        <v>6186</v>
      </c>
      <c r="H14" s="153">
        <v>6198</v>
      </c>
      <c r="I14" s="153">
        <v>10599</v>
      </c>
      <c r="J14" s="153">
        <v>10618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53">
        <v>1740.6</v>
      </c>
      <c r="D15" s="153">
        <v>1780.6</v>
      </c>
      <c r="E15" s="153">
        <v>3898</v>
      </c>
      <c r="F15" s="153">
        <v>3975</v>
      </c>
      <c r="G15" s="153">
        <v>6374</v>
      </c>
      <c r="H15" s="153">
        <v>6495</v>
      </c>
      <c r="I15" s="153">
        <v>11516</v>
      </c>
      <c r="J15" s="153">
        <v>11708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53">
        <v>267</v>
      </c>
      <c r="D16" s="153">
        <v>282.42</v>
      </c>
      <c r="E16" s="153">
        <v>1026</v>
      </c>
      <c r="F16" s="153">
        <v>1054</v>
      </c>
      <c r="G16" s="153">
        <v>1772</v>
      </c>
      <c r="H16" s="153">
        <v>1797</v>
      </c>
      <c r="I16" s="153">
        <v>4711</v>
      </c>
      <c r="J16" s="153">
        <v>4753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52">
        <v>24113.9</v>
      </c>
      <c r="D17" s="152">
        <v>21234.5</v>
      </c>
      <c r="E17" s="152">
        <v>44027</v>
      </c>
      <c r="F17" s="152">
        <v>38278</v>
      </c>
      <c r="G17" s="152">
        <v>78012</v>
      </c>
      <c r="H17" s="152">
        <v>70331</v>
      </c>
      <c r="I17" s="152">
        <v>104441</v>
      </c>
      <c r="J17" s="152">
        <v>93401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2">
        <v>23027.9</v>
      </c>
      <c r="D18" s="192">
        <v>20148.5</v>
      </c>
      <c r="E18" s="192">
        <v>42227</v>
      </c>
      <c r="F18" s="192">
        <v>36478</v>
      </c>
      <c r="G18" s="192">
        <v>75208</v>
      </c>
      <c r="H18" s="192">
        <v>67527</v>
      </c>
      <c r="I18" s="192">
        <v>101023</v>
      </c>
      <c r="J18" s="192">
        <v>89983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53">
        <v>4640</v>
      </c>
      <c r="D19" s="153">
        <v>0</v>
      </c>
      <c r="E19" s="153">
        <v>10170</v>
      </c>
      <c r="F19" s="153">
        <v>0</v>
      </c>
      <c r="G19" s="153">
        <v>14652</v>
      </c>
      <c r="H19" s="153">
        <v>0</v>
      </c>
      <c r="I19" s="153">
        <v>20398</v>
      </c>
      <c r="J19" s="153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53">
        <v>18387.900000000001</v>
      </c>
      <c r="D20" s="153">
        <v>20148.5</v>
      </c>
      <c r="E20" s="153">
        <v>32057</v>
      </c>
      <c r="F20" s="153">
        <v>36478</v>
      </c>
      <c r="G20" s="153">
        <v>60556</v>
      </c>
      <c r="H20" s="153">
        <v>67527</v>
      </c>
      <c r="I20" s="153">
        <v>80625</v>
      </c>
      <c r="J20" s="153">
        <v>89983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2">
        <v>1086</v>
      </c>
      <c r="D21" s="192">
        <v>1086</v>
      </c>
      <c r="E21" s="192">
        <v>1800</v>
      </c>
      <c r="F21" s="192">
        <v>1800</v>
      </c>
      <c r="G21" s="192">
        <v>2804</v>
      </c>
      <c r="H21" s="192">
        <v>2804</v>
      </c>
      <c r="I21" s="192">
        <v>3418</v>
      </c>
      <c r="J21" s="192">
        <v>3418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52">
        <v>17055</v>
      </c>
      <c r="D22" s="152">
        <v>31895.79</v>
      </c>
      <c r="E22" s="152">
        <v>56923</v>
      </c>
      <c r="F22" s="152">
        <v>85813</v>
      </c>
      <c r="G22" s="152">
        <v>95439</v>
      </c>
      <c r="H22" s="152">
        <v>139761</v>
      </c>
      <c r="I22" s="152">
        <v>150193</v>
      </c>
      <c r="J22" s="152">
        <v>204454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52">
        <v>11972.4</v>
      </c>
      <c r="D23" s="152">
        <v>11972.4</v>
      </c>
      <c r="E23" s="152">
        <v>49539</v>
      </c>
      <c r="F23" s="152">
        <v>49539</v>
      </c>
      <c r="G23" s="152">
        <v>85451</v>
      </c>
      <c r="H23" s="152">
        <v>85451</v>
      </c>
      <c r="I23" s="152">
        <v>134963</v>
      </c>
      <c r="J23" s="152">
        <v>134963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53">
        <v>5400</v>
      </c>
      <c r="D24" s="153">
        <v>5400</v>
      </c>
      <c r="E24" s="153">
        <v>35180</v>
      </c>
      <c r="F24" s="153">
        <v>35180</v>
      </c>
      <c r="G24" s="153">
        <v>62477</v>
      </c>
      <c r="H24" s="153">
        <v>62477</v>
      </c>
      <c r="I24" s="153">
        <v>95535</v>
      </c>
      <c r="J24" s="153">
        <v>95535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53">
        <v>4791.3</v>
      </c>
      <c r="D25" s="153">
        <v>4791.3</v>
      </c>
      <c r="E25" s="153">
        <v>10558</v>
      </c>
      <c r="F25" s="153">
        <v>10558</v>
      </c>
      <c r="G25" s="153">
        <v>16393</v>
      </c>
      <c r="H25" s="153">
        <v>16393</v>
      </c>
      <c r="I25" s="153">
        <v>30282</v>
      </c>
      <c r="J25" s="153">
        <v>30282</v>
      </c>
      <c r="K25" s="53"/>
      <c r="L25" s="53"/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53">
        <v>1781.1</v>
      </c>
      <c r="D26" s="153">
        <v>1781.1</v>
      </c>
      <c r="E26" s="153">
        <v>3801</v>
      </c>
      <c r="F26" s="153">
        <v>3801</v>
      </c>
      <c r="G26" s="153">
        <v>6581</v>
      </c>
      <c r="H26" s="153">
        <v>6581</v>
      </c>
      <c r="I26" s="153">
        <v>9146</v>
      </c>
      <c r="J26" s="153">
        <v>9146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52">
        <v>1539.1</v>
      </c>
      <c r="D27" s="152">
        <v>1539.1</v>
      </c>
      <c r="E27" s="152">
        <v>2684</v>
      </c>
      <c r="F27" s="152">
        <v>2684</v>
      </c>
      <c r="G27" s="152">
        <v>3763</v>
      </c>
      <c r="H27" s="152">
        <v>3763</v>
      </c>
      <c r="I27" s="152">
        <v>5305</v>
      </c>
      <c r="J27" s="152">
        <v>5305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52">
        <v>3337</v>
      </c>
      <c r="D28" s="152">
        <v>18177.59</v>
      </c>
      <c r="E28" s="152">
        <v>4448</v>
      </c>
      <c r="F28" s="152">
        <v>33339</v>
      </c>
      <c r="G28" s="152">
        <v>5734</v>
      </c>
      <c r="H28" s="152">
        <v>50056</v>
      </c>
      <c r="I28" s="152">
        <v>9367</v>
      </c>
      <c r="J28" s="152">
        <v>63628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53">
        <v>750</v>
      </c>
      <c r="D29" s="153">
        <v>0</v>
      </c>
      <c r="E29" s="153">
        <v>1750</v>
      </c>
      <c r="F29" s="153">
        <v>0</v>
      </c>
      <c r="G29" s="153">
        <v>2500</v>
      </c>
      <c r="H29" s="153">
        <v>0</v>
      </c>
      <c r="I29" s="153">
        <v>6200</v>
      </c>
      <c r="J29" s="153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53">
        <v>2587</v>
      </c>
      <c r="D30" s="153">
        <v>18177.59</v>
      </c>
      <c r="E30" s="153">
        <v>2698</v>
      </c>
      <c r="F30" s="153">
        <v>33339</v>
      </c>
      <c r="G30" s="153">
        <v>3234</v>
      </c>
      <c r="H30" s="153">
        <v>50056</v>
      </c>
      <c r="I30" s="153">
        <v>3167</v>
      </c>
      <c r="J30" s="153">
        <v>63628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52">
        <v>206.7</v>
      </c>
      <c r="D31" s="152">
        <v>206.7</v>
      </c>
      <c r="E31" s="152">
        <v>252</v>
      </c>
      <c r="F31" s="152">
        <v>251</v>
      </c>
      <c r="G31" s="152">
        <v>491</v>
      </c>
      <c r="H31" s="152">
        <v>491</v>
      </c>
      <c r="I31" s="152">
        <v>558</v>
      </c>
      <c r="J31" s="152">
        <v>558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52">
        <v>7982</v>
      </c>
      <c r="D32" s="152">
        <v>8072</v>
      </c>
      <c r="E32" s="152">
        <v>14920</v>
      </c>
      <c r="F32" s="152">
        <v>15051</v>
      </c>
      <c r="G32" s="152">
        <v>21643</v>
      </c>
      <c r="H32" s="152">
        <v>21863</v>
      </c>
      <c r="I32" s="152">
        <v>30796</v>
      </c>
      <c r="J32" s="152">
        <v>31072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53">
        <v>7173.3</v>
      </c>
      <c r="D33" s="153">
        <v>7173.3</v>
      </c>
      <c r="E33" s="153">
        <v>13304</v>
      </c>
      <c r="F33" s="153">
        <v>13304</v>
      </c>
      <c r="G33" s="153">
        <v>18920</v>
      </c>
      <c r="H33" s="153">
        <v>18920</v>
      </c>
      <c r="I33" s="153">
        <v>26018</v>
      </c>
      <c r="J33" s="153">
        <v>26018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53">
        <v>809</v>
      </c>
      <c r="D34" s="153">
        <v>899.3</v>
      </c>
      <c r="E34" s="153">
        <v>1616</v>
      </c>
      <c r="F34" s="153">
        <v>1747</v>
      </c>
      <c r="G34" s="153">
        <v>2723</v>
      </c>
      <c r="H34" s="153">
        <v>2943</v>
      </c>
      <c r="I34" s="153">
        <v>4778</v>
      </c>
      <c r="J34" s="153">
        <v>5054</v>
      </c>
      <c r="K34" s="53"/>
      <c r="L34" s="53"/>
      <c r="M34" s="53"/>
      <c r="N34" s="53"/>
      <c r="O34" s="53"/>
    </row>
    <row r="35" spans="1:15" s="50" customFormat="1" ht="53.25" customHeight="1" x14ac:dyDescent="0.3">
      <c r="A35" s="127" t="s">
        <v>50</v>
      </c>
      <c r="B35" s="136" t="s">
        <v>14</v>
      </c>
      <c r="C35" s="152">
        <v>4710</v>
      </c>
      <c r="D35" s="152">
        <v>4758.24</v>
      </c>
      <c r="E35" s="152">
        <v>11499</v>
      </c>
      <c r="F35" s="152">
        <v>11518</v>
      </c>
      <c r="G35" s="152">
        <v>18521</v>
      </c>
      <c r="H35" s="152">
        <v>18548</v>
      </c>
      <c r="I35" s="152">
        <v>35918</v>
      </c>
      <c r="J35" s="152">
        <v>35959</v>
      </c>
    </row>
    <row r="36" spans="1:15" ht="40.200000000000003" customHeight="1" x14ac:dyDescent="0.3">
      <c r="A36" s="128" t="s">
        <v>51</v>
      </c>
      <c r="B36" s="129" t="s">
        <v>9</v>
      </c>
      <c r="C36" s="153">
        <v>4327.8999999999996</v>
      </c>
      <c r="D36" s="153">
        <v>4376.1400000000003</v>
      </c>
      <c r="E36" s="153">
        <v>10244</v>
      </c>
      <c r="F36" s="153">
        <v>10262</v>
      </c>
      <c r="G36" s="153">
        <v>16547</v>
      </c>
      <c r="H36" s="153">
        <v>16574</v>
      </c>
      <c r="I36" s="153">
        <v>28997</v>
      </c>
      <c r="J36" s="153">
        <v>29039</v>
      </c>
    </row>
    <row r="37" spans="1:15" ht="40.200000000000003" customHeight="1" x14ac:dyDescent="0.3">
      <c r="A37" s="137" t="s">
        <v>35</v>
      </c>
      <c r="B37" s="138" t="s">
        <v>10</v>
      </c>
      <c r="C37" s="154">
        <v>382.1</v>
      </c>
      <c r="D37" s="154">
        <v>382.1</v>
      </c>
      <c r="E37" s="154">
        <v>1255</v>
      </c>
      <c r="F37" s="154">
        <v>1256</v>
      </c>
      <c r="G37" s="154">
        <v>1974</v>
      </c>
      <c r="H37" s="154">
        <v>1974</v>
      </c>
      <c r="I37" s="154">
        <v>6921</v>
      </c>
      <c r="J37" s="154">
        <v>6920</v>
      </c>
    </row>
    <row r="38" spans="1:15" ht="21.9" customHeight="1" x14ac:dyDescent="0.3">
      <c r="A38" s="63" t="s">
        <v>67</v>
      </c>
      <c r="B38" s="64" t="s">
        <v>68</v>
      </c>
    </row>
    <row r="39" spans="1:15" ht="98.4" customHeight="1" x14ac:dyDescent="0.3">
      <c r="A39" s="60" t="s">
        <v>112</v>
      </c>
      <c r="B39" s="22" t="s">
        <v>109</v>
      </c>
      <c r="J39" s="45"/>
    </row>
    <row r="40" spans="1:15" ht="49.2" customHeight="1" x14ac:dyDescent="0.3">
      <c r="A40" s="60" t="s">
        <v>73</v>
      </c>
      <c r="B40" s="26" t="s">
        <v>71</v>
      </c>
    </row>
    <row r="41" spans="1:15" ht="21.9" customHeight="1" x14ac:dyDescent="0.3"/>
    <row r="42" spans="1:15" ht="21.9" customHeight="1" x14ac:dyDescent="0.3">
      <c r="B42" s="57"/>
      <c r="C42" s="234"/>
      <c r="D42" s="234"/>
      <c r="E42" s="234"/>
      <c r="F42" s="234"/>
      <c r="G42" s="234"/>
      <c r="H42" s="234"/>
      <c r="I42" s="234"/>
      <c r="J42" s="234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7">
    <mergeCell ref="B3:B4"/>
    <mergeCell ref="C42:J42"/>
    <mergeCell ref="C3:J4"/>
    <mergeCell ref="E5:F6"/>
    <mergeCell ref="G5:H6"/>
    <mergeCell ref="I5:J6"/>
    <mergeCell ref="C5:D6"/>
  </mergeCells>
  <printOptions horizontalCentered="1" verticalCentered="1"/>
  <pageMargins left="0.19685039370078741" right="0.19685039370078741" top="0" bottom="0" header="0" footer="0"/>
  <pageSetup paperSize="9" scale="37" orientation="landscape" r:id="rId1"/>
  <headerFooter alignWithMargins="0"/>
  <rowBreaks count="1" manualBreakCount="1">
    <brk id="37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4" width="24.6640625" style="54" customWidth="1"/>
    <col min="5" max="10" width="24.6640625" style="44" customWidth="1"/>
    <col min="11" max="16384" width="9.109375" style="43"/>
  </cols>
  <sheetData>
    <row r="1" spans="1:61" s="1" customFormat="1" ht="68.2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27.75" customHeight="1" x14ac:dyDescent="0.35">
      <c r="A2" s="155"/>
      <c r="B2" s="155"/>
      <c r="C2" s="235"/>
      <c r="D2" s="235"/>
      <c r="E2" s="156"/>
      <c r="F2" s="157"/>
      <c r="G2" s="235"/>
      <c r="H2" s="235"/>
      <c r="I2" s="156"/>
      <c r="J2" s="118" t="s">
        <v>52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</row>
    <row r="3" spans="1:61" s="47" customFormat="1" ht="15" customHeight="1" x14ac:dyDescent="0.35">
      <c r="A3" s="119"/>
      <c r="B3" s="213" t="s">
        <v>2</v>
      </c>
      <c r="C3" s="217" t="s">
        <v>27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152">
        <v>101339</v>
      </c>
      <c r="D8" s="152">
        <v>116050</v>
      </c>
      <c r="E8" s="152">
        <v>243525</v>
      </c>
      <c r="F8" s="152">
        <v>271103</v>
      </c>
      <c r="G8" s="152">
        <v>382479</v>
      </c>
      <c r="H8" s="152">
        <v>423691</v>
      </c>
      <c r="I8" s="152">
        <v>588188</v>
      </c>
      <c r="J8" s="152">
        <v>644080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152">
        <v>32406</v>
      </c>
      <c r="D9" s="152">
        <v>32878</v>
      </c>
      <c r="E9" s="152">
        <v>68093</v>
      </c>
      <c r="F9" s="152">
        <v>69062</v>
      </c>
      <c r="G9" s="152">
        <v>102684</v>
      </c>
      <c r="H9" s="152">
        <v>104198</v>
      </c>
      <c r="I9" s="152">
        <v>142956</v>
      </c>
      <c r="J9" s="152">
        <v>145064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153">
        <v>26948</v>
      </c>
      <c r="D10" s="153">
        <v>27387</v>
      </c>
      <c r="E10" s="153">
        <v>56370</v>
      </c>
      <c r="F10" s="153">
        <v>57275</v>
      </c>
      <c r="G10" s="153">
        <v>84995</v>
      </c>
      <c r="H10" s="153">
        <v>86392</v>
      </c>
      <c r="I10" s="153">
        <v>118196</v>
      </c>
      <c r="J10" s="153">
        <v>120157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153">
        <v>3117</v>
      </c>
      <c r="D11" s="153">
        <v>3146</v>
      </c>
      <c r="E11" s="153">
        <v>6478</v>
      </c>
      <c r="F11" s="153">
        <v>6534</v>
      </c>
      <c r="G11" s="153">
        <v>10008</v>
      </c>
      <c r="H11" s="153">
        <v>10110</v>
      </c>
      <c r="I11" s="153">
        <v>13675</v>
      </c>
      <c r="J11" s="153">
        <v>13804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153">
        <v>2341</v>
      </c>
      <c r="D12" s="153">
        <v>2345</v>
      </c>
      <c r="E12" s="153">
        <v>5245</v>
      </c>
      <c r="F12" s="153">
        <v>5253</v>
      </c>
      <c r="G12" s="153">
        <v>7681</v>
      </c>
      <c r="H12" s="153">
        <v>7696</v>
      </c>
      <c r="I12" s="153">
        <v>11085</v>
      </c>
      <c r="J12" s="153">
        <v>11103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152">
        <v>3789</v>
      </c>
      <c r="D13" s="152">
        <v>3845</v>
      </c>
      <c r="E13" s="152">
        <v>9557</v>
      </c>
      <c r="F13" s="152">
        <v>9682</v>
      </c>
      <c r="G13" s="152">
        <v>16079</v>
      </c>
      <c r="H13" s="152">
        <v>16262</v>
      </c>
      <c r="I13" s="152">
        <v>26652</v>
      </c>
      <c r="J13" s="152">
        <v>27155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153">
        <v>1495</v>
      </c>
      <c r="D14" s="153">
        <v>1499</v>
      </c>
      <c r="E14" s="153">
        <v>4171</v>
      </c>
      <c r="F14" s="153">
        <v>4181</v>
      </c>
      <c r="G14" s="153">
        <v>7382</v>
      </c>
      <c r="H14" s="153">
        <v>7398</v>
      </c>
      <c r="I14" s="153">
        <v>11994</v>
      </c>
      <c r="J14" s="153">
        <v>12014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153">
        <v>2031</v>
      </c>
      <c r="D15" s="153">
        <v>2046</v>
      </c>
      <c r="E15" s="153">
        <v>4696</v>
      </c>
      <c r="F15" s="153">
        <v>4764</v>
      </c>
      <c r="G15" s="153">
        <v>7615</v>
      </c>
      <c r="H15" s="153">
        <v>7721</v>
      </c>
      <c r="I15" s="153">
        <v>11297</v>
      </c>
      <c r="J15" s="153">
        <v>11474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153">
        <v>263</v>
      </c>
      <c r="D16" s="153">
        <v>282</v>
      </c>
      <c r="E16" s="153">
        <v>690</v>
      </c>
      <c r="F16" s="153">
        <v>737</v>
      </c>
      <c r="G16" s="153">
        <v>1082</v>
      </c>
      <c r="H16" s="153">
        <v>1143</v>
      </c>
      <c r="I16" s="153">
        <v>3361</v>
      </c>
      <c r="J16" s="153">
        <v>3667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152">
        <v>31565</v>
      </c>
      <c r="D17" s="152">
        <v>29161</v>
      </c>
      <c r="E17" s="152">
        <v>59124</v>
      </c>
      <c r="F17" s="152">
        <v>54217</v>
      </c>
      <c r="G17" s="152">
        <v>101494</v>
      </c>
      <c r="H17" s="152">
        <v>93989</v>
      </c>
      <c r="I17" s="152">
        <v>146995</v>
      </c>
      <c r="J17" s="152">
        <v>135331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192">
        <v>30425</v>
      </c>
      <c r="D18" s="192">
        <v>28021</v>
      </c>
      <c r="E18" s="192">
        <v>57054</v>
      </c>
      <c r="F18" s="192">
        <v>52147</v>
      </c>
      <c r="G18" s="192">
        <v>98424</v>
      </c>
      <c r="H18" s="192">
        <v>90919</v>
      </c>
      <c r="I18" s="192">
        <v>143099</v>
      </c>
      <c r="J18" s="192">
        <v>131435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153">
        <v>4228</v>
      </c>
      <c r="D19" s="153">
        <v>0</v>
      </c>
      <c r="E19" s="153">
        <v>9409</v>
      </c>
      <c r="F19" s="153">
        <v>0</v>
      </c>
      <c r="G19" s="153">
        <v>14906</v>
      </c>
      <c r="H19" s="153">
        <v>0</v>
      </c>
      <c r="I19" s="153">
        <v>22760</v>
      </c>
      <c r="J19" s="153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153">
        <v>26197</v>
      </c>
      <c r="D20" s="153">
        <v>28021</v>
      </c>
      <c r="E20" s="153">
        <v>47645</v>
      </c>
      <c r="F20" s="153">
        <v>52147</v>
      </c>
      <c r="G20" s="153">
        <v>83518</v>
      </c>
      <c r="H20" s="153">
        <v>90919</v>
      </c>
      <c r="I20" s="153">
        <v>120339</v>
      </c>
      <c r="J20" s="153">
        <v>131435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192">
        <v>1140</v>
      </c>
      <c r="D21" s="192">
        <v>1140</v>
      </c>
      <c r="E21" s="192">
        <v>2070</v>
      </c>
      <c r="F21" s="192">
        <v>2070</v>
      </c>
      <c r="G21" s="192">
        <v>3070</v>
      </c>
      <c r="H21" s="192">
        <v>3070</v>
      </c>
      <c r="I21" s="192">
        <v>3896</v>
      </c>
      <c r="J21" s="192">
        <v>3896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152">
        <v>22219</v>
      </c>
      <c r="D22" s="152">
        <v>38757</v>
      </c>
      <c r="E22" s="152">
        <v>78710</v>
      </c>
      <c r="F22" s="152">
        <v>109996</v>
      </c>
      <c r="G22" s="152">
        <v>116726</v>
      </c>
      <c r="H22" s="152">
        <v>163536</v>
      </c>
      <c r="I22" s="152">
        <v>197093</v>
      </c>
      <c r="J22" s="152">
        <v>261760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152">
        <v>16494</v>
      </c>
      <c r="D23" s="152">
        <v>16494</v>
      </c>
      <c r="E23" s="152">
        <v>66582</v>
      </c>
      <c r="F23" s="152">
        <v>66582</v>
      </c>
      <c r="G23" s="152">
        <v>98399</v>
      </c>
      <c r="H23" s="152">
        <v>98399</v>
      </c>
      <c r="I23" s="152">
        <v>170800</v>
      </c>
      <c r="J23" s="152">
        <v>170800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153">
        <v>10500</v>
      </c>
      <c r="D24" s="153">
        <v>10500</v>
      </c>
      <c r="E24" s="153">
        <v>52644</v>
      </c>
      <c r="F24" s="153">
        <v>52644</v>
      </c>
      <c r="G24" s="153">
        <v>72219</v>
      </c>
      <c r="H24" s="153">
        <v>72219</v>
      </c>
      <c r="I24" s="153">
        <v>120000</v>
      </c>
      <c r="J24" s="153">
        <v>120000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153">
        <v>3702</v>
      </c>
      <c r="D25" s="153">
        <v>3702</v>
      </c>
      <c r="E25" s="153">
        <v>8871</v>
      </c>
      <c r="F25" s="153">
        <v>8871</v>
      </c>
      <c r="G25" s="153">
        <v>18874</v>
      </c>
      <c r="H25" s="153">
        <v>18874</v>
      </c>
      <c r="I25" s="153">
        <v>32551</v>
      </c>
      <c r="J25" s="153">
        <v>32551</v>
      </c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153">
        <v>2292</v>
      </c>
      <c r="D26" s="153">
        <v>2292</v>
      </c>
      <c r="E26" s="153">
        <v>5067</v>
      </c>
      <c r="F26" s="153">
        <v>5067</v>
      </c>
      <c r="G26" s="153">
        <v>7306</v>
      </c>
      <c r="H26" s="153">
        <v>7306</v>
      </c>
      <c r="I26" s="153">
        <v>18249</v>
      </c>
      <c r="J26" s="153">
        <v>18249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152">
        <v>620</v>
      </c>
      <c r="D27" s="152">
        <v>620</v>
      </c>
      <c r="E27" s="152">
        <v>1665</v>
      </c>
      <c r="F27" s="152">
        <v>1665</v>
      </c>
      <c r="G27" s="152">
        <v>2731</v>
      </c>
      <c r="H27" s="152">
        <v>2731</v>
      </c>
      <c r="I27" s="152">
        <v>5014</v>
      </c>
      <c r="J27" s="152">
        <v>5014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152">
        <v>4830</v>
      </c>
      <c r="D28" s="152">
        <v>21368</v>
      </c>
      <c r="E28" s="152">
        <v>10119</v>
      </c>
      <c r="F28" s="152">
        <v>41405</v>
      </c>
      <c r="G28" s="152">
        <v>15288</v>
      </c>
      <c r="H28" s="152">
        <v>62098</v>
      </c>
      <c r="I28" s="152">
        <v>20778</v>
      </c>
      <c r="J28" s="152">
        <v>85445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153">
        <v>3900</v>
      </c>
      <c r="D29" s="153">
        <v>0</v>
      </c>
      <c r="E29" s="153">
        <v>7800</v>
      </c>
      <c r="F29" s="153">
        <v>0</v>
      </c>
      <c r="G29" s="153">
        <v>11783</v>
      </c>
      <c r="H29" s="153">
        <v>83</v>
      </c>
      <c r="I29" s="153">
        <v>16351</v>
      </c>
      <c r="J29" s="153">
        <v>751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153">
        <v>930</v>
      </c>
      <c r="D30" s="153">
        <v>21368</v>
      </c>
      <c r="E30" s="153">
        <v>2319</v>
      </c>
      <c r="F30" s="153">
        <v>41405</v>
      </c>
      <c r="G30" s="153">
        <v>3505</v>
      </c>
      <c r="H30" s="153">
        <v>62015</v>
      </c>
      <c r="I30" s="153">
        <v>4427</v>
      </c>
      <c r="J30" s="153">
        <v>84694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152">
        <v>275</v>
      </c>
      <c r="D31" s="152">
        <v>275</v>
      </c>
      <c r="E31" s="152">
        <v>344</v>
      </c>
      <c r="F31" s="152">
        <v>344</v>
      </c>
      <c r="G31" s="152">
        <v>308</v>
      </c>
      <c r="H31" s="152">
        <v>308</v>
      </c>
      <c r="I31" s="152">
        <v>501</v>
      </c>
      <c r="J31" s="152">
        <v>501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152">
        <v>7811</v>
      </c>
      <c r="D32" s="152">
        <v>7833</v>
      </c>
      <c r="E32" s="152">
        <v>15576</v>
      </c>
      <c r="F32" s="152">
        <v>15624</v>
      </c>
      <c r="G32" s="152">
        <v>24398</v>
      </c>
      <c r="H32" s="152">
        <v>24525</v>
      </c>
      <c r="I32" s="152">
        <v>34976</v>
      </c>
      <c r="J32" s="152">
        <v>35141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153">
        <v>6882</v>
      </c>
      <c r="D33" s="153">
        <v>6882</v>
      </c>
      <c r="E33" s="153">
        <v>13385</v>
      </c>
      <c r="F33" s="153">
        <v>13385</v>
      </c>
      <c r="G33" s="153">
        <v>21079</v>
      </c>
      <c r="H33" s="153">
        <v>21079</v>
      </c>
      <c r="I33" s="153">
        <v>28739</v>
      </c>
      <c r="J33" s="153">
        <v>28739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153">
        <v>929</v>
      </c>
      <c r="D34" s="153">
        <v>951</v>
      </c>
      <c r="E34" s="153">
        <v>2191</v>
      </c>
      <c r="F34" s="153">
        <v>2239</v>
      </c>
      <c r="G34" s="153">
        <v>3319</v>
      </c>
      <c r="H34" s="153">
        <v>3446</v>
      </c>
      <c r="I34" s="153">
        <v>6237</v>
      </c>
      <c r="J34" s="153">
        <v>6402</v>
      </c>
      <c r="K34" s="53"/>
      <c r="L34" s="53"/>
      <c r="M34" s="53"/>
      <c r="N34" s="53"/>
      <c r="O34" s="53"/>
    </row>
    <row r="35" spans="1:15" s="50" customFormat="1" ht="40.200000000000003" customHeight="1" x14ac:dyDescent="0.3">
      <c r="A35" s="127" t="s">
        <v>50</v>
      </c>
      <c r="B35" s="136" t="s">
        <v>14</v>
      </c>
      <c r="C35" s="152">
        <v>3549</v>
      </c>
      <c r="D35" s="152">
        <v>3576</v>
      </c>
      <c r="E35" s="152">
        <v>12465</v>
      </c>
      <c r="F35" s="152">
        <v>12522</v>
      </c>
      <c r="G35" s="152">
        <v>21098</v>
      </c>
      <c r="H35" s="152">
        <v>21181</v>
      </c>
      <c r="I35" s="152">
        <v>39516</v>
      </c>
      <c r="J35" s="152">
        <v>39629</v>
      </c>
    </row>
    <row r="36" spans="1:15" ht="40.200000000000003" customHeight="1" x14ac:dyDescent="0.3">
      <c r="A36" s="128" t="s">
        <v>51</v>
      </c>
      <c r="B36" s="129" t="s">
        <v>9</v>
      </c>
      <c r="C36" s="153">
        <v>3171</v>
      </c>
      <c r="D36" s="153">
        <v>3198</v>
      </c>
      <c r="E36" s="153">
        <v>11407</v>
      </c>
      <c r="F36" s="153">
        <v>11464</v>
      </c>
      <c r="G36" s="153">
        <v>19248</v>
      </c>
      <c r="H36" s="153">
        <v>19330</v>
      </c>
      <c r="I36" s="153">
        <v>31931</v>
      </c>
      <c r="J36" s="153">
        <v>32044</v>
      </c>
    </row>
    <row r="37" spans="1:15" ht="40.200000000000003" customHeight="1" x14ac:dyDescent="0.3">
      <c r="A37" s="137" t="s">
        <v>35</v>
      </c>
      <c r="B37" s="138" t="s">
        <v>10</v>
      </c>
      <c r="C37" s="154">
        <v>378</v>
      </c>
      <c r="D37" s="154">
        <v>378</v>
      </c>
      <c r="E37" s="154">
        <v>1058</v>
      </c>
      <c r="F37" s="154">
        <v>1058</v>
      </c>
      <c r="G37" s="154">
        <v>1850</v>
      </c>
      <c r="H37" s="154">
        <v>1851</v>
      </c>
      <c r="I37" s="154">
        <v>7585</v>
      </c>
      <c r="J37" s="154">
        <v>7585</v>
      </c>
    </row>
    <row r="38" spans="1:15" ht="21.9" customHeight="1" x14ac:dyDescent="0.3">
      <c r="A38" s="63" t="s">
        <v>67</v>
      </c>
      <c r="B38" s="64" t="s">
        <v>68</v>
      </c>
    </row>
    <row r="39" spans="1:15" ht="100.2" customHeight="1" x14ac:dyDescent="0.3">
      <c r="A39" s="60" t="s">
        <v>110</v>
      </c>
      <c r="B39" s="22" t="s">
        <v>113</v>
      </c>
    </row>
    <row r="40" spans="1:15" ht="48" customHeight="1" x14ac:dyDescent="0.3">
      <c r="A40" s="60" t="s">
        <v>84</v>
      </c>
      <c r="B40" s="223" t="s">
        <v>75</v>
      </c>
      <c r="C40" s="223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5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9">
    <mergeCell ref="B40:C40"/>
    <mergeCell ref="C2:D2"/>
    <mergeCell ref="G2:H2"/>
    <mergeCell ref="B3:B4"/>
    <mergeCell ref="I5:J6"/>
    <mergeCell ref="C3:J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37" orientation="landscape" r:id="rId1"/>
  <headerFooter alignWithMargins="0"/>
  <rowBreaks count="1" manualBreakCount="1">
    <brk id="37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I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43" customWidth="1"/>
    <col min="3" max="4" width="24.6640625" style="54" customWidth="1"/>
    <col min="5" max="10" width="24.6640625" style="44" customWidth="1"/>
    <col min="11" max="16384" width="9.109375" style="43"/>
  </cols>
  <sheetData>
    <row r="1" spans="1:61" s="1" customFormat="1" ht="83.25" customHeight="1" x14ac:dyDescent="0.25">
      <c r="A1" s="76" t="s">
        <v>102</v>
      </c>
      <c r="B1" s="77" t="s">
        <v>103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27.75" customHeight="1" x14ac:dyDescent="0.35">
      <c r="A2" s="155"/>
      <c r="B2" s="155"/>
      <c r="C2" s="235"/>
      <c r="D2" s="235"/>
      <c r="E2" s="156"/>
      <c r="F2" s="157"/>
      <c r="G2" s="235"/>
      <c r="H2" s="235"/>
      <c r="I2" s="156"/>
      <c r="J2" s="118" t="s">
        <v>52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</row>
    <row r="3" spans="1:61" s="47" customFormat="1" ht="15" customHeight="1" x14ac:dyDescent="0.35">
      <c r="A3" s="119"/>
      <c r="B3" s="213" t="s">
        <v>2</v>
      </c>
      <c r="C3" s="217" t="s">
        <v>57</v>
      </c>
      <c r="D3" s="218"/>
      <c r="E3" s="218"/>
      <c r="F3" s="218"/>
      <c r="G3" s="218"/>
      <c r="H3" s="218"/>
      <c r="I3" s="218"/>
      <c r="J3" s="219"/>
    </row>
    <row r="4" spans="1:61" s="47" customFormat="1" ht="15" customHeight="1" x14ac:dyDescent="0.35">
      <c r="A4" s="120"/>
      <c r="B4" s="214"/>
      <c r="C4" s="220"/>
      <c r="D4" s="221"/>
      <c r="E4" s="221"/>
      <c r="F4" s="221"/>
      <c r="G4" s="221"/>
      <c r="H4" s="221"/>
      <c r="I4" s="221"/>
      <c r="J4" s="222"/>
    </row>
    <row r="5" spans="1:61" s="47" customFormat="1" ht="15" customHeight="1" x14ac:dyDescent="0.35">
      <c r="A5" s="120"/>
      <c r="B5" s="120"/>
      <c r="C5" s="215" t="s">
        <v>22</v>
      </c>
      <c r="D5" s="215"/>
      <c r="E5" s="215" t="s">
        <v>24</v>
      </c>
      <c r="F5" s="215"/>
      <c r="G5" s="215" t="s">
        <v>25</v>
      </c>
      <c r="H5" s="215"/>
      <c r="I5" s="215" t="s">
        <v>26</v>
      </c>
      <c r="J5" s="215"/>
    </row>
    <row r="6" spans="1:61" s="47" customFormat="1" ht="15" customHeight="1" x14ac:dyDescent="0.35">
      <c r="A6" s="120"/>
      <c r="B6" s="120"/>
      <c r="C6" s="216"/>
      <c r="D6" s="216"/>
      <c r="E6" s="216"/>
      <c r="F6" s="216"/>
      <c r="G6" s="216"/>
      <c r="H6" s="216"/>
      <c r="I6" s="216"/>
      <c r="J6" s="216"/>
    </row>
    <row r="7" spans="1:61" s="48" customFormat="1" ht="76.5" customHeight="1" x14ac:dyDescent="0.35">
      <c r="A7" s="121"/>
      <c r="B7" s="122"/>
      <c r="C7" s="123" t="s">
        <v>3</v>
      </c>
      <c r="D7" s="87" t="s">
        <v>66</v>
      </c>
      <c r="E7" s="123" t="s">
        <v>3</v>
      </c>
      <c r="F7" s="87" t="s">
        <v>66</v>
      </c>
      <c r="G7" s="123" t="s">
        <v>3</v>
      </c>
      <c r="H7" s="87" t="s">
        <v>66</v>
      </c>
      <c r="I7" s="123" t="s">
        <v>3</v>
      </c>
      <c r="J7" s="87" t="s">
        <v>66</v>
      </c>
    </row>
    <row r="8" spans="1:61" s="50" customFormat="1" ht="40.200000000000003" customHeight="1" x14ac:dyDescent="0.3">
      <c r="A8" s="124" t="s">
        <v>58</v>
      </c>
      <c r="B8" s="125" t="s">
        <v>0</v>
      </c>
      <c r="C8" s="242">
        <v>117236</v>
      </c>
      <c r="D8" s="242">
        <v>131391</v>
      </c>
      <c r="E8" s="242">
        <v>262065</v>
      </c>
      <c r="F8" s="242">
        <v>291458</v>
      </c>
      <c r="G8" s="242">
        <v>423022</v>
      </c>
      <c r="H8" s="242">
        <v>466919</v>
      </c>
      <c r="I8" s="177">
        <v>701514</v>
      </c>
      <c r="J8" s="177">
        <v>759847</v>
      </c>
      <c r="K8" s="49"/>
      <c r="L8" s="49"/>
      <c r="M8" s="49"/>
      <c r="N8" s="49"/>
      <c r="O8" s="49"/>
    </row>
    <row r="9" spans="1:61" s="50" customFormat="1" ht="40.200000000000003" customHeight="1" x14ac:dyDescent="0.3">
      <c r="A9" s="127" t="s">
        <v>32</v>
      </c>
      <c r="B9" s="100" t="s">
        <v>90</v>
      </c>
      <c r="C9" s="243">
        <v>44874</v>
      </c>
      <c r="D9" s="243">
        <v>45375</v>
      </c>
      <c r="E9" s="243">
        <v>80094</v>
      </c>
      <c r="F9" s="243">
        <v>81116</v>
      </c>
      <c r="G9" s="243">
        <v>121905</v>
      </c>
      <c r="H9" s="243">
        <v>123515</v>
      </c>
      <c r="I9" s="177">
        <v>178589</v>
      </c>
      <c r="J9" s="177">
        <v>180829</v>
      </c>
      <c r="K9" s="49"/>
      <c r="L9" s="49"/>
      <c r="M9" s="49"/>
      <c r="N9" s="49"/>
      <c r="O9" s="49"/>
    </row>
    <row r="10" spans="1:61" s="52" customFormat="1" ht="40.200000000000003" customHeight="1" x14ac:dyDescent="0.3">
      <c r="A10" s="128" t="s">
        <v>33</v>
      </c>
      <c r="B10" s="129" t="s">
        <v>91</v>
      </c>
      <c r="C10" s="244">
        <v>36936</v>
      </c>
      <c r="D10" s="245">
        <v>37405</v>
      </c>
      <c r="E10" s="244">
        <v>66141</v>
      </c>
      <c r="F10" s="245">
        <v>67098</v>
      </c>
      <c r="G10" s="244">
        <v>100531</v>
      </c>
      <c r="H10" s="245">
        <v>102022</v>
      </c>
      <c r="I10" s="180">
        <v>146869</v>
      </c>
      <c r="J10" s="180">
        <v>148940</v>
      </c>
      <c r="K10" s="51"/>
      <c r="L10" s="51"/>
      <c r="M10" s="51"/>
      <c r="N10" s="51"/>
      <c r="O10" s="51"/>
    </row>
    <row r="11" spans="1:61" s="52" customFormat="1" ht="40.200000000000003" customHeight="1" x14ac:dyDescent="0.3">
      <c r="A11" s="128" t="s">
        <v>34</v>
      </c>
      <c r="B11" s="129" t="s">
        <v>5</v>
      </c>
      <c r="C11" s="244">
        <v>4258</v>
      </c>
      <c r="D11" s="245">
        <v>4287</v>
      </c>
      <c r="E11" s="244">
        <v>7386</v>
      </c>
      <c r="F11" s="245">
        <v>7445</v>
      </c>
      <c r="G11" s="244">
        <v>11745</v>
      </c>
      <c r="H11" s="245">
        <v>11854</v>
      </c>
      <c r="I11" s="180">
        <v>16705</v>
      </c>
      <c r="J11" s="180">
        <v>16852</v>
      </c>
      <c r="K11" s="51"/>
      <c r="L11" s="51"/>
      <c r="M11" s="51"/>
      <c r="N11" s="51"/>
      <c r="O11" s="51"/>
    </row>
    <row r="12" spans="1:61" s="52" customFormat="1" ht="40.200000000000003" customHeight="1" x14ac:dyDescent="0.3">
      <c r="A12" s="128" t="s">
        <v>35</v>
      </c>
      <c r="B12" s="129" t="s">
        <v>1</v>
      </c>
      <c r="C12" s="244">
        <v>3680</v>
      </c>
      <c r="D12" s="245">
        <v>3683</v>
      </c>
      <c r="E12" s="244">
        <v>6567</v>
      </c>
      <c r="F12" s="245">
        <v>6573</v>
      </c>
      <c r="G12" s="244">
        <v>9629</v>
      </c>
      <c r="H12" s="245">
        <v>9639</v>
      </c>
      <c r="I12" s="180">
        <v>15015</v>
      </c>
      <c r="J12" s="180">
        <v>15037</v>
      </c>
      <c r="K12" s="51"/>
      <c r="L12" s="51"/>
      <c r="M12" s="51"/>
      <c r="N12" s="51"/>
      <c r="O12" s="51"/>
    </row>
    <row r="13" spans="1:61" s="50" customFormat="1" ht="40.200000000000003" customHeight="1" x14ac:dyDescent="0.3">
      <c r="A13" s="127" t="s">
        <v>36</v>
      </c>
      <c r="B13" s="100" t="s">
        <v>12</v>
      </c>
      <c r="C13" s="243">
        <v>3503</v>
      </c>
      <c r="D13" s="243">
        <v>3580</v>
      </c>
      <c r="E13" s="243">
        <v>9652</v>
      </c>
      <c r="F13" s="243">
        <v>9819</v>
      </c>
      <c r="G13" s="243">
        <v>16090</v>
      </c>
      <c r="H13" s="243">
        <v>16307</v>
      </c>
      <c r="I13" s="177">
        <v>27248</v>
      </c>
      <c r="J13" s="177">
        <v>27556</v>
      </c>
      <c r="K13" s="49"/>
      <c r="L13" s="49"/>
      <c r="M13" s="49"/>
      <c r="N13" s="49"/>
      <c r="O13" s="49"/>
    </row>
    <row r="14" spans="1:61" s="52" customFormat="1" ht="40.200000000000003" customHeight="1" x14ac:dyDescent="0.3">
      <c r="A14" s="128" t="s">
        <v>37</v>
      </c>
      <c r="B14" s="129" t="s">
        <v>6</v>
      </c>
      <c r="C14" s="245">
        <v>1391</v>
      </c>
      <c r="D14" s="245">
        <v>1395</v>
      </c>
      <c r="E14" s="245">
        <v>3985</v>
      </c>
      <c r="F14" s="245">
        <v>3995</v>
      </c>
      <c r="G14" s="245">
        <v>7202</v>
      </c>
      <c r="H14" s="245">
        <v>7218</v>
      </c>
      <c r="I14" s="180">
        <v>12084</v>
      </c>
      <c r="J14" s="180">
        <v>12103</v>
      </c>
      <c r="K14" s="51"/>
      <c r="L14" s="51"/>
      <c r="M14" s="51"/>
      <c r="N14" s="51"/>
      <c r="O14" s="51"/>
    </row>
    <row r="15" spans="1:61" s="52" customFormat="1" ht="40.200000000000003" customHeight="1" x14ac:dyDescent="0.3">
      <c r="A15" s="128" t="s">
        <v>38</v>
      </c>
      <c r="B15" s="129" t="s">
        <v>15</v>
      </c>
      <c r="C15" s="245">
        <v>1895</v>
      </c>
      <c r="D15" s="245">
        <v>1927</v>
      </c>
      <c r="E15" s="245">
        <v>5104</v>
      </c>
      <c r="F15" s="245">
        <v>5168</v>
      </c>
      <c r="G15" s="245">
        <v>7714</v>
      </c>
      <c r="H15" s="245">
        <v>7812</v>
      </c>
      <c r="I15" s="180">
        <v>11786</v>
      </c>
      <c r="J15" s="180">
        <v>11940</v>
      </c>
      <c r="K15" s="51"/>
      <c r="L15" s="51"/>
      <c r="M15" s="51"/>
      <c r="N15" s="51"/>
      <c r="O15" s="51"/>
    </row>
    <row r="16" spans="1:61" s="52" customFormat="1" ht="40.200000000000003" customHeight="1" x14ac:dyDescent="0.3">
      <c r="A16" s="128" t="s">
        <v>35</v>
      </c>
      <c r="B16" s="129" t="s">
        <v>1</v>
      </c>
      <c r="C16" s="245">
        <v>217</v>
      </c>
      <c r="D16" s="245">
        <v>258</v>
      </c>
      <c r="E16" s="245">
        <v>563</v>
      </c>
      <c r="F16" s="245">
        <v>656</v>
      </c>
      <c r="G16" s="245">
        <v>1174</v>
      </c>
      <c r="H16" s="245">
        <v>1277</v>
      </c>
      <c r="I16" s="180">
        <v>3378</v>
      </c>
      <c r="J16" s="180">
        <v>3513</v>
      </c>
      <c r="K16" s="51"/>
      <c r="L16" s="51"/>
      <c r="M16" s="51"/>
      <c r="N16" s="51"/>
      <c r="O16" s="51"/>
    </row>
    <row r="17" spans="1:15" s="50" customFormat="1" ht="40.200000000000003" customHeight="1" x14ac:dyDescent="0.3">
      <c r="A17" s="127" t="s">
        <v>39</v>
      </c>
      <c r="B17" s="100" t="s">
        <v>62</v>
      </c>
      <c r="C17" s="243">
        <v>37373</v>
      </c>
      <c r="D17" s="243">
        <v>34769</v>
      </c>
      <c r="E17" s="243">
        <v>69555</v>
      </c>
      <c r="F17" s="243">
        <v>64598</v>
      </c>
      <c r="G17" s="243">
        <v>113777</v>
      </c>
      <c r="H17" s="243">
        <v>106015</v>
      </c>
      <c r="I17" s="177">
        <v>173150</v>
      </c>
      <c r="J17" s="177">
        <v>159330</v>
      </c>
      <c r="K17" s="49"/>
      <c r="L17" s="49"/>
      <c r="M17" s="49"/>
      <c r="N17" s="49"/>
      <c r="O17" s="49"/>
    </row>
    <row r="18" spans="1:15" s="52" customFormat="1" ht="40.200000000000003" customHeight="1" x14ac:dyDescent="0.3">
      <c r="A18" s="189" t="s">
        <v>94</v>
      </c>
      <c r="B18" s="102" t="s">
        <v>95</v>
      </c>
      <c r="C18" s="246">
        <v>36204</v>
      </c>
      <c r="D18" s="246">
        <v>33600</v>
      </c>
      <c r="E18" s="246">
        <v>67188</v>
      </c>
      <c r="F18" s="246">
        <v>62231</v>
      </c>
      <c r="G18" s="246">
        <v>110076</v>
      </c>
      <c r="H18" s="246">
        <v>102314</v>
      </c>
      <c r="I18" s="183">
        <v>168154</v>
      </c>
      <c r="J18" s="183">
        <v>154334</v>
      </c>
      <c r="K18" s="51"/>
      <c r="L18" s="51"/>
      <c r="M18" s="51"/>
      <c r="N18" s="51"/>
      <c r="O18" s="51"/>
    </row>
    <row r="19" spans="1:15" ht="40.200000000000003" customHeight="1" x14ac:dyDescent="0.3">
      <c r="A19" s="131" t="s">
        <v>40</v>
      </c>
      <c r="B19" s="105" t="s">
        <v>21</v>
      </c>
      <c r="C19" s="245">
        <v>4471</v>
      </c>
      <c r="D19" s="245">
        <v>0</v>
      </c>
      <c r="E19" s="245">
        <v>9648</v>
      </c>
      <c r="F19" s="245">
        <v>0</v>
      </c>
      <c r="G19" s="245">
        <v>15495</v>
      </c>
      <c r="H19" s="245">
        <v>0</v>
      </c>
      <c r="I19" s="180">
        <v>24481</v>
      </c>
      <c r="J19" s="180">
        <v>0</v>
      </c>
      <c r="K19" s="53"/>
      <c r="L19" s="53"/>
      <c r="M19" s="53"/>
      <c r="N19" s="53"/>
      <c r="O19" s="53"/>
    </row>
    <row r="20" spans="1:15" ht="40.200000000000003" customHeight="1" x14ac:dyDescent="0.3">
      <c r="A20" s="131" t="s">
        <v>35</v>
      </c>
      <c r="B20" s="105" t="s">
        <v>7</v>
      </c>
      <c r="C20" s="245">
        <v>31733</v>
      </c>
      <c r="D20" s="245">
        <v>33600</v>
      </c>
      <c r="E20" s="245">
        <v>57540</v>
      </c>
      <c r="F20" s="245">
        <v>62231</v>
      </c>
      <c r="G20" s="245">
        <v>94581</v>
      </c>
      <c r="H20" s="245">
        <v>102314</v>
      </c>
      <c r="I20" s="180">
        <v>143673</v>
      </c>
      <c r="J20" s="180">
        <v>154334</v>
      </c>
      <c r="K20" s="53"/>
      <c r="L20" s="53"/>
      <c r="M20" s="53"/>
      <c r="N20" s="53"/>
      <c r="O20" s="53"/>
    </row>
    <row r="21" spans="1:15" s="52" customFormat="1" ht="40.200000000000003" customHeight="1" x14ac:dyDescent="0.3">
      <c r="A21" s="189" t="s">
        <v>41</v>
      </c>
      <c r="B21" s="102" t="s">
        <v>63</v>
      </c>
      <c r="C21" s="247">
        <v>1169</v>
      </c>
      <c r="D21" s="247">
        <v>1169</v>
      </c>
      <c r="E21" s="247">
        <v>2367</v>
      </c>
      <c r="F21" s="247">
        <v>2367</v>
      </c>
      <c r="G21" s="247">
        <v>3701</v>
      </c>
      <c r="H21" s="247">
        <v>3701</v>
      </c>
      <c r="I21" s="183">
        <v>4996</v>
      </c>
      <c r="J21" s="183">
        <v>4996</v>
      </c>
      <c r="K21" s="51"/>
      <c r="L21" s="51"/>
      <c r="M21" s="51"/>
      <c r="N21" s="51"/>
      <c r="O21" s="51"/>
    </row>
    <row r="22" spans="1:15" s="50" customFormat="1" ht="40.200000000000003" customHeight="1" x14ac:dyDescent="0.3">
      <c r="A22" s="132" t="s">
        <v>42</v>
      </c>
      <c r="B22" s="100" t="s">
        <v>13</v>
      </c>
      <c r="C22" s="243">
        <v>19755</v>
      </c>
      <c r="D22" s="243">
        <v>35910</v>
      </c>
      <c r="E22" s="243">
        <v>70181</v>
      </c>
      <c r="F22" s="243">
        <v>103301</v>
      </c>
      <c r="G22" s="243">
        <v>118205</v>
      </c>
      <c r="H22" s="243">
        <v>167897</v>
      </c>
      <c r="I22" s="177">
        <v>228578</v>
      </c>
      <c r="J22" s="177">
        <v>298002</v>
      </c>
      <c r="K22" s="49"/>
      <c r="L22" s="49"/>
      <c r="M22" s="49"/>
      <c r="N22" s="49"/>
      <c r="O22" s="49"/>
    </row>
    <row r="23" spans="1:15" s="50" customFormat="1" ht="40.200000000000003" customHeight="1" x14ac:dyDescent="0.3">
      <c r="A23" s="133" t="s">
        <v>43</v>
      </c>
      <c r="B23" s="134" t="s">
        <v>54</v>
      </c>
      <c r="C23" s="243">
        <v>7796</v>
      </c>
      <c r="D23" s="243">
        <v>7796</v>
      </c>
      <c r="E23" s="243">
        <v>47965</v>
      </c>
      <c r="F23" s="243">
        <v>47965</v>
      </c>
      <c r="G23" s="243">
        <v>85202</v>
      </c>
      <c r="H23" s="243">
        <v>85202</v>
      </c>
      <c r="I23" s="177">
        <v>187658</v>
      </c>
      <c r="J23" s="177">
        <v>187658</v>
      </c>
      <c r="K23" s="49"/>
      <c r="L23" s="49"/>
      <c r="M23" s="49"/>
      <c r="N23" s="49"/>
      <c r="O23" s="49"/>
    </row>
    <row r="24" spans="1:15" ht="40.200000000000003" customHeight="1" x14ac:dyDescent="0.3">
      <c r="A24" s="131" t="s">
        <v>44</v>
      </c>
      <c r="B24" s="105" t="s">
        <v>17</v>
      </c>
      <c r="C24" s="245">
        <v>0</v>
      </c>
      <c r="D24" s="245">
        <v>0</v>
      </c>
      <c r="E24" s="245">
        <v>24900</v>
      </c>
      <c r="F24" s="245">
        <v>24900</v>
      </c>
      <c r="G24" s="245">
        <v>49800</v>
      </c>
      <c r="H24" s="245">
        <v>49800</v>
      </c>
      <c r="I24" s="180">
        <v>126180</v>
      </c>
      <c r="J24" s="180">
        <v>126180</v>
      </c>
      <c r="K24" s="53"/>
      <c r="L24" s="53"/>
      <c r="M24" s="53"/>
      <c r="N24" s="53"/>
      <c r="O24" s="53"/>
    </row>
    <row r="25" spans="1:15" ht="40.200000000000003" customHeight="1" x14ac:dyDescent="0.3">
      <c r="A25" s="131" t="s">
        <v>45</v>
      </c>
      <c r="B25" s="105" t="s">
        <v>16</v>
      </c>
      <c r="C25" s="248">
        <v>2393</v>
      </c>
      <c r="D25" s="248">
        <v>2393</v>
      </c>
      <c r="E25" s="248">
        <v>10998</v>
      </c>
      <c r="F25" s="248">
        <v>10998</v>
      </c>
      <c r="G25" s="248">
        <v>16321</v>
      </c>
      <c r="H25" s="248">
        <v>16321</v>
      </c>
      <c r="I25" s="180">
        <v>35493</v>
      </c>
      <c r="J25" s="180">
        <v>35493</v>
      </c>
      <c r="M25" s="53"/>
      <c r="N25" s="53"/>
      <c r="O25" s="53"/>
    </row>
    <row r="26" spans="1:15" ht="40.200000000000003" customHeight="1" x14ac:dyDescent="0.3">
      <c r="A26" s="131" t="s">
        <v>35</v>
      </c>
      <c r="B26" s="105" t="s">
        <v>18</v>
      </c>
      <c r="C26" s="245">
        <v>5403</v>
      </c>
      <c r="D26" s="245">
        <v>5403</v>
      </c>
      <c r="E26" s="245">
        <v>12067</v>
      </c>
      <c r="F26" s="245">
        <v>12067</v>
      </c>
      <c r="G26" s="245">
        <v>19081</v>
      </c>
      <c r="H26" s="245">
        <v>19081</v>
      </c>
      <c r="I26" s="180">
        <v>25985</v>
      </c>
      <c r="J26" s="180">
        <v>25985</v>
      </c>
      <c r="K26" s="53"/>
      <c r="L26" s="53"/>
      <c r="M26" s="53"/>
      <c r="N26" s="53"/>
      <c r="O26" s="53"/>
    </row>
    <row r="27" spans="1:15" s="50" customFormat="1" ht="40.200000000000003" customHeight="1" x14ac:dyDescent="0.3">
      <c r="A27" s="133" t="s">
        <v>46</v>
      </c>
      <c r="B27" s="134" t="s">
        <v>55</v>
      </c>
      <c r="C27" s="249">
        <v>935</v>
      </c>
      <c r="D27" s="249">
        <v>935</v>
      </c>
      <c r="E27" s="249">
        <v>2321</v>
      </c>
      <c r="F27" s="249">
        <v>2321</v>
      </c>
      <c r="G27" s="249">
        <v>4216</v>
      </c>
      <c r="H27" s="249">
        <v>4216</v>
      </c>
      <c r="I27" s="177">
        <v>5190</v>
      </c>
      <c r="J27" s="177">
        <v>5190</v>
      </c>
      <c r="K27" s="49"/>
      <c r="L27" s="49"/>
      <c r="M27" s="49"/>
      <c r="N27" s="49"/>
      <c r="O27" s="49"/>
    </row>
    <row r="28" spans="1:15" s="50" customFormat="1" ht="40.200000000000003" customHeight="1" x14ac:dyDescent="0.3">
      <c r="A28" s="135" t="s">
        <v>104</v>
      </c>
      <c r="B28" s="134" t="s">
        <v>56</v>
      </c>
      <c r="C28" s="243">
        <v>10808</v>
      </c>
      <c r="D28" s="243">
        <v>26963</v>
      </c>
      <c r="E28" s="243">
        <v>19640</v>
      </c>
      <c r="F28" s="243">
        <v>52760</v>
      </c>
      <c r="G28" s="243">
        <v>28489</v>
      </c>
      <c r="H28" s="243">
        <v>78181</v>
      </c>
      <c r="I28" s="177">
        <v>35200</v>
      </c>
      <c r="J28" s="177">
        <v>104624</v>
      </c>
      <c r="K28" s="49"/>
      <c r="L28" s="49"/>
      <c r="M28" s="49"/>
      <c r="N28" s="49"/>
      <c r="O28" s="49"/>
    </row>
    <row r="29" spans="1:15" ht="40.200000000000003" customHeight="1" x14ac:dyDescent="0.3">
      <c r="A29" s="131" t="s">
        <v>47</v>
      </c>
      <c r="B29" s="105" t="s">
        <v>19</v>
      </c>
      <c r="C29" s="245">
        <v>9734</v>
      </c>
      <c r="D29" s="245">
        <v>2434</v>
      </c>
      <c r="E29" s="245">
        <v>17034</v>
      </c>
      <c r="F29" s="245">
        <v>2434</v>
      </c>
      <c r="G29" s="245">
        <v>24334</v>
      </c>
      <c r="H29" s="245">
        <v>2433</v>
      </c>
      <c r="I29" s="180">
        <v>29200</v>
      </c>
      <c r="J29" s="180">
        <v>0</v>
      </c>
      <c r="K29" s="53"/>
      <c r="L29" s="53"/>
      <c r="M29" s="53"/>
      <c r="N29" s="53"/>
      <c r="O29" s="53"/>
    </row>
    <row r="30" spans="1:15" ht="40.200000000000003" customHeight="1" x14ac:dyDescent="0.3">
      <c r="A30" s="131" t="s">
        <v>35</v>
      </c>
      <c r="B30" s="105" t="s">
        <v>20</v>
      </c>
      <c r="C30" s="245">
        <v>1074</v>
      </c>
      <c r="D30" s="245">
        <v>24529</v>
      </c>
      <c r="E30" s="245">
        <v>2606</v>
      </c>
      <c r="F30" s="245">
        <v>50326</v>
      </c>
      <c r="G30" s="245">
        <v>4155</v>
      </c>
      <c r="H30" s="245">
        <v>75748</v>
      </c>
      <c r="I30" s="180">
        <v>6000</v>
      </c>
      <c r="J30" s="180">
        <v>104624</v>
      </c>
      <c r="K30" s="53"/>
      <c r="L30" s="53"/>
      <c r="M30" s="53"/>
      <c r="N30" s="53"/>
      <c r="O30" s="53"/>
    </row>
    <row r="31" spans="1:15" s="50" customFormat="1" ht="40.200000000000003" customHeight="1" x14ac:dyDescent="0.3">
      <c r="A31" s="133" t="s">
        <v>48</v>
      </c>
      <c r="B31" s="102" t="s">
        <v>119</v>
      </c>
      <c r="C31" s="249">
        <v>216</v>
      </c>
      <c r="D31" s="249">
        <v>216</v>
      </c>
      <c r="E31" s="249">
        <v>255</v>
      </c>
      <c r="F31" s="249">
        <v>255</v>
      </c>
      <c r="G31" s="249">
        <v>298</v>
      </c>
      <c r="H31" s="249">
        <v>298</v>
      </c>
      <c r="I31" s="177">
        <v>530</v>
      </c>
      <c r="J31" s="177">
        <v>530</v>
      </c>
      <c r="K31" s="49"/>
      <c r="L31" s="49"/>
      <c r="M31" s="49"/>
      <c r="N31" s="49"/>
      <c r="O31" s="49"/>
    </row>
    <row r="32" spans="1:15" s="50" customFormat="1" ht="40.200000000000003" customHeight="1" x14ac:dyDescent="0.3">
      <c r="A32" s="127" t="s">
        <v>59</v>
      </c>
      <c r="B32" s="100" t="s">
        <v>11</v>
      </c>
      <c r="C32" s="243">
        <v>8130</v>
      </c>
      <c r="D32" s="243">
        <v>8152</v>
      </c>
      <c r="E32" s="243">
        <v>17920</v>
      </c>
      <c r="F32" s="243">
        <v>17953</v>
      </c>
      <c r="G32" s="243">
        <v>26365</v>
      </c>
      <c r="H32" s="243">
        <v>26485</v>
      </c>
      <c r="I32" s="177">
        <v>41067</v>
      </c>
      <c r="J32" s="177">
        <v>41209</v>
      </c>
      <c r="K32" s="49"/>
      <c r="L32" s="49"/>
      <c r="M32" s="49"/>
      <c r="N32" s="49"/>
      <c r="O32" s="49"/>
    </row>
    <row r="33" spans="1:15" ht="40.200000000000003" customHeight="1" x14ac:dyDescent="0.3">
      <c r="A33" s="128" t="s">
        <v>49</v>
      </c>
      <c r="B33" s="129" t="s">
        <v>4</v>
      </c>
      <c r="C33" s="245">
        <v>7191</v>
      </c>
      <c r="D33" s="245">
        <v>7191</v>
      </c>
      <c r="E33" s="245">
        <v>15202</v>
      </c>
      <c r="F33" s="245">
        <v>15202</v>
      </c>
      <c r="G33" s="245">
        <v>21537</v>
      </c>
      <c r="H33" s="245">
        <v>21537</v>
      </c>
      <c r="I33" s="180">
        <v>31844</v>
      </c>
      <c r="J33" s="180">
        <v>31844</v>
      </c>
      <c r="K33" s="53"/>
      <c r="L33" s="53"/>
      <c r="M33" s="53"/>
      <c r="N33" s="53"/>
      <c r="O33" s="53"/>
    </row>
    <row r="34" spans="1:15" ht="40.200000000000003" customHeight="1" x14ac:dyDescent="0.3">
      <c r="A34" s="128" t="s">
        <v>35</v>
      </c>
      <c r="B34" s="129" t="s">
        <v>8</v>
      </c>
      <c r="C34" s="245">
        <v>939</v>
      </c>
      <c r="D34" s="245">
        <v>961</v>
      </c>
      <c r="E34" s="245">
        <v>2718</v>
      </c>
      <c r="F34" s="245">
        <v>2751</v>
      </c>
      <c r="G34" s="245">
        <v>4828</v>
      </c>
      <c r="H34" s="245">
        <v>4948</v>
      </c>
      <c r="I34" s="180">
        <v>9223</v>
      </c>
      <c r="J34" s="180">
        <v>9365</v>
      </c>
      <c r="K34" s="53"/>
      <c r="L34" s="53"/>
      <c r="M34" s="53"/>
      <c r="N34" s="53"/>
      <c r="O34" s="53"/>
    </row>
    <row r="35" spans="1:15" s="50" customFormat="1" ht="40.200000000000003" customHeight="1" x14ac:dyDescent="0.3">
      <c r="A35" s="127" t="s">
        <v>50</v>
      </c>
      <c r="B35" s="136" t="s">
        <v>14</v>
      </c>
      <c r="C35" s="243">
        <v>3601</v>
      </c>
      <c r="D35" s="243">
        <v>3605</v>
      </c>
      <c r="E35" s="243">
        <v>14663</v>
      </c>
      <c r="F35" s="243">
        <v>14671</v>
      </c>
      <c r="G35" s="243">
        <v>26680</v>
      </c>
      <c r="H35" s="243">
        <v>26700</v>
      </c>
      <c r="I35" s="177">
        <v>52882</v>
      </c>
      <c r="J35" s="177">
        <v>52921</v>
      </c>
    </row>
    <row r="36" spans="1:15" ht="40.200000000000003" customHeight="1" x14ac:dyDescent="0.3">
      <c r="A36" s="128" t="s">
        <v>51</v>
      </c>
      <c r="B36" s="129" t="s">
        <v>9</v>
      </c>
      <c r="C36" s="245">
        <v>3383</v>
      </c>
      <c r="D36" s="245">
        <v>3387</v>
      </c>
      <c r="E36" s="245">
        <v>13633</v>
      </c>
      <c r="F36" s="245">
        <v>13641</v>
      </c>
      <c r="G36" s="245">
        <v>24477</v>
      </c>
      <c r="H36" s="245">
        <v>24497</v>
      </c>
      <c r="I36" s="180">
        <v>38437</v>
      </c>
      <c r="J36" s="180">
        <v>38476</v>
      </c>
    </row>
    <row r="37" spans="1:15" ht="40.200000000000003" customHeight="1" x14ac:dyDescent="0.3">
      <c r="A37" s="137" t="s">
        <v>35</v>
      </c>
      <c r="B37" s="138" t="s">
        <v>10</v>
      </c>
      <c r="C37" s="250">
        <v>218</v>
      </c>
      <c r="D37" s="250">
        <v>218</v>
      </c>
      <c r="E37" s="250">
        <v>1030</v>
      </c>
      <c r="F37" s="250">
        <v>1030</v>
      </c>
      <c r="G37" s="250">
        <v>2203</v>
      </c>
      <c r="H37" s="250">
        <v>2203</v>
      </c>
      <c r="I37" s="187">
        <v>14445</v>
      </c>
      <c r="J37" s="187">
        <v>14445</v>
      </c>
    </row>
    <row r="38" spans="1:15" ht="21.9" customHeight="1" x14ac:dyDescent="0.3">
      <c r="A38" s="63" t="s">
        <v>67</v>
      </c>
      <c r="B38" s="64" t="s">
        <v>68</v>
      </c>
    </row>
    <row r="39" spans="1:15" ht="110.25" customHeight="1" x14ac:dyDescent="0.3">
      <c r="A39" s="60" t="s">
        <v>110</v>
      </c>
      <c r="B39" s="22" t="s">
        <v>109</v>
      </c>
    </row>
    <row r="40" spans="1:15" ht="52.95" customHeight="1" x14ac:dyDescent="0.3">
      <c r="A40" s="60" t="s">
        <v>82</v>
      </c>
      <c r="B40" s="223" t="s">
        <v>83</v>
      </c>
      <c r="C40" s="223"/>
    </row>
    <row r="41" spans="1:15" ht="21.9" customHeight="1" x14ac:dyDescent="0.3"/>
    <row r="42" spans="1:15" ht="21.9" customHeight="1" x14ac:dyDescent="0.3">
      <c r="B42" s="57"/>
      <c r="C42" s="57"/>
      <c r="D42" s="57"/>
      <c r="E42" s="57"/>
      <c r="F42" s="57"/>
      <c r="G42" s="55"/>
    </row>
    <row r="43" spans="1:15" ht="21.9" customHeight="1" x14ac:dyDescent="0.3"/>
    <row r="44" spans="1:15" ht="21.9" customHeight="1" x14ac:dyDescent="0.3"/>
    <row r="45" spans="1:15" ht="21.9" customHeight="1" x14ac:dyDescent="0.3"/>
    <row r="46" spans="1:15" ht="21.9" customHeight="1" x14ac:dyDescent="0.3"/>
    <row r="47" spans="1:15" ht="21.9" customHeight="1" x14ac:dyDescent="0.3"/>
    <row r="48" spans="1:15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9">
    <mergeCell ref="B40:C40"/>
    <mergeCell ref="C2:D2"/>
    <mergeCell ref="G2:H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37" orientation="landscape" r:id="rId1"/>
  <headerFooter alignWithMargins="0"/>
  <rowBreaks count="1" manualBreakCount="1">
    <brk id="37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G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9" customWidth="1"/>
    <col min="3" max="4" width="24.6640625" style="33" customWidth="1"/>
    <col min="5" max="8" width="24.6640625" style="10" customWidth="1"/>
    <col min="9" max="10" width="24.6640625" style="9" customWidth="1"/>
    <col min="11" max="16384" width="9.109375" style="9"/>
  </cols>
  <sheetData>
    <row r="1" spans="1:59" s="14" customFormat="1" ht="64.5" customHeight="1" x14ac:dyDescent="0.25">
      <c r="A1" s="76" t="s">
        <v>102</v>
      </c>
      <c r="B1" s="77" t="s">
        <v>103</v>
      </c>
      <c r="C1" s="23"/>
      <c r="D1" s="23"/>
      <c r="E1" s="23"/>
      <c r="F1" s="23"/>
      <c r="G1" s="23"/>
      <c r="H1" s="23"/>
      <c r="I1" s="25"/>
      <c r="J1" s="25"/>
      <c r="K1" s="23"/>
      <c r="L1" s="23"/>
      <c r="M1" s="23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spans="1:59" ht="27.75" customHeight="1" x14ac:dyDescent="0.35">
      <c r="A2" s="158"/>
      <c r="B2" s="158"/>
      <c r="C2" s="236"/>
      <c r="D2" s="236"/>
      <c r="E2" s="159"/>
      <c r="F2" s="160"/>
      <c r="G2" s="161"/>
      <c r="H2" s="159"/>
      <c r="I2" s="162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9" s="20" customFormat="1" ht="15" customHeight="1" x14ac:dyDescent="0.35">
      <c r="A3" s="83"/>
      <c r="B3" s="224" t="s">
        <v>2</v>
      </c>
      <c r="C3" s="226" t="s">
        <v>60</v>
      </c>
      <c r="D3" s="227"/>
      <c r="E3" s="227"/>
      <c r="F3" s="227"/>
      <c r="G3" s="227"/>
      <c r="H3" s="227"/>
      <c r="I3" s="227"/>
      <c r="J3" s="228"/>
    </row>
    <row r="4" spans="1:59" s="20" customFormat="1" ht="1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9" s="20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2"/>
      <c r="I5" s="215" t="s">
        <v>26</v>
      </c>
      <c r="J5" s="215"/>
    </row>
    <row r="6" spans="1:59" s="20" customFormat="1" ht="15" customHeight="1" x14ac:dyDescent="0.35">
      <c r="A6" s="84"/>
      <c r="B6" s="84"/>
      <c r="C6" s="233"/>
      <c r="D6" s="233"/>
      <c r="E6" s="233"/>
      <c r="F6" s="233"/>
      <c r="G6" s="233"/>
      <c r="H6" s="233"/>
      <c r="I6" s="216"/>
      <c r="J6" s="216"/>
    </row>
    <row r="7" spans="1:59" s="21" customFormat="1" ht="76.5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9" s="19" customFormat="1" ht="40.200000000000003" customHeight="1" x14ac:dyDescent="0.3">
      <c r="A8" s="124" t="s">
        <v>58</v>
      </c>
      <c r="B8" s="125" t="s">
        <v>0</v>
      </c>
      <c r="C8" s="242">
        <v>140915</v>
      </c>
      <c r="D8" s="242">
        <v>162006</v>
      </c>
      <c r="E8" s="242">
        <v>287429</v>
      </c>
      <c r="F8" s="242">
        <v>326879</v>
      </c>
      <c r="G8" s="242">
        <v>490646</v>
      </c>
      <c r="H8" s="242">
        <v>548515</v>
      </c>
      <c r="I8" s="242">
        <v>733350</v>
      </c>
      <c r="J8" s="242">
        <v>805929</v>
      </c>
      <c r="K8" s="18"/>
      <c r="L8" s="18"/>
      <c r="M8" s="18"/>
    </row>
    <row r="9" spans="1:59" s="19" customFormat="1" ht="40.200000000000003" customHeight="1" x14ac:dyDescent="0.3">
      <c r="A9" s="127" t="s">
        <v>32</v>
      </c>
      <c r="B9" s="100" t="s">
        <v>90</v>
      </c>
      <c r="C9" s="243">
        <v>52562</v>
      </c>
      <c r="D9" s="243">
        <v>53117</v>
      </c>
      <c r="E9" s="243">
        <v>97350</v>
      </c>
      <c r="F9" s="243">
        <v>98470</v>
      </c>
      <c r="G9" s="243">
        <v>143300</v>
      </c>
      <c r="H9" s="243">
        <v>145058</v>
      </c>
      <c r="I9" s="243">
        <v>198468</v>
      </c>
      <c r="J9" s="243">
        <v>200933</v>
      </c>
      <c r="K9" s="18"/>
      <c r="L9" s="18"/>
      <c r="M9" s="18"/>
    </row>
    <row r="10" spans="1:59" s="13" customFormat="1" ht="40.200000000000003" customHeight="1" x14ac:dyDescent="0.3">
      <c r="A10" s="128" t="s">
        <v>33</v>
      </c>
      <c r="B10" s="129" t="s">
        <v>91</v>
      </c>
      <c r="C10" s="244">
        <v>43485</v>
      </c>
      <c r="D10" s="245">
        <v>44003</v>
      </c>
      <c r="E10" s="244">
        <v>80189</v>
      </c>
      <c r="F10" s="245">
        <v>81238</v>
      </c>
      <c r="G10" s="245">
        <v>117908</v>
      </c>
      <c r="H10" s="245">
        <v>119536</v>
      </c>
      <c r="I10" s="245">
        <v>162311</v>
      </c>
      <c r="J10" s="245">
        <v>164597</v>
      </c>
      <c r="K10" s="12"/>
      <c r="L10" s="12"/>
      <c r="M10" s="12"/>
    </row>
    <row r="11" spans="1:59" s="13" customFormat="1" ht="40.200000000000003" customHeight="1" x14ac:dyDescent="0.3">
      <c r="A11" s="128" t="s">
        <v>34</v>
      </c>
      <c r="B11" s="129" t="s">
        <v>5</v>
      </c>
      <c r="C11" s="244">
        <v>4841</v>
      </c>
      <c r="D11" s="245">
        <v>4874</v>
      </c>
      <c r="E11" s="244">
        <v>9107</v>
      </c>
      <c r="F11" s="245">
        <v>9172</v>
      </c>
      <c r="G11" s="245">
        <v>13829</v>
      </c>
      <c r="H11" s="245">
        <v>13949</v>
      </c>
      <c r="I11" s="245">
        <v>18997</v>
      </c>
      <c r="J11" s="245">
        <v>19159</v>
      </c>
      <c r="K11" s="12"/>
      <c r="L11" s="12"/>
      <c r="M11" s="12"/>
    </row>
    <row r="12" spans="1:59" s="13" customFormat="1" ht="40.200000000000003" customHeight="1" x14ac:dyDescent="0.3">
      <c r="A12" s="128" t="s">
        <v>35</v>
      </c>
      <c r="B12" s="129" t="s">
        <v>1</v>
      </c>
      <c r="C12" s="244">
        <v>4236</v>
      </c>
      <c r="D12" s="245">
        <v>4240</v>
      </c>
      <c r="E12" s="244">
        <v>8054</v>
      </c>
      <c r="F12" s="245">
        <v>8060</v>
      </c>
      <c r="G12" s="245">
        <v>11563</v>
      </c>
      <c r="H12" s="245">
        <v>11573</v>
      </c>
      <c r="I12" s="245">
        <v>17160</v>
      </c>
      <c r="J12" s="245">
        <v>17177</v>
      </c>
      <c r="K12" s="12"/>
      <c r="L12" s="12"/>
      <c r="M12" s="12"/>
    </row>
    <row r="13" spans="1:59" s="19" customFormat="1" ht="40.200000000000003" customHeight="1" x14ac:dyDescent="0.3">
      <c r="A13" s="127" t="s">
        <v>36</v>
      </c>
      <c r="B13" s="100" t="s">
        <v>12</v>
      </c>
      <c r="C13" s="243">
        <v>4028</v>
      </c>
      <c r="D13" s="243">
        <v>4120</v>
      </c>
      <c r="E13" s="243">
        <v>11415</v>
      </c>
      <c r="F13" s="243">
        <v>11560</v>
      </c>
      <c r="G13" s="243">
        <v>18763</v>
      </c>
      <c r="H13" s="243">
        <v>18972</v>
      </c>
      <c r="I13" s="243">
        <v>31276</v>
      </c>
      <c r="J13" s="243">
        <v>31580</v>
      </c>
      <c r="K13" s="18"/>
      <c r="L13" s="18"/>
      <c r="M13" s="18"/>
    </row>
    <row r="14" spans="1:59" s="13" customFormat="1" ht="40.200000000000003" customHeight="1" x14ac:dyDescent="0.3">
      <c r="A14" s="128" t="s">
        <v>37</v>
      </c>
      <c r="B14" s="129" t="s">
        <v>6</v>
      </c>
      <c r="C14" s="245">
        <v>1611</v>
      </c>
      <c r="D14" s="245">
        <v>1614</v>
      </c>
      <c r="E14" s="245">
        <v>5154</v>
      </c>
      <c r="F14" s="245">
        <v>5162</v>
      </c>
      <c r="G14" s="245">
        <v>8525</v>
      </c>
      <c r="H14" s="245">
        <v>8542</v>
      </c>
      <c r="I14" s="245">
        <v>14448</v>
      </c>
      <c r="J14" s="245">
        <v>14474</v>
      </c>
      <c r="K14" s="12"/>
      <c r="L14" s="12"/>
      <c r="M14" s="12"/>
    </row>
    <row r="15" spans="1:59" s="13" customFormat="1" ht="40.200000000000003" customHeight="1" x14ac:dyDescent="0.3">
      <c r="A15" s="128" t="s">
        <v>38</v>
      </c>
      <c r="B15" s="129" t="s">
        <v>15</v>
      </c>
      <c r="C15" s="245">
        <v>2152</v>
      </c>
      <c r="D15" s="245">
        <v>2185</v>
      </c>
      <c r="E15" s="245">
        <v>5546</v>
      </c>
      <c r="F15" s="245">
        <v>5616</v>
      </c>
      <c r="G15" s="245">
        <v>8907</v>
      </c>
      <c r="H15" s="245">
        <v>9021</v>
      </c>
      <c r="I15" s="245">
        <v>13549</v>
      </c>
      <c r="J15" s="245">
        <v>13721</v>
      </c>
      <c r="K15" s="12"/>
      <c r="L15" s="12"/>
      <c r="M15" s="12"/>
    </row>
    <row r="16" spans="1:59" s="13" customFormat="1" ht="40.200000000000003" customHeight="1" x14ac:dyDescent="0.3">
      <c r="A16" s="128" t="s">
        <v>35</v>
      </c>
      <c r="B16" s="129" t="s">
        <v>1</v>
      </c>
      <c r="C16" s="245">
        <v>265</v>
      </c>
      <c r="D16" s="245">
        <v>321</v>
      </c>
      <c r="E16" s="245">
        <v>715</v>
      </c>
      <c r="F16" s="245">
        <v>782</v>
      </c>
      <c r="G16" s="245">
        <v>1331</v>
      </c>
      <c r="H16" s="245">
        <v>1409</v>
      </c>
      <c r="I16" s="245">
        <v>3279</v>
      </c>
      <c r="J16" s="245">
        <v>3385</v>
      </c>
      <c r="K16" s="12"/>
      <c r="L16" s="12"/>
      <c r="M16" s="12"/>
    </row>
    <row r="17" spans="1:13" s="19" customFormat="1" ht="40.200000000000003" customHeight="1" x14ac:dyDescent="0.3">
      <c r="A17" s="127" t="s">
        <v>39</v>
      </c>
      <c r="B17" s="100" t="s">
        <v>62</v>
      </c>
      <c r="C17" s="243">
        <v>42710</v>
      </c>
      <c r="D17" s="243">
        <v>40109</v>
      </c>
      <c r="E17" s="243">
        <v>79916</v>
      </c>
      <c r="F17" s="243">
        <v>74723</v>
      </c>
      <c r="G17" s="243">
        <v>127087</v>
      </c>
      <c r="H17" s="243">
        <v>117837</v>
      </c>
      <c r="I17" s="243">
        <v>193008</v>
      </c>
      <c r="J17" s="243">
        <v>179035</v>
      </c>
      <c r="K17" s="18"/>
      <c r="L17" s="18"/>
      <c r="M17" s="18"/>
    </row>
    <row r="18" spans="1:13" s="13" customFormat="1" ht="40.200000000000003" customHeight="1" x14ac:dyDescent="0.3">
      <c r="A18" s="189" t="s">
        <v>94</v>
      </c>
      <c r="B18" s="102" t="s">
        <v>95</v>
      </c>
      <c r="C18" s="246">
        <v>41429</v>
      </c>
      <c r="D18" s="246">
        <v>38828</v>
      </c>
      <c r="E18" s="246">
        <v>77295</v>
      </c>
      <c r="F18" s="246">
        <v>72102</v>
      </c>
      <c r="G18" s="246">
        <v>123294</v>
      </c>
      <c r="H18" s="246">
        <v>114044</v>
      </c>
      <c r="I18" s="246">
        <v>188308</v>
      </c>
      <c r="J18" s="246">
        <v>174335</v>
      </c>
      <c r="K18" s="12"/>
      <c r="L18" s="12"/>
      <c r="M18" s="12"/>
    </row>
    <row r="19" spans="1:13" ht="40.200000000000003" customHeight="1" x14ac:dyDescent="0.3">
      <c r="A19" s="131" t="s">
        <v>40</v>
      </c>
      <c r="B19" s="105" t="s">
        <v>21</v>
      </c>
      <c r="C19" s="245">
        <v>4586</v>
      </c>
      <c r="D19" s="245">
        <v>0</v>
      </c>
      <c r="E19" s="245">
        <v>10089</v>
      </c>
      <c r="F19" s="245">
        <v>0</v>
      </c>
      <c r="G19" s="245">
        <v>17277</v>
      </c>
      <c r="H19" s="245">
        <v>0</v>
      </c>
      <c r="I19" s="245">
        <v>26038</v>
      </c>
      <c r="J19" s="245">
        <v>0</v>
      </c>
      <c r="K19" s="11"/>
      <c r="L19" s="11"/>
      <c r="M19" s="11"/>
    </row>
    <row r="20" spans="1:13" ht="40.200000000000003" customHeight="1" x14ac:dyDescent="0.3">
      <c r="A20" s="131" t="s">
        <v>35</v>
      </c>
      <c r="B20" s="105" t="s">
        <v>7</v>
      </c>
      <c r="C20" s="245">
        <v>36843</v>
      </c>
      <c r="D20" s="245">
        <v>38828</v>
      </c>
      <c r="E20" s="245">
        <v>67206</v>
      </c>
      <c r="F20" s="245">
        <v>72102</v>
      </c>
      <c r="G20" s="245">
        <v>106017</v>
      </c>
      <c r="H20" s="245">
        <v>114044</v>
      </c>
      <c r="I20" s="245">
        <v>162270</v>
      </c>
      <c r="J20" s="245">
        <v>174335</v>
      </c>
      <c r="K20" s="11"/>
      <c r="L20" s="11"/>
      <c r="M20" s="11"/>
    </row>
    <row r="21" spans="1:13" s="13" customFormat="1" ht="40.200000000000003" customHeight="1" x14ac:dyDescent="0.3">
      <c r="A21" s="189" t="s">
        <v>41</v>
      </c>
      <c r="B21" s="102" t="s">
        <v>63</v>
      </c>
      <c r="C21" s="247">
        <v>1281</v>
      </c>
      <c r="D21" s="247">
        <v>1281</v>
      </c>
      <c r="E21" s="247">
        <v>2621</v>
      </c>
      <c r="F21" s="247">
        <v>2621</v>
      </c>
      <c r="G21" s="247">
        <v>3793</v>
      </c>
      <c r="H21" s="247">
        <v>3793</v>
      </c>
      <c r="I21" s="247">
        <v>4700</v>
      </c>
      <c r="J21" s="247">
        <v>4700</v>
      </c>
      <c r="K21" s="12"/>
      <c r="L21" s="12"/>
      <c r="M21" s="12"/>
    </row>
    <row r="22" spans="1:13" s="19" customFormat="1" ht="40.200000000000003" customHeight="1" x14ac:dyDescent="0.3">
      <c r="A22" s="132" t="s">
        <v>42</v>
      </c>
      <c r="B22" s="100" t="s">
        <v>13</v>
      </c>
      <c r="C22" s="243">
        <v>25189</v>
      </c>
      <c r="D22" s="243">
        <v>48189</v>
      </c>
      <c r="E22" s="243">
        <v>59461</v>
      </c>
      <c r="F22" s="243">
        <v>102729</v>
      </c>
      <c r="G22" s="243">
        <v>133370</v>
      </c>
      <c r="H22" s="243">
        <v>198386</v>
      </c>
      <c r="I22" s="243">
        <v>198569</v>
      </c>
      <c r="J22" s="243">
        <v>282116</v>
      </c>
      <c r="K22" s="18"/>
      <c r="L22" s="18"/>
      <c r="M22" s="18"/>
    </row>
    <row r="23" spans="1:13" s="19" customFormat="1" ht="40.200000000000003" customHeight="1" x14ac:dyDescent="0.3">
      <c r="A23" s="133" t="s">
        <v>43</v>
      </c>
      <c r="B23" s="134" t="s">
        <v>54</v>
      </c>
      <c r="C23" s="243">
        <v>10237</v>
      </c>
      <c r="D23" s="243">
        <v>10237</v>
      </c>
      <c r="E23" s="243">
        <v>32989</v>
      </c>
      <c r="F23" s="243">
        <v>32989</v>
      </c>
      <c r="G23" s="243">
        <v>94795</v>
      </c>
      <c r="H23" s="243">
        <v>94795</v>
      </c>
      <c r="I23" s="243">
        <v>150198</v>
      </c>
      <c r="J23" s="243">
        <v>150198</v>
      </c>
      <c r="K23" s="18"/>
      <c r="L23" s="18"/>
      <c r="M23" s="18"/>
    </row>
    <row r="24" spans="1:13" ht="40.200000000000003" customHeight="1" x14ac:dyDescent="0.3">
      <c r="A24" s="131" t="s">
        <v>44</v>
      </c>
      <c r="B24" s="105" t="s">
        <v>17</v>
      </c>
      <c r="C24" s="245">
        <v>0</v>
      </c>
      <c r="D24" s="245">
        <v>0</v>
      </c>
      <c r="E24" s="245">
        <v>0</v>
      </c>
      <c r="F24" s="245">
        <v>0</v>
      </c>
      <c r="G24" s="245">
        <v>44773</v>
      </c>
      <c r="H24" s="245">
        <v>44773</v>
      </c>
      <c r="I24" s="245">
        <v>73915</v>
      </c>
      <c r="J24" s="245">
        <v>73915</v>
      </c>
      <c r="K24" s="11"/>
      <c r="L24" s="11"/>
      <c r="M24" s="11"/>
    </row>
    <row r="25" spans="1:13" ht="40.200000000000003" customHeight="1" x14ac:dyDescent="0.3">
      <c r="A25" s="131" t="s">
        <v>45</v>
      </c>
      <c r="B25" s="105" t="s">
        <v>16</v>
      </c>
      <c r="C25" s="248">
        <v>6994</v>
      </c>
      <c r="D25" s="248">
        <v>6994</v>
      </c>
      <c r="E25" s="248">
        <v>14554</v>
      </c>
      <c r="F25" s="248">
        <v>14554</v>
      </c>
      <c r="G25" s="248">
        <v>21353</v>
      </c>
      <c r="H25" s="248">
        <v>21353</v>
      </c>
      <c r="I25" s="248">
        <v>39395</v>
      </c>
      <c r="J25" s="248">
        <v>39395</v>
      </c>
      <c r="K25" s="11"/>
      <c r="L25" s="11"/>
      <c r="M25" s="11"/>
    </row>
    <row r="26" spans="1:13" ht="40.200000000000003" customHeight="1" x14ac:dyDescent="0.3">
      <c r="A26" s="131" t="s">
        <v>35</v>
      </c>
      <c r="B26" s="105" t="s">
        <v>18</v>
      </c>
      <c r="C26" s="245">
        <v>3243</v>
      </c>
      <c r="D26" s="245">
        <v>3243</v>
      </c>
      <c r="E26" s="245">
        <v>18435</v>
      </c>
      <c r="F26" s="245">
        <v>18435</v>
      </c>
      <c r="G26" s="245">
        <v>28669</v>
      </c>
      <c r="H26" s="245">
        <v>28669</v>
      </c>
      <c r="I26" s="245">
        <v>36888</v>
      </c>
      <c r="J26" s="245">
        <v>36888</v>
      </c>
      <c r="K26" s="11"/>
      <c r="L26" s="11"/>
      <c r="M26" s="11"/>
    </row>
    <row r="27" spans="1:13" s="19" customFormat="1" ht="40.200000000000003" customHeight="1" x14ac:dyDescent="0.3">
      <c r="A27" s="133" t="s">
        <v>46</v>
      </c>
      <c r="B27" s="134" t="s">
        <v>55</v>
      </c>
      <c r="C27" s="249">
        <v>1857</v>
      </c>
      <c r="D27" s="249">
        <v>1857</v>
      </c>
      <c r="E27" s="249">
        <v>3071</v>
      </c>
      <c r="F27" s="249">
        <v>3071</v>
      </c>
      <c r="G27" s="249">
        <v>4907</v>
      </c>
      <c r="H27" s="249">
        <v>4907</v>
      </c>
      <c r="I27" s="249">
        <v>6211</v>
      </c>
      <c r="J27" s="249">
        <v>6211</v>
      </c>
      <c r="K27" s="18"/>
      <c r="L27" s="18"/>
      <c r="M27" s="18"/>
    </row>
    <row r="28" spans="1:13" s="19" customFormat="1" ht="40.200000000000003" customHeight="1" x14ac:dyDescent="0.3">
      <c r="A28" s="135" t="s">
        <v>104</v>
      </c>
      <c r="B28" s="134" t="s">
        <v>56</v>
      </c>
      <c r="C28" s="243">
        <v>12880</v>
      </c>
      <c r="D28" s="243">
        <v>35880</v>
      </c>
      <c r="E28" s="243">
        <v>23031</v>
      </c>
      <c r="F28" s="243">
        <v>66299</v>
      </c>
      <c r="G28" s="243">
        <v>33270</v>
      </c>
      <c r="H28" s="243">
        <v>98286</v>
      </c>
      <c r="I28" s="243">
        <v>41037</v>
      </c>
      <c r="J28" s="243">
        <v>124584</v>
      </c>
      <c r="K28" s="18"/>
      <c r="L28" s="18"/>
      <c r="M28" s="18"/>
    </row>
    <row r="29" spans="1:13" ht="40.200000000000003" customHeight="1" x14ac:dyDescent="0.3">
      <c r="A29" s="131" t="s">
        <v>47</v>
      </c>
      <c r="B29" s="105" t="s">
        <v>19</v>
      </c>
      <c r="C29" s="245">
        <v>11071</v>
      </c>
      <c r="D29" s="245">
        <v>2768</v>
      </c>
      <c r="E29" s="245">
        <v>19374</v>
      </c>
      <c r="F29" s="245">
        <v>2768</v>
      </c>
      <c r="G29" s="245">
        <v>27677</v>
      </c>
      <c r="H29" s="245">
        <v>2768</v>
      </c>
      <c r="I29" s="245">
        <v>33213</v>
      </c>
      <c r="J29" s="245">
        <v>1</v>
      </c>
      <c r="K29" s="11"/>
      <c r="L29" s="11"/>
      <c r="M29" s="11"/>
    </row>
    <row r="30" spans="1:13" ht="40.200000000000003" customHeight="1" x14ac:dyDescent="0.3">
      <c r="A30" s="131" t="s">
        <v>35</v>
      </c>
      <c r="B30" s="105" t="s">
        <v>20</v>
      </c>
      <c r="C30" s="245">
        <v>1809</v>
      </c>
      <c r="D30" s="245">
        <v>33112</v>
      </c>
      <c r="E30" s="245">
        <v>3657</v>
      </c>
      <c r="F30" s="245">
        <v>63531</v>
      </c>
      <c r="G30" s="245">
        <v>5593</v>
      </c>
      <c r="H30" s="245">
        <v>95518</v>
      </c>
      <c r="I30" s="245">
        <v>7824</v>
      </c>
      <c r="J30" s="245">
        <v>124583</v>
      </c>
      <c r="K30" s="11"/>
      <c r="L30" s="11"/>
      <c r="M30" s="11"/>
    </row>
    <row r="31" spans="1:13" s="19" customFormat="1" ht="40.200000000000003" customHeight="1" x14ac:dyDescent="0.3">
      <c r="A31" s="133" t="s">
        <v>48</v>
      </c>
      <c r="B31" s="102" t="s">
        <v>119</v>
      </c>
      <c r="C31" s="249">
        <v>215</v>
      </c>
      <c r="D31" s="249">
        <v>215</v>
      </c>
      <c r="E31" s="249">
        <v>370</v>
      </c>
      <c r="F31" s="249">
        <v>370</v>
      </c>
      <c r="G31" s="249">
        <v>398</v>
      </c>
      <c r="H31" s="249">
        <v>398</v>
      </c>
      <c r="I31" s="249">
        <v>1123</v>
      </c>
      <c r="J31" s="249">
        <v>1123</v>
      </c>
      <c r="K31" s="18"/>
      <c r="L31" s="18"/>
      <c r="M31" s="18"/>
    </row>
    <row r="32" spans="1:13" s="19" customFormat="1" ht="40.200000000000003" customHeight="1" x14ac:dyDescent="0.3">
      <c r="A32" s="127" t="s">
        <v>59</v>
      </c>
      <c r="B32" s="100" t="s">
        <v>11</v>
      </c>
      <c r="C32" s="243">
        <v>10940</v>
      </c>
      <c r="D32" s="243">
        <v>10962</v>
      </c>
      <c r="E32" s="243">
        <v>22579</v>
      </c>
      <c r="F32" s="243">
        <v>22654</v>
      </c>
      <c r="G32" s="243">
        <v>34088</v>
      </c>
      <c r="H32" s="243">
        <v>34135</v>
      </c>
      <c r="I32" s="243">
        <v>50279</v>
      </c>
      <c r="J32" s="243">
        <v>50348</v>
      </c>
      <c r="K32" s="18"/>
      <c r="L32" s="18"/>
      <c r="M32" s="18"/>
    </row>
    <row r="33" spans="1:13" ht="40.200000000000003" customHeight="1" x14ac:dyDescent="0.3">
      <c r="A33" s="128" t="s">
        <v>49</v>
      </c>
      <c r="B33" s="129" t="s">
        <v>4</v>
      </c>
      <c r="C33" s="245">
        <v>9677</v>
      </c>
      <c r="D33" s="245">
        <v>9677</v>
      </c>
      <c r="E33" s="245">
        <v>19539</v>
      </c>
      <c r="F33" s="245">
        <v>19539</v>
      </c>
      <c r="G33" s="245">
        <v>28841</v>
      </c>
      <c r="H33" s="245">
        <v>28841</v>
      </c>
      <c r="I33" s="245">
        <v>41477</v>
      </c>
      <c r="J33" s="245">
        <v>41477</v>
      </c>
      <c r="K33" s="11"/>
      <c r="L33" s="11"/>
      <c r="M33" s="11"/>
    </row>
    <row r="34" spans="1:13" ht="40.200000000000003" customHeight="1" x14ac:dyDescent="0.3">
      <c r="A34" s="128" t="s">
        <v>35</v>
      </c>
      <c r="B34" s="129" t="s">
        <v>8</v>
      </c>
      <c r="C34" s="245">
        <v>1263</v>
      </c>
      <c r="D34" s="245">
        <v>1285</v>
      </c>
      <c r="E34" s="245">
        <v>3040</v>
      </c>
      <c r="F34" s="245">
        <v>3115</v>
      </c>
      <c r="G34" s="245">
        <v>5247</v>
      </c>
      <c r="H34" s="245">
        <v>5294</v>
      </c>
      <c r="I34" s="245">
        <v>8802</v>
      </c>
      <c r="J34" s="245">
        <v>8871</v>
      </c>
      <c r="K34" s="11"/>
      <c r="L34" s="11"/>
      <c r="M34" s="11"/>
    </row>
    <row r="35" spans="1:13" s="19" customFormat="1" ht="40.200000000000003" customHeight="1" x14ac:dyDescent="0.3">
      <c r="A35" s="127" t="s">
        <v>50</v>
      </c>
      <c r="B35" s="136" t="s">
        <v>14</v>
      </c>
      <c r="C35" s="243">
        <v>5486</v>
      </c>
      <c r="D35" s="243">
        <v>5509</v>
      </c>
      <c r="E35" s="243">
        <v>16708</v>
      </c>
      <c r="F35" s="243">
        <v>16743</v>
      </c>
      <c r="G35" s="243">
        <v>34038</v>
      </c>
      <c r="H35" s="243">
        <v>34127</v>
      </c>
      <c r="I35" s="243">
        <v>61750</v>
      </c>
      <c r="J35" s="243">
        <v>61917</v>
      </c>
    </row>
    <row r="36" spans="1:13" ht="40.200000000000003" customHeight="1" x14ac:dyDescent="0.3">
      <c r="A36" s="128" t="s">
        <v>51</v>
      </c>
      <c r="B36" s="129" t="s">
        <v>9</v>
      </c>
      <c r="C36" s="245">
        <v>5033</v>
      </c>
      <c r="D36" s="245">
        <v>5056</v>
      </c>
      <c r="E36" s="245">
        <v>15045</v>
      </c>
      <c r="F36" s="245">
        <v>15080</v>
      </c>
      <c r="G36" s="245">
        <v>30528</v>
      </c>
      <c r="H36" s="245">
        <v>30617</v>
      </c>
      <c r="I36" s="245">
        <v>45547</v>
      </c>
      <c r="J36" s="245">
        <v>45714</v>
      </c>
    </row>
    <row r="37" spans="1:13" ht="40.200000000000003" customHeight="1" x14ac:dyDescent="0.3">
      <c r="A37" s="137" t="s">
        <v>35</v>
      </c>
      <c r="B37" s="138" t="s">
        <v>10</v>
      </c>
      <c r="C37" s="250">
        <v>453</v>
      </c>
      <c r="D37" s="250">
        <v>453</v>
      </c>
      <c r="E37" s="250">
        <v>1663</v>
      </c>
      <c r="F37" s="250">
        <v>1663</v>
      </c>
      <c r="G37" s="250">
        <v>3510</v>
      </c>
      <c r="H37" s="250">
        <v>3510</v>
      </c>
      <c r="I37" s="250">
        <v>16203</v>
      </c>
      <c r="J37" s="250">
        <v>16203</v>
      </c>
    </row>
    <row r="38" spans="1:13" ht="21.9" customHeight="1" x14ac:dyDescent="0.3">
      <c r="A38" s="63" t="s">
        <v>67</v>
      </c>
      <c r="B38" s="64" t="s">
        <v>68</v>
      </c>
    </row>
    <row r="39" spans="1:13" ht="104.25" customHeight="1" x14ac:dyDescent="0.3">
      <c r="A39" s="60" t="s">
        <v>111</v>
      </c>
      <c r="B39" s="22" t="s">
        <v>114</v>
      </c>
    </row>
    <row r="40" spans="1:13" ht="54" customHeight="1" x14ac:dyDescent="0.3">
      <c r="A40" s="60" t="s">
        <v>73</v>
      </c>
      <c r="B40" s="26" t="s">
        <v>85</v>
      </c>
    </row>
    <row r="41" spans="1:13" ht="21.9" customHeight="1" x14ac:dyDescent="0.3"/>
    <row r="42" spans="1:13" ht="21.9" customHeight="1" x14ac:dyDescent="0.3">
      <c r="B42" s="8"/>
      <c r="C42" s="8"/>
      <c r="D42" s="8"/>
      <c r="E42" s="8"/>
      <c r="F42" s="8"/>
      <c r="G42" s="34"/>
    </row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7">
    <mergeCell ref="C2:D2"/>
    <mergeCell ref="B3:B4"/>
    <mergeCell ref="I5:J6"/>
    <mergeCell ref="C3:J4"/>
    <mergeCell ref="C5:D6"/>
    <mergeCell ref="E5:F6"/>
    <mergeCell ref="G5:H6"/>
  </mergeCells>
  <printOptions horizontalCentered="1" verticalCentered="1"/>
  <pageMargins left="0" right="0" top="0" bottom="0" header="0" footer="0"/>
  <pageSetup paperSize="9" scale="37" orientation="landscape" r:id="rId1"/>
  <headerFooter alignWithMargins="0"/>
  <rowBreaks count="1" manualBreakCount="1">
    <brk id="37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G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9.109375" style="35"/>
  </cols>
  <sheetData>
    <row r="1" spans="1:59" s="27" customFormat="1" ht="64.5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spans="1:59" ht="27.75" customHeight="1" x14ac:dyDescent="0.35">
      <c r="A2" s="78"/>
      <c r="B2" s="78"/>
      <c r="C2" s="237"/>
      <c r="D2" s="237"/>
      <c r="E2" s="79"/>
      <c r="F2" s="80"/>
      <c r="G2" s="81"/>
      <c r="H2" s="79"/>
      <c r="I2" s="162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9" s="20" customFormat="1" ht="15" customHeight="1" x14ac:dyDescent="0.35">
      <c r="A3" s="83"/>
      <c r="B3" s="224" t="s">
        <v>2</v>
      </c>
      <c r="C3" s="226" t="s">
        <v>61</v>
      </c>
      <c r="D3" s="227"/>
      <c r="E3" s="227"/>
      <c r="F3" s="227"/>
      <c r="G3" s="227"/>
      <c r="H3" s="227"/>
      <c r="I3" s="227"/>
      <c r="J3" s="228"/>
    </row>
    <row r="4" spans="1:59" s="20" customFormat="1" ht="1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9" s="20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2"/>
      <c r="I5" s="215" t="s">
        <v>26</v>
      </c>
      <c r="J5" s="215"/>
    </row>
    <row r="6" spans="1:59" s="20" customFormat="1" ht="15" customHeight="1" x14ac:dyDescent="0.35">
      <c r="A6" s="84"/>
      <c r="B6" s="84"/>
      <c r="C6" s="233"/>
      <c r="D6" s="233"/>
      <c r="E6" s="233"/>
      <c r="F6" s="233"/>
      <c r="G6" s="233"/>
      <c r="H6" s="233"/>
      <c r="I6" s="216"/>
      <c r="J6" s="216"/>
    </row>
    <row r="7" spans="1:59" s="21" customFormat="1" ht="76.5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9" s="40" customFormat="1" ht="40.200000000000003" customHeight="1" x14ac:dyDescent="0.3">
      <c r="A8" s="124" t="s">
        <v>58</v>
      </c>
      <c r="B8" s="125" t="s">
        <v>0</v>
      </c>
      <c r="C8" s="251">
        <v>169884</v>
      </c>
      <c r="D8" s="251">
        <v>189672</v>
      </c>
      <c r="E8" s="251">
        <v>354557</v>
      </c>
      <c r="F8" s="251">
        <v>394758</v>
      </c>
      <c r="G8" s="251">
        <v>533324</v>
      </c>
      <c r="H8" s="251">
        <v>586805</v>
      </c>
      <c r="I8" s="252">
        <v>817844</v>
      </c>
      <c r="J8" s="175" t="s">
        <v>64</v>
      </c>
      <c r="K8" s="39"/>
      <c r="L8" s="39"/>
      <c r="M8" s="39"/>
    </row>
    <row r="9" spans="1:59" s="40" customFormat="1" ht="40.200000000000003" customHeight="1" x14ac:dyDescent="0.3">
      <c r="A9" s="127" t="s">
        <v>32</v>
      </c>
      <c r="B9" s="100" t="s">
        <v>90</v>
      </c>
      <c r="C9" s="251">
        <v>55281</v>
      </c>
      <c r="D9" s="251">
        <v>55845</v>
      </c>
      <c r="E9" s="251">
        <v>110236</v>
      </c>
      <c r="F9" s="251">
        <v>111409</v>
      </c>
      <c r="G9" s="251">
        <v>155752</v>
      </c>
      <c r="H9" s="251">
        <v>157500</v>
      </c>
      <c r="I9" s="253">
        <v>213721</v>
      </c>
      <c r="J9" s="177" t="s">
        <v>64</v>
      </c>
      <c r="K9" s="39"/>
      <c r="L9" s="39"/>
      <c r="M9" s="39"/>
    </row>
    <row r="10" spans="1:59" s="42" customFormat="1" ht="40.200000000000003" customHeight="1" x14ac:dyDescent="0.3">
      <c r="A10" s="128" t="s">
        <v>33</v>
      </c>
      <c r="B10" s="129" t="s">
        <v>91</v>
      </c>
      <c r="C10" s="254">
        <v>44717</v>
      </c>
      <c r="D10" s="254">
        <v>45243</v>
      </c>
      <c r="E10" s="254">
        <v>89607</v>
      </c>
      <c r="F10" s="254">
        <v>90706</v>
      </c>
      <c r="G10" s="254">
        <v>126947</v>
      </c>
      <c r="H10" s="254">
        <v>128565</v>
      </c>
      <c r="I10" s="255">
        <v>173827</v>
      </c>
      <c r="J10" s="180" t="s">
        <v>64</v>
      </c>
      <c r="K10" s="41"/>
      <c r="L10" s="41"/>
      <c r="M10" s="41"/>
    </row>
    <row r="11" spans="1:59" s="42" customFormat="1" ht="40.200000000000003" customHeight="1" x14ac:dyDescent="0.3">
      <c r="A11" s="128" t="s">
        <v>34</v>
      </c>
      <c r="B11" s="129" t="s">
        <v>5</v>
      </c>
      <c r="C11" s="254">
        <v>5119</v>
      </c>
      <c r="D11" s="254">
        <v>5153</v>
      </c>
      <c r="E11" s="254">
        <v>10412</v>
      </c>
      <c r="F11" s="254">
        <v>10479</v>
      </c>
      <c r="G11" s="254">
        <v>15152</v>
      </c>
      <c r="H11" s="254">
        <v>15270</v>
      </c>
      <c r="I11" s="255">
        <v>20606</v>
      </c>
      <c r="J11" s="180" t="s">
        <v>64</v>
      </c>
      <c r="K11" s="41"/>
      <c r="L11" s="41"/>
      <c r="M11" s="41"/>
    </row>
    <row r="12" spans="1:59" s="42" customFormat="1" ht="40.200000000000003" customHeight="1" x14ac:dyDescent="0.3">
      <c r="A12" s="128" t="s">
        <v>35</v>
      </c>
      <c r="B12" s="129" t="s">
        <v>1</v>
      </c>
      <c r="C12" s="254">
        <v>5445</v>
      </c>
      <c r="D12" s="254">
        <v>5449</v>
      </c>
      <c r="E12" s="254">
        <v>10217</v>
      </c>
      <c r="F12" s="254">
        <v>10224</v>
      </c>
      <c r="G12" s="254">
        <v>13653</v>
      </c>
      <c r="H12" s="254">
        <v>13665</v>
      </c>
      <c r="I12" s="255">
        <v>19288</v>
      </c>
      <c r="J12" s="180" t="s">
        <v>64</v>
      </c>
      <c r="K12" s="41"/>
      <c r="L12" s="41"/>
      <c r="M12" s="41"/>
    </row>
    <row r="13" spans="1:59" s="40" customFormat="1" ht="40.200000000000003" customHeight="1" x14ac:dyDescent="0.3">
      <c r="A13" s="127" t="s">
        <v>36</v>
      </c>
      <c r="B13" s="100" t="s">
        <v>12</v>
      </c>
      <c r="C13" s="251">
        <v>5149</v>
      </c>
      <c r="D13" s="251">
        <v>5230</v>
      </c>
      <c r="E13" s="251">
        <v>12988</v>
      </c>
      <c r="F13" s="251">
        <v>13196</v>
      </c>
      <c r="G13" s="251">
        <v>21160</v>
      </c>
      <c r="H13" s="251">
        <v>21406</v>
      </c>
      <c r="I13" s="253">
        <v>35662</v>
      </c>
      <c r="J13" s="177" t="s">
        <v>64</v>
      </c>
      <c r="K13" s="39"/>
      <c r="L13" s="39"/>
      <c r="M13" s="39"/>
    </row>
    <row r="14" spans="1:59" s="42" customFormat="1" ht="40.200000000000003" customHeight="1" x14ac:dyDescent="0.3">
      <c r="A14" s="128" t="s">
        <v>37</v>
      </c>
      <c r="B14" s="129" t="s">
        <v>6</v>
      </c>
      <c r="C14" s="254">
        <v>1762</v>
      </c>
      <c r="D14" s="254">
        <v>1767</v>
      </c>
      <c r="E14" s="254">
        <v>5526</v>
      </c>
      <c r="F14" s="254">
        <v>5537</v>
      </c>
      <c r="G14" s="254">
        <v>9473</v>
      </c>
      <c r="H14" s="254">
        <v>9494</v>
      </c>
      <c r="I14" s="255">
        <v>16536</v>
      </c>
      <c r="J14" s="180" t="s">
        <v>64</v>
      </c>
      <c r="K14" s="41"/>
      <c r="L14" s="41"/>
      <c r="M14" s="41"/>
    </row>
    <row r="15" spans="1:59" s="42" customFormat="1" ht="40.200000000000003" customHeight="1" x14ac:dyDescent="0.3">
      <c r="A15" s="128" t="s">
        <v>38</v>
      </c>
      <c r="B15" s="129" t="s">
        <v>15</v>
      </c>
      <c r="C15" s="254">
        <v>2706</v>
      </c>
      <c r="D15" s="254">
        <v>2749</v>
      </c>
      <c r="E15" s="254">
        <v>5938</v>
      </c>
      <c r="F15" s="254">
        <v>6029</v>
      </c>
      <c r="G15" s="254">
        <v>9552</v>
      </c>
      <c r="H15" s="254">
        <v>9664</v>
      </c>
      <c r="I15" s="255">
        <v>15029</v>
      </c>
      <c r="J15" s="180" t="s">
        <v>64</v>
      </c>
      <c r="K15" s="41"/>
      <c r="L15" s="41"/>
      <c r="M15" s="41"/>
    </row>
    <row r="16" spans="1:59" s="42" customFormat="1" ht="40.200000000000003" customHeight="1" x14ac:dyDescent="0.3">
      <c r="A16" s="128" t="s">
        <v>35</v>
      </c>
      <c r="B16" s="129" t="s">
        <v>1</v>
      </c>
      <c r="C16" s="254">
        <v>681</v>
      </c>
      <c r="D16" s="254">
        <v>714</v>
      </c>
      <c r="E16" s="254">
        <v>1524</v>
      </c>
      <c r="F16" s="254">
        <v>1630</v>
      </c>
      <c r="G16" s="254">
        <v>2135</v>
      </c>
      <c r="H16" s="254">
        <v>2248</v>
      </c>
      <c r="I16" s="255">
        <v>4097</v>
      </c>
      <c r="J16" s="180" t="s">
        <v>64</v>
      </c>
      <c r="K16" s="41"/>
      <c r="L16" s="41"/>
      <c r="M16" s="41"/>
    </row>
    <row r="17" spans="1:13" s="40" customFormat="1" ht="40.200000000000003" customHeight="1" x14ac:dyDescent="0.3">
      <c r="A17" s="127" t="s">
        <v>39</v>
      </c>
      <c r="B17" s="100" t="s">
        <v>62</v>
      </c>
      <c r="C17" s="251">
        <v>50704</v>
      </c>
      <c r="D17" s="251">
        <v>47291</v>
      </c>
      <c r="E17" s="251">
        <v>114003</v>
      </c>
      <c r="F17" s="251">
        <v>108961</v>
      </c>
      <c r="G17" s="251">
        <v>176787</v>
      </c>
      <c r="H17" s="251">
        <v>166581</v>
      </c>
      <c r="I17" s="253">
        <v>243635</v>
      </c>
      <c r="J17" s="177" t="s">
        <v>64</v>
      </c>
      <c r="K17" s="39"/>
      <c r="L17" s="39"/>
      <c r="M17" s="39"/>
    </row>
    <row r="18" spans="1:13" s="42" customFormat="1" ht="40.200000000000003" customHeight="1" x14ac:dyDescent="0.3">
      <c r="A18" s="189" t="s">
        <v>94</v>
      </c>
      <c r="B18" s="102" t="s">
        <v>95</v>
      </c>
      <c r="C18" s="256">
        <v>49500</v>
      </c>
      <c r="D18" s="256">
        <v>46087</v>
      </c>
      <c r="E18" s="256">
        <v>111430</v>
      </c>
      <c r="F18" s="256">
        <v>106388</v>
      </c>
      <c r="G18" s="256">
        <v>173208</v>
      </c>
      <c r="H18" s="256">
        <v>163002</v>
      </c>
      <c r="I18" s="257">
        <v>238569</v>
      </c>
      <c r="J18" s="183" t="s">
        <v>64</v>
      </c>
      <c r="K18" s="41"/>
      <c r="L18" s="41"/>
      <c r="M18" s="41"/>
    </row>
    <row r="19" spans="1:13" ht="40.200000000000003" customHeight="1" x14ac:dyDescent="0.3">
      <c r="A19" s="131" t="s">
        <v>40</v>
      </c>
      <c r="B19" s="105" t="s">
        <v>21</v>
      </c>
      <c r="C19" s="254">
        <v>5419</v>
      </c>
      <c r="D19" s="254">
        <v>0</v>
      </c>
      <c r="E19" s="254">
        <v>9955</v>
      </c>
      <c r="F19" s="254">
        <v>0</v>
      </c>
      <c r="G19" s="254">
        <v>18342</v>
      </c>
      <c r="H19" s="254">
        <v>0</v>
      </c>
      <c r="I19" s="255" t="s">
        <v>64</v>
      </c>
      <c r="J19" s="180" t="s">
        <v>64</v>
      </c>
      <c r="K19" s="38"/>
      <c r="L19" s="38"/>
      <c r="M19" s="38"/>
    </row>
    <row r="20" spans="1:13" ht="40.200000000000003" customHeight="1" x14ac:dyDescent="0.3">
      <c r="A20" s="131" t="s">
        <v>35</v>
      </c>
      <c r="B20" s="105" t="s">
        <v>7</v>
      </c>
      <c r="C20" s="254">
        <v>44081</v>
      </c>
      <c r="D20" s="254">
        <v>46087</v>
      </c>
      <c r="E20" s="254">
        <v>101475</v>
      </c>
      <c r="F20" s="254">
        <v>106388</v>
      </c>
      <c r="G20" s="254">
        <v>154866</v>
      </c>
      <c r="H20" s="254">
        <v>163002</v>
      </c>
      <c r="I20" s="255" t="s">
        <v>64</v>
      </c>
      <c r="J20" s="180" t="s">
        <v>64</v>
      </c>
      <c r="K20" s="38"/>
      <c r="L20" s="38"/>
      <c r="M20" s="38"/>
    </row>
    <row r="21" spans="1:13" s="42" customFormat="1" ht="40.200000000000003" customHeight="1" x14ac:dyDescent="0.3">
      <c r="A21" s="189" t="s">
        <v>41</v>
      </c>
      <c r="B21" s="102" t="s">
        <v>63</v>
      </c>
      <c r="C21" s="256">
        <v>1204</v>
      </c>
      <c r="D21" s="256">
        <v>1204</v>
      </c>
      <c r="E21" s="256">
        <v>2573</v>
      </c>
      <c r="F21" s="256">
        <v>2573</v>
      </c>
      <c r="G21" s="256">
        <v>3579</v>
      </c>
      <c r="H21" s="256">
        <v>3579</v>
      </c>
      <c r="I21" s="257">
        <v>5066</v>
      </c>
      <c r="J21" s="183" t="s">
        <v>64</v>
      </c>
      <c r="K21" s="41"/>
      <c r="L21" s="41"/>
      <c r="M21" s="41"/>
    </row>
    <row r="22" spans="1:13" s="40" customFormat="1" ht="40.200000000000003" customHeight="1" x14ac:dyDescent="0.3">
      <c r="A22" s="132" t="s">
        <v>42</v>
      </c>
      <c r="B22" s="100" t="s">
        <v>13</v>
      </c>
      <c r="C22" s="258">
        <v>37942</v>
      </c>
      <c r="D22" s="258">
        <v>60459</v>
      </c>
      <c r="E22" s="258">
        <v>71448</v>
      </c>
      <c r="F22" s="258">
        <v>115224</v>
      </c>
      <c r="G22" s="258">
        <v>106386</v>
      </c>
      <c r="H22" s="258">
        <v>167988</v>
      </c>
      <c r="I22" s="253">
        <v>201024</v>
      </c>
      <c r="J22" s="177" t="s">
        <v>64</v>
      </c>
      <c r="K22" s="39"/>
      <c r="L22" s="39"/>
      <c r="M22" s="39"/>
    </row>
    <row r="23" spans="1:13" s="40" customFormat="1" ht="40.200000000000003" customHeight="1" x14ac:dyDescent="0.3">
      <c r="A23" s="133" t="s">
        <v>43</v>
      </c>
      <c r="B23" s="134" t="s">
        <v>54</v>
      </c>
      <c r="C23" s="251">
        <v>20984</v>
      </c>
      <c r="D23" s="251">
        <v>20984</v>
      </c>
      <c r="E23" s="251">
        <v>37892</v>
      </c>
      <c r="F23" s="251">
        <v>37892</v>
      </c>
      <c r="G23" s="251">
        <v>58280</v>
      </c>
      <c r="H23" s="251">
        <v>58280</v>
      </c>
      <c r="I23" s="253">
        <v>138724</v>
      </c>
      <c r="J23" s="177" t="s">
        <v>64</v>
      </c>
      <c r="K23" s="39"/>
      <c r="L23" s="39"/>
      <c r="M23" s="39"/>
    </row>
    <row r="24" spans="1:13" ht="40.200000000000003" customHeight="1" x14ac:dyDescent="0.3">
      <c r="A24" s="131" t="s">
        <v>44</v>
      </c>
      <c r="B24" s="105" t="s">
        <v>17</v>
      </c>
      <c r="C24" s="254">
        <v>0</v>
      </c>
      <c r="D24" s="254">
        <v>0</v>
      </c>
      <c r="E24" s="254">
        <v>0</v>
      </c>
      <c r="F24" s="254">
        <v>0</v>
      </c>
      <c r="G24" s="254">
        <v>0</v>
      </c>
      <c r="H24" s="254">
        <v>0</v>
      </c>
      <c r="I24" s="255">
        <v>51045</v>
      </c>
      <c r="J24" s="180" t="s">
        <v>64</v>
      </c>
      <c r="K24" s="38"/>
      <c r="L24" s="38"/>
      <c r="M24" s="38"/>
    </row>
    <row r="25" spans="1:13" ht="40.200000000000003" customHeight="1" x14ac:dyDescent="0.3">
      <c r="A25" s="131" t="s">
        <v>45</v>
      </c>
      <c r="B25" s="105" t="s">
        <v>16</v>
      </c>
      <c r="C25" s="254">
        <v>10036</v>
      </c>
      <c r="D25" s="254">
        <v>10036</v>
      </c>
      <c r="E25" s="254">
        <v>15627</v>
      </c>
      <c r="F25" s="254">
        <v>15627</v>
      </c>
      <c r="G25" s="254">
        <v>22882</v>
      </c>
      <c r="H25" s="254">
        <v>22882</v>
      </c>
      <c r="I25" s="255">
        <v>42738</v>
      </c>
      <c r="J25" s="180" t="s">
        <v>64</v>
      </c>
      <c r="K25" s="38"/>
      <c r="L25" s="38"/>
      <c r="M25" s="38"/>
    </row>
    <row r="26" spans="1:13" ht="40.200000000000003" customHeight="1" x14ac:dyDescent="0.3">
      <c r="A26" s="131" t="s">
        <v>35</v>
      </c>
      <c r="B26" s="105" t="s">
        <v>18</v>
      </c>
      <c r="C26" s="254">
        <v>10948</v>
      </c>
      <c r="D26" s="254">
        <v>10948</v>
      </c>
      <c r="E26" s="254">
        <v>22265</v>
      </c>
      <c r="F26" s="254">
        <v>22265</v>
      </c>
      <c r="G26" s="254">
        <v>35398</v>
      </c>
      <c r="H26" s="254">
        <v>35398</v>
      </c>
      <c r="I26" s="255">
        <v>44941</v>
      </c>
      <c r="J26" s="180" t="s">
        <v>64</v>
      </c>
      <c r="K26" s="38"/>
      <c r="L26" s="38"/>
      <c r="M26" s="38"/>
    </row>
    <row r="27" spans="1:13" s="40" customFormat="1" ht="40.200000000000003" customHeight="1" x14ac:dyDescent="0.3">
      <c r="A27" s="133" t="s">
        <v>46</v>
      </c>
      <c r="B27" s="134" t="s">
        <v>55</v>
      </c>
      <c r="C27" s="251">
        <v>2089</v>
      </c>
      <c r="D27" s="251">
        <v>2089</v>
      </c>
      <c r="E27" s="251">
        <v>3189</v>
      </c>
      <c r="F27" s="251">
        <v>3189</v>
      </c>
      <c r="G27" s="251">
        <v>4839</v>
      </c>
      <c r="H27" s="251">
        <v>4839</v>
      </c>
      <c r="I27" s="253">
        <v>7806</v>
      </c>
      <c r="J27" s="177" t="s">
        <v>64</v>
      </c>
      <c r="K27" s="39"/>
      <c r="L27" s="39"/>
      <c r="M27" s="39"/>
    </row>
    <row r="28" spans="1:13" s="40" customFormat="1" ht="40.200000000000003" customHeight="1" x14ac:dyDescent="0.3">
      <c r="A28" s="135" t="s">
        <v>104</v>
      </c>
      <c r="B28" s="134" t="s">
        <v>56</v>
      </c>
      <c r="C28" s="251">
        <v>14640</v>
      </c>
      <c r="D28" s="251">
        <v>37158</v>
      </c>
      <c r="E28" s="251">
        <v>30076</v>
      </c>
      <c r="F28" s="251">
        <v>73852</v>
      </c>
      <c r="G28" s="251">
        <v>42916</v>
      </c>
      <c r="H28" s="251">
        <v>104518</v>
      </c>
      <c r="I28" s="253">
        <v>53919</v>
      </c>
      <c r="J28" s="177" t="s">
        <v>64</v>
      </c>
      <c r="K28" s="39"/>
      <c r="L28" s="39"/>
      <c r="M28" s="39"/>
    </row>
    <row r="29" spans="1:13" ht="40.200000000000003" customHeight="1" x14ac:dyDescent="0.3">
      <c r="A29" s="131" t="s">
        <v>47</v>
      </c>
      <c r="B29" s="105" t="s">
        <v>19</v>
      </c>
      <c r="C29" s="254">
        <v>12546</v>
      </c>
      <c r="D29" s="254">
        <v>0</v>
      </c>
      <c r="E29" s="254">
        <v>25516</v>
      </c>
      <c r="F29" s="254">
        <v>1</v>
      </c>
      <c r="G29" s="254">
        <v>36602</v>
      </c>
      <c r="H29" s="254">
        <v>0</v>
      </c>
      <c r="I29" s="255">
        <v>43956</v>
      </c>
      <c r="J29" s="180" t="s">
        <v>64</v>
      </c>
      <c r="K29" s="38"/>
      <c r="L29" s="38"/>
      <c r="M29" s="38"/>
    </row>
    <row r="30" spans="1:13" ht="40.200000000000003" customHeight="1" x14ac:dyDescent="0.3">
      <c r="A30" s="131" t="s">
        <v>35</v>
      </c>
      <c r="B30" s="105" t="s">
        <v>20</v>
      </c>
      <c r="C30" s="254">
        <v>2094</v>
      </c>
      <c r="D30" s="254">
        <v>37158</v>
      </c>
      <c r="E30" s="254">
        <v>4560</v>
      </c>
      <c r="F30" s="254">
        <v>73851</v>
      </c>
      <c r="G30" s="254">
        <v>6314</v>
      </c>
      <c r="H30" s="254">
        <v>104518</v>
      </c>
      <c r="I30" s="255">
        <v>9963</v>
      </c>
      <c r="J30" s="180" t="s">
        <v>64</v>
      </c>
      <c r="K30" s="38"/>
      <c r="L30" s="38"/>
      <c r="M30" s="38"/>
    </row>
    <row r="31" spans="1:13" s="40" customFormat="1" ht="40.200000000000003" customHeight="1" x14ac:dyDescent="0.3">
      <c r="A31" s="133" t="s">
        <v>48</v>
      </c>
      <c r="B31" s="102" t="s">
        <v>119</v>
      </c>
      <c r="C31" s="251">
        <v>229</v>
      </c>
      <c r="D31" s="251">
        <v>228</v>
      </c>
      <c r="E31" s="251">
        <v>291</v>
      </c>
      <c r="F31" s="251">
        <v>291</v>
      </c>
      <c r="G31" s="251">
        <v>351</v>
      </c>
      <c r="H31" s="251">
        <v>351</v>
      </c>
      <c r="I31" s="253">
        <v>575</v>
      </c>
      <c r="J31" s="177" t="s">
        <v>64</v>
      </c>
      <c r="K31" s="39"/>
      <c r="L31" s="39"/>
      <c r="M31" s="39"/>
    </row>
    <row r="32" spans="1:13" s="40" customFormat="1" ht="40.200000000000003" customHeight="1" x14ac:dyDescent="0.3">
      <c r="A32" s="127" t="s">
        <v>59</v>
      </c>
      <c r="B32" s="100" t="s">
        <v>11</v>
      </c>
      <c r="C32" s="251">
        <v>13181</v>
      </c>
      <c r="D32" s="251">
        <v>13187</v>
      </c>
      <c r="E32" s="251">
        <v>24803</v>
      </c>
      <c r="F32" s="251">
        <v>24819</v>
      </c>
      <c r="G32" s="251">
        <v>36664</v>
      </c>
      <c r="H32" s="251">
        <v>36684</v>
      </c>
      <c r="I32" s="253">
        <v>54552</v>
      </c>
      <c r="J32" s="177" t="s">
        <v>64</v>
      </c>
      <c r="K32" s="39"/>
      <c r="L32" s="39"/>
      <c r="M32" s="39"/>
    </row>
    <row r="33" spans="1:13" ht="40.200000000000003" customHeight="1" x14ac:dyDescent="0.3">
      <c r="A33" s="128" t="s">
        <v>49</v>
      </c>
      <c r="B33" s="129" t="s">
        <v>4</v>
      </c>
      <c r="C33" s="254">
        <v>11435</v>
      </c>
      <c r="D33" s="254">
        <v>11435</v>
      </c>
      <c r="E33" s="254">
        <v>21030</v>
      </c>
      <c r="F33" s="254">
        <v>21030</v>
      </c>
      <c r="G33" s="254">
        <v>30854</v>
      </c>
      <c r="H33" s="254">
        <v>30854</v>
      </c>
      <c r="I33" s="255" t="s">
        <v>64</v>
      </c>
      <c r="J33" s="180" t="s">
        <v>64</v>
      </c>
      <c r="K33" s="38"/>
      <c r="L33" s="38"/>
      <c r="M33" s="38"/>
    </row>
    <row r="34" spans="1:13" ht="40.200000000000003" customHeight="1" x14ac:dyDescent="0.3">
      <c r="A34" s="128" t="s">
        <v>35</v>
      </c>
      <c r="B34" s="129" t="s">
        <v>8</v>
      </c>
      <c r="C34" s="254">
        <v>1746</v>
      </c>
      <c r="D34" s="254">
        <v>1752</v>
      </c>
      <c r="E34" s="254">
        <v>3773</v>
      </c>
      <c r="F34" s="254">
        <v>3789</v>
      </c>
      <c r="G34" s="254">
        <v>5810</v>
      </c>
      <c r="H34" s="254">
        <v>5830</v>
      </c>
      <c r="I34" s="255" t="s">
        <v>64</v>
      </c>
      <c r="J34" s="180" t="s">
        <v>64</v>
      </c>
      <c r="K34" s="38"/>
      <c r="L34" s="38"/>
      <c r="M34" s="38"/>
    </row>
    <row r="35" spans="1:13" s="40" customFormat="1" ht="40.200000000000003" customHeight="1" x14ac:dyDescent="0.3">
      <c r="A35" s="127" t="s">
        <v>50</v>
      </c>
      <c r="B35" s="136" t="s">
        <v>14</v>
      </c>
      <c r="C35" s="251">
        <v>7627</v>
      </c>
      <c r="D35" s="251">
        <v>7660</v>
      </c>
      <c r="E35" s="251">
        <v>21079</v>
      </c>
      <c r="F35" s="251">
        <v>21149</v>
      </c>
      <c r="G35" s="251">
        <v>36575</v>
      </c>
      <c r="H35" s="251">
        <v>36646</v>
      </c>
      <c r="I35" s="253">
        <v>69250</v>
      </c>
      <c r="J35" s="177" t="s">
        <v>64</v>
      </c>
    </row>
    <row r="36" spans="1:13" ht="40.200000000000003" customHeight="1" x14ac:dyDescent="0.3">
      <c r="A36" s="128" t="s">
        <v>51</v>
      </c>
      <c r="B36" s="129" t="s">
        <v>9</v>
      </c>
      <c r="C36" s="254">
        <v>6871</v>
      </c>
      <c r="D36" s="254">
        <v>6904</v>
      </c>
      <c r="E36" s="254">
        <v>19285</v>
      </c>
      <c r="F36" s="254">
        <v>19355</v>
      </c>
      <c r="G36" s="254">
        <v>32140</v>
      </c>
      <c r="H36" s="254">
        <v>32211</v>
      </c>
      <c r="I36" s="255">
        <v>54637</v>
      </c>
      <c r="J36" s="180" t="s">
        <v>64</v>
      </c>
    </row>
    <row r="37" spans="1:13" ht="40.200000000000003" customHeight="1" x14ac:dyDescent="0.3">
      <c r="A37" s="137" t="s">
        <v>35</v>
      </c>
      <c r="B37" s="138" t="s">
        <v>10</v>
      </c>
      <c r="C37" s="259">
        <v>756</v>
      </c>
      <c r="D37" s="259">
        <v>756</v>
      </c>
      <c r="E37" s="259">
        <v>1794</v>
      </c>
      <c r="F37" s="259">
        <v>1794</v>
      </c>
      <c r="G37" s="250">
        <v>4435</v>
      </c>
      <c r="H37" s="250">
        <v>4435</v>
      </c>
      <c r="I37" s="260">
        <v>14613</v>
      </c>
      <c r="J37" s="187" t="s">
        <v>64</v>
      </c>
    </row>
    <row r="38" spans="1:13" ht="21.9" customHeight="1" x14ac:dyDescent="0.3">
      <c r="A38" s="65" t="s">
        <v>67</v>
      </c>
      <c r="B38" s="28" t="s">
        <v>68</v>
      </c>
    </row>
    <row r="39" spans="1:13" ht="104.25" customHeight="1" x14ac:dyDescent="0.3">
      <c r="A39" s="66" t="s">
        <v>110</v>
      </c>
      <c r="B39" s="29" t="s">
        <v>115</v>
      </c>
    </row>
    <row r="40" spans="1:13" ht="63.6" customHeight="1" x14ac:dyDescent="0.3">
      <c r="A40" s="66" t="s">
        <v>73</v>
      </c>
      <c r="B40" s="37" t="s">
        <v>72</v>
      </c>
    </row>
    <row r="41" spans="1:13" ht="29.4" customHeight="1" x14ac:dyDescent="0.3">
      <c r="A41" s="67" t="s">
        <v>86</v>
      </c>
      <c r="B41" s="56" t="s">
        <v>69</v>
      </c>
    </row>
    <row r="42" spans="1:13" ht="21.9" customHeight="1" x14ac:dyDescent="0.3">
      <c r="B42" s="30"/>
      <c r="C42" s="30"/>
      <c r="D42" s="30"/>
      <c r="E42" s="30"/>
      <c r="F42" s="30"/>
      <c r="G42" s="33"/>
    </row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7"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36" orientation="landscape" r:id="rId1"/>
  <headerFooter alignWithMargins="0"/>
  <rowBreaks count="1" manualBreakCount="1">
    <brk id="37" max="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G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9" customWidth="1"/>
    <col min="3" max="4" width="24.6640625" style="33" customWidth="1"/>
    <col min="5" max="8" width="24.6640625" style="10" customWidth="1"/>
    <col min="9" max="10" width="24.6640625" style="9" customWidth="1"/>
    <col min="11" max="16384" width="9.109375" style="9"/>
  </cols>
  <sheetData>
    <row r="1" spans="1:59" s="14" customFormat="1" ht="64.5" customHeight="1" x14ac:dyDescent="0.25">
      <c r="A1" s="76" t="s">
        <v>102</v>
      </c>
      <c r="B1" s="77" t="s">
        <v>103</v>
      </c>
      <c r="C1" s="23"/>
      <c r="D1" s="23"/>
      <c r="E1" s="23"/>
      <c r="F1" s="23"/>
      <c r="G1" s="23"/>
      <c r="H1" s="23"/>
      <c r="I1" s="25"/>
      <c r="J1" s="25"/>
      <c r="K1" s="23"/>
      <c r="L1" s="23"/>
      <c r="M1" s="23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spans="1:59" ht="27.75" customHeight="1" x14ac:dyDescent="0.35">
      <c r="A2" s="158"/>
      <c r="B2" s="158"/>
      <c r="C2" s="236"/>
      <c r="D2" s="236"/>
      <c r="E2" s="159"/>
      <c r="F2" s="160"/>
      <c r="G2" s="161"/>
      <c r="H2" s="159"/>
      <c r="I2" s="162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9" s="20" customFormat="1" ht="15" customHeight="1" x14ac:dyDescent="0.35">
      <c r="A3" s="83"/>
      <c r="B3" s="224" t="s">
        <v>2</v>
      </c>
      <c r="C3" s="226" t="s">
        <v>65</v>
      </c>
      <c r="D3" s="227"/>
      <c r="E3" s="227"/>
      <c r="F3" s="227"/>
      <c r="G3" s="227"/>
      <c r="H3" s="227"/>
      <c r="I3" s="227"/>
      <c r="J3" s="228"/>
    </row>
    <row r="4" spans="1:59" s="20" customFormat="1" ht="1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9" s="20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2"/>
      <c r="I5" s="215" t="s">
        <v>26</v>
      </c>
      <c r="J5" s="215"/>
    </row>
    <row r="6" spans="1:59" s="20" customFormat="1" ht="15" customHeight="1" x14ac:dyDescent="0.35">
      <c r="A6" s="84"/>
      <c r="B6" s="84"/>
      <c r="C6" s="233"/>
      <c r="D6" s="233"/>
      <c r="E6" s="233"/>
      <c r="F6" s="233"/>
      <c r="G6" s="233"/>
      <c r="H6" s="233"/>
      <c r="I6" s="216"/>
      <c r="J6" s="216"/>
    </row>
    <row r="7" spans="1:59" s="21" customFormat="1" ht="92.4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9" s="19" customFormat="1" ht="40.200000000000003" customHeight="1" x14ac:dyDescent="0.3">
      <c r="A8" s="124" t="s">
        <v>58</v>
      </c>
      <c r="B8" s="125" t="s">
        <v>0</v>
      </c>
      <c r="C8" s="92">
        <v>172174</v>
      </c>
      <c r="D8" s="92" t="s">
        <v>64</v>
      </c>
      <c r="E8" s="92">
        <v>389622</v>
      </c>
      <c r="F8" s="92" t="s">
        <v>64</v>
      </c>
      <c r="G8" s="261">
        <v>631422</v>
      </c>
      <c r="H8" s="261">
        <v>696606</v>
      </c>
      <c r="I8" s="176">
        <v>1031941</v>
      </c>
      <c r="J8" s="92">
        <v>1116985</v>
      </c>
      <c r="K8" s="18"/>
      <c r="L8" s="18"/>
      <c r="M8" s="18"/>
    </row>
    <row r="9" spans="1:59" s="19" customFormat="1" ht="40.200000000000003" customHeight="1" x14ac:dyDescent="0.3">
      <c r="A9" s="127" t="s">
        <v>32</v>
      </c>
      <c r="B9" s="100" t="s">
        <v>90</v>
      </c>
      <c r="C9" s="95">
        <v>55309</v>
      </c>
      <c r="D9" s="95" t="s">
        <v>64</v>
      </c>
      <c r="E9" s="95">
        <v>107561</v>
      </c>
      <c r="F9" s="95" t="s">
        <v>64</v>
      </c>
      <c r="G9" s="261">
        <v>157981</v>
      </c>
      <c r="H9" s="261">
        <v>159539</v>
      </c>
      <c r="I9" s="178">
        <v>225513</v>
      </c>
      <c r="J9" s="95">
        <v>227709</v>
      </c>
      <c r="K9" s="18"/>
      <c r="L9" s="18"/>
      <c r="M9" s="18"/>
    </row>
    <row r="10" spans="1:59" s="13" customFormat="1" ht="40.200000000000003" customHeight="1" x14ac:dyDescent="0.3">
      <c r="A10" s="128" t="s">
        <v>33</v>
      </c>
      <c r="B10" s="129" t="s">
        <v>91</v>
      </c>
      <c r="C10" s="98">
        <v>44533</v>
      </c>
      <c r="D10" s="98" t="s">
        <v>64</v>
      </c>
      <c r="E10" s="98">
        <v>86935</v>
      </c>
      <c r="F10" s="98" t="s">
        <v>64</v>
      </c>
      <c r="G10" s="262">
        <v>127593</v>
      </c>
      <c r="H10" s="262">
        <v>129022</v>
      </c>
      <c r="I10" s="98">
        <v>181245</v>
      </c>
      <c r="J10" s="98">
        <v>183249</v>
      </c>
      <c r="K10" s="12"/>
      <c r="L10" s="12"/>
      <c r="M10" s="12"/>
    </row>
    <row r="11" spans="1:59" s="13" customFormat="1" ht="40.200000000000003" customHeight="1" x14ac:dyDescent="0.3">
      <c r="A11" s="128" t="s">
        <v>34</v>
      </c>
      <c r="B11" s="129" t="s">
        <v>5</v>
      </c>
      <c r="C11" s="98">
        <v>5474</v>
      </c>
      <c r="D11" s="98" t="s">
        <v>64</v>
      </c>
      <c r="E11" s="98">
        <v>10685</v>
      </c>
      <c r="F11" s="98" t="s">
        <v>64</v>
      </c>
      <c r="G11" s="262">
        <v>16123</v>
      </c>
      <c r="H11" s="262">
        <v>16235</v>
      </c>
      <c r="I11" s="98">
        <v>23184</v>
      </c>
      <c r="J11" s="98">
        <v>23358</v>
      </c>
      <c r="K11" s="12"/>
      <c r="L11" s="12"/>
      <c r="M11" s="12"/>
    </row>
    <row r="12" spans="1:59" s="13" customFormat="1" ht="40.200000000000003" customHeight="1" x14ac:dyDescent="0.3">
      <c r="A12" s="128" t="s">
        <v>35</v>
      </c>
      <c r="B12" s="129" t="s">
        <v>1</v>
      </c>
      <c r="C12" s="98">
        <v>5302</v>
      </c>
      <c r="D12" s="98" t="s">
        <v>64</v>
      </c>
      <c r="E12" s="98">
        <v>9941</v>
      </c>
      <c r="F12" s="98" t="s">
        <v>64</v>
      </c>
      <c r="G12" s="262">
        <v>14265</v>
      </c>
      <c r="H12" s="262">
        <v>14282</v>
      </c>
      <c r="I12" s="98">
        <v>21084</v>
      </c>
      <c r="J12" s="98">
        <v>21102</v>
      </c>
      <c r="K12" s="12"/>
      <c r="L12" s="12"/>
      <c r="M12" s="12"/>
    </row>
    <row r="13" spans="1:59" s="19" customFormat="1" ht="40.200000000000003" customHeight="1" x14ac:dyDescent="0.3">
      <c r="A13" s="127" t="s">
        <v>36</v>
      </c>
      <c r="B13" s="100" t="s">
        <v>12</v>
      </c>
      <c r="C13" s="95">
        <v>5663</v>
      </c>
      <c r="D13" s="95" t="s">
        <v>64</v>
      </c>
      <c r="E13" s="95">
        <v>15978</v>
      </c>
      <c r="F13" s="95" t="s">
        <v>64</v>
      </c>
      <c r="G13" s="261">
        <v>24522</v>
      </c>
      <c r="H13" s="261">
        <v>24756</v>
      </c>
      <c r="I13" s="178">
        <v>42450</v>
      </c>
      <c r="J13" s="95">
        <v>42825</v>
      </c>
      <c r="K13" s="18"/>
      <c r="L13" s="18"/>
      <c r="M13" s="18"/>
    </row>
    <row r="14" spans="1:59" s="13" customFormat="1" ht="40.200000000000003" customHeight="1" x14ac:dyDescent="0.3">
      <c r="A14" s="128" t="s">
        <v>37</v>
      </c>
      <c r="B14" s="129" t="s">
        <v>6</v>
      </c>
      <c r="C14" s="98">
        <v>2268</v>
      </c>
      <c r="D14" s="98" t="s">
        <v>64</v>
      </c>
      <c r="E14" s="98">
        <v>8012</v>
      </c>
      <c r="F14" s="98" t="s">
        <v>64</v>
      </c>
      <c r="G14" s="262">
        <v>12054</v>
      </c>
      <c r="H14" s="262">
        <v>12074</v>
      </c>
      <c r="I14" s="98">
        <v>21678</v>
      </c>
      <c r="J14" s="98">
        <v>21721</v>
      </c>
      <c r="K14" s="12"/>
      <c r="L14" s="12"/>
      <c r="M14" s="12"/>
    </row>
    <row r="15" spans="1:59" s="13" customFormat="1" ht="40.200000000000003" customHeight="1" x14ac:dyDescent="0.3">
      <c r="A15" s="128" t="s">
        <v>38</v>
      </c>
      <c r="B15" s="129" t="s">
        <v>15</v>
      </c>
      <c r="C15" s="98">
        <v>3013</v>
      </c>
      <c r="D15" s="98" t="s">
        <v>64</v>
      </c>
      <c r="E15" s="98">
        <v>7008</v>
      </c>
      <c r="F15" s="98" t="s">
        <v>64</v>
      </c>
      <c r="G15" s="262">
        <v>10946</v>
      </c>
      <c r="H15" s="262">
        <v>11073</v>
      </c>
      <c r="I15" s="98">
        <v>16719</v>
      </c>
      <c r="J15" s="98">
        <v>16945</v>
      </c>
      <c r="K15" s="12"/>
      <c r="L15" s="12"/>
      <c r="M15" s="12"/>
    </row>
    <row r="16" spans="1:59" s="13" customFormat="1" ht="40.200000000000003" customHeight="1" x14ac:dyDescent="0.3">
      <c r="A16" s="128" t="s">
        <v>35</v>
      </c>
      <c r="B16" s="129" t="s">
        <v>1</v>
      </c>
      <c r="C16" s="98">
        <v>382</v>
      </c>
      <c r="D16" s="98" t="s">
        <v>64</v>
      </c>
      <c r="E16" s="98">
        <v>958</v>
      </c>
      <c r="F16" s="98" t="s">
        <v>64</v>
      </c>
      <c r="G16" s="262">
        <v>1522</v>
      </c>
      <c r="H16" s="262">
        <v>1609</v>
      </c>
      <c r="I16" s="98">
        <v>4053</v>
      </c>
      <c r="J16" s="98">
        <v>4159</v>
      </c>
      <c r="K16" s="12"/>
      <c r="L16" s="12"/>
      <c r="M16" s="12"/>
    </row>
    <row r="17" spans="1:13" s="19" customFormat="1" ht="40.200000000000003" customHeight="1" x14ac:dyDescent="0.3">
      <c r="A17" s="127" t="s">
        <v>39</v>
      </c>
      <c r="B17" s="100" t="s">
        <v>62</v>
      </c>
      <c r="C17" s="95">
        <v>57189</v>
      </c>
      <c r="D17" s="95" t="s">
        <v>64</v>
      </c>
      <c r="E17" s="95">
        <v>135282</v>
      </c>
      <c r="F17" s="95" t="s">
        <v>64</v>
      </c>
      <c r="G17" s="261">
        <v>231730</v>
      </c>
      <c r="H17" s="261">
        <v>215216</v>
      </c>
      <c r="I17" s="178">
        <v>316602</v>
      </c>
      <c r="J17" s="95">
        <v>284746</v>
      </c>
      <c r="K17" s="18"/>
      <c r="L17" s="18"/>
      <c r="M17" s="18"/>
    </row>
    <row r="18" spans="1:13" s="13" customFormat="1" ht="40.200000000000003" customHeight="1" x14ac:dyDescent="0.3">
      <c r="A18" s="189" t="s">
        <v>94</v>
      </c>
      <c r="B18" s="102" t="s">
        <v>95</v>
      </c>
      <c r="C18" s="103">
        <v>55944</v>
      </c>
      <c r="D18" s="103" t="s">
        <v>64</v>
      </c>
      <c r="E18" s="103">
        <v>131325</v>
      </c>
      <c r="F18" s="103" t="s">
        <v>64</v>
      </c>
      <c r="G18" s="263">
        <v>225547</v>
      </c>
      <c r="H18" s="263">
        <v>209033</v>
      </c>
      <c r="I18" s="103">
        <v>307003</v>
      </c>
      <c r="J18" s="103">
        <v>275147</v>
      </c>
      <c r="K18" s="12"/>
      <c r="L18" s="12"/>
      <c r="M18" s="12"/>
    </row>
    <row r="19" spans="1:13" ht="40.200000000000003" customHeight="1" x14ac:dyDescent="0.3">
      <c r="A19" s="131" t="s">
        <v>40</v>
      </c>
      <c r="B19" s="105" t="s">
        <v>21</v>
      </c>
      <c r="C19" s="98" t="s">
        <v>64</v>
      </c>
      <c r="D19" s="98" t="s">
        <v>64</v>
      </c>
      <c r="E19" s="98" t="s">
        <v>64</v>
      </c>
      <c r="F19" s="98" t="s">
        <v>64</v>
      </c>
      <c r="G19" s="262">
        <v>26266</v>
      </c>
      <c r="H19" s="262">
        <v>0</v>
      </c>
      <c r="I19" s="98">
        <v>46249</v>
      </c>
      <c r="J19" s="98">
        <v>0</v>
      </c>
      <c r="K19" s="11"/>
      <c r="L19" s="11"/>
      <c r="M19" s="11"/>
    </row>
    <row r="20" spans="1:13" ht="40.200000000000003" customHeight="1" x14ac:dyDescent="0.3">
      <c r="A20" s="131" t="s">
        <v>35</v>
      </c>
      <c r="B20" s="105" t="s">
        <v>7</v>
      </c>
      <c r="C20" s="98" t="s">
        <v>64</v>
      </c>
      <c r="D20" s="98" t="s">
        <v>64</v>
      </c>
      <c r="E20" s="98" t="s">
        <v>64</v>
      </c>
      <c r="F20" s="98" t="s">
        <v>64</v>
      </c>
      <c r="G20" s="262">
        <v>199281</v>
      </c>
      <c r="H20" s="262">
        <v>209033</v>
      </c>
      <c r="I20" s="98">
        <v>260754</v>
      </c>
      <c r="J20" s="98">
        <v>275147</v>
      </c>
      <c r="K20" s="11"/>
      <c r="L20" s="11"/>
      <c r="M20" s="11"/>
    </row>
    <row r="21" spans="1:13" s="13" customFormat="1" ht="40.200000000000003" customHeight="1" x14ac:dyDescent="0.3">
      <c r="A21" s="189" t="s">
        <v>41</v>
      </c>
      <c r="B21" s="102" t="s">
        <v>63</v>
      </c>
      <c r="C21" s="103">
        <v>1245</v>
      </c>
      <c r="D21" s="103" t="s">
        <v>64</v>
      </c>
      <c r="E21" s="103">
        <v>3957</v>
      </c>
      <c r="F21" s="103" t="s">
        <v>64</v>
      </c>
      <c r="G21" s="263">
        <v>6183</v>
      </c>
      <c r="H21" s="263">
        <v>6183</v>
      </c>
      <c r="I21" s="103">
        <v>9599</v>
      </c>
      <c r="J21" s="103">
        <v>9599</v>
      </c>
      <c r="K21" s="12"/>
      <c r="L21" s="12"/>
      <c r="M21" s="12"/>
    </row>
    <row r="22" spans="1:13" s="19" customFormat="1" ht="40.200000000000003" customHeight="1" x14ac:dyDescent="0.3">
      <c r="A22" s="132" t="s">
        <v>42</v>
      </c>
      <c r="B22" s="100" t="s">
        <v>13</v>
      </c>
      <c r="C22" s="95">
        <v>32094</v>
      </c>
      <c r="D22" s="95" t="s">
        <v>64</v>
      </c>
      <c r="E22" s="95">
        <v>74524</v>
      </c>
      <c r="F22" s="95" t="s">
        <v>64</v>
      </c>
      <c r="G22" s="264">
        <v>127956</v>
      </c>
      <c r="H22" s="264">
        <v>200483</v>
      </c>
      <c r="I22" s="178">
        <v>276719</v>
      </c>
      <c r="J22" s="95">
        <v>386255</v>
      </c>
      <c r="K22" s="18"/>
      <c r="L22" s="18"/>
      <c r="M22" s="18"/>
    </row>
    <row r="23" spans="1:13" s="19" customFormat="1" ht="40.200000000000003" customHeight="1" x14ac:dyDescent="0.3">
      <c r="A23" s="133" t="s">
        <v>43</v>
      </c>
      <c r="B23" s="134" t="s">
        <v>54</v>
      </c>
      <c r="C23" s="95">
        <v>15085</v>
      </c>
      <c r="D23" s="95" t="s">
        <v>64</v>
      </c>
      <c r="E23" s="95">
        <v>38602</v>
      </c>
      <c r="F23" s="95" t="s">
        <v>64</v>
      </c>
      <c r="G23" s="261">
        <v>76867</v>
      </c>
      <c r="H23" s="261">
        <v>76867</v>
      </c>
      <c r="I23" s="95">
        <v>202559</v>
      </c>
      <c r="J23" s="95">
        <v>202559</v>
      </c>
      <c r="K23" s="18"/>
      <c r="L23" s="18"/>
      <c r="M23" s="18"/>
    </row>
    <row r="24" spans="1:13" ht="40.200000000000003" customHeight="1" x14ac:dyDescent="0.3">
      <c r="A24" s="131" t="s">
        <v>44</v>
      </c>
      <c r="B24" s="105" t="s">
        <v>17</v>
      </c>
      <c r="C24" s="265">
        <v>0</v>
      </c>
      <c r="D24" s="98" t="s">
        <v>64</v>
      </c>
      <c r="E24" s="265">
        <v>0</v>
      </c>
      <c r="F24" s="98" t="s">
        <v>64</v>
      </c>
      <c r="G24" s="262">
        <v>22090</v>
      </c>
      <c r="H24" s="262">
        <v>22090</v>
      </c>
      <c r="I24" s="98">
        <v>115000</v>
      </c>
      <c r="J24" s="98">
        <v>115000</v>
      </c>
      <c r="K24" s="11"/>
      <c r="L24" s="11"/>
      <c r="M24" s="11"/>
    </row>
    <row r="25" spans="1:13" ht="40.200000000000003" customHeight="1" x14ac:dyDescent="0.3">
      <c r="A25" s="131" t="s">
        <v>45</v>
      </c>
      <c r="B25" s="105" t="s">
        <v>16</v>
      </c>
      <c r="C25" s="98">
        <v>5100</v>
      </c>
      <c r="D25" s="98" t="s">
        <v>64</v>
      </c>
      <c r="E25" s="98">
        <v>14103</v>
      </c>
      <c r="F25" s="98" t="s">
        <v>64</v>
      </c>
      <c r="G25" s="262">
        <v>23060</v>
      </c>
      <c r="H25" s="262">
        <v>23060</v>
      </c>
      <c r="I25" s="98">
        <v>47535</v>
      </c>
      <c r="J25" s="98">
        <v>47535</v>
      </c>
      <c r="K25" s="11"/>
      <c r="L25" s="11"/>
      <c r="M25" s="11"/>
    </row>
    <row r="26" spans="1:13" ht="40.200000000000003" customHeight="1" x14ac:dyDescent="0.3">
      <c r="A26" s="131" t="s">
        <v>35</v>
      </c>
      <c r="B26" s="105" t="s">
        <v>18</v>
      </c>
      <c r="C26" s="98">
        <v>9985</v>
      </c>
      <c r="D26" s="98" t="s">
        <v>64</v>
      </c>
      <c r="E26" s="98">
        <v>24499</v>
      </c>
      <c r="F26" s="98" t="s">
        <v>64</v>
      </c>
      <c r="G26" s="262">
        <v>31717</v>
      </c>
      <c r="H26" s="262">
        <v>31717</v>
      </c>
      <c r="I26" s="98">
        <v>40024</v>
      </c>
      <c r="J26" s="98">
        <v>40024</v>
      </c>
      <c r="K26" s="11"/>
      <c r="L26" s="11"/>
      <c r="M26" s="11"/>
    </row>
    <row r="27" spans="1:13" s="19" customFormat="1" ht="40.200000000000003" customHeight="1" x14ac:dyDescent="0.3">
      <c r="A27" s="133" t="s">
        <v>46</v>
      </c>
      <c r="B27" s="134" t="s">
        <v>55</v>
      </c>
      <c r="C27" s="95">
        <v>757</v>
      </c>
      <c r="D27" s="95" t="s">
        <v>64</v>
      </c>
      <c r="E27" s="95">
        <v>2448</v>
      </c>
      <c r="F27" s="95" t="s">
        <v>64</v>
      </c>
      <c r="G27" s="261">
        <v>3055</v>
      </c>
      <c r="H27" s="261">
        <v>3055</v>
      </c>
      <c r="I27" s="95">
        <v>8919</v>
      </c>
      <c r="J27" s="95">
        <v>8919</v>
      </c>
      <c r="K27" s="18"/>
      <c r="L27" s="18"/>
      <c r="M27" s="18"/>
    </row>
    <row r="28" spans="1:13" s="19" customFormat="1" ht="40.200000000000003" customHeight="1" x14ac:dyDescent="0.3">
      <c r="A28" s="135" t="s">
        <v>104</v>
      </c>
      <c r="B28" s="134" t="s">
        <v>56</v>
      </c>
      <c r="C28" s="95">
        <v>15981</v>
      </c>
      <c r="D28" s="95" t="s">
        <v>64</v>
      </c>
      <c r="E28" s="95">
        <v>32021</v>
      </c>
      <c r="F28" s="95" t="s">
        <v>64</v>
      </c>
      <c r="G28" s="261">
        <v>47354</v>
      </c>
      <c r="H28" s="261">
        <v>119881</v>
      </c>
      <c r="I28" s="95">
        <v>64194</v>
      </c>
      <c r="J28" s="95">
        <v>173730</v>
      </c>
      <c r="K28" s="18"/>
      <c r="L28" s="18"/>
      <c r="M28" s="18"/>
    </row>
    <row r="29" spans="1:13" ht="40.200000000000003" customHeight="1" x14ac:dyDescent="0.3">
      <c r="A29" s="131" t="s">
        <v>47</v>
      </c>
      <c r="B29" s="105" t="s">
        <v>19</v>
      </c>
      <c r="C29" s="98">
        <v>13121</v>
      </c>
      <c r="D29" s="98" t="s">
        <v>64</v>
      </c>
      <c r="E29" s="98">
        <v>24826</v>
      </c>
      <c r="F29" s="98" t="s">
        <v>64</v>
      </c>
      <c r="G29" s="262">
        <v>35030</v>
      </c>
      <c r="H29" s="262">
        <v>0</v>
      </c>
      <c r="I29" s="98">
        <v>45235</v>
      </c>
      <c r="J29" s="98">
        <v>0</v>
      </c>
      <c r="K29" s="11"/>
      <c r="L29" s="11"/>
      <c r="M29" s="11"/>
    </row>
    <row r="30" spans="1:13" ht="40.200000000000003" customHeight="1" x14ac:dyDescent="0.3">
      <c r="A30" s="131" t="s">
        <v>35</v>
      </c>
      <c r="B30" s="105" t="s">
        <v>20</v>
      </c>
      <c r="C30" s="98">
        <v>2860</v>
      </c>
      <c r="D30" s="98" t="s">
        <v>64</v>
      </c>
      <c r="E30" s="98">
        <v>7195</v>
      </c>
      <c r="F30" s="98" t="s">
        <v>64</v>
      </c>
      <c r="G30" s="262">
        <v>12324</v>
      </c>
      <c r="H30" s="262">
        <v>119881</v>
      </c>
      <c r="I30" s="98">
        <v>18959</v>
      </c>
      <c r="J30" s="98">
        <v>173730</v>
      </c>
      <c r="K30" s="11"/>
      <c r="L30" s="11"/>
      <c r="M30" s="11"/>
    </row>
    <row r="31" spans="1:13" s="19" customFormat="1" ht="40.200000000000003" customHeight="1" x14ac:dyDescent="0.3">
      <c r="A31" s="133" t="s">
        <v>48</v>
      </c>
      <c r="B31" s="102" t="s">
        <v>119</v>
      </c>
      <c r="C31" s="95">
        <v>271</v>
      </c>
      <c r="D31" s="95" t="s">
        <v>64</v>
      </c>
      <c r="E31" s="95">
        <v>1453</v>
      </c>
      <c r="F31" s="95" t="s">
        <v>64</v>
      </c>
      <c r="G31" s="261">
        <v>680</v>
      </c>
      <c r="H31" s="261">
        <v>680</v>
      </c>
      <c r="I31" s="95">
        <v>1047</v>
      </c>
      <c r="J31" s="95">
        <v>1047</v>
      </c>
      <c r="K31" s="18"/>
      <c r="L31" s="18"/>
      <c r="M31" s="18"/>
    </row>
    <row r="32" spans="1:13" s="19" customFormat="1" ht="40.200000000000003" customHeight="1" x14ac:dyDescent="0.3">
      <c r="A32" s="127" t="s">
        <v>59</v>
      </c>
      <c r="B32" s="100" t="s">
        <v>11</v>
      </c>
      <c r="C32" s="95">
        <v>12992</v>
      </c>
      <c r="D32" s="95" t="s">
        <v>64</v>
      </c>
      <c r="E32" s="95">
        <v>29128</v>
      </c>
      <c r="F32" s="95" t="s">
        <v>64</v>
      </c>
      <c r="G32" s="261">
        <v>43393</v>
      </c>
      <c r="H32" s="261">
        <v>46494</v>
      </c>
      <c r="I32" s="95">
        <v>61516</v>
      </c>
      <c r="J32" s="95">
        <v>66244</v>
      </c>
      <c r="K32" s="18"/>
      <c r="L32" s="18"/>
      <c r="M32" s="18"/>
    </row>
    <row r="33" spans="1:13" ht="40.200000000000003" customHeight="1" x14ac:dyDescent="0.3">
      <c r="A33" s="128" t="s">
        <v>49</v>
      </c>
      <c r="B33" s="129" t="s">
        <v>4</v>
      </c>
      <c r="C33" s="265" t="s">
        <v>64</v>
      </c>
      <c r="D33" s="98" t="s">
        <v>64</v>
      </c>
      <c r="E33" s="265" t="s">
        <v>64</v>
      </c>
      <c r="F33" s="98" t="s">
        <v>64</v>
      </c>
      <c r="G33" s="262">
        <v>36557</v>
      </c>
      <c r="H33" s="262">
        <v>36557</v>
      </c>
      <c r="I33" s="98">
        <v>48934</v>
      </c>
      <c r="J33" s="98">
        <v>48934</v>
      </c>
      <c r="K33" s="11"/>
      <c r="L33" s="11"/>
      <c r="M33" s="11"/>
    </row>
    <row r="34" spans="1:13" ht="40.200000000000003" customHeight="1" x14ac:dyDescent="0.3">
      <c r="A34" s="128" t="s">
        <v>35</v>
      </c>
      <c r="B34" s="129" t="s">
        <v>8</v>
      </c>
      <c r="C34" s="265" t="s">
        <v>64</v>
      </c>
      <c r="D34" s="98" t="s">
        <v>64</v>
      </c>
      <c r="E34" s="265" t="s">
        <v>64</v>
      </c>
      <c r="F34" s="98" t="s">
        <v>64</v>
      </c>
      <c r="G34" s="262">
        <v>6836</v>
      </c>
      <c r="H34" s="262">
        <v>9937</v>
      </c>
      <c r="I34" s="98">
        <v>12582</v>
      </c>
      <c r="J34" s="98">
        <v>17310</v>
      </c>
      <c r="K34" s="11"/>
      <c r="L34" s="11"/>
      <c r="M34" s="11"/>
    </row>
    <row r="35" spans="1:13" s="19" customFormat="1" ht="40.200000000000003" customHeight="1" x14ac:dyDescent="0.3">
      <c r="A35" s="127" t="s">
        <v>50</v>
      </c>
      <c r="B35" s="136" t="s">
        <v>14</v>
      </c>
      <c r="C35" s="95">
        <v>8927</v>
      </c>
      <c r="D35" s="95" t="s">
        <v>64</v>
      </c>
      <c r="E35" s="95">
        <v>27149</v>
      </c>
      <c r="F35" s="95" t="s">
        <v>64</v>
      </c>
      <c r="G35" s="261">
        <v>45840</v>
      </c>
      <c r="H35" s="261">
        <v>50118</v>
      </c>
      <c r="I35" s="178">
        <v>109141</v>
      </c>
      <c r="J35" s="95">
        <v>109206</v>
      </c>
    </row>
    <row r="36" spans="1:13" ht="40.200000000000003" customHeight="1" x14ac:dyDescent="0.3">
      <c r="A36" s="128" t="s">
        <v>51</v>
      </c>
      <c r="B36" s="129" t="s">
        <v>9</v>
      </c>
      <c r="C36" s="98">
        <v>8198</v>
      </c>
      <c r="D36" s="98" t="s">
        <v>64</v>
      </c>
      <c r="E36" s="98">
        <v>23220</v>
      </c>
      <c r="F36" s="98" t="s">
        <v>64</v>
      </c>
      <c r="G36" s="262">
        <v>38916</v>
      </c>
      <c r="H36" s="262">
        <v>43194</v>
      </c>
      <c r="I36" s="98">
        <v>88327</v>
      </c>
      <c r="J36" s="98">
        <v>88392</v>
      </c>
    </row>
    <row r="37" spans="1:13" ht="40.200000000000003" customHeight="1" x14ac:dyDescent="0.3">
      <c r="A37" s="137" t="s">
        <v>35</v>
      </c>
      <c r="B37" s="138" t="s">
        <v>10</v>
      </c>
      <c r="C37" s="115">
        <v>729</v>
      </c>
      <c r="D37" s="115" t="s">
        <v>64</v>
      </c>
      <c r="E37" s="115">
        <v>3929</v>
      </c>
      <c r="F37" s="115" t="s">
        <v>64</v>
      </c>
      <c r="G37" s="266">
        <v>6924</v>
      </c>
      <c r="H37" s="266">
        <v>6924</v>
      </c>
      <c r="I37" s="115">
        <v>20814</v>
      </c>
      <c r="J37" s="115">
        <v>20814</v>
      </c>
    </row>
    <row r="38" spans="1:13" ht="21.9" customHeight="1" x14ac:dyDescent="0.3">
      <c r="A38" s="63" t="s">
        <v>67</v>
      </c>
      <c r="B38" s="64" t="s">
        <v>68</v>
      </c>
      <c r="I38" s="68"/>
    </row>
    <row r="39" spans="1:13" ht="104.25" customHeight="1" x14ac:dyDescent="0.3">
      <c r="A39" s="60" t="s">
        <v>111</v>
      </c>
      <c r="B39" s="22" t="s">
        <v>109</v>
      </c>
    </row>
    <row r="40" spans="1:13" ht="61.2" customHeight="1" x14ac:dyDescent="0.3">
      <c r="A40" s="60" t="s">
        <v>73</v>
      </c>
      <c r="B40" s="223" t="s">
        <v>72</v>
      </c>
      <c r="C40" s="223"/>
    </row>
    <row r="41" spans="1:13" ht="35.4" customHeight="1" x14ac:dyDescent="0.3">
      <c r="A41" s="69" t="s">
        <v>87</v>
      </c>
      <c r="B41" s="58" t="s">
        <v>69</v>
      </c>
    </row>
    <row r="42" spans="1:13" ht="21.9" customHeight="1" x14ac:dyDescent="0.3">
      <c r="B42" s="8"/>
      <c r="C42" s="8"/>
      <c r="D42" s="8"/>
      <c r="E42" s="8"/>
      <c r="F42" s="8"/>
      <c r="G42" s="34"/>
    </row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36" orientation="landscape" r:id="rId1"/>
  <headerFooter alignWithMargins="0"/>
  <rowBreaks count="1" manualBreakCount="1">
    <brk id="37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G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2" width="62.6640625" style="9" customWidth="1"/>
    <col min="3" max="4" width="24.6640625" style="33" customWidth="1"/>
    <col min="5" max="8" width="24.6640625" style="10" customWidth="1"/>
    <col min="9" max="10" width="24.6640625" style="9" customWidth="1"/>
    <col min="11" max="16384" width="9.109375" style="9"/>
  </cols>
  <sheetData>
    <row r="1" spans="1:59" s="14" customFormat="1" ht="52.2" customHeight="1" x14ac:dyDescent="0.25">
      <c r="A1" s="76" t="s">
        <v>102</v>
      </c>
      <c r="B1" s="77" t="s">
        <v>103</v>
      </c>
      <c r="C1" s="23"/>
      <c r="D1" s="23"/>
      <c r="E1" s="23"/>
      <c r="F1" s="23"/>
      <c r="G1" s="23"/>
      <c r="H1" s="23"/>
      <c r="I1" s="25"/>
      <c r="J1" s="25"/>
      <c r="K1" s="23"/>
      <c r="L1" s="23"/>
      <c r="M1" s="23"/>
      <c r="N1" s="23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spans="1:59" ht="22.95" customHeight="1" x14ac:dyDescent="0.35">
      <c r="A2" s="158"/>
      <c r="B2" s="158"/>
      <c r="C2" s="236"/>
      <c r="D2" s="236"/>
      <c r="E2" s="159"/>
      <c r="F2" s="160"/>
      <c r="G2" s="161"/>
      <c r="H2" s="159"/>
      <c r="I2" s="162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9" s="20" customFormat="1" ht="15" customHeight="1" x14ac:dyDescent="0.35">
      <c r="A3" s="83"/>
      <c r="B3" s="224" t="s">
        <v>2</v>
      </c>
      <c r="C3" s="226" t="s">
        <v>70</v>
      </c>
      <c r="D3" s="227"/>
      <c r="E3" s="227"/>
      <c r="F3" s="227"/>
      <c r="G3" s="227"/>
      <c r="H3" s="227"/>
      <c r="I3" s="227"/>
      <c r="J3" s="228"/>
    </row>
    <row r="4" spans="1:59" s="20" customFormat="1" ht="1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9" s="20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2"/>
      <c r="I5" s="215" t="s">
        <v>26</v>
      </c>
      <c r="J5" s="215"/>
    </row>
    <row r="6" spans="1:59" s="20" customFormat="1" ht="15" customHeight="1" x14ac:dyDescent="0.35">
      <c r="A6" s="84"/>
      <c r="B6" s="84"/>
      <c r="C6" s="233"/>
      <c r="D6" s="233"/>
      <c r="E6" s="233"/>
      <c r="F6" s="233"/>
      <c r="G6" s="233"/>
      <c r="H6" s="233"/>
      <c r="I6" s="216"/>
      <c r="J6" s="216"/>
    </row>
    <row r="7" spans="1:59" s="21" customFormat="1" ht="92.4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9" s="19" customFormat="1" ht="40.200000000000003" customHeight="1" x14ac:dyDescent="0.3">
      <c r="A8" s="124" t="s">
        <v>58</v>
      </c>
      <c r="B8" s="125" t="s">
        <v>0</v>
      </c>
      <c r="C8" s="92">
        <v>214103</v>
      </c>
      <c r="D8" s="92">
        <v>249272</v>
      </c>
      <c r="E8" s="92">
        <v>487711</v>
      </c>
      <c r="F8" s="92">
        <v>549704</v>
      </c>
      <c r="G8" s="261">
        <v>771966</v>
      </c>
      <c r="H8" s="261">
        <v>855401</v>
      </c>
      <c r="I8" s="261">
        <v>1229132</v>
      </c>
      <c r="J8" s="261">
        <v>1335980</v>
      </c>
      <c r="K8" s="18"/>
      <c r="L8" s="18"/>
      <c r="M8" s="18"/>
    </row>
    <row r="9" spans="1:59" s="19" customFormat="1" ht="40.200000000000003" customHeight="1" x14ac:dyDescent="0.3">
      <c r="A9" s="127" t="s">
        <v>32</v>
      </c>
      <c r="B9" s="100" t="s">
        <v>90</v>
      </c>
      <c r="C9" s="95">
        <v>60162</v>
      </c>
      <c r="D9" s="95">
        <v>60663</v>
      </c>
      <c r="E9" s="95">
        <v>114032</v>
      </c>
      <c r="F9" s="95">
        <v>115091</v>
      </c>
      <c r="G9" s="261">
        <v>171655</v>
      </c>
      <c r="H9" s="261">
        <v>173266</v>
      </c>
      <c r="I9" s="261">
        <v>236920</v>
      </c>
      <c r="J9" s="261">
        <v>239076</v>
      </c>
      <c r="K9" s="18"/>
      <c r="L9" s="18"/>
      <c r="M9" s="18"/>
    </row>
    <row r="10" spans="1:59" s="13" customFormat="1" ht="40.200000000000003" customHeight="1" x14ac:dyDescent="0.3">
      <c r="A10" s="128" t="s">
        <v>33</v>
      </c>
      <c r="B10" s="129" t="s">
        <v>91</v>
      </c>
      <c r="C10" s="98">
        <v>46882</v>
      </c>
      <c r="D10" s="98">
        <v>47343</v>
      </c>
      <c r="E10" s="98">
        <v>90280</v>
      </c>
      <c r="F10" s="98">
        <v>91256</v>
      </c>
      <c r="G10" s="262">
        <v>138234</v>
      </c>
      <c r="H10" s="262">
        <v>139698</v>
      </c>
      <c r="I10" s="262">
        <v>192920</v>
      </c>
      <c r="J10" s="262">
        <v>194859</v>
      </c>
      <c r="K10" s="12"/>
      <c r="L10" s="12"/>
      <c r="M10" s="12"/>
    </row>
    <row r="11" spans="1:59" s="13" customFormat="1" ht="40.200000000000003" customHeight="1" x14ac:dyDescent="0.3">
      <c r="A11" s="128" t="s">
        <v>34</v>
      </c>
      <c r="B11" s="129" t="s">
        <v>5</v>
      </c>
      <c r="C11" s="98">
        <v>6753</v>
      </c>
      <c r="D11" s="98">
        <v>6788</v>
      </c>
      <c r="E11" s="98">
        <v>12770</v>
      </c>
      <c r="F11" s="98">
        <v>12841</v>
      </c>
      <c r="G11" s="262">
        <v>19703</v>
      </c>
      <c r="H11" s="262">
        <v>19835</v>
      </c>
      <c r="I11" s="262">
        <v>26303</v>
      </c>
      <c r="J11" s="262">
        <v>26495</v>
      </c>
      <c r="K11" s="12"/>
      <c r="L11" s="12"/>
      <c r="M11" s="12"/>
    </row>
    <row r="12" spans="1:59" s="13" customFormat="1" ht="40.200000000000003" customHeight="1" x14ac:dyDescent="0.3">
      <c r="A12" s="128" t="s">
        <v>35</v>
      </c>
      <c r="B12" s="129" t="s">
        <v>1</v>
      </c>
      <c r="C12" s="98">
        <v>6527</v>
      </c>
      <c r="D12" s="98">
        <v>6532</v>
      </c>
      <c r="E12" s="98">
        <v>10982</v>
      </c>
      <c r="F12" s="98">
        <v>10994</v>
      </c>
      <c r="G12" s="262">
        <v>13718</v>
      </c>
      <c r="H12" s="262">
        <v>13733</v>
      </c>
      <c r="I12" s="262">
        <v>17697</v>
      </c>
      <c r="J12" s="262">
        <v>17722</v>
      </c>
      <c r="K12" s="12"/>
      <c r="L12" s="12"/>
      <c r="M12" s="12"/>
    </row>
    <row r="13" spans="1:59" s="19" customFormat="1" ht="40.200000000000003" customHeight="1" x14ac:dyDescent="0.3">
      <c r="A13" s="127" t="s">
        <v>36</v>
      </c>
      <c r="B13" s="100" t="s">
        <v>12</v>
      </c>
      <c r="C13" s="95">
        <v>6808</v>
      </c>
      <c r="D13" s="95">
        <v>6910</v>
      </c>
      <c r="E13" s="95">
        <v>17565</v>
      </c>
      <c r="F13" s="95">
        <v>17743</v>
      </c>
      <c r="G13" s="261">
        <v>29096</v>
      </c>
      <c r="H13" s="261">
        <v>29338</v>
      </c>
      <c r="I13" s="261">
        <v>47879</v>
      </c>
      <c r="J13" s="261">
        <v>48296</v>
      </c>
      <c r="K13" s="18"/>
      <c r="L13" s="18"/>
      <c r="M13" s="18"/>
    </row>
    <row r="14" spans="1:59" s="13" customFormat="1" ht="40.200000000000003" customHeight="1" x14ac:dyDescent="0.3">
      <c r="A14" s="128" t="s">
        <v>37</v>
      </c>
      <c r="B14" s="129" t="s">
        <v>6</v>
      </c>
      <c r="C14" s="98">
        <v>2339</v>
      </c>
      <c r="D14" s="98">
        <v>2345</v>
      </c>
      <c r="E14" s="98">
        <v>7910</v>
      </c>
      <c r="F14" s="98">
        <v>7925</v>
      </c>
      <c r="G14" s="262">
        <v>14364</v>
      </c>
      <c r="H14" s="262">
        <v>14388</v>
      </c>
      <c r="I14" s="262">
        <v>26118</v>
      </c>
      <c r="J14" s="262">
        <v>26180</v>
      </c>
      <c r="K14" s="12"/>
      <c r="L14" s="12"/>
      <c r="M14" s="12"/>
    </row>
    <row r="15" spans="1:59" s="13" customFormat="1" ht="40.200000000000003" customHeight="1" x14ac:dyDescent="0.3">
      <c r="A15" s="128" t="s">
        <v>38</v>
      </c>
      <c r="B15" s="129" t="s">
        <v>15</v>
      </c>
      <c r="C15" s="98">
        <v>4105</v>
      </c>
      <c r="D15" s="98">
        <v>4156</v>
      </c>
      <c r="E15" s="98">
        <v>8777</v>
      </c>
      <c r="F15" s="98">
        <v>8880</v>
      </c>
      <c r="G15" s="262">
        <v>13831</v>
      </c>
      <c r="H15" s="262">
        <v>13983</v>
      </c>
      <c r="I15" s="262">
        <v>20912</v>
      </c>
      <c r="J15" s="262">
        <v>21153</v>
      </c>
      <c r="K15" s="12"/>
      <c r="L15" s="12"/>
      <c r="M15" s="12"/>
    </row>
    <row r="16" spans="1:59" s="13" customFormat="1" ht="40.200000000000003" customHeight="1" x14ac:dyDescent="0.3">
      <c r="A16" s="128" t="s">
        <v>35</v>
      </c>
      <c r="B16" s="129" t="s">
        <v>1</v>
      </c>
      <c r="C16" s="98">
        <v>364</v>
      </c>
      <c r="D16" s="98">
        <v>409</v>
      </c>
      <c r="E16" s="98">
        <v>878</v>
      </c>
      <c r="F16" s="98">
        <v>938</v>
      </c>
      <c r="G16" s="262">
        <v>901</v>
      </c>
      <c r="H16" s="262">
        <v>967</v>
      </c>
      <c r="I16" s="262">
        <v>849</v>
      </c>
      <c r="J16" s="262">
        <v>963</v>
      </c>
      <c r="K16" s="12"/>
      <c r="L16" s="12"/>
      <c r="M16" s="12"/>
    </row>
    <row r="17" spans="1:13" s="19" customFormat="1" ht="40.200000000000003" customHeight="1" x14ac:dyDescent="0.3">
      <c r="A17" s="127" t="s">
        <v>39</v>
      </c>
      <c r="B17" s="100" t="s">
        <v>62</v>
      </c>
      <c r="C17" s="95">
        <v>75892</v>
      </c>
      <c r="D17" s="95">
        <v>70087</v>
      </c>
      <c r="E17" s="95">
        <v>173154</v>
      </c>
      <c r="F17" s="95">
        <v>165832</v>
      </c>
      <c r="G17" s="261">
        <v>268897</v>
      </c>
      <c r="H17" s="261">
        <v>256561</v>
      </c>
      <c r="I17" s="261">
        <v>437359</v>
      </c>
      <c r="J17" s="261">
        <v>415097</v>
      </c>
      <c r="K17" s="18"/>
      <c r="L17" s="18"/>
      <c r="M17" s="18"/>
    </row>
    <row r="18" spans="1:13" s="13" customFormat="1" ht="40.200000000000003" customHeight="1" x14ac:dyDescent="0.3">
      <c r="A18" s="189" t="s">
        <v>94</v>
      </c>
      <c r="B18" s="102" t="s">
        <v>116</v>
      </c>
      <c r="C18" s="103">
        <v>68681</v>
      </c>
      <c r="D18" s="103">
        <v>62876</v>
      </c>
      <c r="E18" s="103">
        <v>161774</v>
      </c>
      <c r="F18" s="103">
        <v>154452</v>
      </c>
      <c r="G18" s="263">
        <v>250014</v>
      </c>
      <c r="H18" s="263">
        <v>237678</v>
      </c>
      <c r="I18" s="263">
        <v>415152</v>
      </c>
      <c r="J18" s="263">
        <v>392890</v>
      </c>
      <c r="K18" s="12"/>
      <c r="L18" s="12"/>
      <c r="M18" s="12"/>
    </row>
    <row r="19" spans="1:13" ht="40.200000000000003" customHeight="1" x14ac:dyDescent="0.3">
      <c r="A19" s="131" t="s">
        <v>40</v>
      </c>
      <c r="B19" s="105" t="s">
        <v>21</v>
      </c>
      <c r="C19" s="98">
        <v>9318</v>
      </c>
      <c r="D19" s="98">
        <v>0</v>
      </c>
      <c r="E19" s="98">
        <v>16842</v>
      </c>
      <c r="F19" s="98">
        <v>0</v>
      </c>
      <c r="G19" s="262">
        <v>28862</v>
      </c>
      <c r="H19" s="262">
        <v>0</v>
      </c>
      <c r="I19" s="262">
        <v>50253</v>
      </c>
      <c r="J19" s="262">
        <v>0</v>
      </c>
      <c r="K19" s="11"/>
      <c r="L19" s="11"/>
      <c r="M19" s="11"/>
    </row>
    <row r="20" spans="1:13" ht="40.200000000000003" customHeight="1" x14ac:dyDescent="0.3">
      <c r="A20" s="131" t="s">
        <v>35</v>
      </c>
      <c r="B20" s="105" t="s">
        <v>7</v>
      </c>
      <c r="C20" s="98">
        <v>59363</v>
      </c>
      <c r="D20" s="98">
        <v>62876</v>
      </c>
      <c r="E20" s="98">
        <v>144932</v>
      </c>
      <c r="F20" s="98">
        <v>154452</v>
      </c>
      <c r="G20" s="262">
        <v>221152</v>
      </c>
      <c r="H20" s="262">
        <v>237678</v>
      </c>
      <c r="I20" s="262">
        <v>364899</v>
      </c>
      <c r="J20" s="262">
        <v>392890</v>
      </c>
      <c r="K20" s="11"/>
      <c r="L20" s="11"/>
      <c r="M20" s="11"/>
    </row>
    <row r="21" spans="1:13" s="13" customFormat="1" ht="40.200000000000003" customHeight="1" x14ac:dyDescent="0.3">
      <c r="A21" s="189" t="s">
        <v>41</v>
      </c>
      <c r="B21" s="102" t="s">
        <v>63</v>
      </c>
      <c r="C21" s="103">
        <v>7211</v>
      </c>
      <c r="D21" s="103">
        <v>7211</v>
      </c>
      <c r="E21" s="103">
        <v>11380</v>
      </c>
      <c r="F21" s="103">
        <v>11380</v>
      </c>
      <c r="G21" s="263">
        <v>18883</v>
      </c>
      <c r="H21" s="263">
        <v>18883</v>
      </c>
      <c r="I21" s="263">
        <v>22207</v>
      </c>
      <c r="J21" s="263">
        <v>22207</v>
      </c>
      <c r="K21" s="12"/>
      <c r="L21" s="12"/>
      <c r="M21" s="12"/>
    </row>
    <row r="22" spans="1:13" s="19" customFormat="1" ht="40.200000000000003" customHeight="1" x14ac:dyDescent="0.3">
      <c r="A22" s="132" t="s">
        <v>42</v>
      </c>
      <c r="B22" s="100" t="s">
        <v>13</v>
      </c>
      <c r="C22" s="95">
        <v>36262</v>
      </c>
      <c r="D22" s="95">
        <v>74331</v>
      </c>
      <c r="E22" s="95">
        <v>112452</v>
      </c>
      <c r="F22" s="95">
        <v>177493</v>
      </c>
      <c r="G22" s="261">
        <v>192346</v>
      </c>
      <c r="H22" s="261">
        <v>286227</v>
      </c>
      <c r="I22" s="261">
        <v>329076</v>
      </c>
      <c r="J22" s="261">
        <v>455498</v>
      </c>
      <c r="K22" s="18"/>
      <c r="L22" s="18"/>
      <c r="M22" s="18"/>
    </row>
    <row r="23" spans="1:13" s="19" customFormat="1" ht="40.200000000000003" customHeight="1" x14ac:dyDescent="0.3">
      <c r="A23" s="133" t="s">
        <v>43</v>
      </c>
      <c r="B23" s="134" t="s">
        <v>54</v>
      </c>
      <c r="C23" s="95">
        <v>19492</v>
      </c>
      <c r="D23" s="95">
        <v>19492</v>
      </c>
      <c r="E23" s="95">
        <v>69605</v>
      </c>
      <c r="F23" s="95">
        <v>69605</v>
      </c>
      <c r="G23" s="261">
        <v>126941</v>
      </c>
      <c r="H23" s="261">
        <v>126941</v>
      </c>
      <c r="I23" s="261">
        <v>243538</v>
      </c>
      <c r="J23" s="261">
        <v>243538</v>
      </c>
      <c r="K23" s="18"/>
      <c r="L23" s="18"/>
      <c r="M23" s="18"/>
    </row>
    <row r="24" spans="1:13" ht="40.200000000000003" customHeight="1" x14ac:dyDescent="0.3">
      <c r="A24" s="131" t="s">
        <v>44</v>
      </c>
      <c r="B24" s="105" t="s">
        <v>17</v>
      </c>
      <c r="C24" s="265">
        <v>0</v>
      </c>
      <c r="D24" s="98">
        <v>0</v>
      </c>
      <c r="E24" s="265">
        <v>26651</v>
      </c>
      <c r="F24" s="98">
        <v>26651</v>
      </c>
      <c r="G24" s="262">
        <v>55122</v>
      </c>
      <c r="H24" s="262">
        <v>55122</v>
      </c>
      <c r="I24" s="262">
        <v>120804</v>
      </c>
      <c r="J24" s="262">
        <v>120804</v>
      </c>
      <c r="K24" s="11"/>
      <c r="L24" s="11"/>
      <c r="M24" s="11"/>
    </row>
    <row r="25" spans="1:13" ht="40.200000000000003" customHeight="1" x14ac:dyDescent="0.3">
      <c r="A25" s="131" t="s">
        <v>45</v>
      </c>
      <c r="B25" s="105" t="s">
        <v>16</v>
      </c>
      <c r="C25" s="98">
        <v>9800</v>
      </c>
      <c r="D25" s="98">
        <v>9800</v>
      </c>
      <c r="E25" s="98">
        <v>23258</v>
      </c>
      <c r="F25" s="98">
        <v>23258</v>
      </c>
      <c r="G25" s="262">
        <v>40808</v>
      </c>
      <c r="H25" s="262">
        <v>40808</v>
      </c>
      <c r="I25" s="262">
        <v>80500</v>
      </c>
      <c r="J25" s="262">
        <v>80500</v>
      </c>
      <c r="K25" s="11"/>
      <c r="L25" s="11"/>
      <c r="M25" s="11"/>
    </row>
    <row r="26" spans="1:13" ht="40.200000000000003" customHeight="1" x14ac:dyDescent="0.3">
      <c r="A26" s="131" t="s">
        <v>35</v>
      </c>
      <c r="B26" s="105" t="s">
        <v>18</v>
      </c>
      <c r="C26" s="98">
        <v>9692</v>
      </c>
      <c r="D26" s="98">
        <v>9692</v>
      </c>
      <c r="E26" s="98">
        <v>19696</v>
      </c>
      <c r="F26" s="98">
        <v>19696</v>
      </c>
      <c r="G26" s="262">
        <v>31011</v>
      </c>
      <c r="H26" s="262">
        <v>31011</v>
      </c>
      <c r="I26" s="262">
        <v>42234</v>
      </c>
      <c r="J26" s="262">
        <v>42234</v>
      </c>
      <c r="K26" s="11"/>
      <c r="L26" s="11"/>
      <c r="M26" s="11"/>
    </row>
    <row r="27" spans="1:13" s="19" customFormat="1" ht="40.200000000000003" customHeight="1" x14ac:dyDescent="0.3">
      <c r="A27" s="133" t="s">
        <v>46</v>
      </c>
      <c r="B27" s="134" t="s">
        <v>55</v>
      </c>
      <c r="C27" s="95">
        <v>1062</v>
      </c>
      <c r="D27" s="95">
        <v>1062</v>
      </c>
      <c r="E27" s="95">
        <v>3005</v>
      </c>
      <c r="F27" s="95">
        <v>3005</v>
      </c>
      <c r="G27" s="261">
        <v>4560</v>
      </c>
      <c r="H27" s="261">
        <v>4560</v>
      </c>
      <c r="I27" s="261">
        <v>6713</v>
      </c>
      <c r="J27" s="261">
        <v>6713</v>
      </c>
      <c r="K27" s="18"/>
      <c r="L27" s="18"/>
      <c r="M27" s="18"/>
    </row>
    <row r="28" spans="1:13" s="19" customFormat="1" ht="40.200000000000003" customHeight="1" x14ac:dyDescent="0.3">
      <c r="A28" s="135" t="s">
        <v>104</v>
      </c>
      <c r="B28" s="134" t="s">
        <v>56</v>
      </c>
      <c r="C28" s="95">
        <v>15349</v>
      </c>
      <c r="D28" s="95">
        <v>53418</v>
      </c>
      <c r="E28" s="95">
        <v>39231</v>
      </c>
      <c r="F28" s="95">
        <v>104271</v>
      </c>
      <c r="G28" s="261">
        <v>59978</v>
      </c>
      <c r="H28" s="261">
        <v>153859</v>
      </c>
      <c r="I28" s="261">
        <v>77751</v>
      </c>
      <c r="J28" s="261">
        <v>204173</v>
      </c>
      <c r="K28" s="18"/>
      <c r="L28" s="18"/>
      <c r="M28" s="18"/>
    </row>
    <row r="29" spans="1:13" ht="40.200000000000003" customHeight="1" x14ac:dyDescent="0.3">
      <c r="A29" s="131" t="s">
        <v>47</v>
      </c>
      <c r="B29" s="105" t="s">
        <v>19</v>
      </c>
      <c r="C29" s="98">
        <v>7791</v>
      </c>
      <c r="D29" s="98">
        <v>0</v>
      </c>
      <c r="E29" s="98">
        <v>25289</v>
      </c>
      <c r="F29" s="98">
        <v>0</v>
      </c>
      <c r="G29" s="262">
        <v>40753</v>
      </c>
      <c r="H29" s="262">
        <v>0</v>
      </c>
      <c r="I29" s="262">
        <v>52500</v>
      </c>
      <c r="J29" s="262">
        <v>0</v>
      </c>
      <c r="K29" s="11"/>
      <c r="L29" s="11"/>
      <c r="M29" s="11"/>
    </row>
    <row r="30" spans="1:13" ht="40.200000000000003" customHeight="1" x14ac:dyDescent="0.3">
      <c r="A30" s="131" t="s">
        <v>35</v>
      </c>
      <c r="B30" s="105" t="s">
        <v>20</v>
      </c>
      <c r="C30" s="98">
        <v>7558</v>
      </c>
      <c r="D30" s="98">
        <v>53418</v>
      </c>
      <c r="E30" s="98">
        <v>13942</v>
      </c>
      <c r="F30" s="98">
        <v>104271</v>
      </c>
      <c r="G30" s="262">
        <v>19225</v>
      </c>
      <c r="H30" s="262">
        <v>153859</v>
      </c>
      <c r="I30" s="262">
        <v>25251</v>
      </c>
      <c r="J30" s="262">
        <v>204173</v>
      </c>
      <c r="K30" s="11"/>
      <c r="L30" s="11"/>
      <c r="M30" s="11"/>
    </row>
    <row r="31" spans="1:13" s="19" customFormat="1" ht="40.200000000000003" customHeight="1" x14ac:dyDescent="0.3">
      <c r="A31" s="133" t="s">
        <v>48</v>
      </c>
      <c r="B31" s="102" t="s">
        <v>119</v>
      </c>
      <c r="C31" s="95">
        <v>359</v>
      </c>
      <c r="D31" s="95">
        <v>359</v>
      </c>
      <c r="E31" s="95">
        <v>611</v>
      </c>
      <c r="F31" s="95">
        <v>612</v>
      </c>
      <c r="G31" s="261">
        <v>867</v>
      </c>
      <c r="H31" s="261">
        <v>867</v>
      </c>
      <c r="I31" s="261">
        <v>1074</v>
      </c>
      <c r="J31" s="261">
        <v>1074</v>
      </c>
      <c r="K31" s="18"/>
      <c r="L31" s="18"/>
      <c r="M31" s="18"/>
    </row>
    <row r="32" spans="1:13" s="19" customFormat="1" ht="40.200000000000003" customHeight="1" x14ac:dyDescent="0.3">
      <c r="A32" s="127" t="s">
        <v>59</v>
      </c>
      <c r="B32" s="100" t="s">
        <v>11</v>
      </c>
      <c r="C32" s="95">
        <v>20124</v>
      </c>
      <c r="D32" s="95">
        <v>22426</v>
      </c>
      <c r="E32" s="95">
        <v>36532</v>
      </c>
      <c r="F32" s="95">
        <v>39563</v>
      </c>
      <c r="G32" s="261">
        <v>50271</v>
      </c>
      <c r="H32" s="261">
        <v>50296</v>
      </c>
      <c r="I32" s="261">
        <v>72314</v>
      </c>
      <c r="J32" s="261">
        <v>72349</v>
      </c>
      <c r="K32" s="18"/>
      <c r="L32" s="18"/>
      <c r="M32" s="18"/>
    </row>
    <row r="33" spans="1:13" ht="40.200000000000003" customHeight="1" x14ac:dyDescent="0.3">
      <c r="A33" s="128" t="s">
        <v>49</v>
      </c>
      <c r="B33" s="129" t="s">
        <v>4</v>
      </c>
      <c r="C33" s="265">
        <v>18091</v>
      </c>
      <c r="D33" s="98">
        <v>18091</v>
      </c>
      <c r="E33" s="265">
        <v>32169</v>
      </c>
      <c r="F33" s="98">
        <v>32169</v>
      </c>
      <c r="G33" s="262">
        <v>42370</v>
      </c>
      <c r="H33" s="262">
        <v>42370</v>
      </c>
      <c r="I33" s="262">
        <v>55002</v>
      </c>
      <c r="J33" s="262">
        <v>55002</v>
      </c>
      <c r="K33" s="11"/>
      <c r="L33" s="11"/>
      <c r="M33" s="11"/>
    </row>
    <row r="34" spans="1:13" ht="40.200000000000003" customHeight="1" x14ac:dyDescent="0.3">
      <c r="A34" s="128" t="s">
        <v>35</v>
      </c>
      <c r="B34" s="129" t="s">
        <v>8</v>
      </c>
      <c r="C34" s="265">
        <v>2033</v>
      </c>
      <c r="D34" s="98">
        <v>4335</v>
      </c>
      <c r="E34" s="265">
        <v>4363</v>
      </c>
      <c r="F34" s="98">
        <v>7394</v>
      </c>
      <c r="G34" s="262">
        <v>7901</v>
      </c>
      <c r="H34" s="262">
        <v>7926</v>
      </c>
      <c r="I34" s="262">
        <v>17312</v>
      </c>
      <c r="J34" s="262">
        <v>17347</v>
      </c>
      <c r="K34" s="11"/>
      <c r="L34" s="11"/>
      <c r="M34" s="11"/>
    </row>
    <row r="35" spans="1:13" s="19" customFormat="1" ht="40.200000000000003" customHeight="1" x14ac:dyDescent="0.3">
      <c r="A35" s="127" t="s">
        <v>50</v>
      </c>
      <c r="B35" s="136" t="s">
        <v>14</v>
      </c>
      <c r="C35" s="95">
        <v>14855</v>
      </c>
      <c r="D35" s="95">
        <v>14855</v>
      </c>
      <c r="E35" s="95">
        <v>33976</v>
      </c>
      <c r="F35" s="95">
        <v>33982</v>
      </c>
      <c r="G35" s="261">
        <v>59701</v>
      </c>
      <c r="H35" s="261">
        <v>59713</v>
      </c>
      <c r="I35" s="261">
        <v>105584</v>
      </c>
      <c r="J35" s="261">
        <v>105664</v>
      </c>
    </row>
    <row r="36" spans="1:13" ht="40.200000000000003" customHeight="1" x14ac:dyDescent="0.3">
      <c r="A36" s="128" t="s">
        <v>51</v>
      </c>
      <c r="B36" s="129" t="s">
        <v>9</v>
      </c>
      <c r="C36" s="98">
        <v>13790</v>
      </c>
      <c r="D36" s="98">
        <v>13790</v>
      </c>
      <c r="E36" s="98">
        <v>31175</v>
      </c>
      <c r="F36" s="98">
        <v>31180</v>
      </c>
      <c r="G36" s="262">
        <v>55052</v>
      </c>
      <c r="H36" s="262">
        <v>55064</v>
      </c>
      <c r="I36" s="262">
        <v>94131</v>
      </c>
      <c r="J36" s="262">
        <v>94211</v>
      </c>
    </row>
    <row r="37" spans="1:13" ht="40.200000000000003" customHeight="1" x14ac:dyDescent="0.3">
      <c r="A37" s="137" t="s">
        <v>35</v>
      </c>
      <c r="B37" s="138" t="s">
        <v>10</v>
      </c>
      <c r="C37" s="115">
        <v>1065</v>
      </c>
      <c r="D37" s="115">
        <v>1065</v>
      </c>
      <c r="E37" s="115">
        <v>2801</v>
      </c>
      <c r="F37" s="115">
        <v>2802</v>
      </c>
      <c r="G37" s="267">
        <v>4649</v>
      </c>
      <c r="H37" s="268">
        <v>4649</v>
      </c>
      <c r="I37" s="268">
        <v>11453</v>
      </c>
      <c r="J37" s="268">
        <v>11453</v>
      </c>
    </row>
    <row r="38" spans="1:13" ht="21.9" customHeight="1" x14ac:dyDescent="0.3">
      <c r="A38" s="63" t="s">
        <v>67</v>
      </c>
      <c r="B38" s="64" t="s">
        <v>68</v>
      </c>
      <c r="I38" s="68"/>
    </row>
    <row r="39" spans="1:13" ht="104.25" customHeight="1" x14ac:dyDescent="0.3">
      <c r="A39" s="60" t="s">
        <v>112</v>
      </c>
      <c r="B39" s="22" t="s">
        <v>109</v>
      </c>
    </row>
    <row r="40" spans="1:13" ht="61.2" customHeight="1" x14ac:dyDescent="0.3">
      <c r="A40" s="60" t="s">
        <v>89</v>
      </c>
      <c r="B40" s="223" t="s">
        <v>88</v>
      </c>
      <c r="C40" s="223"/>
    </row>
    <row r="41" spans="1:13" ht="21.9" customHeight="1" x14ac:dyDescent="0.3">
      <c r="A41" s="69"/>
      <c r="B41" s="58"/>
    </row>
    <row r="42" spans="1:13" ht="21.9" customHeight="1" x14ac:dyDescent="0.3">
      <c r="B42" s="8"/>
      <c r="C42" s="8"/>
      <c r="D42" s="8"/>
      <c r="E42" s="8"/>
      <c r="F42" s="8"/>
      <c r="G42" s="34"/>
    </row>
    <row r="43" spans="1:13" ht="21.9" customHeight="1" x14ac:dyDescent="0.3"/>
    <row r="44" spans="1:13" ht="21.9" customHeight="1" x14ac:dyDescent="0.3"/>
    <row r="45" spans="1:13" ht="21.9" customHeight="1" x14ac:dyDescent="0.3"/>
    <row r="46" spans="1:13" ht="21.9" customHeight="1" x14ac:dyDescent="0.3"/>
    <row r="47" spans="1:13" ht="21.9" customHeight="1" x14ac:dyDescent="0.3"/>
    <row r="48" spans="1:13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  <row r="1305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7" orientation="landscape" horizontalDpi="4294967295" verticalDpi="4294967295" r:id="rId1"/>
  <headerFooter alignWithMargins="0"/>
  <rowBreaks count="1" manualBreakCount="1">
    <brk id="37" max="9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6A13-53A3-45E0-9C39-BD54A0A130CC}">
  <sheetPr>
    <pageSetUpPr fitToPage="1"/>
  </sheetPr>
  <dimension ref="A1:BG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3320312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9.33203125" style="35"/>
  </cols>
  <sheetData>
    <row r="1" spans="1:59" s="27" customFormat="1" ht="52.2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</row>
    <row r="2" spans="1:59" ht="22.95" customHeight="1" x14ac:dyDescent="0.35">
      <c r="A2" s="78"/>
      <c r="B2" s="78"/>
      <c r="C2" s="237"/>
      <c r="D2" s="237"/>
      <c r="E2" s="79"/>
      <c r="F2" s="80"/>
      <c r="G2" s="81"/>
      <c r="H2" s="79"/>
      <c r="I2" s="162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</row>
    <row r="3" spans="1:59" s="36" customFormat="1" ht="15" customHeight="1" x14ac:dyDescent="0.35">
      <c r="A3" s="83"/>
      <c r="B3" s="224" t="s">
        <v>2</v>
      </c>
      <c r="C3" s="226" t="s">
        <v>92</v>
      </c>
      <c r="D3" s="227"/>
      <c r="E3" s="227"/>
      <c r="F3" s="227"/>
      <c r="G3" s="227"/>
      <c r="H3" s="227"/>
      <c r="I3" s="227"/>
      <c r="J3" s="228"/>
    </row>
    <row r="4" spans="1:59" s="36" customFormat="1" ht="1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9" s="36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2"/>
      <c r="I5" s="232" t="s">
        <v>26</v>
      </c>
      <c r="J5" s="232"/>
    </row>
    <row r="6" spans="1:59" s="36" customFormat="1" ht="15" customHeight="1" x14ac:dyDescent="0.35">
      <c r="A6" s="84"/>
      <c r="B6" s="84"/>
      <c r="C6" s="233"/>
      <c r="D6" s="233"/>
      <c r="E6" s="233"/>
      <c r="F6" s="233"/>
      <c r="G6" s="233"/>
      <c r="H6" s="233"/>
      <c r="I6" s="233"/>
      <c r="J6" s="233"/>
    </row>
    <row r="7" spans="1:59" s="38" customFormat="1" ht="92.7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9" s="40" customFormat="1" ht="40.200000000000003" customHeight="1" x14ac:dyDescent="0.3">
      <c r="A8" s="163" t="s">
        <v>58</v>
      </c>
      <c r="B8" s="91" t="s">
        <v>0</v>
      </c>
      <c r="C8" s="174">
        <v>276024</v>
      </c>
      <c r="D8" s="92" t="s">
        <v>64</v>
      </c>
      <c r="E8" s="175">
        <v>574261</v>
      </c>
      <c r="F8" s="92">
        <v>649128</v>
      </c>
      <c r="G8" s="175">
        <v>879046</v>
      </c>
      <c r="H8" s="92">
        <v>995542</v>
      </c>
      <c r="I8" s="175">
        <v>1369870</v>
      </c>
      <c r="J8" s="92">
        <v>1505187</v>
      </c>
      <c r="K8" s="39"/>
      <c r="L8" s="39"/>
      <c r="M8" s="39"/>
    </row>
    <row r="9" spans="1:59" s="40" customFormat="1" ht="40.200000000000003" customHeight="1" x14ac:dyDescent="0.3">
      <c r="A9" s="164" t="s">
        <v>32</v>
      </c>
      <c r="B9" s="94" t="s">
        <v>93</v>
      </c>
      <c r="C9" s="174">
        <v>68000</v>
      </c>
      <c r="D9" s="95" t="s">
        <v>64</v>
      </c>
      <c r="E9" s="177">
        <v>131161</v>
      </c>
      <c r="F9" s="95">
        <v>132250</v>
      </c>
      <c r="G9" s="177">
        <v>196051</v>
      </c>
      <c r="H9" s="95">
        <v>197647</v>
      </c>
      <c r="I9" s="177">
        <v>266091</v>
      </c>
      <c r="J9" s="95">
        <v>268373</v>
      </c>
      <c r="K9" s="39"/>
      <c r="L9" s="39"/>
      <c r="M9" s="39"/>
    </row>
    <row r="10" spans="1:59" s="42" customFormat="1" ht="40.200000000000003" customHeight="1" x14ac:dyDescent="0.3">
      <c r="A10" s="166" t="s">
        <v>33</v>
      </c>
      <c r="B10" s="167" t="s">
        <v>91</v>
      </c>
      <c r="C10" s="179">
        <v>53896</v>
      </c>
      <c r="D10" s="98" t="s">
        <v>64</v>
      </c>
      <c r="E10" s="180">
        <v>105897</v>
      </c>
      <c r="F10" s="98">
        <v>106886</v>
      </c>
      <c r="G10" s="180">
        <v>159716</v>
      </c>
      <c r="H10" s="98">
        <v>161147</v>
      </c>
      <c r="I10" s="180">
        <v>217592</v>
      </c>
      <c r="J10" s="98">
        <v>219602</v>
      </c>
      <c r="K10" s="41"/>
      <c r="L10" s="41"/>
      <c r="M10" s="41"/>
    </row>
    <row r="11" spans="1:59" s="42" customFormat="1" ht="40.200000000000003" customHeight="1" x14ac:dyDescent="0.3">
      <c r="A11" s="166" t="s">
        <v>34</v>
      </c>
      <c r="B11" s="167" t="s">
        <v>5</v>
      </c>
      <c r="C11" s="179">
        <v>8059</v>
      </c>
      <c r="D11" s="98" t="s">
        <v>64</v>
      </c>
      <c r="E11" s="180">
        <v>15557</v>
      </c>
      <c r="F11" s="98">
        <v>15641</v>
      </c>
      <c r="G11" s="180">
        <v>23003</v>
      </c>
      <c r="H11" s="98">
        <v>23147</v>
      </c>
      <c r="I11" s="180">
        <v>30520</v>
      </c>
      <c r="J11" s="98">
        <v>30760</v>
      </c>
      <c r="K11" s="41"/>
      <c r="L11" s="41"/>
      <c r="M11" s="41"/>
    </row>
    <row r="12" spans="1:59" s="42" customFormat="1" ht="40.200000000000003" customHeight="1" x14ac:dyDescent="0.3">
      <c r="A12" s="166" t="s">
        <v>35</v>
      </c>
      <c r="B12" s="167" t="s">
        <v>1</v>
      </c>
      <c r="C12" s="179">
        <v>6045</v>
      </c>
      <c r="D12" s="98" t="s">
        <v>64</v>
      </c>
      <c r="E12" s="180">
        <v>9707</v>
      </c>
      <c r="F12" s="98">
        <v>9723</v>
      </c>
      <c r="G12" s="180">
        <v>13332</v>
      </c>
      <c r="H12" s="98">
        <v>13353</v>
      </c>
      <c r="I12" s="180">
        <v>17979</v>
      </c>
      <c r="J12" s="98">
        <v>18011</v>
      </c>
      <c r="K12" s="41"/>
      <c r="L12" s="41"/>
      <c r="M12" s="41"/>
    </row>
    <row r="13" spans="1:59" s="40" customFormat="1" ht="40.200000000000003" customHeight="1" x14ac:dyDescent="0.3">
      <c r="A13" s="164" t="s">
        <v>36</v>
      </c>
      <c r="B13" s="94" t="s">
        <v>12</v>
      </c>
      <c r="C13" s="174">
        <v>12640</v>
      </c>
      <c r="D13" s="95" t="s">
        <v>64</v>
      </c>
      <c r="E13" s="177">
        <v>28484</v>
      </c>
      <c r="F13" s="95">
        <v>28698</v>
      </c>
      <c r="G13" s="177">
        <v>42685</v>
      </c>
      <c r="H13" s="95">
        <v>42955</v>
      </c>
      <c r="I13" s="177">
        <v>62365</v>
      </c>
      <c r="J13" s="95">
        <v>62697</v>
      </c>
      <c r="K13" s="39"/>
      <c r="L13" s="39"/>
      <c r="M13" s="39"/>
    </row>
    <row r="14" spans="1:59" s="42" customFormat="1" ht="40.200000000000003" customHeight="1" x14ac:dyDescent="0.3">
      <c r="A14" s="166" t="s">
        <v>37</v>
      </c>
      <c r="B14" s="167" t="s">
        <v>6</v>
      </c>
      <c r="C14" s="179">
        <v>6322</v>
      </c>
      <c r="D14" s="98" t="s">
        <v>64</v>
      </c>
      <c r="E14" s="180">
        <v>15174</v>
      </c>
      <c r="F14" s="98">
        <v>15206</v>
      </c>
      <c r="G14" s="180">
        <v>22754</v>
      </c>
      <c r="H14" s="98">
        <v>22797</v>
      </c>
      <c r="I14" s="180">
        <v>34050</v>
      </c>
      <c r="J14" s="98">
        <v>34102</v>
      </c>
      <c r="K14" s="41"/>
      <c r="L14" s="41"/>
      <c r="M14" s="41"/>
    </row>
    <row r="15" spans="1:59" s="42" customFormat="1" ht="40.200000000000003" customHeight="1" x14ac:dyDescent="0.3">
      <c r="A15" s="166" t="s">
        <v>38</v>
      </c>
      <c r="B15" s="167" t="s">
        <v>15</v>
      </c>
      <c r="C15" s="179">
        <v>6195</v>
      </c>
      <c r="D15" s="98" t="s">
        <v>64</v>
      </c>
      <c r="E15" s="180">
        <v>13057</v>
      </c>
      <c r="F15" s="98">
        <v>13169</v>
      </c>
      <c r="G15" s="180">
        <v>19525</v>
      </c>
      <c r="H15" s="98">
        <v>19679</v>
      </c>
      <c r="I15" s="180">
        <v>26893</v>
      </c>
      <c r="J15" s="98">
        <v>27070</v>
      </c>
      <c r="K15" s="41"/>
      <c r="L15" s="41"/>
      <c r="M15" s="41"/>
    </row>
    <row r="16" spans="1:59" s="42" customFormat="1" ht="40.200000000000003" customHeight="1" x14ac:dyDescent="0.3">
      <c r="A16" s="166" t="s">
        <v>35</v>
      </c>
      <c r="B16" s="167" t="s">
        <v>1</v>
      </c>
      <c r="C16" s="179">
        <v>123</v>
      </c>
      <c r="D16" s="98" t="s">
        <v>64</v>
      </c>
      <c r="E16" s="180">
        <v>253</v>
      </c>
      <c r="F16" s="98">
        <v>323</v>
      </c>
      <c r="G16" s="180">
        <v>406</v>
      </c>
      <c r="H16" s="98">
        <v>479</v>
      </c>
      <c r="I16" s="180">
        <v>1422</v>
      </c>
      <c r="J16" s="98">
        <v>1525</v>
      </c>
      <c r="K16" s="41"/>
      <c r="L16" s="41"/>
      <c r="M16" s="41"/>
    </row>
    <row r="17" spans="1:13" s="40" customFormat="1" ht="40.200000000000003" customHeight="1" x14ac:dyDescent="0.3">
      <c r="A17" s="127" t="s">
        <v>39</v>
      </c>
      <c r="B17" s="100" t="s">
        <v>62</v>
      </c>
      <c r="C17" s="174">
        <v>109544</v>
      </c>
      <c r="D17" s="95" t="s">
        <v>64</v>
      </c>
      <c r="E17" s="177">
        <v>207474</v>
      </c>
      <c r="F17" s="95">
        <v>201301</v>
      </c>
      <c r="G17" s="177">
        <v>316981</v>
      </c>
      <c r="H17" s="95">
        <v>309138</v>
      </c>
      <c r="I17" s="177">
        <v>533045</v>
      </c>
      <c r="J17" s="95">
        <v>506471</v>
      </c>
      <c r="K17" s="39"/>
      <c r="L17" s="39"/>
      <c r="M17" s="39"/>
    </row>
    <row r="18" spans="1:13" ht="40.200000000000003" customHeight="1" x14ac:dyDescent="0.3">
      <c r="A18" s="135" t="s">
        <v>94</v>
      </c>
      <c r="B18" s="168" t="s">
        <v>95</v>
      </c>
      <c r="C18" s="182">
        <v>98566</v>
      </c>
      <c r="D18" s="103" t="s">
        <v>64</v>
      </c>
      <c r="E18" s="183">
        <v>191146</v>
      </c>
      <c r="F18" s="103">
        <v>184973</v>
      </c>
      <c r="G18" s="183">
        <v>289262</v>
      </c>
      <c r="H18" s="103">
        <v>281419</v>
      </c>
      <c r="I18" s="183">
        <v>497836</v>
      </c>
      <c r="J18" s="103">
        <v>471262</v>
      </c>
      <c r="K18" s="38"/>
      <c r="L18" s="38"/>
      <c r="M18" s="38"/>
    </row>
    <row r="19" spans="1:13" ht="40.200000000000003" customHeight="1" x14ac:dyDescent="0.3">
      <c r="A19" s="169" t="s">
        <v>40</v>
      </c>
      <c r="B19" s="170" t="s">
        <v>21</v>
      </c>
      <c r="C19" s="98" t="s">
        <v>64</v>
      </c>
      <c r="D19" s="98" t="s">
        <v>64</v>
      </c>
      <c r="E19" s="180">
        <v>25888</v>
      </c>
      <c r="F19" s="98">
        <v>0</v>
      </c>
      <c r="G19" s="180">
        <v>41112</v>
      </c>
      <c r="H19" s="98">
        <v>0</v>
      </c>
      <c r="I19" s="180">
        <v>74226</v>
      </c>
      <c r="J19" s="98">
        <v>0</v>
      </c>
      <c r="K19" s="38"/>
      <c r="L19" s="38"/>
      <c r="M19" s="38"/>
    </row>
    <row r="20" spans="1:13" ht="40.200000000000003" customHeight="1" x14ac:dyDescent="0.3">
      <c r="A20" s="169" t="s">
        <v>35</v>
      </c>
      <c r="B20" s="170" t="s">
        <v>7</v>
      </c>
      <c r="C20" s="98" t="s">
        <v>64</v>
      </c>
      <c r="D20" s="98" t="s">
        <v>64</v>
      </c>
      <c r="E20" s="180">
        <v>165258</v>
      </c>
      <c r="F20" s="98">
        <v>184973</v>
      </c>
      <c r="G20" s="180">
        <v>248150</v>
      </c>
      <c r="H20" s="98">
        <v>281419</v>
      </c>
      <c r="I20" s="180">
        <v>423610</v>
      </c>
      <c r="J20" s="98">
        <v>471262</v>
      </c>
      <c r="K20" s="38"/>
      <c r="L20" s="38"/>
      <c r="M20" s="38"/>
    </row>
    <row r="21" spans="1:13" ht="40.200000000000003" customHeight="1" x14ac:dyDescent="0.3">
      <c r="A21" s="135" t="s">
        <v>41</v>
      </c>
      <c r="B21" s="168" t="s">
        <v>63</v>
      </c>
      <c r="C21" s="182">
        <v>10978</v>
      </c>
      <c r="D21" s="103" t="s">
        <v>64</v>
      </c>
      <c r="E21" s="183">
        <v>16328</v>
      </c>
      <c r="F21" s="103">
        <v>16328</v>
      </c>
      <c r="G21" s="183">
        <v>27719</v>
      </c>
      <c r="H21" s="103">
        <v>27719</v>
      </c>
      <c r="I21" s="183">
        <v>35209</v>
      </c>
      <c r="J21" s="103">
        <v>35209</v>
      </c>
      <c r="K21" s="38"/>
      <c r="L21" s="38"/>
      <c r="M21" s="38"/>
    </row>
    <row r="22" spans="1:13" s="40" customFormat="1" ht="40.200000000000003" customHeight="1" x14ac:dyDescent="0.3">
      <c r="A22" s="106" t="s">
        <v>42</v>
      </c>
      <c r="B22" s="94" t="s">
        <v>13</v>
      </c>
      <c r="C22" s="174">
        <v>43283</v>
      </c>
      <c r="D22" s="95" t="s">
        <v>64</v>
      </c>
      <c r="E22" s="177">
        <v>112458</v>
      </c>
      <c r="F22" s="95">
        <v>192174</v>
      </c>
      <c r="G22" s="177">
        <v>174567</v>
      </c>
      <c r="H22" s="95">
        <v>296865</v>
      </c>
      <c r="I22" s="177">
        <v>287461</v>
      </c>
      <c r="J22" s="95">
        <v>446527</v>
      </c>
      <c r="K22" s="39"/>
      <c r="L22" s="39"/>
      <c r="M22" s="39"/>
    </row>
    <row r="23" spans="1:13" s="40" customFormat="1" ht="40.200000000000003" customHeight="1" x14ac:dyDescent="0.3">
      <c r="A23" s="164" t="s">
        <v>43</v>
      </c>
      <c r="B23" s="94" t="s">
        <v>54</v>
      </c>
      <c r="C23" s="174">
        <v>22220</v>
      </c>
      <c r="D23" s="95" t="s">
        <v>64</v>
      </c>
      <c r="E23" s="177">
        <v>69578</v>
      </c>
      <c r="F23" s="95">
        <v>69578</v>
      </c>
      <c r="G23" s="177">
        <v>111694</v>
      </c>
      <c r="H23" s="95">
        <v>111694</v>
      </c>
      <c r="I23" s="177">
        <v>203657</v>
      </c>
      <c r="J23" s="95">
        <v>203657</v>
      </c>
      <c r="K23" s="39"/>
      <c r="L23" s="39"/>
      <c r="M23" s="39"/>
    </row>
    <row r="24" spans="1:13" ht="40.200000000000003" customHeight="1" x14ac:dyDescent="0.3">
      <c r="A24" s="166" t="s">
        <v>44</v>
      </c>
      <c r="B24" s="167" t="s">
        <v>17</v>
      </c>
      <c r="C24" s="179">
        <v>4000</v>
      </c>
      <c r="D24" s="98" t="s">
        <v>64</v>
      </c>
      <c r="E24" s="185">
        <v>30169</v>
      </c>
      <c r="F24" s="98">
        <v>30169</v>
      </c>
      <c r="G24" s="185">
        <v>50955</v>
      </c>
      <c r="H24" s="98">
        <v>50955</v>
      </c>
      <c r="I24" s="185">
        <v>84732</v>
      </c>
      <c r="J24" s="98">
        <v>84732</v>
      </c>
      <c r="K24" s="38"/>
      <c r="L24" s="38"/>
      <c r="M24" s="38"/>
    </row>
    <row r="25" spans="1:13" ht="40.200000000000003" customHeight="1" x14ac:dyDescent="0.3">
      <c r="A25" s="166" t="s">
        <v>45</v>
      </c>
      <c r="B25" s="167" t="s">
        <v>16</v>
      </c>
      <c r="C25" s="179">
        <v>11450</v>
      </c>
      <c r="D25" s="98" t="s">
        <v>64</v>
      </c>
      <c r="E25" s="180">
        <v>24366</v>
      </c>
      <c r="F25" s="98">
        <v>24366</v>
      </c>
      <c r="G25" s="180">
        <v>36308</v>
      </c>
      <c r="H25" s="98">
        <v>36308</v>
      </c>
      <c r="I25" s="180">
        <v>87000</v>
      </c>
      <c r="J25" s="98">
        <v>87000</v>
      </c>
      <c r="K25" s="38"/>
      <c r="L25" s="38"/>
      <c r="M25" s="38"/>
    </row>
    <row r="26" spans="1:13" ht="40.200000000000003" customHeight="1" x14ac:dyDescent="0.3">
      <c r="A26" s="166" t="s">
        <v>35</v>
      </c>
      <c r="B26" s="167" t="s">
        <v>18</v>
      </c>
      <c r="C26" s="179">
        <v>6770</v>
      </c>
      <c r="D26" s="98" t="s">
        <v>64</v>
      </c>
      <c r="E26" s="180">
        <v>15043</v>
      </c>
      <c r="F26" s="98">
        <v>15043</v>
      </c>
      <c r="G26" s="180">
        <v>24431</v>
      </c>
      <c r="H26" s="98">
        <v>24431</v>
      </c>
      <c r="I26" s="180">
        <v>31925</v>
      </c>
      <c r="J26" s="98">
        <v>31925</v>
      </c>
      <c r="K26" s="38"/>
      <c r="L26" s="38"/>
      <c r="M26" s="38"/>
    </row>
    <row r="27" spans="1:13" s="40" customFormat="1" ht="40.200000000000003" customHeight="1" x14ac:dyDescent="0.3">
      <c r="A27" s="164" t="s">
        <v>46</v>
      </c>
      <c r="B27" s="94" t="s">
        <v>55</v>
      </c>
      <c r="C27" s="174">
        <v>1890</v>
      </c>
      <c r="D27" s="95" t="s">
        <v>64</v>
      </c>
      <c r="E27" s="177">
        <v>3672</v>
      </c>
      <c r="F27" s="95">
        <v>3672</v>
      </c>
      <c r="G27" s="177">
        <v>5178</v>
      </c>
      <c r="H27" s="95">
        <v>5178</v>
      </c>
      <c r="I27" s="177">
        <v>6738</v>
      </c>
      <c r="J27" s="95">
        <v>6738</v>
      </c>
      <c r="K27" s="39"/>
      <c r="L27" s="39"/>
      <c r="M27" s="39"/>
    </row>
    <row r="28" spans="1:13" s="40" customFormat="1" ht="40.200000000000003" customHeight="1" x14ac:dyDescent="0.3">
      <c r="A28" s="165" t="s">
        <v>104</v>
      </c>
      <c r="B28" s="94" t="s">
        <v>56</v>
      </c>
      <c r="C28" s="174">
        <v>18752</v>
      </c>
      <c r="D28" s="95" t="s">
        <v>64</v>
      </c>
      <c r="E28" s="177">
        <v>38566</v>
      </c>
      <c r="F28" s="95">
        <v>118282</v>
      </c>
      <c r="G28" s="177">
        <v>56846</v>
      </c>
      <c r="H28" s="95">
        <v>179144</v>
      </c>
      <c r="I28" s="177">
        <v>76002</v>
      </c>
      <c r="J28" s="95">
        <v>235067</v>
      </c>
      <c r="K28" s="39"/>
      <c r="L28" s="39"/>
      <c r="M28" s="39"/>
    </row>
    <row r="29" spans="1:13" ht="40.200000000000003" customHeight="1" x14ac:dyDescent="0.3">
      <c r="A29" s="166" t="s">
        <v>47</v>
      </c>
      <c r="B29" s="167" t="s">
        <v>19</v>
      </c>
      <c r="C29" s="179">
        <v>12500</v>
      </c>
      <c r="D29" s="98" t="s">
        <v>64</v>
      </c>
      <c r="E29" s="180">
        <v>24500</v>
      </c>
      <c r="F29" s="98">
        <v>0</v>
      </c>
      <c r="G29" s="180">
        <v>36500</v>
      </c>
      <c r="H29" s="98">
        <v>0</v>
      </c>
      <c r="I29" s="180">
        <v>48500</v>
      </c>
      <c r="J29" s="98">
        <v>0</v>
      </c>
      <c r="K29" s="38"/>
      <c r="L29" s="38"/>
      <c r="M29" s="38"/>
    </row>
    <row r="30" spans="1:13" ht="40.200000000000003" customHeight="1" x14ac:dyDescent="0.3">
      <c r="A30" s="166" t="s">
        <v>35</v>
      </c>
      <c r="B30" s="167" t="s">
        <v>20</v>
      </c>
      <c r="C30" s="179">
        <v>6252</v>
      </c>
      <c r="D30" s="98" t="s">
        <v>64</v>
      </c>
      <c r="E30" s="180">
        <v>14066</v>
      </c>
      <c r="F30" s="98">
        <v>118282</v>
      </c>
      <c r="G30" s="180">
        <v>20346</v>
      </c>
      <c r="H30" s="98">
        <v>179144</v>
      </c>
      <c r="I30" s="180">
        <v>27502</v>
      </c>
      <c r="J30" s="98">
        <v>235067</v>
      </c>
      <c r="K30" s="38"/>
      <c r="L30" s="38"/>
      <c r="M30" s="38"/>
    </row>
    <row r="31" spans="1:13" s="40" customFormat="1" ht="40.200000000000003" customHeight="1" x14ac:dyDescent="0.3">
      <c r="A31" s="164" t="s">
        <v>48</v>
      </c>
      <c r="B31" s="171" t="s">
        <v>119</v>
      </c>
      <c r="C31" s="174">
        <v>421</v>
      </c>
      <c r="D31" s="95" t="s">
        <v>64</v>
      </c>
      <c r="E31" s="177">
        <v>642</v>
      </c>
      <c r="F31" s="95">
        <v>642</v>
      </c>
      <c r="G31" s="177">
        <v>849</v>
      </c>
      <c r="H31" s="95">
        <v>849</v>
      </c>
      <c r="I31" s="177">
        <v>1064</v>
      </c>
      <c r="J31" s="95">
        <v>1065</v>
      </c>
      <c r="K31" s="39"/>
      <c r="L31" s="39"/>
      <c r="M31" s="39"/>
    </row>
    <row r="32" spans="1:13" s="40" customFormat="1" ht="40.200000000000003" customHeight="1" x14ac:dyDescent="0.3">
      <c r="A32" s="164" t="s">
        <v>59</v>
      </c>
      <c r="B32" s="94" t="s">
        <v>11</v>
      </c>
      <c r="C32" s="174">
        <v>15125</v>
      </c>
      <c r="D32" s="95" t="s">
        <v>64</v>
      </c>
      <c r="E32" s="177">
        <v>38954</v>
      </c>
      <c r="F32" s="95">
        <v>38959</v>
      </c>
      <c r="G32" s="177">
        <v>57097</v>
      </c>
      <c r="H32" s="95">
        <v>57235</v>
      </c>
      <c r="I32" s="177">
        <v>77566</v>
      </c>
      <c r="J32" s="95">
        <v>77653</v>
      </c>
      <c r="K32" s="39"/>
      <c r="L32" s="39"/>
      <c r="M32" s="39"/>
    </row>
    <row r="33" spans="1:13" ht="40.200000000000003" customHeight="1" x14ac:dyDescent="0.3">
      <c r="A33" s="166" t="s">
        <v>49</v>
      </c>
      <c r="B33" s="167" t="s">
        <v>4</v>
      </c>
      <c r="C33" s="98" t="s">
        <v>64</v>
      </c>
      <c r="D33" s="98" t="s">
        <v>64</v>
      </c>
      <c r="E33" s="98">
        <v>33976</v>
      </c>
      <c r="F33" s="98">
        <v>33976</v>
      </c>
      <c r="G33" s="98">
        <v>48992</v>
      </c>
      <c r="H33" s="98">
        <v>48992</v>
      </c>
      <c r="I33" s="98">
        <v>61582</v>
      </c>
      <c r="J33" s="98">
        <v>61582</v>
      </c>
      <c r="K33" s="38"/>
      <c r="L33" s="38"/>
      <c r="M33" s="38"/>
    </row>
    <row r="34" spans="1:13" ht="40.200000000000003" customHeight="1" x14ac:dyDescent="0.3">
      <c r="A34" s="166" t="s">
        <v>35</v>
      </c>
      <c r="B34" s="167" t="s">
        <v>8</v>
      </c>
      <c r="C34" s="179" t="s">
        <v>64</v>
      </c>
      <c r="D34" s="98" t="s">
        <v>64</v>
      </c>
      <c r="E34" s="185">
        <v>4978</v>
      </c>
      <c r="F34" s="98">
        <v>4983</v>
      </c>
      <c r="G34" s="185">
        <v>8105</v>
      </c>
      <c r="H34" s="98">
        <v>8243</v>
      </c>
      <c r="I34" s="185">
        <v>15984</v>
      </c>
      <c r="J34" s="98">
        <v>16071</v>
      </c>
      <c r="K34" s="38"/>
      <c r="L34" s="38"/>
      <c r="M34" s="38"/>
    </row>
    <row r="35" spans="1:13" s="40" customFormat="1" ht="51" customHeight="1" x14ac:dyDescent="0.3">
      <c r="A35" s="164" t="s">
        <v>50</v>
      </c>
      <c r="B35" s="112" t="s">
        <v>14</v>
      </c>
      <c r="C35" s="174">
        <v>27432</v>
      </c>
      <c r="D35" s="95" t="s">
        <v>64</v>
      </c>
      <c r="E35" s="177">
        <v>55730</v>
      </c>
      <c r="F35" s="95">
        <v>55746</v>
      </c>
      <c r="G35" s="177">
        <v>91665</v>
      </c>
      <c r="H35" s="95">
        <v>91702</v>
      </c>
      <c r="I35" s="177">
        <v>143342</v>
      </c>
      <c r="J35" s="95">
        <v>143466</v>
      </c>
    </row>
    <row r="36" spans="1:13" ht="40.200000000000003" customHeight="1" x14ac:dyDescent="0.3">
      <c r="A36" s="166" t="s">
        <v>51</v>
      </c>
      <c r="B36" s="167" t="s">
        <v>9</v>
      </c>
      <c r="C36" s="179">
        <v>26229</v>
      </c>
      <c r="D36" s="98" t="s">
        <v>64</v>
      </c>
      <c r="E36" s="180">
        <v>51655</v>
      </c>
      <c r="F36" s="98">
        <v>51671</v>
      </c>
      <c r="G36" s="180">
        <v>84717</v>
      </c>
      <c r="H36" s="98">
        <v>84754</v>
      </c>
      <c r="I36" s="180">
        <v>115373</v>
      </c>
      <c r="J36" s="98">
        <v>115496</v>
      </c>
    </row>
    <row r="37" spans="1:13" ht="40.200000000000003" customHeight="1" x14ac:dyDescent="0.3">
      <c r="A37" s="172" t="s">
        <v>35</v>
      </c>
      <c r="B37" s="173" t="s">
        <v>10</v>
      </c>
      <c r="C37" s="187">
        <v>1203</v>
      </c>
      <c r="D37" s="115" t="s">
        <v>64</v>
      </c>
      <c r="E37" s="187">
        <v>4075</v>
      </c>
      <c r="F37" s="115">
        <v>4075</v>
      </c>
      <c r="G37" s="187">
        <v>6948</v>
      </c>
      <c r="H37" s="115">
        <v>6948</v>
      </c>
      <c r="I37" s="187">
        <v>27969</v>
      </c>
      <c r="J37" s="115">
        <v>27970</v>
      </c>
    </row>
    <row r="38" spans="1:13" ht="22.2" customHeight="1" x14ac:dyDescent="0.3">
      <c r="A38" s="70" t="s">
        <v>67</v>
      </c>
      <c r="B38" s="71" t="s">
        <v>68</v>
      </c>
      <c r="I38" s="72"/>
    </row>
    <row r="39" spans="1:13" ht="104.25" customHeight="1" x14ac:dyDescent="0.3">
      <c r="A39" s="66" t="s">
        <v>112</v>
      </c>
      <c r="B39" s="29" t="s">
        <v>109</v>
      </c>
    </row>
    <row r="40" spans="1:13" ht="60" customHeight="1" x14ac:dyDescent="0.3">
      <c r="A40" s="66" t="s">
        <v>89</v>
      </c>
      <c r="B40" s="238" t="s">
        <v>88</v>
      </c>
      <c r="C40" s="238"/>
    </row>
    <row r="41" spans="1:13" ht="27.6" customHeight="1" x14ac:dyDescent="0.3">
      <c r="A41" s="67" t="s">
        <v>87</v>
      </c>
      <c r="B41" s="73" t="s">
        <v>69</v>
      </c>
    </row>
    <row r="42" spans="1:13" ht="22.2" customHeight="1" x14ac:dyDescent="0.3">
      <c r="B42" s="30"/>
      <c r="C42" s="30"/>
      <c r="D42" s="30"/>
      <c r="E42" s="30"/>
      <c r="F42" s="30"/>
      <c r="G42" s="33"/>
    </row>
    <row r="43" spans="1:13" ht="22.2" customHeight="1" x14ac:dyDescent="0.3"/>
    <row r="44" spans="1:13" ht="22.2" customHeight="1" x14ac:dyDescent="0.3"/>
    <row r="45" spans="1:13" ht="22.2" customHeight="1" x14ac:dyDescent="0.3"/>
    <row r="46" spans="1:13" ht="22.2" customHeight="1" x14ac:dyDescent="0.3"/>
    <row r="47" spans="1:13" ht="22.2" customHeight="1" x14ac:dyDescent="0.3"/>
    <row r="48" spans="1:13" ht="22.2" customHeight="1" x14ac:dyDescent="0.3"/>
    <row r="49" ht="22.2" customHeight="1" x14ac:dyDescent="0.3"/>
    <row r="50" ht="22.2" customHeight="1" x14ac:dyDescent="0.3"/>
    <row r="51" ht="22.2" customHeight="1" x14ac:dyDescent="0.3"/>
    <row r="52" ht="22.2" customHeight="1" x14ac:dyDescent="0.3"/>
    <row r="53" ht="22.2" customHeight="1" x14ac:dyDescent="0.3"/>
    <row r="54" ht="22.2" customHeight="1" x14ac:dyDescent="0.3"/>
    <row r="55" ht="22.2" customHeight="1" x14ac:dyDescent="0.3"/>
    <row r="56" ht="22.2" customHeight="1" x14ac:dyDescent="0.3"/>
    <row r="57" ht="22.2" customHeight="1" x14ac:dyDescent="0.3"/>
    <row r="58" ht="22.2" customHeight="1" x14ac:dyDescent="0.3"/>
    <row r="59" ht="22.2" customHeight="1" x14ac:dyDescent="0.3"/>
    <row r="60" ht="22.2" customHeight="1" x14ac:dyDescent="0.3"/>
    <row r="61" ht="22.2" customHeight="1" x14ac:dyDescent="0.3"/>
    <row r="62" ht="22.2" customHeight="1" x14ac:dyDescent="0.3"/>
    <row r="63" ht="22.2" customHeight="1" x14ac:dyDescent="0.3"/>
    <row r="64" ht="22.2" customHeight="1" x14ac:dyDescent="0.3"/>
    <row r="65" ht="22.2" customHeight="1" x14ac:dyDescent="0.3"/>
    <row r="66" ht="22.2" customHeight="1" x14ac:dyDescent="0.3"/>
    <row r="67" ht="22.2" customHeight="1" x14ac:dyDescent="0.3"/>
    <row r="68" ht="22.2" customHeight="1" x14ac:dyDescent="0.3"/>
    <row r="69" ht="22.2" customHeight="1" x14ac:dyDescent="0.3"/>
    <row r="70" ht="22.2" customHeight="1" x14ac:dyDescent="0.3"/>
    <row r="71" ht="22.2" customHeight="1" x14ac:dyDescent="0.3"/>
    <row r="72" ht="22.2" customHeight="1" x14ac:dyDescent="0.3"/>
    <row r="73" ht="22.2" customHeight="1" x14ac:dyDescent="0.3"/>
    <row r="74" ht="22.2" customHeight="1" x14ac:dyDescent="0.3"/>
    <row r="75" ht="22.2" customHeight="1" x14ac:dyDescent="0.3"/>
    <row r="76" ht="22.2" customHeight="1" x14ac:dyDescent="0.3"/>
    <row r="77" ht="22.2" customHeight="1" x14ac:dyDescent="0.3"/>
    <row r="78" ht="22.2" customHeight="1" x14ac:dyDescent="0.3"/>
    <row r="79" ht="22.2" customHeight="1" x14ac:dyDescent="0.3"/>
    <row r="80" ht="22.2" customHeight="1" x14ac:dyDescent="0.3"/>
    <row r="81" ht="22.2" customHeight="1" x14ac:dyDescent="0.3"/>
    <row r="82" ht="22.2" customHeight="1" x14ac:dyDescent="0.3"/>
    <row r="83" ht="22.2" customHeight="1" x14ac:dyDescent="0.3"/>
    <row r="84" ht="22.2" customHeight="1" x14ac:dyDescent="0.3"/>
    <row r="85" ht="22.2" customHeight="1" x14ac:dyDescent="0.3"/>
    <row r="86" ht="22.2" customHeight="1" x14ac:dyDescent="0.3"/>
    <row r="87" ht="22.2" customHeight="1" x14ac:dyDescent="0.3"/>
    <row r="88" ht="22.2" customHeight="1" x14ac:dyDescent="0.3"/>
    <row r="89" ht="22.2" customHeight="1" x14ac:dyDescent="0.3"/>
    <row r="90" ht="22.2" customHeight="1" x14ac:dyDescent="0.3"/>
    <row r="91" ht="22.2" customHeight="1" x14ac:dyDescent="0.3"/>
    <row r="92" ht="22.2" customHeight="1" x14ac:dyDescent="0.3"/>
    <row r="93" ht="22.2" customHeight="1" x14ac:dyDescent="0.3"/>
    <row r="94" ht="22.2" customHeight="1" x14ac:dyDescent="0.3"/>
    <row r="95" ht="22.2" customHeight="1" x14ac:dyDescent="0.3"/>
    <row r="96" ht="22.2" customHeight="1" x14ac:dyDescent="0.3"/>
    <row r="97" ht="22.2" customHeight="1" x14ac:dyDescent="0.3"/>
    <row r="98" ht="22.2" customHeight="1" x14ac:dyDescent="0.3"/>
    <row r="99" ht="22.2" customHeight="1" x14ac:dyDescent="0.3"/>
    <row r="100" ht="22.2" customHeight="1" x14ac:dyDescent="0.3"/>
    <row r="101" ht="22.2" customHeight="1" x14ac:dyDescent="0.3"/>
    <row r="102" ht="22.2" customHeight="1" x14ac:dyDescent="0.3"/>
    <row r="103" ht="22.2" customHeight="1" x14ac:dyDescent="0.3"/>
    <row r="104" ht="22.2" customHeight="1" x14ac:dyDescent="0.3"/>
    <row r="105" ht="22.2" customHeight="1" x14ac:dyDescent="0.3"/>
    <row r="106" ht="22.2" customHeight="1" x14ac:dyDescent="0.3"/>
    <row r="107" ht="22.2" customHeight="1" x14ac:dyDescent="0.3"/>
    <row r="108" ht="22.2" customHeight="1" x14ac:dyDescent="0.3"/>
    <row r="109" ht="22.2" customHeight="1" x14ac:dyDescent="0.3"/>
    <row r="110" ht="22.2" customHeight="1" x14ac:dyDescent="0.3"/>
    <row r="111" ht="22.2" customHeight="1" x14ac:dyDescent="0.3"/>
    <row r="112" ht="22.2" customHeight="1" x14ac:dyDescent="0.3"/>
    <row r="113" ht="22.2" customHeight="1" x14ac:dyDescent="0.3"/>
    <row r="114" ht="22.2" customHeight="1" x14ac:dyDescent="0.3"/>
    <row r="115" ht="22.2" customHeight="1" x14ac:dyDescent="0.3"/>
    <row r="116" ht="22.2" customHeight="1" x14ac:dyDescent="0.3"/>
    <row r="117" ht="22.2" customHeight="1" x14ac:dyDescent="0.3"/>
    <row r="118" ht="22.2" customHeight="1" x14ac:dyDescent="0.3"/>
    <row r="119" ht="22.2" customHeight="1" x14ac:dyDescent="0.3"/>
    <row r="120" ht="22.2" customHeight="1" x14ac:dyDescent="0.3"/>
    <row r="121" ht="22.2" customHeight="1" x14ac:dyDescent="0.3"/>
    <row r="122" ht="22.2" customHeight="1" x14ac:dyDescent="0.3"/>
    <row r="123" ht="22.2" customHeight="1" x14ac:dyDescent="0.3"/>
    <row r="124" ht="22.2" customHeight="1" x14ac:dyDescent="0.3"/>
    <row r="125" ht="22.2" customHeight="1" x14ac:dyDescent="0.3"/>
    <row r="126" ht="22.2" customHeight="1" x14ac:dyDescent="0.3"/>
    <row r="127" ht="22.2" customHeight="1" x14ac:dyDescent="0.3"/>
    <row r="128" ht="22.2" customHeight="1" x14ac:dyDescent="0.3"/>
    <row r="129" ht="22.2" customHeight="1" x14ac:dyDescent="0.3"/>
    <row r="130" ht="22.2" customHeight="1" x14ac:dyDescent="0.3"/>
    <row r="131" ht="22.2" customHeight="1" x14ac:dyDescent="0.3"/>
    <row r="132" ht="22.2" customHeight="1" x14ac:dyDescent="0.3"/>
    <row r="133" ht="22.2" customHeight="1" x14ac:dyDescent="0.3"/>
    <row r="134" ht="22.2" customHeight="1" x14ac:dyDescent="0.3"/>
    <row r="135" ht="22.2" customHeight="1" x14ac:dyDescent="0.3"/>
    <row r="136" ht="22.2" customHeight="1" x14ac:dyDescent="0.3"/>
    <row r="137" ht="22.2" customHeight="1" x14ac:dyDescent="0.3"/>
    <row r="138" ht="22.2" customHeight="1" x14ac:dyDescent="0.3"/>
    <row r="139" ht="22.2" customHeight="1" x14ac:dyDescent="0.3"/>
    <row r="140" ht="22.2" customHeight="1" x14ac:dyDescent="0.3"/>
    <row r="141" ht="22.2" customHeight="1" x14ac:dyDescent="0.3"/>
    <row r="142" ht="22.2" customHeight="1" x14ac:dyDescent="0.3"/>
    <row r="143" ht="22.2" customHeight="1" x14ac:dyDescent="0.3"/>
    <row r="144" ht="22.2" customHeight="1" x14ac:dyDescent="0.3"/>
    <row r="145" ht="22.2" customHeight="1" x14ac:dyDescent="0.3"/>
    <row r="146" ht="22.2" customHeight="1" x14ac:dyDescent="0.3"/>
    <row r="147" ht="22.2" customHeight="1" x14ac:dyDescent="0.3"/>
    <row r="148" ht="22.2" customHeight="1" x14ac:dyDescent="0.3"/>
    <row r="149" ht="22.2" customHeight="1" x14ac:dyDescent="0.3"/>
    <row r="150" ht="22.2" customHeight="1" x14ac:dyDescent="0.3"/>
    <row r="151" ht="22.2" customHeight="1" x14ac:dyDescent="0.3"/>
    <row r="152" ht="22.2" customHeight="1" x14ac:dyDescent="0.3"/>
    <row r="153" ht="22.2" customHeight="1" x14ac:dyDescent="0.3"/>
    <row r="154" ht="22.2" customHeight="1" x14ac:dyDescent="0.3"/>
    <row r="155" ht="22.2" customHeight="1" x14ac:dyDescent="0.3"/>
    <row r="156" ht="22.2" customHeight="1" x14ac:dyDescent="0.3"/>
    <row r="157" ht="22.2" customHeight="1" x14ac:dyDescent="0.3"/>
    <row r="158" ht="22.2" customHeight="1" x14ac:dyDescent="0.3"/>
    <row r="159" ht="22.2" customHeight="1" x14ac:dyDescent="0.3"/>
    <row r="160" ht="22.2" customHeight="1" x14ac:dyDescent="0.3"/>
    <row r="161" ht="22.2" customHeight="1" x14ac:dyDescent="0.3"/>
    <row r="162" ht="22.2" customHeight="1" x14ac:dyDescent="0.3"/>
    <row r="163" ht="22.2" customHeight="1" x14ac:dyDescent="0.3"/>
    <row r="164" ht="22.2" customHeight="1" x14ac:dyDescent="0.3"/>
    <row r="165" ht="22.2" customHeight="1" x14ac:dyDescent="0.3"/>
    <row r="166" ht="22.2" customHeight="1" x14ac:dyDescent="0.3"/>
    <row r="167" ht="22.2" customHeight="1" x14ac:dyDescent="0.3"/>
    <row r="168" ht="22.2" customHeight="1" x14ac:dyDescent="0.3"/>
    <row r="169" ht="22.2" customHeight="1" x14ac:dyDescent="0.3"/>
    <row r="170" ht="22.2" customHeight="1" x14ac:dyDescent="0.3"/>
    <row r="171" ht="22.2" customHeight="1" x14ac:dyDescent="0.3"/>
    <row r="172" ht="22.2" customHeight="1" x14ac:dyDescent="0.3"/>
    <row r="173" ht="22.2" customHeight="1" x14ac:dyDescent="0.3"/>
    <row r="174" ht="22.2" customHeight="1" x14ac:dyDescent="0.3"/>
    <row r="175" ht="22.2" customHeight="1" x14ac:dyDescent="0.3"/>
    <row r="176" ht="22.2" customHeight="1" x14ac:dyDescent="0.3"/>
    <row r="177" ht="22.2" customHeight="1" x14ac:dyDescent="0.3"/>
    <row r="178" ht="22.2" customHeight="1" x14ac:dyDescent="0.3"/>
    <row r="179" ht="22.2" customHeight="1" x14ac:dyDescent="0.3"/>
    <row r="180" ht="22.2" customHeight="1" x14ac:dyDescent="0.3"/>
    <row r="181" ht="22.2" customHeight="1" x14ac:dyDescent="0.3"/>
    <row r="182" ht="22.2" customHeight="1" x14ac:dyDescent="0.3"/>
    <row r="183" ht="22.2" customHeight="1" x14ac:dyDescent="0.3"/>
    <row r="184" ht="22.2" customHeight="1" x14ac:dyDescent="0.3"/>
    <row r="185" ht="22.2" customHeight="1" x14ac:dyDescent="0.3"/>
    <row r="186" ht="22.2" customHeight="1" x14ac:dyDescent="0.3"/>
    <row r="187" ht="22.2" customHeight="1" x14ac:dyDescent="0.3"/>
    <row r="188" ht="22.2" customHeight="1" x14ac:dyDescent="0.3"/>
    <row r="189" ht="22.2" customHeight="1" x14ac:dyDescent="0.3"/>
    <row r="190" ht="22.2" customHeight="1" x14ac:dyDescent="0.3"/>
    <row r="191" ht="22.2" customHeight="1" x14ac:dyDescent="0.3"/>
    <row r="192" ht="22.2" customHeight="1" x14ac:dyDescent="0.3"/>
    <row r="193" ht="22.2" customHeight="1" x14ac:dyDescent="0.3"/>
    <row r="194" ht="22.2" customHeight="1" x14ac:dyDescent="0.3"/>
    <row r="195" ht="22.2" customHeight="1" x14ac:dyDescent="0.3"/>
    <row r="196" ht="22.2" customHeight="1" x14ac:dyDescent="0.3"/>
    <row r="197" ht="22.2" customHeight="1" x14ac:dyDescent="0.3"/>
    <row r="198" ht="22.2" customHeight="1" x14ac:dyDescent="0.3"/>
    <row r="199" ht="22.2" customHeight="1" x14ac:dyDescent="0.3"/>
    <row r="200" ht="22.2" customHeight="1" x14ac:dyDescent="0.3"/>
    <row r="201" ht="22.2" customHeight="1" x14ac:dyDescent="0.3"/>
    <row r="202" ht="22.2" customHeight="1" x14ac:dyDescent="0.3"/>
    <row r="203" ht="22.2" customHeight="1" x14ac:dyDescent="0.3"/>
    <row r="204" ht="22.2" customHeight="1" x14ac:dyDescent="0.3"/>
    <row r="205" ht="22.2" customHeight="1" x14ac:dyDescent="0.3"/>
    <row r="206" ht="22.2" customHeight="1" x14ac:dyDescent="0.3"/>
    <row r="207" ht="22.2" customHeight="1" x14ac:dyDescent="0.3"/>
    <row r="208" ht="22.2" customHeight="1" x14ac:dyDescent="0.3"/>
    <row r="209" ht="22.2" customHeight="1" x14ac:dyDescent="0.3"/>
    <row r="210" ht="22.2" customHeight="1" x14ac:dyDescent="0.3"/>
    <row r="211" ht="22.2" customHeight="1" x14ac:dyDescent="0.3"/>
    <row r="212" ht="22.2" customHeight="1" x14ac:dyDescent="0.3"/>
    <row r="213" ht="22.2" customHeight="1" x14ac:dyDescent="0.3"/>
    <row r="214" ht="22.2" customHeight="1" x14ac:dyDescent="0.3"/>
    <row r="215" ht="22.2" customHeight="1" x14ac:dyDescent="0.3"/>
    <row r="216" ht="22.2" customHeight="1" x14ac:dyDescent="0.3"/>
    <row r="217" ht="22.2" customHeight="1" x14ac:dyDescent="0.3"/>
    <row r="218" ht="22.2" customHeight="1" x14ac:dyDescent="0.3"/>
    <row r="219" ht="22.2" customHeight="1" x14ac:dyDescent="0.3"/>
    <row r="220" ht="22.2" customHeight="1" x14ac:dyDescent="0.3"/>
    <row r="221" ht="22.2" customHeight="1" x14ac:dyDescent="0.3"/>
    <row r="222" ht="22.2" customHeight="1" x14ac:dyDescent="0.3"/>
    <row r="223" ht="22.2" customHeight="1" x14ac:dyDescent="0.3"/>
    <row r="224" ht="22.2" customHeight="1" x14ac:dyDescent="0.3"/>
    <row r="225" ht="22.2" customHeight="1" x14ac:dyDescent="0.3"/>
    <row r="226" ht="22.2" customHeight="1" x14ac:dyDescent="0.3"/>
    <row r="227" ht="22.2" customHeight="1" x14ac:dyDescent="0.3"/>
    <row r="228" ht="22.2" customHeight="1" x14ac:dyDescent="0.3"/>
    <row r="229" ht="22.2" customHeight="1" x14ac:dyDescent="0.3"/>
    <row r="230" ht="22.2" customHeight="1" x14ac:dyDescent="0.3"/>
    <row r="231" ht="22.2" customHeight="1" x14ac:dyDescent="0.3"/>
    <row r="232" ht="22.2" customHeight="1" x14ac:dyDescent="0.3"/>
    <row r="233" ht="22.2" customHeight="1" x14ac:dyDescent="0.3"/>
    <row r="234" ht="22.2" customHeight="1" x14ac:dyDescent="0.3"/>
    <row r="235" ht="22.2" customHeight="1" x14ac:dyDescent="0.3"/>
    <row r="236" ht="22.2" customHeight="1" x14ac:dyDescent="0.3"/>
    <row r="237" ht="22.2" customHeight="1" x14ac:dyDescent="0.3"/>
    <row r="238" ht="22.2" customHeight="1" x14ac:dyDescent="0.3"/>
    <row r="239" ht="22.2" customHeight="1" x14ac:dyDescent="0.3"/>
    <row r="240" ht="22.2" customHeight="1" x14ac:dyDescent="0.3"/>
    <row r="241" ht="22.2" customHeight="1" x14ac:dyDescent="0.3"/>
    <row r="242" ht="22.2" customHeight="1" x14ac:dyDescent="0.3"/>
    <row r="243" ht="22.2" customHeight="1" x14ac:dyDescent="0.3"/>
    <row r="244" ht="22.2" customHeight="1" x14ac:dyDescent="0.3"/>
    <row r="245" ht="22.2" customHeight="1" x14ac:dyDescent="0.3"/>
    <row r="246" ht="22.2" customHeight="1" x14ac:dyDescent="0.3"/>
    <row r="247" ht="22.2" customHeight="1" x14ac:dyDescent="0.3"/>
    <row r="248" ht="22.2" customHeight="1" x14ac:dyDescent="0.3"/>
    <row r="249" ht="22.2" customHeight="1" x14ac:dyDescent="0.3"/>
    <row r="250" ht="22.2" customHeight="1" x14ac:dyDescent="0.3"/>
    <row r="251" ht="22.2" customHeight="1" x14ac:dyDescent="0.3"/>
    <row r="252" ht="22.2" customHeight="1" x14ac:dyDescent="0.3"/>
    <row r="253" ht="22.2" customHeight="1" x14ac:dyDescent="0.3"/>
    <row r="254" ht="22.2" customHeight="1" x14ac:dyDescent="0.3"/>
    <row r="255" ht="22.2" customHeight="1" x14ac:dyDescent="0.3"/>
    <row r="256" ht="22.2" customHeight="1" x14ac:dyDescent="0.3"/>
    <row r="257" ht="22.2" customHeight="1" x14ac:dyDescent="0.3"/>
    <row r="258" ht="22.2" customHeight="1" x14ac:dyDescent="0.3"/>
    <row r="259" ht="22.2" customHeight="1" x14ac:dyDescent="0.3"/>
    <row r="260" ht="22.2" customHeight="1" x14ac:dyDescent="0.3"/>
    <row r="261" ht="22.2" customHeight="1" x14ac:dyDescent="0.3"/>
    <row r="262" ht="22.2" customHeight="1" x14ac:dyDescent="0.3"/>
    <row r="263" ht="22.2" customHeight="1" x14ac:dyDescent="0.3"/>
    <row r="264" ht="22.2" customHeight="1" x14ac:dyDescent="0.3"/>
    <row r="265" ht="22.2" customHeight="1" x14ac:dyDescent="0.3"/>
    <row r="266" ht="22.2" customHeight="1" x14ac:dyDescent="0.3"/>
    <row r="267" ht="22.2" customHeight="1" x14ac:dyDescent="0.3"/>
    <row r="268" ht="22.2" customHeight="1" x14ac:dyDescent="0.3"/>
    <row r="269" ht="22.2" customHeight="1" x14ac:dyDescent="0.3"/>
    <row r="270" ht="22.2" customHeight="1" x14ac:dyDescent="0.3"/>
    <row r="271" ht="22.2" customHeight="1" x14ac:dyDescent="0.3"/>
    <row r="272" ht="22.2" customHeight="1" x14ac:dyDescent="0.3"/>
    <row r="273" ht="22.2" customHeight="1" x14ac:dyDescent="0.3"/>
    <row r="274" ht="22.2" customHeight="1" x14ac:dyDescent="0.3"/>
    <row r="275" ht="22.2" customHeight="1" x14ac:dyDescent="0.3"/>
    <row r="276" ht="22.2" customHeight="1" x14ac:dyDescent="0.3"/>
    <row r="277" ht="22.2" customHeight="1" x14ac:dyDescent="0.3"/>
    <row r="278" ht="22.2" customHeight="1" x14ac:dyDescent="0.3"/>
    <row r="279" ht="22.2" customHeight="1" x14ac:dyDescent="0.3"/>
    <row r="280" ht="22.2" customHeight="1" x14ac:dyDescent="0.3"/>
    <row r="281" ht="22.2" customHeight="1" x14ac:dyDescent="0.3"/>
    <row r="282" ht="22.2" customHeight="1" x14ac:dyDescent="0.3"/>
    <row r="283" ht="22.2" customHeight="1" x14ac:dyDescent="0.3"/>
    <row r="284" ht="22.2" customHeight="1" x14ac:dyDescent="0.3"/>
    <row r="285" ht="22.2" customHeight="1" x14ac:dyDescent="0.3"/>
    <row r="286" ht="22.2" customHeight="1" x14ac:dyDescent="0.3"/>
    <row r="287" ht="22.2" customHeight="1" x14ac:dyDescent="0.3"/>
    <row r="288" ht="22.2" customHeight="1" x14ac:dyDescent="0.3"/>
    <row r="289" ht="22.2" customHeight="1" x14ac:dyDescent="0.3"/>
    <row r="290" ht="22.2" customHeight="1" x14ac:dyDescent="0.3"/>
    <row r="291" ht="22.2" customHeight="1" x14ac:dyDescent="0.3"/>
    <row r="292" ht="22.2" customHeight="1" x14ac:dyDescent="0.3"/>
    <row r="293" ht="22.2" customHeight="1" x14ac:dyDescent="0.3"/>
    <row r="294" ht="22.2" customHeight="1" x14ac:dyDescent="0.3"/>
    <row r="295" ht="22.2" customHeight="1" x14ac:dyDescent="0.3"/>
    <row r="296" ht="22.2" customHeight="1" x14ac:dyDescent="0.3"/>
    <row r="297" ht="22.2" customHeight="1" x14ac:dyDescent="0.3"/>
    <row r="298" ht="22.2" customHeight="1" x14ac:dyDescent="0.3"/>
    <row r="299" ht="22.2" customHeight="1" x14ac:dyDescent="0.3"/>
    <row r="300" ht="22.2" customHeight="1" x14ac:dyDescent="0.3"/>
    <row r="301" ht="22.2" customHeight="1" x14ac:dyDescent="0.3"/>
    <row r="302" ht="22.2" customHeight="1" x14ac:dyDescent="0.3"/>
    <row r="303" ht="22.2" customHeight="1" x14ac:dyDescent="0.3"/>
    <row r="304" ht="22.2" customHeight="1" x14ac:dyDescent="0.3"/>
    <row r="305" ht="22.2" customHeight="1" x14ac:dyDescent="0.3"/>
    <row r="306" ht="22.2" customHeight="1" x14ac:dyDescent="0.3"/>
    <row r="307" ht="22.2" customHeight="1" x14ac:dyDescent="0.3"/>
    <row r="308" ht="22.2" customHeight="1" x14ac:dyDescent="0.3"/>
    <row r="309" ht="22.2" customHeight="1" x14ac:dyDescent="0.3"/>
    <row r="310" ht="22.2" customHeight="1" x14ac:dyDescent="0.3"/>
    <row r="311" ht="22.2" customHeight="1" x14ac:dyDescent="0.3"/>
    <row r="312" ht="22.2" customHeight="1" x14ac:dyDescent="0.3"/>
    <row r="313" ht="22.2" customHeight="1" x14ac:dyDescent="0.3"/>
    <row r="314" ht="22.2" customHeight="1" x14ac:dyDescent="0.3"/>
    <row r="315" ht="22.2" customHeight="1" x14ac:dyDescent="0.3"/>
    <row r="316" ht="22.2" customHeight="1" x14ac:dyDescent="0.3"/>
    <row r="317" ht="22.2" customHeight="1" x14ac:dyDescent="0.3"/>
    <row r="318" ht="22.2" customHeight="1" x14ac:dyDescent="0.3"/>
    <row r="319" ht="22.2" customHeight="1" x14ac:dyDescent="0.3"/>
    <row r="320" ht="22.2" customHeight="1" x14ac:dyDescent="0.3"/>
    <row r="321" ht="22.2" customHeight="1" x14ac:dyDescent="0.3"/>
    <row r="322" ht="22.2" customHeight="1" x14ac:dyDescent="0.3"/>
    <row r="323" ht="22.2" customHeight="1" x14ac:dyDescent="0.3"/>
    <row r="324" ht="22.2" customHeight="1" x14ac:dyDescent="0.3"/>
    <row r="325" ht="22.2" customHeight="1" x14ac:dyDescent="0.3"/>
    <row r="326" ht="22.2" customHeight="1" x14ac:dyDescent="0.3"/>
    <row r="327" ht="22.2" customHeight="1" x14ac:dyDescent="0.3"/>
    <row r="328" ht="22.2" customHeight="1" x14ac:dyDescent="0.3"/>
    <row r="329" ht="22.2" customHeight="1" x14ac:dyDescent="0.3"/>
    <row r="330" ht="22.2" customHeight="1" x14ac:dyDescent="0.3"/>
    <row r="331" ht="22.2" customHeight="1" x14ac:dyDescent="0.3"/>
    <row r="332" ht="22.2" customHeight="1" x14ac:dyDescent="0.3"/>
    <row r="333" ht="22.2" customHeight="1" x14ac:dyDescent="0.3"/>
    <row r="334" ht="22.2" customHeight="1" x14ac:dyDescent="0.3"/>
    <row r="335" ht="22.2" customHeight="1" x14ac:dyDescent="0.3"/>
    <row r="336" ht="22.2" customHeight="1" x14ac:dyDescent="0.3"/>
    <row r="337" ht="22.2" customHeight="1" x14ac:dyDescent="0.3"/>
    <row r="338" ht="22.2" customHeight="1" x14ac:dyDescent="0.3"/>
    <row r="339" ht="22.2" customHeight="1" x14ac:dyDescent="0.3"/>
    <row r="340" ht="22.2" customHeight="1" x14ac:dyDescent="0.3"/>
    <row r="341" ht="22.2" customHeight="1" x14ac:dyDescent="0.3"/>
    <row r="342" ht="22.2" customHeight="1" x14ac:dyDescent="0.3"/>
    <row r="343" ht="22.2" customHeight="1" x14ac:dyDescent="0.3"/>
    <row r="344" ht="22.2" customHeight="1" x14ac:dyDescent="0.3"/>
    <row r="345" ht="22.2" customHeight="1" x14ac:dyDescent="0.3"/>
    <row r="346" ht="22.2" customHeight="1" x14ac:dyDescent="0.3"/>
    <row r="347" ht="22.2" customHeight="1" x14ac:dyDescent="0.3"/>
    <row r="348" ht="22.2" customHeight="1" x14ac:dyDescent="0.3"/>
    <row r="349" ht="22.2" customHeight="1" x14ac:dyDescent="0.3"/>
    <row r="350" ht="22.2" customHeight="1" x14ac:dyDescent="0.3"/>
    <row r="351" ht="22.2" customHeight="1" x14ac:dyDescent="0.3"/>
    <row r="352" ht="22.2" customHeight="1" x14ac:dyDescent="0.3"/>
    <row r="353" ht="22.2" customHeight="1" x14ac:dyDescent="0.3"/>
    <row r="354" ht="22.2" customHeight="1" x14ac:dyDescent="0.3"/>
    <row r="355" ht="22.2" customHeight="1" x14ac:dyDescent="0.3"/>
    <row r="356" ht="22.2" customHeight="1" x14ac:dyDescent="0.3"/>
    <row r="357" ht="22.2" customHeight="1" x14ac:dyDescent="0.3"/>
    <row r="358" ht="22.2" customHeight="1" x14ac:dyDescent="0.3"/>
    <row r="359" ht="22.2" customHeight="1" x14ac:dyDescent="0.3"/>
    <row r="360" ht="22.2" customHeight="1" x14ac:dyDescent="0.3"/>
    <row r="361" ht="22.2" customHeight="1" x14ac:dyDescent="0.3"/>
    <row r="362" ht="22.2" customHeight="1" x14ac:dyDescent="0.3"/>
    <row r="363" ht="22.2" customHeight="1" x14ac:dyDescent="0.3"/>
    <row r="364" ht="22.2" customHeight="1" x14ac:dyDescent="0.3"/>
    <row r="365" ht="22.2" customHeight="1" x14ac:dyDescent="0.3"/>
    <row r="366" ht="22.2" customHeight="1" x14ac:dyDescent="0.3"/>
    <row r="367" ht="22.2" customHeight="1" x14ac:dyDescent="0.3"/>
    <row r="368" ht="22.2" customHeight="1" x14ac:dyDescent="0.3"/>
    <row r="369" ht="22.2" customHeight="1" x14ac:dyDescent="0.3"/>
    <row r="370" ht="22.2" customHeight="1" x14ac:dyDescent="0.3"/>
    <row r="371" ht="22.2" customHeight="1" x14ac:dyDescent="0.3"/>
    <row r="372" ht="22.2" customHeight="1" x14ac:dyDescent="0.3"/>
    <row r="373" ht="22.2" customHeight="1" x14ac:dyDescent="0.3"/>
    <row r="374" ht="22.2" customHeight="1" x14ac:dyDescent="0.3"/>
    <row r="375" ht="22.2" customHeight="1" x14ac:dyDescent="0.3"/>
    <row r="376" ht="22.2" customHeight="1" x14ac:dyDescent="0.3"/>
    <row r="377" ht="22.2" customHeight="1" x14ac:dyDescent="0.3"/>
    <row r="378" ht="22.2" customHeight="1" x14ac:dyDescent="0.3"/>
    <row r="379" ht="22.2" customHeight="1" x14ac:dyDescent="0.3"/>
    <row r="380" ht="22.2" customHeight="1" x14ac:dyDescent="0.3"/>
    <row r="381" ht="22.2" customHeight="1" x14ac:dyDescent="0.3"/>
    <row r="382" ht="22.2" customHeight="1" x14ac:dyDescent="0.3"/>
    <row r="383" ht="22.2" customHeight="1" x14ac:dyDescent="0.3"/>
    <row r="384" ht="22.2" customHeight="1" x14ac:dyDescent="0.3"/>
    <row r="385" ht="22.2" customHeight="1" x14ac:dyDescent="0.3"/>
    <row r="386" ht="22.2" customHeight="1" x14ac:dyDescent="0.3"/>
    <row r="387" ht="22.2" customHeight="1" x14ac:dyDescent="0.3"/>
    <row r="388" ht="22.2" customHeight="1" x14ac:dyDescent="0.3"/>
    <row r="389" ht="22.2" customHeight="1" x14ac:dyDescent="0.3"/>
    <row r="390" ht="22.2" customHeight="1" x14ac:dyDescent="0.3"/>
    <row r="391" ht="22.2" customHeight="1" x14ac:dyDescent="0.3"/>
    <row r="392" ht="22.2" customHeight="1" x14ac:dyDescent="0.3"/>
    <row r="393" ht="22.2" customHeight="1" x14ac:dyDescent="0.3"/>
    <row r="394" ht="22.2" customHeight="1" x14ac:dyDescent="0.3"/>
    <row r="395" ht="22.2" customHeight="1" x14ac:dyDescent="0.3"/>
    <row r="396" ht="22.2" customHeight="1" x14ac:dyDescent="0.3"/>
    <row r="397" ht="22.2" customHeight="1" x14ac:dyDescent="0.3"/>
    <row r="398" ht="22.2" customHeight="1" x14ac:dyDescent="0.3"/>
    <row r="399" ht="22.2" customHeight="1" x14ac:dyDescent="0.3"/>
    <row r="400" ht="22.2" customHeight="1" x14ac:dyDescent="0.3"/>
    <row r="401" ht="22.2" customHeight="1" x14ac:dyDescent="0.3"/>
    <row r="402" ht="22.2" customHeight="1" x14ac:dyDescent="0.3"/>
    <row r="403" ht="22.2" customHeight="1" x14ac:dyDescent="0.3"/>
    <row r="404" ht="22.2" customHeight="1" x14ac:dyDescent="0.3"/>
    <row r="405" ht="22.2" customHeight="1" x14ac:dyDescent="0.3"/>
    <row r="406" ht="22.2" customHeight="1" x14ac:dyDescent="0.3"/>
    <row r="407" ht="22.2" customHeight="1" x14ac:dyDescent="0.3"/>
    <row r="408" ht="22.2" customHeight="1" x14ac:dyDescent="0.3"/>
    <row r="409" ht="22.2" customHeight="1" x14ac:dyDescent="0.3"/>
    <row r="410" ht="22.2" customHeight="1" x14ac:dyDescent="0.3"/>
    <row r="411" ht="22.2" customHeight="1" x14ac:dyDescent="0.3"/>
    <row r="412" ht="22.2" customHeight="1" x14ac:dyDescent="0.3"/>
    <row r="413" ht="22.2" customHeight="1" x14ac:dyDescent="0.3"/>
    <row r="414" ht="22.2" customHeight="1" x14ac:dyDescent="0.3"/>
    <row r="415" ht="22.2" customHeight="1" x14ac:dyDescent="0.3"/>
    <row r="416" ht="22.2" customHeight="1" x14ac:dyDescent="0.3"/>
    <row r="417" ht="22.2" customHeight="1" x14ac:dyDescent="0.3"/>
    <row r="418" ht="22.2" customHeight="1" x14ac:dyDescent="0.3"/>
    <row r="419" ht="22.2" customHeight="1" x14ac:dyDescent="0.3"/>
    <row r="420" ht="22.2" customHeight="1" x14ac:dyDescent="0.3"/>
    <row r="421" ht="22.2" customHeight="1" x14ac:dyDescent="0.3"/>
    <row r="422" ht="22.2" customHeight="1" x14ac:dyDescent="0.3"/>
    <row r="423" ht="22.2" customHeight="1" x14ac:dyDescent="0.3"/>
    <row r="424" ht="22.2" customHeight="1" x14ac:dyDescent="0.3"/>
    <row r="425" ht="22.2" customHeight="1" x14ac:dyDescent="0.3"/>
    <row r="426" ht="22.2" customHeight="1" x14ac:dyDescent="0.3"/>
    <row r="427" ht="22.2" customHeight="1" x14ac:dyDescent="0.3"/>
    <row r="428" ht="22.2" customHeight="1" x14ac:dyDescent="0.3"/>
    <row r="429" ht="22.2" customHeight="1" x14ac:dyDescent="0.3"/>
    <row r="430" ht="22.2" customHeight="1" x14ac:dyDescent="0.3"/>
    <row r="431" ht="22.2" customHeight="1" x14ac:dyDescent="0.3"/>
    <row r="432" ht="22.2" customHeight="1" x14ac:dyDescent="0.3"/>
    <row r="433" ht="22.2" customHeight="1" x14ac:dyDescent="0.3"/>
    <row r="434" ht="22.2" customHeight="1" x14ac:dyDescent="0.3"/>
    <row r="435" ht="22.2" customHeight="1" x14ac:dyDescent="0.3"/>
    <row r="436" ht="22.2" customHeight="1" x14ac:dyDescent="0.3"/>
    <row r="437" ht="22.2" customHeight="1" x14ac:dyDescent="0.3"/>
    <row r="438" ht="22.2" customHeight="1" x14ac:dyDescent="0.3"/>
    <row r="439" ht="22.2" customHeight="1" x14ac:dyDescent="0.3"/>
    <row r="440" ht="22.2" customHeight="1" x14ac:dyDescent="0.3"/>
    <row r="441" ht="22.2" customHeight="1" x14ac:dyDescent="0.3"/>
    <row r="442" ht="22.2" customHeight="1" x14ac:dyDescent="0.3"/>
    <row r="443" ht="22.2" customHeight="1" x14ac:dyDescent="0.3"/>
    <row r="444" ht="22.2" customHeight="1" x14ac:dyDescent="0.3"/>
    <row r="445" ht="22.2" customHeight="1" x14ac:dyDescent="0.3"/>
    <row r="446" ht="22.2" customHeight="1" x14ac:dyDescent="0.3"/>
    <row r="447" ht="22.2" customHeight="1" x14ac:dyDescent="0.3"/>
    <row r="448" ht="22.2" customHeight="1" x14ac:dyDescent="0.3"/>
    <row r="449" ht="22.2" customHeight="1" x14ac:dyDescent="0.3"/>
    <row r="450" ht="22.2" customHeight="1" x14ac:dyDescent="0.3"/>
    <row r="451" ht="22.2" customHeight="1" x14ac:dyDescent="0.3"/>
    <row r="452" ht="22.2" customHeight="1" x14ac:dyDescent="0.3"/>
    <row r="453" ht="22.2" customHeight="1" x14ac:dyDescent="0.3"/>
    <row r="454" ht="22.2" customHeight="1" x14ac:dyDescent="0.3"/>
    <row r="455" ht="22.2" customHeight="1" x14ac:dyDescent="0.3"/>
    <row r="456" ht="22.2" customHeight="1" x14ac:dyDescent="0.3"/>
    <row r="457" ht="22.2" customHeight="1" x14ac:dyDescent="0.3"/>
    <row r="458" ht="22.2" customHeight="1" x14ac:dyDescent="0.3"/>
    <row r="459" ht="22.2" customHeight="1" x14ac:dyDescent="0.3"/>
    <row r="460" ht="22.2" customHeight="1" x14ac:dyDescent="0.3"/>
    <row r="461" ht="22.2" customHeight="1" x14ac:dyDescent="0.3"/>
    <row r="462" ht="22.2" customHeight="1" x14ac:dyDescent="0.3"/>
    <row r="463" ht="22.2" customHeight="1" x14ac:dyDescent="0.3"/>
    <row r="464" ht="22.2" customHeight="1" x14ac:dyDescent="0.3"/>
    <row r="465" ht="22.2" customHeight="1" x14ac:dyDescent="0.3"/>
    <row r="466" ht="22.2" customHeight="1" x14ac:dyDescent="0.3"/>
    <row r="467" ht="22.2" customHeight="1" x14ac:dyDescent="0.3"/>
    <row r="468" ht="22.2" customHeight="1" x14ac:dyDescent="0.3"/>
    <row r="469" ht="22.2" customHeight="1" x14ac:dyDescent="0.3"/>
    <row r="470" ht="22.2" customHeight="1" x14ac:dyDescent="0.3"/>
    <row r="471" ht="22.2" customHeight="1" x14ac:dyDescent="0.3"/>
    <row r="472" ht="22.2" customHeight="1" x14ac:dyDescent="0.3"/>
    <row r="473" ht="22.2" customHeight="1" x14ac:dyDescent="0.3"/>
    <row r="474" ht="22.2" customHeight="1" x14ac:dyDescent="0.3"/>
    <row r="475" ht="22.2" customHeight="1" x14ac:dyDescent="0.3"/>
    <row r="476" ht="22.2" customHeight="1" x14ac:dyDescent="0.3"/>
    <row r="477" ht="22.2" customHeight="1" x14ac:dyDescent="0.3"/>
    <row r="478" ht="22.2" customHeight="1" x14ac:dyDescent="0.3"/>
    <row r="479" ht="22.2" customHeight="1" x14ac:dyDescent="0.3"/>
    <row r="480" ht="22.2" customHeight="1" x14ac:dyDescent="0.3"/>
    <row r="481" ht="22.2" customHeight="1" x14ac:dyDescent="0.3"/>
    <row r="482" ht="22.2" customHeight="1" x14ac:dyDescent="0.3"/>
    <row r="483" ht="22.2" customHeight="1" x14ac:dyDescent="0.3"/>
    <row r="484" ht="22.2" customHeight="1" x14ac:dyDescent="0.3"/>
    <row r="485" ht="22.2" customHeight="1" x14ac:dyDescent="0.3"/>
    <row r="486" ht="22.2" customHeight="1" x14ac:dyDescent="0.3"/>
    <row r="487" ht="22.2" customHeight="1" x14ac:dyDescent="0.3"/>
    <row r="488" ht="22.2" customHeight="1" x14ac:dyDescent="0.3"/>
    <row r="489" ht="22.2" customHeight="1" x14ac:dyDescent="0.3"/>
    <row r="490" ht="22.2" customHeight="1" x14ac:dyDescent="0.3"/>
    <row r="491" ht="22.2" customHeight="1" x14ac:dyDescent="0.3"/>
    <row r="492" ht="22.2" customHeight="1" x14ac:dyDescent="0.3"/>
    <row r="493" ht="22.2" customHeight="1" x14ac:dyDescent="0.3"/>
    <row r="494" ht="22.2" customHeight="1" x14ac:dyDescent="0.3"/>
    <row r="495" ht="22.2" customHeight="1" x14ac:dyDescent="0.3"/>
    <row r="496" ht="22.2" customHeight="1" x14ac:dyDescent="0.3"/>
    <row r="497" ht="22.2" customHeight="1" x14ac:dyDescent="0.3"/>
    <row r="498" ht="22.2" customHeight="1" x14ac:dyDescent="0.3"/>
    <row r="499" ht="22.2" customHeight="1" x14ac:dyDescent="0.3"/>
    <row r="500" ht="22.2" customHeight="1" x14ac:dyDescent="0.3"/>
    <row r="501" ht="22.2" customHeight="1" x14ac:dyDescent="0.3"/>
    <row r="502" ht="22.2" customHeight="1" x14ac:dyDescent="0.3"/>
    <row r="503" ht="22.2" customHeight="1" x14ac:dyDescent="0.3"/>
    <row r="504" ht="22.2" customHeight="1" x14ac:dyDescent="0.3"/>
    <row r="505" ht="22.2" customHeight="1" x14ac:dyDescent="0.3"/>
    <row r="506" ht="22.2" customHeight="1" x14ac:dyDescent="0.3"/>
    <row r="507" ht="22.2" customHeight="1" x14ac:dyDescent="0.3"/>
    <row r="508" ht="22.2" customHeight="1" x14ac:dyDescent="0.3"/>
    <row r="509" ht="22.2" customHeight="1" x14ac:dyDescent="0.3"/>
    <row r="510" ht="22.2" customHeight="1" x14ac:dyDescent="0.3"/>
    <row r="511" ht="22.2" customHeight="1" x14ac:dyDescent="0.3"/>
    <row r="512" ht="22.2" customHeight="1" x14ac:dyDescent="0.3"/>
    <row r="513" ht="22.2" customHeight="1" x14ac:dyDescent="0.3"/>
    <row r="514" ht="22.2" customHeight="1" x14ac:dyDescent="0.3"/>
    <row r="515" ht="22.2" customHeight="1" x14ac:dyDescent="0.3"/>
    <row r="516" ht="22.2" customHeight="1" x14ac:dyDescent="0.3"/>
    <row r="517" ht="22.2" customHeight="1" x14ac:dyDescent="0.3"/>
    <row r="518" ht="22.2" customHeight="1" x14ac:dyDescent="0.3"/>
    <row r="519" ht="22.2" customHeight="1" x14ac:dyDescent="0.3"/>
    <row r="520" ht="22.2" customHeight="1" x14ac:dyDescent="0.3"/>
    <row r="521" ht="22.2" customHeight="1" x14ac:dyDescent="0.3"/>
    <row r="522" ht="22.2" customHeight="1" x14ac:dyDescent="0.3"/>
    <row r="523" ht="22.2" customHeight="1" x14ac:dyDescent="0.3"/>
    <row r="524" ht="22.2" customHeight="1" x14ac:dyDescent="0.3"/>
    <row r="525" ht="22.2" customHeight="1" x14ac:dyDescent="0.3"/>
    <row r="526" ht="22.2" customHeight="1" x14ac:dyDescent="0.3"/>
    <row r="527" ht="22.2" customHeight="1" x14ac:dyDescent="0.3"/>
    <row r="528" ht="22.2" customHeight="1" x14ac:dyDescent="0.3"/>
    <row r="529" ht="22.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mHeight="1" x14ac:dyDescent="0.3"/>
    <row r="534" ht="22.2" customHeight="1" x14ac:dyDescent="0.3"/>
    <row r="535" ht="22.2" customHeight="1" x14ac:dyDescent="0.3"/>
    <row r="536" ht="22.2" customHeight="1" x14ac:dyDescent="0.3"/>
    <row r="537" ht="22.2" customHeight="1" x14ac:dyDescent="0.3"/>
    <row r="538" ht="22.2" customHeight="1" x14ac:dyDescent="0.3"/>
    <row r="539" ht="22.2" customHeight="1" x14ac:dyDescent="0.3"/>
    <row r="540" ht="22.2" customHeight="1" x14ac:dyDescent="0.3"/>
    <row r="541" ht="22.2" customHeight="1" x14ac:dyDescent="0.3"/>
    <row r="542" ht="22.2" customHeight="1" x14ac:dyDescent="0.3"/>
    <row r="543" ht="22.2" customHeight="1" x14ac:dyDescent="0.3"/>
    <row r="544" ht="22.2" customHeight="1" x14ac:dyDescent="0.3"/>
    <row r="545" ht="22.2" customHeight="1" x14ac:dyDescent="0.3"/>
    <row r="546" ht="22.2" customHeight="1" x14ac:dyDescent="0.3"/>
    <row r="547" ht="22.2" customHeight="1" x14ac:dyDescent="0.3"/>
    <row r="548" ht="22.2" customHeight="1" x14ac:dyDescent="0.3"/>
    <row r="549" ht="22.2" customHeight="1" x14ac:dyDescent="0.3"/>
    <row r="550" ht="22.2" customHeight="1" x14ac:dyDescent="0.3"/>
    <row r="551" ht="22.2" customHeight="1" x14ac:dyDescent="0.3"/>
    <row r="552" ht="22.2" customHeight="1" x14ac:dyDescent="0.3"/>
    <row r="553" ht="22.2" customHeight="1" x14ac:dyDescent="0.3"/>
    <row r="554" ht="22.2" customHeight="1" x14ac:dyDescent="0.3"/>
    <row r="555" ht="22.2" customHeight="1" x14ac:dyDescent="0.3"/>
    <row r="556" ht="22.2" customHeight="1" x14ac:dyDescent="0.3"/>
    <row r="557" ht="22.2" customHeight="1" x14ac:dyDescent="0.3"/>
    <row r="558" ht="22.2" customHeight="1" x14ac:dyDescent="0.3"/>
    <row r="559" ht="22.2" customHeight="1" x14ac:dyDescent="0.3"/>
    <row r="560" ht="22.2" customHeight="1" x14ac:dyDescent="0.3"/>
    <row r="561" ht="22.2" customHeight="1" x14ac:dyDescent="0.3"/>
    <row r="562" ht="22.2" customHeight="1" x14ac:dyDescent="0.3"/>
    <row r="563" ht="22.2" customHeight="1" x14ac:dyDescent="0.3"/>
    <row r="564" ht="22.2" customHeight="1" x14ac:dyDescent="0.3"/>
    <row r="565" ht="22.2" customHeight="1" x14ac:dyDescent="0.3"/>
    <row r="566" ht="22.2" customHeight="1" x14ac:dyDescent="0.3"/>
    <row r="567" ht="22.2" customHeight="1" x14ac:dyDescent="0.3"/>
    <row r="568" ht="22.2" customHeight="1" x14ac:dyDescent="0.3"/>
    <row r="569" ht="22.2" customHeight="1" x14ac:dyDescent="0.3"/>
    <row r="570" ht="22.2" customHeight="1" x14ac:dyDescent="0.3"/>
    <row r="571" ht="22.2" customHeight="1" x14ac:dyDescent="0.3"/>
    <row r="572" ht="22.2" customHeight="1" x14ac:dyDescent="0.3"/>
    <row r="573" ht="22.2" customHeight="1" x14ac:dyDescent="0.3"/>
    <row r="574" ht="22.2" customHeight="1" x14ac:dyDescent="0.3"/>
    <row r="575" ht="22.2" customHeight="1" x14ac:dyDescent="0.3"/>
    <row r="576" ht="22.2" customHeight="1" x14ac:dyDescent="0.3"/>
    <row r="577" ht="22.2" customHeight="1" x14ac:dyDescent="0.3"/>
    <row r="578" ht="22.2" customHeight="1" x14ac:dyDescent="0.3"/>
    <row r="579" ht="22.2" customHeight="1" x14ac:dyDescent="0.3"/>
    <row r="580" ht="22.2" customHeight="1" x14ac:dyDescent="0.3"/>
    <row r="581" ht="22.2" customHeight="1" x14ac:dyDescent="0.3"/>
    <row r="582" ht="22.2" customHeight="1" x14ac:dyDescent="0.3"/>
    <row r="583" ht="22.2" customHeight="1" x14ac:dyDescent="0.3"/>
    <row r="584" ht="22.2" customHeight="1" x14ac:dyDescent="0.3"/>
    <row r="585" ht="22.2" customHeight="1" x14ac:dyDescent="0.3"/>
    <row r="586" ht="22.2" customHeight="1" x14ac:dyDescent="0.3"/>
    <row r="587" ht="22.2" customHeight="1" x14ac:dyDescent="0.3"/>
    <row r="588" ht="22.2" customHeight="1" x14ac:dyDescent="0.3"/>
    <row r="589" ht="22.2" customHeight="1" x14ac:dyDescent="0.3"/>
    <row r="590" ht="22.2" customHeight="1" x14ac:dyDescent="0.3"/>
    <row r="591" ht="22.2" customHeight="1" x14ac:dyDescent="0.3"/>
    <row r="592" ht="22.2" customHeight="1" x14ac:dyDescent="0.3"/>
    <row r="593" ht="22.2" customHeight="1" x14ac:dyDescent="0.3"/>
    <row r="594" ht="22.2" customHeight="1" x14ac:dyDescent="0.3"/>
    <row r="595" ht="22.2" customHeight="1" x14ac:dyDescent="0.3"/>
    <row r="596" ht="22.2" customHeight="1" x14ac:dyDescent="0.3"/>
    <row r="597" ht="22.2" customHeight="1" x14ac:dyDescent="0.3"/>
    <row r="598" ht="22.2" customHeight="1" x14ac:dyDescent="0.3"/>
    <row r="599" ht="22.2" customHeight="1" x14ac:dyDescent="0.3"/>
    <row r="600" ht="22.2" customHeight="1" x14ac:dyDescent="0.3"/>
    <row r="601" ht="22.2" customHeight="1" x14ac:dyDescent="0.3"/>
    <row r="602" ht="22.2" customHeight="1" x14ac:dyDescent="0.3"/>
    <row r="603" ht="22.2" customHeight="1" x14ac:dyDescent="0.3"/>
    <row r="604" ht="22.2" customHeight="1" x14ac:dyDescent="0.3"/>
    <row r="605" ht="22.2" customHeight="1" x14ac:dyDescent="0.3"/>
    <row r="606" ht="22.2" customHeight="1" x14ac:dyDescent="0.3"/>
    <row r="607" ht="22.2" customHeight="1" x14ac:dyDescent="0.3"/>
    <row r="608" ht="22.2" customHeight="1" x14ac:dyDescent="0.3"/>
    <row r="609" ht="22.2" customHeight="1" x14ac:dyDescent="0.3"/>
    <row r="610" ht="22.2" customHeight="1" x14ac:dyDescent="0.3"/>
    <row r="611" ht="22.2" customHeight="1" x14ac:dyDescent="0.3"/>
    <row r="612" ht="22.2" customHeight="1" x14ac:dyDescent="0.3"/>
    <row r="613" ht="22.2" customHeight="1" x14ac:dyDescent="0.3"/>
    <row r="614" ht="22.2" customHeight="1" x14ac:dyDescent="0.3"/>
    <row r="615" ht="22.2" customHeight="1" x14ac:dyDescent="0.3"/>
    <row r="616" ht="22.2" customHeight="1" x14ac:dyDescent="0.3"/>
    <row r="617" ht="22.2" customHeight="1" x14ac:dyDescent="0.3"/>
    <row r="618" ht="22.2" customHeight="1" x14ac:dyDescent="0.3"/>
    <row r="619" ht="22.2" customHeight="1" x14ac:dyDescent="0.3"/>
    <row r="620" ht="22.2" customHeight="1" x14ac:dyDescent="0.3"/>
    <row r="621" ht="22.2" customHeight="1" x14ac:dyDescent="0.3"/>
    <row r="622" ht="22.2" customHeight="1" x14ac:dyDescent="0.3"/>
    <row r="623" ht="22.2" customHeight="1" x14ac:dyDescent="0.3"/>
    <row r="624" ht="22.2" customHeight="1" x14ac:dyDescent="0.3"/>
    <row r="625" ht="22.2" customHeight="1" x14ac:dyDescent="0.3"/>
    <row r="626" ht="22.2" customHeight="1" x14ac:dyDescent="0.3"/>
    <row r="627" ht="22.2" customHeight="1" x14ac:dyDescent="0.3"/>
    <row r="628" ht="22.2" customHeight="1" x14ac:dyDescent="0.3"/>
    <row r="629" ht="22.2" customHeight="1" x14ac:dyDescent="0.3"/>
    <row r="630" ht="22.2" customHeight="1" x14ac:dyDescent="0.3"/>
    <row r="631" ht="22.2" customHeight="1" x14ac:dyDescent="0.3"/>
    <row r="632" ht="22.2" customHeight="1" x14ac:dyDescent="0.3"/>
    <row r="633" ht="22.2" customHeight="1" x14ac:dyDescent="0.3"/>
    <row r="634" ht="22.2" customHeight="1" x14ac:dyDescent="0.3"/>
    <row r="635" ht="22.2" customHeight="1" x14ac:dyDescent="0.3"/>
    <row r="636" ht="22.2" customHeight="1" x14ac:dyDescent="0.3"/>
    <row r="637" ht="22.2" customHeight="1" x14ac:dyDescent="0.3"/>
    <row r="638" ht="22.2" customHeight="1" x14ac:dyDescent="0.3"/>
    <row r="639" ht="22.2" customHeight="1" x14ac:dyDescent="0.3"/>
    <row r="640" ht="22.2" customHeight="1" x14ac:dyDescent="0.3"/>
    <row r="641" ht="22.2" customHeight="1" x14ac:dyDescent="0.3"/>
    <row r="642" ht="22.2" customHeight="1" x14ac:dyDescent="0.3"/>
    <row r="643" ht="22.2" customHeight="1" x14ac:dyDescent="0.3"/>
    <row r="644" ht="22.2" customHeight="1" x14ac:dyDescent="0.3"/>
    <row r="645" ht="22.2" customHeight="1" x14ac:dyDescent="0.3"/>
    <row r="646" ht="22.2" customHeight="1" x14ac:dyDescent="0.3"/>
    <row r="647" ht="22.2" customHeight="1" x14ac:dyDescent="0.3"/>
    <row r="648" ht="22.2" customHeight="1" x14ac:dyDescent="0.3"/>
    <row r="649" ht="22.2" customHeight="1" x14ac:dyDescent="0.3"/>
    <row r="650" ht="22.2" customHeight="1" x14ac:dyDescent="0.3"/>
    <row r="651" ht="22.2" customHeight="1" x14ac:dyDescent="0.3"/>
    <row r="652" ht="22.2" customHeight="1" x14ac:dyDescent="0.3"/>
    <row r="653" ht="22.2" customHeight="1" x14ac:dyDescent="0.3"/>
    <row r="654" ht="22.2" customHeight="1" x14ac:dyDescent="0.3"/>
    <row r="655" ht="22.2" customHeight="1" x14ac:dyDescent="0.3"/>
    <row r="656" ht="22.2" customHeight="1" x14ac:dyDescent="0.3"/>
    <row r="657" ht="22.2" customHeight="1" x14ac:dyDescent="0.3"/>
    <row r="658" ht="22.2" customHeight="1" x14ac:dyDescent="0.3"/>
    <row r="659" ht="22.2" customHeight="1" x14ac:dyDescent="0.3"/>
    <row r="660" ht="22.2" customHeight="1" x14ac:dyDescent="0.3"/>
    <row r="661" ht="22.2" customHeight="1" x14ac:dyDescent="0.3"/>
    <row r="662" ht="22.2" customHeight="1" x14ac:dyDescent="0.3"/>
    <row r="663" ht="22.2" customHeight="1" x14ac:dyDescent="0.3"/>
    <row r="664" ht="22.2" customHeight="1" x14ac:dyDescent="0.3"/>
    <row r="665" ht="22.2" customHeight="1" x14ac:dyDescent="0.3"/>
    <row r="666" ht="22.2" customHeight="1" x14ac:dyDescent="0.3"/>
    <row r="667" ht="22.2" customHeight="1" x14ac:dyDescent="0.3"/>
    <row r="668" ht="22.2" customHeight="1" x14ac:dyDescent="0.3"/>
    <row r="669" ht="22.2" customHeight="1" x14ac:dyDescent="0.3"/>
    <row r="670" ht="22.2" customHeight="1" x14ac:dyDescent="0.3"/>
    <row r="671" ht="22.2" customHeight="1" x14ac:dyDescent="0.3"/>
    <row r="672" ht="22.2" customHeight="1" x14ac:dyDescent="0.3"/>
    <row r="673" ht="22.2" customHeight="1" x14ac:dyDescent="0.3"/>
    <row r="674" ht="22.2" customHeight="1" x14ac:dyDescent="0.3"/>
    <row r="675" ht="22.2" customHeight="1" x14ac:dyDescent="0.3"/>
    <row r="676" ht="22.2" customHeight="1" x14ac:dyDescent="0.3"/>
    <row r="677" ht="22.2" customHeight="1" x14ac:dyDescent="0.3"/>
    <row r="678" ht="22.2" customHeight="1" x14ac:dyDescent="0.3"/>
    <row r="679" ht="22.2" customHeight="1" x14ac:dyDescent="0.3"/>
    <row r="680" ht="22.2" customHeight="1" x14ac:dyDescent="0.3"/>
    <row r="681" ht="22.2" customHeight="1" x14ac:dyDescent="0.3"/>
    <row r="682" ht="22.2" customHeight="1" x14ac:dyDescent="0.3"/>
    <row r="683" ht="22.2" customHeight="1" x14ac:dyDescent="0.3"/>
    <row r="684" ht="22.2" customHeight="1" x14ac:dyDescent="0.3"/>
    <row r="685" ht="22.2" customHeight="1" x14ac:dyDescent="0.3"/>
    <row r="686" ht="22.2" customHeight="1" x14ac:dyDescent="0.3"/>
    <row r="687" ht="22.2" customHeight="1" x14ac:dyDescent="0.3"/>
    <row r="688" ht="22.2" customHeight="1" x14ac:dyDescent="0.3"/>
    <row r="689" ht="22.2" customHeight="1" x14ac:dyDescent="0.3"/>
    <row r="690" ht="22.2" customHeight="1" x14ac:dyDescent="0.3"/>
    <row r="691" ht="22.2" customHeight="1" x14ac:dyDescent="0.3"/>
    <row r="692" ht="22.2" customHeight="1" x14ac:dyDescent="0.3"/>
    <row r="693" ht="22.2" customHeight="1" x14ac:dyDescent="0.3"/>
    <row r="694" ht="22.2" customHeight="1" x14ac:dyDescent="0.3"/>
    <row r="695" ht="22.2" customHeight="1" x14ac:dyDescent="0.3"/>
    <row r="696" ht="22.2" customHeight="1" x14ac:dyDescent="0.3"/>
    <row r="697" ht="22.2" customHeight="1" x14ac:dyDescent="0.3"/>
    <row r="698" ht="22.2" customHeight="1" x14ac:dyDescent="0.3"/>
    <row r="699" ht="22.2" customHeight="1" x14ac:dyDescent="0.3"/>
    <row r="700" ht="22.2" customHeight="1" x14ac:dyDescent="0.3"/>
    <row r="701" ht="22.2" customHeight="1" x14ac:dyDescent="0.3"/>
    <row r="702" ht="22.2" customHeight="1" x14ac:dyDescent="0.3"/>
    <row r="703" ht="22.2" customHeight="1" x14ac:dyDescent="0.3"/>
    <row r="704" ht="22.2" customHeight="1" x14ac:dyDescent="0.3"/>
    <row r="705" ht="22.2" customHeight="1" x14ac:dyDescent="0.3"/>
    <row r="706" ht="22.2" customHeight="1" x14ac:dyDescent="0.3"/>
    <row r="707" ht="22.2" customHeight="1" x14ac:dyDescent="0.3"/>
    <row r="708" ht="22.2" customHeight="1" x14ac:dyDescent="0.3"/>
    <row r="709" ht="22.2" customHeight="1" x14ac:dyDescent="0.3"/>
    <row r="710" ht="22.2" customHeight="1" x14ac:dyDescent="0.3"/>
    <row r="711" ht="22.2" customHeight="1" x14ac:dyDescent="0.3"/>
    <row r="712" ht="22.2" customHeight="1" x14ac:dyDescent="0.3"/>
    <row r="713" ht="22.2" customHeight="1" x14ac:dyDescent="0.3"/>
    <row r="714" ht="22.2" customHeight="1" x14ac:dyDescent="0.3"/>
    <row r="715" ht="22.2" customHeight="1" x14ac:dyDescent="0.3"/>
    <row r="716" ht="22.2" customHeight="1" x14ac:dyDescent="0.3"/>
    <row r="717" ht="22.2" customHeight="1" x14ac:dyDescent="0.3"/>
    <row r="718" ht="22.2" customHeight="1" x14ac:dyDescent="0.3"/>
    <row r="719" ht="22.2" customHeight="1" x14ac:dyDescent="0.3"/>
    <row r="720" ht="22.2" customHeight="1" x14ac:dyDescent="0.3"/>
    <row r="721" ht="22.2" customHeight="1" x14ac:dyDescent="0.3"/>
    <row r="722" ht="22.2" customHeight="1" x14ac:dyDescent="0.3"/>
    <row r="723" ht="22.2" customHeight="1" x14ac:dyDescent="0.3"/>
    <row r="724" ht="22.2" customHeight="1" x14ac:dyDescent="0.3"/>
    <row r="725" ht="22.2" customHeight="1" x14ac:dyDescent="0.3"/>
    <row r="726" ht="22.2" customHeight="1" x14ac:dyDescent="0.3"/>
    <row r="727" ht="22.2" customHeight="1" x14ac:dyDescent="0.3"/>
    <row r="728" ht="22.2" customHeight="1" x14ac:dyDescent="0.3"/>
    <row r="729" ht="22.2" customHeight="1" x14ac:dyDescent="0.3"/>
    <row r="730" ht="22.2" customHeight="1" x14ac:dyDescent="0.3"/>
    <row r="731" ht="22.2" customHeight="1" x14ac:dyDescent="0.3"/>
    <row r="732" ht="22.2" customHeight="1" x14ac:dyDescent="0.3"/>
    <row r="733" ht="22.2" customHeight="1" x14ac:dyDescent="0.3"/>
    <row r="734" ht="22.2" customHeight="1" x14ac:dyDescent="0.3"/>
    <row r="735" ht="22.2" customHeight="1" x14ac:dyDescent="0.3"/>
    <row r="736" ht="22.2" customHeight="1" x14ac:dyDescent="0.3"/>
    <row r="737" ht="22.2" customHeight="1" x14ac:dyDescent="0.3"/>
    <row r="738" ht="22.2" customHeight="1" x14ac:dyDescent="0.3"/>
    <row r="739" ht="22.2" customHeight="1" x14ac:dyDescent="0.3"/>
    <row r="740" ht="22.2" customHeight="1" x14ac:dyDescent="0.3"/>
    <row r="741" ht="22.2" customHeight="1" x14ac:dyDescent="0.3"/>
    <row r="742" ht="22.2" customHeight="1" x14ac:dyDescent="0.3"/>
    <row r="743" ht="22.2" customHeight="1" x14ac:dyDescent="0.3"/>
    <row r="744" ht="22.2" customHeight="1" x14ac:dyDescent="0.3"/>
    <row r="745" ht="22.2" customHeight="1" x14ac:dyDescent="0.3"/>
    <row r="746" ht="22.2" customHeight="1" x14ac:dyDescent="0.3"/>
    <row r="747" ht="22.2" customHeight="1" x14ac:dyDescent="0.3"/>
    <row r="748" ht="22.2" customHeight="1" x14ac:dyDescent="0.3"/>
    <row r="749" ht="22.2" customHeight="1" x14ac:dyDescent="0.3"/>
    <row r="750" ht="22.2" customHeight="1" x14ac:dyDescent="0.3"/>
    <row r="751" ht="22.2" customHeight="1" x14ac:dyDescent="0.3"/>
    <row r="752" ht="22.2" customHeight="1" x14ac:dyDescent="0.3"/>
    <row r="753" ht="22.2" customHeight="1" x14ac:dyDescent="0.3"/>
    <row r="754" ht="22.2" customHeight="1" x14ac:dyDescent="0.3"/>
    <row r="755" ht="22.2" customHeight="1" x14ac:dyDescent="0.3"/>
    <row r="756" ht="22.2" customHeight="1" x14ac:dyDescent="0.3"/>
    <row r="757" ht="22.2" customHeight="1" x14ac:dyDescent="0.3"/>
    <row r="758" ht="22.2" customHeight="1" x14ac:dyDescent="0.3"/>
    <row r="759" ht="22.2" customHeight="1" x14ac:dyDescent="0.3"/>
    <row r="760" ht="22.2" customHeight="1" x14ac:dyDescent="0.3"/>
    <row r="761" ht="22.2" customHeight="1" x14ac:dyDescent="0.3"/>
    <row r="762" ht="22.2" customHeight="1" x14ac:dyDescent="0.3"/>
    <row r="763" ht="22.2" customHeight="1" x14ac:dyDescent="0.3"/>
    <row r="764" ht="22.2" customHeight="1" x14ac:dyDescent="0.3"/>
    <row r="765" ht="22.2" customHeight="1" x14ac:dyDescent="0.3"/>
    <row r="766" ht="22.2" customHeight="1" x14ac:dyDescent="0.3"/>
    <row r="767" ht="22.2" customHeight="1" x14ac:dyDescent="0.3"/>
    <row r="768" ht="22.2" customHeight="1" x14ac:dyDescent="0.3"/>
    <row r="769" ht="22.2" customHeight="1" x14ac:dyDescent="0.3"/>
    <row r="770" ht="22.2" customHeight="1" x14ac:dyDescent="0.3"/>
    <row r="771" ht="22.2" customHeight="1" x14ac:dyDescent="0.3"/>
    <row r="772" ht="22.2" customHeight="1" x14ac:dyDescent="0.3"/>
    <row r="773" ht="22.2" customHeight="1" x14ac:dyDescent="0.3"/>
    <row r="774" ht="22.2" customHeight="1" x14ac:dyDescent="0.3"/>
    <row r="775" ht="22.2" customHeight="1" x14ac:dyDescent="0.3"/>
    <row r="776" ht="22.2" customHeight="1" x14ac:dyDescent="0.3"/>
    <row r="777" ht="22.2" customHeight="1" x14ac:dyDescent="0.3"/>
    <row r="778" ht="22.2" customHeight="1" x14ac:dyDescent="0.3"/>
    <row r="779" ht="22.2" customHeight="1" x14ac:dyDescent="0.3"/>
    <row r="780" ht="22.2" customHeight="1" x14ac:dyDescent="0.3"/>
    <row r="781" ht="22.2" customHeight="1" x14ac:dyDescent="0.3"/>
    <row r="782" ht="22.2" customHeight="1" x14ac:dyDescent="0.3"/>
    <row r="783" ht="22.2" customHeight="1" x14ac:dyDescent="0.3"/>
    <row r="784" ht="22.2" customHeight="1" x14ac:dyDescent="0.3"/>
    <row r="785" ht="22.2" customHeight="1" x14ac:dyDescent="0.3"/>
    <row r="786" ht="22.2" customHeight="1" x14ac:dyDescent="0.3"/>
    <row r="787" ht="22.2" customHeight="1" x14ac:dyDescent="0.3"/>
    <row r="788" ht="22.2" customHeight="1" x14ac:dyDescent="0.3"/>
    <row r="789" ht="22.2" customHeight="1" x14ac:dyDescent="0.3"/>
    <row r="790" ht="22.2" customHeight="1" x14ac:dyDescent="0.3"/>
    <row r="791" ht="22.2" customHeight="1" x14ac:dyDescent="0.3"/>
    <row r="792" ht="22.2" customHeight="1" x14ac:dyDescent="0.3"/>
    <row r="793" ht="22.2" customHeight="1" x14ac:dyDescent="0.3"/>
    <row r="794" ht="22.2" customHeight="1" x14ac:dyDescent="0.3"/>
    <row r="795" ht="22.2" customHeight="1" x14ac:dyDescent="0.3"/>
    <row r="796" ht="22.2" customHeight="1" x14ac:dyDescent="0.3"/>
    <row r="797" ht="22.2" customHeight="1" x14ac:dyDescent="0.3"/>
    <row r="798" ht="22.2" customHeight="1" x14ac:dyDescent="0.3"/>
    <row r="799" ht="22.2" customHeight="1" x14ac:dyDescent="0.3"/>
    <row r="800" ht="22.2" customHeight="1" x14ac:dyDescent="0.3"/>
    <row r="801" ht="22.2" customHeight="1" x14ac:dyDescent="0.3"/>
    <row r="802" ht="22.2" customHeight="1" x14ac:dyDescent="0.3"/>
    <row r="803" ht="22.2" customHeight="1" x14ac:dyDescent="0.3"/>
    <row r="804" ht="22.2" customHeight="1" x14ac:dyDescent="0.3"/>
    <row r="805" ht="22.2" customHeight="1" x14ac:dyDescent="0.3"/>
    <row r="806" ht="22.2" customHeight="1" x14ac:dyDescent="0.3"/>
    <row r="807" ht="22.2" customHeight="1" x14ac:dyDescent="0.3"/>
    <row r="808" ht="22.2" customHeight="1" x14ac:dyDescent="0.3"/>
    <row r="809" ht="22.2" customHeight="1" x14ac:dyDescent="0.3"/>
    <row r="810" ht="22.2" customHeight="1" x14ac:dyDescent="0.3"/>
    <row r="811" ht="22.2" customHeight="1" x14ac:dyDescent="0.3"/>
    <row r="812" ht="22.2" customHeight="1" x14ac:dyDescent="0.3"/>
    <row r="813" ht="22.2" customHeight="1" x14ac:dyDescent="0.3"/>
    <row r="814" ht="22.2" customHeight="1" x14ac:dyDescent="0.3"/>
    <row r="815" ht="22.2" customHeight="1" x14ac:dyDescent="0.3"/>
    <row r="816" ht="22.2" customHeight="1" x14ac:dyDescent="0.3"/>
    <row r="817" ht="22.2" customHeight="1" x14ac:dyDescent="0.3"/>
    <row r="818" ht="22.2" customHeight="1" x14ac:dyDescent="0.3"/>
    <row r="819" ht="22.2" customHeight="1" x14ac:dyDescent="0.3"/>
    <row r="820" ht="22.2" customHeight="1" x14ac:dyDescent="0.3"/>
    <row r="821" ht="22.2" customHeight="1" x14ac:dyDescent="0.3"/>
    <row r="822" ht="22.2" customHeight="1" x14ac:dyDescent="0.3"/>
    <row r="823" ht="22.2" customHeight="1" x14ac:dyDescent="0.3"/>
    <row r="824" ht="22.2" customHeight="1" x14ac:dyDescent="0.3"/>
    <row r="825" ht="22.2" customHeight="1" x14ac:dyDescent="0.3"/>
    <row r="826" ht="22.2" customHeight="1" x14ac:dyDescent="0.3"/>
    <row r="827" ht="22.2" customHeight="1" x14ac:dyDescent="0.3"/>
    <row r="828" ht="22.2" customHeight="1" x14ac:dyDescent="0.3"/>
    <row r="829" ht="22.2" customHeight="1" x14ac:dyDescent="0.3"/>
    <row r="830" ht="22.2" customHeight="1" x14ac:dyDescent="0.3"/>
    <row r="831" ht="22.2" customHeight="1" x14ac:dyDescent="0.3"/>
    <row r="832" ht="22.2" customHeight="1" x14ac:dyDescent="0.3"/>
    <row r="833" ht="22.2" customHeight="1" x14ac:dyDescent="0.3"/>
    <row r="834" ht="22.2" customHeight="1" x14ac:dyDescent="0.3"/>
    <row r="835" ht="22.2" customHeight="1" x14ac:dyDescent="0.3"/>
    <row r="836" ht="22.2" customHeight="1" x14ac:dyDescent="0.3"/>
    <row r="837" ht="22.2" customHeight="1" x14ac:dyDescent="0.3"/>
    <row r="838" ht="22.2" customHeight="1" x14ac:dyDescent="0.3"/>
    <row r="839" ht="22.2" customHeight="1" x14ac:dyDescent="0.3"/>
    <row r="840" ht="22.2" customHeight="1" x14ac:dyDescent="0.3"/>
    <row r="841" ht="22.2" customHeight="1" x14ac:dyDescent="0.3"/>
    <row r="842" ht="22.2" customHeight="1" x14ac:dyDescent="0.3"/>
    <row r="843" ht="22.2" customHeight="1" x14ac:dyDescent="0.3"/>
    <row r="844" ht="22.2" customHeight="1" x14ac:dyDescent="0.3"/>
    <row r="845" ht="22.2" customHeight="1" x14ac:dyDescent="0.3"/>
    <row r="846" ht="22.2" customHeight="1" x14ac:dyDescent="0.3"/>
    <row r="847" ht="22.2" customHeight="1" x14ac:dyDescent="0.3"/>
    <row r="848" ht="22.2" customHeight="1" x14ac:dyDescent="0.3"/>
    <row r="849" ht="22.2" customHeight="1" x14ac:dyDescent="0.3"/>
    <row r="850" ht="22.2" customHeight="1" x14ac:dyDescent="0.3"/>
    <row r="851" ht="22.2" customHeight="1" x14ac:dyDescent="0.3"/>
    <row r="852" ht="22.2" customHeight="1" x14ac:dyDescent="0.3"/>
    <row r="853" ht="22.2" customHeight="1" x14ac:dyDescent="0.3"/>
    <row r="854" ht="22.2" customHeight="1" x14ac:dyDescent="0.3"/>
    <row r="855" ht="22.2" customHeight="1" x14ac:dyDescent="0.3"/>
    <row r="856" ht="22.2" customHeight="1" x14ac:dyDescent="0.3"/>
    <row r="857" ht="22.2" customHeight="1" x14ac:dyDescent="0.3"/>
    <row r="858" ht="22.2" customHeight="1" x14ac:dyDescent="0.3"/>
    <row r="859" ht="22.2" customHeight="1" x14ac:dyDescent="0.3"/>
    <row r="860" ht="22.2" customHeight="1" x14ac:dyDescent="0.3"/>
    <row r="861" ht="22.2" customHeight="1" x14ac:dyDescent="0.3"/>
    <row r="862" ht="22.2" customHeight="1" x14ac:dyDescent="0.3"/>
    <row r="863" ht="22.2" customHeight="1" x14ac:dyDescent="0.3"/>
    <row r="864" ht="22.2" customHeight="1" x14ac:dyDescent="0.3"/>
    <row r="865" ht="22.2" customHeight="1" x14ac:dyDescent="0.3"/>
    <row r="866" ht="22.2" customHeight="1" x14ac:dyDescent="0.3"/>
    <row r="867" ht="22.2" customHeight="1" x14ac:dyDescent="0.3"/>
    <row r="868" ht="22.2" customHeight="1" x14ac:dyDescent="0.3"/>
    <row r="869" ht="22.2" customHeight="1" x14ac:dyDescent="0.3"/>
    <row r="870" ht="22.2" customHeight="1" x14ac:dyDescent="0.3"/>
    <row r="871" ht="22.2" customHeight="1" x14ac:dyDescent="0.3"/>
    <row r="872" ht="22.2" customHeight="1" x14ac:dyDescent="0.3"/>
    <row r="873" ht="22.2" customHeight="1" x14ac:dyDescent="0.3"/>
    <row r="874" ht="22.2" customHeight="1" x14ac:dyDescent="0.3"/>
    <row r="875" ht="22.2" customHeight="1" x14ac:dyDescent="0.3"/>
    <row r="876" ht="22.2" customHeight="1" x14ac:dyDescent="0.3"/>
    <row r="877" ht="22.2" customHeight="1" x14ac:dyDescent="0.3"/>
    <row r="878" ht="22.2" customHeight="1" x14ac:dyDescent="0.3"/>
    <row r="879" ht="22.2" customHeight="1" x14ac:dyDescent="0.3"/>
    <row r="880" ht="22.2" customHeight="1" x14ac:dyDescent="0.3"/>
    <row r="881" ht="22.2" customHeight="1" x14ac:dyDescent="0.3"/>
    <row r="882" ht="22.2" customHeight="1" x14ac:dyDescent="0.3"/>
    <row r="883" ht="22.2" customHeight="1" x14ac:dyDescent="0.3"/>
    <row r="884" ht="22.2" customHeight="1" x14ac:dyDescent="0.3"/>
    <row r="885" ht="22.2" customHeight="1" x14ac:dyDescent="0.3"/>
    <row r="886" ht="22.2" customHeight="1" x14ac:dyDescent="0.3"/>
    <row r="887" ht="22.2" customHeight="1" x14ac:dyDescent="0.3"/>
    <row r="888" ht="22.2" customHeight="1" x14ac:dyDescent="0.3"/>
    <row r="889" ht="22.2" customHeight="1" x14ac:dyDescent="0.3"/>
    <row r="890" ht="22.2" customHeight="1" x14ac:dyDescent="0.3"/>
    <row r="891" ht="22.2" customHeight="1" x14ac:dyDescent="0.3"/>
    <row r="892" ht="22.2" customHeight="1" x14ac:dyDescent="0.3"/>
    <row r="893" ht="22.2" customHeight="1" x14ac:dyDescent="0.3"/>
    <row r="894" ht="22.2" customHeight="1" x14ac:dyDescent="0.3"/>
    <row r="895" ht="22.2" customHeight="1" x14ac:dyDescent="0.3"/>
    <row r="896" ht="22.2" customHeight="1" x14ac:dyDescent="0.3"/>
    <row r="897" ht="22.2" customHeight="1" x14ac:dyDescent="0.3"/>
    <row r="898" ht="22.2" customHeight="1" x14ac:dyDescent="0.3"/>
    <row r="899" ht="22.2" customHeight="1" x14ac:dyDescent="0.3"/>
    <row r="900" ht="22.2" customHeight="1" x14ac:dyDescent="0.3"/>
    <row r="901" ht="22.2" customHeight="1" x14ac:dyDescent="0.3"/>
    <row r="902" ht="22.2" customHeight="1" x14ac:dyDescent="0.3"/>
    <row r="903" ht="22.2" customHeight="1" x14ac:dyDescent="0.3"/>
    <row r="904" ht="22.2" customHeight="1" x14ac:dyDescent="0.3"/>
    <row r="905" ht="22.2" customHeight="1" x14ac:dyDescent="0.3"/>
    <row r="906" ht="22.2" customHeight="1" x14ac:dyDescent="0.3"/>
    <row r="907" ht="22.2" customHeight="1" x14ac:dyDescent="0.3"/>
    <row r="908" ht="22.2" customHeight="1" x14ac:dyDescent="0.3"/>
    <row r="909" ht="22.2" customHeight="1" x14ac:dyDescent="0.3"/>
    <row r="910" ht="22.2" customHeight="1" x14ac:dyDescent="0.3"/>
    <row r="911" ht="22.2" customHeight="1" x14ac:dyDescent="0.3"/>
    <row r="912" ht="22.2" customHeight="1" x14ac:dyDescent="0.3"/>
    <row r="913" ht="22.2" customHeight="1" x14ac:dyDescent="0.3"/>
    <row r="914" ht="22.2" customHeight="1" x14ac:dyDescent="0.3"/>
    <row r="915" ht="22.2" customHeight="1" x14ac:dyDescent="0.3"/>
    <row r="916" ht="22.2" customHeight="1" x14ac:dyDescent="0.3"/>
    <row r="917" ht="22.2" customHeight="1" x14ac:dyDescent="0.3"/>
    <row r="918" ht="22.2" customHeight="1" x14ac:dyDescent="0.3"/>
    <row r="919" ht="22.2" customHeight="1" x14ac:dyDescent="0.3"/>
    <row r="920" ht="22.2" customHeight="1" x14ac:dyDescent="0.3"/>
    <row r="921" ht="22.2" customHeight="1" x14ac:dyDescent="0.3"/>
    <row r="922" ht="22.2" customHeight="1" x14ac:dyDescent="0.3"/>
    <row r="923" ht="22.2" customHeight="1" x14ac:dyDescent="0.3"/>
    <row r="924" ht="22.2" customHeight="1" x14ac:dyDescent="0.3"/>
    <row r="925" ht="22.2" customHeight="1" x14ac:dyDescent="0.3"/>
    <row r="926" ht="22.2" customHeight="1" x14ac:dyDescent="0.3"/>
    <row r="927" ht="22.2" customHeight="1" x14ac:dyDescent="0.3"/>
    <row r="928" ht="22.2" customHeight="1" x14ac:dyDescent="0.3"/>
    <row r="929" ht="22.2" customHeight="1" x14ac:dyDescent="0.3"/>
    <row r="930" ht="22.2" customHeight="1" x14ac:dyDescent="0.3"/>
    <row r="931" ht="22.2" customHeight="1" x14ac:dyDescent="0.3"/>
    <row r="932" ht="22.2" customHeight="1" x14ac:dyDescent="0.3"/>
    <row r="933" ht="22.2" customHeight="1" x14ac:dyDescent="0.3"/>
    <row r="934" ht="22.2" customHeight="1" x14ac:dyDescent="0.3"/>
    <row r="935" ht="22.2" customHeight="1" x14ac:dyDescent="0.3"/>
    <row r="936" ht="22.2" customHeight="1" x14ac:dyDescent="0.3"/>
    <row r="937" ht="22.2" customHeight="1" x14ac:dyDescent="0.3"/>
    <row r="938" ht="22.2" customHeight="1" x14ac:dyDescent="0.3"/>
    <row r="939" ht="22.2" customHeight="1" x14ac:dyDescent="0.3"/>
    <row r="940" ht="22.2" customHeight="1" x14ac:dyDescent="0.3"/>
    <row r="941" ht="22.2" customHeight="1" x14ac:dyDescent="0.3"/>
    <row r="942" ht="22.2" customHeight="1" x14ac:dyDescent="0.3"/>
    <row r="943" ht="22.2" customHeight="1" x14ac:dyDescent="0.3"/>
    <row r="944" ht="22.2" customHeight="1" x14ac:dyDescent="0.3"/>
    <row r="945" ht="22.2" customHeight="1" x14ac:dyDescent="0.3"/>
    <row r="946" ht="22.2" customHeight="1" x14ac:dyDescent="0.3"/>
    <row r="947" ht="22.2" customHeight="1" x14ac:dyDescent="0.3"/>
    <row r="948" ht="22.2" customHeight="1" x14ac:dyDescent="0.3"/>
    <row r="949" ht="22.2" customHeight="1" x14ac:dyDescent="0.3"/>
    <row r="950" ht="22.2" customHeight="1" x14ac:dyDescent="0.3"/>
    <row r="951" ht="22.2" customHeight="1" x14ac:dyDescent="0.3"/>
    <row r="952" ht="22.2" customHeight="1" x14ac:dyDescent="0.3"/>
    <row r="953" ht="22.2" customHeight="1" x14ac:dyDescent="0.3"/>
    <row r="954" ht="22.2" customHeight="1" x14ac:dyDescent="0.3"/>
    <row r="955" ht="22.2" customHeight="1" x14ac:dyDescent="0.3"/>
    <row r="956" ht="22.2" customHeight="1" x14ac:dyDescent="0.3"/>
    <row r="957" ht="22.2" customHeight="1" x14ac:dyDescent="0.3"/>
    <row r="958" ht="22.2" customHeight="1" x14ac:dyDescent="0.3"/>
    <row r="959" ht="22.2" customHeight="1" x14ac:dyDescent="0.3"/>
    <row r="960" ht="22.2" customHeight="1" x14ac:dyDescent="0.3"/>
    <row r="961" ht="22.2" customHeight="1" x14ac:dyDescent="0.3"/>
    <row r="962" ht="22.2" customHeight="1" x14ac:dyDescent="0.3"/>
    <row r="963" ht="22.2" customHeight="1" x14ac:dyDescent="0.3"/>
    <row r="964" ht="22.2" customHeight="1" x14ac:dyDescent="0.3"/>
    <row r="965" ht="22.2" customHeight="1" x14ac:dyDescent="0.3"/>
    <row r="966" ht="22.2" customHeight="1" x14ac:dyDescent="0.3"/>
    <row r="967" ht="22.2" customHeight="1" x14ac:dyDescent="0.3"/>
    <row r="968" ht="22.2" customHeight="1" x14ac:dyDescent="0.3"/>
    <row r="969" ht="22.2" customHeight="1" x14ac:dyDescent="0.3"/>
    <row r="970" ht="22.2" customHeight="1" x14ac:dyDescent="0.3"/>
    <row r="971" ht="22.2" customHeight="1" x14ac:dyDescent="0.3"/>
    <row r="972" ht="22.2" customHeight="1" x14ac:dyDescent="0.3"/>
    <row r="973" ht="22.2" customHeight="1" x14ac:dyDescent="0.3"/>
    <row r="974" ht="22.2" customHeight="1" x14ac:dyDescent="0.3"/>
    <row r="975" ht="22.2" customHeight="1" x14ac:dyDescent="0.3"/>
    <row r="976" ht="22.2" customHeight="1" x14ac:dyDescent="0.3"/>
    <row r="977" ht="22.2" customHeight="1" x14ac:dyDescent="0.3"/>
    <row r="978" ht="22.2" customHeight="1" x14ac:dyDescent="0.3"/>
    <row r="979" ht="22.2" customHeight="1" x14ac:dyDescent="0.3"/>
    <row r="980" ht="22.2" customHeight="1" x14ac:dyDescent="0.3"/>
    <row r="981" ht="22.2" customHeight="1" x14ac:dyDescent="0.3"/>
    <row r="982" ht="22.2" customHeight="1" x14ac:dyDescent="0.3"/>
    <row r="983" ht="22.2" customHeight="1" x14ac:dyDescent="0.3"/>
    <row r="984" ht="22.2" customHeight="1" x14ac:dyDescent="0.3"/>
    <row r="985" ht="22.2" customHeight="1" x14ac:dyDescent="0.3"/>
    <row r="986" ht="22.2" customHeight="1" x14ac:dyDescent="0.3"/>
    <row r="987" ht="22.2" customHeight="1" x14ac:dyDescent="0.3"/>
    <row r="988" ht="22.2" customHeight="1" x14ac:dyDescent="0.3"/>
    <row r="989" ht="22.2" customHeight="1" x14ac:dyDescent="0.3"/>
    <row r="990" ht="22.2" customHeight="1" x14ac:dyDescent="0.3"/>
    <row r="991" ht="22.2" customHeight="1" x14ac:dyDescent="0.3"/>
    <row r="992" ht="22.2" customHeight="1" x14ac:dyDescent="0.3"/>
    <row r="993" ht="22.2" customHeight="1" x14ac:dyDescent="0.3"/>
    <row r="994" ht="22.2" customHeight="1" x14ac:dyDescent="0.3"/>
    <row r="995" ht="22.2" customHeight="1" x14ac:dyDescent="0.3"/>
    <row r="996" ht="22.2" customHeight="1" x14ac:dyDescent="0.3"/>
    <row r="997" ht="22.2" customHeight="1" x14ac:dyDescent="0.3"/>
    <row r="998" ht="22.2" customHeight="1" x14ac:dyDescent="0.3"/>
    <row r="999" ht="22.2" customHeight="1" x14ac:dyDescent="0.3"/>
    <row r="1000" ht="22.2" customHeight="1" x14ac:dyDescent="0.3"/>
    <row r="1001" ht="22.2" customHeight="1" x14ac:dyDescent="0.3"/>
    <row r="1002" ht="22.2" customHeight="1" x14ac:dyDescent="0.3"/>
    <row r="1003" ht="22.2" customHeight="1" x14ac:dyDescent="0.3"/>
    <row r="1004" ht="22.2" customHeight="1" x14ac:dyDescent="0.3"/>
    <row r="1005" ht="22.2" customHeight="1" x14ac:dyDescent="0.3"/>
    <row r="1006" ht="22.2" customHeight="1" x14ac:dyDescent="0.3"/>
    <row r="1007" ht="22.2" customHeight="1" x14ac:dyDescent="0.3"/>
    <row r="1008" ht="22.2" customHeight="1" x14ac:dyDescent="0.3"/>
    <row r="1009" ht="22.2" customHeight="1" x14ac:dyDescent="0.3"/>
    <row r="1010" ht="22.2" customHeight="1" x14ac:dyDescent="0.3"/>
    <row r="1011" ht="22.2" customHeight="1" x14ac:dyDescent="0.3"/>
    <row r="1012" ht="22.2" customHeight="1" x14ac:dyDescent="0.3"/>
    <row r="1013" ht="22.2" customHeight="1" x14ac:dyDescent="0.3"/>
    <row r="1014" ht="22.2" customHeight="1" x14ac:dyDescent="0.3"/>
    <row r="1015" ht="22.2" customHeight="1" x14ac:dyDescent="0.3"/>
    <row r="1016" ht="22.2" customHeight="1" x14ac:dyDescent="0.3"/>
    <row r="1017" ht="22.2" customHeight="1" x14ac:dyDescent="0.3"/>
    <row r="1018" ht="22.2" customHeight="1" x14ac:dyDescent="0.3"/>
    <row r="1019" ht="22.2" customHeight="1" x14ac:dyDescent="0.3"/>
    <row r="1020" ht="22.2" customHeight="1" x14ac:dyDescent="0.3"/>
    <row r="1021" ht="22.2" customHeight="1" x14ac:dyDescent="0.3"/>
    <row r="1022" ht="22.2" customHeight="1" x14ac:dyDescent="0.3"/>
    <row r="1023" ht="22.2" customHeight="1" x14ac:dyDescent="0.3"/>
    <row r="1024" ht="22.2" customHeight="1" x14ac:dyDescent="0.3"/>
    <row r="1025" ht="22.2" customHeight="1" x14ac:dyDescent="0.3"/>
    <row r="1026" ht="22.2" customHeight="1" x14ac:dyDescent="0.3"/>
    <row r="1027" ht="22.2" customHeight="1" x14ac:dyDescent="0.3"/>
    <row r="1028" ht="22.2" customHeight="1" x14ac:dyDescent="0.3"/>
    <row r="1029" ht="22.2" customHeight="1" x14ac:dyDescent="0.3"/>
    <row r="1030" ht="22.2" customHeight="1" x14ac:dyDescent="0.3"/>
    <row r="1031" ht="22.2" customHeight="1" x14ac:dyDescent="0.3"/>
    <row r="1032" ht="22.2" customHeight="1" x14ac:dyDescent="0.3"/>
    <row r="1033" ht="22.2" customHeight="1" x14ac:dyDescent="0.3"/>
    <row r="1034" ht="22.2" customHeight="1" x14ac:dyDescent="0.3"/>
    <row r="1035" ht="22.2" customHeight="1" x14ac:dyDescent="0.3"/>
    <row r="1036" ht="22.2" customHeight="1" x14ac:dyDescent="0.3"/>
    <row r="1037" ht="22.2" customHeight="1" x14ac:dyDescent="0.3"/>
    <row r="1038" ht="22.2" customHeight="1" x14ac:dyDescent="0.3"/>
    <row r="1039" ht="22.2" customHeight="1" x14ac:dyDescent="0.3"/>
    <row r="1040" ht="22.2" customHeight="1" x14ac:dyDescent="0.3"/>
    <row r="1041" ht="22.2" customHeight="1" x14ac:dyDescent="0.3"/>
    <row r="1042" ht="22.2" customHeight="1" x14ac:dyDescent="0.3"/>
    <row r="1043" ht="22.2" customHeight="1" x14ac:dyDescent="0.3"/>
    <row r="1044" ht="22.2" customHeight="1" x14ac:dyDescent="0.3"/>
    <row r="1045" ht="22.2" customHeight="1" x14ac:dyDescent="0.3"/>
    <row r="1046" ht="22.2" customHeight="1" x14ac:dyDescent="0.3"/>
    <row r="1047" ht="22.2" customHeight="1" x14ac:dyDescent="0.3"/>
    <row r="1048" ht="22.2" customHeight="1" x14ac:dyDescent="0.3"/>
    <row r="1049" ht="22.2" customHeight="1" x14ac:dyDescent="0.3"/>
    <row r="1050" ht="22.2" customHeight="1" x14ac:dyDescent="0.3"/>
    <row r="1051" ht="22.2" customHeight="1" x14ac:dyDescent="0.3"/>
    <row r="1052" ht="22.2" customHeight="1" x14ac:dyDescent="0.3"/>
    <row r="1053" ht="22.2" customHeight="1" x14ac:dyDescent="0.3"/>
    <row r="1054" ht="22.2" customHeight="1" x14ac:dyDescent="0.3"/>
    <row r="1055" ht="22.2" customHeight="1" x14ac:dyDescent="0.3"/>
    <row r="1056" ht="22.2" customHeight="1" x14ac:dyDescent="0.3"/>
    <row r="1057" ht="22.2" customHeight="1" x14ac:dyDescent="0.3"/>
    <row r="1058" ht="22.2" customHeight="1" x14ac:dyDescent="0.3"/>
    <row r="1059" ht="22.2" customHeight="1" x14ac:dyDescent="0.3"/>
    <row r="1060" ht="22.2" customHeight="1" x14ac:dyDescent="0.3"/>
    <row r="1061" ht="22.2" customHeight="1" x14ac:dyDescent="0.3"/>
    <row r="1062" ht="22.2" customHeight="1" x14ac:dyDescent="0.3"/>
    <row r="1063" ht="22.2" customHeight="1" x14ac:dyDescent="0.3"/>
    <row r="1064" ht="22.2" customHeight="1" x14ac:dyDescent="0.3"/>
    <row r="1065" ht="22.2" customHeight="1" x14ac:dyDescent="0.3"/>
    <row r="1066" ht="22.2" customHeight="1" x14ac:dyDescent="0.3"/>
    <row r="1067" ht="22.2" customHeight="1" x14ac:dyDescent="0.3"/>
    <row r="1068" ht="22.2" customHeight="1" x14ac:dyDescent="0.3"/>
    <row r="1069" ht="22.2" customHeight="1" x14ac:dyDescent="0.3"/>
    <row r="1070" ht="22.2" customHeight="1" x14ac:dyDescent="0.3"/>
    <row r="1071" ht="22.2" customHeight="1" x14ac:dyDescent="0.3"/>
    <row r="1072" ht="22.2" customHeight="1" x14ac:dyDescent="0.3"/>
    <row r="1073" ht="22.2" customHeight="1" x14ac:dyDescent="0.3"/>
    <row r="1074" ht="22.2" customHeight="1" x14ac:dyDescent="0.3"/>
    <row r="1075" ht="22.2" customHeight="1" x14ac:dyDescent="0.3"/>
    <row r="1076" ht="22.2" customHeight="1" x14ac:dyDescent="0.3"/>
    <row r="1077" ht="22.2" customHeight="1" x14ac:dyDescent="0.3"/>
    <row r="1078" ht="22.2" customHeight="1" x14ac:dyDescent="0.3"/>
    <row r="1079" ht="22.2" customHeight="1" x14ac:dyDescent="0.3"/>
    <row r="1080" ht="22.2" customHeight="1" x14ac:dyDescent="0.3"/>
    <row r="1081" ht="22.2" customHeight="1" x14ac:dyDescent="0.3"/>
    <row r="1082" ht="22.2" customHeight="1" x14ac:dyDescent="0.3"/>
    <row r="1083" ht="22.2" customHeight="1" x14ac:dyDescent="0.3"/>
    <row r="1084" ht="22.2" customHeight="1" x14ac:dyDescent="0.3"/>
    <row r="1085" ht="22.2" customHeight="1" x14ac:dyDescent="0.3"/>
    <row r="1086" ht="22.2" customHeight="1" x14ac:dyDescent="0.3"/>
    <row r="1087" ht="22.2" customHeight="1" x14ac:dyDescent="0.3"/>
    <row r="1088" ht="22.2" customHeight="1" x14ac:dyDescent="0.3"/>
    <row r="1089" ht="22.2" customHeight="1" x14ac:dyDescent="0.3"/>
    <row r="1090" ht="22.2" customHeight="1" x14ac:dyDescent="0.3"/>
    <row r="1091" ht="22.2" customHeight="1" x14ac:dyDescent="0.3"/>
    <row r="1092" ht="22.2" customHeight="1" x14ac:dyDescent="0.3"/>
    <row r="1093" ht="22.2" customHeight="1" x14ac:dyDescent="0.3"/>
    <row r="1094" ht="22.2" customHeight="1" x14ac:dyDescent="0.3"/>
    <row r="1095" ht="22.2" customHeight="1" x14ac:dyDescent="0.3"/>
    <row r="1096" ht="22.2" customHeight="1" x14ac:dyDescent="0.3"/>
    <row r="1097" ht="22.2" customHeight="1" x14ac:dyDescent="0.3"/>
    <row r="1098" ht="22.2" customHeight="1" x14ac:dyDescent="0.3"/>
    <row r="1099" ht="22.2" customHeight="1" x14ac:dyDescent="0.3"/>
    <row r="1100" ht="22.2" customHeight="1" x14ac:dyDescent="0.3"/>
    <row r="1101" ht="22.2" customHeight="1" x14ac:dyDescent="0.3"/>
    <row r="1102" ht="22.2" customHeight="1" x14ac:dyDescent="0.3"/>
    <row r="1103" ht="22.2" customHeight="1" x14ac:dyDescent="0.3"/>
    <row r="1104" ht="22.2" customHeight="1" x14ac:dyDescent="0.3"/>
    <row r="1105" ht="22.2" customHeight="1" x14ac:dyDescent="0.3"/>
    <row r="1106" ht="22.2" customHeight="1" x14ac:dyDescent="0.3"/>
    <row r="1107" ht="22.2" customHeight="1" x14ac:dyDescent="0.3"/>
    <row r="1108" ht="22.2" customHeight="1" x14ac:dyDescent="0.3"/>
    <row r="1109" ht="22.2" customHeight="1" x14ac:dyDescent="0.3"/>
    <row r="1110" ht="22.2" customHeight="1" x14ac:dyDescent="0.3"/>
    <row r="1111" ht="22.2" customHeight="1" x14ac:dyDescent="0.3"/>
    <row r="1112" ht="22.2" customHeight="1" x14ac:dyDescent="0.3"/>
    <row r="1113" ht="22.2" customHeight="1" x14ac:dyDescent="0.3"/>
    <row r="1114" ht="22.2" customHeight="1" x14ac:dyDescent="0.3"/>
    <row r="1115" ht="22.2" customHeight="1" x14ac:dyDescent="0.3"/>
    <row r="1116" ht="22.2" customHeight="1" x14ac:dyDescent="0.3"/>
    <row r="1117" ht="22.2" customHeight="1" x14ac:dyDescent="0.3"/>
    <row r="1118" ht="22.2" customHeight="1" x14ac:dyDescent="0.3"/>
    <row r="1119" ht="22.2" customHeight="1" x14ac:dyDescent="0.3"/>
    <row r="1120" ht="22.2" customHeight="1" x14ac:dyDescent="0.3"/>
    <row r="1121" ht="22.2" customHeight="1" x14ac:dyDescent="0.3"/>
    <row r="1122" ht="22.2" customHeight="1" x14ac:dyDescent="0.3"/>
    <row r="1123" ht="22.2" customHeight="1" x14ac:dyDescent="0.3"/>
    <row r="1124" ht="22.2" customHeight="1" x14ac:dyDescent="0.3"/>
    <row r="1125" ht="22.2" customHeight="1" x14ac:dyDescent="0.3"/>
    <row r="1126" ht="22.2" customHeight="1" x14ac:dyDescent="0.3"/>
    <row r="1127" ht="22.2" customHeight="1" x14ac:dyDescent="0.3"/>
    <row r="1128" ht="22.2" customHeight="1" x14ac:dyDescent="0.3"/>
    <row r="1129" ht="22.2" customHeight="1" x14ac:dyDescent="0.3"/>
    <row r="1130" ht="22.2" customHeight="1" x14ac:dyDescent="0.3"/>
    <row r="1131" ht="22.2" customHeight="1" x14ac:dyDescent="0.3"/>
    <row r="1132" ht="22.2" customHeight="1" x14ac:dyDescent="0.3"/>
    <row r="1133" ht="22.2" customHeight="1" x14ac:dyDescent="0.3"/>
    <row r="1134" ht="22.2" customHeight="1" x14ac:dyDescent="0.3"/>
    <row r="1135" ht="22.2" customHeight="1" x14ac:dyDescent="0.3"/>
    <row r="1136" ht="22.2" customHeight="1" x14ac:dyDescent="0.3"/>
    <row r="1137" ht="22.2" customHeight="1" x14ac:dyDescent="0.3"/>
    <row r="1138" ht="22.2" customHeight="1" x14ac:dyDescent="0.3"/>
    <row r="1139" ht="22.2" customHeight="1" x14ac:dyDescent="0.3"/>
    <row r="1140" ht="22.2" customHeight="1" x14ac:dyDescent="0.3"/>
    <row r="1141" ht="22.2" customHeight="1" x14ac:dyDescent="0.3"/>
    <row r="1142" ht="22.2" customHeight="1" x14ac:dyDescent="0.3"/>
    <row r="1143" ht="22.2" customHeight="1" x14ac:dyDescent="0.3"/>
    <row r="1144" ht="22.2" customHeight="1" x14ac:dyDescent="0.3"/>
    <row r="1145" ht="22.2" customHeight="1" x14ac:dyDescent="0.3"/>
    <row r="1146" ht="22.2" customHeight="1" x14ac:dyDescent="0.3"/>
    <row r="1147" ht="22.2" customHeight="1" x14ac:dyDescent="0.3"/>
    <row r="1148" ht="22.2" customHeight="1" x14ac:dyDescent="0.3"/>
    <row r="1149" ht="22.2" customHeight="1" x14ac:dyDescent="0.3"/>
    <row r="1150" ht="22.2" customHeight="1" x14ac:dyDescent="0.3"/>
    <row r="1151" ht="22.2" customHeight="1" x14ac:dyDescent="0.3"/>
    <row r="1152" ht="22.2" customHeight="1" x14ac:dyDescent="0.3"/>
    <row r="1153" ht="22.2" customHeight="1" x14ac:dyDescent="0.3"/>
    <row r="1154" ht="22.2" customHeight="1" x14ac:dyDescent="0.3"/>
    <row r="1155" ht="22.2" customHeight="1" x14ac:dyDescent="0.3"/>
    <row r="1156" ht="22.2" customHeight="1" x14ac:dyDescent="0.3"/>
    <row r="1157" ht="22.2" customHeight="1" x14ac:dyDescent="0.3"/>
    <row r="1158" ht="22.2" customHeight="1" x14ac:dyDescent="0.3"/>
    <row r="1159" ht="22.2" customHeight="1" x14ac:dyDescent="0.3"/>
    <row r="1160" ht="22.2" customHeight="1" x14ac:dyDescent="0.3"/>
    <row r="1161" ht="22.2" customHeight="1" x14ac:dyDescent="0.3"/>
    <row r="1162" ht="22.2" customHeight="1" x14ac:dyDescent="0.3"/>
    <row r="1163" ht="22.2" customHeight="1" x14ac:dyDescent="0.3"/>
    <row r="1164" ht="22.2" customHeight="1" x14ac:dyDescent="0.3"/>
    <row r="1165" ht="22.2" customHeight="1" x14ac:dyDescent="0.3"/>
    <row r="1166" ht="22.2" customHeight="1" x14ac:dyDescent="0.3"/>
    <row r="1167" ht="22.2" customHeight="1" x14ac:dyDescent="0.3"/>
    <row r="1168" ht="22.2" customHeight="1" x14ac:dyDescent="0.3"/>
    <row r="1169" ht="22.2" customHeight="1" x14ac:dyDescent="0.3"/>
    <row r="1170" ht="22.2" customHeight="1" x14ac:dyDescent="0.3"/>
    <row r="1171" ht="22.2" customHeight="1" x14ac:dyDescent="0.3"/>
    <row r="1172" ht="22.2" customHeight="1" x14ac:dyDescent="0.3"/>
    <row r="1173" ht="22.2" customHeight="1" x14ac:dyDescent="0.3"/>
    <row r="1174" ht="22.2" customHeight="1" x14ac:dyDescent="0.3"/>
    <row r="1175" ht="22.2" customHeight="1" x14ac:dyDescent="0.3"/>
    <row r="1176" ht="22.2" customHeight="1" x14ac:dyDescent="0.3"/>
    <row r="1177" ht="22.2" customHeight="1" x14ac:dyDescent="0.3"/>
    <row r="1178" ht="22.2" customHeight="1" x14ac:dyDescent="0.3"/>
    <row r="1179" ht="22.2" customHeight="1" x14ac:dyDescent="0.3"/>
    <row r="1180" ht="22.2" customHeight="1" x14ac:dyDescent="0.3"/>
    <row r="1181" ht="22.2" customHeight="1" x14ac:dyDescent="0.3"/>
    <row r="1182" ht="22.2" customHeight="1" x14ac:dyDescent="0.3"/>
    <row r="1183" ht="22.2" customHeight="1" x14ac:dyDescent="0.3"/>
    <row r="1184" ht="22.2" customHeight="1" x14ac:dyDescent="0.3"/>
    <row r="1185" ht="22.2" customHeight="1" x14ac:dyDescent="0.3"/>
    <row r="1186" ht="22.2" customHeight="1" x14ac:dyDescent="0.3"/>
    <row r="1187" ht="22.2" customHeight="1" x14ac:dyDescent="0.3"/>
    <row r="1188" ht="22.2" customHeight="1" x14ac:dyDescent="0.3"/>
    <row r="1189" ht="22.2" customHeight="1" x14ac:dyDescent="0.3"/>
    <row r="1190" ht="22.2" customHeight="1" x14ac:dyDescent="0.3"/>
    <row r="1191" ht="22.2" customHeight="1" x14ac:dyDescent="0.3"/>
    <row r="1192" ht="22.2" customHeight="1" x14ac:dyDescent="0.3"/>
    <row r="1193" ht="22.2" customHeight="1" x14ac:dyDescent="0.3"/>
    <row r="1194" ht="22.2" customHeight="1" x14ac:dyDescent="0.3"/>
    <row r="1195" ht="22.2" customHeight="1" x14ac:dyDescent="0.3"/>
    <row r="1196" ht="22.2" customHeight="1" x14ac:dyDescent="0.3"/>
    <row r="1197" ht="22.2" customHeight="1" x14ac:dyDescent="0.3"/>
    <row r="1198" ht="22.2" customHeight="1" x14ac:dyDescent="0.3"/>
    <row r="1199" ht="22.2" customHeight="1" x14ac:dyDescent="0.3"/>
    <row r="1200" ht="22.2" customHeight="1" x14ac:dyDescent="0.3"/>
    <row r="1201" ht="22.2" customHeight="1" x14ac:dyDescent="0.3"/>
    <row r="1202" ht="22.2" customHeight="1" x14ac:dyDescent="0.3"/>
    <row r="1203" ht="22.2" customHeight="1" x14ac:dyDescent="0.3"/>
    <row r="1204" ht="22.2" customHeight="1" x14ac:dyDescent="0.3"/>
    <row r="1205" ht="22.2" customHeight="1" x14ac:dyDescent="0.3"/>
    <row r="1206" ht="22.2" customHeight="1" x14ac:dyDescent="0.3"/>
    <row r="1207" ht="22.2" customHeight="1" x14ac:dyDescent="0.3"/>
    <row r="1208" ht="22.2" customHeight="1" x14ac:dyDescent="0.3"/>
    <row r="1209" ht="22.2" customHeight="1" x14ac:dyDescent="0.3"/>
    <row r="1210" ht="22.2" customHeight="1" x14ac:dyDescent="0.3"/>
    <row r="1211" ht="22.2" customHeight="1" x14ac:dyDescent="0.3"/>
    <row r="1212" ht="22.2" customHeight="1" x14ac:dyDescent="0.3"/>
    <row r="1213" ht="22.2" customHeight="1" x14ac:dyDescent="0.3"/>
    <row r="1214" ht="22.2" customHeight="1" x14ac:dyDescent="0.3"/>
    <row r="1215" ht="22.2" customHeight="1" x14ac:dyDescent="0.3"/>
    <row r="1216" ht="22.2" customHeight="1" x14ac:dyDescent="0.3"/>
    <row r="1217" ht="22.2" customHeight="1" x14ac:dyDescent="0.3"/>
    <row r="1218" ht="22.2" customHeight="1" x14ac:dyDescent="0.3"/>
    <row r="1219" ht="22.2" customHeight="1" x14ac:dyDescent="0.3"/>
    <row r="1220" ht="22.2" customHeight="1" x14ac:dyDescent="0.3"/>
    <row r="1221" ht="22.2" customHeight="1" x14ac:dyDescent="0.3"/>
    <row r="1222" ht="22.2" customHeight="1" x14ac:dyDescent="0.3"/>
    <row r="1223" ht="22.2" customHeight="1" x14ac:dyDescent="0.3"/>
    <row r="1224" ht="22.2" customHeight="1" x14ac:dyDescent="0.3"/>
    <row r="1225" ht="22.2" customHeight="1" x14ac:dyDescent="0.3"/>
    <row r="1226" ht="22.2" customHeight="1" x14ac:dyDescent="0.3"/>
    <row r="1227" ht="22.2" customHeight="1" x14ac:dyDescent="0.3"/>
    <row r="1228" ht="22.2" customHeight="1" x14ac:dyDescent="0.3"/>
    <row r="1229" ht="22.2" customHeight="1" x14ac:dyDescent="0.3"/>
    <row r="1230" ht="22.2" customHeight="1" x14ac:dyDescent="0.3"/>
    <row r="1231" ht="22.2" customHeight="1" x14ac:dyDescent="0.3"/>
    <row r="1232" ht="22.2" customHeight="1" x14ac:dyDescent="0.3"/>
    <row r="1233" ht="22.2" customHeight="1" x14ac:dyDescent="0.3"/>
    <row r="1234" ht="22.2" customHeight="1" x14ac:dyDescent="0.3"/>
    <row r="1235" ht="22.2" customHeight="1" x14ac:dyDescent="0.3"/>
    <row r="1236" ht="22.2" customHeight="1" x14ac:dyDescent="0.3"/>
    <row r="1237" ht="22.2" customHeight="1" x14ac:dyDescent="0.3"/>
    <row r="1238" ht="22.2" customHeight="1" x14ac:dyDescent="0.3"/>
    <row r="1239" ht="22.2" customHeight="1" x14ac:dyDescent="0.3"/>
    <row r="1240" ht="22.2" customHeight="1" x14ac:dyDescent="0.3"/>
    <row r="1241" ht="22.2" customHeight="1" x14ac:dyDescent="0.3"/>
    <row r="1242" ht="22.2" customHeight="1" x14ac:dyDescent="0.3"/>
    <row r="1243" ht="22.2" customHeight="1" x14ac:dyDescent="0.3"/>
    <row r="1244" ht="22.2" customHeight="1" x14ac:dyDescent="0.3"/>
    <row r="1245" ht="22.2" customHeight="1" x14ac:dyDescent="0.3"/>
    <row r="1246" ht="22.2" customHeight="1" x14ac:dyDescent="0.3"/>
    <row r="1247" ht="22.2" customHeight="1" x14ac:dyDescent="0.3"/>
    <row r="1248" ht="22.2" customHeight="1" x14ac:dyDescent="0.3"/>
    <row r="1249" ht="22.2" customHeight="1" x14ac:dyDescent="0.3"/>
    <row r="1250" ht="22.2" customHeight="1" x14ac:dyDescent="0.3"/>
    <row r="1251" ht="22.2" customHeight="1" x14ac:dyDescent="0.3"/>
    <row r="1252" ht="22.2" customHeight="1" x14ac:dyDescent="0.3"/>
    <row r="1253" ht="22.2" customHeight="1" x14ac:dyDescent="0.3"/>
    <row r="1254" ht="22.2" customHeight="1" x14ac:dyDescent="0.3"/>
    <row r="1255" ht="22.2" customHeight="1" x14ac:dyDescent="0.3"/>
    <row r="1256" ht="22.2" customHeight="1" x14ac:dyDescent="0.3"/>
    <row r="1257" ht="22.2" customHeight="1" x14ac:dyDescent="0.3"/>
    <row r="1258" ht="22.2" customHeight="1" x14ac:dyDescent="0.3"/>
    <row r="1259" ht="22.2" customHeight="1" x14ac:dyDescent="0.3"/>
    <row r="1260" ht="22.2" customHeight="1" x14ac:dyDescent="0.3"/>
    <row r="1261" ht="22.2" customHeight="1" x14ac:dyDescent="0.3"/>
    <row r="1262" ht="22.2" customHeight="1" x14ac:dyDescent="0.3"/>
    <row r="1263" ht="22.2" customHeight="1" x14ac:dyDescent="0.3"/>
    <row r="1264" ht="22.2" customHeight="1" x14ac:dyDescent="0.3"/>
    <row r="1265" ht="22.2" customHeight="1" x14ac:dyDescent="0.3"/>
    <row r="1266" ht="22.2" customHeight="1" x14ac:dyDescent="0.3"/>
    <row r="1267" ht="22.2" customHeight="1" x14ac:dyDescent="0.3"/>
    <row r="1268" ht="22.2" customHeight="1" x14ac:dyDescent="0.3"/>
    <row r="1269" ht="22.2" customHeight="1" x14ac:dyDescent="0.3"/>
    <row r="1270" ht="22.2" customHeight="1" x14ac:dyDescent="0.3"/>
    <row r="1271" ht="22.2" customHeight="1" x14ac:dyDescent="0.3"/>
    <row r="1272" ht="22.2" customHeight="1" x14ac:dyDescent="0.3"/>
    <row r="1273" ht="22.2" customHeight="1" x14ac:dyDescent="0.3"/>
    <row r="1274" ht="22.2" customHeight="1" x14ac:dyDescent="0.3"/>
    <row r="1275" ht="22.2" customHeight="1" x14ac:dyDescent="0.3"/>
    <row r="1276" ht="22.2" customHeight="1" x14ac:dyDescent="0.3"/>
    <row r="1277" ht="22.2" customHeight="1" x14ac:dyDescent="0.3"/>
    <row r="1278" ht="22.2" customHeight="1" x14ac:dyDescent="0.3"/>
    <row r="1279" ht="22.2" customHeight="1" x14ac:dyDescent="0.3"/>
    <row r="1280" ht="22.2" customHeight="1" x14ac:dyDescent="0.3"/>
    <row r="1281" ht="22.2" customHeight="1" x14ac:dyDescent="0.3"/>
    <row r="1282" ht="22.2" customHeight="1" x14ac:dyDescent="0.3"/>
    <row r="1283" ht="22.2" customHeight="1" x14ac:dyDescent="0.3"/>
    <row r="1284" ht="22.2" customHeight="1" x14ac:dyDescent="0.3"/>
    <row r="1285" ht="22.2" customHeight="1" x14ac:dyDescent="0.3"/>
    <row r="1286" ht="22.2" customHeight="1" x14ac:dyDescent="0.3"/>
    <row r="1287" ht="22.2" customHeight="1" x14ac:dyDescent="0.3"/>
    <row r="1288" ht="22.2" customHeight="1" x14ac:dyDescent="0.3"/>
    <row r="1289" ht="22.2" customHeight="1" x14ac:dyDescent="0.3"/>
    <row r="1290" ht="22.2" customHeight="1" x14ac:dyDescent="0.3"/>
    <row r="1291" ht="22.2" customHeight="1" x14ac:dyDescent="0.3"/>
    <row r="1292" ht="22.2" customHeight="1" x14ac:dyDescent="0.3"/>
    <row r="1293" ht="22.2" customHeight="1" x14ac:dyDescent="0.3"/>
    <row r="1294" ht="22.2" customHeight="1" x14ac:dyDescent="0.3"/>
    <row r="1295" ht="22.2" customHeight="1" x14ac:dyDescent="0.3"/>
    <row r="1296" ht="22.2" customHeight="1" x14ac:dyDescent="0.3"/>
    <row r="1297" ht="22.2" customHeight="1" x14ac:dyDescent="0.3"/>
    <row r="1298" ht="22.2" customHeight="1" x14ac:dyDescent="0.3"/>
    <row r="1299" ht="22.2" customHeight="1" x14ac:dyDescent="0.3"/>
    <row r="1300" ht="22.2" customHeight="1" x14ac:dyDescent="0.3"/>
    <row r="1301" ht="22.2" customHeight="1" x14ac:dyDescent="0.3"/>
    <row r="1302" ht="22.2" customHeight="1" x14ac:dyDescent="0.3"/>
    <row r="1303" ht="22.2" customHeight="1" x14ac:dyDescent="0.3"/>
    <row r="1304" ht="22.2" customHeight="1" x14ac:dyDescent="0.3"/>
    <row r="1305" ht="22.2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6" orientation="landscape" horizontalDpi="4294967295" verticalDpi="4294967295" r:id="rId1"/>
  <headerFooter alignWithMargins="0"/>
  <rowBreaks count="1" manualBreakCount="1">
    <brk id="37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9DAC-70F3-42EE-8840-9195AB44EE5F}">
  <sheetPr>
    <pageSetUpPr fitToPage="1"/>
  </sheetPr>
  <dimension ref="A1:BE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3320312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9.33203125" style="35"/>
  </cols>
  <sheetData>
    <row r="1" spans="1:57" s="27" customFormat="1" ht="52.2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:57" ht="22.95" customHeight="1" x14ac:dyDescent="0.35">
      <c r="A2" s="78"/>
      <c r="B2" s="78"/>
      <c r="C2" s="237"/>
      <c r="D2" s="237"/>
      <c r="E2" s="79"/>
      <c r="F2" s="80"/>
      <c r="G2" s="81"/>
      <c r="H2" s="79"/>
      <c r="I2" s="78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7" s="36" customFormat="1" ht="15" customHeight="1" x14ac:dyDescent="0.35">
      <c r="A3" s="83"/>
      <c r="B3" s="224" t="s">
        <v>2</v>
      </c>
      <c r="C3" s="226" t="s">
        <v>96</v>
      </c>
      <c r="D3" s="227"/>
      <c r="E3" s="227"/>
      <c r="F3" s="227"/>
      <c r="G3" s="227"/>
      <c r="H3" s="227"/>
      <c r="I3" s="227"/>
      <c r="J3" s="228"/>
    </row>
    <row r="4" spans="1:57" s="36" customFormat="1" ht="49.9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7" s="36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57" s="36" customFormat="1" ht="15" customHeight="1" x14ac:dyDescent="0.35">
      <c r="A6" s="84"/>
      <c r="B6" s="84"/>
      <c r="C6" s="233"/>
      <c r="D6" s="233"/>
      <c r="E6" s="233"/>
      <c r="F6" s="233"/>
      <c r="G6" s="233"/>
      <c r="H6" s="229"/>
      <c r="I6" s="233"/>
      <c r="J6" s="233"/>
    </row>
    <row r="7" spans="1:57" s="38" customFormat="1" ht="92.7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8" t="s">
        <v>66</v>
      </c>
      <c r="I7" s="87" t="s">
        <v>3</v>
      </c>
      <c r="J7" s="89" t="s">
        <v>66</v>
      </c>
    </row>
    <row r="8" spans="1:57" s="40" customFormat="1" ht="40.200000000000003" customHeight="1" x14ac:dyDescent="0.3">
      <c r="A8" s="90" t="s">
        <v>58</v>
      </c>
      <c r="B8" s="91" t="s">
        <v>0</v>
      </c>
      <c r="C8" s="174">
        <v>303341</v>
      </c>
      <c r="D8" s="92">
        <v>327741</v>
      </c>
      <c r="E8" s="175">
        <v>621620</v>
      </c>
      <c r="F8" s="92">
        <v>680355</v>
      </c>
      <c r="G8" s="175">
        <v>959252</v>
      </c>
      <c r="H8" s="176">
        <v>1063969</v>
      </c>
      <c r="I8" s="176">
        <v>1434724</v>
      </c>
      <c r="J8" s="92">
        <v>1580934</v>
      </c>
      <c r="K8" s="39"/>
    </row>
    <row r="9" spans="1:57" s="40" customFormat="1" ht="40.200000000000003" customHeight="1" x14ac:dyDescent="0.3">
      <c r="A9" s="93" t="s">
        <v>32</v>
      </c>
      <c r="B9" s="94" t="s">
        <v>93</v>
      </c>
      <c r="C9" s="174">
        <v>74936</v>
      </c>
      <c r="D9" s="95">
        <v>75523</v>
      </c>
      <c r="E9" s="177">
        <v>147224</v>
      </c>
      <c r="F9" s="95">
        <v>148537</v>
      </c>
      <c r="G9" s="177">
        <v>216728</v>
      </c>
      <c r="H9" s="178">
        <v>218670</v>
      </c>
      <c r="I9" s="178">
        <v>288773</v>
      </c>
      <c r="J9" s="95">
        <v>291234</v>
      </c>
      <c r="K9" s="39"/>
    </row>
    <row r="10" spans="1:57" s="42" customFormat="1" ht="40.200000000000003" customHeight="1" x14ac:dyDescent="0.3">
      <c r="A10" s="96" t="s">
        <v>33</v>
      </c>
      <c r="B10" s="97" t="s">
        <v>91</v>
      </c>
      <c r="C10" s="179">
        <v>59733</v>
      </c>
      <c r="D10" s="98">
        <v>60265</v>
      </c>
      <c r="E10" s="180">
        <v>119290</v>
      </c>
      <c r="F10" s="98">
        <v>120483</v>
      </c>
      <c r="G10" s="180">
        <v>177140</v>
      </c>
      <c r="H10" s="181">
        <v>178895</v>
      </c>
      <c r="I10" s="181">
        <v>236561</v>
      </c>
      <c r="J10" s="98">
        <v>238715</v>
      </c>
      <c r="K10" s="41"/>
    </row>
    <row r="11" spans="1:57" s="42" customFormat="1" ht="40.200000000000003" customHeight="1" x14ac:dyDescent="0.3">
      <c r="A11" s="96" t="s">
        <v>34</v>
      </c>
      <c r="B11" s="97" t="s">
        <v>5</v>
      </c>
      <c r="C11" s="179">
        <v>9046</v>
      </c>
      <c r="D11" s="98">
        <v>9093</v>
      </c>
      <c r="E11" s="180">
        <v>17525</v>
      </c>
      <c r="F11" s="98">
        <v>17630</v>
      </c>
      <c r="G11" s="180">
        <v>25132</v>
      </c>
      <c r="H11" s="181">
        <v>25289</v>
      </c>
      <c r="I11" s="181">
        <v>32981</v>
      </c>
      <c r="J11" s="98">
        <v>33246</v>
      </c>
      <c r="K11" s="41"/>
    </row>
    <row r="12" spans="1:57" s="42" customFormat="1" ht="40.200000000000003" customHeight="1" x14ac:dyDescent="0.3">
      <c r="A12" s="96" t="s">
        <v>35</v>
      </c>
      <c r="B12" s="97" t="s">
        <v>1</v>
      </c>
      <c r="C12" s="179">
        <v>6157</v>
      </c>
      <c r="D12" s="98">
        <v>6165</v>
      </c>
      <c r="E12" s="180">
        <v>10409</v>
      </c>
      <c r="F12" s="98">
        <v>10424</v>
      </c>
      <c r="G12" s="180">
        <v>14456</v>
      </c>
      <c r="H12" s="181">
        <v>14486</v>
      </c>
      <c r="I12" s="181">
        <v>19231</v>
      </c>
      <c r="J12" s="98">
        <v>19273</v>
      </c>
      <c r="K12" s="41"/>
    </row>
    <row r="13" spans="1:57" s="40" customFormat="1" ht="40.200000000000003" customHeight="1" x14ac:dyDescent="0.3">
      <c r="A13" s="93" t="s">
        <v>36</v>
      </c>
      <c r="B13" s="94" t="s">
        <v>12</v>
      </c>
      <c r="C13" s="174">
        <v>12834</v>
      </c>
      <c r="D13" s="95">
        <v>13072</v>
      </c>
      <c r="E13" s="177">
        <v>30531</v>
      </c>
      <c r="F13" s="95">
        <v>30917</v>
      </c>
      <c r="G13" s="177">
        <v>46305</v>
      </c>
      <c r="H13" s="178">
        <v>46791</v>
      </c>
      <c r="I13" s="178">
        <v>69872</v>
      </c>
      <c r="J13" s="95">
        <v>70627</v>
      </c>
      <c r="K13" s="39"/>
    </row>
    <row r="14" spans="1:57" s="42" customFormat="1" ht="40.200000000000003" customHeight="1" x14ac:dyDescent="0.3">
      <c r="A14" s="96" t="s">
        <v>37</v>
      </c>
      <c r="B14" s="97" t="s">
        <v>6</v>
      </c>
      <c r="C14" s="179">
        <v>5525</v>
      </c>
      <c r="D14" s="98">
        <v>5541</v>
      </c>
      <c r="E14" s="180">
        <v>14845</v>
      </c>
      <c r="F14" s="98">
        <v>14884</v>
      </c>
      <c r="G14" s="180">
        <v>23288</v>
      </c>
      <c r="H14" s="181">
        <v>23343</v>
      </c>
      <c r="I14" s="181">
        <v>38594</v>
      </c>
      <c r="J14" s="98">
        <v>38648</v>
      </c>
      <c r="K14" s="41"/>
    </row>
    <row r="15" spans="1:57" s="42" customFormat="1" ht="40.200000000000003" customHeight="1" x14ac:dyDescent="0.3">
      <c r="A15" s="96" t="s">
        <v>38</v>
      </c>
      <c r="B15" s="97" t="s">
        <v>15</v>
      </c>
      <c r="C15" s="179">
        <v>7203</v>
      </c>
      <c r="D15" s="98">
        <v>7333</v>
      </c>
      <c r="E15" s="180">
        <v>15421</v>
      </c>
      <c r="F15" s="98">
        <v>15660</v>
      </c>
      <c r="G15" s="180">
        <v>22572</v>
      </c>
      <c r="H15" s="181">
        <v>22888</v>
      </c>
      <c r="I15" s="181">
        <v>30520</v>
      </c>
      <c r="J15" s="98">
        <v>30737</v>
      </c>
      <c r="K15" s="41"/>
    </row>
    <row r="16" spans="1:57" s="42" customFormat="1" ht="40.200000000000003" customHeight="1" x14ac:dyDescent="0.3">
      <c r="A16" s="96" t="s">
        <v>35</v>
      </c>
      <c r="B16" s="97" t="s">
        <v>1</v>
      </c>
      <c r="C16" s="179">
        <v>106</v>
      </c>
      <c r="D16" s="98">
        <v>198</v>
      </c>
      <c r="E16" s="180">
        <v>265</v>
      </c>
      <c r="F16" s="98">
        <v>373</v>
      </c>
      <c r="G16" s="180">
        <v>445</v>
      </c>
      <c r="H16" s="181">
        <v>560</v>
      </c>
      <c r="I16" s="181">
        <v>758</v>
      </c>
      <c r="J16" s="98">
        <v>1242</v>
      </c>
      <c r="K16" s="41"/>
    </row>
    <row r="17" spans="1:11" s="40" customFormat="1" ht="40.200000000000003" customHeight="1" x14ac:dyDescent="0.3">
      <c r="A17" s="99" t="s">
        <v>39</v>
      </c>
      <c r="B17" s="100" t="s">
        <v>62</v>
      </c>
      <c r="C17" s="174">
        <v>138515</v>
      </c>
      <c r="D17" s="95">
        <v>109218</v>
      </c>
      <c r="E17" s="177">
        <v>267192</v>
      </c>
      <c r="F17" s="95">
        <v>245558</v>
      </c>
      <c r="G17" s="177">
        <v>371674</v>
      </c>
      <c r="H17" s="178">
        <v>357109</v>
      </c>
      <c r="I17" s="178">
        <v>568421</v>
      </c>
      <c r="J17" s="95">
        <v>542255</v>
      </c>
      <c r="K17" s="39"/>
    </row>
    <row r="18" spans="1:11" ht="40.200000000000003" customHeight="1" x14ac:dyDescent="0.3">
      <c r="A18" s="101" t="s">
        <v>94</v>
      </c>
      <c r="B18" s="102" t="s">
        <v>95</v>
      </c>
      <c r="C18" s="182">
        <v>124108</v>
      </c>
      <c r="D18" s="103">
        <v>94811</v>
      </c>
      <c r="E18" s="183">
        <v>247259</v>
      </c>
      <c r="F18" s="103">
        <v>225625</v>
      </c>
      <c r="G18" s="183">
        <v>338254</v>
      </c>
      <c r="H18" s="184">
        <v>323689</v>
      </c>
      <c r="I18" s="184">
        <v>525672</v>
      </c>
      <c r="J18" s="103">
        <v>499506</v>
      </c>
      <c r="K18" s="38"/>
    </row>
    <row r="19" spans="1:11" ht="40.200000000000003" customHeight="1" x14ac:dyDescent="0.3">
      <c r="A19" s="104" t="s">
        <v>40</v>
      </c>
      <c r="B19" s="105" t="s">
        <v>21</v>
      </c>
      <c r="C19" s="98">
        <v>40096</v>
      </c>
      <c r="D19" s="98">
        <v>0</v>
      </c>
      <c r="E19" s="180">
        <v>49797</v>
      </c>
      <c r="F19" s="98">
        <v>0</v>
      </c>
      <c r="G19" s="180">
        <v>61408</v>
      </c>
      <c r="H19" s="181">
        <v>0</v>
      </c>
      <c r="I19" s="181">
        <v>92385</v>
      </c>
      <c r="J19" s="98">
        <v>0</v>
      </c>
      <c r="K19" s="38"/>
    </row>
    <row r="20" spans="1:11" ht="40.200000000000003" customHeight="1" x14ac:dyDescent="0.3">
      <c r="A20" s="104" t="s">
        <v>35</v>
      </c>
      <c r="B20" s="105" t="s">
        <v>7</v>
      </c>
      <c r="C20" s="98">
        <v>84012</v>
      </c>
      <c r="D20" s="98">
        <v>94811</v>
      </c>
      <c r="E20" s="180">
        <v>197462</v>
      </c>
      <c r="F20" s="98">
        <v>225625</v>
      </c>
      <c r="G20" s="180">
        <v>276846</v>
      </c>
      <c r="H20" s="181">
        <v>323689</v>
      </c>
      <c r="I20" s="181">
        <v>433287</v>
      </c>
      <c r="J20" s="98">
        <v>499506</v>
      </c>
      <c r="K20" s="38"/>
    </row>
    <row r="21" spans="1:11" ht="40.200000000000003" customHeight="1" x14ac:dyDescent="0.3">
      <c r="A21" s="101" t="s">
        <v>41</v>
      </c>
      <c r="B21" s="102" t="s">
        <v>63</v>
      </c>
      <c r="C21" s="182">
        <v>14407</v>
      </c>
      <c r="D21" s="103">
        <v>14407</v>
      </c>
      <c r="E21" s="183">
        <v>19933</v>
      </c>
      <c r="F21" s="103">
        <v>19933</v>
      </c>
      <c r="G21" s="183">
        <v>33420</v>
      </c>
      <c r="H21" s="184">
        <v>33420</v>
      </c>
      <c r="I21" s="184">
        <v>42749</v>
      </c>
      <c r="J21" s="103">
        <v>42749</v>
      </c>
      <c r="K21" s="38"/>
    </row>
    <row r="22" spans="1:11" s="40" customFormat="1" ht="40.200000000000003" customHeight="1" x14ac:dyDescent="0.3">
      <c r="A22" s="106" t="s">
        <v>42</v>
      </c>
      <c r="B22" s="94" t="s">
        <v>13</v>
      </c>
      <c r="C22" s="174">
        <v>34087</v>
      </c>
      <c r="D22" s="95">
        <v>86902</v>
      </c>
      <c r="E22" s="177">
        <v>75560</v>
      </c>
      <c r="F22" s="95">
        <v>154115</v>
      </c>
      <c r="G22" s="177">
        <v>150849</v>
      </c>
      <c r="H22" s="178">
        <v>267572</v>
      </c>
      <c r="I22" s="178">
        <v>229214</v>
      </c>
      <c r="J22" s="95">
        <v>398234</v>
      </c>
      <c r="K22" s="39"/>
    </row>
    <row r="23" spans="1:11" s="40" customFormat="1" ht="40.200000000000003" customHeight="1" x14ac:dyDescent="0.3">
      <c r="A23" s="107" t="s">
        <v>43</v>
      </c>
      <c r="B23" s="108" t="s">
        <v>54</v>
      </c>
      <c r="C23" s="174">
        <v>18090</v>
      </c>
      <c r="D23" s="95">
        <v>18090</v>
      </c>
      <c r="E23" s="177">
        <v>42043</v>
      </c>
      <c r="F23" s="95">
        <v>42043</v>
      </c>
      <c r="G23" s="177">
        <v>67424</v>
      </c>
      <c r="H23" s="178">
        <v>67424</v>
      </c>
      <c r="I23" s="178">
        <v>132677</v>
      </c>
      <c r="J23" s="95">
        <v>132677</v>
      </c>
      <c r="K23" s="39"/>
    </row>
    <row r="24" spans="1:11" ht="40.200000000000003" customHeight="1" x14ac:dyDescent="0.3">
      <c r="A24" s="109" t="s">
        <v>44</v>
      </c>
      <c r="B24" s="110" t="s">
        <v>17</v>
      </c>
      <c r="C24" s="179">
        <v>1775</v>
      </c>
      <c r="D24" s="98">
        <v>1775</v>
      </c>
      <c r="E24" s="185">
        <v>9878</v>
      </c>
      <c r="F24" s="98">
        <v>9878</v>
      </c>
      <c r="G24" s="185">
        <v>18352</v>
      </c>
      <c r="H24" s="181">
        <v>18352</v>
      </c>
      <c r="I24" s="181">
        <v>18677</v>
      </c>
      <c r="J24" s="98">
        <v>18677</v>
      </c>
      <c r="K24" s="38"/>
    </row>
    <row r="25" spans="1:11" ht="40.200000000000003" customHeight="1" x14ac:dyDescent="0.3">
      <c r="A25" s="109" t="s">
        <v>45</v>
      </c>
      <c r="B25" s="110" t="s">
        <v>16</v>
      </c>
      <c r="C25" s="179">
        <v>12421</v>
      </c>
      <c r="D25" s="98">
        <v>12421</v>
      </c>
      <c r="E25" s="180">
        <v>24927</v>
      </c>
      <c r="F25" s="98">
        <v>24927</v>
      </c>
      <c r="G25" s="180">
        <v>36927</v>
      </c>
      <c r="H25" s="181">
        <v>36927</v>
      </c>
      <c r="I25" s="181">
        <v>80427</v>
      </c>
      <c r="J25" s="98">
        <v>80427</v>
      </c>
      <c r="K25" s="38"/>
    </row>
    <row r="26" spans="1:11" ht="40.200000000000003" customHeight="1" x14ac:dyDescent="0.3">
      <c r="A26" s="109" t="s">
        <v>35</v>
      </c>
      <c r="B26" s="110" t="s">
        <v>18</v>
      </c>
      <c r="C26" s="179">
        <v>3894</v>
      </c>
      <c r="D26" s="98">
        <v>3894</v>
      </c>
      <c r="E26" s="180">
        <v>7238</v>
      </c>
      <c r="F26" s="98">
        <v>7238</v>
      </c>
      <c r="G26" s="180">
        <v>12145</v>
      </c>
      <c r="H26" s="181">
        <v>12145</v>
      </c>
      <c r="I26" s="181">
        <v>33573</v>
      </c>
      <c r="J26" s="98">
        <v>33573</v>
      </c>
      <c r="K26" s="38"/>
    </row>
    <row r="27" spans="1:11" s="40" customFormat="1" ht="40.200000000000003" customHeight="1" x14ac:dyDescent="0.3">
      <c r="A27" s="107" t="s">
        <v>46</v>
      </c>
      <c r="B27" s="108" t="s">
        <v>55</v>
      </c>
      <c r="C27" s="174">
        <v>2039</v>
      </c>
      <c r="D27" s="95">
        <v>2039</v>
      </c>
      <c r="E27" s="177">
        <v>4384</v>
      </c>
      <c r="F27" s="95">
        <v>4384</v>
      </c>
      <c r="G27" s="177">
        <v>7296</v>
      </c>
      <c r="H27" s="178">
        <v>7296</v>
      </c>
      <c r="I27" s="178">
        <v>10266</v>
      </c>
      <c r="J27" s="95">
        <v>10266</v>
      </c>
      <c r="K27" s="39"/>
    </row>
    <row r="28" spans="1:11" s="40" customFormat="1" ht="40.200000000000003" customHeight="1" x14ac:dyDescent="0.3">
      <c r="A28" s="186" t="s">
        <v>104</v>
      </c>
      <c r="B28" s="108" t="s">
        <v>56</v>
      </c>
      <c r="C28" s="174">
        <v>13525</v>
      </c>
      <c r="D28" s="95">
        <v>66340</v>
      </c>
      <c r="E28" s="177">
        <v>28470</v>
      </c>
      <c r="F28" s="95">
        <v>107025</v>
      </c>
      <c r="G28" s="177">
        <v>75320</v>
      </c>
      <c r="H28" s="178">
        <v>192044</v>
      </c>
      <c r="I28" s="178">
        <v>85189</v>
      </c>
      <c r="J28" s="95">
        <v>254209</v>
      </c>
      <c r="K28" s="39"/>
    </row>
    <row r="29" spans="1:11" ht="40.200000000000003" customHeight="1" x14ac:dyDescent="0.3">
      <c r="A29" s="109" t="s">
        <v>47</v>
      </c>
      <c r="B29" s="110" t="s">
        <v>19</v>
      </c>
      <c r="C29" s="179">
        <v>6000</v>
      </c>
      <c r="D29" s="98">
        <v>0</v>
      </c>
      <c r="E29" s="180">
        <v>14876</v>
      </c>
      <c r="F29" s="98">
        <v>0</v>
      </c>
      <c r="G29" s="180">
        <v>55001</v>
      </c>
      <c r="H29" s="181">
        <v>0</v>
      </c>
      <c r="I29" s="181">
        <v>55001</v>
      </c>
      <c r="J29" s="98">
        <v>0</v>
      </c>
      <c r="K29" s="38"/>
    </row>
    <row r="30" spans="1:11" ht="40.200000000000003" customHeight="1" x14ac:dyDescent="0.3">
      <c r="A30" s="109" t="s">
        <v>35</v>
      </c>
      <c r="B30" s="110" t="s">
        <v>20</v>
      </c>
      <c r="C30" s="179">
        <v>7525</v>
      </c>
      <c r="D30" s="98">
        <v>66340</v>
      </c>
      <c r="E30" s="180">
        <v>13594</v>
      </c>
      <c r="F30" s="98">
        <v>107025</v>
      </c>
      <c r="G30" s="180">
        <v>20319</v>
      </c>
      <c r="H30" s="181">
        <v>192044</v>
      </c>
      <c r="I30" s="181">
        <v>30188</v>
      </c>
      <c r="J30" s="98">
        <v>254209</v>
      </c>
      <c r="K30" s="38"/>
    </row>
    <row r="31" spans="1:11" s="40" customFormat="1" ht="40.200000000000003" customHeight="1" x14ac:dyDescent="0.3">
      <c r="A31" s="107" t="s">
        <v>48</v>
      </c>
      <c r="B31" s="111" t="s">
        <v>119</v>
      </c>
      <c r="C31" s="174">
        <v>433</v>
      </c>
      <c r="D31" s="95">
        <v>433</v>
      </c>
      <c r="E31" s="177">
        <v>663</v>
      </c>
      <c r="F31" s="95">
        <v>663</v>
      </c>
      <c r="G31" s="177">
        <v>809</v>
      </c>
      <c r="H31" s="178">
        <v>808</v>
      </c>
      <c r="I31" s="178">
        <v>1082</v>
      </c>
      <c r="J31" s="95">
        <v>1082</v>
      </c>
      <c r="K31" s="39"/>
    </row>
    <row r="32" spans="1:11" s="40" customFormat="1" ht="40.200000000000003" customHeight="1" x14ac:dyDescent="0.3">
      <c r="A32" s="93" t="s">
        <v>59</v>
      </c>
      <c r="B32" s="94" t="s">
        <v>11</v>
      </c>
      <c r="C32" s="174">
        <v>18063</v>
      </c>
      <c r="D32" s="95">
        <v>18112</v>
      </c>
      <c r="E32" s="177">
        <v>37059</v>
      </c>
      <c r="F32" s="95">
        <v>37117</v>
      </c>
      <c r="G32" s="177">
        <v>60751</v>
      </c>
      <c r="H32" s="178">
        <v>60816</v>
      </c>
      <c r="I32" s="178">
        <v>86802</v>
      </c>
      <c r="J32" s="95">
        <v>86941</v>
      </c>
      <c r="K32" s="39"/>
    </row>
    <row r="33" spans="1:11" ht="40.200000000000003" customHeight="1" x14ac:dyDescent="0.3">
      <c r="A33" s="96" t="s">
        <v>49</v>
      </c>
      <c r="B33" s="97" t="s">
        <v>4</v>
      </c>
      <c r="C33" s="98">
        <v>16217</v>
      </c>
      <c r="D33" s="98">
        <v>16217</v>
      </c>
      <c r="E33" s="98">
        <v>31132</v>
      </c>
      <c r="F33" s="98">
        <v>31132</v>
      </c>
      <c r="G33" s="98">
        <v>51163</v>
      </c>
      <c r="H33" s="181">
        <v>51163</v>
      </c>
      <c r="I33" s="181">
        <v>66868</v>
      </c>
      <c r="J33" s="98">
        <v>66868</v>
      </c>
      <c r="K33" s="38"/>
    </row>
    <row r="34" spans="1:11" ht="40.200000000000003" customHeight="1" x14ac:dyDescent="0.3">
      <c r="A34" s="96" t="s">
        <v>35</v>
      </c>
      <c r="B34" s="97" t="s">
        <v>8</v>
      </c>
      <c r="C34" s="179">
        <v>1846</v>
      </c>
      <c r="D34" s="98">
        <v>1895</v>
      </c>
      <c r="E34" s="185">
        <v>5927</v>
      </c>
      <c r="F34" s="98">
        <v>5985</v>
      </c>
      <c r="G34" s="185">
        <v>9588</v>
      </c>
      <c r="H34" s="181">
        <v>9653</v>
      </c>
      <c r="I34" s="181">
        <v>19934</v>
      </c>
      <c r="J34" s="98">
        <v>20073</v>
      </c>
      <c r="K34" s="38"/>
    </row>
    <row r="35" spans="1:11" s="40" customFormat="1" ht="51" customHeight="1" x14ac:dyDescent="0.3">
      <c r="A35" s="93" t="s">
        <v>50</v>
      </c>
      <c r="B35" s="112" t="s">
        <v>14</v>
      </c>
      <c r="C35" s="174">
        <v>24906</v>
      </c>
      <c r="D35" s="95">
        <v>24914</v>
      </c>
      <c r="E35" s="177">
        <v>64054</v>
      </c>
      <c r="F35" s="95">
        <v>64111</v>
      </c>
      <c r="G35" s="177">
        <v>112945</v>
      </c>
      <c r="H35" s="178">
        <v>113011</v>
      </c>
      <c r="I35" s="178">
        <v>191642</v>
      </c>
      <c r="J35" s="95">
        <v>191643</v>
      </c>
    </row>
    <row r="36" spans="1:11" ht="40.200000000000003" customHeight="1" x14ac:dyDescent="0.3">
      <c r="A36" s="96" t="s">
        <v>51</v>
      </c>
      <c r="B36" s="97" t="s">
        <v>9</v>
      </c>
      <c r="C36" s="179">
        <v>23085</v>
      </c>
      <c r="D36" s="98">
        <v>23093</v>
      </c>
      <c r="E36" s="180">
        <v>59383</v>
      </c>
      <c r="F36" s="98">
        <v>59440</v>
      </c>
      <c r="G36" s="180">
        <v>103606</v>
      </c>
      <c r="H36" s="181">
        <v>103672</v>
      </c>
      <c r="I36" s="181">
        <v>157823</v>
      </c>
      <c r="J36" s="98">
        <v>157824</v>
      </c>
    </row>
    <row r="37" spans="1:11" ht="40.200000000000003" customHeight="1" x14ac:dyDescent="0.3">
      <c r="A37" s="113" t="s">
        <v>35</v>
      </c>
      <c r="B37" s="114" t="s">
        <v>10</v>
      </c>
      <c r="C37" s="187">
        <v>1821</v>
      </c>
      <c r="D37" s="115">
        <v>1821</v>
      </c>
      <c r="E37" s="187">
        <v>4671</v>
      </c>
      <c r="F37" s="115">
        <v>4671</v>
      </c>
      <c r="G37" s="187">
        <v>9339</v>
      </c>
      <c r="H37" s="188">
        <v>9339</v>
      </c>
      <c r="I37" s="188">
        <v>33819</v>
      </c>
      <c r="J37" s="115">
        <v>33819</v>
      </c>
    </row>
    <row r="38" spans="1:11" ht="22.2" customHeight="1" x14ac:dyDescent="0.3">
      <c r="A38" s="74" t="s">
        <v>67</v>
      </c>
      <c r="B38" s="71" t="s">
        <v>68</v>
      </c>
    </row>
    <row r="39" spans="1:11" ht="104.25" customHeight="1" x14ac:dyDescent="0.3">
      <c r="A39" s="66" t="s">
        <v>112</v>
      </c>
      <c r="B39" s="75" t="s">
        <v>109</v>
      </c>
    </row>
    <row r="40" spans="1:11" ht="63" customHeight="1" x14ac:dyDescent="0.3">
      <c r="A40" s="66" t="s">
        <v>89</v>
      </c>
      <c r="B40" s="238" t="s">
        <v>88</v>
      </c>
      <c r="C40" s="238"/>
    </row>
    <row r="41" spans="1:11" ht="22.2" customHeight="1" x14ac:dyDescent="0.3">
      <c r="A41" s="67"/>
      <c r="B41" s="73"/>
    </row>
    <row r="42" spans="1:11" ht="22.2" customHeight="1" x14ac:dyDescent="0.3">
      <c r="B42" s="30"/>
      <c r="C42" s="30"/>
      <c r="D42" s="30"/>
      <c r="E42" s="30"/>
      <c r="F42" s="30"/>
      <c r="G42" s="33"/>
    </row>
    <row r="43" spans="1:11" ht="22.2" customHeight="1" x14ac:dyDescent="0.3"/>
    <row r="44" spans="1:11" ht="22.2" customHeight="1" x14ac:dyDescent="0.3"/>
    <row r="45" spans="1:11" ht="22.2" customHeight="1" x14ac:dyDescent="0.3"/>
    <row r="46" spans="1:11" ht="22.2" customHeight="1" x14ac:dyDescent="0.3"/>
    <row r="47" spans="1:11" ht="22.2" customHeight="1" x14ac:dyDescent="0.3"/>
    <row r="48" spans="1:11" ht="22.2" customHeight="1" x14ac:dyDescent="0.3"/>
    <row r="49" ht="22.2" customHeight="1" x14ac:dyDescent="0.3"/>
    <row r="50" ht="22.2" customHeight="1" x14ac:dyDescent="0.3"/>
    <row r="51" ht="22.2" customHeight="1" x14ac:dyDescent="0.3"/>
    <row r="52" ht="22.2" customHeight="1" x14ac:dyDescent="0.3"/>
    <row r="53" ht="22.2" customHeight="1" x14ac:dyDescent="0.3"/>
    <row r="54" ht="22.2" customHeight="1" x14ac:dyDescent="0.3"/>
    <row r="55" ht="22.2" customHeight="1" x14ac:dyDescent="0.3"/>
    <row r="56" ht="22.2" customHeight="1" x14ac:dyDescent="0.3"/>
    <row r="57" ht="22.2" customHeight="1" x14ac:dyDescent="0.3"/>
    <row r="58" ht="22.2" customHeight="1" x14ac:dyDescent="0.3"/>
    <row r="59" ht="22.2" customHeight="1" x14ac:dyDescent="0.3"/>
    <row r="60" ht="22.2" customHeight="1" x14ac:dyDescent="0.3"/>
    <row r="61" ht="22.2" customHeight="1" x14ac:dyDescent="0.3"/>
    <row r="62" ht="22.2" customHeight="1" x14ac:dyDescent="0.3"/>
    <row r="63" ht="22.2" customHeight="1" x14ac:dyDescent="0.3"/>
    <row r="64" ht="22.2" customHeight="1" x14ac:dyDescent="0.3"/>
    <row r="65" ht="22.2" customHeight="1" x14ac:dyDescent="0.3"/>
    <row r="66" ht="22.2" customHeight="1" x14ac:dyDescent="0.3"/>
    <row r="67" ht="22.2" customHeight="1" x14ac:dyDescent="0.3"/>
    <row r="68" ht="22.2" customHeight="1" x14ac:dyDescent="0.3"/>
    <row r="69" ht="22.2" customHeight="1" x14ac:dyDescent="0.3"/>
    <row r="70" ht="22.2" customHeight="1" x14ac:dyDescent="0.3"/>
    <row r="71" ht="22.2" customHeight="1" x14ac:dyDescent="0.3"/>
    <row r="72" ht="22.2" customHeight="1" x14ac:dyDescent="0.3"/>
    <row r="73" ht="22.2" customHeight="1" x14ac:dyDescent="0.3"/>
    <row r="74" ht="22.2" customHeight="1" x14ac:dyDescent="0.3"/>
    <row r="75" ht="22.2" customHeight="1" x14ac:dyDescent="0.3"/>
    <row r="76" ht="22.2" customHeight="1" x14ac:dyDescent="0.3"/>
    <row r="77" ht="22.2" customHeight="1" x14ac:dyDescent="0.3"/>
    <row r="78" ht="22.2" customHeight="1" x14ac:dyDescent="0.3"/>
    <row r="79" ht="22.2" customHeight="1" x14ac:dyDescent="0.3"/>
    <row r="80" ht="22.2" customHeight="1" x14ac:dyDescent="0.3"/>
    <row r="81" ht="22.2" customHeight="1" x14ac:dyDescent="0.3"/>
    <row r="82" ht="22.2" customHeight="1" x14ac:dyDescent="0.3"/>
    <row r="83" ht="22.2" customHeight="1" x14ac:dyDescent="0.3"/>
    <row r="84" ht="22.2" customHeight="1" x14ac:dyDescent="0.3"/>
    <row r="85" ht="22.2" customHeight="1" x14ac:dyDescent="0.3"/>
    <row r="86" ht="22.2" customHeight="1" x14ac:dyDescent="0.3"/>
    <row r="87" ht="22.2" customHeight="1" x14ac:dyDescent="0.3"/>
    <row r="88" ht="22.2" customHeight="1" x14ac:dyDescent="0.3"/>
    <row r="89" ht="22.2" customHeight="1" x14ac:dyDescent="0.3"/>
    <row r="90" ht="22.2" customHeight="1" x14ac:dyDescent="0.3"/>
    <row r="91" ht="22.2" customHeight="1" x14ac:dyDescent="0.3"/>
    <row r="92" ht="22.2" customHeight="1" x14ac:dyDescent="0.3"/>
    <row r="93" ht="22.2" customHeight="1" x14ac:dyDescent="0.3"/>
    <row r="94" ht="22.2" customHeight="1" x14ac:dyDescent="0.3"/>
    <row r="95" ht="22.2" customHeight="1" x14ac:dyDescent="0.3"/>
    <row r="96" ht="22.2" customHeight="1" x14ac:dyDescent="0.3"/>
    <row r="97" ht="22.2" customHeight="1" x14ac:dyDescent="0.3"/>
    <row r="98" ht="22.2" customHeight="1" x14ac:dyDescent="0.3"/>
    <row r="99" ht="22.2" customHeight="1" x14ac:dyDescent="0.3"/>
    <row r="100" ht="22.2" customHeight="1" x14ac:dyDescent="0.3"/>
    <row r="101" ht="22.2" customHeight="1" x14ac:dyDescent="0.3"/>
    <row r="102" ht="22.2" customHeight="1" x14ac:dyDescent="0.3"/>
    <row r="103" ht="22.2" customHeight="1" x14ac:dyDescent="0.3"/>
    <row r="104" ht="22.2" customHeight="1" x14ac:dyDescent="0.3"/>
    <row r="105" ht="22.2" customHeight="1" x14ac:dyDescent="0.3"/>
    <row r="106" ht="22.2" customHeight="1" x14ac:dyDescent="0.3"/>
    <row r="107" ht="22.2" customHeight="1" x14ac:dyDescent="0.3"/>
    <row r="108" ht="22.2" customHeight="1" x14ac:dyDescent="0.3"/>
    <row r="109" ht="22.2" customHeight="1" x14ac:dyDescent="0.3"/>
    <row r="110" ht="22.2" customHeight="1" x14ac:dyDescent="0.3"/>
    <row r="111" ht="22.2" customHeight="1" x14ac:dyDescent="0.3"/>
    <row r="112" ht="22.2" customHeight="1" x14ac:dyDescent="0.3"/>
    <row r="113" ht="22.2" customHeight="1" x14ac:dyDescent="0.3"/>
    <row r="114" ht="22.2" customHeight="1" x14ac:dyDescent="0.3"/>
    <row r="115" ht="22.2" customHeight="1" x14ac:dyDescent="0.3"/>
    <row r="116" ht="22.2" customHeight="1" x14ac:dyDescent="0.3"/>
    <row r="117" ht="22.2" customHeight="1" x14ac:dyDescent="0.3"/>
    <row r="118" ht="22.2" customHeight="1" x14ac:dyDescent="0.3"/>
    <row r="119" ht="22.2" customHeight="1" x14ac:dyDescent="0.3"/>
    <row r="120" ht="22.2" customHeight="1" x14ac:dyDescent="0.3"/>
    <row r="121" ht="22.2" customHeight="1" x14ac:dyDescent="0.3"/>
    <row r="122" ht="22.2" customHeight="1" x14ac:dyDescent="0.3"/>
    <row r="123" ht="22.2" customHeight="1" x14ac:dyDescent="0.3"/>
    <row r="124" ht="22.2" customHeight="1" x14ac:dyDescent="0.3"/>
    <row r="125" ht="22.2" customHeight="1" x14ac:dyDescent="0.3"/>
    <row r="126" ht="22.2" customHeight="1" x14ac:dyDescent="0.3"/>
    <row r="127" ht="22.2" customHeight="1" x14ac:dyDescent="0.3"/>
    <row r="128" ht="22.2" customHeight="1" x14ac:dyDescent="0.3"/>
    <row r="129" ht="22.2" customHeight="1" x14ac:dyDescent="0.3"/>
    <row r="130" ht="22.2" customHeight="1" x14ac:dyDescent="0.3"/>
    <row r="131" ht="22.2" customHeight="1" x14ac:dyDescent="0.3"/>
    <row r="132" ht="22.2" customHeight="1" x14ac:dyDescent="0.3"/>
    <row r="133" ht="22.2" customHeight="1" x14ac:dyDescent="0.3"/>
    <row r="134" ht="22.2" customHeight="1" x14ac:dyDescent="0.3"/>
    <row r="135" ht="22.2" customHeight="1" x14ac:dyDescent="0.3"/>
    <row r="136" ht="22.2" customHeight="1" x14ac:dyDescent="0.3"/>
    <row r="137" ht="22.2" customHeight="1" x14ac:dyDescent="0.3"/>
    <row r="138" ht="22.2" customHeight="1" x14ac:dyDescent="0.3"/>
    <row r="139" ht="22.2" customHeight="1" x14ac:dyDescent="0.3"/>
    <row r="140" ht="22.2" customHeight="1" x14ac:dyDescent="0.3"/>
    <row r="141" ht="22.2" customHeight="1" x14ac:dyDescent="0.3"/>
    <row r="142" ht="22.2" customHeight="1" x14ac:dyDescent="0.3"/>
    <row r="143" ht="22.2" customHeight="1" x14ac:dyDescent="0.3"/>
    <row r="144" ht="22.2" customHeight="1" x14ac:dyDescent="0.3"/>
    <row r="145" ht="22.2" customHeight="1" x14ac:dyDescent="0.3"/>
    <row r="146" ht="22.2" customHeight="1" x14ac:dyDescent="0.3"/>
    <row r="147" ht="22.2" customHeight="1" x14ac:dyDescent="0.3"/>
    <row r="148" ht="22.2" customHeight="1" x14ac:dyDescent="0.3"/>
    <row r="149" ht="22.2" customHeight="1" x14ac:dyDescent="0.3"/>
    <row r="150" ht="22.2" customHeight="1" x14ac:dyDescent="0.3"/>
    <row r="151" ht="22.2" customHeight="1" x14ac:dyDescent="0.3"/>
    <row r="152" ht="22.2" customHeight="1" x14ac:dyDescent="0.3"/>
    <row r="153" ht="22.2" customHeight="1" x14ac:dyDescent="0.3"/>
    <row r="154" ht="22.2" customHeight="1" x14ac:dyDescent="0.3"/>
    <row r="155" ht="22.2" customHeight="1" x14ac:dyDescent="0.3"/>
    <row r="156" ht="22.2" customHeight="1" x14ac:dyDescent="0.3"/>
    <row r="157" ht="22.2" customHeight="1" x14ac:dyDescent="0.3"/>
    <row r="158" ht="22.2" customHeight="1" x14ac:dyDescent="0.3"/>
    <row r="159" ht="22.2" customHeight="1" x14ac:dyDescent="0.3"/>
    <row r="160" ht="22.2" customHeight="1" x14ac:dyDescent="0.3"/>
    <row r="161" ht="22.2" customHeight="1" x14ac:dyDescent="0.3"/>
    <row r="162" ht="22.2" customHeight="1" x14ac:dyDescent="0.3"/>
    <row r="163" ht="22.2" customHeight="1" x14ac:dyDescent="0.3"/>
    <row r="164" ht="22.2" customHeight="1" x14ac:dyDescent="0.3"/>
    <row r="165" ht="22.2" customHeight="1" x14ac:dyDescent="0.3"/>
    <row r="166" ht="22.2" customHeight="1" x14ac:dyDescent="0.3"/>
    <row r="167" ht="22.2" customHeight="1" x14ac:dyDescent="0.3"/>
    <row r="168" ht="22.2" customHeight="1" x14ac:dyDescent="0.3"/>
    <row r="169" ht="22.2" customHeight="1" x14ac:dyDescent="0.3"/>
    <row r="170" ht="22.2" customHeight="1" x14ac:dyDescent="0.3"/>
    <row r="171" ht="22.2" customHeight="1" x14ac:dyDescent="0.3"/>
    <row r="172" ht="22.2" customHeight="1" x14ac:dyDescent="0.3"/>
    <row r="173" ht="22.2" customHeight="1" x14ac:dyDescent="0.3"/>
    <row r="174" ht="22.2" customHeight="1" x14ac:dyDescent="0.3"/>
    <row r="175" ht="22.2" customHeight="1" x14ac:dyDescent="0.3"/>
    <row r="176" ht="22.2" customHeight="1" x14ac:dyDescent="0.3"/>
    <row r="177" ht="22.2" customHeight="1" x14ac:dyDescent="0.3"/>
    <row r="178" ht="22.2" customHeight="1" x14ac:dyDescent="0.3"/>
    <row r="179" ht="22.2" customHeight="1" x14ac:dyDescent="0.3"/>
    <row r="180" ht="22.2" customHeight="1" x14ac:dyDescent="0.3"/>
    <row r="181" ht="22.2" customHeight="1" x14ac:dyDescent="0.3"/>
    <row r="182" ht="22.2" customHeight="1" x14ac:dyDescent="0.3"/>
    <row r="183" ht="22.2" customHeight="1" x14ac:dyDescent="0.3"/>
    <row r="184" ht="22.2" customHeight="1" x14ac:dyDescent="0.3"/>
    <row r="185" ht="22.2" customHeight="1" x14ac:dyDescent="0.3"/>
    <row r="186" ht="22.2" customHeight="1" x14ac:dyDescent="0.3"/>
    <row r="187" ht="22.2" customHeight="1" x14ac:dyDescent="0.3"/>
    <row r="188" ht="22.2" customHeight="1" x14ac:dyDescent="0.3"/>
    <row r="189" ht="22.2" customHeight="1" x14ac:dyDescent="0.3"/>
    <row r="190" ht="22.2" customHeight="1" x14ac:dyDescent="0.3"/>
    <row r="191" ht="22.2" customHeight="1" x14ac:dyDescent="0.3"/>
    <row r="192" ht="22.2" customHeight="1" x14ac:dyDescent="0.3"/>
    <row r="193" ht="22.2" customHeight="1" x14ac:dyDescent="0.3"/>
    <row r="194" ht="22.2" customHeight="1" x14ac:dyDescent="0.3"/>
    <row r="195" ht="22.2" customHeight="1" x14ac:dyDescent="0.3"/>
    <row r="196" ht="22.2" customHeight="1" x14ac:dyDescent="0.3"/>
    <row r="197" ht="22.2" customHeight="1" x14ac:dyDescent="0.3"/>
    <row r="198" ht="22.2" customHeight="1" x14ac:dyDescent="0.3"/>
    <row r="199" ht="22.2" customHeight="1" x14ac:dyDescent="0.3"/>
    <row r="200" ht="22.2" customHeight="1" x14ac:dyDescent="0.3"/>
    <row r="201" ht="22.2" customHeight="1" x14ac:dyDescent="0.3"/>
    <row r="202" ht="22.2" customHeight="1" x14ac:dyDescent="0.3"/>
    <row r="203" ht="22.2" customHeight="1" x14ac:dyDescent="0.3"/>
    <row r="204" ht="22.2" customHeight="1" x14ac:dyDescent="0.3"/>
    <row r="205" ht="22.2" customHeight="1" x14ac:dyDescent="0.3"/>
    <row r="206" ht="22.2" customHeight="1" x14ac:dyDescent="0.3"/>
    <row r="207" ht="22.2" customHeight="1" x14ac:dyDescent="0.3"/>
    <row r="208" ht="22.2" customHeight="1" x14ac:dyDescent="0.3"/>
    <row r="209" ht="22.2" customHeight="1" x14ac:dyDescent="0.3"/>
    <row r="210" ht="22.2" customHeight="1" x14ac:dyDescent="0.3"/>
    <row r="211" ht="22.2" customHeight="1" x14ac:dyDescent="0.3"/>
    <row r="212" ht="22.2" customHeight="1" x14ac:dyDescent="0.3"/>
    <row r="213" ht="22.2" customHeight="1" x14ac:dyDescent="0.3"/>
    <row r="214" ht="22.2" customHeight="1" x14ac:dyDescent="0.3"/>
    <row r="215" ht="22.2" customHeight="1" x14ac:dyDescent="0.3"/>
    <row r="216" ht="22.2" customHeight="1" x14ac:dyDescent="0.3"/>
    <row r="217" ht="22.2" customHeight="1" x14ac:dyDescent="0.3"/>
    <row r="218" ht="22.2" customHeight="1" x14ac:dyDescent="0.3"/>
    <row r="219" ht="22.2" customHeight="1" x14ac:dyDescent="0.3"/>
    <row r="220" ht="22.2" customHeight="1" x14ac:dyDescent="0.3"/>
    <row r="221" ht="22.2" customHeight="1" x14ac:dyDescent="0.3"/>
    <row r="222" ht="22.2" customHeight="1" x14ac:dyDescent="0.3"/>
    <row r="223" ht="22.2" customHeight="1" x14ac:dyDescent="0.3"/>
    <row r="224" ht="22.2" customHeight="1" x14ac:dyDescent="0.3"/>
    <row r="225" ht="22.2" customHeight="1" x14ac:dyDescent="0.3"/>
    <row r="226" ht="22.2" customHeight="1" x14ac:dyDescent="0.3"/>
    <row r="227" ht="22.2" customHeight="1" x14ac:dyDescent="0.3"/>
    <row r="228" ht="22.2" customHeight="1" x14ac:dyDescent="0.3"/>
    <row r="229" ht="22.2" customHeight="1" x14ac:dyDescent="0.3"/>
    <row r="230" ht="22.2" customHeight="1" x14ac:dyDescent="0.3"/>
    <row r="231" ht="22.2" customHeight="1" x14ac:dyDescent="0.3"/>
    <row r="232" ht="22.2" customHeight="1" x14ac:dyDescent="0.3"/>
    <row r="233" ht="22.2" customHeight="1" x14ac:dyDescent="0.3"/>
    <row r="234" ht="22.2" customHeight="1" x14ac:dyDescent="0.3"/>
    <row r="235" ht="22.2" customHeight="1" x14ac:dyDescent="0.3"/>
    <row r="236" ht="22.2" customHeight="1" x14ac:dyDescent="0.3"/>
    <row r="237" ht="22.2" customHeight="1" x14ac:dyDescent="0.3"/>
    <row r="238" ht="22.2" customHeight="1" x14ac:dyDescent="0.3"/>
    <row r="239" ht="22.2" customHeight="1" x14ac:dyDescent="0.3"/>
    <row r="240" ht="22.2" customHeight="1" x14ac:dyDescent="0.3"/>
    <row r="241" ht="22.2" customHeight="1" x14ac:dyDescent="0.3"/>
    <row r="242" ht="22.2" customHeight="1" x14ac:dyDescent="0.3"/>
    <row r="243" ht="22.2" customHeight="1" x14ac:dyDescent="0.3"/>
    <row r="244" ht="22.2" customHeight="1" x14ac:dyDescent="0.3"/>
    <row r="245" ht="22.2" customHeight="1" x14ac:dyDescent="0.3"/>
    <row r="246" ht="22.2" customHeight="1" x14ac:dyDescent="0.3"/>
    <row r="247" ht="22.2" customHeight="1" x14ac:dyDescent="0.3"/>
    <row r="248" ht="22.2" customHeight="1" x14ac:dyDescent="0.3"/>
    <row r="249" ht="22.2" customHeight="1" x14ac:dyDescent="0.3"/>
    <row r="250" ht="22.2" customHeight="1" x14ac:dyDescent="0.3"/>
    <row r="251" ht="22.2" customHeight="1" x14ac:dyDescent="0.3"/>
    <row r="252" ht="22.2" customHeight="1" x14ac:dyDescent="0.3"/>
    <row r="253" ht="22.2" customHeight="1" x14ac:dyDescent="0.3"/>
    <row r="254" ht="22.2" customHeight="1" x14ac:dyDescent="0.3"/>
    <row r="255" ht="22.2" customHeight="1" x14ac:dyDescent="0.3"/>
    <row r="256" ht="22.2" customHeight="1" x14ac:dyDescent="0.3"/>
    <row r="257" ht="22.2" customHeight="1" x14ac:dyDescent="0.3"/>
    <row r="258" ht="22.2" customHeight="1" x14ac:dyDescent="0.3"/>
    <row r="259" ht="22.2" customHeight="1" x14ac:dyDescent="0.3"/>
    <row r="260" ht="22.2" customHeight="1" x14ac:dyDescent="0.3"/>
    <row r="261" ht="22.2" customHeight="1" x14ac:dyDescent="0.3"/>
    <row r="262" ht="22.2" customHeight="1" x14ac:dyDescent="0.3"/>
    <row r="263" ht="22.2" customHeight="1" x14ac:dyDescent="0.3"/>
    <row r="264" ht="22.2" customHeight="1" x14ac:dyDescent="0.3"/>
    <row r="265" ht="22.2" customHeight="1" x14ac:dyDescent="0.3"/>
    <row r="266" ht="22.2" customHeight="1" x14ac:dyDescent="0.3"/>
    <row r="267" ht="22.2" customHeight="1" x14ac:dyDescent="0.3"/>
    <row r="268" ht="22.2" customHeight="1" x14ac:dyDescent="0.3"/>
    <row r="269" ht="22.2" customHeight="1" x14ac:dyDescent="0.3"/>
    <row r="270" ht="22.2" customHeight="1" x14ac:dyDescent="0.3"/>
    <row r="271" ht="22.2" customHeight="1" x14ac:dyDescent="0.3"/>
    <row r="272" ht="22.2" customHeight="1" x14ac:dyDescent="0.3"/>
    <row r="273" ht="22.2" customHeight="1" x14ac:dyDescent="0.3"/>
    <row r="274" ht="22.2" customHeight="1" x14ac:dyDescent="0.3"/>
    <row r="275" ht="22.2" customHeight="1" x14ac:dyDescent="0.3"/>
    <row r="276" ht="22.2" customHeight="1" x14ac:dyDescent="0.3"/>
    <row r="277" ht="22.2" customHeight="1" x14ac:dyDescent="0.3"/>
    <row r="278" ht="22.2" customHeight="1" x14ac:dyDescent="0.3"/>
    <row r="279" ht="22.2" customHeight="1" x14ac:dyDescent="0.3"/>
    <row r="280" ht="22.2" customHeight="1" x14ac:dyDescent="0.3"/>
    <row r="281" ht="22.2" customHeight="1" x14ac:dyDescent="0.3"/>
    <row r="282" ht="22.2" customHeight="1" x14ac:dyDescent="0.3"/>
    <row r="283" ht="22.2" customHeight="1" x14ac:dyDescent="0.3"/>
    <row r="284" ht="22.2" customHeight="1" x14ac:dyDescent="0.3"/>
    <row r="285" ht="22.2" customHeight="1" x14ac:dyDescent="0.3"/>
    <row r="286" ht="22.2" customHeight="1" x14ac:dyDescent="0.3"/>
    <row r="287" ht="22.2" customHeight="1" x14ac:dyDescent="0.3"/>
    <row r="288" ht="22.2" customHeight="1" x14ac:dyDescent="0.3"/>
    <row r="289" ht="22.2" customHeight="1" x14ac:dyDescent="0.3"/>
    <row r="290" ht="22.2" customHeight="1" x14ac:dyDescent="0.3"/>
    <row r="291" ht="22.2" customHeight="1" x14ac:dyDescent="0.3"/>
    <row r="292" ht="22.2" customHeight="1" x14ac:dyDescent="0.3"/>
    <row r="293" ht="22.2" customHeight="1" x14ac:dyDescent="0.3"/>
    <row r="294" ht="22.2" customHeight="1" x14ac:dyDescent="0.3"/>
    <row r="295" ht="22.2" customHeight="1" x14ac:dyDescent="0.3"/>
    <row r="296" ht="22.2" customHeight="1" x14ac:dyDescent="0.3"/>
    <row r="297" ht="22.2" customHeight="1" x14ac:dyDescent="0.3"/>
    <row r="298" ht="22.2" customHeight="1" x14ac:dyDescent="0.3"/>
    <row r="299" ht="22.2" customHeight="1" x14ac:dyDescent="0.3"/>
    <row r="300" ht="22.2" customHeight="1" x14ac:dyDescent="0.3"/>
    <row r="301" ht="22.2" customHeight="1" x14ac:dyDescent="0.3"/>
    <row r="302" ht="22.2" customHeight="1" x14ac:dyDescent="0.3"/>
    <row r="303" ht="22.2" customHeight="1" x14ac:dyDescent="0.3"/>
    <row r="304" ht="22.2" customHeight="1" x14ac:dyDescent="0.3"/>
    <row r="305" ht="22.2" customHeight="1" x14ac:dyDescent="0.3"/>
    <row r="306" ht="22.2" customHeight="1" x14ac:dyDescent="0.3"/>
    <row r="307" ht="22.2" customHeight="1" x14ac:dyDescent="0.3"/>
    <row r="308" ht="22.2" customHeight="1" x14ac:dyDescent="0.3"/>
    <row r="309" ht="22.2" customHeight="1" x14ac:dyDescent="0.3"/>
    <row r="310" ht="22.2" customHeight="1" x14ac:dyDescent="0.3"/>
    <row r="311" ht="22.2" customHeight="1" x14ac:dyDescent="0.3"/>
    <row r="312" ht="22.2" customHeight="1" x14ac:dyDescent="0.3"/>
    <row r="313" ht="22.2" customHeight="1" x14ac:dyDescent="0.3"/>
    <row r="314" ht="22.2" customHeight="1" x14ac:dyDescent="0.3"/>
    <row r="315" ht="22.2" customHeight="1" x14ac:dyDescent="0.3"/>
    <row r="316" ht="22.2" customHeight="1" x14ac:dyDescent="0.3"/>
    <row r="317" ht="22.2" customHeight="1" x14ac:dyDescent="0.3"/>
    <row r="318" ht="22.2" customHeight="1" x14ac:dyDescent="0.3"/>
    <row r="319" ht="22.2" customHeight="1" x14ac:dyDescent="0.3"/>
    <row r="320" ht="22.2" customHeight="1" x14ac:dyDescent="0.3"/>
    <row r="321" ht="22.2" customHeight="1" x14ac:dyDescent="0.3"/>
    <row r="322" ht="22.2" customHeight="1" x14ac:dyDescent="0.3"/>
    <row r="323" ht="22.2" customHeight="1" x14ac:dyDescent="0.3"/>
    <row r="324" ht="22.2" customHeight="1" x14ac:dyDescent="0.3"/>
    <row r="325" ht="22.2" customHeight="1" x14ac:dyDescent="0.3"/>
    <row r="326" ht="22.2" customHeight="1" x14ac:dyDescent="0.3"/>
    <row r="327" ht="22.2" customHeight="1" x14ac:dyDescent="0.3"/>
    <row r="328" ht="22.2" customHeight="1" x14ac:dyDescent="0.3"/>
    <row r="329" ht="22.2" customHeight="1" x14ac:dyDescent="0.3"/>
    <row r="330" ht="22.2" customHeight="1" x14ac:dyDescent="0.3"/>
    <row r="331" ht="22.2" customHeight="1" x14ac:dyDescent="0.3"/>
    <row r="332" ht="22.2" customHeight="1" x14ac:dyDescent="0.3"/>
    <row r="333" ht="22.2" customHeight="1" x14ac:dyDescent="0.3"/>
    <row r="334" ht="22.2" customHeight="1" x14ac:dyDescent="0.3"/>
    <row r="335" ht="22.2" customHeight="1" x14ac:dyDescent="0.3"/>
    <row r="336" ht="22.2" customHeight="1" x14ac:dyDescent="0.3"/>
    <row r="337" ht="22.2" customHeight="1" x14ac:dyDescent="0.3"/>
    <row r="338" ht="22.2" customHeight="1" x14ac:dyDescent="0.3"/>
    <row r="339" ht="22.2" customHeight="1" x14ac:dyDescent="0.3"/>
    <row r="340" ht="22.2" customHeight="1" x14ac:dyDescent="0.3"/>
    <row r="341" ht="22.2" customHeight="1" x14ac:dyDescent="0.3"/>
    <row r="342" ht="22.2" customHeight="1" x14ac:dyDescent="0.3"/>
    <row r="343" ht="22.2" customHeight="1" x14ac:dyDescent="0.3"/>
    <row r="344" ht="22.2" customHeight="1" x14ac:dyDescent="0.3"/>
    <row r="345" ht="22.2" customHeight="1" x14ac:dyDescent="0.3"/>
    <row r="346" ht="22.2" customHeight="1" x14ac:dyDescent="0.3"/>
    <row r="347" ht="22.2" customHeight="1" x14ac:dyDescent="0.3"/>
    <row r="348" ht="22.2" customHeight="1" x14ac:dyDescent="0.3"/>
    <row r="349" ht="22.2" customHeight="1" x14ac:dyDescent="0.3"/>
    <row r="350" ht="22.2" customHeight="1" x14ac:dyDescent="0.3"/>
    <row r="351" ht="22.2" customHeight="1" x14ac:dyDescent="0.3"/>
    <row r="352" ht="22.2" customHeight="1" x14ac:dyDescent="0.3"/>
    <row r="353" ht="22.2" customHeight="1" x14ac:dyDescent="0.3"/>
    <row r="354" ht="22.2" customHeight="1" x14ac:dyDescent="0.3"/>
    <row r="355" ht="22.2" customHeight="1" x14ac:dyDescent="0.3"/>
    <row r="356" ht="22.2" customHeight="1" x14ac:dyDescent="0.3"/>
    <row r="357" ht="22.2" customHeight="1" x14ac:dyDescent="0.3"/>
    <row r="358" ht="22.2" customHeight="1" x14ac:dyDescent="0.3"/>
    <row r="359" ht="22.2" customHeight="1" x14ac:dyDescent="0.3"/>
    <row r="360" ht="22.2" customHeight="1" x14ac:dyDescent="0.3"/>
    <row r="361" ht="22.2" customHeight="1" x14ac:dyDescent="0.3"/>
    <row r="362" ht="22.2" customHeight="1" x14ac:dyDescent="0.3"/>
    <row r="363" ht="22.2" customHeight="1" x14ac:dyDescent="0.3"/>
    <row r="364" ht="22.2" customHeight="1" x14ac:dyDescent="0.3"/>
    <row r="365" ht="22.2" customHeight="1" x14ac:dyDescent="0.3"/>
    <row r="366" ht="22.2" customHeight="1" x14ac:dyDescent="0.3"/>
    <row r="367" ht="22.2" customHeight="1" x14ac:dyDescent="0.3"/>
    <row r="368" ht="22.2" customHeight="1" x14ac:dyDescent="0.3"/>
    <row r="369" ht="22.2" customHeight="1" x14ac:dyDescent="0.3"/>
    <row r="370" ht="22.2" customHeight="1" x14ac:dyDescent="0.3"/>
    <row r="371" ht="22.2" customHeight="1" x14ac:dyDescent="0.3"/>
    <row r="372" ht="22.2" customHeight="1" x14ac:dyDescent="0.3"/>
    <row r="373" ht="22.2" customHeight="1" x14ac:dyDescent="0.3"/>
    <row r="374" ht="22.2" customHeight="1" x14ac:dyDescent="0.3"/>
    <row r="375" ht="22.2" customHeight="1" x14ac:dyDescent="0.3"/>
    <row r="376" ht="22.2" customHeight="1" x14ac:dyDescent="0.3"/>
    <row r="377" ht="22.2" customHeight="1" x14ac:dyDescent="0.3"/>
    <row r="378" ht="22.2" customHeight="1" x14ac:dyDescent="0.3"/>
    <row r="379" ht="22.2" customHeight="1" x14ac:dyDescent="0.3"/>
    <row r="380" ht="22.2" customHeight="1" x14ac:dyDescent="0.3"/>
    <row r="381" ht="22.2" customHeight="1" x14ac:dyDescent="0.3"/>
    <row r="382" ht="22.2" customHeight="1" x14ac:dyDescent="0.3"/>
    <row r="383" ht="22.2" customHeight="1" x14ac:dyDescent="0.3"/>
    <row r="384" ht="22.2" customHeight="1" x14ac:dyDescent="0.3"/>
    <row r="385" ht="22.2" customHeight="1" x14ac:dyDescent="0.3"/>
    <row r="386" ht="22.2" customHeight="1" x14ac:dyDescent="0.3"/>
    <row r="387" ht="22.2" customHeight="1" x14ac:dyDescent="0.3"/>
    <row r="388" ht="22.2" customHeight="1" x14ac:dyDescent="0.3"/>
    <row r="389" ht="22.2" customHeight="1" x14ac:dyDescent="0.3"/>
    <row r="390" ht="22.2" customHeight="1" x14ac:dyDescent="0.3"/>
    <row r="391" ht="22.2" customHeight="1" x14ac:dyDescent="0.3"/>
    <row r="392" ht="22.2" customHeight="1" x14ac:dyDescent="0.3"/>
    <row r="393" ht="22.2" customHeight="1" x14ac:dyDescent="0.3"/>
    <row r="394" ht="22.2" customHeight="1" x14ac:dyDescent="0.3"/>
    <row r="395" ht="22.2" customHeight="1" x14ac:dyDescent="0.3"/>
    <row r="396" ht="22.2" customHeight="1" x14ac:dyDescent="0.3"/>
    <row r="397" ht="22.2" customHeight="1" x14ac:dyDescent="0.3"/>
    <row r="398" ht="22.2" customHeight="1" x14ac:dyDescent="0.3"/>
    <row r="399" ht="22.2" customHeight="1" x14ac:dyDescent="0.3"/>
    <row r="400" ht="22.2" customHeight="1" x14ac:dyDescent="0.3"/>
    <row r="401" ht="22.2" customHeight="1" x14ac:dyDescent="0.3"/>
    <row r="402" ht="22.2" customHeight="1" x14ac:dyDescent="0.3"/>
    <row r="403" ht="22.2" customHeight="1" x14ac:dyDescent="0.3"/>
    <row r="404" ht="22.2" customHeight="1" x14ac:dyDescent="0.3"/>
    <row r="405" ht="22.2" customHeight="1" x14ac:dyDescent="0.3"/>
    <row r="406" ht="22.2" customHeight="1" x14ac:dyDescent="0.3"/>
    <row r="407" ht="22.2" customHeight="1" x14ac:dyDescent="0.3"/>
    <row r="408" ht="22.2" customHeight="1" x14ac:dyDescent="0.3"/>
    <row r="409" ht="22.2" customHeight="1" x14ac:dyDescent="0.3"/>
    <row r="410" ht="22.2" customHeight="1" x14ac:dyDescent="0.3"/>
    <row r="411" ht="22.2" customHeight="1" x14ac:dyDescent="0.3"/>
    <row r="412" ht="22.2" customHeight="1" x14ac:dyDescent="0.3"/>
    <row r="413" ht="22.2" customHeight="1" x14ac:dyDescent="0.3"/>
    <row r="414" ht="22.2" customHeight="1" x14ac:dyDescent="0.3"/>
    <row r="415" ht="22.2" customHeight="1" x14ac:dyDescent="0.3"/>
    <row r="416" ht="22.2" customHeight="1" x14ac:dyDescent="0.3"/>
    <row r="417" ht="22.2" customHeight="1" x14ac:dyDescent="0.3"/>
    <row r="418" ht="22.2" customHeight="1" x14ac:dyDescent="0.3"/>
    <row r="419" ht="22.2" customHeight="1" x14ac:dyDescent="0.3"/>
    <row r="420" ht="22.2" customHeight="1" x14ac:dyDescent="0.3"/>
    <row r="421" ht="22.2" customHeight="1" x14ac:dyDescent="0.3"/>
    <row r="422" ht="22.2" customHeight="1" x14ac:dyDescent="0.3"/>
    <row r="423" ht="22.2" customHeight="1" x14ac:dyDescent="0.3"/>
    <row r="424" ht="22.2" customHeight="1" x14ac:dyDescent="0.3"/>
    <row r="425" ht="22.2" customHeight="1" x14ac:dyDescent="0.3"/>
    <row r="426" ht="22.2" customHeight="1" x14ac:dyDescent="0.3"/>
    <row r="427" ht="22.2" customHeight="1" x14ac:dyDescent="0.3"/>
    <row r="428" ht="22.2" customHeight="1" x14ac:dyDescent="0.3"/>
    <row r="429" ht="22.2" customHeight="1" x14ac:dyDescent="0.3"/>
    <row r="430" ht="22.2" customHeight="1" x14ac:dyDescent="0.3"/>
    <row r="431" ht="22.2" customHeight="1" x14ac:dyDescent="0.3"/>
    <row r="432" ht="22.2" customHeight="1" x14ac:dyDescent="0.3"/>
    <row r="433" ht="22.2" customHeight="1" x14ac:dyDescent="0.3"/>
    <row r="434" ht="22.2" customHeight="1" x14ac:dyDescent="0.3"/>
    <row r="435" ht="22.2" customHeight="1" x14ac:dyDescent="0.3"/>
    <row r="436" ht="22.2" customHeight="1" x14ac:dyDescent="0.3"/>
    <row r="437" ht="22.2" customHeight="1" x14ac:dyDescent="0.3"/>
    <row r="438" ht="22.2" customHeight="1" x14ac:dyDescent="0.3"/>
    <row r="439" ht="22.2" customHeight="1" x14ac:dyDescent="0.3"/>
    <row r="440" ht="22.2" customHeight="1" x14ac:dyDescent="0.3"/>
    <row r="441" ht="22.2" customHeight="1" x14ac:dyDescent="0.3"/>
    <row r="442" ht="22.2" customHeight="1" x14ac:dyDescent="0.3"/>
    <row r="443" ht="22.2" customHeight="1" x14ac:dyDescent="0.3"/>
    <row r="444" ht="22.2" customHeight="1" x14ac:dyDescent="0.3"/>
    <row r="445" ht="22.2" customHeight="1" x14ac:dyDescent="0.3"/>
    <row r="446" ht="22.2" customHeight="1" x14ac:dyDescent="0.3"/>
    <row r="447" ht="22.2" customHeight="1" x14ac:dyDescent="0.3"/>
    <row r="448" ht="22.2" customHeight="1" x14ac:dyDescent="0.3"/>
    <row r="449" ht="22.2" customHeight="1" x14ac:dyDescent="0.3"/>
    <row r="450" ht="22.2" customHeight="1" x14ac:dyDescent="0.3"/>
    <row r="451" ht="22.2" customHeight="1" x14ac:dyDescent="0.3"/>
    <row r="452" ht="22.2" customHeight="1" x14ac:dyDescent="0.3"/>
    <row r="453" ht="22.2" customHeight="1" x14ac:dyDescent="0.3"/>
    <row r="454" ht="22.2" customHeight="1" x14ac:dyDescent="0.3"/>
    <row r="455" ht="22.2" customHeight="1" x14ac:dyDescent="0.3"/>
    <row r="456" ht="22.2" customHeight="1" x14ac:dyDescent="0.3"/>
    <row r="457" ht="22.2" customHeight="1" x14ac:dyDescent="0.3"/>
    <row r="458" ht="22.2" customHeight="1" x14ac:dyDescent="0.3"/>
    <row r="459" ht="22.2" customHeight="1" x14ac:dyDescent="0.3"/>
    <row r="460" ht="22.2" customHeight="1" x14ac:dyDescent="0.3"/>
    <row r="461" ht="22.2" customHeight="1" x14ac:dyDescent="0.3"/>
    <row r="462" ht="22.2" customHeight="1" x14ac:dyDescent="0.3"/>
    <row r="463" ht="22.2" customHeight="1" x14ac:dyDescent="0.3"/>
    <row r="464" ht="22.2" customHeight="1" x14ac:dyDescent="0.3"/>
    <row r="465" ht="22.2" customHeight="1" x14ac:dyDescent="0.3"/>
    <row r="466" ht="22.2" customHeight="1" x14ac:dyDescent="0.3"/>
    <row r="467" ht="22.2" customHeight="1" x14ac:dyDescent="0.3"/>
    <row r="468" ht="22.2" customHeight="1" x14ac:dyDescent="0.3"/>
    <row r="469" ht="22.2" customHeight="1" x14ac:dyDescent="0.3"/>
    <row r="470" ht="22.2" customHeight="1" x14ac:dyDescent="0.3"/>
    <row r="471" ht="22.2" customHeight="1" x14ac:dyDescent="0.3"/>
    <row r="472" ht="22.2" customHeight="1" x14ac:dyDescent="0.3"/>
    <row r="473" ht="22.2" customHeight="1" x14ac:dyDescent="0.3"/>
    <row r="474" ht="22.2" customHeight="1" x14ac:dyDescent="0.3"/>
    <row r="475" ht="22.2" customHeight="1" x14ac:dyDescent="0.3"/>
    <row r="476" ht="22.2" customHeight="1" x14ac:dyDescent="0.3"/>
    <row r="477" ht="22.2" customHeight="1" x14ac:dyDescent="0.3"/>
    <row r="478" ht="22.2" customHeight="1" x14ac:dyDescent="0.3"/>
    <row r="479" ht="22.2" customHeight="1" x14ac:dyDescent="0.3"/>
    <row r="480" ht="22.2" customHeight="1" x14ac:dyDescent="0.3"/>
    <row r="481" ht="22.2" customHeight="1" x14ac:dyDescent="0.3"/>
    <row r="482" ht="22.2" customHeight="1" x14ac:dyDescent="0.3"/>
    <row r="483" ht="22.2" customHeight="1" x14ac:dyDescent="0.3"/>
    <row r="484" ht="22.2" customHeight="1" x14ac:dyDescent="0.3"/>
    <row r="485" ht="22.2" customHeight="1" x14ac:dyDescent="0.3"/>
    <row r="486" ht="22.2" customHeight="1" x14ac:dyDescent="0.3"/>
    <row r="487" ht="22.2" customHeight="1" x14ac:dyDescent="0.3"/>
    <row r="488" ht="22.2" customHeight="1" x14ac:dyDescent="0.3"/>
    <row r="489" ht="22.2" customHeight="1" x14ac:dyDescent="0.3"/>
    <row r="490" ht="22.2" customHeight="1" x14ac:dyDescent="0.3"/>
    <row r="491" ht="22.2" customHeight="1" x14ac:dyDescent="0.3"/>
    <row r="492" ht="22.2" customHeight="1" x14ac:dyDescent="0.3"/>
    <row r="493" ht="22.2" customHeight="1" x14ac:dyDescent="0.3"/>
    <row r="494" ht="22.2" customHeight="1" x14ac:dyDescent="0.3"/>
    <row r="495" ht="22.2" customHeight="1" x14ac:dyDescent="0.3"/>
    <row r="496" ht="22.2" customHeight="1" x14ac:dyDescent="0.3"/>
    <row r="497" ht="22.2" customHeight="1" x14ac:dyDescent="0.3"/>
    <row r="498" ht="22.2" customHeight="1" x14ac:dyDescent="0.3"/>
    <row r="499" ht="22.2" customHeight="1" x14ac:dyDescent="0.3"/>
    <row r="500" ht="22.2" customHeight="1" x14ac:dyDescent="0.3"/>
    <row r="501" ht="22.2" customHeight="1" x14ac:dyDescent="0.3"/>
    <row r="502" ht="22.2" customHeight="1" x14ac:dyDescent="0.3"/>
    <row r="503" ht="22.2" customHeight="1" x14ac:dyDescent="0.3"/>
    <row r="504" ht="22.2" customHeight="1" x14ac:dyDescent="0.3"/>
    <row r="505" ht="22.2" customHeight="1" x14ac:dyDescent="0.3"/>
    <row r="506" ht="22.2" customHeight="1" x14ac:dyDescent="0.3"/>
    <row r="507" ht="22.2" customHeight="1" x14ac:dyDescent="0.3"/>
    <row r="508" ht="22.2" customHeight="1" x14ac:dyDescent="0.3"/>
    <row r="509" ht="22.2" customHeight="1" x14ac:dyDescent="0.3"/>
    <row r="510" ht="22.2" customHeight="1" x14ac:dyDescent="0.3"/>
    <row r="511" ht="22.2" customHeight="1" x14ac:dyDescent="0.3"/>
    <row r="512" ht="22.2" customHeight="1" x14ac:dyDescent="0.3"/>
    <row r="513" ht="22.2" customHeight="1" x14ac:dyDescent="0.3"/>
    <row r="514" ht="22.2" customHeight="1" x14ac:dyDescent="0.3"/>
    <row r="515" ht="22.2" customHeight="1" x14ac:dyDescent="0.3"/>
    <row r="516" ht="22.2" customHeight="1" x14ac:dyDescent="0.3"/>
    <row r="517" ht="22.2" customHeight="1" x14ac:dyDescent="0.3"/>
    <row r="518" ht="22.2" customHeight="1" x14ac:dyDescent="0.3"/>
    <row r="519" ht="22.2" customHeight="1" x14ac:dyDescent="0.3"/>
    <row r="520" ht="22.2" customHeight="1" x14ac:dyDescent="0.3"/>
    <row r="521" ht="22.2" customHeight="1" x14ac:dyDescent="0.3"/>
    <row r="522" ht="22.2" customHeight="1" x14ac:dyDescent="0.3"/>
    <row r="523" ht="22.2" customHeight="1" x14ac:dyDescent="0.3"/>
    <row r="524" ht="22.2" customHeight="1" x14ac:dyDescent="0.3"/>
    <row r="525" ht="22.2" customHeight="1" x14ac:dyDescent="0.3"/>
    <row r="526" ht="22.2" customHeight="1" x14ac:dyDescent="0.3"/>
    <row r="527" ht="22.2" customHeight="1" x14ac:dyDescent="0.3"/>
    <row r="528" ht="22.2" customHeight="1" x14ac:dyDescent="0.3"/>
    <row r="529" ht="22.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mHeight="1" x14ac:dyDescent="0.3"/>
    <row r="534" ht="22.2" customHeight="1" x14ac:dyDescent="0.3"/>
    <row r="535" ht="22.2" customHeight="1" x14ac:dyDescent="0.3"/>
    <row r="536" ht="22.2" customHeight="1" x14ac:dyDescent="0.3"/>
    <row r="537" ht="22.2" customHeight="1" x14ac:dyDescent="0.3"/>
    <row r="538" ht="22.2" customHeight="1" x14ac:dyDescent="0.3"/>
    <row r="539" ht="22.2" customHeight="1" x14ac:dyDescent="0.3"/>
    <row r="540" ht="22.2" customHeight="1" x14ac:dyDescent="0.3"/>
    <row r="541" ht="22.2" customHeight="1" x14ac:dyDescent="0.3"/>
    <row r="542" ht="22.2" customHeight="1" x14ac:dyDescent="0.3"/>
    <row r="543" ht="22.2" customHeight="1" x14ac:dyDescent="0.3"/>
    <row r="544" ht="22.2" customHeight="1" x14ac:dyDescent="0.3"/>
    <row r="545" ht="22.2" customHeight="1" x14ac:dyDescent="0.3"/>
    <row r="546" ht="22.2" customHeight="1" x14ac:dyDescent="0.3"/>
    <row r="547" ht="22.2" customHeight="1" x14ac:dyDescent="0.3"/>
    <row r="548" ht="22.2" customHeight="1" x14ac:dyDescent="0.3"/>
    <row r="549" ht="22.2" customHeight="1" x14ac:dyDescent="0.3"/>
    <row r="550" ht="22.2" customHeight="1" x14ac:dyDescent="0.3"/>
    <row r="551" ht="22.2" customHeight="1" x14ac:dyDescent="0.3"/>
    <row r="552" ht="22.2" customHeight="1" x14ac:dyDescent="0.3"/>
    <row r="553" ht="22.2" customHeight="1" x14ac:dyDescent="0.3"/>
    <row r="554" ht="22.2" customHeight="1" x14ac:dyDescent="0.3"/>
    <row r="555" ht="22.2" customHeight="1" x14ac:dyDescent="0.3"/>
    <row r="556" ht="22.2" customHeight="1" x14ac:dyDescent="0.3"/>
    <row r="557" ht="22.2" customHeight="1" x14ac:dyDescent="0.3"/>
    <row r="558" ht="22.2" customHeight="1" x14ac:dyDescent="0.3"/>
    <row r="559" ht="22.2" customHeight="1" x14ac:dyDescent="0.3"/>
    <row r="560" ht="22.2" customHeight="1" x14ac:dyDescent="0.3"/>
    <row r="561" ht="22.2" customHeight="1" x14ac:dyDescent="0.3"/>
    <row r="562" ht="22.2" customHeight="1" x14ac:dyDescent="0.3"/>
    <row r="563" ht="22.2" customHeight="1" x14ac:dyDescent="0.3"/>
    <row r="564" ht="22.2" customHeight="1" x14ac:dyDescent="0.3"/>
    <row r="565" ht="22.2" customHeight="1" x14ac:dyDescent="0.3"/>
    <row r="566" ht="22.2" customHeight="1" x14ac:dyDescent="0.3"/>
    <row r="567" ht="22.2" customHeight="1" x14ac:dyDescent="0.3"/>
    <row r="568" ht="22.2" customHeight="1" x14ac:dyDescent="0.3"/>
    <row r="569" ht="22.2" customHeight="1" x14ac:dyDescent="0.3"/>
    <row r="570" ht="22.2" customHeight="1" x14ac:dyDescent="0.3"/>
    <row r="571" ht="22.2" customHeight="1" x14ac:dyDescent="0.3"/>
    <row r="572" ht="22.2" customHeight="1" x14ac:dyDescent="0.3"/>
    <row r="573" ht="22.2" customHeight="1" x14ac:dyDescent="0.3"/>
    <row r="574" ht="22.2" customHeight="1" x14ac:dyDescent="0.3"/>
    <row r="575" ht="22.2" customHeight="1" x14ac:dyDescent="0.3"/>
    <row r="576" ht="22.2" customHeight="1" x14ac:dyDescent="0.3"/>
    <row r="577" ht="22.2" customHeight="1" x14ac:dyDescent="0.3"/>
    <row r="578" ht="22.2" customHeight="1" x14ac:dyDescent="0.3"/>
    <row r="579" ht="22.2" customHeight="1" x14ac:dyDescent="0.3"/>
    <row r="580" ht="22.2" customHeight="1" x14ac:dyDescent="0.3"/>
    <row r="581" ht="22.2" customHeight="1" x14ac:dyDescent="0.3"/>
    <row r="582" ht="22.2" customHeight="1" x14ac:dyDescent="0.3"/>
    <row r="583" ht="22.2" customHeight="1" x14ac:dyDescent="0.3"/>
    <row r="584" ht="22.2" customHeight="1" x14ac:dyDescent="0.3"/>
    <row r="585" ht="22.2" customHeight="1" x14ac:dyDescent="0.3"/>
    <row r="586" ht="22.2" customHeight="1" x14ac:dyDescent="0.3"/>
    <row r="587" ht="22.2" customHeight="1" x14ac:dyDescent="0.3"/>
    <row r="588" ht="22.2" customHeight="1" x14ac:dyDescent="0.3"/>
    <row r="589" ht="22.2" customHeight="1" x14ac:dyDescent="0.3"/>
    <row r="590" ht="22.2" customHeight="1" x14ac:dyDescent="0.3"/>
    <row r="591" ht="22.2" customHeight="1" x14ac:dyDescent="0.3"/>
    <row r="592" ht="22.2" customHeight="1" x14ac:dyDescent="0.3"/>
    <row r="593" ht="22.2" customHeight="1" x14ac:dyDescent="0.3"/>
    <row r="594" ht="22.2" customHeight="1" x14ac:dyDescent="0.3"/>
    <row r="595" ht="22.2" customHeight="1" x14ac:dyDescent="0.3"/>
    <row r="596" ht="22.2" customHeight="1" x14ac:dyDescent="0.3"/>
    <row r="597" ht="22.2" customHeight="1" x14ac:dyDescent="0.3"/>
    <row r="598" ht="22.2" customHeight="1" x14ac:dyDescent="0.3"/>
    <row r="599" ht="22.2" customHeight="1" x14ac:dyDescent="0.3"/>
    <row r="600" ht="22.2" customHeight="1" x14ac:dyDescent="0.3"/>
    <row r="601" ht="22.2" customHeight="1" x14ac:dyDescent="0.3"/>
    <row r="602" ht="22.2" customHeight="1" x14ac:dyDescent="0.3"/>
    <row r="603" ht="22.2" customHeight="1" x14ac:dyDescent="0.3"/>
    <row r="604" ht="22.2" customHeight="1" x14ac:dyDescent="0.3"/>
    <row r="605" ht="22.2" customHeight="1" x14ac:dyDescent="0.3"/>
    <row r="606" ht="22.2" customHeight="1" x14ac:dyDescent="0.3"/>
    <row r="607" ht="22.2" customHeight="1" x14ac:dyDescent="0.3"/>
    <row r="608" ht="22.2" customHeight="1" x14ac:dyDescent="0.3"/>
    <row r="609" ht="22.2" customHeight="1" x14ac:dyDescent="0.3"/>
    <row r="610" ht="22.2" customHeight="1" x14ac:dyDescent="0.3"/>
    <row r="611" ht="22.2" customHeight="1" x14ac:dyDescent="0.3"/>
    <row r="612" ht="22.2" customHeight="1" x14ac:dyDescent="0.3"/>
    <row r="613" ht="22.2" customHeight="1" x14ac:dyDescent="0.3"/>
    <row r="614" ht="22.2" customHeight="1" x14ac:dyDescent="0.3"/>
    <row r="615" ht="22.2" customHeight="1" x14ac:dyDescent="0.3"/>
    <row r="616" ht="22.2" customHeight="1" x14ac:dyDescent="0.3"/>
    <row r="617" ht="22.2" customHeight="1" x14ac:dyDescent="0.3"/>
    <row r="618" ht="22.2" customHeight="1" x14ac:dyDescent="0.3"/>
    <row r="619" ht="22.2" customHeight="1" x14ac:dyDescent="0.3"/>
    <row r="620" ht="22.2" customHeight="1" x14ac:dyDescent="0.3"/>
    <row r="621" ht="22.2" customHeight="1" x14ac:dyDescent="0.3"/>
    <row r="622" ht="22.2" customHeight="1" x14ac:dyDescent="0.3"/>
    <row r="623" ht="22.2" customHeight="1" x14ac:dyDescent="0.3"/>
    <row r="624" ht="22.2" customHeight="1" x14ac:dyDescent="0.3"/>
    <row r="625" ht="22.2" customHeight="1" x14ac:dyDescent="0.3"/>
    <row r="626" ht="22.2" customHeight="1" x14ac:dyDescent="0.3"/>
    <row r="627" ht="22.2" customHeight="1" x14ac:dyDescent="0.3"/>
    <row r="628" ht="22.2" customHeight="1" x14ac:dyDescent="0.3"/>
    <row r="629" ht="22.2" customHeight="1" x14ac:dyDescent="0.3"/>
    <row r="630" ht="22.2" customHeight="1" x14ac:dyDescent="0.3"/>
    <row r="631" ht="22.2" customHeight="1" x14ac:dyDescent="0.3"/>
    <row r="632" ht="22.2" customHeight="1" x14ac:dyDescent="0.3"/>
    <row r="633" ht="22.2" customHeight="1" x14ac:dyDescent="0.3"/>
    <row r="634" ht="22.2" customHeight="1" x14ac:dyDescent="0.3"/>
    <row r="635" ht="22.2" customHeight="1" x14ac:dyDescent="0.3"/>
    <row r="636" ht="22.2" customHeight="1" x14ac:dyDescent="0.3"/>
    <row r="637" ht="22.2" customHeight="1" x14ac:dyDescent="0.3"/>
    <row r="638" ht="22.2" customHeight="1" x14ac:dyDescent="0.3"/>
    <row r="639" ht="22.2" customHeight="1" x14ac:dyDescent="0.3"/>
    <row r="640" ht="22.2" customHeight="1" x14ac:dyDescent="0.3"/>
    <row r="641" ht="22.2" customHeight="1" x14ac:dyDescent="0.3"/>
    <row r="642" ht="22.2" customHeight="1" x14ac:dyDescent="0.3"/>
    <row r="643" ht="22.2" customHeight="1" x14ac:dyDescent="0.3"/>
    <row r="644" ht="22.2" customHeight="1" x14ac:dyDescent="0.3"/>
    <row r="645" ht="22.2" customHeight="1" x14ac:dyDescent="0.3"/>
    <row r="646" ht="22.2" customHeight="1" x14ac:dyDescent="0.3"/>
    <row r="647" ht="22.2" customHeight="1" x14ac:dyDescent="0.3"/>
    <row r="648" ht="22.2" customHeight="1" x14ac:dyDescent="0.3"/>
    <row r="649" ht="22.2" customHeight="1" x14ac:dyDescent="0.3"/>
    <row r="650" ht="22.2" customHeight="1" x14ac:dyDescent="0.3"/>
    <row r="651" ht="22.2" customHeight="1" x14ac:dyDescent="0.3"/>
    <row r="652" ht="22.2" customHeight="1" x14ac:dyDescent="0.3"/>
    <row r="653" ht="22.2" customHeight="1" x14ac:dyDescent="0.3"/>
    <row r="654" ht="22.2" customHeight="1" x14ac:dyDescent="0.3"/>
    <row r="655" ht="22.2" customHeight="1" x14ac:dyDescent="0.3"/>
    <row r="656" ht="22.2" customHeight="1" x14ac:dyDescent="0.3"/>
    <row r="657" ht="22.2" customHeight="1" x14ac:dyDescent="0.3"/>
    <row r="658" ht="22.2" customHeight="1" x14ac:dyDescent="0.3"/>
    <row r="659" ht="22.2" customHeight="1" x14ac:dyDescent="0.3"/>
    <row r="660" ht="22.2" customHeight="1" x14ac:dyDescent="0.3"/>
    <row r="661" ht="22.2" customHeight="1" x14ac:dyDescent="0.3"/>
    <row r="662" ht="22.2" customHeight="1" x14ac:dyDescent="0.3"/>
    <row r="663" ht="22.2" customHeight="1" x14ac:dyDescent="0.3"/>
    <row r="664" ht="22.2" customHeight="1" x14ac:dyDescent="0.3"/>
    <row r="665" ht="22.2" customHeight="1" x14ac:dyDescent="0.3"/>
    <row r="666" ht="22.2" customHeight="1" x14ac:dyDescent="0.3"/>
    <row r="667" ht="22.2" customHeight="1" x14ac:dyDescent="0.3"/>
    <row r="668" ht="22.2" customHeight="1" x14ac:dyDescent="0.3"/>
    <row r="669" ht="22.2" customHeight="1" x14ac:dyDescent="0.3"/>
    <row r="670" ht="22.2" customHeight="1" x14ac:dyDescent="0.3"/>
    <row r="671" ht="22.2" customHeight="1" x14ac:dyDescent="0.3"/>
    <row r="672" ht="22.2" customHeight="1" x14ac:dyDescent="0.3"/>
    <row r="673" ht="22.2" customHeight="1" x14ac:dyDescent="0.3"/>
    <row r="674" ht="22.2" customHeight="1" x14ac:dyDescent="0.3"/>
    <row r="675" ht="22.2" customHeight="1" x14ac:dyDescent="0.3"/>
    <row r="676" ht="22.2" customHeight="1" x14ac:dyDescent="0.3"/>
    <row r="677" ht="22.2" customHeight="1" x14ac:dyDescent="0.3"/>
    <row r="678" ht="22.2" customHeight="1" x14ac:dyDescent="0.3"/>
    <row r="679" ht="22.2" customHeight="1" x14ac:dyDescent="0.3"/>
    <row r="680" ht="22.2" customHeight="1" x14ac:dyDescent="0.3"/>
    <row r="681" ht="22.2" customHeight="1" x14ac:dyDescent="0.3"/>
    <row r="682" ht="22.2" customHeight="1" x14ac:dyDescent="0.3"/>
    <row r="683" ht="22.2" customHeight="1" x14ac:dyDescent="0.3"/>
    <row r="684" ht="22.2" customHeight="1" x14ac:dyDescent="0.3"/>
    <row r="685" ht="22.2" customHeight="1" x14ac:dyDescent="0.3"/>
    <row r="686" ht="22.2" customHeight="1" x14ac:dyDescent="0.3"/>
    <row r="687" ht="22.2" customHeight="1" x14ac:dyDescent="0.3"/>
    <row r="688" ht="22.2" customHeight="1" x14ac:dyDescent="0.3"/>
    <row r="689" ht="22.2" customHeight="1" x14ac:dyDescent="0.3"/>
    <row r="690" ht="22.2" customHeight="1" x14ac:dyDescent="0.3"/>
    <row r="691" ht="22.2" customHeight="1" x14ac:dyDescent="0.3"/>
    <row r="692" ht="22.2" customHeight="1" x14ac:dyDescent="0.3"/>
    <row r="693" ht="22.2" customHeight="1" x14ac:dyDescent="0.3"/>
    <row r="694" ht="22.2" customHeight="1" x14ac:dyDescent="0.3"/>
    <row r="695" ht="22.2" customHeight="1" x14ac:dyDescent="0.3"/>
    <row r="696" ht="22.2" customHeight="1" x14ac:dyDescent="0.3"/>
    <row r="697" ht="22.2" customHeight="1" x14ac:dyDescent="0.3"/>
    <row r="698" ht="22.2" customHeight="1" x14ac:dyDescent="0.3"/>
    <row r="699" ht="22.2" customHeight="1" x14ac:dyDescent="0.3"/>
    <row r="700" ht="22.2" customHeight="1" x14ac:dyDescent="0.3"/>
    <row r="701" ht="22.2" customHeight="1" x14ac:dyDescent="0.3"/>
    <row r="702" ht="22.2" customHeight="1" x14ac:dyDescent="0.3"/>
    <row r="703" ht="22.2" customHeight="1" x14ac:dyDescent="0.3"/>
    <row r="704" ht="22.2" customHeight="1" x14ac:dyDescent="0.3"/>
    <row r="705" ht="22.2" customHeight="1" x14ac:dyDescent="0.3"/>
    <row r="706" ht="22.2" customHeight="1" x14ac:dyDescent="0.3"/>
    <row r="707" ht="22.2" customHeight="1" x14ac:dyDescent="0.3"/>
    <row r="708" ht="22.2" customHeight="1" x14ac:dyDescent="0.3"/>
    <row r="709" ht="22.2" customHeight="1" x14ac:dyDescent="0.3"/>
    <row r="710" ht="22.2" customHeight="1" x14ac:dyDescent="0.3"/>
    <row r="711" ht="22.2" customHeight="1" x14ac:dyDescent="0.3"/>
    <row r="712" ht="22.2" customHeight="1" x14ac:dyDescent="0.3"/>
    <row r="713" ht="22.2" customHeight="1" x14ac:dyDescent="0.3"/>
    <row r="714" ht="22.2" customHeight="1" x14ac:dyDescent="0.3"/>
    <row r="715" ht="22.2" customHeight="1" x14ac:dyDescent="0.3"/>
    <row r="716" ht="22.2" customHeight="1" x14ac:dyDescent="0.3"/>
    <row r="717" ht="22.2" customHeight="1" x14ac:dyDescent="0.3"/>
    <row r="718" ht="22.2" customHeight="1" x14ac:dyDescent="0.3"/>
    <row r="719" ht="22.2" customHeight="1" x14ac:dyDescent="0.3"/>
    <row r="720" ht="22.2" customHeight="1" x14ac:dyDescent="0.3"/>
    <row r="721" ht="22.2" customHeight="1" x14ac:dyDescent="0.3"/>
    <row r="722" ht="22.2" customHeight="1" x14ac:dyDescent="0.3"/>
    <row r="723" ht="22.2" customHeight="1" x14ac:dyDescent="0.3"/>
    <row r="724" ht="22.2" customHeight="1" x14ac:dyDescent="0.3"/>
    <row r="725" ht="22.2" customHeight="1" x14ac:dyDescent="0.3"/>
    <row r="726" ht="22.2" customHeight="1" x14ac:dyDescent="0.3"/>
    <row r="727" ht="22.2" customHeight="1" x14ac:dyDescent="0.3"/>
    <row r="728" ht="22.2" customHeight="1" x14ac:dyDescent="0.3"/>
    <row r="729" ht="22.2" customHeight="1" x14ac:dyDescent="0.3"/>
    <row r="730" ht="22.2" customHeight="1" x14ac:dyDescent="0.3"/>
    <row r="731" ht="22.2" customHeight="1" x14ac:dyDescent="0.3"/>
    <row r="732" ht="22.2" customHeight="1" x14ac:dyDescent="0.3"/>
    <row r="733" ht="22.2" customHeight="1" x14ac:dyDescent="0.3"/>
    <row r="734" ht="22.2" customHeight="1" x14ac:dyDescent="0.3"/>
    <row r="735" ht="22.2" customHeight="1" x14ac:dyDescent="0.3"/>
    <row r="736" ht="22.2" customHeight="1" x14ac:dyDescent="0.3"/>
    <row r="737" ht="22.2" customHeight="1" x14ac:dyDescent="0.3"/>
    <row r="738" ht="22.2" customHeight="1" x14ac:dyDescent="0.3"/>
    <row r="739" ht="22.2" customHeight="1" x14ac:dyDescent="0.3"/>
    <row r="740" ht="22.2" customHeight="1" x14ac:dyDescent="0.3"/>
    <row r="741" ht="22.2" customHeight="1" x14ac:dyDescent="0.3"/>
    <row r="742" ht="22.2" customHeight="1" x14ac:dyDescent="0.3"/>
    <row r="743" ht="22.2" customHeight="1" x14ac:dyDescent="0.3"/>
    <row r="744" ht="22.2" customHeight="1" x14ac:dyDescent="0.3"/>
    <row r="745" ht="22.2" customHeight="1" x14ac:dyDescent="0.3"/>
    <row r="746" ht="22.2" customHeight="1" x14ac:dyDescent="0.3"/>
    <row r="747" ht="22.2" customHeight="1" x14ac:dyDescent="0.3"/>
    <row r="748" ht="22.2" customHeight="1" x14ac:dyDescent="0.3"/>
    <row r="749" ht="22.2" customHeight="1" x14ac:dyDescent="0.3"/>
    <row r="750" ht="22.2" customHeight="1" x14ac:dyDescent="0.3"/>
    <row r="751" ht="22.2" customHeight="1" x14ac:dyDescent="0.3"/>
    <row r="752" ht="22.2" customHeight="1" x14ac:dyDescent="0.3"/>
    <row r="753" ht="22.2" customHeight="1" x14ac:dyDescent="0.3"/>
    <row r="754" ht="22.2" customHeight="1" x14ac:dyDescent="0.3"/>
    <row r="755" ht="22.2" customHeight="1" x14ac:dyDescent="0.3"/>
    <row r="756" ht="22.2" customHeight="1" x14ac:dyDescent="0.3"/>
    <row r="757" ht="22.2" customHeight="1" x14ac:dyDescent="0.3"/>
    <row r="758" ht="22.2" customHeight="1" x14ac:dyDescent="0.3"/>
    <row r="759" ht="22.2" customHeight="1" x14ac:dyDescent="0.3"/>
    <row r="760" ht="22.2" customHeight="1" x14ac:dyDescent="0.3"/>
    <row r="761" ht="22.2" customHeight="1" x14ac:dyDescent="0.3"/>
    <row r="762" ht="22.2" customHeight="1" x14ac:dyDescent="0.3"/>
    <row r="763" ht="22.2" customHeight="1" x14ac:dyDescent="0.3"/>
    <row r="764" ht="22.2" customHeight="1" x14ac:dyDescent="0.3"/>
    <row r="765" ht="22.2" customHeight="1" x14ac:dyDescent="0.3"/>
    <row r="766" ht="22.2" customHeight="1" x14ac:dyDescent="0.3"/>
    <row r="767" ht="22.2" customHeight="1" x14ac:dyDescent="0.3"/>
    <row r="768" ht="22.2" customHeight="1" x14ac:dyDescent="0.3"/>
    <row r="769" ht="22.2" customHeight="1" x14ac:dyDescent="0.3"/>
    <row r="770" ht="22.2" customHeight="1" x14ac:dyDescent="0.3"/>
    <row r="771" ht="22.2" customHeight="1" x14ac:dyDescent="0.3"/>
    <row r="772" ht="22.2" customHeight="1" x14ac:dyDescent="0.3"/>
    <row r="773" ht="22.2" customHeight="1" x14ac:dyDescent="0.3"/>
    <row r="774" ht="22.2" customHeight="1" x14ac:dyDescent="0.3"/>
    <row r="775" ht="22.2" customHeight="1" x14ac:dyDescent="0.3"/>
    <row r="776" ht="22.2" customHeight="1" x14ac:dyDescent="0.3"/>
    <row r="777" ht="22.2" customHeight="1" x14ac:dyDescent="0.3"/>
    <row r="778" ht="22.2" customHeight="1" x14ac:dyDescent="0.3"/>
    <row r="779" ht="22.2" customHeight="1" x14ac:dyDescent="0.3"/>
    <row r="780" ht="22.2" customHeight="1" x14ac:dyDescent="0.3"/>
    <row r="781" ht="22.2" customHeight="1" x14ac:dyDescent="0.3"/>
    <row r="782" ht="22.2" customHeight="1" x14ac:dyDescent="0.3"/>
    <row r="783" ht="22.2" customHeight="1" x14ac:dyDescent="0.3"/>
    <row r="784" ht="22.2" customHeight="1" x14ac:dyDescent="0.3"/>
    <row r="785" ht="22.2" customHeight="1" x14ac:dyDescent="0.3"/>
    <row r="786" ht="22.2" customHeight="1" x14ac:dyDescent="0.3"/>
    <row r="787" ht="22.2" customHeight="1" x14ac:dyDescent="0.3"/>
    <row r="788" ht="22.2" customHeight="1" x14ac:dyDescent="0.3"/>
    <row r="789" ht="22.2" customHeight="1" x14ac:dyDescent="0.3"/>
    <row r="790" ht="22.2" customHeight="1" x14ac:dyDescent="0.3"/>
    <row r="791" ht="22.2" customHeight="1" x14ac:dyDescent="0.3"/>
    <row r="792" ht="22.2" customHeight="1" x14ac:dyDescent="0.3"/>
    <row r="793" ht="22.2" customHeight="1" x14ac:dyDescent="0.3"/>
    <row r="794" ht="22.2" customHeight="1" x14ac:dyDescent="0.3"/>
    <row r="795" ht="22.2" customHeight="1" x14ac:dyDescent="0.3"/>
    <row r="796" ht="22.2" customHeight="1" x14ac:dyDescent="0.3"/>
    <row r="797" ht="22.2" customHeight="1" x14ac:dyDescent="0.3"/>
    <row r="798" ht="22.2" customHeight="1" x14ac:dyDescent="0.3"/>
    <row r="799" ht="22.2" customHeight="1" x14ac:dyDescent="0.3"/>
    <row r="800" ht="22.2" customHeight="1" x14ac:dyDescent="0.3"/>
    <row r="801" ht="22.2" customHeight="1" x14ac:dyDescent="0.3"/>
    <row r="802" ht="22.2" customHeight="1" x14ac:dyDescent="0.3"/>
    <row r="803" ht="22.2" customHeight="1" x14ac:dyDescent="0.3"/>
    <row r="804" ht="22.2" customHeight="1" x14ac:dyDescent="0.3"/>
    <row r="805" ht="22.2" customHeight="1" x14ac:dyDescent="0.3"/>
    <row r="806" ht="22.2" customHeight="1" x14ac:dyDescent="0.3"/>
    <row r="807" ht="22.2" customHeight="1" x14ac:dyDescent="0.3"/>
    <row r="808" ht="22.2" customHeight="1" x14ac:dyDescent="0.3"/>
    <row r="809" ht="22.2" customHeight="1" x14ac:dyDescent="0.3"/>
    <row r="810" ht="22.2" customHeight="1" x14ac:dyDescent="0.3"/>
    <row r="811" ht="22.2" customHeight="1" x14ac:dyDescent="0.3"/>
    <row r="812" ht="22.2" customHeight="1" x14ac:dyDescent="0.3"/>
    <row r="813" ht="22.2" customHeight="1" x14ac:dyDescent="0.3"/>
    <row r="814" ht="22.2" customHeight="1" x14ac:dyDescent="0.3"/>
    <row r="815" ht="22.2" customHeight="1" x14ac:dyDescent="0.3"/>
    <row r="816" ht="22.2" customHeight="1" x14ac:dyDescent="0.3"/>
    <row r="817" ht="22.2" customHeight="1" x14ac:dyDescent="0.3"/>
    <row r="818" ht="22.2" customHeight="1" x14ac:dyDescent="0.3"/>
    <row r="819" ht="22.2" customHeight="1" x14ac:dyDescent="0.3"/>
    <row r="820" ht="22.2" customHeight="1" x14ac:dyDescent="0.3"/>
    <row r="821" ht="22.2" customHeight="1" x14ac:dyDescent="0.3"/>
    <row r="822" ht="22.2" customHeight="1" x14ac:dyDescent="0.3"/>
    <row r="823" ht="22.2" customHeight="1" x14ac:dyDescent="0.3"/>
    <row r="824" ht="22.2" customHeight="1" x14ac:dyDescent="0.3"/>
    <row r="825" ht="22.2" customHeight="1" x14ac:dyDescent="0.3"/>
    <row r="826" ht="22.2" customHeight="1" x14ac:dyDescent="0.3"/>
    <row r="827" ht="22.2" customHeight="1" x14ac:dyDescent="0.3"/>
    <row r="828" ht="22.2" customHeight="1" x14ac:dyDescent="0.3"/>
    <row r="829" ht="22.2" customHeight="1" x14ac:dyDescent="0.3"/>
    <row r="830" ht="22.2" customHeight="1" x14ac:dyDescent="0.3"/>
    <row r="831" ht="22.2" customHeight="1" x14ac:dyDescent="0.3"/>
    <row r="832" ht="22.2" customHeight="1" x14ac:dyDescent="0.3"/>
    <row r="833" ht="22.2" customHeight="1" x14ac:dyDescent="0.3"/>
    <row r="834" ht="22.2" customHeight="1" x14ac:dyDescent="0.3"/>
    <row r="835" ht="22.2" customHeight="1" x14ac:dyDescent="0.3"/>
    <row r="836" ht="22.2" customHeight="1" x14ac:dyDescent="0.3"/>
    <row r="837" ht="22.2" customHeight="1" x14ac:dyDescent="0.3"/>
    <row r="838" ht="22.2" customHeight="1" x14ac:dyDescent="0.3"/>
    <row r="839" ht="22.2" customHeight="1" x14ac:dyDescent="0.3"/>
    <row r="840" ht="22.2" customHeight="1" x14ac:dyDescent="0.3"/>
    <row r="841" ht="22.2" customHeight="1" x14ac:dyDescent="0.3"/>
    <row r="842" ht="22.2" customHeight="1" x14ac:dyDescent="0.3"/>
    <row r="843" ht="22.2" customHeight="1" x14ac:dyDescent="0.3"/>
    <row r="844" ht="22.2" customHeight="1" x14ac:dyDescent="0.3"/>
    <row r="845" ht="22.2" customHeight="1" x14ac:dyDescent="0.3"/>
    <row r="846" ht="22.2" customHeight="1" x14ac:dyDescent="0.3"/>
    <row r="847" ht="22.2" customHeight="1" x14ac:dyDescent="0.3"/>
    <row r="848" ht="22.2" customHeight="1" x14ac:dyDescent="0.3"/>
    <row r="849" ht="22.2" customHeight="1" x14ac:dyDescent="0.3"/>
    <row r="850" ht="22.2" customHeight="1" x14ac:dyDescent="0.3"/>
    <row r="851" ht="22.2" customHeight="1" x14ac:dyDescent="0.3"/>
    <row r="852" ht="22.2" customHeight="1" x14ac:dyDescent="0.3"/>
    <row r="853" ht="22.2" customHeight="1" x14ac:dyDescent="0.3"/>
    <row r="854" ht="22.2" customHeight="1" x14ac:dyDescent="0.3"/>
    <row r="855" ht="22.2" customHeight="1" x14ac:dyDescent="0.3"/>
    <row r="856" ht="22.2" customHeight="1" x14ac:dyDescent="0.3"/>
    <row r="857" ht="22.2" customHeight="1" x14ac:dyDescent="0.3"/>
    <row r="858" ht="22.2" customHeight="1" x14ac:dyDescent="0.3"/>
    <row r="859" ht="22.2" customHeight="1" x14ac:dyDescent="0.3"/>
    <row r="860" ht="22.2" customHeight="1" x14ac:dyDescent="0.3"/>
    <row r="861" ht="22.2" customHeight="1" x14ac:dyDescent="0.3"/>
    <row r="862" ht="22.2" customHeight="1" x14ac:dyDescent="0.3"/>
    <row r="863" ht="22.2" customHeight="1" x14ac:dyDescent="0.3"/>
    <row r="864" ht="22.2" customHeight="1" x14ac:dyDescent="0.3"/>
    <row r="865" ht="22.2" customHeight="1" x14ac:dyDescent="0.3"/>
    <row r="866" ht="22.2" customHeight="1" x14ac:dyDescent="0.3"/>
    <row r="867" ht="22.2" customHeight="1" x14ac:dyDescent="0.3"/>
    <row r="868" ht="22.2" customHeight="1" x14ac:dyDescent="0.3"/>
    <row r="869" ht="22.2" customHeight="1" x14ac:dyDescent="0.3"/>
    <row r="870" ht="22.2" customHeight="1" x14ac:dyDescent="0.3"/>
    <row r="871" ht="22.2" customHeight="1" x14ac:dyDescent="0.3"/>
    <row r="872" ht="22.2" customHeight="1" x14ac:dyDescent="0.3"/>
    <row r="873" ht="22.2" customHeight="1" x14ac:dyDescent="0.3"/>
    <row r="874" ht="22.2" customHeight="1" x14ac:dyDescent="0.3"/>
    <row r="875" ht="22.2" customHeight="1" x14ac:dyDescent="0.3"/>
    <row r="876" ht="22.2" customHeight="1" x14ac:dyDescent="0.3"/>
    <row r="877" ht="22.2" customHeight="1" x14ac:dyDescent="0.3"/>
    <row r="878" ht="22.2" customHeight="1" x14ac:dyDescent="0.3"/>
    <row r="879" ht="22.2" customHeight="1" x14ac:dyDescent="0.3"/>
    <row r="880" ht="22.2" customHeight="1" x14ac:dyDescent="0.3"/>
    <row r="881" ht="22.2" customHeight="1" x14ac:dyDescent="0.3"/>
    <row r="882" ht="22.2" customHeight="1" x14ac:dyDescent="0.3"/>
    <row r="883" ht="22.2" customHeight="1" x14ac:dyDescent="0.3"/>
    <row r="884" ht="22.2" customHeight="1" x14ac:dyDescent="0.3"/>
    <row r="885" ht="22.2" customHeight="1" x14ac:dyDescent="0.3"/>
    <row r="886" ht="22.2" customHeight="1" x14ac:dyDescent="0.3"/>
    <row r="887" ht="22.2" customHeight="1" x14ac:dyDescent="0.3"/>
    <row r="888" ht="22.2" customHeight="1" x14ac:dyDescent="0.3"/>
    <row r="889" ht="22.2" customHeight="1" x14ac:dyDescent="0.3"/>
    <row r="890" ht="22.2" customHeight="1" x14ac:dyDescent="0.3"/>
    <row r="891" ht="22.2" customHeight="1" x14ac:dyDescent="0.3"/>
    <row r="892" ht="22.2" customHeight="1" x14ac:dyDescent="0.3"/>
    <row r="893" ht="22.2" customHeight="1" x14ac:dyDescent="0.3"/>
    <row r="894" ht="22.2" customHeight="1" x14ac:dyDescent="0.3"/>
    <row r="895" ht="22.2" customHeight="1" x14ac:dyDescent="0.3"/>
    <row r="896" ht="22.2" customHeight="1" x14ac:dyDescent="0.3"/>
    <row r="897" ht="22.2" customHeight="1" x14ac:dyDescent="0.3"/>
    <row r="898" ht="22.2" customHeight="1" x14ac:dyDescent="0.3"/>
    <row r="899" ht="22.2" customHeight="1" x14ac:dyDescent="0.3"/>
    <row r="900" ht="22.2" customHeight="1" x14ac:dyDescent="0.3"/>
    <row r="901" ht="22.2" customHeight="1" x14ac:dyDescent="0.3"/>
    <row r="902" ht="22.2" customHeight="1" x14ac:dyDescent="0.3"/>
    <row r="903" ht="22.2" customHeight="1" x14ac:dyDescent="0.3"/>
    <row r="904" ht="22.2" customHeight="1" x14ac:dyDescent="0.3"/>
    <row r="905" ht="22.2" customHeight="1" x14ac:dyDescent="0.3"/>
    <row r="906" ht="22.2" customHeight="1" x14ac:dyDescent="0.3"/>
    <row r="907" ht="22.2" customHeight="1" x14ac:dyDescent="0.3"/>
    <row r="908" ht="22.2" customHeight="1" x14ac:dyDescent="0.3"/>
    <row r="909" ht="22.2" customHeight="1" x14ac:dyDescent="0.3"/>
    <row r="910" ht="22.2" customHeight="1" x14ac:dyDescent="0.3"/>
    <row r="911" ht="22.2" customHeight="1" x14ac:dyDescent="0.3"/>
    <row r="912" ht="22.2" customHeight="1" x14ac:dyDescent="0.3"/>
    <row r="913" ht="22.2" customHeight="1" x14ac:dyDescent="0.3"/>
    <row r="914" ht="22.2" customHeight="1" x14ac:dyDescent="0.3"/>
    <row r="915" ht="22.2" customHeight="1" x14ac:dyDescent="0.3"/>
    <row r="916" ht="22.2" customHeight="1" x14ac:dyDescent="0.3"/>
    <row r="917" ht="22.2" customHeight="1" x14ac:dyDescent="0.3"/>
    <row r="918" ht="22.2" customHeight="1" x14ac:dyDescent="0.3"/>
    <row r="919" ht="22.2" customHeight="1" x14ac:dyDescent="0.3"/>
    <row r="920" ht="22.2" customHeight="1" x14ac:dyDescent="0.3"/>
    <row r="921" ht="22.2" customHeight="1" x14ac:dyDescent="0.3"/>
    <row r="922" ht="22.2" customHeight="1" x14ac:dyDescent="0.3"/>
    <row r="923" ht="22.2" customHeight="1" x14ac:dyDescent="0.3"/>
    <row r="924" ht="22.2" customHeight="1" x14ac:dyDescent="0.3"/>
    <row r="925" ht="22.2" customHeight="1" x14ac:dyDescent="0.3"/>
    <row r="926" ht="22.2" customHeight="1" x14ac:dyDescent="0.3"/>
    <row r="927" ht="22.2" customHeight="1" x14ac:dyDescent="0.3"/>
    <row r="928" ht="22.2" customHeight="1" x14ac:dyDescent="0.3"/>
    <row r="929" ht="22.2" customHeight="1" x14ac:dyDescent="0.3"/>
    <row r="930" ht="22.2" customHeight="1" x14ac:dyDescent="0.3"/>
    <row r="931" ht="22.2" customHeight="1" x14ac:dyDescent="0.3"/>
    <row r="932" ht="22.2" customHeight="1" x14ac:dyDescent="0.3"/>
    <row r="933" ht="22.2" customHeight="1" x14ac:dyDescent="0.3"/>
    <row r="934" ht="22.2" customHeight="1" x14ac:dyDescent="0.3"/>
    <row r="935" ht="22.2" customHeight="1" x14ac:dyDescent="0.3"/>
    <row r="936" ht="22.2" customHeight="1" x14ac:dyDescent="0.3"/>
    <row r="937" ht="22.2" customHeight="1" x14ac:dyDescent="0.3"/>
    <row r="938" ht="22.2" customHeight="1" x14ac:dyDescent="0.3"/>
    <row r="939" ht="22.2" customHeight="1" x14ac:dyDescent="0.3"/>
    <row r="940" ht="22.2" customHeight="1" x14ac:dyDescent="0.3"/>
    <row r="941" ht="22.2" customHeight="1" x14ac:dyDescent="0.3"/>
    <row r="942" ht="22.2" customHeight="1" x14ac:dyDescent="0.3"/>
    <row r="943" ht="22.2" customHeight="1" x14ac:dyDescent="0.3"/>
    <row r="944" ht="22.2" customHeight="1" x14ac:dyDescent="0.3"/>
    <row r="945" ht="22.2" customHeight="1" x14ac:dyDescent="0.3"/>
    <row r="946" ht="22.2" customHeight="1" x14ac:dyDescent="0.3"/>
    <row r="947" ht="22.2" customHeight="1" x14ac:dyDescent="0.3"/>
    <row r="948" ht="22.2" customHeight="1" x14ac:dyDescent="0.3"/>
    <row r="949" ht="22.2" customHeight="1" x14ac:dyDescent="0.3"/>
    <row r="950" ht="22.2" customHeight="1" x14ac:dyDescent="0.3"/>
    <row r="951" ht="22.2" customHeight="1" x14ac:dyDescent="0.3"/>
    <row r="952" ht="22.2" customHeight="1" x14ac:dyDescent="0.3"/>
    <row r="953" ht="22.2" customHeight="1" x14ac:dyDescent="0.3"/>
    <row r="954" ht="22.2" customHeight="1" x14ac:dyDescent="0.3"/>
    <row r="955" ht="22.2" customHeight="1" x14ac:dyDescent="0.3"/>
    <row r="956" ht="22.2" customHeight="1" x14ac:dyDescent="0.3"/>
    <row r="957" ht="22.2" customHeight="1" x14ac:dyDescent="0.3"/>
    <row r="958" ht="22.2" customHeight="1" x14ac:dyDescent="0.3"/>
    <row r="959" ht="22.2" customHeight="1" x14ac:dyDescent="0.3"/>
    <row r="960" ht="22.2" customHeight="1" x14ac:dyDescent="0.3"/>
    <row r="961" ht="22.2" customHeight="1" x14ac:dyDescent="0.3"/>
    <row r="962" ht="22.2" customHeight="1" x14ac:dyDescent="0.3"/>
    <row r="963" ht="22.2" customHeight="1" x14ac:dyDescent="0.3"/>
    <row r="964" ht="22.2" customHeight="1" x14ac:dyDescent="0.3"/>
    <row r="965" ht="22.2" customHeight="1" x14ac:dyDescent="0.3"/>
    <row r="966" ht="22.2" customHeight="1" x14ac:dyDescent="0.3"/>
    <row r="967" ht="22.2" customHeight="1" x14ac:dyDescent="0.3"/>
    <row r="968" ht="22.2" customHeight="1" x14ac:dyDescent="0.3"/>
    <row r="969" ht="22.2" customHeight="1" x14ac:dyDescent="0.3"/>
    <row r="970" ht="22.2" customHeight="1" x14ac:dyDescent="0.3"/>
    <row r="971" ht="22.2" customHeight="1" x14ac:dyDescent="0.3"/>
    <row r="972" ht="22.2" customHeight="1" x14ac:dyDescent="0.3"/>
    <row r="973" ht="22.2" customHeight="1" x14ac:dyDescent="0.3"/>
    <row r="974" ht="22.2" customHeight="1" x14ac:dyDescent="0.3"/>
    <row r="975" ht="22.2" customHeight="1" x14ac:dyDescent="0.3"/>
    <row r="976" ht="22.2" customHeight="1" x14ac:dyDescent="0.3"/>
    <row r="977" ht="22.2" customHeight="1" x14ac:dyDescent="0.3"/>
    <row r="978" ht="22.2" customHeight="1" x14ac:dyDescent="0.3"/>
    <row r="979" ht="22.2" customHeight="1" x14ac:dyDescent="0.3"/>
    <row r="980" ht="22.2" customHeight="1" x14ac:dyDescent="0.3"/>
    <row r="981" ht="22.2" customHeight="1" x14ac:dyDescent="0.3"/>
    <row r="982" ht="22.2" customHeight="1" x14ac:dyDescent="0.3"/>
    <row r="983" ht="22.2" customHeight="1" x14ac:dyDescent="0.3"/>
    <row r="984" ht="22.2" customHeight="1" x14ac:dyDescent="0.3"/>
    <row r="985" ht="22.2" customHeight="1" x14ac:dyDescent="0.3"/>
    <row r="986" ht="22.2" customHeight="1" x14ac:dyDescent="0.3"/>
    <row r="987" ht="22.2" customHeight="1" x14ac:dyDescent="0.3"/>
    <row r="988" ht="22.2" customHeight="1" x14ac:dyDescent="0.3"/>
    <row r="989" ht="22.2" customHeight="1" x14ac:dyDescent="0.3"/>
    <row r="990" ht="22.2" customHeight="1" x14ac:dyDescent="0.3"/>
    <row r="991" ht="22.2" customHeight="1" x14ac:dyDescent="0.3"/>
    <row r="992" ht="22.2" customHeight="1" x14ac:dyDescent="0.3"/>
    <row r="993" ht="22.2" customHeight="1" x14ac:dyDescent="0.3"/>
    <row r="994" ht="22.2" customHeight="1" x14ac:dyDescent="0.3"/>
    <row r="995" ht="22.2" customHeight="1" x14ac:dyDescent="0.3"/>
    <row r="996" ht="22.2" customHeight="1" x14ac:dyDescent="0.3"/>
    <row r="997" ht="22.2" customHeight="1" x14ac:dyDescent="0.3"/>
    <row r="998" ht="22.2" customHeight="1" x14ac:dyDescent="0.3"/>
    <row r="999" ht="22.2" customHeight="1" x14ac:dyDescent="0.3"/>
    <row r="1000" ht="22.2" customHeight="1" x14ac:dyDescent="0.3"/>
    <row r="1001" ht="22.2" customHeight="1" x14ac:dyDescent="0.3"/>
    <row r="1002" ht="22.2" customHeight="1" x14ac:dyDescent="0.3"/>
    <row r="1003" ht="22.2" customHeight="1" x14ac:dyDescent="0.3"/>
    <row r="1004" ht="22.2" customHeight="1" x14ac:dyDescent="0.3"/>
    <row r="1005" ht="22.2" customHeight="1" x14ac:dyDescent="0.3"/>
    <row r="1006" ht="22.2" customHeight="1" x14ac:dyDescent="0.3"/>
    <row r="1007" ht="22.2" customHeight="1" x14ac:dyDescent="0.3"/>
    <row r="1008" ht="22.2" customHeight="1" x14ac:dyDescent="0.3"/>
    <row r="1009" ht="22.2" customHeight="1" x14ac:dyDescent="0.3"/>
    <row r="1010" ht="22.2" customHeight="1" x14ac:dyDescent="0.3"/>
    <row r="1011" ht="22.2" customHeight="1" x14ac:dyDescent="0.3"/>
    <row r="1012" ht="22.2" customHeight="1" x14ac:dyDescent="0.3"/>
    <row r="1013" ht="22.2" customHeight="1" x14ac:dyDescent="0.3"/>
    <row r="1014" ht="22.2" customHeight="1" x14ac:dyDescent="0.3"/>
    <row r="1015" ht="22.2" customHeight="1" x14ac:dyDescent="0.3"/>
    <row r="1016" ht="22.2" customHeight="1" x14ac:dyDescent="0.3"/>
    <row r="1017" ht="22.2" customHeight="1" x14ac:dyDescent="0.3"/>
    <row r="1018" ht="22.2" customHeight="1" x14ac:dyDescent="0.3"/>
    <row r="1019" ht="22.2" customHeight="1" x14ac:dyDescent="0.3"/>
    <row r="1020" ht="22.2" customHeight="1" x14ac:dyDescent="0.3"/>
    <row r="1021" ht="22.2" customHeight="1" x14ac:dyDescent="0.3"/>
    <row r="1022" ht="22.2" customHeight="1" x14ac:dyDescent="0.3"/>
    <row r="1023" ht="22.2" customHeight="1" x14ac:dyDescent="0.3"/>
    <row r="1024" ht="22.2" customHeight="1" x14ac:dyDescent="0.3"/>
    <row r="1025" ht="22.2" customHeight="1" x14ac:dyDescent="0.3"/>
    <row r="1026" ht="22.2" customHeight="1" x14ac:dyDescent="0.3"/>
    <row r="1027" ht="22.2" customHeight="1" x14ac:dyDescent="0.3"/>
    <row r="1028" ht="22.2" customHeight="1" x14ac:dyDescent="0.3"/>
    <row r="1029" ht="22.2" customHeight="1" x14ac:dyDescent="0.3"/>
    <row r="1030" ht="22.2" customHeight="1" x14ac:dyDescent="0.3"/>
    <row r="1031" ht="22.2" customHeight="1" x14ac:dyDescent="0.3"/>
    <row r="1032" ht="22.2" customHeight="1" x14ac:dyDescent="0.3"/>
    <row r="1033" ht="22.2" customHeight="1" x14ac:dyDescent="0.3"/>
    <row r="1034" ht="22.2" customHeight="1" x14ac:dyDescent="0.3"/>
    <row r="1035" ht="22.2" customHeight="1" x14ac:dyDescent="0.3"/>
    <row r="1036" ht="22.2" customHeight="1" x14ac:dyDescent="0.3"/>
    <row r="1037" ht="22.2" customHeight="1" x14ac:dyDescent="0.3"/>
    <row r="1038" ht="22.2" customHeight="1" x14ac:dyDescent="0.3"/>
    <row r="1039" ht="22.2" customHeight="1" x14ac:dyDescent="0.3"/>
    <row r="1040" ht="22.2" customHeight="1" x14ac:dyDescent="0.3"/>
    <row r="1041" ht="22.2" customHeight="1" x14ac:dyDescent="0.3"/>
    <row r="1042" ht="22.2" customHeight="1" x14ac:dyDescent="0.3"/>
    <row r="1043" ht="22.2" customHeight="1" x14ac:dyDescent="0.3"/>
    <row r="1044" ht="22.2" customHeight="1" x14ac:dyDescent="0.3"/>
    <row r="1045" ht="22.2" customHeight="1" x14ac:dyDescent="0.3"/>
    <row r="1046" ht="22.2" customHeight="1" x14ac:dyDescent="0.3"/>
    <row r="1047" ht="22.2" customHeight="1" x14ac:dyDescent="0.3"/>
    <row r="1048" ht="22.2" customHeight="1" x14ac:dyDescent="0.3"/>
    <row r="1049" ht="22.2" customHeight="1" x14ac:dyDescent="0.3"/>
    <row r="1050" ht="22.2" customHeight="1" x14ac:dyDescent="0.3"/>
    <row r="1051" ht="22.2" customHeight="1" x14ac:dyDescent="0.3"/>
    <row r="1052" ht="22.2" customHeight="1" x14ac:dyDescent="0.3"/>
    <row r="1053" ht="22.2" customHeight="1" x14ac:dyDescent="0.3"/>
    <row r="1054" ht="22.2" customHeight="1" x14ac:dyDescent="0.3"/>
    <row r="1055" ht="22.2" customHeight="1" x14ac:dyDescent="0.3"/>
    <row r="1056" ht="22.2" customHeight="1" x14ac:dyDescent="0.3"/>
    <row r="1057" ht="22.2" customHeight="1" x14ac:dyDescent="0.3"/>
    <row r="1058" ht="22.2" customHeight="1" x14ac:dyDescent="0.3"/>
    <row r="1059" ht="22.2" customHeight="1" x14ac:dyDescent="0.3"/>
    <row r="1060" ht="22.2" customHeight="1" x14ac:dyDescent="0.3"/>
    <row r="1061" ht="22.2" customHeight="1" x14ac:dyDescent="0.3"/>
    <row r="1062" ht="22.2" customHeight="1" x14ac:dyDescent="0.3"/>
    <row r="1063" ht="22.2" customHeight="1" x14ac:dyDescent="0.3"/>
    <row r="1064" ht="22.2" customHeight="1" x14ac:dyDescent="0.3"/>
    <row r="1065" ht="22.2" customHeight="1" x14ac:dyDescent="0.3"/>
    <row r="1066" ht="22.2" customHeight="1" x14ac:dyDescent="0.3"/>
    <row r="1067" ht="22.2" customHeight="1" x14ac:dyDescent="0.3"/>
    <row r="1068" ht="22.2" customHeight="1" x14ac:dyDescent="0.3"/>
    <row r="1069" ht="22.2" customHeight="1" x14ac:dyDescent="0.3"/>
    <row r="1070" ht="22.2" customHeight="1" x14ac:dyDescent="0.3"/>
    <row r="1071" ht="22.2" customHeight="1" x14ac:dyDescent="0.3"/>
    <row r="1072" ht="22.2" customHeight="1" x14ac:dyDescent="0.3"/>
    <row r="1073" ht="22.2" customHeight="1" x14ac:dyDescent="0.3"/>
    <row r="1074" ht="22.2" customHeight="1" x14ac:dyDescent="0.3"/>
    <row r="1075" ht="22.2" customHeight="1" x14ac:dyDescent="0.3"/>
    <row r="1076" ht="22.2" customHeight="1" x14ac:dyDescent="0.3"/>
    <row r="1077" ht="22.2" customHeight="1" x14ac:dyDescent="0.3"/>
    <row r="1078" ht="22.2" customHeight="1" x14ac:dyDescent="0.3"/>
    <row r="1079" ht="22.2" customHeight="1" x14ac:dyDescent="0.3"/>
    <row r="1080" ht="22.2" customHeight="1" x14ac:dyDescent="0.3"/>
    <row r="1081" ht="22.2" customHeight="1" x14ac:dyDescent="0.3"/>
    <row r="1082" ht="22.2" customHeight="1" x14ac:dyDescent="0.3"/>
    <row r="1083" ht="22.2" customHeight="1" x14ac:dyDescent="0.3"/>
    <row r="1084" ht="22.2" customHeight="1" x14ac:dyDescent="0.3"/>
    <row r="1085" ht="22.2" customHeight="1" x14ac:dyDescent="0.3"/>
    <row r="1086" ht="22.2" customHeight="1" x14ac:dyDescent="0.3"/>
    <row r="1087" ht="22.2" customHeight="1" x14ac:dyDescent="0.3"/>
    <row r="1088" ht="22.2" customHeight="1" x14ac:dyDescent="0.3"/>
    <row r="1089" ht="22.2" customHeight="1" x14ac:dyDescent="0.3"/>
    <row r="1090" ht="22.2" customHeight="1" x14ac:dyDescent="0.3"/>
    <row r="1091" ht="22.2" customHeight="1" x14ac:dyDescent="0.3"/>
    <row r="1092" ht="22.2" customHeight="1" x14ac:dyDescent="0.3"/>
    <row r="1093" ht="22.2" customHeight="1" x14ac:dyDescent="0.3"/>
    <row r="1094" ht="22.2" customHeight="1" x14ac:dyDescent="0.3"/>
    <row r="1095" ht="22.2" customHeight="1" x14ac:dyDescent="0.3"/>
    <row r="1096" ht="22.2" customHeight="1" x14ac:dyDescent="0.3"/>
    <row r="1097" ht="22.2" customHeight="1" x14ac:dyDescent="0.3"/>
    <row r="1098" ht="22.2" customHeight="1" x14ac:dyDescent="0.3"/>
    <row r="1099" ht="22.2" customHeight="1" x14ac:dyDescent="0.3"/>
    <row r="1100" ht="22.2" customHeight="1" x14ac:dyDescent="0.3"/>
    <row r="1101" ht="22.2" customHeight="1" x14ac:dyDescent="0.3"/>
    <row r="1102" ht="22.2" customHeight="1" x14ac:dyDescent="0.3"/>
    <row r="1103" ht="22.2" customHeight="1" x14ac:dyDescent="0.3"/>
    <row r="1104" ht="22.2" customHeight="1" x14ac:dyDescent="0.3"/>
    <row r="1105" ht="22.2" customHeight="1" x14ac:dyDescent="0.3"/>
    <row r="1106" ht="22.2" customHeight="1" x14ac:dyDescent="0.3"/>
    <row r="1107" ht="22.2" customHeight="1" x14ac:dyDescent="0.3"/>
    <row r="1108" ht="22.2" customHeight="1" x14ac:dyDescent="0.3"/>
    <row r="1109" ht="22.2" customHeight="1" x14ac:dyDescent="0.3"/>
    <row r="1110" ht="22.2" customHeight="1" x14ac:dyDescent="0.3"/>
    <row r="1111" ht="22.2" customHeight="1" x14ac:dyDescent="0.3"/>
    <row r="1112" ht="22.2" customHeight="1" x14ac:dyDescent="0.3"/>
    <row r="1113" ht="22.2" customHeight="1" x14ac:dyDescent="0.3"/>
    <row r="1114" ht="22.2" customHeight="1" x14ac:dyDescent="0.3"/>
    <row r="1115" ht="22.2" customHeight="1" x14ac:dyDescent="0.3"/>
    <row r="1116" ht="22.2" customHeight="1" x14ac:dyDescent="0.3"/>
    <row r="1117" ht="22.2" customHeight="1" x14ac:dyDescent="0.3"/>
    <row r="1118" ht="22.2" customHeight="1" x14ac:dyDescent="0.3"/>
    <row r="1119" ht="22.2" customHeight="1" x14ac:dyDescent="0.3"/>
    <row r="1120" ht="22.2" customHeight="1" x14ac:dyDescent="0.3"/>
    <row r="1121" ht="22.2" customHeight="1" x14ac:dyDescent="0.3"/>
    <row r="1122" ht="22.2" customHeight="1" x14ac:dyDescent="0.3"/>
    <row r="1123" ht="22.2" customHeight="1" x14ac:dyDescent="0.3"/>
    <row r="1124" ht="22.2" customHeight="1" x14ac:dyDescent="0.3"/>
    <row r="1125" ht="22.2" customHeight="1" x14ac:dyDescent="0.3"/>
    <row r="1126" ht="22.2" customHeight="1" x14ac:dyDescent="0.3"/>
    <row r="1127" ht="22.2" customHeight="1" x14ac:dyDescent="0.3"/>
    <row r="1128" ht="22.2" customHeight="1" x14ac:dyDescent="0.3"/>
    <row r="1129" ht="22.2" customHeight="1" x14ac:dyDescent="0.3"/>
    <row r="1130" ht="22.2" customHeight="1" x14ac:dyDescent="0.3"/>
    <row r="1131" ht="22.2" customHeight="1" x14ac:dyDescent="0.3"/>
    <row r="1132" ht="22.2" customHeight="1" x14ac:dyDescent="0.3"/>
    <row r="1133" ht="22.2" customHeight="1" x14ac:dyDescent="0.3"/>
    <row r="1134" ht="22.2" customHeight="1" x14ac:dyDescent="0.3"/>
    <row r="1135" ht="22.2" customHeight="1" x14ac:dyDescent="0.3"/>
    <row r="1136" ht="22.2" customHeight="1" x14ac:dyDescent="0.3"/>
    <row r="1137" ht="22.2" customHeight="1" x14ac:dyDescent="0.3"/>
    <row r="1138" ht="22.2" customHeight="1" x14ac:dyDescent="0.3"/>
    <row r="1139" ht="22.2" customHeight="1" x14ac:dyDescent="0.3"/>
    <row r="1140" ht="22.2" customHeight="1" x14ac:dyDescent="0.3"/>
    <row r="1141" ht="22.2" customHeight="1" x14ac:dyDescent="0.3"/>
    <row r="1142" ht="22.2" customHeight="1" x14ac:dyDescent="0.3"/>
    <row r="1143" ht="22.2" customHeight="1" x14ac:dyDescent="0.3"/>
    <row r="1144" ht="22.2" customHeight="1" x14ac:dyDescent="0.3"/>
    <row r="1145" ht="22.2" customHeight="1" x14ac:dyDescent="0.3"/>
    <row r="1146" ht="22.2" customHeight="1" x14ac:dyDescent="0.3"/>
    <row r="1147" ht="22.2" customHeight="1" x14ac:dyDescent="0.3"/>
    <row r="1148" ht="22.2" customHeight="1" x14ac:dyDescent="0.3"/>
    <row r="1149" ht="22.2" customHeight="1" x14ac:dyDescent="0.3"/>
    <row r="1150" ht="22.2" customHeight="1" x14ac:dyDescent="0.3"/>
    <row r="1151" ht="22.2" customHeight="1" x14ac:dyDescent="0.3"/>
    <row r="1152" ht="22.2" customHeight="1" x14ac:dyDescent="0.3"/>
    <row r="1153" ht="22.2" customHeight="1" x14ac:dyDescent="0.3"/>
    <row r="1154" ht="22.2" customHeight="1" x14ac:dyDescent="0.3"/>
    <row r="1155" ht="22.2" customHeight="1" x14ac:dyDescent="0.3"/>
    <row r="1156" ht="22.2" customHeight="1" x14ac:dyDescent="0.3"/>
    <row r="1157" ht="22.2" customHeight="1" x14ac:dyDescent="0.3"/>
    <row r="1158" ht="22.2" customHeight="1" x14ac:dyDescent="0.3"/>
    <row r="1159" ht="22.2" customHeight="1" x14ac:dyDescent="0.3"/>
    <row r="1160" ht="22.2" customHeight="1" x14ac:dyDescent="0.3"/>
    <row r="1161" ht="22.2" customHeight="1" x14ac:dyDescent="0.3"/>
    <row r="1162" ht="22.2" customHeight="1" x14ac:dyDescent="0.3"/>
    <row r="1163" ht="22.2" customHeight="1" x14ac:dyDescent="0.3"/>
    <row r="1164" ht="22.2" customHeight="1" x14ac:dyDescent="0.3"/>
    <row r="1165" ht="22.2" customHeight="1" x14ac:dyDescent="0.3"/>
    <row r="1166" ht="22.2" customHeight="1" x14ac:dyDescent="0.3"/>
    <row r="1167" ht="22.2" customHeight="1" x14ac:dyDescent="0.3"/>
    <row r="1168" ht="22.2" customHeight="1" x14ac:dyDescent="0.3"/>
    <row r="1169" ht="22.2" customHeight="1" x14ac:dyDescent="0.3"/>
    <row r="1170" ht="22.2" customHeight="1" x14ac:dyDescent="0.3"/>
    <row r="1171" ht="22.2" customHeight="1" x14ac:dyDescent="0.3"/>
    <row r="1172" ht="22.2" customHeight="1" x14ac:dyDescent="0.3"/>
    <row r="1173" ht="22.2" customHeight="1" x14ac:dyDescent="0.3"/>
    <row r="1174" ht="22.2" customHeight="1" x14ac:dyDescent="0.3"/>
    <row r="1175" ht="22.2" customHeight="1" x14ac:dyDescent="0.3"/>
    <row r="1176" ht="22.2" customHeight="1" x14ac:dyDescent="0.3"/>
    <row r="1177" ht="22.2" customHeight="1" x14ac:dyDescent="0.3"/>
    <row r="1178" ht="22.2" customHeight="1" x14ac:dyDescent="0.3"/>
    <row r="1179" ht="22.2" customHeight="1" x14ac:dyDescent="0.3"/>
    <row r="1180" ht="22.2" customHeight="1" x14ac:dyDescent="0.3"/>
    <row r="1181" ht="22.2" customHeight="1" x14ac:dyDescent="0.3"/>
    <row r="1182" ht="22.2" customHeight="1" x14ac:dyDescent="0.3"/>
    <row r="1183" ht="22.2" customHeight="1" x14ac:dyDescent="0.3"/>
    <row r="1184" ht="22.2" customHeight="1" x14ac:dyDescent="0.3"/>
    <row r="1185" ht="22.2" customHeight="1" x14ac:dyDescent="0.3"/>
    <row r="1186" ht="22.2" customHeight="1" x14ac:dyDescent="0.3"/>
    <row r="1187" ht="22.2" customHeight="1" x14ac:dyDescent="0.3"/>
    <row r="1188" ht="22.2" customHeight="1" x14ac:dyDescent="0.3"/>
    <row r="1189" ht="22.2" customHeight="1" x14ac:dyDescent="0.3"/>
    <row r="1190" ht="22.2" customHeight="1" x14ac:dyDescent="0.3"/>
    <row r="1191" ht="22.2" customHeight="1" x14ac:dyDescent="0.3"/>
    <row r="1192" ht="22.2" customHeight="1" x14ac:dyDescent="0.3"/>
    <row r="1193" ht="22.2" customHeight="1" x14ac:dyDescent="0.3"/>
    <row r="1194" ht="22.2" customHeight="1" x14ac:dyDescent="0.3"/>
    <row r="1195" ht="22.2" customHeight="1" x14ac:dyDescent="0.3"/>
    <row r="1196" ht="22.2" customHeight="1" x14ac:dyDescent="0.3"/>
    <row r="1197" ht="22.2" customHeight="1" x14ac:dyDescent="0.3"/>
    <row r="1198" ht="22.2" customHeight="1" x14ac:dyDescent="0.3"/>
    <row r="1199" ht="22.2" customHeight="1" x14ac:dyDescent="0.3"/>
    <row r="1200" ht="22.2" customHeight="1" x14ac:dyDescent="0.3"/>
    <row r="1201" ht="22.2" customHeight="1" x14ac:dyDescent="0.3"/>
    <row r="1202" ht="22.2" customHeight="1" x14ac:dyDescent="0.3"/>
    <row r="1203" ht="22.2" customHeight="1" x14ac:dyDescent="0.3"/>
    <row r="1204" ht="22.2" customHeight="1" x14ac:dyDescent="0.3"/>
    <row r="1205" ht="22.2" customHeight="1" x14ac:dyDescent="0.3"/>
    <row r="1206" ht="22.2" customHeight="1" x14ac:dyDescent="0.3"/>
    <row r="1207" ht="22.2" customHeight="1" x14ac:dyDescent="0.3"/>
    <row r="1208" ht="22.2" customHeight="1" x14ac:dyDescent="0.3"/>
    <row r="1209" ht="22.2" customHeight="1" x14ac:dyDescent="0.3"/>
    <row r="1210" ht="22.2" customHeight="1" x14ac:dyDescent="0.3"/>
    <row r="1211" ht="22.2" customHeight="1" x14ac:dyDescent="0.3"/>
    <row r="1212" ht="22.2" customHeight="1" x14ac:dyDescent="0.3"/>
    <row r="1213" ht="22.2" customHeight="1" x14ac:dyDescent="0.3"/>
    <row r="1214" ht="22.2" customHeight="1" x14ac:dyDescent="0.3"/>
    <row r="1215" ht="22.2" customHeight="1" x14ac:dyDescent="0.3"/>
    <row r="1216" ht="22.2" customHeight="1" x14ac:dyDescent="0.3"/>
    <row r="1217" ht="22.2" customHeight="1" x14ac:dyDescent="0.3"/>
    <row r="1218" ht="22.2" customHeight="1" x14ac:dyDescent="0.3"/>
    <row r="1219" ht="22.2" customHeight="1" x14ac:dyDescent="0.3"/>
    <row r="1220" ht="22.2" customHeight="1" x14ac:dyDescent="0.3"/>
    <row r="1221" ht="22.2" customHeight="1" x14ac:dyDescent="0.3"/>
    <row r="1222" ht="22.2" customHeight="1" x14ac:dyDescent="0.3"/>
    <row r="1223" ht="22.2" customHeight="1" x14ac:dyDescent="0.3"/>
    <row r="1224" ht="22.2" customHeight="1" x14ac:dyDescent="0.3"/>
    <row r="1225" ht="22.2" customHeight="1" x14ac:dyDescent="0.3"/>
    <row r="1226" ht="22.2" customHeight="1" x14ac:dyDescent="0.3"/>
    <row r="1227" ht="22.2" customHeight="1" x14ac:dyDescent="0.3"/>
    <row r="1228" ht="22.2" customHeight="1" x14ac:dyDescent="0.3"/>
    <row r="1229" ht="22.2" customHeight="1" x14ac:dyDescent="0.3"/>
    <row r="1230" ht="22.2" customHeight="1" x14ac:dyDescent="0.3"/>
    <row r="1231" ht="22.2" customHeight="1" x14ac:dyDescent="0.3"/>
    <row r="1232" ht="22.2" customHeight="1" x14ac:dyDescent="0.3"/>
    <row r="1233" ht="22.2" customHeight="1" x14ac:dyDescent="0.3"/>
    <row r="1234" ht="22.2" customHeight="1" x14ac:dyDescent="0.3"/>
    <row r="1235" ht="22.2" customHeight="1" x14ac:dyDescent="0.3"/>
    <row r="1236" ht="22.2" customHeight="1" x14ac:dyDescent="0.3"/>
    <row r="1237" ht="22.2" customHeight="1" x14ac:dyDescent="0.3"/>
    <row r="1238" ht="22.2" customHeight="1" x14ac:dyDescent="0.3"/>
    <row r="1239" ht="22.2" customHeight="1" x14ac:dyDescent="0.3"/>
    <row r="1240" ht="22.2" customHeight="1" x14ac:dyDescent="0.3"/>
    <row r="1241" ht="22.2" customHeight="1" x14ac:dyDescent="0.3"/>
    <row r="1242" ht="22.2" customHeight="1" x14ac:dyDescent="0.3"/>
    <row r="1243" ht="22.2" customHeight="1" x14ac:dyDescent="0.3"/>
    <row r="1244" ht="22.2" customHeight="1" x14ac:dyDescent="0.3"/>
    <row r="1245" ht="22.2" customHeight="1" x14ac:dyDescent="0.3"/>
    <row r="1246" ht="22.2" customHeight="1" x14ac:dyDescent="0.3"/>
    <row r="1247" ht="22.2" customHeight="1" x14ac:dyDescent="0.3"/>
    <row r="1248" ht="22.2" customHeight="1" x14ac:dyDescent="0.3"/>
    <row r="1249" ht="22.2" customHeight="1" x14ac:dyDescent="0.3"/>
    <row r="1250" ht="22.2" customHeight="1" x14ac:dyDescent="0.3"/>
    <row r="1251" ht="22.2" customHeight="1" x14ac:dyDescent="0.3"/>
    <row r="1252" ht="22.2" customHeight="1" x14ac:dyDescent="0.3"/>
    <row r="1253" ht="22.2" customHeight="1" x14ac:dyDescent="0.3"/>
    <row r="1254" ht="22.2" customHeight="1" x14ac:dyDescent="0.3"/>
    <row r="1255" ht="22.2" customHeight="1" x14ac:dyDescent="0.3"/>
    <row r="1256" ht="22.2" customHeight="1" x14ac:dyDescent="0.3"/>
    <row r="1257" ht="22.2" customHeight="1" x14ac:dyDescent="0.3"/>
    <row r="1258" ht="22.2" customHeight="1" x14ac:dyDescent="0.3"/>
    <row r="1259" ht="22.2" customHeight="1" x14ac:dyDescent="0.3"/>
    <row r="1260" ht="22.2" customHeight="1" x14ac:dyDescent="0.3"/>
    <row r="1261" ht="22.2" customHeight="1" x14ac:dyDescent="0.3"/>
    <row r="1262" ht="22.2" customHeight="1" x14ac:dyDescent="0.3"/>
    <row r="1263" ht="22.2" customHeight="1" x14ac:dyDescent="0.3"/>
    <row r="1264" ht="22.2" customHeight="1" x14ac:dyDescent="0.3"/>
    <row r="1265" ht="22.2" customHeight="1" x14ac:dyDescent="0.3"/>
    <row r="1266" ht="22.2" customHeight="1" x14ac:dyDescent="0.3"/>
    <row r="1267" ht="22.2" customHeight="1" x14ac:dyDescent="0.3"/>
    <row r="1268" ht="22.2" customHeight="1" x14ac:dyDescent="0.3"/>
    <row r="1269" ht="22.2" customHeight="1" x14ac:dyDescent="0.3"/>
    <row r="1270" ht="22.2" customHeight="1" x14ac:dyDescent="0.3"/>
    <row r="1271" ht="22.2" customHeight="1" x14ac:dyDescent="0.3"/>
    <row r="1272" ht="22.2" customHeight="1" x14ac:dyDescent="0.3"/>
    <row r="1273" ht="22.2" customHeight="1" x14ac:dyDescent="0.3"/>
    <row r="1274" ht="22.2" customHeight="1" x14ac:dyDescent="0.3"/>
    <row r="1275" ht="22.2" customHeight="1" x14ac:dyDescent="0.3"/>
    <row r="1276" ht="22.2" customHeight="1" x14ac:dyDescent="0.3"/>
    <row r="1277" ht="22.2" customHeight="1" x14ac:dyDescent="0.3"/>
    <row r="1278" ht="22.2" customHeight="1" x14ac:dyDescent="0.3"/>
    <row r="1279" ht="22.2" customHeight="1" x14ac:dyDescent="0.3"/>
    <row r="1280" ht="22.2" customHeight="1" x14ac:dyDescent="0.3"/>
    <row r="1281" ht="22.2" customHeight="1" x14ac:dyDescent="0.3"/>
    <row r="1282" ht="22.2" customHeight="1" x14ac:dyDescent="0.3"/>
    <row r="1283" ht="22.2" customHeight="1" x14ac:dyDescent="0.3"/>
    <row r="1284" ht="22.2" customHeight="1" x14ac:dyDescent="0.3"/>
    <row r="1285" ht="22.2" customHeight="1" x14ac:dyDescent="0.3"/>
    <row r="1286" ht="22.2" customHeight="1" x14ac:dyDescent="0.3"/>
    <row r="1287" ht="22.2" customHeight="1" x14ac:dyDescent="0.3"/>
    <row r="1288" ht="22.2" customHeight="1" x14ac:dyDescent="0.3"/>
    <row r="1289" ht="22.2" customHeight="1" x14ac:dyDescent="0.3"/>
    <row r="1290" ht="22.2" customHeight="1" x14ac:dyDescent="0.3"/>
    <row r="1291" ht="22.2" customHeight="1" x14ac:dyDescent="0.3"/>
    <row r="1292" ht="22.2" customHeight="1" x14ac:dyDescent="0.3"/>
    <row r="1293" ht="22.2" customHeight="1" x14ac:dyDescent="0.3"/>
    <row r="1294" ht="22.2" customHeight="1" x14ac:dyDescent="0.3"/>
    <row r="1295" ht="22.2" customHeight="1" x14ac:dyDescent="0.3"/>
    <row r="1296" ht="22.2" customHeight="1" x14ac:dyDescent="0.3"/>
    <row r="1297" ht="22.2" customHeight="1" x14ac:dyDescent="0.3"/>
    <row r="1298" ht="22.2" customHeight="1" x14ac:dyDescent="0.3"/>
    <row r="1299" ht="22.2" customHeight="1" x14ac:dyDescent="0.3"/>
    <row r="1300" ht="22.2" customHeight="1" x14ac:dyDescent="0.3"/>
    <row r="1301" ht="22.2" customHeight="1" x14ac:dyDescent="0.3"/>
    <row r="1302" ht="22.2" customHeight="1" x14ac:dyDescent="0.3"/>
    <row r="1303" ht="22.2" customHeight="1" x14ac:dyDescent="0.3"/>
    <row r="1304" ht="22.2" customHeight="1" x14ac:dyDescent="0.3"/>
    <row r="1305" ht="22.2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6" orientation="landscape" horizontalDpi="4294967295" verticalDpi="4294967295" r:id="rId1"/>
  <headerFooter alignWithMargins="0"/>
  <rowBreaks count="1" manualBreakCount="1">
    <brk id="37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0F4A-6815-4575-AE68-B17EF31B9EAD}">
  <sheetPr>
    <pageSetUpPr fitToPage="1"/>
  </sheetPr>
  <dimension ref="A1:BE1305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9.3320312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9.33203125" style="35"/>
  </cols>
  <sheetData>
    <row r="1" spans="1:57" s="27" customFormat="1" ht="52.2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:57" ht="22.95" customHeight="1" x14ac:dyDescent="0.35">
      <c r="A2" s="78"/>
      <c r="B2" s="78"/>
      <c r="C2" s="237"/>
      <c r="D2" s="237"/>
      <c r="E2" s="79"/>
      <c r="F2" s="80"/>
      <c r="G2" s="81"/>
      <c r="H2" s="79"/>
      <c r="I2" s="78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7" s="36" customFormat="1" ht="15" customHeight="1" x14ac:dyDescent="0.35">
      <c r="A3" s="83"/>
      <c r="B3" s="224" t="s">
        <v>2</v>
      </c>
      <c r="C3" s="226" t="s">
        <v>97</v>
      </c>
      <c r="D3" s="227"/>
      <c r="E3" s="227"/>
      <c r="F3" s="227"/>
      <c r="G3" s="227"/>
      <c r="H3" s="227"/>
      <c r="I3" s="227"/>
      <c r="J3" s="228"/>
    </row>
    <row r="4" spans="1:57" s="36" customFormat="1" ht="49.9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7" s="36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57" s="36" customFormat="1" ht="15" customHeight="1" x14ac:dyDescent="0.35">
      <c r="A6" s="84"/>
      <c r="B6" s="84"/>
      <c r="C6" s="233"/>
      <c r="D6" s="233"/>
      <c r="E6" s="233"/>
      <c r="F6" s="233"/>
      <c r="G6" s="233"/>
      <c r="H6" s="229"/>
      <c r="I6" s="233"/>
      <c r="J6" s="233"/>
    </row>
    <row r="7" spans="1:57" s="38" customFormat="1" ht="92.7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8" t="s">
        <v>66</v>
      </c>
      <c r="I7" s="87" t="s">
        <v>3</v>
      </c>
      <c r="J7" s="89" t="s">
        <v>66</v>
      </c>
    </row>
    <row r="8" spans="1:57" s="40" customFormat="1" ht="40.200000000000003" customHeight="1" x14ac:dyDescent="0.3">
      <c r="A8" s="90" t="s">
        <v>58</v>
      </c>
      <c r="B8" s="91" t="s">
        <v>0</v>
      </c>
      <c r="C8" s="174">
        <v>336816</v>
      </c>
      <c r="D8" s="92">
        <v>382655</v>
      </c>
      <c r="E8" s="175">
        <v>681117</v>
      </c>
      <c r="F8" s="92">
        <v>793041</v>
      </c>
      <c r="G8" s="175">
        <v>1067465</v>
      </c>
      <c r="H8" s="176">
        <v>1202904</v>
      </c>
      <c r="I8" s="176">
        <v>1578774</v>
      </c>
      <c r="J8" s="92">
        <v>1729464</v>
      </c>
      <c r="K8" s="39"/>
    </row>
    <row r="9" spans="1:57" s="40" customFormat="1" ht="40.200000000000003" customHeight="1" x14ac:dyDescent="0.3">
      <c r="A9" s="93" t="s">
        <v>32</v>
      </c>
      <c r="B9" s="94" t="s">
        <v>93</v>
      </c>
      <c r="C9" s="174">
        <v>78736</v>
      </c>
      <c r="D9" s="95">
        <v>79284</v>
      </c>
      <c r="E9" s="177">
        <v>160052</v>
      </c>
      <c r="F9" s="95">
        <v>161296</v>
      </c>
      <c r="G9" s="177">
        <v>237466</v>
      </c>
      <c r="H9" s="178">
        <v>239471</v>
      </c>
      <c r="I9" s="178">
        <v>318806</v>
      </c>
      <c r="J9" s="95">
        <v>322004</v>
      </c>
      <c r="K9" s="39"/>
    </row>
    <row r="10" spans="1:57" s="42" customFormat="1" ht="40.200000000000003" customHeight="1" x14ac:dyDescent="0.3">
      <c r="A10" s="96" t="s">
        <v>33</v>
      </c>
      <c r="B10" s="97" t="s">
        <v>91</v>
      </c>
      <c r="C10" s="179">
        <v>62418</v>
      </c>
      <c r="D10" s="98">
        <v>62891</v>
      </c>
      <c r="E10" s="180">
        <v>130233</v>
      </c>
      <c r="F10" s="98">
        <v>131313</v>
      </c>
      <c r="G10" s="180">
        <v>194185</v>
      </c>
      <c r="H10" s="181">
        <v>195925</v>
      </c>
      <c r="I10" s="181">
        <v>261244</v>
      </c>
      <c r="J10" s="98">
        <v>264071</v>
      </c>
      <c r="K10" s="41"/>
    </row>
    <row r="11" spans="1:57" s="42" customFormat="1" ht="40.200000000000003" customHeight="1" x14ac:dyDescent="0.3">
      <c r="A11" s="96" t="s">
        <v>34</v>
      </c>
      <c r="B11" s="97" t="s">
        <v>5</v>
      </c>
      <c r="C11" s="179">
        <v>9057</v>
      </c>
      <c r="D11" s="98">
        <v>9122</v>
      </c>
      <c r="E11" s="180">
        <v>17601</v>
      </c>
      <c r="F11" s="98">
        <v>17746</v>
      </c>
      <c r="G11" s="180">
        <v>26673</v>
      </c>
      <c r="H11" s="181">
        <v>26904</v>
      </c>
      <c r="I11" s="181">
        <v>35530</v>
      </c>
      <c r="J11" s="98">
        <v>35852</v>
      </c>
      <c r="K11" s="41"/>
    </row>
    <row r="12" spans="1:57" s="42" customFormat="1" ht="40.200000000000003" customHeight="1" x14ac:dyDescent="0.3">
      <c r="A12" s="96" t="s">
        <v>35</v>
      </c>
      <c r="B12" s="97" t="s">
        <v>1</v>
      </c>
      <c r="C12" s="179">
        <v>7261</v>
      </c>
      <c r="D12" s="98">
        <v>7271</v>
      </c>
      <c r="E12" s="180">
        <v>12218</v>
      </c>
      <c r="F12" s="98">
        <v>12237</v>
      </c>
      <c r="G12" s="180">
        <v>16608</v>
      </c>
      <c r="H12" s="181">
        <v>16642</v>
      </c>
      <c r="I12" s="181">
        <v>22032</v>
      </c>
      <c r="J12" s="98">
        <v>22081</v>
      </c>
      <c r="K12" s="41"/>
    </row>
    <row r="13" spans="1:57" s="40" customFormat="1" ht="40.200000000000003" customHeight="1" x14ac:dyDescent="0.3">
      <c r="A13" s="93" t="s">
        <v>36</v>
      </c>
      <c r="B13" s="94" t="s">
        <v>12</v>
      </c>
      <c r="C13" s="174">
        <v>10720</v>
      </c>
      <c r="D13" s="95">
        <v>10853</v>
      </c>
      <c r="E13" s="177">
        <v>28204</v>
      </c>
      <c r="F13" s="95">
        <v>28834</v>
      </c>
      <c r="G13" s="177">
        <v>46934</v>
      </c>
      <c r="H13" s="178">
        <v>47649</v>
      </c>
      <c r="I13" s="178">
        <v>81462</v>
      </c>
      <c r="J13" s="95">
        <v>88398</v>
      </c>
      <c r="K13" s="39"/>
    </row>
    <row r="14" spans="1:57" s="42" customFormat="1" ht="40.200000000000003" customHeight="1" x14ac:dyDescent="0.3">
      <c r="A14" s="96" t="s">
        <v>37</v>
      </c>
      <c r="B14" s="97" t="s">
        <v>6</v>
      </c>
      <c r="C14" s="179">
        <v>3923</v>
      </c>
      <c r="D14" s="98">
        <v>3933</v>
      </c>
      <c r="E14" s="180">
        <v>12188</v>
      </c>
      <c r="F14" s="98">
        <v>12208</v>
      </c>
      <c r="G14" s="180">
        <v>22352</v>
      </c>
      <c r="H14" s="181">
        <v>22385</v>
      </c>
      <c r="I14" s="181">
        <v>45490</v>
      </c>
      <c r="J14" s="98">
        <v>45571</v>
      </c>
      <c r="K14" s="41"/>
    </row>
    <row r="15" spans="1:57" s="42" customFormat="1" ht="40.200000000000003" customHeight="1" x14ac:dyDescent="0.3">
      <c r="A15" s="96" t="s">
        <v>38</v>
      </c>
      <c r="B15" s="97" t="s">
        <v>15</v>
      </c>
      <c r="C15" s="179">
        <v>6426</v>
      </c>
      <c r="D15" s="98">
        <v>6459</v>
      </c>
      <c r="E15" s="180">
        <v>15032</v>
      </c>
      <c r="F15" s="98">
        <v>15140</v>
      </c>
      <c r="G15" s="180">
        <v>23390</v>
      </c>
      <c r="H15" s="181">
        <v>23563</v>
      </c>
      <c r="I15" s="181">
        <v>34546</v>
      </c>
      <c r="J15" s="98">
        <v>34827</v>
      </c>
      <c r="K15" s="41"/>
    </row>
    <row r="16" spans="1:57" s="42" customFormat="1" ht="40.200000000000003" customHeight="1" x14ac:dyDescent="0.3">
      <c r="A16" s="96" t="s">
        <v>35</v>
      </c>
      <c r="B16" s="97" t="s">
        <v>1</v>
      </c>
      <c r="C16" s="179">
        <v>371</v>
      </c>
      <c r="D16" s="98">
        <v>461</v>
      </c>
      <c r="E16" s="180">
        <v>984</v>
      </c>
      <c r="F16" s="98">
        <v>1486</v>
      </c>
      <c r="G16" s="180">
        <v>1192</v>
      </c>
      <c r="H16" s="181">
        <v>1701</v>
      </c>
      <c r="I16" s="181">
        <v>1426</v>
      </c>
      <c r="J16" s="98">
        <v>8000</v>
      </c>
      <c r="K16" s="41"/>
    </row>
    <row r="17" spans="1:11" s="40" customFormat="1" ht="40.200000000000003" customHeight="1" x14ac:dyDescent="0.3">
      <c r="A17" s="99" t="s">
        <v>39</v>
      </c>
      <c r="B17" s="100" t="s">
        <v>62</v>
      </c>
      <c r="C17" s="174">
        <v>135070</v>
      </c>
      <c r="D17" s="95">
        <v>143226</v>
      </c>
      <c r="E17" s="177">
        <v>245710</v>
      </c>
      <c r="F17" s="95">
        <v>262074</v>
      </c>
      <c r="G17" s="177">
        <v>373678</v>
      </c>
      <c r="H17" s="178">
        <v>395239</v>
      </c>
      <c r="I17" s="178">
        <v>565497</v>
      </c>
      <c r="J17" s="95">
        <v>554537</v>
      </c>
      <c r="K17" s="39"/>
    </row>
    <row r="18" spans="1:11" ht="40.200000000000003" customHeight="1" x14ac:dyDescent="0.3">
      <c r="A18" s="101" t="s">
        <v>94</v>
      </c>
      <c r="B18" s="102" t="s">
        <v>95</v>
      </c>
      <c r="C18" s="182">
        <v>121458</v>
      </c>
      <c r="D18" s="103">
        <v>129614</v>
      </c>
      <c r="E18" s="183">
        <v>224112</v>
      </c>
      <c r="F18" s="103">
        <v>240476</v>
      </c>
      <c r="G18" s="183">
        <v>338621</v>
      </c>
      <c r="H18" s="184">
        <v>360182</v>
      </c>
      <c r="I18" s="184">
        <v>517912</v>
      </c>
      <c r="J18" s="103">
        <v>506952</v>
      </c>
      <c r="K18" s="38"/>
    </row>
    <row r="19" spans="1:11" ht="40.200000000000003" customHeight="1" x14ac:dyDescent="0.3">
      <c r="A19" s="104" t="s">
        <v>40</v>
      </c>
      <c r="B19" s="105" t="s">
        <v>21</v>
      </c>
      <c r="C19" s="98">
        <v>2842</v>
      </c>
      <c r="D19" s="98">
        <v>0</v>
      </c>
      <c r="E19" s="180">
        <v>9702</v>
      </c>
      <c r="F19" s="98">
        <v>0</v>
      </c>
      <c r="G19" s="180">
        <v>18390</v>
      </c>
      <c r="H19" s="181">
        <v>0</v>
      </c>
      <c r="I19" s="181">
        <v>62445</v>
      </c>
      <c r="J19" s="98">
        <v>0</v>
      </c>
      <c r="K19" s="38"/>
    </row>
    <row r="20" spans="1:11" ht="40.200000000000003" customHeight="1" x14ac:dyDescent="0.3">
      <c r="A20" s="104" t="s">
        <v>35</v>
      </c>
      <c r="B20" s="105" t="s">
        <v>7</v>
      </c>
      <c r="C20" s="98">
        <v>118616</v>
      </c>
      <c r="D20" s="98">
        <v>129614</v>
      </c>
      <c r="E20" s="180">
        <v>214410</v>
      </c>
      <c r="F20" s="98">
        <v>240476</v>
      </c>
      <c r="G20" s="180">
        <v>320231</v>
      </c>
      <c r="H20" s="181">
        <v>360182</v>
      </c>
      <c r="I20" s="181">
        <v>455467</v>
      </c>
      <c r="J20" s="98">
        <v>506952</v>
      </c>
      <c r="K20" s="38"/>
    </row>
    <row r="21" spans="1:11" ht="40.200000000000003" customHeight="1" x14ac:dyDescent="0.3">
      <c r="A21" s="101" t="s">
        <v>41</v>
      </c>
      <c r="B21" s="102" t="s">
        <v>63</v>
      </c>
      <c r="C21" s="182">
        <v>13612</v>
      </c>
      <c r="D21" s="103">
        <v>13612</v>
      </c>
      <c r="E21" s="183">
        <v>21598</v>
      </c>
      <c r="F21" s="103">
        <v>21598</v>
      </c>
      <c r="G21" s="183">
        <v>35057</v>
      </c>
      <c r="H21" s="184">
        <v>35057</v>
      </c>
      <c r="I21" s="184">
        <v>47585</v>
      </c>
      <c r="J21" s="103">
        <v>47585</v>
      </c>
      <c r="K21" s="38"/>
    </row>
    <row r="22" spans="1:11" s="40" customFormat="1" ht="40.200000000000003" customHeight="1" x14ac:dyDescent="0.3">
      <c r="A22" s="106" t="s">
        <v>42</v>
      </c>
      <c r="B22" s="94" t="s">
        <v>13</v>
      </c>
      <c r="C22" s="174">
        <v>54714</v>
      </c>
      <c r="D22" s="95">
        <v>91377</v>
      </c>
      <c r="E22" s="177">
        <v>99977</v>
      </c>
      <c r="F22" s="95">
        <v>193487</v>
      </c>
      <c r="G22" s="177">
        <v>176988</v>
      </c>
      <c r="H22" s="178">
        <v>287800</v>
      </c>
      <c r="I22" s="178">
        <v>263886</v>
      </c>
      <c r="J22" s="95">
        <v>414454</v>
      </c>
      <c r="K22" s="39"/>
    </row>
    <row r="23" spans="1:11" s="40" customFormat="1" ht="40.200000000000003" customHeight="1" x14ac:dyDescent="0.3">
      <c r="A23" s="107" t="s">
        <v>43</v>
      </c>
      <c r="B23" s="108" t="s">
        <v>54</v>
      </c>
      <c r="C23" s="174">
        <v>16835</v>
      </c>
      <c r="D23" s="95">
        <v>16835</v>
      </c>
      <c r="E23" s="177">
        <v>38720</v>
      </c>
      <c r="F23" s="95">
        <v>38720</v>
      </c>
      <c r="G23" s="177">
        <v>68533</v>
      </c>
      <c r="H23" s="178">
        <v>68533</v>
      </c>
      <c r="I23" s="178">
        <v>121531</v>
      </c>
      <c r="J23" s="95">
        <v>121531</v>
      </c>
      <c r="K23" s="39"/>
    </row>
    <row r="24" spans="1:11" ht="40.200000000000003" customHeight="1" x14ac:dyDescent="0.3">
      <c r="A24" s="109" t="s">
        <v>44</v>
      </c>
      <c r="B24" s="110" t="s">
        <v>17</v>
      </c>
      <c r="C24" s="179">
        <v>0</v>
      </c>
      <c r="D24" s="98">
        <v>0</v>
      </c>
      <c r="E24" s="185">
        <v>0</v>
      </c>
      <c r="F24" s="98">
        <v>0</v>
      </c>
      <c r="G24" s="185">
        <v>8352</v>
      </c>
      <c r="H24" s="181">
        <v>8352</v>
      </c>
      <c r="I24" s="181">
        <v>18913</v>
      </c>
      <c r="J24" s="98">
        <v>18913</v>
      </c>
      <c r="K24" s="38"/>
    </row>
    <row r="25" spans="1:11" ht="40.200000000000003" customHeight="1" x14ac:dyDescent="0.3">
      <c r="A25" s="109" t="s">
        <v>45</v>
      </c>
      <c r="B25" s="110" t="s">
        <v>16</v>
      </c>
      <c r="C25" s="179">
        <v>12400</v>
      </c>
      <c r="D25" s="98">
        <v>12400</v>
      </c>
      <c r="E25" s="180">
        <v>29631</v>
      </c>
      <c r="F25" s="98">
        <v>29631</v>
      </c>
      <c r="G25" s="180">
        <v>45707</v>
      </c>
      <c r="H25" s="181">
        <v>45707</v>
      </c>
      <c r="I25" s="181">
        <v>83018</v>
      </c>
      <c r="J25" s="98">
        <v>83018</v>
      </c>
      <c r="K25" s="38"/>
    </row>
    <row r="26" spans="1:11" ht="40.200000000000003" customHeight="1" x14ac:dyDescent="0.3">
      <c r="A26" s="109" t="s">
        <v>35</v>
      </c>
      <c r="B26" s="110" t="s">
        <v>18</v>
      </c>
      <c r="C26" s="179">
        <v>4435</v>
      </c>
      <c r="D26" s="98">
        <v>4435</v>
      </c>
      <c r="E26" s="180">
        <v>9089</v>
      </c>
      <c r="F26" s="98">
        <v>9089</v>
      </c>
      <c r="G26" s="180">
        <v>14474</v>
      </c>
      <c r="H26" s="181">
        <v>14474</v>
      </c>
      <c r="I26" s="181">
        <v>19600</v>
      </c>
      <c r="J26" s="98">
        <v>19600</v>
      </c>
      <c r="K26" s="38"/>
    </row>
    <row r="27" spans="1:11" s="40" customFormat="1" ht="40.200000000000003" customHeight="1" x14ac:dyDescent="0.3">
      <c r="A27" s="107" t="s">
        <v>46</v>
      </c>
      <c r="B27" s="108" t="s">
        <v>55</v>
      </c>
      <c r="C27" s="174">
        <v>2554</v>
      </c>
      <c r="D27" s="95">
        <v>2554</v>
      </c>
      <c r="E27" s="177">
        <v>5450</v>
      </c>
      <c r="F27" s="95">
        <v>5450</v>
      </c>
      <c r="G27" s="177">
        <v>7683</v>
      </c>
      <c r="H27" s="178">
        <v>7683</v>
      </c>
      <c r="I27" s="178">
        <v>11391</v>
      </c>
      <c r="J27" s="95">
        <v>11391</v>
      </c>
      <c r="K27" s="39"/>
    </row>
    <row r="28" spans="1:11" s="40" customFormat="1" ht="40.200000000000003" customHeight="1" x14ac:dyDescent="0.3">
      <c r="A28" s="186" t="s">
        <v>104</v>
      </c>
      <c r="B28" s="108" t="s">
        <v>56</v>
      </c>
      <c r="C28" s="174">
        <v>34959</v>
      </c>
      <c r="D28" s="95">
        <v>71622</v>
      </c>
      <c r="E28" s="177">
        <v>55233</v>
      </c>
      <c r="F28" s="95">
        <v>148743</v>
      </c>
      <c r="G28" s="177">
        <v>99999</v>
      </c>
      <c r="H28" s="178">
        <v>210811</v>
      </c>
      <c r="I28" s="178">
        <v>129889</v>
      </c>
      <c r="J28" s="95">
        <v>280458</v>
      </c>
      <c r="K28" s="39"/>
    </row>
    <row r="29" spans="1:11" ht="40.200000000000003" customHeight="1" x14ac:dyDescent="0.3">
      <c r="A29" s="109" t="s">
        <v>47</v>
      </c>
      <c r="B29" s="110" t="s">
        <v>19</v>
      </c>
      <c r="C29" s="179">
        <v>28492</v>
      </c>
      <c r="D29" s="98">
        <v>-14000</v>
      </c>
      <c r="E29" s="180">
        <v>42492</v>
      </c>
      <c r="F29" s="98">
        <v>0</v>
      </c>
      <c r="G29" s="180">
        <v>80821</v>
      </c>
      <c r="H29" s="181">
        <v>0</v>
      </c>
      <c r="I29" s="181">
        <v>99149</v>
      </c>
      <c r="J29" s="98">
        <v>0</v>
      </c>
      <c r="K29" s="38"/>
    </row>
    <row r="30" spans="1:11" ht="40.200000000000003" customHeight="1" x14ac:dyDescent="0.3">
      <c r="A30" s="109" t="s">
        <v>35</v>
      </c>
      <c r="B30" s="110" t="s">
        <v>20</v>
      </c>
      <c r="C30" s="179">
        <v>6467</v>
      </c>
      <c r="D30" s="98">
        <v>85622</v>
      </c>
      <c r="E30" s="180">
        <v>12741</v>
      </c>
      <c r="F30" s="98">
        <v>148743</v>
      </c>
      <c r="G30" s="180">
        <v>19178</v>
      </c>
      <c r="H30" s="181">
        <v>210811</v>
      </c>
      <c r="I30" s="181">
        <v>30740</v>
      </c>
      <c r="J30" s="98">
        <v>280458</v>
      </c>
      <c r="K30" s="38"/>
    </row>
    <row r="31" spans="1:11" s="40" customFormat="1" ht="40.200000000000003" customHeight="1" x14ac:dyDescent="0.3">
      <c r="A31" s="107" t="s">
        <v>48</v>
      </c>
      <c r="B31" s="111" t="s">
        <v>119</v>
      </c>
      <c r="C31" s="174">
        <v>366</v>
      </c>
      <c r="D31" s="95">
        <v>366</v>
      </c>
      <c r="E31" s="177">
        <v>574</v>
      </c>
      <c r="F31" s="95">
        <v>574</v>
      </c>
      <c r="G31" s="177">
        <v>773</v>
      </c>
      <c r="H31" s="178">
        <v>773</v>
      </c>
      <c r="I31" s="178">
        <v>1075</v>
      </c>
      <c r="J31" s="95">
        <v>1074</v>
      </c>
      <c r="K31" s="39"/>
    </row>
    <row r="32" spans="1:11" s="40" customFormat="1" ht="40.200000000000003" customHeight="1" x14ac:dyDescent="0.3">
      <c r="A32" s="93" t="s">
        <v>59</v>
      </c>
      <c r="B32" s="94" t="s">
        <v>11</v>
      </c>
      <c r="C32" s="174">
        <v>17627</v>
      </c>
      <c r="D32" s="95">
        <v>17966</v>
      </c>
      <c r="E32" s="177">
        <v>45218</v>
      </c>
      <c r="F32" s="95">
        <v>45394</v>
      </c>
      <c r="G32" s="177">
        <v>68657</v>
      </c>
      <c r="H32" s="178">
        <v>69003</v>
      </c>
      <c r="I32" s="178">
        <v>99751</v>
      </c>
      <c r="J32" s="95">
        <v>100699</v>
      </c>
      <c r="K32" s="39"/>
    </row>
    <row r="33" spans="1:11" ht="40.200000000000003" customHeight="1" x14ac:dyDescent="0.3">
      <c r="A33" s="96" t="s">
        <v>49</v>
      </c>
      <c r="B33" s="97" t="s">
        <v>4</v>
      </c>
      <c r="C33" s="98">
        <v>15303</v>
      </c>
      <c r="D33" s="98">
        <v>15303</v>
      </c>
      <c r="E33" s="98">
        <v>39272</v>
      </c>
      <c r="F33" s="98">
        <v>39272</v>
      </c>
      <c r="G33" s="98">
        <v>58797</v>
      </c>
      <c r="H33" s="181">
        <v>58797</v>
      </c>
      <c r="I33" s="181">
        <v>79426</v>
      </c>
      <c r="J33" s="98">
        <v>79426</v>
      </c>
      <c r="K33" s="38"/>
    </row>
    <row r="34" spans="1:11" ht="40.200000000000003" customHeight="1" x14ac:dyDescent="0.3">
      <c r="A34" s="96" t="s">
        <v>35</v>
      </c>
      <c r="B34" s="97" t="s">
        <v>8</v>
      </c>
      <c r="C34" s="179">
        <v>2324</v>
      </c>
      <c r="D34" s="98">
        <v>2663</v>
      </c>
      <c r="E34" s="185">
        <v>5946</v>
      </c>
      <c r="F34" s="98">
        <v>6122</v>
      </c>
      <c r="G34" s="185">
        <v>9860</v>
      </c>
      <c r="H34" s="181">
        <v>10206</v>
      </c>
      <c r="I34" s="181">
        <v>20325</v>
      </c>
      <c r="J34" s="98">
        <v>21273</v>
      </c>
      <c r="K34" s="38"/>
    </row>
    <row r="35" spans="1:11" s="40" customFormat="1" ht="53.25" customHeight="1" x14ac:dyDescent="0.3">
      <c r="A35" s="93" t="s">
        <v>50</v>
      </c>
      <c r="B35" s="112" t="s">
        <v>14</v>
      </c>
      <c r="C35" s="174">
        <v>39949</v>
      </c>
      <c r="D35" s="95">
        <v>39949</v>
      </c>
      <c r="E35" s="177">
        <v>101956</v>
      </c>
      <c r="F35" s="95">
        <v>101956</v>
      </c>
      <c r="G35" s="177">
        <v>163742</v>
      </c>
      <c r="H35" s="178">
        <v>163742</v>
      </c>
      <c r="I35" s="178">
        <v>249372</v>
      </c>
      <c r="J35" s="95">
        <v>249372</v>
      </c>
    </row>
    <row r="36" spans="1:11" ht="40.200000000000003" customHeight="1" x14ac:dyDescent="0.3">
      <c r="A36" s="96" t="s">
        <v>51</v>
      </c>
      <c r="B36" s="97" t="s">
        <v>9</v>
      </c>
      <c r="C36" s="179">
        <v>37213</v>
      </c>
      <c r="D36" s="98">
        <v>37213</v>
      </c>
      <c r="E36" s="180">
        <v>95292</v>
      </c>
      <c r="F36" s="98">
        <v>95292</v>
      </c>
      <c r="G36" s="180">
        <v>150990</v>
      </c>
      <c r="H36" s="181">
        <v>150990</v>
      </c>
      <c r="I36" s="181">
        <v>195057</v>
      </c>
      <c r="J36" s="98">
        <v>195057</v>
      </c>
    </row>
    <row r="37" spans="1:11" ht="40.200000000000003" customHeight="1" x14ac:dyDescent="0.3">
      <c r="A37" s="113" t="s">
        <v>35</v>
      </c>
      <c r="B37" s="114" t="s">
        <v>10</v>
      </c>
      <c r="C37" s="187">
        <v>2736</v>
      </c>
      <c r="D37" s="115">
        <v>2736</v>
      </c>
      <c r="E37" s="187">
        <v>6664</v>
      </c>
      <c r="F37" s="115">
        <v>6664</v>
      </c>
      <c r="G37" s="187">
        <v>12752</v>
      </c>
      <c r="H37" s="188">
        <v>12752</v>
      </c>
      <c r="I37" s="188">
        <v>54315</v>
      </c>
      <c r="J37" s="115">
        <v>54315</v>
      </c>
    </row>
    <row r="38" spans="1:11" ht="22.2" customHeight="1" x14ac:dyDescent="0.3">
      <c r="A38" s="74" t="s">
        <v>67</v>
      </c>
      <c r="B38" s="71" t="s">
        <v>68</v>
      </c>
    </row>
    <row r="39" spans="1:11" ht="104.25" customHeight="1" x14ac:dyDescent="0.3">
      <c r="A39" s="66" t="s">
        <v>112</v>
      </c>
      <c r="B39" s="75" t="s">
        <v>109</v>
      </c>
    </row>
    <row r="40" spans="1:11" ht="52.2" customHeight="1" x14ac:dyDescent="0.3">
      <c r="A40" s="66" t="s">
        <v>89</v>
      </c>
      <c r="B40" s="238" t="s">
        <v>88</v>
      </c>
      <c r="C40" s="238"/>
    </row>
    <row r="41" spans="1:11" ht="22.2" customHeight="1" x14ac:dyDescent="0.3">
      <c r="A41" s="67"/>
      <c r="B41" s="73"/>
    </row>
    <row r="42" spans="1:11" ht="22.2" customHeight="1" x14ac:dyDescent="0.3">
      <c r="B42" s="30"/>
      <c r="C42" s="30"/>
      <c r="D42" s="30"/>
      <c r="E42" s="30"/>
      <c r="F42" s="30"/>
      <c r="G42" s="33"/>
    </row>
    <row r="43" spans="1:11" ht="22.2" customHeight="1" x14ac:dyDescent="0.3"/>
    <row r="44" spans="1:11" ht="22.2" customHeight="1" x14ac:dyDescent="0.3"/>
    <row r="45" spans="1:11" ht="22.2" customHeight="1" x14ac:dyDescent="0.3"/>
    <row r="46" spans="1:11" ht="22.2" customHeight="1" x14ac:dyDescent="0.3"/>
    <row r="47" spans="1:11" ht="22.2" customHeight="1" x14ac:dyDescent="0.3"/>
    <row r="48" spans="1:11" ht="22.2" customHeight="1" x14ac:dyDescent="0.3"/>
    <row r="49" ht="22.2" customHeight="1" x14ac:dyDescent="0.3"/>
    <row r="50" ht="22.2" customHeight="1" x14ac:dyDescent="0.3"/>
    <row r="51" ht="22.2" customHeight="1" x14ac:dyDescent="0.3"/>
    <row r="52" ht="22.2" customHeight="1" x14ac:dyDescent="0.3"/>
    <row r="53" ht="22.2" customHeight="1" x14ac:dyDescent="0.3"/>
    <row r="54" ht="22.2" customHeight="1" x14ac:dyDescent="0.3"/>
    <row r="55" ht="22.2" customHeight="1" x14ac:dyDescent="0.3"/>
    <row r="56" ht="22.2" customHeight="1" x14ac:dyDescent="0.3"/>
    <row r="57" ht="22.2" customHeight="1" x14ac:dyDescent="0.3"/>
    <row r="58" ht="22.2" customHeight="1" x14ac:dyDescent="0.3"/>
    <row r="59" ht="22.2" customHeight="1" x14ac:dyDescent="0.3"/>
    <row r="60" ht="22.2" customHeight="1" x14ac:dyDescent="0.3"/>
    <row r="61" ht="22.2" customHeight="1" x14ac:dyDescent="0.3"/>
    <row r="62" ht="22.2" customHeight="1" x14ac:dyDescent="0.3"/>
    <row r="63" ht="22.2" customHeight="1" x14ac:dyDescent="0.3"/>
    <row r="64" ht="22.2" customHeight="1" x14ac:dyDescent="0.3"/>
    <row r="65" ht="22.2" customHeight="1" x14ac:dyDescent="0.3"/>
    <row r="66" ht="22.2" customHeight="1" x14ac:dyDescent="0.3"/>
    <row r="67" ht="22.2" customHeight="1" x14ac:dyDescent="0.3"/>
    <row r="68" ht="22.2" customHeight="1" x14ac:dyDescent="0.3"/>
    <row r="69" ht="22.2" customHeight="1" x14ac:dyDescent="0.3"/>
    <row r="70" ht="22.2" customHeight="1" x14ac:dyDescent="0.3"/>
    <row r="71" ht="22.2" customHeight="1" x14ac:dyDescent="0.3"/>
    <row r="72" ht="22.2" customHeight="1" x14ac:dyDescent="0.3"/>
    <row r="73" ht="22.2" customHeight="1" x14ac:dyDescent="0.3"/>
    <row r="74" ht="22.2" customHeight="1" x14ac:dyDescent="0.3"/>
    <row r="75" ht="22.2" customHeight="1" x14ac:dyDescent="0.3"/>
    <row r="76" ht="22.2" customHeight="1" x14ac:dyDescent="0.3"/>
    <row r="77" ht="22.2" customHeight="1" x14ac:dyDescent="0.3"/>
    <row r="78" ht="22.2" customHeight="1" x14ac:dyDescent="0.3"/>
    <row r="79" ht="22.2" customHeight="1" x14ac:dyDescent="0.3"/>
    <row r="80" ht="22.2" customHeight="1" x14ac:dyDescent="0.3"/>
    <row r="81" ht="22.2" customHeight="1" x14ac:dyDescent="0.3"/>
    <row r="82" ht="22.2" customHeight="1" x14ac:dyDescent="0.3"/>
    <row r="83" ht="22.2" customHeight="1" x14ac:dyDescent="0.3"/>
    <row r="84" ht="22.2" customHeight="1" x14ac:dyDescent="0.3"/>
    <row r="85" ht="22.2" customHeight="1" x14ac:dyDescent="0.3"/>
    <row r="86" ht="22.2" customHeight="1" x14ac:dyDescent="0.3"/>
    <row r="87" ht="22.2" customHeight="1" x14ac:dyDescent="0.3"/>
    <row r="88" ht="22.2" customHeight="1" x14ac:dyDescent="0.3"/>
    <row r="89" ht="22.2" customHeight="1" x14ac:dyDescent="0.3"/>
    <row r="90" ht="22.2" customHeight="1" x14ac:dyDescent="0.3"/>
    <row r="91" ht="22.2" customHeight="1" x14ac:dyDescent="0.3"/>
    <row r="92" ht="22.2" customHeight="1" x14ac:dyDescent="0.3"/>
    <row r="93" ht="22.2" customHeight="1" x14ac:dyDescent="0.3"/>
    <row r="94" ht="22.2" customHeight="1" x14ac:dyDescent="0.3"/>
    <row r="95" ht="22.2" customHeight="1" x14ac:dyDescent="0.3"/>
    <row r="96" ht="22.2" customHeight="1" x14ac:dyDescent="0.3"/>
    <row r="97" ht="22.2" customHeight="1" x14ac:dyDescent="0.3"/>
    <row r="98" ht="22.2" customHeight="1" x14ac:dyDescent="0.3"/>
    <row r="99" ht="22.2" customHeight="1" x14ac:dyDescent="0.3"/>
    <row r="100" ht="22.2" customHeight="1" x14ac:dyDescent="0.3"/>
    <row r="101" ht="22.2" customHeight="1" x14ac:dyDescent="0.3"/>
    <row r="102" ht="22.2" customHeight="1" x14ac:dyDescent="0.3"/>
    <row r="103" ht="22.2" customHeight="1" x14ac:dyDescent="0.3"/>
    <row r="104" ht="22.2" customHeight="1" x14ac:dyDescent="0.3"/>
    <row r="105" ht="22.2" customHeight="1" x14ac:dyDescent="0.3"/>
    <row r="106" ht="22.2" customHeight="1" x14ac:dyDescent="0.3"/>
    <row r="107" ht="22.2" customHeight="1" x14ac:dyDescent="0.3"/>
    <row r="108" ht="22.2" customHeight="1" x14ac:dyDescent="0.3"/>
    <row r="109" ht="22.2" customHeight="1" x14ac:dyDescent="0.3"/>
    <row r="110" ht="22.2" customHeight="1" x14ac:dyDescent="0.3"/>
    <row r="111" ht="22.2" customHeight="1" x14ac:dyDescent="0.3"/>
    <row r="112" ht="22.2" customHeight="1" x14ac:dyDescent="0.3"/>
    <row r="113" ht="22.2" customHeight="1" x14ac:dyDescent="0.3"/>
    <row r="114" ht="22.2" customHeight="1" x14ac:dyDescent="0.3"/>
    <row r="115" ht="22.2" customHeight="1" x14ac:dyDescent="0.3"/>
    <row r="116" ht="22.2" customHeight="1" x14ac:dyDescent="0.3"/>
    <row r="117" ht="22.2" customHeight="1" x14ac:dyDescent="0.3"/>
    <row r="118" ht="22.2" customHeight="1" x14ac:dyDescent="0.3"/>
    <row r="119" ht="22.2" customHeight="1" x14ac:dyDescent="0.3"/>
    <row r="120" ht="22.2" customHeight="1" x14ac:dyDescent="0.3"/>
    <row r="121" ht="22.2" customHeight="1" x14ac:dyDescent="0.3"/>
    <row r="122" ht="22.2" customHeight="1" x14ac:dyDescent="0.3"/>
    <row r="123" ht="22.2" customHeight="1" x14ac:dyDescent="0.3"/>
    <row r="124" ht="22.2" customHeight="1" x14ac:dyDescent="0.3"/>
    <row r="125" ht="22.2" customHeight="1" x14ac:dyDescent="0.3"/>
    <row r="126" ht="22.2" customHeight="1" x14ac:dyDescent="0.3"/>
    <row r="127" ht="22.2" customHeight="1" x14ac:dyDescent="0.3"/>
    <row r="128" ht="22.2" customHeight="1" x14ac:dyDescent="0.3"/>
    <row r="129" ht="22.2" customHeight="1" x14ac:dyDescent="0.3"/>
    <row r="130" ht="22.2" customHeight="1" x14ac:dyDescent="0.3"/>
    <row r="131" ht="22.2" customHeight="1" x14ac:dyDescent="0.3"/>
    <row r="132" ht="22.2" customHeight="1" x14ac:dyDescent="0.3"/>
    <row r="133" ht="22.2" customHeight="1" x14ac:dyDescent="0.3"/>
    <row r="134" ht="22.2" customHeight="1" x14ac:dyDescent="0.3"/>
    <row r="135" ht="22.2" customHeight="1" x14ac:dyDescent="0.3"/>
    <row r="136" ht="22.2" customHeight="1" x14ac:dyDescent="0.3"/>
    <row r="137" ht="22.2" customHeight="1" x14ac:dyDescent="0.3"/>
    <row r="138" ht="22.2" customHeight="1" x14ac:dyDescent="0.3"/>
    <row r="139" ht="22.2" customHeight="1" x14ac:dyDescent="0.3"/>
    <row r="140" ht="22.2" customHeight="1" x14ac:dyDescent="0.3"/>
    <row r="141" ht="22.2" customHeight="1" x14ac:dyDescent="0.3"/>
    <row r="142" ht="22.2" customHeight="1" x14ac:dyDescent="0.3"/>
    <row r="143" ht="22.2" customHeight="1" x14ac:dyDescent="0.3"/>
    <row r="144" ht="22.2" customHeight="1" x14ac:dyDescent="0.3"/>
    <row r="145" ht="22.2" customHeight="1" x14ac:dyDescent="0.3"/>
    <row r="146" ht="22.2" customHeight="1" x14ac:dyDescent="0.3"/>
    <row r="147" ht="22.2" customHeight="1" x14ac:dyDescent="0.3"/>
    <row r="148" ht="22.2" customHeight="1" x14ac:dyDescent="0.3"/>
    <row r="149" ht="22.2" customHeight="1" x14ac:dyDescent="0.3"/>
    <row r="150" ht="22.2" customHeight="1" x14ac:dyDescent="0.3"/>
    <row r="151" ht="22.2" customHeight="1" x14ac:dyDescent="0.3"/>
    <row r="152" ht="22.2" customHeight="1" x14ac:dyDescent="0.3"/>
    <row r="153" ht="22.2" customHeight="1" x14ac:dyDescent="0.3"/>
    <row r="154" ht="22.2" customHeight="1" x14ac:dyDescent="0.3"/>
    <row r="155" ht="22.2" customHeight="1" x14ac:dyDescent="0.3"/>
    <row r="156" ht="22.2" customHeight="1" x14ac:dyDescent="0.3"/>
    <row r="157" ht="22.2" customHeight="1" x14ac:dyDescent="0.3"/>
    <row r="158" ht="22.2" customHeight="1" x14ac:dyDescent="0.3"/>
    <row r="159" ht="22.2" customHeight="1" x14ac:dyDescent="0.3"/>
    <row r="160" ht="22.2" customHeight="1" x14ac:dyDescent="0.3"/>
    <row r="161" ht="22.2" customHeight="1" x14ac:dyDescent="0.3"/>
    <row r="162" ht="22.2" customHeight="1" x14ac:dyDescent="0.3"/>
    <row r="163" ht="22.2" customHeight="1" x14ac:dyDescent="0.3"/>
    <row r="164" ht="22.2" customHeight="1" x14ac:dyDescent="0.3"/>
    <row r="165" ht="22.2" customHeight="1" x14ac:dyDescent="0.3"/>
    <row r="166" ht="22.2" customHeight="1" x14ac:dyDescent="0.3"/>
    <row r="167" ht="22.2" customHeight="1" x14ac:dyDescent="0.3"/>
    <row r="168" ht="22.2" customHeight="1" x14ac:dyDescent="0.3"/>
    <row r="169" ht="22.2" customHeight="1" x14ac:dyDescent="0.3"/>
    <row r="170" ht="22.2" customHeight="1" x14ac:dyDescent="0.3"/>
    <row r="171" ht="22.2" customHeight="1" x14ac:dyDescent="0.3"/>
    <row r="172" ht="22.2" customHeight="1" x14ac:dyDescent="0.3"/>
    <row r="173" ht="22.2" customHeight="1" x14ac:dyDescent="0.3"/>
    <row r="174" ht="22.2" customHeight="1" x14ac:dyDescent="0.3"/>
    <row r="175" ht="22.2" customHeight="1" x14ac:dyDescent="0.3"/>
    <row r="176" ht="22.2" customHeight="1" x14ac:dyDescent="0.3"/>
    <row r="177" ht="22.2" customHeight="1" x14ac:dyDescent="0.3"/>
    <row r="178" ht="22.2" customHeight="1" x14ac:dyDescent="0.3"/>
    <row r="179" ht="22.2" customHeight="1" x14ac:dyDescent="0.3"/>
    <row r="180" ht="22.2" customHeight="1" x14ac:dyDescent="0.3"/>
    <row r="181" ht="22.2" customHeight="1" x14ac:dyDescent="0.3"/>
    <row r="182" ht="22.2" customHeight="1" x14ac:dyDescent="0.3"/>
    <row r="183" ht="22.2" customHeight="1" x14ac:dyDescent="0.3"/>
    <row r="184" ht="22.2" customHeight="1" x14ac:dyDescent="0.3"/>
    <row r="185" ht="22.2" customHeight="1" x14ac:dyDescent="0.3"/>
    <row r="186" ht="22.2" customHeight="1" x14ac:dyDescent="0.3"/>
    <row r="187" ht="22.2" customHeight="1" x14ac:dyDescent="0.3"/>
    <row r="188" ht="22.2" customHeight="1" x14ac:dyDescent="0.3"/>
    <row r="189" ht="22.2" customHeight="1" x14ac:dyDescent="0.3"/>
    <row r="190" ht="22.2" customHeight="1" x14ac:dyDescent="0.3"/>
    <row r="191" ht="22.2" customHeight="1" x14ac:dyDescent="0.3"/>
    <row r="192" ht="22.2" customHeight="1" x14ac:dyDescent="0.3"/>
    <row r="193" ht="22.2" customHeight="1" x14ac:dyDescent="0.3"/>
    <row r="194" ht="22.2" customHeight="1" x14ac:dyDescent="0.3"/>
    <row r="195" ht="22.2" customHeight="1" x14ac:dyDescent="0.3"/>
    <row r="196" ht="22.2" customHeight="1" x14ac:dyDescent="0.3"/>
    <row r="197" ht="22.2" customHeight="1" x14ac:dyDescent="0.3"/>
    <row r="198" ht="22.2" customHeight="1" x14ac:dyDescent="0.3"/>
    <row r="199" ht="22.2" customHeight="1" x14ac:dyDescent="0.3"/>
    <row r="200" ht="22.2" customHeight="1" x14ac:dyDescent="0.3"/>
    <row r="201" ht="22.2" customHeight="1" x14ac:dyDescent="0.3"/>
    <row r="202" ht="22.2" customHeight="1" x14ac:dyDescent="0.3"/>
    <row r="203" ht="22.2" customHeight="1" x14ac:dyDescent="0.3"/>
    <row r="204" ht="22.2" customHeight="1" x14ac:dyDescent="0.3"/>
    <row r="205" ht="22.2" customHeight="1" x14ac:dyDescent="0.3"/>
    <row r="206" ht="22.2" customHeight="1" x14ac:dyDescent="0.3"/>
    <row r="207" ht="22.2" customHeight="1" x14ac:dyDescent="0.3"/>
    <row r="208" ht="22.2" customHeight="1" x14ac:dyDescent="0.3"/>
    <row r="209" ht="22.2" customHeight="1" x14ac:dyDescent="0.3"/>
    <row r="210" ht="22.2" customHeight="1" x14ac:dyDescent="0.3"/>
    <row r="211" ht="22.2" customHeight="1" x14ac:dyDescent="0.3"/>
    <row r="212" ht="22.2" customHeight="1" x14ac:dyDescent="0.3"/>
    <row r="213" ht="22.2" customHeight="1" x14ac:dyDescent="0.3"/>
    <row r="214" ht="22.2" customHeight="1" x14ac:dyDescent="0.3"/>
    <row r="215" ht="22.2" customHeight="1" x14ac:dyDescent="0.3"/>
    <row r="216" ht="22.2" customHeight="1" x14ac:dyDescent="0.3"/>
    <row r="217" ht="22.2" customHeight="1" x14ac:dyDescent="0.3"/>
    <row r="218" ht="22.2" customHeight="1" x14ac:dyDescent="0.3"/>
    <row r="219" ht="22.2" customHeight="1" x14ac:dyDescent="0.3"/>
    <row r="220" ht="22.2" customHeight="1" x14ac:dyDescent="0.3"/>
    <row r="221" ht="22.2" customHeight="1" x14ac:dyDescent="0.3"/>
    <row r="222" ht="22.2" customHeight="1" x14ac:dyDescent="0.3"/>
    <row r="223" ht="22.2" customHeight="1" x14ac:dyDescent="0.3"/>
    <row r="224" ht="22.2" customHeight="1" x14ac:dyDescent="0.3"/>
    <row r="225" ht="22.2" customHeight="1" x14ac:dyDescent="0.3"/>
    <row r="226" ht="22.2" customHeight="1" x14ac:dyDescent="0.3"/>
    <row r="227" ht="22.2" customHeight="1" x14ac:dyDescent="0.3"/>
    <row r="228" ht="22.2" customHeight="1" x14ac:dyDescent="0.3"/>
    <row r="229" ht="22.2" customHeight="1" x14ac:dyDescent="0.3"/>
    <row r="230" ht="22.2" customHeight="1" x14ac:dyDescent="0.3"/>
    <row r="231" ht="22.2" customHeight="1" x14ac:dyDescent="0.3"/>
    <row r="232" ht="22.2" customHeight="1" x14ac:dyDescent="0.3"/>
    <row r="233" ht="22.2" customHeight="1" x14ac:dyDescent="0.3"/>
    <row r="234" ht="22.2" customHeight="1" x14ac:dyDescent="0.3"/>
    <row r="235" ht="22.2" customHeight="1" x14ac:dyDescent="0.3"/>
    <row r="236" ht="22.2" customHeight="1" x14ac:dyDescent="0.3"/>
    <row r="237" ht="22.2" customHeight="1" x14ac:dyDescent="0.3"/>
    <row r="238" ht="22.2" customHeight="1" x14ac:dyDescent="0.3"/>
    <row r="239" ht="22.2" customHeight="1" x14ac:dyDescent="0.3"/>
    <row r="240" ht="22.2" customHeight="1" x14ac:dyDescent="0.3"/>
    <row r="241" ht="22.2" customHeight="1" x14ac:dyDescent="0.3"/>
    <row r="242" ht="22.2" customHeight="1" x14ac:dyDescent="0.3"/>
    <row r="243" ht="22.2" customHeight="1" x14ac:dyDescent="0.3"/>
    <row r="244" ht="22.2" customHeight="1" x14ac:dyDescent="0.3"/>
    <row r="245" ht="22.2" customHeight="1" x14ac:dyDescent="0.3"/>
    <row r="246" ht="22.2" customHeight="1" x14ac:dyDescent="0.3"/>
    <row r="247" ht="22.2" customHeight="1" x14ac:dyDescent="0.3"/>
    <row r="248" ht="22.2" customHeight="1" x14ac:dyDescent="0.3"/>
    <row r="249" ht="22.2" customHeight="1" x14ac:dyDescent="0.3"/>
    <row r="250" ht="22.2" customHeight="1" x14ac:dyDescent="0.3"/>
    <row r="251" ht="22.2" customHeight="1" x14ac:dyDescent="0.3"/>
    <row r="252" ht="22.2" customHeight="1" x14ac:dyDescent="0.3"/>
    <row r="253" ht="22.2" customHeight="1" x14ac:dyDescent="0.3"/>
    <row r="254" ht="22.2" customHeight="1" x14ac:dyDescent="0.3"/>
    <row r="255" ht="22.2" customHeight="1" x14ac:dyDescent="0.3"/>
    <row r="256" ht="22.2" customHeight="1" x14ac:dyDescent="0.3"/>
    <row r="257" ht="22.2" customHeight="1" x14ac:dyDescent="0.3"/>
    <row r="258" ht="22.2" customHeight="1" x14ac:dyDescent="0.3"/>
    <row r="259" ht="22.2" customHeight="1" x14ac:dyDescent="0.3"/>
    <row r="260" ht="22.2" customHeight="1" x14ac:dyDescent="0.3"/>
    <row r="261" ht="22.2" customHeight="1" x14ac:dyDescent="0.3"/>
    <row r="262" ht="22.2" customHeight="1" x14ac:dyDescent="0.3"/>
    <row r="263" ht="22.2" customHeight="1" x14ac:dyDescent="0.3"/>
    <row r="264" ht="22.2" customHeight="1" x14ac:dyDescent="0.3"/>
    <row r="265" ht="22.2" customHeight="1" x14ac:dyDescent="0.3"/>
    <row r="266" ht="22.2" customHeight="1" x14ac:dyDescent="0.3"/>
    <row r="267" ht="22.2" customHeight="1" x14ac:dyDescent="0.3"/>
    <row r="268" ht="22.2" customHeight="1" x14ac:dyDescent="0.3"/>
    <row r="269" ht="22.2" customHeight="1" x14ac:dyDescent="0.3"/>
    <row r="270" ht="22.2" customHeight="1" x14ac:dyDescent="0.3"/>
    <row r="271" ht="22.2" customHeight="1" x14ac:dyDescent="0.3"/>
    <row r="272" ht="22.2" customHeight="1" x14ac:dyDescent="0.3"/>
    <row r="273" ht="22.2" customHeight="1" x14ac:dyDescent="0.3"/>
    <row r="274" ht="22.2" customHeight="1" x14ac:dyDescent="0.3"/>
    <row r="275" ht="22.2" customHeight="1" x14ac:dyDescent="0.3"/>
    <row r="276" ht="22.2" customHeight="1" x14ac:dyDescent="0.3"/>
    <row r="277" ht="22.2" customHeight="1" x14ac:dyDescent="0.3"/>
    <row r="278" ht="22.2" customHeight="1" x14ac:dyDescent="0.3"/>
    <row r="279" ht="22.2" customHeight="1" x14ac:dyDescent="0.3"/>
    <row r="280" ht="22.2" customHeight="1" x14ac:dyDescent="0.3"/>
    <row r="281" ht="22.2" customHeight="1" x14ac:dyDescent="0.3"/>
    <row r="282" ht="22.2" customHeight="1" x14ac:dyDescent="0.3"/>
    <row r="283" ht="22.2" customHeight="1" x14ac:dyDescent="0.3"/>
    <row r="284" ht="22.2" customHeight="1" x14ac:dyDescent="0.3"/>
    <row r="285" ht="22.2" customHeight="1" x14ac:dyDescent="0.3"/>
    <row r="286" ht="22.2" customHeight="1" x14ac:dyDescent="0.3"/>
    <row r="287" ht="22.2" customHeight="1" x14ac:dyDescent="0.3"/>
    <row r="288" ht="22.2" customHeight="1" x14ac:dyDescent="0.3"/>
    <row r="289" ht="22.2" customHeight="1" x14ac:dyDescent="0.3"/>
    <row r="290" ht="22.2" customHeight="1" x14ac:dyDescent="0.3"/>
    <row r="291" ht="22.2" customHeight="1" x14ac:dyDescent="0.3"/>
    <row r="292" ht="22.2" customHeight="1" x14ac:dyDescent="0.3"/>
    <row r="293" ht="22.2" customHeight="1" x14ac:dyDescent="0.3"/>
    <row r="294" ht="22.2" customHeight="1" x14ac:dyDescent="0.3"/>
    <row r="295" ht="22.2" customHeight="1" x14ac:dyDescent="0.3"/>
    <row r="296" ht="22.2" customHeight="1" x14ac:dyDescent="0.3"/>
    <row r="297" ht="22.2" customHeight="1" x14ac:dyDescent="0.3"/>
    <row r="298" ht="22.2" customHeight="1" x14ac:dyDescent="0.3"/>
    <row r="299" ht="22.2" customHeight="1" x14ac:dyDescent="0.3"/>
    <row r="300" ht="22.2" customHeight="1" x14ac:dyDescent="0.3"/>
    <row r="301" ht="22.2" customHeight="1" x14ac:dyDescent="0.3"/>
    <row r="302" ht="22.2" customHeight="1" x14ac:dyDescent="0.3"/>
    <row r="303" ht="22.2" customHeight="1" x14ac:dyDescent="0.3"/>
    <row r="304" ht="22.2" customHeight="1" x14ac:dyDescent="0.3"/>
    <row r="305" ht="22.2" customHeight="1" x14ac:dyDescent="0.3"/>
    <row r="306" ht="22.2" customHeight="1" x14ac:dyDescent="0.3"/>
    <row r="307" ht="22.2" customHeight="1" x14ac:dyDescent="0.3"/>
    <row r="308" ht="22.2" customHeight="1" x14ac:dyDescent="0.3"/>
    <row r="309" ht="22.2" customHeight="1" x14ac:dyDescent="0.3"/>
    <row r="310" ht="22.2" customHeight="1" x14ac:dyDescent="0.3"/>
    <row r="311" ht="22.2" customHeight="1" x14ac:dyDescent="0.3"/>
    <row r="312" ht="22.2" customHeight="1" x14ac:dyDescent="0.3"/>
    <row r="313" ht="22.2" customHeight="1" x14ac:dyDescent="0.3"/>
    <row r="314" ht="22.2" customHeight="1" x14ac:dyDescent="0.3"/>
    <row r="315" ht="22.2" customHeight="1" x14ac:dyDescent="0.3"/>
    <row r="316" ht="22.2" customHeight="1" x14ac:dyDescent="0.3"/>
    <row r="317" ht="22.2" customHeight="1" x14ac:dyDescent="0.3"/>
    <row r="318" ht="22.2" customHeight="1" x14ac:dyDescent="0.3"/>
    <row r="319" ht="22.2" customHeight="1" x14ac:dyDescent="0.3"/>
    <row r="320" ht="22.2" customHeight="1" x14ac:dyDescent="0.3"/>
    <row r="321" ht="22.2" customHeight="1" x14ac:dyDescent="0.3"/>
    <row r="322" ht="22.2" customHeight="1" x14ac:dyDescent="0.3"/>
    <row r="323" ht="22.2" customHeight="1" x14ac:dyDescent="0.3"/>
    <row r="324" ht="22.2" customHeight="1" x14ac:dyDescent="0.3"/>
    <row r="325" ht="22.2" customHeight="1" x14ac:dyDescent="0.3"/>
    <row r="326" ht="22.2" customHeight="1" x14ac:dyDescent="0.3"/>
    <row r="327" ht="22.2" customHeight="1" x14ac:dyDescent="0.3"/>
    <row r="328" ht="22.2" customHeight="1" x14ac:dyDescent="0.3"/>
    <row r="329" ht="22.2" customHeight="1" x14ac:dyDescent="0.3"/>
    <row r="330" ht="22.2" customHeight="1" x14ac:dyDescent="0.3"/>
    <row r="331" ht="22.2" customHeight="1" x14ac:dyDescent="0.3"/>
    <row r="332" ht="22.2" customHeight="1" x14ac:dyDescent="0.3"/>
    <row r="333" ht="22.2" customHeight="1" x14ac:dyDescent="0.3"/>
    <row r="334" ht="22.2" customHeight="1" x14ac:dyDescent="0.3"/>
    <row r="335" ht="22.2" customHeight="1" x14ac:dyDescent="0.3"/>
    <row r="336" ht="22.2" customHeight="1" x14ac:dyDescent="0.3"/>
    <row r="337" ht="22.2" customHeight="1" x14ac:dyDescent="0.3"/>
    <row r="338" ht="22.2" customHeight="1" x14ac:dyDescent="0.3"/>
    <row r="339" ht="22.2" customHeight="1" x14ac:dyDescent="0.3"/>
    <row r="340" ht="22.2" customHeight="1" x14ac:dyDescent="0.3"/>
    <row r="341" ht="22.2" customHeight="1" x14ac:dyDescent="0.3"/>
    <row r="342" ht="22.2" customHeight="1" x14ac:dyDescent="0.3"/>
    <row r="343" ht="22.2" customHeight="1" x14ac:dyDescent="0.3"/>
    <row r="344" ht="22.2" customHeight="1" x14ac:dyDescent="0.3"/>
    <row r="345" ht="22.2" customHeight="1" x14ac:dyDescent="0.3"/>
    <row r="346" ht="22.2" customHeight="1" x14ac:dyDescent="0.3"/>
    <row r="347" ht="22.2" customHeight="1" x14ac:dyDescent="0.3"/>
    <row r="348" ht="22.2" customHeight="1" x14ac:dyDescent="0.3"/>
    <row r="349" ht="22.2" customHeight="1" x14ac:dyDescent="0.3"/>
    <row r="350" ht="22.2" customHeight="1" x14ac:dyDescent="0.3"/>
    <row r="351" ht="22.2" customHeight="1" x14ac:dyDescent="0.3"/>
    <row r="352" ht="22.2" customHeight="1" x14ac:dyDescent="0.3"/>
    <row r="353" ht="22.2" customHeight="1" x14ac:dyDescent="0.3"/>
    <row r="354" ht="22.2" customHeight="1" x14ac:dyDescent="0.3"/>
    <row r="355" ht="22.2" customHeight="1" x14ac:dyDescent="0.3"/>
    <row r="356" ht="22.2" customHeight="1" x14ac:dyDescent="0.3"/>
    <row r="357" ht="22.2" customHeight="1" x14ac:dyDescent="0.3"/>
    <row r="358" ht="22.2" customHeight="1" x14ac:dyDescent="0.3"/>
    <row r="359" ht="22.2" customHeight="1" x14ac:dyDescent="0.3"/>
    <row r="360" ht="22.2" customHeight="1" x14ac:dyDescent="0.3"/>
    <row r="361" ht="22.2" customHeight="1" x14ac:dyDescent="0.3"/>
    <row r="362" ht="22.2" customHeight="1" x14ac:dyDescent="0.3"/>
    <row r="363" ht="22.2" customHeight="1" x14ac:dyDescent="0.3"/>
    <row r="364" ht="22.2" customHeight="1" x14ac:dyDescent="0.3"/>
    <row r="365" ht="22.2" customHeight="1" x14ac:dyDescent="0.3"/>
    <row r="366" ht="22.2" customHeight="1" x14ac:dyDescent="0.3"/>
    <row r="367" ht="22.2" customHeight="1" x14ac:dyDescent="0.3"/>
    <row r="368" ht="22.2" customHeight="1" x14ac:dyDescent="0.3"/>
    <row r="369" ht="22.2" customHeight="1" x14ac:dyDescent="0.3"/>
    <row r="370" ht="22.2" customHeight="1" x14ac:dyDescent="0.3"/>
    <row r="371" ht="22.2" customHeight="1" x14ac:dyDescent="0.3"/>
    <row r="372" ht="22.2" customHeight="1" x14ac:dyDescent="0.3"/>
    <row r="373" ht="22.2" customHeight="1" x14ac:dyDescent="0.3"/>
    <row r="374" ht="22.2" customHeight="1" x14ac:dyDescent="0.3"/>
    <row r="375" ht="22.2" customHeight="1" x14ac:dyDescent="0.3"/>
    <row r="376" ht="22.2" customHeight="1" x14ac:dyDescent="0.3"/>
    <row r="377" ht="22.2" customHeight="1" x14ac:dyDescent="0.3"/>
    <row r="378" ht="22.2" customHeight="1" x14ac:dyDescent="0.3"/>
    <row r="379" ht="22.2" customHeight="1" x14ac:dyDescent="0.3"/>
    <row r="380" ht="22.2" customHeight="1" x14ac:dyDescent="0.3"/>
    <row r="381" ht="22.2" customHeight="1" x14ac:dyDescent="0.3"/>
    <row r="382" ht="22.2" customHeight="1" x14ac:dyDescent="0.3"/>
    <row r="383" ht="22.2" customHeight="1" x14ac:dyDescent="0.3"/>
    <row r="384" ht="22.2" customHeight="1" x14ac:dyDescent="0.3"/>
    <row r="385" ht="22.2" customHeight="1" x14ac:dyDescent="0.3"/>
    <row r="386" ht="22.2" customHeight="1" x14ac:dyDescent="0.3"/>
    <row r="387" ht="22.2" customHeight="1" x14ac:dyDescent="0.3"/>
    <row r="388" ht="22.2" customHeight="1" x14ac:dyDescent="0.3"/>
    <row r="389" ht="22.2" customHeight="1" x14ac:dyDescent="0.3"/>
    <row r="390" ht="22.2" customHeight="1" x14ac:dyDescent="0.3"/>
    <row r="391" ht="22.2" customHeight="1" x14ac:dyDescent="0.3"/>
    <row r="392" ht="22.2" customHeight="1" x14ac:dyDescent="0.3"/>
    <row r="393" ht="22.2" customHeight="1" x14ac:dyDescent="0.3"/>
    <row r="394" ht="22.2" customHeight="1" x14ac:dyDescent="0.3"/>
    <row r="395" ht="22.2" customHeight="1" x14ac:dyDescent="0.3"/>
    <row r="396" ht="22.2" customHeight="1" x14ac:dyDescent="0.3"/>
    <row r="397" ht="22.2" customHeight="1" x14ac:dyDescent="0.3"/>
    <row r="398" ht="22.2" customHeight="1" x14ac:dyDescent="0.3"/>
    <row r="399" ht="22.2" customHeight="1" x14ac:dyDescent="0.3"/>
    <row r="400" ht="22.2" customHeight="1" x14ac:dyDescent="0.3"/>
    <row r="401" ht="22.2" customHeight="1" x14ac:dyDescent="0.3"/>
    <row r="402" ht="22.2" customHeight="1" x14ac:dyDescent="0.3"/>
    <row r="403" ht="22.2" customHeight="1" x14ac:dyDescent="0.3"/>
    <row r="404" ht="22.2" customHeight="1" x14ac:dyDescent="0.3"/>
    <row r="405" ht="22.2" customHeight="1" x14ac:dyDescent="0.3"/>
    <row r="406" ht="22.2" customHeight="1" x14ac:dyDescent="0.3"/>
    <row r="407" ht="22.2" customHeight="1" x14ac:dyDescent="0.3"/>
    <row r="408" ht="22.2" customHeight="1" x14ac:dyDescent="0.3"/>
    <row r="409" ht="22.2" customHeight="1" x14ac:dyDescent="0.3"/>
    <row r="410" ht="22.2" customHeight="1" x14ac:dyDescent="0.3"/>
    <row r="411" ht="22.2" customHeight="1" x14ac:dyDescent="0.3"/>
    <row r="412" ht="22.2" customHeight="1" x14ac:dyDescent="0.3"/>
    <row r="413" ht="22.2" customHeight="1" x14ac:dyDescent="0.3"/>
    <row r="414" ht="22.2" customHeight="1" x14ac:dyDescent="0.3"/>
    <row r="415" ht="22.2" customHeight="1" x14ac:dyDescent="0.3"/>
    <row r="416" ht="22.2" customHeight="1" x14ac:dyDescent="0.3"/>
    <row r="417" ht="22.2" customHeight="1" x14ac:dyDescent="0.3"/>
    <row r="418" ht="22.2" customHeight="1" x14ac:dyDescent="0.3"/>
    <row r="419" ht="22.2" customHeight="1" x14ac:dyDescent="0.3"/>
    <row r="420" ht="22.2" customHeight="1" x14ac:dyDescent="0.3"/>
    <row r="421" ht="22.2" customHeight="1" x14ac:dyDescent="0.3"/>
    <row r="422" ht="22.2" customHeight="1" x14ac:dyDescent="0.3"/>
    <row r="423" ht="22.2" customHeight="1" x14ac:dyDescent="0.3"/>
    <row r="424" ht="22.2" customHeight="1" x14ac:dyDescent="0.3"/>
    <row r="425" ht="22.2" customHeight="1" x14ac:dyDescent="0.3"/>
    <row r="426" ht="22.2" customHeight="1" x14ac:dyDescent="0.3"/>
    <row r="427" ht="22.2" customHeight="1" x14ac:dyDescent="0.3"/>
    <row r="428" ht="22.2" customHeight="1" x14ac:dyDescent="0.3"/>
    <row r="429" ht="22.2" customHeight="1" x14ac:dyDescent="0.3"/>
    <row r="430" ht="22.2" customHeight="1" x14ac:dyDescent="0.3"/>
    <row r="431" ht="22.2" customHeight="1" x14ac:dyDescent="0.3"/>
    <row r="432" ht="22.2" customHeight="1" x14ac:dyDescent="0.3"/>
    <row r="433" ht="22.2" customHeight="1" x14ac:dyDescent="0.3"/>
    <row r="434" ht="22.2" customHeight="1" x14ac:dyDescent="0.3"/>
    <row r="435" ht="22.2" customHeight="1" x14ac:dyDescent="0.3"/>
    <row r="436" ht="22.2" customHeight="1" x14ac:dyDescent="0.3"/>
    <row r="437" ht="22.2" customHeight="1" x14ac:dyDescent="0.3"/>
    <row r="438" ht="22.2" customHeight="1" x14ac:dyDescent="0.3"/>
    <row r="439" ht="22.2" customHeight="1" x14ac:dyDescent="0.3"/>
    <row r="440" ht="22.2" customHeight="1" x14ac:dyDescent="0.3"/>
    <row r="441" ht="22.2" customHeight="1" x14ac:dyDescent="0.3"/>
    <row r="442" ht="22.2" customHeight="1" x14ac:dyDescent="0.3"/>
    <row r="443" ht="22.2" customHeight="1" x14ac:dyDescent="0.3"/>
    <row r="444" ht="22.2" customHeight="1" x14ac:dyDescent="0.3"/>
    <row r="445" ht="22.2" customHeight="1" x14ac:dyDescent="0.3"/>
    <row r="446" ht="22.2" customHeight="1" x14ac:dyDescent="0.3"/>
    <row r="447" ht="22.2" customHeight="1" x14ac:dyDescent="0.3"/>
    <row r="448" ht="22.2" customHeight="1" x14ac:dyDescent="0.3"/>
    <row r="449" ht="22.2" customHeight="1" x14ac:dyDescent="0.3"/>
    <row r="450" ht="22.2" customHeight="1" x14ac:dyDescent="0.3"/>
    <row r="451" ht="22.2" customHeight="1" x14ac:dyDescent="0.3"/>
    <row r="452" ht="22.2" customHeight="1" x14ac:dyDescent="0.3"/>
    <row r="453" ht="22.2" customHeight="1" x14ac:dyDescent="0.3"/>
    <row r="454" ht="22.2" customHeight="1" x14ac:dyDescent="0.3"/>
    <row r="455" ht="22.2" customHeight="1" x14ac:dyDescent="0.3"/>
    <row r="456" ht="22.2" customHeight="1" x14ac:dyDescent="0.3"/>
    <row r="457" ht="22.2" customHeight="1" x14ac:dyDescent="0.3"/>
    <row r="458" ht="22.2" customHeight="1" x14ac:dyDescent="0.3"/>
    <row r="459" ht="22.2" customHeight="1" x14ac:dyDescent="0.3"/>
    <row r="460" ht="22.2" customHeight="1" x14ac:dyDescent="0.3"/>
    <row r="461" ht="22.2" customHeight="1" x14ac:dyDescent="0.3"/>
    <row r="462" ht="22.2" customHeight="1" x14ac:dyDescent="0.3"/>
    <row r="463" ht="22.2" customHeight="1" x14ac:dyDescent="0.3"/>
    <row r="464" ht="22.2" customHeight="1" x14ac:dyDescent="0.3"/>
    <row r="465" ht="22.2" customHeight="1" x14ac:dyDescent="0.3"/>
    <row r="466" ht="22.2" customHeight="1" x14ac:dyDescent="0.3"/>
    <row r="467" ht="22.2" customHeight="1" x14ac:dyDescent="0.3"/>
    <row r="468" ht="22.2" customHeight="1" x14ac:dyDescent="0.3"/>
    <row r="469" ht="22.2" customHeight="1" x14ac:dyDescent="0.3"/>
    <row r="470" ht="22.2" customHeight="1" x14ac:dyDescent="0.3"/>
    <row r="471" ht="22.2" customHeight="1" x14ac:dyDescent="0.3"/>
    <row r="472" ht="22.2" customHeight="1" x14ac:dyDescent="0.3"/>
    <row r="473" ht="22.2" customHeight="1" x14ac:dyDescent="0.3"/>
    <row r="474" ht="22.2" customHeight="1" x14ac:dyDescent="0.3"/>
    <row r="475" ht="22.2" customHeight="1" x14ac:dyDescent="0.3"/>
    <row r="476" ht="22.2" customHeight="1" x14ac:dyDescent="0.3"/>
    <row r="477" ht="22.2" customHeight="1" x14ac:dyDescent="0.3"/>
    <row r="478" ht="22.2" customHeight="1" x14ac:dyDescent="0.3"/>
    <row r="479" ht="22.2" customHeight="1" x14ac:dyDescent="0.3"/>
    <row r="480" ht="22.2" customHeight="1" x14ac:dyDescent="0.3"/>
    <row r="481" ht="22.2" customHeight="1" x14ac:dyDescent="0.3"/>
    <row r="482" ht="22.2" customHeight="1" x14ac:dyDescent="0.3"/>
    <row r="483" ht="22.2" customHeight="1" x14ac:dyDescent="0.3"/>
    <row r="484" ht="22.2" customHeight="1" x14ac:dyDescent="0.3"/>
    <row r="485" ht="22.2" customHeight="1" x14ac:dyDescent="0.3"/>
    <row r="486" ht="22.2" customHeight="1" x14ac:dyDescent="0.3"/>
    <row r="487" ht="22.2" customHeight="1" x14ac:dyDescent="0.3"/>
    <row r="488" ht="22.2" customHeight="1" x14ac:dyDescent="0.3"/>
    <row r="489" ht="22.2" customHeight="1" x14ac:dyDescent="0.3"/>
    <row r="490" ht="22.2" customHeight="1" x14ac:dyDescent="0.3"/>
    <row r="491" ht="22.2" customHeight="1" x14ac:dyDescent="0.3"/>
    <row r="492" ht="22.2" customHeight="1" x14ac:dyDescent="0.3"/>
    <row r="493" ht="22.2" customHeight="1" x14ac:dyDescent="0.3"/>
    <row r="494" ht="22.2" customHeight="1" x14ac:dyDescent="0.3"/>
    <row r="495" ht="22.2" customHeight="1" x14ac:dyDescent="0.3"/>
    <row r="496" ht="22.2" customHeight="1" x14ac:dyDescent="0.3"/>
    <row r="497" ht="22.2" customHeight="1" x14ac:dyDescent="0.3"/>
    <row r="498" ht="22.2" customHeight="1" x14ac:dyDescent="0.3"/>
    <row r="499" ht="22.2" customHeight="1" x14ac:dyDescent="0.3"/>
    <row r="500" ht="22.2" customHeight="1" x14ac:dyDescent="0.3"/>
    <row r="501" ht="22.2" customHeight="1" x14ac:dyDescent="0.3"/>
    <row r="502" ht="22.2" customHeight="1" x14ac:dyDescent="0.3"/>
    <row r="503" ht="22.2" customHeight="1" x14ac:dyDescent="0.3"/>
    <row r="504" ht="22.2" customHeight="1" x14ac:dyDescent="0.3"/>
    <row r="505" ht="22.2" customHeight="1" x14ac:dyDescent="0.3"/>
    <row r="506" ht="22.2" customHeight="1" x14ac:dyDescent="0.3"/>
    <row r="507" ht="22.2" customHeight="1" x14ac:dyDescent="0.3"/>
    <row r="508" ht="22.2" customHeight="1" x14ac:dyDescent="0.3"/>
    <row r="509" ht="22.2" customHeight="1" x14ac:dyDescent="0.3"/>
    <row r="510" ht="22.2" customHeight="1" x14ac:dyDescent="0.3"/>
    <row r="511" ht="22.2" customHeight="1" x14ac:dyDescent="0.3"/>
    <row r="512" ht="22.2" customHeight="1" x14ac:dyDescent="0.3"/>
    <row r="513" ht="22.2" customHeight="1" x14ac:dyDescent="0.3"/>
    <row r="514" ht="22.2" customHeight="1" x14ac:dyDescent="0.3"/>
    <row r="515" ht="22.2" customHeight="1" x14ac:dyDescent="0.3"/>
    <row r="516" ht="22.2" customHeight="1" x14ac:dyDescent="0.3"/>
    <row r="517" ht="22.2" customHeight="1" x14ac:dyDescent="0.3"/>
    <row r="518" ht="22.2" customHeight="1" x14ac:dyDescent="0.3"/>
    <row r="519" ht="22.2" customHeight="1" x14ac:dyDescent="0.3"/>
    <row r="520" ht="22.2" customHeight="1" x14ac:dyDescent="0.3"/>
    <row r="521" ht="22.2" customHeight="1" x14ac:dyDescent="0.3"/>
    <row r="522" ht="22.2" customHeight="1" x14ac:dyDescent="0.3"/>
    <row r="523" ht="22.2" customHeight="1" x14ac:dyDescent="0.3"/>
    <row r="524" ht="22.2" customHeight="1" x14ac:dyDescent="0.3"/>
    <row r="525" ht="22.2" customHeight="1" x14ac:dyDescent="0.3"/>
    <row r="526" ht="22.2" customHeight="1" x14ac:dyDescent="0.3"/>
    <row r="527" ht="22.2" customHeight="1" x14ac:dyDescent="0.3"/>
    <row r="528" ht="22.2" customHeight="1" x14ac:dyDescent="0.3"/>
    <row r="529" ht="22.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mHeight="1" x14ac:dyDescent="0.3"/>
    <row r="534" ht="22.2" customHeight="1" x14ac:dyDescent="0.3"/>
    <row r="535" ht="22.2" customHeight="1" x14ac:dyDescent="0.3"/>
    <row r="536" ht="22.2" customHeight="1" x14ac:dyDescent="0.3"/>
    <row r="537" ht="22.2" customHeight="1" x14ac:dyDescent="0.3"/>
    <row r="538" ht="22.2" customHeight="1" x14ac:dyDescent="0.3"/>
    <row r="539" ht="22.2" customHeight="1" x14ac:dyDescent="0.3"/>
    <row r="540" ht="22.2" customHeight="1" x14ac:dyDescent="0.3"/>
    <row r="541" ht="22.2" customHeight="1" x14ac:dyDescent="0.3"/>
    <row r="542" ht="22.2" customHeight="1" x14ac:dyDescent="0.3"/>
    <row r="543" ht="22.2" customHeight="1" x14ac:dyDescent="0.3"/>
    <row r="544" ht="22.2" customHeight="1" x14ac:dyDescent="0.3"/>
    <row r="545" ht="22.2" customHeight="1" x14ac:dyDescent="0.3"/>
    <row r="546" ht="22.2" customHeight="1" x14ac:dyDescent="0.3"/>
    <row r="547" ht="22.2" customHeight="1" x14ac:dyDescent="0.3"/>
    <row r="548" ht="22.2" customHeight="1" x14ac:dyDescent="0.3"/>
    <row r="549" ht="22.2" customHeight="1" x14ac:dyDescent="0.3"/>
    <row r="550" ht="22.2" customHeight="1" x14ac:dyDescent="0.3"/>
    <row r="551" ht="22.2" customHeight="1" x14ac:dyDescent="0.3"/>
    <row r="552" ht="22.2" customHeight="1" x14ac:dyDescent="0.3"/>
    <row r="553" ht="22.2" customHeight="1" x14ac:dyDescent="0.3"/>
    <row r="554" ht="22.2" customHeight="1" x14ac:dyDescent="0.3"/>
    <row r="555" ht="22.2" customHeight="1" x14ac:dyDescent="0.3"/>
    <row r="556" ht="22.2" customHeight="1" x14ac:dyDescent="0.3"/>
    <row r="557" ht="22.2" customHeight="1" x14ac:dyDescent="0.3"/>
    <row r="558" ht="22.2" customHeight="1" x14ac:dyDescent="0.3"/>
    <row r="559" ht="22.2" customHeight="1" x14ac:dyDescent="0.3"/>
    <row r="560" ht="22.2" customHeight="1" x14ac:dyDescent="0.3"/>
    <row r="561" ht="22.2" customHeight="1" x14ac:dyDescent="0.3"/>
    <row r="562" ht="22.2" customHeight="1" x14ac:dyDescent="0.3"/>
    <row r="563" ht="22.2" customHeight="1" x14ac:dyDescent="0.3"/>
    <row r="564" ht="22.2" customHeight="1" x14ac:dyDescent="0.3"/>
    <row r="565" ht="22.2" customHeight="1" x14ac:dyDescent="0.3"/>
    <row r="566" ht="22.2" customHeight="1" x14ac:dyDescent="0.3"/>
    <row r="567" ht="22.2" customHeight="1" x14ac:dyDescent="0.3"/>
    <row r="568" ht="22.2" customHeight="1" x14ac:dyDescent="0.3"/>
    <row r="569" ht="22.2" customHeight="1" x14ac:dyDescent="0.3"/>
    <row r="570" ht="22.2" customHeight="1" x14ac:dyDescent="0.3"/>
    <row r="571" ht="22.2" customHeight="1" x14ac:dyDescent="0.3"/>
    <row r="572" ht="22.2" customHeight="1" x14ac:dyDescent="0.3"/>
    <row r="573" ht="22.2" customHeight="1" x14ac:dyDescent="0.3"/>
    <row r="574" ht="22.2" customHeight="1" x14ac:dyDescent="0.3"/>
    <row r="575" ht="22.2" customHeight="1" x14ac:dyDescent="0.3"/>
    <row r="576" ht="22.2" customHeight="1" x14ac:dyDescent="0.3"/>
    <row r="577" ht="22.2" customHeight="1" x14ac:dyDescent="0.3"/>
    <row r="578" ht="22.2" customHeight="1" x14ac:dyDescent="0.3"/>
    <row r="579" ht="22.2" customHeight="1" x14ac:dyDescent="0.3"/>
    <row r="580" ht="22.2" customHeight="1" x14ac:dyDescent="0.3"/>
    <row r="581" ht="22.2" customHeight="1" x14ac:dyDescent="0.3"/>
    <row r="582" ht="22.2" customHeight="1" x14ac:dyDescent="0.3"/>
    <row r="583" ht="22.2" customHeight="1" x14ac:dyDescent="0.3"/>
    <row r="584" ht="22.2" customHeight="1" x14ac:dyDescent="0.3"/>
    <row r="585" ht="22.2" customHeight="1" x14ac:dyDescent="0.3"/>
    <row r="586" ht="22.2" customHeight="1" x14ac:dyDescent="0.3"/>
    <row r="587" ht="22.2" customHeight="1" x14ac:dyDescent="0.3"/>
    <row r="588" ht="22.2" customHeight="1" x14ac:dyDescent="0.3"/>
    <row r="589" ht="22.2" customHeight="1" x14ac:dyDescent="0.3"/>
    <row r="590" ht="22.2" customHeight="1" x14ac:dyDescent="0.3"/>
    <row r="591" ht="22.2" customHeight="1" x14ac:dyDescent="0.3"/>
    <row r="592" ht="22.2" customHeight="1" x14ac:dyDescent="0.3"/>
    <row r="593" ht="22.2" customHeight="1" x14ac:dyDescent="0.3"/>
    <row r="594" ht="22.2" customHeight="1" x14ac:dyDescent="0.3"/>
    <row r="595" ht="22.2" customHeight="1" x14ac:dyDescent="0.3"/>
    <row r="596" ht="22.2" customHeight="1" x14ac:dyDescent="0.3"/>
    <row r="597" ht="22.2" customHeight="1" x14ac:dyDescent="0.3"/>
    <row r="598" ht="22.2" customHeight="1" x14ac:dyDescent="0.3"/>
    <row r="599" ht="22.2" customHeight="1" x14ac:dyDescent="0.3"/>
    <row r="600" ht="22.2" customHeight="1" x14ac:dyDescent="0.3"/>
    <row r="601" ht="22.2" customHeight="1" x14ac:dyDescent="0.3"/>
    <row r="602" ht="22.2" customHeight="1" x14ac:dyDescent="0.3"/>
    <row r="603" ht="22.2" customHeight="1" x14ac:dyDescent="0.3"/>
    <row r="604" ht="22.2" customHeight="1" x14ac:dyDescent="0.3"/>
    <row r="605" ht="22.2" customHeight="1" x14ac:dyDescent="0.3"/>
    <row r="606" ht="22.2" customHeight="1" x14ac:dyDescent="0.3"/>
    <row r="607" ht="22.2" customHeight="1" x14ac:dyDescent="0.3"/>
    <row r="608" ht="22.2" customHeight="1" x14ac:dyDescent="0.3"/>
    <row r="609" ht="22.2" customHeight="1" x14ac:dyDescent="0.3"/>
    <row r="610" ht="22.2" customHeight="1" x14ac:dyDescent="0.3"/>
    <row r="611" ht="22.2" customHeight="1" x14ac:dyDescent="0.3"/>
    <row r="612" ht="22.2" customHeight="1" x14ac:dyDescent="0.3"/>
    <row r="613" ht="22.2" customHeight="1" x14ac:dyDescent="0.3"/>
    <row r="614" ht="22.2" customHeight="1" x14ac:dyDescent="0.3"/>
    <row r="615" ht="22.2" customHeight="1" x14ac:dyDescent="0.3"/>
    <row r="616" ht="22.2" customHeight="1" x14ac:dyDescent="0.3"/>
    <row r="617" ht="22.2" customHeight="1" x14ac:dyDescent="0.3"/>
    <row r="618" ht="22.2" customHeight="1" x14ac:dyDescent="0.3"/>
    <row r="619" ht="22.2" customHeight="1" x14ac:dyDescent="0.3"/>
    <row r="620" ht="22.2" customHeight="1" x14ac:dyDescent="0.3"/>
    <row r="621" ht="22.2" customHeight="1" x14ac:dyDescent="0.3"/>
    <row r="622" ht="22.2" customHeight="1" x14ac:dyDescent="0.3"/>
    <row r="623" ht="22.2" customHeight="1" x14ac:dyDescent="0.3"/>
    <row r="624" ht="22.2" customHeight="1" x14ac:dyDescent="0.3"/>
    <row r="625" ht="22.2" customHeight="1" x14ac:dyDescent="0.3"/>
    <row r="626" ht="22.2" customHeight="1" x14ac:dyDescent="0.3"/>
    <row r="627" ht="22.2" customHeight="1" x14ac:dyDescent="0.3"/>
    <row r="628" ht="22.2" customHeight="1" x14ac:dyDescent="0.3"/>
    <row r="629" ht="22.2" customHeight="1" x14ac:dyDescent="0.3"/>
    <row r="630" ht="22.2" customHeight="1" x14ac:dyDescent="0.3"/>
    <row r="631" ht="22.2" customHeight="1" x14ac:dyDescent="0.3"/>
    <row r="632" ht="22.2" customHeight="1" x14ac:dyDescent="0.3"/>
    <row r="633" ht="22.2" customHeight="1" x14ac:dyDescent="0.3"/>
    <row r="634" ht="22.2" customHeight="1" x14ac:dyDescent="0.3"/>
    <row r="635" ht="22.2" customHeight="1" x14ac:dyDescent="0.3"/>
    <row r="636" ht="22.2" customHeight="1" x14ac:dyDescent="0.3"/>
    <row r="637" ht="22.2" customHeight="1" x14ac:dyDescent="0.3"/>
    <row r="638" ht="22.2" customHeight="1" x14ac:dyDescent="0.3"/>
    <row r="639" ht="22.2" customHeight="1" x14ac:dyDescent="0.3"/>
    <row r="640" ht="22.2" customHeight="1" x14ac:dyDescent="0.3"/>
    <row r="641" ht="22.2" customHeight="1" x14ac:dyDescent="0.3"/>
    <row r="642" ht="22.2" customHeight="1" x14ac:dyDescent="0.3"/>
    <row r="643" ht="22.2" customHeight="1" x14ac:dyDescent="0.3"/>
    <row r="644" ht="22.2" customHeight="1" x14ac:dyDescent="0.3"/>
    <row r="645" ht="22.2" customHeight="1" x14ac:dyDescent="0.3"/>
    <row r="646" ht="22.2" customHeight="1" x14ac:dyDescent="0.3"/>
    <row r="647" ht="22.2" customHeight="1" x14ac:dyDescent="0.3"/>
    <row r="648" ht="22.2" customHeight="1" x14ac:dyDescent="0.3"/>
    <row r="649" ht="22.2" customHeight="1" x14ac:dyDescent="0.3"/>
    <row r="650" ht="22.2" customHeight="1" x14ac:dyDescent="0.3"/>
    <row r="651" ht="22.2" customHeight="1" x14ac:dyDescent="0.3"/>
    <row r="652" ht="22.2" customHeight="1" x14ac:dyDescent="0.3"/>
    <row r="653" ht="22.2" customHeight="1" x14ac:dyDescent="0.3"/>
    <row r="654" ht="22.2" customHeight="1" x14ac:dyDescent="0.3"/>
    <row r="655" ht="22.2" customHeight="1" x14ac:dyDescent="0.3"/>
    <row r="656" ht="22.2" customHeight="1" x14ac:dyDescent="0.3"/>
    <row r="657" ht="22.2" customHeight="1" x14ac:dyDescent="0.3"/>
    <row r="658" ht="22.2" customHeight="1" x14ac:dyDescent="0.3"/>
    <row r="659" ht="22.2" customHeight="1" x14ac:dyDescent="0.3"/>
    <row r="660" ht="22.2" customHeight="1" x14ac:dyDescent="0.3"/>
    <row r="661" ht="22.2" customHeight="1" x14ac:dyDescent="0.3"/>
    <row r="662" ht="22.2" customHeight="1" x14ac:dyDescent="0.3"/>
    <row r="663" ht="22.2" customHeight="1" x14ac:dyDescent="0.3"/>
    <row r="664" ht="22.2" customHeight="1" x14ac:dyDescent="0.3"/>
    <row r="665" ht="22.2" customHeight="1" x14ac:dyDescent="0.3"/>
    <row r="666" ht="22.2" customHeight="1" x14ac:dyDescent="0.3"/>
    <row r="667" ht="22.2" customHeight="1" x14ac:dyDescent="0.3"/>
    <row r="668" ht="22.2" customHeight="1" x14ac:dyDescent="0.3"/>
    <row r="669" ht="22.2" customHeight="1" x14ac:dyDescent="0.3"/>
    <row r="670" ht="22.2" customHeight="1" x14ac:dyDescent="0.3"/>
    <row r="671" ht="22.2" customHeight="1" x14ac:dyDescent="0.3"/>
    <row r="672" ht="22.2" customHeight="1" x14ac:dyDescent="0.3"/>
    <row r="673" ht="22.2" customHeight="1" x14ac:dyDescent="0.3"/>
    <row r="674" ht="22.2" customHeight="1" x14ac:dyDescent="0.3"/>
    <row r="675" ht="22.2" customHeight="1" x14ac:dyDescent="0.3"/>
    <row r="676" ht="22.2" customHeight="1" x14ac:dyDescent="0.3"/>
    <row r="677" ht="22.2" customHeight="1" x14ac:dyDescent="0.3"/>
    <row r="678" ht="22.2" customHeight="1" x14ac:dyDescent="0.3"/>
    <row r="679" ht="22.2" customHeight="1" x14ac:dyDescent="0.3"/>
    <row r="680" ht="22.2" customHeight="1" x14ac:dyDescent="0.3"/>
    <row r="681" ht="22.2" customHeight="1" x14ac:dyDescent="0.3"/>
    <row r="682" ht="22.2" customHeight="1" x14ac:dyDescent="0.3"/>
    <row r="683" ht="22.2" customHeight="1" x14ac:dyDescent="0.3"/>
    <row r="684" ht="22.2" customHeight="1" x14ac:dyDescent="0.3"/>
    <row r="685" ht="22.2" customHeight="1" x14ac:dyDescent="0.3"/>
    <row r="686" ht="22.2" customHeight="1" x14ac:dyDescent="0.3"/>
    <row r="687" ht="22.2" customHeight="1" x14ac:dyDescent="0.3"/>
    <row r="688" ht="22.2" customHeight="1" x14ac:dyDescent="0.3"/>
    <row r="689" ht="22.2" customHeight="1" x14ac:dyDescent="0.3"/>
    <row r="690" ht="22.2" customHeight="1" x14ac:dyDescent="0.3"/>
    <row r="691" ht="22.2" customHeight="1" x14ac:dyDescent="0.3"/>
    <row r="692" ht="22.2" customHeight="1" x14ac:dyDescent="0.3"/>
    <row r="693" ht="22.2" customHeight="1" x14ac:dyDescent="0.3"/>
    <row r="694" ht="22.2" customHeight="1" x14ac:dyDescent="0.3"/>
    <row r="695" ht="22.2" customHeight="1" x14ac:dyDescent="0.3"/>
    <row r="696" ht="22.2" customHeight="1" x14ac:dyDescent="0.3"/>
    <row r="697" ht="22.2" customHeight="1" x14ac:dyDescent="0.3"/>
    <row r="698" ht="22.2" customHeight="1" x14ac:dyDescent="0.3"/>
    <row r="699" ht="22.2" customHeight="1" x14ac:dyDescent="0.3"/>
    <row r="700" ht="22.2" customHeight="1" x14ac:dyDescent="0.3"/>
    <row r="701" ht="22.2" customHeight="1" x14ac:dyDescent="0.3"/>
    <row r="702" ht="22.2" customHeight="1" x14ac:dyDescent="0.3"/>
    <row r="703" ht="22.2" customHeight="1" x14ac:dyDescent="0.3"/>
    <row r="704" ht="22.2" customHeight="1" x14ac:dyDescent="0.3"/>
    <row r="705" ht="22.2" customHeight="1" x14ac:dyDescent="0.3"/>
    <row r="706" ht="22.2" customHeight="1" x14ac:dyDescent="0.3"/>
    <row r="707" ht="22.2" customHeight="1" x14ac:dyDescent="0.3"/>
    <row r="708" ht="22.2" customHeight="1" x14ac:dyDescent="0.3"/>
    <row r="709" ht="22.2" customHeight="1" x14ac:dyDescent="0.3"/>
    <row r="710" ht="22.2" customHeight="1" x14ac:dyDescent="0.3"/>
    <row r="711" ht="22.2" customHeight="1" x14ac:dyDescent="0.3"/>
    <row r="712" ht="22.2" customHeight="1" x14ac:dyDescent="0.3"/>
    <row r="713" ht="22.2" customHeight="1" x14ac:dyDescent="0.3"/>
    <row r="714" ht="22.2" customHeight="1" x14ac:dyDescent="0.3"/>
    <row r="715" ht="22.2" customHeight="1" x14ac:dyDescent="0.3"/>
    <row r="716" ht="22.2" customHeight="1" x14ac:dyDescent="0.3"/>
    <row r="717" ht="22.2" customHeight="1" x14ac:dyDescent="0.3"/>
    <row r="718" ht="22.2" customHeight="1" x14ac:dyDescent="0.3"/>
    <row r="719" ht="22.2" customHeight="1" x14ac:dyDescent="0.3"/>
    <row r="720" ht="22.2" customHeight="1" x14ac:dyDescent="0.3"/>
    <row r="721" ht="22.2" customHeight="1" x14ac:dyDescent="0.3"/>
    <row r="722" ht="22.2" customHeight="1" x14ac:dyDescent="0.3"/>
    <row r="723" ht="22.2" customHeight="1" x14ac:dyDescent="0.3"/>
    <row r="724" ht="22.2" customHeight="1" x14ac:dyDescent="0.3"/>
    <row r="725" ht="22.2" customHeight="1" x14ac:dyDescent="0.3"/>
    <row r="726" ht="22.2" customHeight="1" x14ac:dyDescent="0.3"/>
    <row r="727" ht="22.2" customHeight="1" x14ac:dyDescent="0.3"/>
    <row r="728" ht="22.2" customHeight="1" x14ac:dyDescent="0.3"/>
    <row r="729" ht="22.2" customHeight="1" x14ac:dyDescent="0.3"/>
    <row r="730" ht="22.2" customHeight="1" x14ac:dyDescent="0.3"/>
    <row r="731" ht="22.2" customHeight="1" x14ac:dyDescent="0.3"/>
    <row r="732" ht="22.2" customHeight="1" x14ac:dyDescent="0.3"/>
    <row r="733" ht="22.2" customHeight="1" x14ac:dyDescent="0.3"/>
    <row r="734" ht="22.2" customHeight="1" x14ac:dyDescent="0.3"/>
    <row r="735" ht="22.2" customHeight="1" x14ac:dyDescent="0.3"/>
    <row r="736" ht="22.2" customHeight="1" x14ac:dyDescent="0.3"/>
    <row r="737" ht="22.2" customHeight="1" x14ac:dyDescent="0.3"/>
    <row r="738" ht="22.2" customHeight="1" x14ac:dyDescent="0.3"/>
    <row r="739" ht="22.2" customHeight="1" x14ac:dyDescent="0.3"/>
    <row r="740" ht="22.2" customHeight="1" x14ac:dyDescent="0.3"/>
    <row r="741" ht="22.2" customHeight="1" x14ac:dyDescent="0.3"/>
    <row r="742" ht="22.2" customHeight="1" x14ac:dyDescent="0.3"/>
    <row r="743" ht="22.2" customHeight="1" x14ac:dyDescent="0.3"/>
    <row r="744" ht="22.2" customHeight="1" x14ac:dyDescent="0.3"/>
    <row r="745" ht="22.2" customHeight="1" x14ac:dyDescent="0.3"/>
    <row r="746" ht="22.2" customHeight="1" x14ac:dyDescent="0.3"/>
    <row r="747" ht="22.2" customHeight="1" x14ac:dyDescent="0.3"/>
    <row r="748" ht="22.2" customHeight="1" x14ac:dyDescent="0.3"/>
    <row r="749" ht="22.2" customHeight="1" x14ac:dyDescent="0.3"/>
    <row r="750" ht="22.2" customHeight="1" x14ac:dyDescent="0.3"/>
    <row r="751" ht="22.2" customHeight="1" x14ac:dyDescent="0.3"/>
    <row r="752" ht="22.2" customHeight="1" x14ac:dyDescent="0.3"/>
    <row r="753" ht="22.2" customHeight="1" x14ac:dyDescent="0.3"/>
    <row r="754" ht="22.2" customHeight="1" x14ac:dyDescent="0.3"/>
    <row r="755" ht="22.2" customHeight="1" x14ac:dyDescent="0.3"/>
    <row r="756" ht="22.2" customHeight="1" x14ac:dyDescent="0.3"/>
    <row r="757" ht="22.2" customHeight="1" x14ac:dyDescent="0.3"/>
    <row r="758" ht="22.2" customHeight="1" x14ac:dyDescent="0.3"/>
    <row r="759" ht="22.2" customHeight="1" x14ac:dyDescent="0.3"/>
    <row r="760" ht="22.2" customHeight="1" x14ac:dyDescent="0.3"/>
    <row r="761" ht="22.2" customHeight="1" x14ac:dyDescent="0.3"/>
    <row r="762" ht="22.2" customHeight="1" x14ac:dyDescent="0.3"/>
    <row r="763" ht="22.2" customHeight="1" x14ac:dyDescent="0.3"/>
    <row r="764" ht="22.2" customHeight="1" x14ac:dyDescent="0.3"/>
    <row r="765" ht="22.2" customHeight="1" x14ac:dyDescent="0.3"/>
    <row r="766" ht="22.2" customHeight="1" x14ac:dyDescent="0.3"/>
    <row r="767" ht="22.2" customHeight="1" x14ac:dyDescent="0.3"/>
    <row r="768" ht="22.2" customHeight="1" x14ac:dyDescent="0.3"/>
    <row r="769" ht="22.2" customHeight="1" x14ac:dyDescent="0.3"/>
    <row r="770" ht="22.2" customHeight="1" x14ac:dyDescent="0.3"/>
    <row r="771" ht="22.2" customHeight="1" x14ac:dyDescent="0.3"/>
    <row r="772" ht="22.2" customHeight="1" x14ac:dyDescent="0.3"/>
    <row r="773" ht="22.2" customHeight="1" x14ac:dyDescent="0.3"/>
    <row r="774" ht="22.2" customHeight="1" x14ac:dyDescent="0.3"/>
    <row r="775" ht="22.2" customHeight="1" x14ac:dyDescent="0.3"/>
    <row r="776" ht="22.2" customHeight="1" x14ac:dyDescent="0.3"/>
    <row r="777" ht="22.2" customHeight="1" x14ac:dyDescent="0.3"/>
    <row r="778" ht="22.2" customHeight="1" x14ac:dyDescent="0.3"/>
    <row r="779" ht="22.2" customHeight="1" x14ac:dyDescent="0.3"/>
    <row r="780" ht="22.2" customHeight="1" x14ac:dyDescent="0.3"/>
    <row r="781" ht="22.2" customHeight="1" x14ac:dyDescent="0.3"/>
    <row r="782" ht="22.2" customHeight="1" x14ac:dyDescent="0.3"/>
    <row r="783" ht="22.2" customHeight="1" x14ac:dyDescent="0.3"/>
    <row r="784" ht="22.2" customHeight="1" x14ac:dyDescent="0.3"/>
    <row r="785" ht="22.2" customHeight="1" x14ac:dyDescent="0.3"/>
    <row r="786" ht="22.2" customHeight="1" x14ac:dyDescent="0.3"/>
    <row r="787" ht="22.2" customHeight="1" x14ac:dyDescent="0.3"/>
    <row r="788" ht="22.2" customHeight="1" x14ac:dyDescent="0.3"/>
    <row r="789" ht="22.2" customHeight="1" x14ac:dyDescent="0.3"/>
    <row r="790" ht="22.2" customHeight="1" x14ac:dyDescent="0.3"/>
    <row r="791" ht="22.2" customHeight="1" x14ac:dyDescent="0.3"/>
    <row r="792" ht="22.2" customHeight="1" x14ac:dyDescent="0.3"/>
    <row r="793" ht="22.2" customHeight="1" x14ac:dyDescent="0.3"/>
    <row r="794" ht="22.2" customHeight="1" x14ac:dyDescent="0.3"/>
    <row r="795" ht="22.2" customHeight="1" x14ac:dyDescent="0.3"/>
    <row r="796" ht="22.2" customHeight="1" x14ac:dyDescent="0.3"/>
    <row r="797" ht="22.2" customHeight="1" x14ac:dyDescent="0.3"/>
    <row r="798" ht="22.2" customHeight="1" x14ac:dyDescent="0.3"/>
    <row r="799" ht="22.2" customHeight="1" x14ac:dyDescent="0.3"/>
    <row r="800" ht="22.2" customHeight="1" x14ac:dyDescent="0.3"/>
    <row r="801" ht="22.2" customHeight="1" x14ac:dyDescent="0.3"/>
    <row r="802" ht="22.2" customHeight="1" x14ac:dyDescent="0.3"/>
    <row r="803" ht="22.2" customHeight="1" x14ac:dyDescent="0.3"/>
    <row r="804" ht="22.2" customHeight="1" x14ac:dyDescent="0.3"/>
    <row r="805" ht="22.2" customHeight="1" x14ac:dyDescent="0.3"/>
    <row r="806" ht="22.2" customHeight="1" x14ac:dyDescent="0.3"/>
    <row r="807" ht="22.2" customHeight="1" x14ac:dyDescent="0.3"/>
    <row r="808" ht="22.2" customHeight="1" x14ac:dyDescent="0.3"/>
    <row r="809" ht="22.2" customHeight="1" x14ac:dyDescent="0.3"/>
    <row r="810" ht="22.2" customHeight="1" x14ac:dyDescent="0.3"/>
    <row r="811" ht="22.2" customHeight="1" x14ac:dyDescent="0.3"/>
    <row r="812" ht="22.2" customHeight="1" x14ac:dyDescent="0.3"/>
    <row r="813" ht="22.2" customHeight="1" x14ac:dyDescent="0.3"/>
    <row r="814" ht="22.2" customHeight="1" x14ac:dyDescent="0.3"/>
    <row r="815" ht="22.2" customHeight="1" x14ac:dyDescent="0.3"/>
    <row r="816" ht="22.2" customHeight="1" x14ac:dyDescent="0.3"/>
    <row r="817" ht="22.2" customHeight="1" x14ac:dyDescent="0.3"/>
    <row r="818" ht="22.2" customHeight="1" x14ac:dyDescent="0.3"/>
    <row r="819" ht="22.2" customHeight="1" x14ac:dyDescent="0.3"/>
    <row r="820" ht="22.2" customHeight="1" x14ac:dyDescent="0.3"/>
    <row r="821" ht="22.2" customHeight="1" x14ac:dyDescent="0.3"/>
    <row r="822" ht="22.2" customHeight="1" x14ac:dyDescent="0.3"/>
    <row r="823" ht="22.2" customHeight="1" x14ac:dyDescent="0.3"/>
    <row r="824" ht="22.2" customHeight="1" x14ac:dyDescent="0.3"/>
    <row r="825" ht="22.2" customHeight="1" x14ac:dyDescent="0.3"/>
    <row r="826" ht="22.2" customHeight="1" x14ac:dyDescent="0.3"/>
    <row r="827" ht="22.2" customHeight="1" x14ac:dyDescent="0.3"/>
    <row r="828" ht="22.2" customHeight="1" x14ac:dyDescent="0.3"/>
    <row r="829" ht="22.2" customHeight="1" x14ac:dyDescent="0.3"/>
    <row r="830" ht="22.2" customHeight="1" x14ac:dyDescent="0.3"/>
    <row r="831" ht="22.2" customHeight="1" x14ac:dyDescent="0.3"/>
    <row r="832" ht="22.2" customHeight="1" x14ac:dyDescent="0.3"/>
    <row r="833" ht="22.2" customHeight="1" x14ac:dyDescent="0.3"/>
    <row r="834" ht="22.2" customHeight="1" x14ac:dyDescent="0.3"/>
    <row r="835" ht="22.2" customHeight="1" x14ac:dyDescent="0.3"/>
    <row r="836" ht="22.2" customHeight="1" x14ac:dyDescent="0.3"/>
    <row r="837" ht="22.2" customHeight="1" x14ac:dyDescent="0.3"/>
    <row r="838" ht="22.2" customHeight="1" x14ac:dyDescent="0.3"/>
    <row r="839" ht="22.2" customHeight="1" x14ac:dyDescent="0.3"/>
    <row r="840" ht="22.2" customHeight="1" x14ac:dyDescent="0.3"/>
    <row r="841" ht="22.2" customHeight="1" x14ac:dyDescent="0.3"/>
    <row r="842" ht="22.2" customHeight="1" x14ac:dyDescent="0.3"/>
    <row r="843" ht="22.2" customHeight="1" x14ac:dyDescent="0.3"/>
    <row r="844" ht="22.2" customHeight="1" x14ac:dyDescent="0.3"/>
    <row r="845" ht="22.2" customHeight="1" x14ac:dyDescent="0.3"/>
    <row r="846" ht="22.2" customHeight="1" x14ac:dyDescent="0.3"/>
    <row r="847" ht="22.2" customHeight="1" x14ac:dyDescent="0.3"/>
    <row r="848" ht="22.2" customHeight="1" x14ac:dyDescent="0.3"/>
    <row r="849" ht="22.2" customHeight="1" x14ac:dyDescent="0.3"/>
    <row r="850" ht="22.2" customHeight="1" x14ac:dyDescent="0.3"/>
    <row r="851" ht="22.2" customHeight="1" x14ac:dyDescent="0.3"/>
    <row r="852" ht="22.2" customHeight="1" x14ac:dyDescent="0.3"/>
    <row r="853" ht="22.2" customHeight="1" x14ac:dyDescent="0.3"/>
    <row r="854" ht="22.2" customHeight="1" x14ac:dyDescent="0.3"/>
    <row r="855" ht="22.2" customHeight="1" x14ac:dyDescent="0.3"/>
    <row r="856" ht="22.2" customHeight="1" x14ac:dyDescent="0.3"/>
    <row r="857" ht="22.2" customHeight="1" x14ac:dyDescent="0.3"/>
    <row r="858" ht="22.2" customHeight="1" x14ac:dyDescent="0.3"/>
    <row r="859" ht="22.2" customHeight="1" x14ac:dyDescent="0.3"/>
    <row r="860" ht="22.2" customHeight="1" x14ac:dyDescent="0.3"/>
    <row r="861" ht="22.2" customHeight="1" x14ac:dyDescent="0.3"/>
    <row r="862" ht="22.2" customHeight="1" x14ac:dyDescent="0.3"/>
    <row r="863" ht="22.2" customHeight="1" x14ac:dyDescent="0.3"/>
    <row r="864" ht="22.2" customHeight="1" x14ac:dyDescent="0.3"/>
    <row r="865" ht="22.2" customHeight="1" x14ac:dyDescent="0.3"/>
    <row r="866" ht="22.2" customHeight="1" x14ac:dyDescent="0.3"/>
    <row r="867" ht="22.2" customHeight="1" x14ac:dyDescent="0.3"/>
    <row r="868" ht="22.2" customHeight="1" x14ac:dyDescent="0.3"/>
    <row r="869" ht="22.2" customHeight="1" x14ac:dyDescent="0.3"/>
    <row r="870" ht="22.2" customHeight="1" x14ac:dyDescent="0.3"/>
    <row r="871" ht="22.2" customHeight="1" x14ac:dyDescent="0.3"/>
    <row r="872" ht="22.2" customHeight="1" x14ac:dyDescent="0.3"/>
    <row r="873" ht="22.2" customHeight="1" x14ac:dyDescent="0.3"/>
    <row r="874" ht="22.2" customHeight="1" x14ac:dyDescent="0.3"/>
    <row r="875" ht="22.2" customHeight="1" x14ac:dyDescent="0.3"/>
    <row r="876" ht="22.2" customHeight="1" x14ac:dyDescent="0.3"/>
    <row r="877" ht="22.2" customHeight="1" x14ac:dyDescent="0.3"/>
    <row r="878" ht="22.2" customHeight="1" x14ac:dyDescent="0.3"/>
    <row r="879" ht="22.2" customHeight="1" x14ac:dyDescent="0.3"/>
    <row r="880" ht="22.2" customHeight="1" x14ac:dyDescent="0.3"/>
    <row r="881" ht="22.2" customHeight="1" x14ac:dyDescent="0.3"/>
    <row r="882" ht="22.2" customHeight="1" x14ac:dyDescent="0.3"/>
    <row r="883" ht="22.2" customHeight="1" x14ac:dyDescent="0.3"/>
    <row r="884" ht="22.2" customHeight="1" x14ac:dyDescent="0.3"/>
    <row r="885" ht="22.2" customHeight="1" x14ac:dyDescent="0.3"/>
    <row r="886" ht="22.2" customHeight="1" x14ac:dyDescent="0.3"/>
    <row r="887" ht="22.2" customHeight="1" x14ac:dyDescent="0.3"/>
    <row r="888" ht="22.2" customHeight="1" x14ac:dyDescent="0.3"/>
    <row r="889" ht="22.2" customHeight="1" x14ac:dyDescent="0.3"/>
    <row r="890" ht="22.2" customHeight="1" x14ac:dyDescent="0.3"/>
    <row r="891" ht="22.2" customHeight="1" x14ac:dyDescent="0.3"/>
    <row r="892" ht="22.2" customHeight="1" x14ac:dyDescent="0.3"/>
    <row r="893" ht="22.2" customHeight="1" x14ac:dyDescent="0.3"/>
    <row r="894" ht="22.2" customHeight="1" x14ac:dyDescent="0.3"/>
    <row r="895" ht="22.2" customHeight="1" x14ac:dyDescent="0.3"/>
    <row r="896" ht="22.2" customHeight="1" x14ac:dyDescent="0.3"/>
    <row r="897" ht="22.2" customHeight="1" x14ac:dyDescent="0.3"/>
    <row r="898" ht="22.2" customHeight="1" x14ac:dyDescent="0.3"/>
    <row r="899" ht="22.2" customHeight="1" x14ac:dyDescent="0.3"/>
    <row r="900" ht="22.2" customHeight="1" x14ac:dyDescent="0.3"/>
    <row r="901" ht="22.2" customHeight="1" x14ac:dyDescent="0.3"/>
    <row r="902" ht="22.2" customHeight="1" x14ac:dyDescent="0.3"/>
    <row r="903" ht="22.2" customHeight="1" x14ac:dyDescent="0.3"/>
    <row r="904" ht="22.2" customHeight="1" x14ac:dyDescent="0.3"/>
    <row r="905" ht="22.2" customHeight="1" x14ac:dyDescent="0.3"/>
    <row r="906" ht="22.2" customHeight="1" x14ac:dyDescent="0.3"/>
    <row r="907" ht="22.2" customHeight="1" x14ac:dyDescent="0.3"/>
    <row r="908" ht="22.2" customHeight="1" x14ac:dyDescent="0.3"/>
    <row r="909" ht="22.2" customHeight="1" x14ac:dyDescent="0.3"/>
    <row r="910" ht="22.2" customHeight="1" x14ac:dyDescent="0.3"/>
    <row r="911" ht="22.2" customHeight="1" x14ac:dyDescent="0.3"/>
    <row r="912" ht="22.2" customHeight="1" x14ac:dyDescent="0.3"/>
    <row r="913" ht="22.2" customHeight="1" x14ac:dyDescent="0.3"/>
    <row r="914" ht="22.2" customHeight="1" x14ac:dyDescent="0.3"/>
    <row r="915" ht="22.2" customHeight="1" x14ac:dyDescent="0.3"/>
    <row r="916" ht="22.2" customHeight="1" x14ac:dyDescent="0.3"/>
    <row r="917" ht="22.2" customHeight="1" x14ac:dyDescent="0.3"/>
    <row r="918" ht="22.2" customHeight="1" x14ac:dyDescent="0.3"/>
    <row r="919" ht="22.2" customHeight="1" x14ac:dyDescent="0.3"/>
    <row r="920" ht="22.2" customHeight="1" x14ac:dyDescent="0.3"/>
    <row r="921" ht="22.2" customHeight="1" x14ac:dyDescent="0.3"/>
    <row r="922" ht="22.2" customHeight="1" x14ac:dyDescent="0.3"/>
    <row r="923" ht="22.2" customHeight="1" x14ac:dyDescent="0.3"/>
    <row r="924" ht="22.2" customHeight="1" x14ac:dyDescent="0.3"/>
    <row r="925" ht="22.2" customHeight="1" x14ac:dyDescent="0.3"/>
    <row r="926" ht="22.2" customHeight="1" x14ac:dyDescent="0.3"/>
    <row r="927" ht="22.2" customHeight="1" x14ac:dyDescent="0.3"/>
    <row r="928" ht="22.2" customHeight="1" x14ac:dyDescent="0.3"/>
    <row r="929" ht="22.2" customHeight="1" x14ac:dyDescent="0.3"/>
    <row r="930" ht="22.2" customHeight="1" x14ac:dyDescent="0.3"/>
    <row r="931" ht="22.2" customHeight="1" x14ac:dyDescent="0.3"/>
    <row r="932" ht="22.2" customHeight="1" x14ac:dyDescent="0.3"/>
    <row r="933" ht="22.2" customHeight="1" x14ac:dyDescent="0.3"/>
    <row r="934" ht="22.2" customHeight="1" x14ac:dyDescent="0.3"/>
    <row r="935" ht="22.2" customHeight="1" x14ac:dyDescent="0.3"/>
    <row r="936" ht="22.2" customHeight="1" x14ac:dyDescent="0.3"/>
    <row r="937" ht="22.2" customHeight="1" x14ac:dyDescent="0.3"/>
    <row r="938" ht="22.2" customHeight="1" x14ac:dyDescent="0.3"/>
    <row r="939" ht="22.2" customHeight="1" x14ac:dyDescent="0.3"/>
    <row r="940" ht="22.2" customHeight="1" x14ac:dyDescent="0.3"/>
    <row r="941" ht="22.2" customHeight="1" x14ac:dyDescent="0.3"/>
    <row r="942" ht="22.2" customHeight="1" x14ac:dyDescent="0.3"/>
    <row r="943" ht="22.2" customHeight="1" x14ac:dyDescent="0.3"/>
    <row r="944" ht="22.2" customHeight="1" x14ac:dyDescent="0.3"/>
    <row r="945" ht="22.2" customHeight="1" x14ac:dyDescent="0.3"/>
    <row r="946" ht="22.2" customHeight="1" x14ac:dyDescent="0.3"/>
    <row r="947" ht="22.2" customHeight="1" x14ac:dyDescent="0.3"/>
    <row r="948" ht="22.2" customHeight="1" x14ac:dyDescent="0.3"/>
    <row r="949" ht="22.2" customHeight="1" x14ac:dyDescent="0.3"/>
    <row r="950" ht="22.2" customHeight="1" x14ac:dyDescent="0.3"/>
    <row r="951" ht="22.2" customHeight="1" x14ac:dyDescent="0.3"/>
    <row r="952" ht="22.2" customHeight="1" x14ac:dyDescent="0.3"/>
    <row r="953" ht="22.2" customHeight="1" x14ac:dyDescent="0.3"/>
    <row r="954" ht="22.2" customHeight="1" x14ac:dyDescent="0.3"/>
    <row r="955" ht="22.2" customHeight="1" x14ac:dyDescent="0.3"/>
    <row r="956" ht="22.2" customHeight="1" x14ac:dyDescent="0.3"/>
    <row r="957" ht="22.2" customHeight="1" x14ac:dyDescent="0.3"/>
    <row r="958" ht="22.2" customHeight="1" x14ac:dyDescent="0.3"/>
    <row r="959" ht="22.2" customHeight="1" x14ac:dyDescent="0.3"/>
    <row r="960" ht="22.2" customHeight="1" x14ac:dyDescent="0.3"/>
    <row r="961" ht="22.2" customHeight="1" x14ac:dyDescent="0.3"/>
    <row r="962" ht="22.2" customHeight="1" x14ac:dyDescent="0.3"/>
    <row r="963" ht="22.2" customHeight="1" x14ac:dyDescent="0.3"/>
    <row r="964" ht="22.2" customHeight="1" x14ac:dyDescent="0.3"/>
    <row r="965" ht="22.2" customHeight="1" x14ac:dyDescent="0.3"/>
    <row r="966" ht="22.2" customHeight="1" x14ac:dyDescent="0.3"/>
    <row r="967" ht="22.2" customHeight="1" x14ac:dyDescent="0.3"/>
    <row r="968" ht="22.2" customHeight="1" x14ac:dyDescent="0.3"/>
    <row r="969" ht="22.2" customHeight="1" x14ac:dyDescent="0.3"/>
    <row r="970" ht="22.2" customHeight="1" x14ac:dyDescent="0.3"/>
    <row r="971" ht="22.2" customHeight="1" x14ac:dyDescent="0.3"/>
    <row r="972" ht="22.2" customHeight="1" x14ac:dyDescent="0.3"/>
    <row r="973" ht="22.2" customHeight="1" x14ac:dyDescent="0.3"/>
    <row r="974" ht="22.2" customHeight="1" x14ac:dyDescent="0.3"/>
    <row r="975" ht="22.2" customHeight="1" x14ac:dyDescent="0.3"/>
    <row r="976" ht="22.2" customHeight="1" x14ac:dyDescent="0.3"/>
    <row r="977" ht="22.2" customHeight="1" x14ac:dyDescent="0.3"/>
    <row r="978" ht="22.2" customHeight="1" x14ac:dyDescent="0.3"/>
    <row r="979" ht="22.2" customHeight="1" x14ac:dyDescent="0.3"/>
    <row r="980" ht="22.2" customHeight="1" x14ac:dyDescent="0.3"/>
    <row r="981" ht="22.2" customHeight="1" x14ac:dyDescent="0.3"/>
    <row r="982" ht="22.2" customHeight="1" x14ac:dyDescent="0.3"/>
    <row r="983" ht="22.2" customHeight="1" x14ac:dyDescent="0.3"/>
    <row r="984" ht="22.2" customHeight="1" x14ac:dyDescent="0.3"/>
    <row r="985" ht="22.2" customHeight="1" x14ac:dyDescent="0.3"/>
    <row r="986" ht="22.2" customHeight="1" x14ac:dyDescent="0.3"/>
    <row r="987" ht="22.2" customHeight="1" x14ac:dyDescent="0.3"/>
    <row r="988" ht="22.2" customHeight="1" x14ac:dyDescent="0.3"/>
    <row r="989" ht="22.2" customHeight="1" x14ac:dyDescent="0.3"/>
    <row r="990" ht="22.2" customHeight="1" x14ac:dyDescent="0.3"/>
    <row r="991" ht="22.2" customHeight="1" x14ac:dyDescent="0.3"/>
    <row r="992" ht="22.2" customHeight="1" x14ac:dyDescent="0.3"/>
    <row r="993" ht="22.2" customHeight="1" x14ac:dyDescent="0.3"/>
    <row r="994" ht="22.2" customHeight="1" x14ac:dyDescent="0.3"/>
    <row r="995" ht="22.2" customHeight="1" x14ac:dyDescent="0.3"/>
    <row r="996" ht="22.2" customHeight="1" x14ac:dyDescent="0.3"/>
    <row r="997" ht="22.2" customHeight="1" x14ac:dyDescent="0.3"/>
    <row r="998" ht="22.2" customHeight="1" x14ac:dyDescent="0.3"/>
    <row r="999" ht="22.2" customHeight="1" x14ac:dyDescent="0.3"/>
    <row r="1000" ht="22.2" customHeight="1" x14ac:dyDescent="0.3"/>
    <row r="1001" ht="22.2" customHeight="1" x14ac:dyDescent="0.3"/>
    <row r="1002" ht="22.2" customHeight="1" x14ac:dyDescent="0.3"/>
    <row r="1003" ht="22.2" customHeight="1" x14ac:dyDescent="0.3"/>
    <row r="1004" ht="22.2" customHeight="1" x14ac:dyDescent="0.3"/>
    <row r="1005" ht="22.2" customHeight="1" x14ac:dyDescent="0.3"/>
    <row r="1006" ht="22.2" customHeight="1" x14ac:dyDescent="0.3"/>
    <row r="1007" ht="22.2" customHeight="1" x14ac:dyDescent="0.3"/>
    <row r="1008" ht="22.2" customHeight="1" x14ac:dyDescent="0.3"/>
    <row r="1009" ht="22.2" customHeight="1" x14ac:dyDescent="0.3"/>
    <row r="1010" ht="22.2" customHeight="1" x14ac:dyDescent="0.3"/>
    <row r="1011" ht="22.2" customHeight="1" x14ac:dyDescent="0.3"/>
    <row r="1012" ht="22.2" customHeight="1" x14ac:dyDescent="0.3"/>
    <row r="1013" ht="22.2" customHeight="1" x14ac:dyDescent="0.3"/>
    <row r="1014" ht="22.2" customHeight="1" x14ac:dyDescent="0.3"/>
    <row r="1015" ht="22.2" customHeight="1" x14ac:dyDescent="0.3"/>
    <row r="1016" ht="22.2" customHeight="1" x14ac:dyDescent="0.3"/>
    <row r="1017" ht="22.2" customHeight="1" x14ac:dyDescent="0.3"/>
    <row r="1018" ht="22.2" customHeight="1" x14ac:dyDescent="0.3"/>
    <row r="1019" ht="22.2" customHeight="1" x14ac:dyDescent="0.3"/>
    <row r="1020" ht="22.2" customHeight="1" x14ac:dyDescent="0.3"/>
    <row r="1021" ht="22.2" customHeight="1" x14ac:dyDescent="0.3"/>
    <row r="1022" ht="22.2" customHeight="1" x14ac:dyDescent="0.3"/>
    <row r="1023" ht="22.2" customHeight="1" x14ac:dyDescent="0.3"/>
    <row r="1024" ht="22.2" customHeight="1" x14ac:dyDescent="0.3"/>
    <row r="1025" ht="22.2" customHeight="1" x14ac:dyDescent="0.3"/>
    <row r="1026" ht="22.2" customHeight="1" x14ac:dyDescent="0.3"/>
    <row r="1027" ht="22.2" customHeight="1" x14ac:dyDescent="0.3"/>
    <row r="1028" ht="22.2" customHeight="1" x14ac:dyDescent="0.3"/>
    <row r="1029" ht="22.2" customHeight="1" x14ac:dyDescent="0.3"/>
    <row r="1030" ht="22.2" customHeight="1" x14ac:dyDescent="0.3"/>
    <row r="1031" ht="22.2" customHeight="1" x14ac:dyDescent="0.3"/>
    <row r="1032" ht="22.2" customHeight="1" x14ac:dyDescent="0.3"/>
    <row r="1033" ht="22.2" customHeight="1" x14ac:dyDescent="0.3"/>
    <row r="1034" ht="22.2" customHeight="1" x14ac:dyDescent="0.3"/>
    <row r="1035" ht="22.2" customHeight="1" x14ac:dyDescent="0.3"/>
    <row r="1036" ht="22.2" customHeight="1" x14ac:dyDescent="0.3"/>
    <row r="1037" ht="22.2" customHeight="1" x14ac:dyDescent="0.3"/>
    <row r="1038" ht="22.2" customHeight="1" x14ac:dyDescent="0.3"/>
    <row r="1039" ht="22.2" customHeight="1" x14ac:dyDescent="0.3"/>
    <row r="1040" ht="22.2" customHeight="1" x14ac:dyDescent="0.3"/>
    <row r="1041" ht="22.2" customHeight="1" x14ac:dyDescent="0.3"/>
    <row r="1042" ht="22.2" customHeight="1" x14ac:dyDescent="0.3"/>
    <row r="1043" ht="22.2" customHeight="1" x14ac:dyDescent="0.3"/>
    <row r="1044" ht="22.2" customHeight="1" x14ac:dyDescent="0.3"/>
    <row r="1045" ht="22.2" customHeight="1" x14ac:dyDescent="0.3"/>
    <row r="1046" ht="22.2" customHeight="1" x14ac:dyDescent="0.3"/>
    <row r="1047" ht="22.2" customHeight="1" x14ac:dyDescent="0.3"/>
    <row r="1048" ht="22.2" customHeight="1" x14ac:dyDescent="0.3"/>
    <row r="1049" ht="22.2" customHeight="1" x14ac:dyDescent="0.3"/>
    <row r="1050" ht="22.2" customHeight="1" x14ac:dyDescent="0.3"/>
    <row r="1051" ht="22.2" customHeight="1" x14ac:dyDescent="0.3"/>
    <row r="1052" ht="22.2" customHeight="1" x14ac:dyDescent="0.3"/>
    <row r="1053" ht="22.2" customHeight="1" x14ac:dyDescent="0.3"/>
    <row r="1054" ht="22.2" customHeight="1" x14ac:dyDescent="0.3"/>
    <row r="1055" ht="22.2" customHeight="1" x14ac:dyDescent="0.3"/>
    <row r="1056" ht="22.2" customHeight="1" x14ac:dyDescent="0.3"/>
    <row r="1057" ht="22.2" customHeight="1" x14ac:dyDescent="0.3"/>
    <row r="1058" ht="22.2" customHeight="1" x14ac:dyDescent="0.3"/>
    <row r="1059" ht="22.2" customHeight="1" x14ac:dyDescent="0.3"/>
    <row r="1060" ht="22.2" customHeight="1" x14ac:dyDescent="0.3"/>
    <row r="1061" ht="22.2" customHeight="1" x14ac:dyDescent="0.3"/>
    <row r="1062" ht="22.2" customHeight="1" x14ac:dyDescent="0.3"/>
    <row r="1063" ht="22.2" customHeight="1" x14ac:dyDescent="0.3"/>
    <row r="1064" ht="22.2" customHeight="1" x14ac:dyDescent="0.3"/>
    <row r="1065" ht="22.2" customHeight="1" x14ac:dyDescent="0.3"/>
    <row r="1066" ht="22.2" customHeight="1" x14ac:dyDescent="0.3"/>
    <row r="1067" ht="22.2" customHeight="1" x14ac:dyDescent="0.3"/>
    <row r="1068" ht="22.2" customHeight="1" x14ac:dyDescent="0.3"/>
    <row r="1069" ht="22.2" customHeight="1" x14ac:dyDescent="0.3"/>
    <row r="1070" ht="22.2" customHeight="1" x14ac:dyDescent="0.3"/>
    <row r="1071" ht="22.2" customHeight="1" x14ac:dyDescent="0.3"/>
    <row r="1072" ht="22.2" customHeight="1" x14ac:dyDescent="0.3"/>
    <row r="1073" ht="22.2" customHeight="1" x14ac:dyDescent="0.3"/>
    <row r="1074" ht="22.2" customHeight="1" x14ac:dyDescent="0.3"/>
    <row r="1075" ht="22.2" customHeight="1" x14ac:dyDescent="0.3"/>
    <row r="1076" ht="22.2" customHeight="1" x14ac:dyDescent="0.3"/>
    <row r="1077" ht="22.2" customHeight="1" x14ac:dyDescent="0.3"/>
    <row r="1078" ht="22.2" customHeight="1" x14ac:dyDescent="0.3"/>
    <row r="1079" ht="22.2" customHeight="1" x14ac:dyDescent="0.3"/>
    <row r="1080" ht="22.2" customHeight="1" x14ac:dyDescent="0.3"/>
    <row r="1081" ht="22.2" customHeight="1" x14ac:dyDescent="0.3"/>
    <row r="1082" ht="22.2" customHeight="1" x14ac:dyDescent="0.3"/>
    <row r="1083" ht="22.2" customHeight="1" x14ac:dyDescent="0.3"/>
    <row r="1084" ht="22.2" customHeight="1" x14ac:dyDescent="0.3"/>
    <row r="1085" ht="22.2" customHeight="1" x14ac:dyDescent="0.3"/>
    <row r="1086" ht="22.2" customHeight="1" x14ac:dyDescent="0.3"/>
    <row r="1087" ht="22.2" customHeight="1" x14ac:dyDescent="0.3"/>
    <row r="1088" ht="22.2" customHeight="1" x14ac:dyDescent="0.3"/>
    <row r="1089" ht="22.2" customHeight="1" x14ac:dyDescent="0.3"/>
    <row r="1090" ht="22.2" customHeight="1" x14ac:dyDescent="0.3"/>
    <row r="1091" ht="22.2" customHeight="1" x14ac:dyDescent="0.3"/>
    <row r="1092" ht="22.2" customHeight="1" x14ac:dyDescent="0.3"/>
    <row r="1093" ht="22.2" customHeight="1" x14ac:dyDescent="0.3"/>
    <row r="1094" ht="22.2" customHeight="1" x14ac:dyDescent="0.3"/>
    <row r="1095" ht="22.2" customHeight="1" x14ac:dyDescent="0.3"/>
    <row r="1096" ht="22.2" customHeight="1" x14ac:dyDescent="0.3"/>
    <row r="1097" ht="22.2" customHeight="1" x14ac:dyDescent="0.3"/>
    <row r="1098" ht="22.2" customHeight="1" x14ac:dyDescent="0.3"/>
    <row r="1099" ht="22.2" customHeight="1" x14ac:dyDescent="0.3"/>
    <row r="1100" ht="22.2" customHeight="1" x14ac:dyDescent="0.3"/>
    <row r="1101" ht="22.2" customHeight="1" x14ac:dyDescent="0.3"/>
    <row r="1102" ht="22.2" customHeight="1" x14ac:dyDescent="0.3"/>
    <row r="1103" ht="22.2" customHeight="1" x14ac:dyDescent="0.3"/>
    <row r="1104" ht="22.2" customHeight="1" x14ac:dyDescent="0.3"/>
    <row r="1105" ht="22.2" customHeight="1" x14ac:dyDescent="0.3"/>
    <row r="1106" ht="22.2" customHeight="1" x14ac:dyDescent="0.3"/>
    <row r="1107" ht="22.2" customHeight="1" x14ac:dyDescent="0.3"/>
    <row r="1108" ht="22.2" customHeight="1" x14ac:dyDescent="0.3"/>
    <row r="1109" ht="22.2" customHeight="1" x14ac:dyDescent="0.3"/>
    <row r="1110" ht="22.2" customHeight="1" x14ac:dyDescent="0.3"/>
    <row r="1111" ht="22.2" customHeight="1" x14ac:dyDescent="0.3"/>
    <row r="1112" ht="22.2" customHeight="1" x14ac:dyDescent="0.3"/>
    <row r="1113" ht="22.2" customHeight="1" x14ac:dyDescent="0.3"/>
    <row r="1114" ht="22.2" customHeight="1" x14ac:dyDescent="0.3"/>
    <row r="1115" ht="22.2" customHeight="1" x14ac:dyDescent="0.3"/>
    <row r="1116" ht="22.2" customHeight="1" x14ac:dyDescent="0.3"/>
    <row r="1117" ht="22.2" customHeight="1" x14ac:dyDescent="0.3"/>
    <row r="1118" ht="22.2" customHeight="1" x14ac:dyDescent="0.3"/>
    <row r="1119" ht="22.2" customHeight="1" x14ac:dyDescent="0.3"/>
    <row r="1120" ht="22.2" customHeight="1" x14ac:dyDescent="0.3"/>
    <row r="1121" ht="22.2" customHeight="1" x14ac:dyDescent="0.3"/>
    <row r="1122" ht="22.2" customHeight="1" x14ac:dyDescent="0.3"/>
    <row r="1123" ht="22.2" customHeight="1" x14ac:dyDescent="0.3"/>
    <row r="1124" ht="22.2" customHeight="1" x14ac:dyDescent="0.3"/>
    <row r="1125" ht="22.2" customHeight="1" x14ac:dyDescent="0.3"/>
    <row r="1126" ht="22.2" customHeight="1" x14ac:dyDescent="0.3"/>
    <row r="1127" ht="22.2" customHeight="1" x14ac:dyDescent="0.3"/>
    <row r="1128" ht="22.2" customHeight="1" x14ac:dyDescent="0.3"/>
    <row r="1129" ht="22.2" customHeight="1" x14ac:dyDescent="0.3"/>
    <row r="1130" ht="22.2" customHeight="1" x14ac:dyDescent="0.3"/>
    <row r="1131" ht="22.2" customHeight="1" x14ac:dyDescent="0.3"/>
    <row r="1132" ht="22.2" customHeight="1" x14ac:dyDescent="0.3"/>
    <row r="1133" ht="22.2" customHeight="1" x14ac:dyDescent="0.3"/>
    <row r="1134" ht="22.2" customHeight="1" x14ac:dyDescent="0.3"/>
    <row r="1135" ht="22.2" customHeight="1" x14ac:dyDescent="0.3"/>
    <row r="1136" ht="22.2" customHeight="1" x14ac:dyDescent="0.3"/>
    <row r="1137" ht="22.2" customHeight="1" x14ac:dyDescent="0.3"/>
    <row r="1138" ht="22.2" customHeight="1" x14ac:dyDescent="0.3"/>
    <row r="1139" ht="22.2" customHeight="1" x14ac:dyDescent="0.3"/>
    <row r="1140" ht="22.2" customHeight="1" x14ac:dyDescent="0.3"/>
    <row r="1141" ht="22.2" customHeight="1" x14ac:dyDescent="0.3"/>
    <row r="1142" ht="22.2" customHeight="1" x14ac:dyDescent="0.3"/>
    <row r="1143" ht="22.2" customHeight="1" x14ac:dyDescent="0.3"/>
    <row r="1144" ht="22.2" customHeight="1" x14ac:dyDescent="0.3"/>
    <row r="1145" ht="22.2" customHeight="1" x14ac:dyDescent="0.3"/>
    <row r="1146" ht="22.2" customHeight="1" x14ac:dyDescent="0.3"/>
    <row r="1147" ht="22.2" customHeight="1" x14ac:dyDescent="0.3"/>
    <row r="1148" ht="22.2" customHeight="1" x14ac:dyDescent="0.3"/>
    <row r="1149" ht="22.2" customHeight="1" x14ac:dyDescent="0.3"/>
    <row r="1150" ht="22.2" customHeight="1" x14ac:dyDescent="0.3"/>
    <row r="1151" ht="22.2" customHeight="1" x14ac:dyDescent="0.3"/>
    <row r="1152" ht="22.2" customHeight="1" x14ac:dyDescent="0.3"/>
    <row r="1153" ht="22.2" customHeight="1" x14ac:dyDescent="0.3"/>
    <row r="1154" ht="22.2" customHeight="1" x14ac:dyDescent="0.3"/>
    <row r="1155" ht="22.2" customHeight="1" x14ac:dyDescent="0.3"/>
    <row r="1156" ht="22.2" customHeight="1" x14ac:dyDescent="0.3"/>
    <row r="1157" ht="22.2" customHeight="1" x14ac:dyDescent="0.3"/>
    <row r="1158" ht="22.2" customHeight="1" x14ac:dyDescent="0.3"/>
    <row r="1159" ht="22.2" customHeight="1" x14ac:dyDescent="0.3"/>
    <row r="1160" ht="22.2" customHeight="1" x14ac:dyDescent="0.3"/>
    <row r="1161" ht="22.2" customHeight="1" x14ac:dyDescent="0.3"/>
    <row r="1162" ht="22.2" customHeight="1" x14ac:dyDescent="0.3"/>
    <row r="1163" ht="22.2" customHeight="1" x14ac:dyDescent="0.3"/>
    <row r="1164" ht="22.2" customHeight="1" x14ac:dyDescent="0.3"/>
    <row r="1165" ht="22.2" customHeight="1" x14ac:dyDescent="0.3"/>
    <row r="1166" ht="22.2" customHeight="1" x14ac:dyDescent="0.3"/>
    <row r="1167" ht="22.2" customHeight="1" x14ac:dyDescent="0.3"/>
    <row r="1168" ht="22.2" customHeight="1" x14ac:dyDescent="0.3"/>
    <row r="1169" ht="22.2" customHeight="1" x14ac:dyDescent="0.3"/>
    <row r="1170" ht="22.2" customHeight="1" x14ac:dyDescent="0.3"/>
    <row r="1171" ht="22.2" customHeight="1" x14ac:dyDescent="0.3"/>
    <row r="1172" ht="22.2" customHeight="1" x14ac:dyDescent="0.3"/>
    <row r="1173" ht="22.2" customHeight="1" x14ac:dyDescent="0.3"/>
    <row r="1174" ht="22.2" customHeight="1" x14ac:dyDescent="0.3"/>
    <row r="1175" ht="22.2" customHeight="1" x14ac:dyDescent="0.3"/>
    <row r="1176" ht="22.2" customHeight="1" x14ac:dyDescent="0.3"/>
    <row r="1177" ht="22.2" customHeight="1" x14ac:dyDescent="0.3"/>
    <row r="1178" ht="22.2" customHeight="1" x14ac:dyDescent="0.3"/>
    <row r="1179" ht="22.2" customHeight="1" x14ac:dyDescent="0.3"/>
    <row r="1180" ht="22.2" customHeight="1" x14ac:dyDescent="0.3"/>
    <row r="1181" ht="22.2" customHeight="1" x14ac:dyDescent="0.3"/>
    <row r="1182" ht="22.2" customHeight="1" x14ac:dyDescent="0.3"/>
    <row r="1183" ht="22.2" customHeight="1" x14ac:dyDescent="0.3"/>
    <row r="1184" ht="22.2" customHeight="1" x14ac:dyDescent="0.3"/>
    <row r="1185" ht="22.2" customHeight="1" x14ac:dyDescent="0.3"/>
    <row r="1186" ht="22.2" customHeight="1" x14ac:dyDescent="0.3"/>
    <row r="1187" ht="22.2" customHeight="1" x14ac:dyDescent="0.3"/>
    <row r="1188" ht="22.2" customHeight="1" x14ac:dyDescent="0.3"/>
    <row r="1189" ht="22.2" customHeight="1" x14ac:dyDescent="0.3"/>
    <row r="1190" ht="22.2" customHeight="1" x14ac:dyDescent="0.3"/>
    <row r="1191" ht="22.2" customHeight="1" x14ac:dyDescent="0.3"/>
    <row r="1192" ht="22.2" customHeight="1" x14ac:dyDescent="0.3"/>
    <row r="1193" ht="22.2" customHeight="1" x14ac:dyDescent="0.3"/>
    <row r="1194" ht="22.2" customHeight="1" x14ac:dyDescent="0.3"/>
    <row r="1195" ht="22.2" customHeight="1" x14ac:dyDescent="0.3"/>
    <row r="1196" ht="22.2" customHeight="1" x14ac:dyDescent="0.3"/>
    <row r="1197" ht="22.2" customHeight="1" x14ac:dyDescent="0.3"/>
    <row r="1198" ht="22.2" customHeight="1" x14ac:dyDescent="0.3"/>
    <row r="1199" ht="22.2" customHeight="1" x14ac:dyDescent="0.3"/>
    <row r="1200" ht="22.2" customHeight="1" x14ac:dyDescent="0.3"/>
    <row r="1201" ht="22.2" customHeight="1" x14ac:dyDescent="0.3"/>
    <row r="1202" ht="22.2" customHeight="1" x14ac:dyDescent="0.3"/>
    <row r="1203" ht="22.2" customHeight="1" x14ac:dyDescent="0.3"/>
    <row r="1204" ht="22.2" customHeight="1" x14ac:dyDescent="0.3"/>
    <row r="1205" ht="22.2" customHeight="1" x14ac:dyDescent="0.3"/>
    <row r="1206" ht="22.2" customHeight="1" x14ac:dyDescent="0.3"/>
    <row r="1207" ht="22.2" customHeight="1" x14ac:dyDescent="0.3"/>
    <row r="1208" ht="22.2" customHeight="1" x14ac:dyDescent="0.3"/>
    <row r="1209" ht="22.2" customHeight="1" x14ac:dyDescent="0.3"/>
    <row r="1210" ht="22.2" customHeight="1" x14ac:dyDescent="0.3"/>
    <row r="1211" ht="22.2" customHeight="1" x14ac:dyDescent="0.3"/>
    <row r="1212" ht="22.2" customHeight="1" x14ac:dyDescent="0.3"/>
    <row r="1213" ht="22.2" customHeight="1" x14ac:dyDescent="0.3"/>
    <row r="1214" ht="22.2" customHeight="1" x14ac:dyDescent="0.3"/>
    <row r="1215" ht="22.2" customHeight="1" x14ac:dyDescent="0.3"/>
    <row r="1216" ht="22.2" customHeight="1" x14ac:dyDescent="0.3"/>
    <row r="1217" ht="22.2" customHeight="1" x14ac:dyDescent="0.3"/>
    <row r="1218" ht="22.2" customHeight="1" x14ac:dyDescent="0.3"/>
    <row r="1219" ht="22.2" customHeight="1" x14ac:dyDescent="0.3"/>
    <row r="1220" ht="22.2" customHeight="1" x14ac:dyDescent="0.3"/>
    <row r="1221" ht="22.2" customHeight="1" x14ac:dyDescent="0.3"/>
    <row r="1222" ht="22.2" customHeight="1" x14ac:dyDescent="0.3"/>
    <row r="1223" ht="22.2" customHeight="1" x14ac:dyDescent="0.3"/>
    <row r="1224" ht="22.2" customHeight="1" x14ac:dyDescent="0.3"/>
    <row r="1225" ht="22.2" customHeight="1" x14ac:dyDescent="0.3"/>
    <row r="1226" ht="22.2" customHeight="1" x14ac:dyDescent="0.3"/>
    <row r="1227" ht="22.2" customHeight="1" x14ac:dyDescent="0.3"/>
    <row r="1228" ht="22.2" customHeight="1" x14ac:dyDescent="0.3"/>
    <row r="1229" ht="22.2" customHeight="1" x14ac:dyDescent="0.3"/>
    <row r="1230" ht="22.2" customHeight="1" x14ac:dyDescent="0.3"/>
    <row r="1231" ht="22.2" customHeight="1" x14ac:dyDescent="0.3"/>
    <row r="1232" ht="22.2" customHeight="1" x14ac:dyDescent="0.3"/>
    <row r="1233" ht="22.2" customHeight="1" x14ac:dyDescent="0.3"/>
    <row r="1234" ht="22.2" customHeight="1" x14ac:dyDescent="0.3"/>
    <row r="1235" ht="22.2" customHeight="1" x14ac:dyDescent="0.3"/>
    <row r="1236" ht="22.2" customHeight="1" x14ac:dyDescent="0.3"/>
    <row r="1237" ht="22.2" customHeight="1" x14ac:dyDescent="0.3"/>
    <row r="1238" ht="22.2" customHeight="1" x14ac:dyDescent="0.3"/>
    <row r="1239" ht="22.2" customHeight="1" x14ac:dyDescent="0.3"/>
    <row r="1240" ht="22.2" customHeight="1" x14ac:dyDescent="0.3"/>
    <row r="1241" ht="22.2" customHeight="1" x14ac:dyDescent="0.3"/>
    <row r="1242" ht="22.2" customHeight="1" x14ac:dyDescent="0.3"/>
    <row r="1243" ht="22.2" customHeight="1" x14ac:dyDescent="0.3"/>
    <row r="1244" ht="22.2" customHeight="1" x14ac:dyDescent="0.3"/>
    <row r="1245" ht="22.2" customHeight="1" x14ac:dyDescent="0.3"/>
    <row r="1246" ht="22.2" customHeight="1" x14ac:dyDescent="0.3"/>
    <row r="1247" ht="22.2" customHeight="1" x14ac:dyDescent="0.3"/>
    <row r="1248" ht="22.2" customHeight="1" x14ac:dyDescent="0.3"/>
    <row r="1249" ht="22.2" customHeight="1" x14ac:dyDescent="0.3"/>
    <row r="1250" ht="22.2" customHeight="1" x14ac:dyDescent="0.3"/>
    <row r="1251" ht="22.2" customHeight="1" x14ac:dyDescent="0.3"/>
    <row r="1252" ht="22.2" customHeight="1" x14ac:dyDescent="0.3"/>
    <row r="1253" ht="22.2" customHeight="1" x14ac:dyDescent="0.3"/>
    <row r="1254" ht="22.2" customHeight="1" x14ac:dyDescent="0.3"/>
    <row r="1255" ht="22.2" customHeight="1" x14ac:dyDescent="0.3"/>
    <row r="1256" ht="22.2" customHeight="1" x14ac:dyDescent="0.3"/>
    <row r="1257" ht="22.2" customHeight="1" x14ac:dyDescent="0.3"/>
    <row r="1258" ht="22.2" customHeight="1" x14ac:dyDescent="0.3"/>
    <row r="1259" ht="22.2" customHeight="1" x14ac:dyDescent="0.3"/>
    <row r="1260" ht="22.2" customHeight="1" x14ac:dyDescent="0.3"/>
    <row r="1261" ht="22.2" customHeight="1" x14ac:dyDescent="0.3"/>
    <row r="1262" ht="22.2" customHeight="1" x14ac:dyDescent="0.3"/>
    <row r="1263" ht="22.2" customHeight="1" x14ac:dyDescent="0.3"/>
    <row r="1264" ht="22.2" customHeight="1" x14ac:dyDescent="0.3"/>
    <row r="1265" ht="22.2" customHeight="1" x14ac:dyDescent="0.3"/>
    <row r="1266" ht="22.2" customHeight="1" x14ac:dyDescent="0.3"/>
    <row r="1267" ht="22.2" customHeight="1" x14ac:dyDescent="0.3"/>
    <row r="1268" ht="22.2" customHeight="1" x14ac:dyDescent="0.3"/>
    <row r="1269" ht="22.2" customHeight="1" x14ac:dyDescent="0.3"/>
    <row r="1270" ht="22.2" customHeight="1" x14ac:dyDescent="0.3"/>
    <row r="1271" ht="22.2" customHeight="1" x14ac:dyDescent="0.3"/>
    <row r="1272" ht="22.2" customHeight="1" x14ac:dyDescent="0.3"/>
    <row r="1273" ht="22.2" customHeight="1" x14ac:dyDescent="0.3"/>
    <row r="1274" ht="22.2" customHeight="1" x14ac:dyDescent="0.3"/>
    <row r="1275" ht="22.2" customHeight="1" x14ac:dyDescent="0.3"/>
    <row r="1276" ht="22.2" customHeight="1" x14ac:dyDescent="0.3"/>
    <row r="1277" ht="22.2" customHeight="1" x14ac:dyDescent="0.3"/>
    <row r="1278" ht="22.2" customHeight="1" x14ac:dyDescent="0.3"/>
    <row r="1279" ht="22.2" customHeight="1" x14ac:dyDescent="0.3"/>
    <row r="1280" ht="22.2" customHeight="1" x14ac:dyDescent="0.3"/>
    <row r="1281" ht="22.2" customHeight="1" x14ac:dyDescent="0.3"/>
    <row r="1282" ht="22.2" customHeight="1" x14ac:dyDescent="0.3"/>
    <row r="1283" ht="22.2" customHeight="1" x14ac:dyDescent="0.3"/>
    <row r="1284" ht="22.2" customHeight="1" x14ac:dyDescent="0.3"/>
    <row r="1285" ht="22.2" customHeight="1" x14ac:dyDescent="0.3"/>
    <row r="1286" ht="22.2" customHeight="1" x14ac:dyDescent="0.3"/>
    <row r="1287" ht="22.2" customHeight="1" x14ac:dyDescent="0.3"/>
    <row r="1288" ht="22.2" customHeight="1" x14ac:dyDescent="0.3"/>
    <row r="1289" ht="22.2" customHeight="1" x14ac:dyDescent="0.3"/>
    <row r="1290" ht="22.2" customHeight="1" x14ac:dyDescent="0.3"/>
    <row r="1291" ht="22.2" customHeight="1" x14ac:dyDescent="0.3"/>
    <row r="1292" ht="22.2" customHeight="1" x14ac:dyDescent="0.3"/>
    <row r="1293" ht="22.2" customHeight="1" x14ac:dyDescent="0.3"/>
    <row r="1294" ht="22.2" customHeight="1" x14ac:dyDescent="0.3"/>
    <row r="1295" ht="22.2" customHeight="1" x14ac:dyDescent="0.3"/>
    <row r="1296" ht="22.2" customHeight="1" x14ac:dyDescent="0.3"/>
    <row r="1297" ht="22.2" customHeight="1" x14ac:dyDescent="0.3"/>
    <row r="1298" ht="22.2" customHeight="1" x14ac:dyDescent="0.3"/>
    <row r="1299" ht="22.2" customHeight="1" x14ac:dyDescent="0.3"/>
    <row r="1300" ht="22.2" customHeight="1" x14ac:dyDescent="0.3"/>
    <row r="1301" ht="22.2" customHeight="1" x14ac:dyDescent="0.3"/>
    <row r="1302" ht="22.2" customHeight="1" x14ac:dyDescent="0.3"/>
    <row r="1303" ht="22.2" customHeight="1" x14ac:dyDescent="0.3"/>
    <row r="1304" ht="22.2" customHeight="1" x14ac:dyDescent="0.3"/>
    <row r="1305" ht="22.2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6" orientation="landscape" horizontalDpi="4294967295" verticalDpi="4294967295" r:id="rId1"/>
  <headerFooter alignWithMargins="0"/>
  <rowBreaks count="1" manualBreakCount="1">
    <brk id="37" max="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3424-816A-4576-A94B-7819EA8937CC}">
  <sheetPr>
    <pageSetUpPr fitToPage="1"/>
  </sheetPr>
  <dimension ref="A1:BE1304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8.44140625" style="35"/>
  </cols>
  <sheetData>
    <row r="1" spans="1:57" s="27" customFormat="1" ht="66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:57" ht="22.95" customHeight="1" x14ac:dyDescent="0.35">
      <c r="A2" s="78"/>
      <c r="B2" s="78"/>
      <c r="C2" s="237"/>
      <c r="D2" s="237"/>
      <c r="E2" s="79"/>
      <c r="F2" s="80"/>
      <c r="G2" s="81"/>
      <c r="H2" s="79"/>
      <c r="I2" s="78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7" s="36" customFormat="1" ht="15" customHeight="1" x14ac:dyDescent="0.35">
      <c r="A3" s="83"/>
      <c r="B3" s="224" t="s">
        <v>2</v>
      </c>
      <c r="C3" s="226" t="s">
        <v>98</v>
      </c>
      <c r="D3" s="227"/>
      <c r="E3" s="227"/>
      <c r="F3" s="227"/>
      <c r="G3" s="227"/>
      <c r="H3" s="227"/>
      <c r="I3" s="227"/>
      <c r="J3" s="228"/>
    </row>
    <row r="4" spans="1:57" s="36" customFormat="1" ht="49.95" customHeight="1" x14ac:dyDescent="0.35">
      <c r="A4" s="84"/>
      <c r="B4" s="225"/>
      <c r="C4" s="229"/>
      <c r="D4" s="230"/>
      <c r="E4" s="230"/>
      <c r="F4" s="230"/>
      <c r="G4" s="230"/>
      <c r="H4" s="230"/>
      <c r="I4" s="230"/>
      <c r="J4" s="231"/>
    </row>
    <row r="5" spans="1:57" s="36" customFormat="1" ht="15" customHeight="1" x14ac:dyDescent="0.35">
      <c r="A5" s="84"/>
      <c r="B5" s="84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57" s="36" customFormat="1" ht="15" customHeight="1" x14ac:dyDescent="0.35">
      <c r="A6" s="84"/>
      <c r="B6" s="84"/>
      <c r="C6" s="233"/>
      <c r="D6" s="233"/>
      <c r="E6" s="233"/>
      <c r="F6" s="233"/>
      <c r="G6" s="233"/>
      <c r="H6" s="229"/>
      <c r="I6" s="233"/>
      <c r="J6" s="233"/>
    </row>
    <row r="7" spans="1:57" s="38" customFormat="1" ht="92.4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8" t="s">
        <v>66</v>
      </c>
      <c r="I7" s="87" t="s">
        <v>3</v>
      </c>
      <c r="J7" s="89" t="s">
        <v>66</v>
      </c>
    </row>
    <row r="8" spans="1:57" s="40" customFormat="1" ht="40.200000000000003" customHeight="1" x14ac:dyDescent="0.3">
      <c r="A8" s="90" t="s">
        <v>58</v>
      </c>
      <c r="B8" s="91" t="s">
        <v>0</v>
      </c>
      <c r="C8" s="92">
        <f t="shared" ref="C8:D8" si="0">C9+C13+C17+C22+C32+C35</f>
        <v>391332</v>
      </c>
      <c r="D8" s="92">
        <f t="shared" si="0"/>
        <v>419785</v>
      </c>
      <c r="E8" s="92">
        <f>E9+E13+E17+E22+E32+E35</f>
        <v>785783</v>
      </c>
      <c r="F8" s="92">
        <f>F9+F13+F17+F22+F32+F35</f>
        <v>830837</v>
      </c>
      <c r="G8" s="92">
        <f t="shared" ref="G8:J8" si="1">G9+G13+G17+G22+G32+G35</f>
        <v>1171168</v>
      </c>
      <c r="H8" s="92">
        <f t="shared" si="1"/>
        <v>1266096</v>
      </c>
      <c r="I8" s="92">
        <f t="shared" si="1"/>
        <v>1812074</v>
      </c>
      <c r="J8" s="92">
        <f t="shared" si="1"/>
        <v>1937165</v>
      </c>
      <c r="K8" s="39"/>
    </row>
    <row r="9" spans="1:57" s="40" customFormat="1" ht="40.200000000000003" customHeight="1" x14ac:dyDescent="0.3">
      <c r="A9" s="93" t="s">
        <v>32</v>
      </c>
      <c r="B9" s="94" t="s">
        <v>99</v>
      </c>
      <c r="C9" s="95">
        <f t="shared" ref="C9:D9" si="2">SUM(C10:C12)</f>
        <v>90149</v>
      </c>
      <c r="D9" s="95">
        <f t="shared" si="2"/>
        <v>82782</v>
      </c>
      <c r="E9" s="95">
        <f>E10+E11+E12</f>
        <v>176735</v>
      </c>
      <c r="F9" s="95">
        <f>F10+F11+F12</f>
        <v>162699</v>
      </c>
      <c r="G9" s="95">
        <f t="shared" ref="G9:J9" si="3">G10+G11+G12</f>
        <v>262376</v>
      </c>
      <c r="H9" s="95">
        <f t="shared" si="3"/>
        <v>241753</v>
      </c>
      <c r="I9" s="95">
        <f t="shared" si="3"/>
        <v>358184</v>
      </c>
      <c r="J9" s="95">
        <f t="shared" si="3"/>
        <v>330799</v>
      </c>
      <c r="K9" s="39"/>
    </row>
    <row r="10" spans="1:57" s="42" customFormat="1" ht="40.200000000000003" customHeight="1" x14ac:dyDescent="0.3">
      <c r="A10" s="96" t="s">
        <v>33</v>
      </c>
      <c r="B10" s="97" t="s">
        <v>100</v>
      </c>
      <c r="C10" s="98">
        <v>71810</v>
      </c>
      <c r="D10" s="98">
        <v>72367</v>
      </c>
      <c r="E10" s="98">
        <v>143446</v>
      </c>
      <c r="F10" s="98">
        <v>144730</v>
      </c>
      <c r="G10" s="98">
        <v>214171</v>
      </c>
      <c r="H10" s="98">
        <v>216252</v>
      </c>
      <c r="I10" s="98">
        <v>293833</v>
      </c>
      <c r="J10" s="98">
        <v>297012</v>
      </c>
      <c r="K10" s="41"/>
    </row>
    <row r="11" spans="1:57" s="42" customFormat="1" ht="40.200000000000003" customHeight="1" x14ac:dyDescent="0.3">
      <c r="A11" s="96" t="s">
        <v>34</v>
      </c>
      <c r="B11" s="97" t="s">
        <v>5</v>
      </c>
      <c r="C11" s="98">
        <v>10423</v>
      </c>
      <c r="D11" s="98">
        <v>2490</v>
      </c>
      <c r="E11" s="98">
        <v>20183</v>
      </c>
      <c r="F11" s="98">
        <v>4843</v>
      </c>
      <c r="G11" s="98">
        <v>29930</v>
      </c>
      <c r="H11" s="98">
        <v>7197</v>
      </c>
      <c r="I11" s="98">
        <v>40333</v>
      </c>
      <c r="J11" s="98">
        <v>9723</v>
      </c>
      <c r="K11" s="41"/>
    </row>
    <row r="12" spans="1:57" s="42" customFormat="1" ht="40.200000000000003" customHeight="1" x14ac:dyDescent="0.3">
      <c r="A12" s="96" t="s">
        <v>35</v>
      </c>
      <c r="B12" s="97" t="s">
        <v>1</v>
      </c>
      <c r="C12" s="98">
        <v>7916</v>
      </c>
      <c r="D12" s="98">
        <v>7925</v>
      </c>
      <c r="E12" s="98">
        <v>13106</v>
      </c>
      <c r="F12" s="98">
        <v>13126</v>
      </c>
      <c r="G12" s="98">
        <v>18275</v>
      </c>
      <c r="H12" s="98">
        <v>18304</v>
      </c>
      <c r="I12" s="98">
        <v>24018</v>
      </c>
      <c r="J12" s="98">
        <v>24064</v>
      </c>
      <c r="K12" s="41"/>
    </row>
    <row r="13" spans="1:57" s="40" customFormat="1" ht="40.200000000000003" customHeight="1" x14ac:dyDescent="0.3">
      <c r="A13" s="93" t="s">
        <v>36</v>
      </c>
      <c r="B13" s="94" t="s">
        <v>12</v>
      </c>
      <c r="C13" s="95">
        <f t="shared" ref="C13:D13" si="4">SUM(C14:C16)</f>
        <v>15375</v>
      </c>
      <c r="D13" s="95">
        <f t="shared" si="4"/>
        <v>17148</v>
      </c>
      <c r="E13" s="95">
        <f>E14+E15+E16</f>
        <v>39951</v>
      </c>
      <c r="F13" s="95">
        <f>F14+F15+F16</f>
        <v>41473</v>
      </c>
      <c r="G13" s="95">
        <f t="shared" ref="G13:J13" si="5">G14+G15+G16</f>
        <v>61941</v>
      </c>
      <c r="H13" s="95">
        <f t="shared" si="5"/>
        <v>63888</v>
      </c>
      <c r="I13" s="95">
        <f t="shared" si="5"/>
        <v>95578</v>
      </c>
      <c r="J13" s="95">
        <f t="shared" si="5"/>
        <v>101662</v>
      </c>
      <c r="K13" s="39"/>
    </row>
    <row r="14" spans="1:57" s="42" customFormat="1" ht="40.200000000000003" customHeight="1" x14ac:dyDescent="0.3">
      <c r="A14" s="96" t="s">
        <v>37</v>
      </c>
      <c r="B14" s="97" t="s">
        <v>6</v>
      </c>
      <c r="C14" s="98">
        <v>7951</v>
      </c>
      <c r="D14" s="98">
        <v>7956</v>
      </c>
      <c r="E14" s="98">
        <v>23716</v>
      </c>
      <c r="F14" s="98">
        <v>23734</v>
      </c>
      <c r="G14" s="98">
        <v>36499</v>
      </c>
      <c r="H14" s="98">
        <v>36532</v>
      </c>
      <c r="I14" s="98">
        <v>57727</v>
      </c>
      <c r="J14" s="98">
        <v>57791</v>
      </c>
      <c r="K14" s="41"/>
    </row>
    <row r="15" spans="1:57" s="42" customFormat="1" ht="40.200000000000003" customHeight="1" x14ac:dyDescent="0.3">
      <c r="A15" s="96" t="s">
        <v>38</v>
      </c>
      <c r="B15" s="97" t="s">
        <v>15</v>
      </c>
      <c r="C15" s="98">
        <v>7293</v>
      </c>
      <c r="D15" s="98">
        <v>7331</v>
      </c>
      <c r="E15" s="98">
        <v>15858</v>
      </c>
      <c r="F15" s="98">
        <v>15956</v>
      </c>
      <c r="G15" s="98">
        <v>24833</v>
      </c>
      <c r="H15" s="98">
        <v>24995</v>
      </c>
      <c r="I15" s="98">
        <v>36957</v>
      </c>
      <c r="J15" s="98">
        <v>37226</v>
      </c>
      <c r="K15" s="41"/>
    </row>
    <row r="16" spans="1:57" s="42" customFormat="1" ht="40.200000000000003" customHeight="1" x14ac:dyDescent="0.3">
      <c r="A16" s="96" t="s">
        <v>35</v>
      </c>
      <c r="B16" s="97" t="s">
        <v>1</v>
      </c>
      <c r="C16" s="98">
        <v>131</v>
      </c>
      <c r="D16" s="98">
        <v>1861</v>
      </c>
      <c r="E16" s="98">
        <v>377</v>
      </c>
      <c r="F16" s="98">
        <v>1783</v>
      </c>
      <c r="G16" s="98">
        <v>609</v>
      </c>
      <c r="H16" s="98">
        <v>2361</v>
      </c>
      <c r="I16" s="98">
        <v>894</v>
      </c>
      <c r="J16" s="98">
        <v>6645</v>
      </c>
      <c r="K16" s="41"/>
    </row>
    <row r="17" spans="1:11" s="40" customFormat="1" ht="40.200000000000003" customHeight="1" x14ac:dyDescent="0.3">
      <c r="A17" s="99" t="s">
        <v>39</v>
      </c>
      <c r="B17" s="100" t="s">
        <v>62</v>
      </c>
      <c r="C17" s="95">
        <f t="shared" ref="C17:D17" si="6">C18+C21</f>
        <v>160773</v>
      </c>
      <c r="D17" s="95">
        <f t="shared" si="6"/>
        <v>154721</v>
      </c>
      <c r="E17" s="95">
        <f>E18+E21</f>
        <v>288361</v>
      </c>
      <c r="F17" s="95">
        <f>F18+F21</f>
        <v>280993</v>
      </c>
      <c r="G17" s="95">
        <f t="shared" ref="G17:J17" si="7">G18+G21</f>
        <v>420066</v>
      </c>
      <c r="H17" s="95">
        <f t="shared" si="7"/>
        <v>412629</v>
      </c>
      <c r="I17" s="95">
        <f t="shared" si="7"/>
        <v>584819</v>
      </c>
      <c r="J17" s="95">
        <f t="shared" si="7"/>
        <v>555286</v>
      </c>
      <c r="K17" s="39"/>
    </row>
    <row r="18" spans="1:11" ht="40.200000000000003" customHeight="1" x14ac:dyDescent="0.3">
      <c r="A18" s="101" t="s">
        <v>94</v>
      </c>
      <c r="B18" s="102" t="s">
        <v>95</v>
      </c>
      <c r="C18" s="103">
        <f>C19+C20</f>
        <v>143402</v>
      </c>
      <c r="D18" s="103">
        <f>D19+D20</f>
        <v>137350</v>
      </c>
      <c r="E18" s="103">
        <f t="shared" ref="E18:J18" si="8">E19+E20</f>
        <v>264385</v>
      </c>
      <c r="F18" s="103">
        <f t="shared" si="8"/>
        <v>257017</v>
      </c>
      <c r="G18" s="103">
        <f t="shared" si="8"/>
        <v>380474</v>
      </c>
      <c r="H18" s="103">
        <f t="shared" si="8"/>
        <v>373037</v>
      </c>
      <c r="I18" s="103">
        <f t="shared" si="8"/>
        <v>528370</v>
      </c>
      <c r="J18" s="103">
        <f t="shared" si="8"/>
        <v>498837</v>
      </c>
      <c r="K18" s="38"/>
    </row>
    <row r="19" spans="1:11" ht="40.200000000000003" customHeight="1" x14ac:dyDescent="0.3">
      <c r="A19" s="104" t="s">
        <v>40</v>
      </c>
      <c r="B19" s="105" t="s">
        <v>21</v>
      </c>
      <c r="C19" s="98">
        <v>12151</v>
      </c>
      <c r="D19" s="98">
        <v>0</v>
      </c>
      <c r="E19" s="98">
        <v>21154</v>
      </c>
      <c r="F19" s="98">
        <v>0</v>
      </c>
      <c r="G19" s="98">
        <v>27532</v>
      </c>
      <c r="H19" s="98">
        <v>0</v>
      </c>
      <c r="I19" s="98">
        <v>54750</v>
      </c>
      <c r="J19" s="98">
        <v>0</v>
      </c>
      <c r="K19" s="38"/>
    </row>
    <row r="20" spans="1:11" ht="40.200000000000003" customHeight="1" x14ac:dyDescent="0.3">
      <c r="A20" s="104" t="s">
        <v>35</v>
      </c>
      <c r="B20" s="105" t="s">
        <v>7</v>
      </c>
      <c r="C20" s="98">
        <v>131251</v>
      </c>
      <c r="D20" s="98">
        <v>137350</v>
      </c>
      <c r="E20" s="98">
        <v>243231</v>
      </c>
      <c r="F20" s="98">
        <v>257017</v>
      </c>
      <c r="G20" s="98">
        <v>352942</v>
      </c>
      <c r="H20" s="98">
        <v>373037</v>
      </c>
      <c r="I20" s="98">
        <v>473620</v>
      </c>
      <c r="J20" s="98">
        <v>498837</v>
      </c>
      <c r="K20" s="38"/>
    </row>
    <row r="21" spans="1:11" ht="40.200000000000003" customHeight="1" x14ac:dyDescent="0.3">
      <c r="A21" s="101" t="s">
        <v>41</v>
      </c>
      <c r="B21" s="102" t="s">
        <v>63</v>
      </c>
      <c r="C21" s="103">
        <v>17371</v>
      </c>
      <c r="D21" s="103">
        <v>17371</v>
      </c>
      <c r="E21" s="103">
        <v>23976</v>
      </c>
      <c r="F21" s="103">
        <v>23976</v>
      </c>
      <c r="G21" s="103">
        <v>39592</v>
      </c>
      <c r="H21" s="103">
        <v>39592</v>
      </c>
      <c r="I21" s="103">
        <v>56449</v>
      </c>
      <c r="J21" s="103">
        <v>56449</v>
      </c>
      <c r="K21" s="38"/>
    </row>
    <row r="22" spans="1:11" s="40" customFormat="1" ht="40.200000000000003" customHeight="1" x14ac:dyDescent="0.3">
      <c r="A22" s="106" t="s">
        <v>42</v>
      </c>
      <c r="B22" s="94" t="s">
        <v>13</v>
      </c>
      <c r="C22" s="95">
        <f t="shared" ref="C22:D22" si="9">C23+C27+C28+C31</f>
        <v>62007</v>
      </c>
      <c r="D22" s="95">
        <f t="shared" si="9"/>
        <v>101967</v>
      </c>
      <c r="E22" s="95">
        <f>E23+E27+E28+E31</f>
        <v>135607</v>
      </c>
      <c r="F22" s="95">
        <f>F23+F27+F28+F31</f>
        <v>199657</v>
      </c>
      <c r="G22" s="95">
        <f t="shared" ref="G22:J22" si="10">G23+G27+G28+G31</f>
        <v>191939</v>
      </c>
      <c r="H22" s="95">
        <f t="shared" si="10"/>
        <v>311895</v>
      </c>
      <c r="I22" s="95">
        <f t="shared" si="10"/>
        <v>341854</v>
      </c>
      <c r="J22" s="95">
        <f t="shared" si="10"/>
        <v>516111</v>
      </c>
      <c r="K22" s="39"/>
    </row>
    <row r="23" spans="1:11" s="40" customFormat="1" ht="40.200000000000003" customHeight="1" x14ac:dyDescent="0.3">
      <c r="A23" s="107" t="s">
        <v>43</v>
      </c>
      <c r="B23" s="108" t="s">
        <v>54</v>
      </c>
      <c r="C23" s="95">
        <f t="shared" ref="C23:D23" si="11">C24+C25+C26</f>
        <v>18352</v>
      </c>
      <c r="D23" s="95">
        <f t="shared" si="11"/>
        <v>18352</v>
      </c>
      <c r="E23" s="95">
        <f>E24+E25+E26</f>
        <v>41931</v>
      </c>
      <c r="F23" s="95">
        <f>F24+F25+F26</f>
        <v>41931</v>
      </c>
      <c r="G23" s="95">
        <f t="shared" ref="G23:J23" si="12">G24+G25+G26</f>
        <v>70289</v>
      </c>
      <c r="H23" s="95">
        <f t="shared" si="12"/>
        <v>70289</v>
      </c>
      <c r="I23" s="95">
        <f t="shared" si="12"/>
        <v>181296</v>
      </c>
      <c r="J23" s="95">
        <f t="shared" si="12"/>
        <v>181296</v>
      </c>
      <c r="K23" s="39"/>
    </row>
    <row r="24" spans="1:11" ht="40.200000000000003" customHeight="1" x14ac:dyDescent="0.3">
      <c r="A24" s="109" t="s">
        <v>44</v>
      </c>
      <c r="B24" s="110" t="s">
        <v>17</v>
      </c>
      <c r="C24" s="98">
        <v>0</v>
      </c>
      <c r="D24" s="98">
        <v>0</v>
      </c>
      <c r="E24" s="98">
        <v>7031</v>
      </c>
      <c r="F24" s="98">
        <v>7031</v>
      </c>
      <c r="G24" s="98">
        <v>7031</v>
      </c>
      <c r="H24" s="98">
        <v>7031</v>
      </c>
      <c r="I24" s="98">
        <v>59601</v>
      </c>
      <c r="J24" s="98">
        <v>59601</v>
      </c>
      <c r="K24" s="38"/>
    </row>
    <row r="25" spans="1:11" ht="40.200000000000003" customHeight="1" x14ac:dyDescent="0.3">
      <c r="A25" s="109" t="s">
        <v>45</v>
      </c>
      <c r="B25" s="110" t="s">
        <v>16</v>
      </c>
      <c r="C25" s="98">
        <v>13335</v>
      </c>
      <c r="D25" s="98">
        <v>13335</v>
      </c>
      <c r="E25" s="98">
        <v>26887</v>
      </c>
      <c r="F25" s="98">
        <v>26887</v>
      </c>
      <c r="G25" s="98">
        <v>49949</v>
      </c>
      <c r="H25" s="98">
        <v>49949</v>
      </c>
      <c r="I25" s="98">
        <v>96805</v>
      </c>
      <c r="J25" s="98">
        <v>96805</v>
      </c>
      <c r="K25" s="38"/>
    </row>
    <row r="26" spans="1:11" ht="40.200000000000003" customHeight="1" x14ac:dyDescent="0.3">
      <c r="A26" s="109" t="s">
        <v>35</v>
      </c>
      <c r="B26" s="110" t="s">
        <v>18</v>
      </c>
      <c r="C26" s="98">
        <v>5017</v>
      </c>
      <c r="D26" s="98">
        <v>5017</v>
      </c>
      <c r="E26" s="98">
        <v>8013</v>
      </c>
      <c r="F26" s="98">
        <v>8013</v>
      </c>
      <c r="G26" s="98">
        <v>13309</v>
      </c>
      <c r="H26" s="98">
        <v>13309</v>
      </c>
      <c r="I26" s="98">
        <v>24890</v>
      </c>
      <c r="J26" s="98">
        <v>24890</v>
      </c>
      <c r="K26" s="38"/>
    </row>
    <row r="27" spans="1:11" s="40" customFormat="1" ht="40.200000000000003" customHeight="1" x14ac:dyDescent="0.3">
      <c r="A27" s="107" t="s">
        <v>46</v>
      </c>
      <c r="B27" s="108" t="s">
        <v>55</v>
      </c>
      <c r="C27" s="95">
        <v>2114</v>
      </c>
      <c r="D27" s="95">
        <v>2114</v>
      </c>
      <c r="E27" s="95">
        <v>4071</v>
      </c>
      <c r="F27" s="95">
        <v>4071</v>
      </c>
      <c r="G27" s="95">
        <v>6059</v>
      </c>
      <c r="H27" s="95">
        <v>6059</v>
      </c>
      <c r="I27" s="95">
        <v>9004</v>
      </c>
      <c r="J27" s="95">
        <v>9004</v>
      </c>
      <c r="K27" s="39"/>
    </row>
    <row r="28" spans="1:11" s="40" customFormat="1" ht="40.200000000000003" customHeight="1" x14ac:dyDescent="0.3">
      <c r="A28" s="107" t="s">
        <v>101</v>
      </c>
      <c r="B28" s="108" t="s">
        <v>56</v>
      </c>
      <c r="C28" s="95">
        <f t="shared" ref="C28:D28" si="13">C29+C30</f>
        <v>41167</v>
      </c>
      <c r="D28" s="95">
        <f t="shared" si="13"/>
        <v>81127</v>
      </c>
      <c r="E28" s="95">
        <f>E29+E30</f>
        <v>89025</v>
      </c>
      <c r="F28" s="95">
        <f>F29+F30</f>
        <v>153074</v>
      </c>
      <c r="G28" s="95">
        <f t="shared" ref="G28:J28" si="14">G29+G30</f>
        <v>114784</v>
      </c>
      <c r="H28" s="95">
        <f t="shared" si="14"/>
        <v>234740</v>
      </c>
      <c r="I28" s="95">
        <f t="shared" si="14"/>
        <v>150473</v>
      </c>
      <c r="J28" s="95">
        <f t="shared" si="14"/>
        <v>324730</v>
      </c>
      <c r="K28" s="39"/>
    </row>
    <row r="29" spans="1:11" ht="40.200000000000003" customHeight="1" x14ac:dyDescent="0.3">
      <c r="A29" s="109" t="s">
        <v>47</v>
      </c>
      <c r="B29" s="110" t="s">
        <v>19</v>
      </c>
      <c r="C29" s="98">
        <v>34000</v>
      </c>
      <c r="D29" s="98">
        <v>0</v>
      </c>
      <c r="E29" s="98">
        <v>73799</v>
      </c>
      <c r="F29" s="98">
        <v>0</v>
      </c>
      <c r="G29" s="98">
        <v>90499</v>
      </c>
      <c r="H29" s="98">
        <v>0</v>
      </c>
      <c r="I29" s="98">
        <v>119999</v>
      </c>
      <c r="J29" s="98">
        <v>0</v>
      </c>
      <c r="K29" s="38"/>
    </row>
    <row r="30" spans="1:11" ht="40.200000000000003" customHeight="1" x14ac:dyDescent="0.3">
      <c r="A30" s="109" t="s">
        <v>35</v>
      </c>
      <c r="B30" s="110" t="s">
        <v>20</v>
      </c>
      <c r="C30" s="98">
        <v>7167</v>
      </c>
      <c r="D30" s="98">
        <v>81127</v>
      </c>
      <c r="E30" s="98">
        <v>15226</v>
      </c>
      <c r="F30" s="98">
        <v>153074</v>
      </c>
      <c r="G30" s="98">
        <v>24285</v>
      </c>
      <c r="H30" s="98">
        <v>234740</v>
      </c>
      <c r="I30" s="98">
        <v>30474</v>
      </c>
      <c r="J30" s="98">
        <v>324730</v>
      </c>
      <c r="K30" s="38"/>
    </row>
    <row r="31" spans="1:11" s="40" customFormat="1" ht="40.200000000000003" customHeight="1" x14ac:dyDescent="0.3">
      <c r="A31" s="107" t="s">
        <v>48</v>
      </c>
      <c r="B31" s="111" t="s">
        <v>119</v>
      </c>
      <c r="C31" s="95">
        <v>374</v>
      </c>
      <c r="D31" s="95">
        <v>374</v>
      </c>
      <c r="E31" s="95">
        <v>580</v>
      </c>
      <c r="F31" s="95">
        <v>581</v>
      </c>
      <c r="G31" s="95">
        <v>807</v>
      </c>
      <c r="H31" s="95">
        <v>807</v>
      </c>
      <c r="I31" s="95">
        <v>1081</v>
      </c>
      <c r="J31" s="95">
        <v>1081</v>
      </c>
      <c r="K31" s="39"/>
    </row>
    <row r="32" spans="1:11" s="40" customFormat="1" ht="40.200000000000003" customHeight="1" x14ac:dyDescent="0.3">
      <c r="A32" s="93" t="s">
        <v>59</v>
      </c>
      <c r="B32" s="94" t="s">
        <v>11</v>
      </c>
      <c r="C32" s="95">
        <f t="shared" ref="C32:D32" si="15">C33+C34</f>
        <v>25282</v>
      </c>
      <c r="D32" s="95">
        <f t="shared" si="15"/>
        <v>25421</v>
      </c>
      <c r="E32" s="95">
        <f>E33+E34</f>
        <v>52164</v>
      </c>
      <c r="F32" s="95">
        <f>F33+F34</f>
        <v>53050</v>
      </c>
      <c r="G32" s="95">
        <f t="shared" ref="G32:J32" si="16">G33+G34</f>
        <v>79681</v>
      </c>
      <c r="H32" s="95">
        <f t="shared" si="16"/>
        <v>80766</v>
      </c>
      <c r="I32" s="95">
        <f t="shared" si="16"/>
        <v>113416</v>
      </c>
      <c r="J32" s="95">
        <f t="shared" si="16"/>
        <v>115084</v>
      </c>
      <c r="K32" s="39"/>
    </row>
    <row r="33" spans="1:11" ht="40.200000000000003" customHeight="1" x14ac:dyDescent="0.3">
      <c r="A33" s="96" t="s">
        <v>49</v>
      </c>
      <c r="B33" s="97" t="s">
        <v>4</v>
      </c>
      <c r="C33" s="98">
        <v>22302</v>
      </c>
      <c r="D33" s="98">
        <v>22302</v>
      </c>
      <c r="E33" s="98">
        <v>43281</v>
      </c>
      <c r="F33" s="98">
        <v>43281</v>
      </c>
      <c r="G33" s="98">
        <v>65548</v>
      </c>
      <c r="H33" s="98">
        <v>65548</v>
      </c>
      <c r="I33" s="98">
        <v>89708</v>
      </c>
      <c r="J33" s="98">
        <v>89708</v>
      </c>
      <c r="K33" s="38"/>
    </row>
    <row r="34" spans="1:11" ht="40.200000000000003" customHeight="1" x14ac:dyDescent="0.3">
      <c r="A34" s="96" t="s">
        <v>35</v>
      </c>
      <c r="B34" s="97" t="s">
        <v>8</v>
      </c>
      <c r="C34" s="98">
        <v>2980</v>
      </c>
      <c r="D34" s="98">
        <v>3119</v>
      </c>
      <c r="E34" s="98">
        <v>8883</v>
      </c>
      <c r="F34" s="98">
        <v>9769</v>
      </c>
      <c r="G34" s="98">
        <v>14133</v>
      </c>
      <c r="H34" s="98">
        <v>15218</v>
      </c>
      <c r="I34" s="98">
        <v>23708</v>
      </c>
      <c r="J34" s="98">
        <v>25376</v>
      </c>
      <c r="K34" s="38"/>
    </row>
    <row r="35" spans="1:11" s="40" customFormat="1" ht="48.75" customHeight="1" x14ac:dyDescent="0.3">
      <c r="A35" s="93" t="s">
        <v>50</v>
      </c>
      <c r="B35" s="112" t="s">
        <v>14</v>
      </c>
      <c r="C35" s="95">
        <f t="shared" ref="C35:D35" si="17">C36+C37</f>
        <v>37746</v>
      </c>
      <c r="D35" s="95">
        <f t="shared" si="17"/>
        <v>37746</v>
      </c>
      <c r="E35" s="95">
        <f>E36+E37</f>
        <v>92965</v>
      </c>
      <c r="F35" s="95">
        <f>F36+F37</f>
        <v>92965</v>
      </c>
      <c r="G35" s="95">
        <f t="shared" ref="G35:J35" si="18">G36+G37</f>
        <v>155165</v>
      </c>
      <c r="H35" s="95">
        <f t="shared" si="18"/>
        <v>155165</v>
      </c>
      <c r="I35" s="95">
        <f t="shared" si="18"/>
        <v>318223</v>
      </c>
      <c r="J35" s="95">
        <f t="shared" si="18"/>
        <v>318223</v>
      </c>
    </row>
    <row r="36" spans="1:11" ht="40.200000000000003" customHeight="1" x14ac:dyDescent="0.3">
      <c r="A36" s="96" t="s">
        <v>51</v>
      </c>
      <c r="B36" s="97" t="s">
        <v>9</v>
      </c>
      <c r="C36" s="98">
        <v>34610</v>
      </c>
      <c r="D36" s="98">
        <v>34610</v>
      </c>
      <c r="E36" s="98">
        <v>84051</v>
      </c>
      <c r="F36" s="98">
        <v>84051</v>
      </c>
      <c r="G36" s="98">
        <v>141274</v>
      </c>
      <c r="H36" s="98">
        <v>141274</v>
      </c>
      <c r="I36" s="98">
        <v>217170</v>
      </c>
      <c r="J36" s="98">
        <v>217170</v>
      </c>
    </row>
    <row r="37" spans="1:11" ht="40.200000000000003" customHeight="1" x14ac:dyDescent="0.3">
      <c r="A37" s="113" t="s">
        <v>35</v>
      </c>
      <c r="B37" s="114" t="s">
        <v>10</v>
      </c>
      <c r="C37" s="115">
        <v>3136</v>
      </c>
      <c r="D37" s="115">
        <v>3136</v>
      </c>
      <c r="E37" s="115">
        <v>8914</v>
      </c>
      <c r="F37" s="115">
        <v>8914</v>
      </c>
      <c r="G37" s="115">
        <v>13891</v>
      </c>
      <c r="H37" s="115">
        <v>13891</v>
      </c>
      <c r="I37" s="115">
        <v>101053</v>
      </c>
      <c r="J37" s="115">
        <v>101053</v>
      </c>
    </row>
    <row r="38" spans="1:11" ht="21.9" customHeight="1" x14ac:dyDescent="0.3">
      <c r="A38" s="74" t="s">
        <v>67</v>
      </c>
      <c r="B38" s="71" t="s">
        <v>68</v>
      </c>
    </row>
    <row r="39" spans="1:11" ht="77.25" customHeight="1" x14ac:dyDescent="0.3">
      <c r="A39" s="66" t="s">
        <v>112</v>
      </c>
      <c r="B39" s="75" t="s">
        <v>109</v>
      </c>
    </row>
    <row r="40" spans="1:11" ht="60" customHeight="1" x14ac:dyDescent="0.3">
      <c r="A40" s="66" t="s">
        <v>89</v>
      </c>
      <c r="B40" s="238" t="s">
        <v>88</v>
      </c>
      <c r="C40" s="238"/>
    </row>
    <row r="41" spans="1:11" ht="21.9" customHeight="1" x14ac:dyDescent="0.3">
      <c r="B41" s="30"/>
      <c r="C41" s="30"/>
      <c r="D41" s="30"/>
      <c r="E41" s="30"/>
      <c r="F41" s="30"/>
      <c r="G41" s="33"/>
    </row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6" orientation="landscape" horizontalDpi="4294967295" verticalDpi="4294967295" r:id="rId1"/>
  <headerFooter alignWithMargins="0"/>
  <rowBreaks count="1" manualBreakCount="1">
    <brk id="37" max="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FA35-E624-4899-9B0A-120C1228A9FC}">
  <sheetPr>
    <pageSetUpPr fitToPage="1"/>
  </sheetPr>
  <dimension ref="A1:BE1304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2" width="62.6640625" style="35" customWidth="1"/>
    <col min="3" max="4" width="24.6640625" style="33" customWidth="1"/>
    <col min="5" max="8" width="24.6640625" style="36" customWidth="1"/>
    <col min="9" max="10" width="24.6640625" style="35" customWidth="1"/>
    <col min="11" max="16384" width="8.44140625" style="35"/>
  </cols>
  <sheetData>
    <row r="1" spans="1:57" s="27" customFormat="1" ht="66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:57" ht="22.95" customHeight="1" x14ac:dyDescent="0.35">
      <c r="A2" s="78"/>
      <c r="B2" s="78"/>
      <c r="C2" s="237"/>
      <c r="D2" s="237"/>
      <c r="E2" s="79"/>
      <c r="F2" s="80"/>
      <c r="G2" s="81"/>
      <c r="H2" s="79"/>
      <c r="I2" s="78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</row>
    <row r="3" spans="1:57" s="36" customFormat="1" ht="15" customHeight="1" x14ac:dyDescent="0.35">
      <c r="A3" s="193"/>
      <c r="B3" s="224" t="s">
        <v>2</v>
      </c>
      <c r="C3" s="226" t="s">
        <v>117</v>
      </c>
      <c r="D3" s="227"/>
      <c r="E3" s="227"/>
      <c r="F3" s="227"/>
      <c r="G3" s="227"/>
      <c r="H3" s="227"/>
      <c r="I3" s="227"/>
      <c r="J3" s="228"/>
    </row>
    <row r="4" spans="1:57" s="36" customFormat="1" ht="49.95" customHeight="1" x14ac:dyDescent="0.35">
      <c r="A4" s="194"/>
      <c r="B4" s="225"/>
      <c r="C4" s="229"/>
      <c r="D4" s="230"/>
      <c r="E4" s="230"/>
      <c r="F4" s="230"/>
      <c r="G4" s="230"/>
      <c r="H4" s="230"/>
      <c r="I4" s="230"/>
      <c r="J4" s="231"/>
    </row>
    <row r="5" spans="1:57" s="36" customFormat="1" ht="15" customHeight="1" x14ac:dyDescent="0.35">
      <c r="A5" s="194"/>
      <c r="B5" s="194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57" s="36" customFormat="1" ht="15" customHeight="1" x14ac:dyDescent="0.35">
      <c r="A6" s="194"/>
      <c r="B6" s="194"/>
      <c r="C6" s="233"/>
      <c r="D6" s="233"/>
      <c r="E6" s="233"/>
      <c r="F6" s="233"/>
      <c r="G6" s="233"/>
      <c r="H6" s="229"/>
      <c r="I6" s="233"/>
      <c r="J6" s="233"/>
    </row>
    <row r="7" spans="1:57" s="38" customFormat="1" ht="92.4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8" t="s">
        <v>66</v>
      </c>
      <c r="I7" s="87" t="s">
        <v>3</v>
      </c>
      <c r="J7" s="89" t="s">
        <v>66</v>
      </c>
    </row>
    <row r="8" spans="1:57" s="40" customFormat="1" ht="40.200000000000003" customHeight="1" x14ac:dyDescent="0.3">
      <c r="A8" s="90" t="s">
        <v>58</v>
      </c>
      <c r="B8" s="91" t="s">
        <v>0</v>
      </c>
      <c r="C8" s="92">
        <f t="shared" ref="C8:D8" si="0">C9+C13+C17+C22+C32+C35</f>
        <v>466419</v>
      </c>
      <c r="D8" s="92">
        <f t="shared" si="0"/>
        <v>494592</v>
      </c>
      <c r="E8" s="92">
        <f>E9+E13+E17+E22+E32+E35</f>
        <v>940808</v>
      </c>
      <c r="F8" s="92">
        <f>F9+F13+F17+F22+F32+F35</f>
        <v>992121</v>
      </c>
      <c r="G8" s="92">
        <f t="shared" ref="G8:J8" si="1">G9+G13+G17+G22+G32+G35</f>
        <v>1473929</v>
      </c>
      <c r="H8" s="92">
        <f t="shared" si="1"/>
        <v>1559307</v>
      </c>
      <c r="I8" s="92">
        <f t="shared" si="1"/>
        <v>2184783</v>
      </c>
      <c r="J8" s="92">
        <f t="shared" si="1"/>
        <v>2309495</v>
      </c>
      <c r="K8" s="39"/>
    </row>
    <row r="9" spans="1:57" s="40" customFormat="1" ht="40.200000000000003" customHeight="1" x14ac:dyDescent="0.3">
      <c r="A9" s="93" t="s">
        <v>32</v>
      </c>
      <c r="B9" s="94" t="s">
        <v>99</v>
      </c>
      <c r="C9" s="95">
        <f t="shared" ref="C9:D9" si="2">SUM(C10:C12)</f>
        <v>97133</v>
      </c>
      <c r="D9" s="95">
        <f t="shared" si="2"/>
        <v>89275</v>
      </c>
      <c r="E9" s="95">
        <f>E10+E11+E12</f>
        <v>193974</v>
      </c>
      <c r="F9" s="95">
        <f>F10+F11+F12</f>
        <v>178864</v>
      </c>
      <c r="G9" s="95">
        <f t="shared" ref="G9:J9" si="3">G10+G11+G12</f>
        <v>291625</v>
      </c>
      <c r="H9" s="95">
        <f t="shared" si="3"/>
        <v>268985</v>
      </c>
      <c r="I9" s="95">
        <f t="shared" si="3"/>
        <v>412463</v>
      </c>
      <c r="J9" s="95">
        <f t="shared" si="3"/>
        <v>380369</v>
      </c>
      <c r="K9" s="39"/>
    </row>
    <row r="10" spans="1:57" s="42" customFormat="1" ht="40.200000000000003" customHeight="1" x14ac:dyDescent="0.3">
      <c r="A10" s="96" t="s">
        <v>33</v>
      </c>
      <c r="B10" s="97" t="s">
        <v>100</v>
      </c>
      <c r="C10" s="98">
        <v>77368</v>
      </c>
      <c r="D10" s="98">
        <v>78092</v>
      </c>
      <c r="E10" s="98">
        <v>157638</v>
      </c>
      <c r="F10" s="98">
        <v>159329</v>
      </c>
      <c r="G10" s="98">
        <v>238169</v>
      </c>
      <c r="H10" s="98">
        <v>240841</v>
      </c>
      <c r="I10" s="98">
        <v>338232</v>
      </c>
      <c r="J10" s="98">
        <v>342101</v>
      </c>
      <c r="K10" s="41"/>
    </row>
    <row r="11" spans="1:57" s="42" customFormat="1" ht="40.200000000000003" customHeight="1" x14ac:dyDescent="0.3">
      <c r="A11" s="96" t="s">
        <v>34</v>
      </c>
      <c r="B11" s="97" t="s">
        <v>5</v>
      </c>
      <c r="C11" s="98">
        <v>11365</v>
      </c>
      <c r="D11" s="98">
        <v>2772</v>
      </c>
      <c r="E11" s="98">
        <v>22261</v>
      </c>
      <c r="F11" s="98">
        <v>5430</v>
      </c>
      <c r="G11" s="98">
        <v>33546</v>
      </c>
      <c r="H11" s="98">
        <v>8191</v>
      </c>
      <c r="I11" s="98">
        <v>47797</v>
      </c>
      <c r="J11" s="98">
        <v>11770</v>
      </c>
      <c r="K11" s="41"/>
    </row>
    <row r="12" spans="1:57" s="42" customFormat="1" ht="40.200000000000003" customHeight="1" x14ac:dyDescent="0.3">
      <c r="A12" s="96" t="s">
        <v>35</v>
      </c>
      <c r="B12" s="97" t="s">
        <v>1</v>
      </c>
      <c r="C12" s="98">
        <v>8400</v>
      </c>
      <c r="D12" s="98">
        <v>8411</v>
      </c>
      <c r="E12" s="98">
        <v>14075</v>
      </c>
      <c r="F12" s="98">
        <v>14105</v>
      </c>
      <c r="G12" s="98">
        <v>19910</v>
      </c>
      <c r="H12" s="98">
        <v>19953</v>
      </c>
      <c r="I12" s="98">
        <v>26434</v>
      </c>
      <c r="J12" s="98">
        <v>26498</v>
      </c>
      <c r="K12" s="41"/>
    </row>
    <row r="13" spans="1:57" s="40" customFormat="1" ht="40.200000000000003" customHeight="1" x14ac:dyDescent="0.3">
      <c r="A13" s="93" t="s">
        <v>36</v>
      </c>
      <c r="B13" s="94" t="s">
        <v>12</v>
      </c>
      <c r="C13" s="95">
        <f t="shared" ref="C13:D13" si="4">SUM(C14:C16)</f>
        <v>20771</v>
      </c>
      <c r="D13" s="95">
        <f t="shared" si="4"/>
        <v>21329</v>
      </c>
      <c r="E13" s="95">
        <f>E14+E15+E16</f>
        <v>52442</v>
      </c>
      <c r="F13" s="95">
        <f>F14+F15+F16</f>
        <v>52772</v>
      </c>
      <c r="G13" s="95">
        <f t="shared" ref="G13:J13" si="5">G14+G15+G16</f>
        <v>79476</v>
      </c>
      <c r="H13" s="95">
        <f t="shared" si="5"/>
        <v>79915</v>
      </c>
      <c r="I13" s="95">
        <f t="shared" si="5"/>
        <v>127772</v>
      </c>
      <c r="J13" s="95">
        <f t="shared" si="5"/>
        <v>128391</v>
      </c>
      <c r="K13" s="39"/>
    </row>
    <row r="14" spans="1:57" s="42" customFormat="1" ht="40.200000000000003" customHeight="1" x14ac:dyDescent="0.3">
      <c r="A14" s="96" t="s">
        <v>37</v>
      </c>
      <c r="B14" s="97" t="s">
        <v>6</v>
      </c>
      <c r="C14" s="98">
        <v>10033</v>
      </c>
      <c r="D14" s="98">
        <v>10039</v>
      </c>
      <c r="E14" s="98">
        <v>27655</v>
      </c>
      <c r="F14" s="98">
        <v>27679</v>
      </c>
      <c r="G14" s="98">
        <v>44004</v>
      </c>
      <c r="H14" s="98">
        <v>44038</v>
      </c>
      <c r="I14" s="98">
        <v>74733</v>
      </c>
      <c r="J14" s="98">
        <v>74789</v>
      </c>
      <c r="K14" s="41"/>
    </row>
    <row r="15" spans="1:57" s="42" customFormat="1" ht="40.200000000000003" customHeight="1" x14ac:dyDescent="0.3">
      <c r="A15" s="96" t="s">
        <v>38</v>
      </c>
      <c r="B15" s="97" t="s">
        <v>15</v>
      </c>
      <c r="C15" s="98">
        <v>10521</v>
      </c>
      <c r="D15" s="98">
        <v>10560</v>
      </c>
      <c r="E15" s="98">
        <v>24306</v>
      </c>
      <c r="F15" s="98">
        <v>24433</v>
      </c>
      <c r="G15" s="98">
        <v>34772</v>
      </c>
      <c r="H15" s="98">
        <v>34978</v>
      </c>
      <c r="I15" s="98">
        <v>52014</v>
      </c>
      <c r="J15" s="98">
        <v>52354</v>
      </c>
      <c r="K15" s="41"/>
    </row>
    <row r="16" spans="1:57" s="42" customFormat="1" ht="40.200000000000003" customHeight="1" x14ac:dyDescent="0.3">
      <c r="A16" s="96" t="s">
        <v>35</v>
      </c>
      <c r="B16" s="97" t="s">
        <v>1</v>
      </c>
      <c r="C16" s="98">
        <v>217</v>
      </c>
      <c r="D16" s="98">
        <v>730</v>
      </c>
      <c r="E16" s="98">
        <v>481</v>
      </c>
      <c r="F16" s="98">
        <v>660</v>
      </c>
      <c r="G16" s="98">
        <v>700</v>
      </c>
      <c r="H16" s="98">
        <v>899</v>
      </c>
      <c r="I16" s="98">
        <v>1025</v>
      </c>
      <c r="J16" s="98">
        <v>1248</v>
      </c>
      <c r="K16" s="41"/>
    </row>
    <row r="17" spans="1:11" s="40" customFormat="1" ht="40.200000000000003" customHeight="1" x14ac:dyDescent="0.3">
      <c r="A17" s="99" t="s">
        <v>39</v>
      </c>
      <c r="B17" s="100" t="s">
        <v>62</v>
      </c>
      <c r="C17" s="95">
        <f t="shared" ref="C17:D17" si="6">C18+C21</f>
        <v>216940</v>
      </c>
      <c r="D17" s="95">
        <f t="shared" si="6"/>
        <v>205210</v>
      </c>
      <c r="E17" s="95">
        <f>E18+E21</f>
        <v>392847</v>
      </c>
      <c r="F17" s="95">
        <f>F18+F21</f>
        <v>371751</v>
      </c>
      <c r="G17" s="95">
        <f t="shared" ref="G17:J17" si="7">G18+G21</f>
        <v>595798</v>
      </c>
      <c r="H17" s="95">
        <f t="shared" si="7"/>
        <v>559975</v>
      </c>
      <c r="I17" s="95">
        <f t="shared" si="7"/>
        <v>774236</v>
      </c>
      <c r="J17" s="95">
        <f t="shared" si="7"/>
        <v>723784</v>
      </c>
      <c r="K17" s="39"/>
    </row>
    <row r="18" spans="1:11" ht="40.200000000000003" customHeight="1" x14ac:dyDescent="0.3">
      <c r="A18" s="101" t="s">
        <v>94</v>
      </c>
      <c r="B18" s="102" t="s">
        <v>95</v>
      </c>
      <c r="C18" s="103">
        <f>C19+C20</f>
        <v>198217</v>
      </c>
      <c r="D18" s="103">
        <f>D19+D20</f>
        <v>186487</v>
      </c>
      <c r="E18" s="103">
        <f t="shared" ref="E18:J18" si="8">E19+E20</f>
        <v>350947</v>
      </c>
      <c r="F18" s="103">
        <f t="shared" si="8"/>
        <v>329851</v>
      </c>
      <c r="G18" s="103">
        <f t="shared" si="8"/>
        <v>523447</v>
      </c>
      <c r="H18" s="103">
        <f t="shared" si="8"/>
        <v>487624</v>
      </c>
      <c r="I18" s="103">
        <f t="shared" si="8"/>
        <v>666157</v>
      </c>
      <c r="J18" s="103">
        <f t="shared" si="8"/>
        <v>615705</v>
      </c>
      <c r="K18" s="38"/>
    </row>
    <row r="19" spans="1:11" ht="40.200000000000003" customHeight="1" x14ac:dyDescent="0.3">
      <c r="A19" s="104" t="s">
        <v>40</v>
      </c>
      <c r="B19" s="105" t="s">
        <v>21</v>
      </c>
      <c r="C19" s="98">
        <v>15481</v>
      </c>
      <c r="D19" s="98">
        <v>0</v>
      </c>
      <c r="E19" s="98">
        <v>29336</v>
      </c>
      <c r="F19" s="98">
        <v>0</v>
      </c>
      <c r="G19" s="98">
        <v>47701</v>
      </c>
      <c r="H19" s="98">
        <v>0</v>
      </c>
      <c r="I19" s="98">
        <v>74645</v>
      </c>
      <c r="J19" s="98">
        <v>0</v>
      </c>
      <c r="K19" s="38"/>
    </row>
    <row r="20" spans="1:11" ht="40.200000000000003" customHeight="1" x14ac:dyDescent="0.3">
      <c r="A20" s="104" t="s">
        <v>35</v>
      </c>
      <c r="B20" s="105" t="s">
        <v>7</v>
      </c>
      <c r="C20" s="98">
        <v>182736</v>
      </c>
      <c r="D20" s="98">
        <v>186487</v>
      </c>
      <c r="E20" s="98">
        <v>321611</v>
      </c>
      <c r="F20" s="98">
        <v>329851</v>
      </c>
      <c r="G20" s="98">
        <v>475746</v>
      </c>
      <c r="H20" s="98">
        <v>487624</v>
      </c>
      <c r="I20" s="98">
        <v>591512</v>
      </c>
      <c r="J20" s="98">
        <v>615705</v>
      </c>
      <c r="K20" s="38"/>
    </row>
    <row r="21" spans="1:11" ht="40.200000000000003" customHeight="1" x14ac:dyDescent="0.3">
      <c r="A21" s="101" t="s">
        <v>41</v>
      </c>
      <c r="B21" s="102" t="s">
        <v>63</v>
      </c>
      <c r="C21" s="103">
        <v>18723</v>
      </c>
      <c r="D21" s="103">
        <v>18723</v>
      </c>
      <c r="E21" s="103">
        <v>41900</v>
      </c>
      <c r="F21" s="103">
        <v>41900</v>
      </c>
      <c r="G21" s="103">
        <v>72351</v>
      </c>
      <c r="H21" s="103">
        <v>72351</v>
      </c>
      <c r="I21" s="103">
        <v>108079</v>
      </c>
      <c r="J21" s="103">
        <v>108079</v>
      </c>
      <c r="K21" s="38"/>
    </row>
    <row r="22" spans="1:11" s="40" customFormat="1" ht="40.200000000000003" customHeight="1" x14ac:dyDescent="0.3">
      <c r="A22" s="106" t="s">
        <v>42</v>
      </c>
      <c r="B22" s="94" t="s">
        <v>13</v>
      </c>
      <c r="C22" s="95">
        <f t="shared" ref="C22:D22" si="9">C23+C27+C28+C31</f>
        <v>63024</v>
      </c>
      <c r="D22" s="95">
        <f t="shared" si="9"/>
        <v>109809</v>
      </c>
      <c r="E22" s="95">
        <f>E23+E27+E28+E31</f>
        <v>138223</v>
      </c>
      <c r="F22" s="95">
        <f>F23+F27+F28+F31</f>
        <v>224909</v>
      </c>
      <c r="G22" s="95">
        <f t="shared" ref="G22:J22" si="10">G23+G27+G28+G31</f>
        <v>234698</v>
      </c>
      <c r="H22" s="95">
        <f t="shared" si="10"/>
        <v>377594</v>
      </c>
      <c r="I22" s="95">
        <f t="shared" si="10"/>
        <v>454101</v>
      </c>
      <c r="J22" s="95">
        <f t="shared" si="10"/>
        <v>660340</v>
      </c>
      <c r="K22" s="39"/>
    </row>
    <row r="23" spans="1:11" s="40" customFormat="1" ht="40.200000000000003" customHeight="1" x14ac:dyDescent="0.3">
      <c r="A23" s="107" t="s">
        <v>43</v>
      </c>
      <c r="B23" s="108" t="s">
        <v>54</v>
      </c>
      <c r="C23" s="95">
        <f t="shared" ref="C23:D23" si="11">C24+C25+C26</f>
        <v>21048</v>
      </c>
      <c r="D23" s="95">
        <f t="shared" si="11"/>
        <v>21048</v>
      </c>
      <c r="E23" s="95">
        <f>E24+E25+E26</f>
        <v>40716</v>
      </c>
      <c r="F23" s="95">
        <f>F24+F25+F26</f>
        <v>40716</v>
      </c>
      <c r="G23" s="95">
        <f t="shared" ref="G23:J23" si="12">G24+G25+G26</f>
        <v>94816</v>
      </c>
      <c r="H23" s="95">
        <f t="shared" si="12"/>
        <v>94816</v>
      </c>
      <c r="I23" s="95">
        <f t="shared" si="12"/>
        <v>275847</v>
      </c>
      <c r="J23" s="95">
        <f t="shared" si="12"/>
        <v>275847</v>
      </c>
      <c r="K23" s="39"/>
    </row>
    <row r="24" spans="1:11" ht="40.200000000000003" customHeight="1" x14ac:dyDescent="0.3">
      <c r="A24" s="109" t="s">
        <v>44</v>
      </c>
      <c r="B24" s="110" t="s">
        <v>17</v>
      </c>
      <c r="C24" s="98">
        <v>0</v>
      </c>
      <c r="D24" s="98">
        <v>0</v>
      </c>
      <c r="E24" s="98">
        <v>0</v>
      </c>
      <c r="F24" s="98">
        <v>0</v>
      </c>
      <c r="G24" s="98">
        <v>3844</v>
      </c>
      <c r="H24" s="98">
        <v>3844</v>
      </c>
      <c r="I24" s="98">
        <v>125632</v>
      </c>
      <c r="J24" s="98">
        <v>125632</v>
      </c>
      <c r="K24" s="38"/>
    </row>
    <row r="25" spans="1:11" ht="40.200000000000003" customHeight="1" x14ac:dyDescent="0.3">
      <c r="A25" s="109" t="s">
        <v>45</v>
      </c>
      <c r="B25" s="110" t="s">
        <v>16</v>
      </c>
      <c r="C25" s="98">
        <v>16832</v>
      </c>
      <c r="D25" s="98">
        <v>16832</v>
      </c>
      <c r="E25" s="98">
        <v>31598</v>
      </c>
      <c r="F25" s="98">
        <v>31598</v>
      </c>
      <c r="G25" s="98">
        <v>73906</v>
      </c>
      <c r="H25" s="98">
        <v>73906</v>
      </c>
      <c r="I25" s="98">
        <v>121810</v>
      </c>
      <c r="J25" s="98">
        <v>121810</v>
      </c>
      <c r="K25" s="38"/>
    </row>
    <row r="26" spans="1:11" ht="40.200000000000003" customHeight="1" x14ac:dyDescent="0.3">
      <c r="A26" s="109" t="s">
        <v>35</v>
      </c>
      <c r="B26" s="110" t="s">
        <v>18</v>
      </c>
      <c r="C26" s="98">
        <v>4216</v>
      </c>
      <c r="D26" s="98">
        <v>4216</v>
      </c>
      <c r="E26" s="98">
        <v>9118</v>
      </c>
      <c r="F26" s="98">
        <v>9118</v>
      </c>
      <c r="G26" s="98">
        <v>17066</v>
      </c>
      <c r="H26" s="98">
        <v>17066</v>
      </c>
      <c r="I26" s="98">
        <v>28405</v>
      </c>
      <c r="J26" s="98">
        <v>28405</v>
      </c>
      <c r="K26" s="38"/>
    </row>
    <row r="27" spans="1:11" s="40" customFormat="1" ht="40.200000000000003" customHeight="1" x14ac:dyDescent="0.3">
      <c r="A27" s="107" t="s">
        <v>46</v>
      </c>
      <c r="B27" s="108" t="s">
        <v>55</v>
      </c>
      <c r="C27" s="95">
        <v>2220</v>
      </c>
      <c r="D27" s="95">
        <v>2220</v>
      </c>
      <c r="E27" s="95">
        <v>6183</v>
      </c>
      <c r="F27" s="95">
        <v>6183</v>
      </c>
      <c r="G27" s="95">
        <v>8810</v>
      </c>
      <c r="H27" s="95">
        <v>8810</v>
      </c>
      <c r="I27" s="95">
        <v>12852</v>
      </c>
      <c r="J27" s="95">
        <v>12852</v>
      </c>
      <c r="K27" s="39"/>
    </row>
    <row r="28" spans="1:11" s="40" customFormat="1" ht="40.200000000000003" customHeight="1" x14ac:dyDescent="0.3">
      <c r="A28" s="107" t="s">
        <v>101</v>
      </c>
      <c r="B28" s="108" t="s">
        <v>56</v>
      </c>
      <c r="C28" s="95">
        <f t="shared" ref="C28:D28" si="13">C29+C30</f>
        <v>39336</v>
      </c>
      <c r="D28" s="95">
        <f t="shared" si="13"/>
        <v>86122</v>
      </c>
      <c r="E28" s="95">
        <f>E29+E30</f>
        <v>90744</v>
      </c>
      <c r="F28" s="95">
        <f>F29+F30</f>
        <v>177431</v>
      </c>
      <c r="G28" s="95">
        <f t="shared" ref="G28:J28" si="14">G29+G30</f>
        <v>130286</v>
      </c>
      <c r="H28" s="95">
        <f t="shared" si="14"/>
        <v>273181</v>
      </c>
      <c r="I28" s="95">
        <f t="shared" si="14"/>
        <v>164335</v>
      </c>
      <c r="J28" s="95">
        <f t="shared" si="14"/>
        <v>370574</v>
      </c>
      <c r="K28" s="39"/>
    </row>
    <row r="29" spans="1:11" ht="40.200000000000003" customHeight="1" x14ac:dyDescent="0.3">
      <c r="A29" s="109" t="s">
        <v>47</v>
      </c>
      <c r="B29" s="110" t="s">
        <v>19</v>
      </c>
      <c r="C29" s="98">
        <v>31770</v>
      </c>
      <c r="D29" s="98">
        <v>0</v>
      </c>
      <c r="E29" s="98">
        <v>73539</v>
      </c>
      <c r="F29" s="98">
        <v>0</v>
      </c>
      <c r="G29" s="98">
        <v>103309</v>
      </c>
      <c r="H29" s="98">
        <v>0</v>
      </c>
      <c r="I29" s="98">
        <v>127078</v>
      </c>
      <c r="J29" s="98">
        <v>0</v>
      </c>
      <c r="K29" s="38"/>
    </row>
    <row r="30" spans="1:11" ht="40.200000000000003" customHeight="1" x14ac:dyDescent="0.3">
      <c r="A30" s="109" t="s">
        <v>35</v>
      </c>
      <c r="B30" s="110" t="s">
        <v>20</v>
      </c>
      <c r="C30" s="98">
        <v>7566</v>
      </c>
      <c r="D30" s="98">
        <v>86122</v>
      </c>
      <c r="E30" s="98">
        <v>17205</v>
      </c>
      <c r="F30" s="98">
        <v>177431</v>
      </c>
      <c r="G30" s="98">
        <v>26977</v>
      </c>
      <c r="H30" s="98">
        <v>273181</v>
      </c>
      <c r="I30" s="98">
        <v>37257</v>
      </c>
      <c r="J30" s="98">
        <v>370574</v>
      </c>
      <c r="K30" s="38"/>
    </row>
    <row r="31" spans="1:11" s="40" customFormat="1" ht="40.200000000000003" customHeight="1" x14ac:dyDescent="0.3">
      <c r="A31" s="107" t="s">
        <v>48</v>
      </c>
      <c r="B31" s="111" t="s">
        <v>119</v>
      </c>
      <c r="C31" s="95">
        <v>420</v>
      </c>
      <c r="D31" s="95">
        <v>419</v>
      </c>
      <c r="E31" s="95">
        <v>580</v>
      </c>
      <c r="F31" s="95">
        <v>579</v>
      </c>
      <c r="G31" s="95">
        <v>786</v>
      </c>
      <c r="H31" s="95">
        <v>787</v>
      </c>
      <c r="I31" s="95">
        <v>1067</v>
      </c>
      <c r="J31" s="95">
        <v>1067</v>
      </c>
      <c r="K31" s="39"/>
    </row>
    <row r="32" spans="1:11" s="40" customFormat="1" ht="40.200000000000003" customHeight="1" x14ac:dyDescent="0.3">
      <c r="A32" s="93" t="s">
        <v>59</v>
      </c>
      <c r="B32" s="94" t="s">
        <v>11</v>
      </c>
      <c r="C32" s="95">
        <f t="shared" ref="C32:D32" si="15">C33+C34</f>
        <v>29368</v>
      </c>
      <c r="D32" s="95">
        <f t="shared" si="15"/>
        <v>29786</v>
      </c>
      <c r="E32" s="95">
        <f>E33+E34</f>
        <v>58867</v>
      </c>
      <c r="F32" s="95">
        <f>F33+F34</f>
        <v>59370</v>
      </c>
      <c r="G32" s="95">
        <f t="shared" ref="G32:J32" si="16">G33+G34</f>
        <v>88093</v>
      </c>
      <c r="H32" s="95">
        <f t="shared" si="16"/>
        <v>88599</v>
      </c>
      <c r="I32" s="95">
        <f t="shared" si="16"/>
        <v>127059</v>
      </c>
      <c r="J32" s="95">
        <f t="shared" si="16"/>
        <v>127459</v>
      </c>
      <c r="K32" s="39"/>
    </row>
    <row r="33" spans="1:11" ht="40.200000000000003" customHeight="1" x14ac:dyDescent="0.3">
      <c r="A33" s="96" t="s">
        <v>49</v>
      </c>
      <c r="B33" s="97" t="s">
        <v>4</v>
      </c>
      <c r="C33" s="98">
        <v>26627</v>
      </c>
      <c r="D33" s="98">
        <v>26627</v>
      </c>
      <c r="E33" s="98">
        <v>50398</v>
      </c>
      <c r="F33" s="98">
        <v>50398</v>
      </c>
      <c r="G33" s="98">
        <v>74339</v>
      </c>
      <c r="H33" s="98">
        <v>74339</v>
      </c>
      <c r="I33" s="98">
        <v>100966</v>
      </c>
      <c r="J33" s="98">
        <v>100966</v>
      </c>
      <c r="K33" s="38"/>
    </row>
    <row r="34" spans="1:11" ht="40.200000000000003" customHeight="1" x14ac:dyDescent="0.3">
      <c r="A34" s="96" t="s">
        <v>35</v>
      </c>
      <c r="B34" s="97" t="s">
        <v>8</v>
      </c>
      <c r="C34" s="98">
        <v>2741</v>
      </c>
      <c r="D34" s="98">
        <v>3159</v>
      </c>
      <c r="E34" s="98">
        <v>8469</v>
      </c>
      <c r="F34" s="98">
        <v>8972</v>
      </c>
      <c r="G34" s="98">
        <v>13754</v>
      </c>
      <c r="H34" s="98">
        <v>14260</v>
      </c>
      <c r="I34" s="98">
        <v>26093</v>
      </c>
      <c r="J34" s="98">
        <v>26493</v>
      </c>
      <c r="K34" s="38"/>
    </row>
    <row r="35" spans="1:11" s="40" customFormat="1" ht="48.75" customHeight="1" x14ac:dyDescent="0.3">
      <c r="A35" s="93" t="s">
        <v>50</v>
      </c>
      <c r="B35" s="112" t="s">
        <v>14</v>
      </c>
      <c r="C35" s="95">
        <f t="shared" ref="C35:D35" si="17">C36+C37</f>
        <v>39183</v>
      </c>
      <c r="D35" s="95">
        <f t="shared" si="17"/>
        <v>39183</v>
      </c>
      <c r="E35" s="95">
        <f>E36+E37</f>
        <v>104455</v>
      </c>
      <c r="F35" s="95">
        <f>F36+F37</f>
        <v>104455</v>
      </c>
      <c r="G35" s="95">
        <f t="shared" ref="G35:J35" si="18">G36+G37</f>
        <v>184239</v>
      </c>
      <c r="H35" s="95">
        <f t="shared" si="18"/>
        <v>184239</v>
      </c>
      <c r="I35" s="95">
        <f t="shared" si="18"/>
        <v>289152</v>
      </c>
      <c r="J35" s="95">
        <f t="shared" si="18"/>
        <v>289152</v>
      </c>
    </row>
    <row r="36" spans="1:11" ht="40.200000000000003" customHeight="1" x14ac:dyDescent="0.3">
      <c r="A36" s="96" t="s">
        <v>51</v>
      </c>
      <c r="B36" s="97" t="s">
        <v>9</v>
      </c>
      <c r="C36" s="98">
        <v>36485</v>
      </c>
      <c r="D36" s="98">
        <v>36485</v>
      </c>
      <c r="E36" s="98">
        <v>93213</v>
      </c>
      <c r="F36" s="98">
        <v>93213</v>
      </c>
      <c r="G36" s="98">
        <v>161461</v>
      </c>
      <c r="H36" s="98">
        <v>161461</v>
      </c>
      <c r="I36" s="98">
        <v>215116</v>
      </c>
      <c r="J36" s="98">
        <v>215116</v>
      </c>
    </row>
    <row r="37" spans="1:11" ht="40.200000000000003" customHeight="1" x14ac:dyDescent="0.3">
      <c r="A37" s="113" t="s">
        <v>35</v>
      </c>
      <c r="B37" s="114" t="s">
        <v>10</v>
      </c>
      <c r="C37" s="115">
        <v>2698</v>
      </c>
      <c r="D37" s="115">
        <v>2698</v>
      </c>
      <c r="E37" s="115">
        <v>11242</v>
      </c>
      <c r="F37" s="115">
        <v>11242</v>
      </c>
      <c r="G37" s="115">
        <v>22778</v>
      </c>
      <c r="H37" s="115">
        <v>22778</v>
      </c>
      <c r="I37" s="115">
        <v>74036</v>
      </c>
      <c r="J37" s="115">
        <v>74036</v>
      </c>
    </row>
    <row r="38" spans="1:11" ht="21.9" customHeight="1" x14ac:dyDescent="0.3">
      <c r="A38" s="74" t="s">
        <v>67</v>
      </c>
      <c r="B38" s="71" t="s">
        <v>68</v>
      </c>
    </row>
    <row r="39" spans="1:11" ht="77.25" customHeight="1" x14ac:dyDescent="0.3">
      <c r="A39" s="66" t="s">
        <v>112</v>
      </c>
      <c r="B39" s="75" t="s">
        <v>109</v>
      </c>
    </row>
    <row r="40" spans="1:11" ht="60" customHeight="1" x14ac:dyDescent="0.3">
      <c r="A40" s="66" t="s">
        <v>89</v>
      </c>
      <c r="B40" s="238" t="s">
        <v>88</v>
      </c>
      <c r="C40" s="238"/>
    </row>
    <row r="41" spans="1:11" ht="21.9" customHeight="1" x14ac:dyDescent="0.3">
      <c r="B41" s="30"/>
      <c r="C41" s="30"/>
      <c r="D41" s="30"/>
      <c r="E41" s="30"/>
      <c r="F41" s="30"/>
      <c r="G41" s="33"/>
    </row>
    <row r="42" spans="1:11" ht="21.9" customHeight="1" x14ac:dyDescent="0.3"/>
    <row r="43" spans="1:11" ht="21.9" customHeight="1" x14ac:dyDescent="0.3"/>
    <row r="44" spans="1:11" ht="21.9" customHeight="1" x14ac:dyDescent="0.3"/>
    <row r="45" spans="1:11" ht="21.9" customHeight="1" x14ac:dyDescent="0.3"/>
    <row r="46" spans="1:11" ht="21.9" customHeight="1" x14ac:dyDescent="0.3"/>
    <row r="47" spans="1:11" ht="21.9" customHeight="1" x14ac:dyDescent="0.3"/>
    <row r="48" spans="1:11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8">
    <mergeCell ref="B40:C40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6" orientation="landscape" horizontalDpi="4294967295" verticalDpi="4294967295" r:id="rId1"/>
  <headerFooter alignWithMargins="0"/>
  <rowBreaks count="1" manualBreakCount="1">
    <brk id="37" max="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D96F-32E4-41EF-983C-605D720FF30A}">
  <sheetPr>
    <pageSetUpPr fitToPage="1"/>
  </sheetPr>
  <dimension ref="A1:AY1304"/>
  <sheetViews>
    <sheetView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1" width="62.6640625" style="35" customWidth="1"/>
    <col min="2" max="2" width="72.6640625" style="35" customWidth="1"/>
    <col min="3" max="10" width="24.6640625" style="33" customWidth="1"/>
    <col min="11" max="16384" width="8.44140625" style="35"/>
  </cols>
  <sheetData>
    <row r="1" spans="1:51" s="27" customFormat="1" ht="66" customHeight="1" x14ac:dyDescent="0.25">
      <c r="A1" s="76" t="s">
        <v>102</v>
      </c>
      <c r="B1" s="77" t="s">
        <v>103</v>
      </c>
      <c r="C1" s="25"/>
      <c r="D1" s="25"/>
      <c r="E1" s="25"/>
      <c r="F1" s="25"/>
      <c r="G1" s="25"/>
      <c r="H1" s="25"/>
      <c r="I1" s="25"/>
      <c r="J1" s="25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:51" ht="22.95" customHeight="1" x14ac:dyDescent="0.35">
      <c r="A2" s="78"/>
      <c r="B2" s="78"/>
      <c r="C2" s="81"/>
      <c r="D2" s="82"/>
      <c r="E2" s="81"/>
      <c r="F2" s="82"/>
      <c r="G2" s="81"/>
      <c r="H2" s="82"/>
      <c r="I2" s="81"/>
      <c r="J2" s="82" t="s">
        <v>52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51" s="36" customFormat="1" ht="15" customHeight="1" x14ac:dyDescent="0.35">
      <c r="A3" s="195"/>
      <c r="B3" s="224" t="s">
        <v>2</v>
      </c>
      <c r="C3" s="226" t="s">
        <v>118</v>
      </c>
      <c r="D3" s="227"/>
      <c r="E3" s="227"/>
      <c r="F3" s="227"/>
      <c r="G3" s="227"/>
      <c r="H3" s="227"/>
      <c r="I3" s="227"/>
      <c r="J3" s="227"/>
    </row>
    <row r="4" spans="1:51" s="36" customFormat="1" ht="49.95" customHeight="1" x14ac:dyDescent="0.35">
      <c r="A4" s="196"/>
      <c r="B4" s="225"/>
      <c r="C4" s="229"/>
      <c r="D4" s="230"/>
      <c r="E4" s="230"/>
      <c r="F4" s="230"/>
      <c r="G4" s="230"/>
      <c r="H4" s="230"/>
      <c r="I4" s="230"/>
      <c r="J4" s="230"/>
    </row>
    <row r="5" spans="1:51" s="36" customFormat="1" ht="15" customHeight="1" x14ac:dyDescent="0.35">
      <c r="A5" s="196"/>
      <c r="B5" s="196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51" s="36" customFormat="1" ht="15" customHeight="1" x14ac:dyDescent="0.35">
      <c r="A6" s="196"/>
      <c r="B6" s="196"/>
      <c r="C6" s="233"/>
      <c r="D6" s="233"/>
      <c r="E6" s="233"/>
      <c r="F6" s="233"/>
      <c r="G6" s="233"/>
      <c r="H6" s="229"/>
      <c r="I6" s="233"/>
      <c r="J6" s="233"/>
    </row>
    <row r="7" spans="1:51" s="38" customFormat="1" ht="92.4" customHeight="1" x14ac:dyDescent="0.35">
      <c r="A7" s="85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51" s="40" customFormat="1" ht="40.200000000000003" customHeight="1" x14ac:dyDescent="0.3">
      <c r="A8" s="90" t="s">
        <v>58</v>
      </c>
      <c r="B8" s="91" t="s">
        <v>0</v>
      </c>
      <c r="C8" s="92">
        <f t="shared" ref="C8:J8" si="0">C9+C13+C17+C22+C32+C35</f>
        <v>790864</v>
      </c>
      <c r="D8" s="92">
        <f t="shared" si="0"/>
        <v>797451</v>
      </c>
      <c r="E8" s="92">
        <f t="shared" si="0"/>
        <v>1461985</v>
      </c>
      <c r="F8" s="92">
        <f t="shared" si="0"/>
        <v>1540702</v>
      </c>
      <c r="G8" s="92">
        <f t="shared" si="0"/>
        <v>2222736</v>
      </c>
      <c r="H8" s="92">
        <f t="shared" si="0"/>
        <v>2369297</v>
      </c>
      <c r="I8" s="92">
        <f t="shared" si="0"/>
        <v>3016951</v>
      </c>
      <c r="J8" s="92">
        <f t="shared" si="0"/>
        <v>3188425</v>
      </c>
    </row>
    <row r="9" spans="1:51" s="40" customFormat="1" ht="40.200000000000003" customHeight="1" x14ac:dyDescent="0.3">
      <c r="A9" s="93" t="s">
        <v>32</v>
      </c>
      <c r="B9" s="94" t="s">
        <v>99</v>
      </c>
      <c r="C9" s="95">
        <f t="shared" ref="C9:J9" si="1">SUM(C10:C12)</f>
        <v>117995</v>
      </c>
      <c r="D9" s="95">
        <f t="shared" si="1"/>
        <v>108321</v>
      </c>
      <c r="E9" s="95">
        <f t="shared" si="1"/>
        <v>240892</v>
      </c>
      <c r="F9" s="95">
        <f t="shared" si="1"/>
        <v>221946</v>
      </c>
      <c r="G9" s="95">
        <f t="shared" si="1"/>
        <v>368283</v>
      </c>
      <c r="H9" s="95">
        <f t="shared" si="1"/>
        <v>345912</v>
      </c>
      <c r="I9" s="95">
        <f t="shared" si="1"/>
        <v>512621</v>
      </c>
      <c r="J9" s="95">
        <f t="shared" si="1"/>
        <v>472807</v>
      </c>
    </row>
    <row r="10" spans="1:51" s="42" customFormat="1" ht="40.200000000000003" customHeight="1" x14ac:dyDescent="0.3">
      <c r="A10" s="96" t="s">
        <v>33</v>
      </c>
      <c r="B10" s="97" t="s">
        <v>100</v>
      </c>
      <c r="C10" s="98">
        <v>93807</v>
      </c>
      <c r="D10" s="98">
        <v>94736</v>
      </c>
      <c r="E10" s="98">
        <v>196725</v>
      </c>
      <c r="F10" s="98">
        <v>198778</v>
      </c>
      <c r="G10" s="98">
        <v>309034</v>
      </c>
      <c r="H10" s="98">
        <v>312185</v>
      </c>
      <c r="I10" s="98">
        <v>423157</v>
      </c>
      <c r="J10" s="98">
        <v>427507</v>
      </c>
    </row>
    <row r="11" spans="1:51" s="42" customFormat="1" ht="40.200000000000003" customHeight="1" x14ac:dyDescent="0.3">
      <c r="A11" s="96" t="s">
        <v>34</v>
      </c>
      <c r="B11" s="97" t="s">
        <v>5</v>
      </c>
      <c r="C11" s="98">
        <v>14051</v>
      </c>
      <c r="D11" s="98">
        <v>3434</v>
      </c>
      <c r="E11" s="98">
        <v>27849</v>
      </c>
      <c r="F11" s="98">
        <v>6813</v>
      </c>
      <c r="G11" s="98">
        <v>36097</v>
      </c>
      <c r="H11" s="98">
        <v>10524</v>
      </c>
      <c r="I11" s="98">
        <v>58453</v>
      </c>
      <c r="J11" s="98">
        <v>14220</v>
      </c>
    </row>
    <row r="12" spans="1:51" s="42" customFormat="1" ht="40.200000000000003" customHeight="1" x14ac:dyDescent="0.3">
      <c r="A12" s="96" t="s">
        <v>35</v>
      </c>
      <c r="B12" s="97" t="s">
        <v>1</v>
      </c>
      <c r="C12" s="98">
        <v>10137</v>
      </c>
      <c r="D12" s="98">
        <v>10151</v>
      </c>
      <c r="E12" s="98">
        <v>16318</v>
      </c>
      <c r="F12" s="98">
        <v>16355</v>
      </c>
      <c r="G12" s="98">
        <v>23152</v>
      </c>
      <c r="H12" s="98">
        <v>23203</v>
      </c>
      <c r="I12" s="98">
        <v>31011</v>
      </c>
      <c r="J12" s="98">
        <v>31080</v>
      </c>
    </row>
    <row r="13" spans="1:51" s="40" customFormat="1" ht="40.200000000000003" customHeight="1" x14ac:dyDescent="0.3">
      <c r="A13" s="93" t="s">
        <v>36</v>
      </c>
      <c r="B13" s="94" t="s">
        <v>12</v>
      </c>
      <c r="C13" s="95">
        <f t="shared" ref="C13:J13" si="2">SUM(C14:C16)</f>
        <v>28426</v>
      </c>
      <c r="D13" s="95">
        <f t="shared" si="2"/>
        <v>28529</v>
      </c>
      <c r="E13" s="95">
        <f t="shared" si="2"/>
        <v>70389</v>
      </c>
      <c r="F13" s="95">
        <f t="shared" si="2"/>
        <v>70756</v>
      </c>
      <c r="G13" s="95">
        <f t="shared" si="2"/>
        <v>103346</v>
      </c>
      <c r="H13" s="95">
        <f t="shared" si="2"/>
        <v>103828</v>
      </c>
      <c r="I13" s="95">
        <f t="shared" si="2"/>
        <v>139791</v>
      </c>
      <c r="J13" s="95">
        <f t="shared" si="2"/>
        <v>140473</v>
      </c>
    </row>
    <row r="14" spans="1:51" s="42" customFormat="1" ht="40.200000000000003" customHeight="1" x14ac:dyDescent="0.3">
      <c r="A14" s="96" t="s">
        <v>37</v>
      </c>
      <c r="B14" s="97" t="s">
        <v>6</v>
      </c>
      <c r="C14" s="98">
        <v>14533</v>
      </c>
      <c r="D14" s="98">
        <v>14539</v>
      </c>
      <c r="E14" s="98">
        <v>37924</v>
      </c>
      <c r="F14" s="98">
        <v>37943</v>
      </c>
      <c r="G14" s="98">
        <v>57576</v>
      </c>
      <c r="H14" s="98">
        <v>57614</v>
      </c>
      <c r="I14" s="98">
        <v>75006</v>
      </c>
      <c r="J14" s="98">
        <v>75057</v>
      </c>
    </row>
    <row r="15" spans="1:51" s="42" customFormat="1" ht="40.200000000000003" customHeight="1" x14ac:dyDescent="0.3">
      <c r="A15" s="96" t="s">
        <v>38</v>
      </c>
      <c r="B15" s="97" t="s">
        <v>15</v>
      </c>
      <c r="C15" s="98">
        <v>13711</v>
      </c>
      <c r="D15" s="98">
        <v>13758</v>
      </c>
      <c r="E15" s="98">
        <v>31432</v>
      </c>
      <c r="F15" s="98">
        <v>31581</v>
      </c>
      <c r="G15" s="98">
        <v>44326</v>
      </c>
      <c r="H15" s="98">
        <v>44564</v>
      </c>
      <c r="I15" s="98">
        <v>62923</v>
      </c>
      <c r="J15" s="98">
        <v>63316</v>
      </c>
    </row>
    <row r="16" spans="1:51" s="42" customFormat="1" ht="40.200000000000003" customHeight="1" x14ac:dyDescent="0.3">
      <c r="A16" s="96" t="s">
        <v>35</v>
      </c>
      <c r="B16" s="97" t="s">
        <v>1</v>
      </c>
      <c r="C16" s="98">
        <v>182</v>
      </c>
      <c r="D16" s="98">
        <v>232</v>
      </c>
      <c r="E16" s="98">
        <v>1033</v>
      </c>
      <c r="F16" s="98">
        <v>1232</v>
      </c>
      <c r="G16" s="98">
        <v>1444</v>
      </c>
      <c r="H16" s="98">
        <v>1650</v>
      </c>
      <c r="I16" s="98">
        <v>1862</v>
      </c>
      <c r="J16" s="98">
        <v>2100</v>
      </c>
    </row>
    <row r="17" spans="1:10" s="40" customFormat="1" ht="40.200000000000003" customHeight="1" x14ac:dyDescent="0.3">
      <c r="A17" s="99" t="s">
        <v>39</v>
      </c>
      <c r="B17" s="100" t="s">
        <v>62</v>
      </c>
      <c r="C17" s="95">
        <f t="shared" ref="C17:J17" si="3">C18+C21</f>
        <v>477493</v>
      </c>
      <c r="D17" s="95">
        <f t="shared" si="3"/>
        <v>446855</v>
      </c>
      <c r="E17" s="95">
        <f t="shared" si="3"/>
        <v>792994</v>
      </c>
      <c r="F17" s="95">
        <f t="shared" si="3"/>
        <v>753947</v>
      </c>
      <c r="G17" s="95">
        <f t="shared" si="3"/>
        <v>1175143</v>
      </c>
      <c r="H17" s="95">
        <f t="shared" si="3"/>
        <v>1130856</v>
      </c>
      <c r="I17" s="95">
        <f t="shared" si="3"/>
        <v>1362662</v>
      </c>
      <c r="J17" s="95">
        <f t="shared" si="3"/>
        <v>1273767</v>
      </c>
    </row>
    <row r="18" spans="1:10" ht="40.200000000000003" customHeight="1" x14ac:dyDescent="0.3">
      <c r="A18" s="101" t="s">
        <v>94</v>
      </c>
      <c r="B18" s="102" t="s">
        <v>95</v>
      </c>
      <c r="C18" s="103">
        <f>C19+C20</f>
        <v>433947</v>
      </c>
      <c r="D18" s="103">
        <f>D19+D20</f>
        <v>403309</v>
      </c>
      <c r="E18" s="103">
        <f t="shared" ref="E18:G18" si="4">E19+E20</f>
        <v>715215</v>
      </c>
      <c r="F18" s="103">
        <f t="shared" si="4"/>
        <v>676168</v>
      </c>
      <c r="G18" s="103">
        <f t="shared" si="4"/>
        <v>1051025</v>
      </c>
      <c r="H18" s="103">
        <f>H19+H20</f>
        <v>1006738</v>
      </c>
      <c r="I18" s="103">
        <f>I19+I20</f>
        <v>1174040</v>
      </c>
      <c r="J18" s="103">
        <f t="shared" ref="J18" si="5">J19+J20</f>
        <v>1085145</v>
      </c>
    </row>
    <row r="19" spans="1:10" ht="40.200000000000003" customHeight="1" x14ac:dyDescent="0.3">
      <c r="A19" s="104" t="s">
        <v>40</v>
      </c>
      <c r="B19" s="105" t="s">
        <v>21</v>
      </c>
      <c r="C19" s="98">
        <v>32427</v>
      </c>
      <c r="D19" s="98">
        <v>0</v>
      </c>
      <c r="E19" s="98">
        <v>42479</v>
      </c>
      <c r="F19" s="98">
        <v>0</v>
      </c>
      <c r="G19" s="98">
        <v>53148</v>
      </c>
      <c r="H19" s="98">
        <v>0</v>
      </c>
      <c r="I19" s="98">
        <v>98535</v>
      </c>
      <c r="J19" s="98">
        <v>0</v>
      </c>
    </row>
    <row r="20" spans="1:10" ht="40.200000000000003" customHeight="1" x14ac:dyDescent="0.3">
      <c r="A20" s="104" t="s">
        <v>35</v>
      </c>
      <c r="B20" s="105" t="s">
        <v>7</v>
      </c>
      <c r="C20" s="98">
        <v>401520</v>
      </c>
      <c r="D20" s="98">
        <v>403309</v>
      </c>
      <c r="E20" s="98">
        <v>672736</v>
      </c>
      <c r="F20" s="98">
        <v>676168</v>
      </c>
      <c r="G20" s="98">
        <v>997877</v>
      </c>
      <c r="H20" s="98">
        <v>1006738</v>
      </c>
      <c r="I20" s="98">
        <v>1075505</v>
      </c>
      <c r="J20" s="98">
        <v>1085145</v>
      </c>
    </row>
    <row r="21" spans="1:10" ht="40.200000000000003" customHeight="1" x14ac:dyDescent="0.3">
      <c r="A21" s="101" t="s">
        <v>41</v>
      </c>
      <c r="B21" s="102" t="s">
        <v>63</v>
      </c>
      <c r="C21" s="103">
        <v>43546</v>
      </c>
      <c r="D21" s="103">
        <v>43546</v>
      </c>
      <c r="E21" s="103">
        <v>77779</v>
      </c>
      <c r="F21" s="103">
        <v>77779</v>
      </c>
      <c r="G21" s="103">
        <v>124118</v>
      </c>
      <c r="H21" s="103">
        <v>124118</v>
      </c>
      <c r="I21" s="103">
        <v>188622</v>
      </c>
      <c r="J21" s="103">
        <v>188622</v>
      </c>
    </row>
    <row r="22" spans="1:10" s="40" customFormat="1" ht="40.200000000000003" customHeight="1" x14ac:dyDescent="0.3">
      <c r="A22" s="106" t="s">
        <v>42</v>
      </c>
      <c r="B22" s="94" t="s">
        <v>13</v>
      </c>
      <c r="C22" s="95">
        <f t="shared" ref="C22:J22" si="6">C23+C27+C28+C31</f>
        <v>95164</v>
      </c>
      <c r="D22" s="95">
        <f t="shared" si="6"/>
        <v>141960</v>
      </c>
      <c r="E22" s="95">
        <f t="shared" si="6"/>
        <v>195598</v>
      </c>
      <c r="F22" s="95">
        <f t="shared" si="6"/>
        <v>331939</v>
      </c>
      <c r="G22" s="95">
        <f t="shared" si="6"/>
        <v>314317</v>
      </c>
      <c r="H22" s="95">
        <f t="shared" si="6"/>
        <v>527053</v>
      </c>
      <c r="I22" s="95">
        <f t="shared" si="6"/>
        <v>559199</v>
      </c>
      <c r="J22" s="95">
        <f t="shared" si="6"/>
        <v>858695</v>
      </c>
    </row>
    <row r="23" spans="1:10" s="40" customFormat="1" ht="40.200000000000003" customHeight="1" x14ac:dyDescent="0.3">
      <c r="A23" s="107" t="s">
        <v>43</v>
      </c>
      <c r="B23" s="108" t="s">
        <v>54</v>
      </c>
      <c r="C23" s="95">
        <f t="shared" ref="C23:J23" si="7">C24+C25+C26</f>
        <v>30027</v>
      </c>
      <c r="D23" s="95">
        <f t="shared" si="7"/>
        <v>30027</v>
      </c>
      <c r="E23" s="95">
        <f t="shared" si="7"/>
        <v>94508</v>
      </c>
      <c r="F23" s="95">
        <f t="shared" si="7"/>
        <v>94508</v>
      </c>
      <c r="G23" s="95">
        <f t="shared" si="7"/>
        <v>167238</v>
      </c>
      <c r="H23" s="95">
        <f t="shared" si="7"/>
        <v>167238</v>
      </c>
      <c r="I23" s="95">
        <f t="shared" si="7"/>
        <v>353731</v>
      </c>
      <c r="J23" s="95">
        <f t="shared" si="7"/>
        <v>353731</v>
      </c>
    </row>
    <row r="24" spans="1:10" ht="40.200000000000003" customHeight="1" x14ac:dyDescent="0.3">
      <c r="A24" s="109" t="s">
        <v>44</v>
      </c>
      <c r="B24" s="110" t="s">
        <v>17</v>
      </c>
      <c r="C24" s="98">
        <v>8576</v>
      </c>
      <c r="D24" s="98">
        <v>8576</v>
      </c>
      <c r="E24" s="98">
        <v>25234</v>
      </c>
      <c r="F24" s="98">
        <v>25234</v>
      </c>
      <c r="G24" s="98">
        <v>76336</v>
      </c>
      <c r="H24" s="98">
        <v>76336</v>
      </c>
      <c r="I24" s="98">
        <v>165000</v>
      </c>
      <c r="J24" s="98">
        <v>165000</v>
      </c>
    </row>
    <row r="25" spans="1:10" ht="40.200000000000003" customHeight="1" x14ac:dyDescent="0.3">
      <c r="A25" s="109" t="s">
        <v>45</v>
      </c>
      <c r="B25" s="110" t="s">
        <v>16</v>
      </c>
      <c r="C25" s="98">
        <v>18258</v>
      </c>
      <c r="D25" s="98">
        <v>18258</v>
      </c>
      <c r="E25" s="98">
        <v>55113</v>
      </c>
      <c r="F25" s="98">
        <v>55113</v>
      </c>
      <c r="G25" s="98">
        <v>69326</v>
      </c>
      <c r="H25" s="98">
        <v>69326</v>
      </c>
      <c r="I25" s="98">
        <v>133278</v>
      </c>
      <c r="J25" s="98">
        <v>133278</v>
      </c>
    </row>
    <row r="26" spans="1:10" ht="40.200000000000003" customHeight="1" x14ac:dyDescent="0.3">
      <c r="A26" s="109" t="s">
        <v>35</v>
      </c>
      <c r="B26" s="110" t="s">
        <v>18</v>
      </c>
      <c r="C26" s="98">
        <v>3193</v>
      </c>
      <c r="D26" s="98">
        <v>3193</v>
      </c>
      <c r="E26" s="98">
        <v>14161</v>
      </c>
      <c r="F26" s="98">
        <v>14161</v>
      </c>
      <c r="G26" s="98">
        <v>21576</v>
      </c>
      <c r="H26" s="98">
        <v>21576</v>
      </c>
      <c r="I26" s="98">
        <v>55453</v>
      </c>
      <c r="J26" s="98">
        <v>55453</v>
      </c>
    </row>
    <row r="27" spans="1:10" s="40" customFormat="1" ht="40.200000000000003" customHeight="1" x14ac:dyDescent="0.3">
      <c r="A27" s="107" t="s">
        <v>46</v>
      </c>
      <c r="B27" s="108" t="s">
        <v>55</v>
      </c>
      <c r="C27" s="95">
        <v>3185</v>
      </c>
      <c r="D27" s="95">
        <v>3185</v>
      </c>
      <c r="E27" s="95">
        <v>5782</v>
      </c>
      <c r="F27" s="95">
        <v>5782</v>
      </c>
      <c r="G27" s="95">
        <v>9739</v>
      </c>
      <c r="H27" s="95">
        <v>9739</v>
      </c>
      <c r="I27" s="95">
        <v>15696</v>
      </c>
      <c r="J27" s="95">
        <v>15696</v>
      </c>
    </row>
    <row r="28" spans="1:10" s="40" customFormat="1" ht="40.200000000000003" customHeight="1" x14ac:dyDescent="0.3">
      <c r="A28" s="107" t="s">
        <v>101</v>
      </c>
      <c r="B28" s="108" t="s">
        <v>56</v>
      </c>
      <c r="C28" s="95">
        <f t="shared" ref="C28:J28" si="8">C29+C30</f>
        <v>61606</v>
      </c>
      <c r="D28" s="95">
        <f t="shared" si="8"/>
        <v>108402</v>
      </c>
      <c r="E28" s="95">
        <f t="shared" si="8"/>
        <v>94733</v>
      </c>
      <c r="F28" s="95">
        <f t="shared" si="8"/>
        <v>231074</v>
      </c>
      <c r="G28" s="95">
        <f t="shared" si="8"/>
        <v>136669</v>
      </c>
      <c r="H28" s="95">
        <f t="shared" si="8"/>
        <v>349404</v>
      </c>
      <c r="I28" s="95">
        <f t="shared" si="8"/>
        <v>188665</v>
      </c>
      <c r="J28" s="95">
        <f t="shared" si="8"/>
        <v>488161</v>
      </c>
    </row>
    <row r="29" spans="1:10" ht="40.200000000000003" customHeight="1" x14ac:dyDescent="0.3">
      <c r="A29" s="109" t="s">
        <v>47</v>
      </c>
      <c r="B29" s="110" t="s">
        <v>19</v>
      </c>
      <c r="C29" s="98">
        <v>50526</v>
      </c>
      <c r="D29" s="98">
        <v>0</v>
      </c>
      <c r="E29" s="98">
        <v>67368</v>
      </c>
      <c r="F29" s="98">
        <v>0</v>
      </c>
      <c r="G29" s="98">
        <v>101096</v>
      </c>
      <c r="H29" s="98">
        <v>0</v>
      </c>
      <c r="I29" s="98">
        <v>134780</v>
      </c>
      <c r="J29" s="98">
        <v>0</v>
      </c>
    </row>
    <row r="30" spans="1:10" ht="40.200000000000003" customHeight="1" x14ac:dyDescent="0.3">
      <c r="A30" s="109" t="s">
        <v>35</v>
      </c>
      <c r="B30" s="110" t="s">
        <v>20</v>
      </c>
      <c r="C30" s="98">
        <v>11080</v>
      </c>
      <c r="D30" s="98">
        <v>108402</v>
      </c>
      <c r="E30" s="98">
        <v>27365</v>
      </c>
      <c r="F30" s="98">
        <v>231074</v>
      </c>
      <c r="G30" s="98">
        <v>35573</v>
      </c>
      <c r="H30" s="98">
        <v>349404</v>
      </c>
      <c r="I30" s="98">
        <v>53885</v>
      </c>
      <c r="J30" s="98">
        <v>488161</v>
      </c>
    </row>
    <row r="31" spans="1:10" s="40" customFormat="1" ht="40.200000000000003" customHeight="1" x14ac:dyDescent="0.3">
      <c r="A31" s="107" t="s">
        <v>48</v>
      </c>
      <c r="B31" s="111" t="s">
        <v>119</v>
      </c>
      <c r="C31" s="95">
        <v>346</v>
      </c>
      <c r="D31" s="95">
        <v>346</v>
      </c>
      <c r="E31" s="95">
        <v>575</v>
      </c>
      <c r="F31" s="95">
        <v>575</v>
      </c>
      <c r="G31" s="95">
        <v>671</v>
      </c>
      <c r="H31" s="95">
        <v>672</v>
      </c>
      <c r="I31" s="95">
        <v>1107</v>
      </c>
      <c r="J31" s="95">
        <v>1107</v>
      </c>
    </row>
    <row r="32" spans="1:10" s="40" customFormat="1" ht="40.200000000000003" customHeight="1" x14ac:dyDescent="0.3">
      <c r="A32" s="93" t="s">
        <v>59</v>
      </c>
      <c r="B32" s="94" t="s">
        <v>11</v>
      </c>
      <c r="C32" s="95">
        <f t="shared" ref="C32:J32" si="9">C33+C34</f>
        <v>31235</v>
      </c>
      <c r="D32" s="95">
        <f t="shared" si="9"/>
        <v>31235</v>
      </c>
      <c r="E32" s="95">
        <f t="shared" si="9"/>
        <v>68431</v>
      </c>
      <c r="F32" s="95">
        <f t="shared" si="9"/>
        <v>68433</v>
      </c>
      <c r="G32" s="95">
        <f t="shared" si="9"/>
        <v>100436</v>
      </c>
      <c r="H32" s="95">
        <f t="shared" si="9"/>
        <v>100437</v>
      </c>
      <c r="I32" s="95">
        <f t="shared" si="9"/>
        <v>144158</v>
      </c>
      <c r="J32" s="95">
        <f t="shared" si="9"/>
        <v>144163</v>
      </c>
    </row>
    <row r="33" spans="1:10" ht="40.200000000000003" customHeight="1" x14ac:dyDescent="0.3">
      <c r="A33" s="96" t="s">
        <v>49</v>
      </c>
      <c r="B33" s="97" t="s">
        <v>4</v>
      </c>
      <c r="C33" s="98">
        <v>26496</v>
      </c>
      <c r="D33" s="98">
        <v>26496</v>
      </c>
      <c r="E33" s="98">
        <v>55925</v>
      </c>
      <c r="F33" s="98">
        <v>55925</v>
      </c>
      <c r="G33" s="98">
        <v>82873</v>
      </c>
      <c r="H33" s="98">
        <v>82873</v>
      </c>
      <c r="I33" s="98">
        <v>110958</v>
      </c>
      <c r="J33" s="98">
        <v>110958</v>
      </c>
    </row>
    <row r="34" spans="1:10" ht="40.200000000000003" customHeight="1" x14ac:dyDescent="0.3">
      <c r="A34" s="96" t="s">
        <v>35</v>
      </c>
      <c r="B34" s="97" t="s">
        <v>8</v>
      </c>
      <c r="C34" s="98">
        <v>4739</v>
      </c>
      <c r="D34" s="98">
        <v>4739</v>
      </c>
      <c r="E34" s="98">
        <v>12506</v>
      </c>
      <c r="F34" s="98">
        <v>12508</v>
      </c>
      <c r="G34" s="98">
        <v>17563</v>
      </c>
      <c r="H34" s="98">
        <v>17564</v>
      </c>
      <c r="I34" s="98">
        <v>33200</v>
      </c>
      <c r="J34" s="98">
        <v>33205</v>
      </c>
    </row>
    <row r="35" spans="1:10" s="40" customFormat="1" ht="49.5" customHeight="1" x14ac:dyDescent="0.3">
      <c r="A35" s="93" t="s">
        <v>50</v>
      </c>
      <c r="B35" s="112" t="s">
        <v>14</v>
      </c>
      <c r="C35" s="95">
        <f t="shared" ref="C35:J35" si="10">C36+C37</f>
        <v>40551</v>
      </c>
      <c r="D35" s="95">
        <f t="shared" si="10"/>
        <v>40551</v>
      </c>
      <c r="E35" s="95">
        <f t="shared" si="10"/>
        <v>93681</v>
      </c>
      <c r="F35" s="95">
        <f t="shared" si="10"/>
        <v>93681</v>
      </c>
      <c r="G35" s="95">
        <f t="shared" si="10"/>
        <v>161211</v>
      </c>
      <c r="H35" s="95">
        <f t="shared" si="10"/>
        <v>161211</v>
      </c>
      <c r="I35" s="95">
        <f t="shared" si="10"/>
        <v>298520</v>
      </c>
      <c r="J35" s="95">
        <f t="shared" si="10"/>
        <v>298520</v>
      </c>
    </row>
    <row r="36" spans="1:10" ht="40.200000000000003" customHeight="1" x14ac:dyDescent="0.3">
      <c r="A36" s="96" t="s">
        <v>51</v>
      </c>
      <c r="B36" s="97" t="s">
        <v>9</v>
      </c>
      <c r="C36" s="98">
        <v>37626</v>
      </c>
      <c r="D36" s="98">
        <v>37626</v>
      </c>
      <c r="E36" s="98">
        <v>84766</v>
      </c>
      <c r="F36" s="98">
        <v>84766</v>
      </c>
      <c r="G36" s="98">
        <v>144861</v>
      </c>
      <c r="H36" s="98">
        <v>144861</v>
      </c>
      <c r="I36" s="98">
        <v>257630</v>
      </c>
      <c r="J36" s="98">
        <v>257630</v>
      </c>
    </row>
    <row r="37" spans="1:10" ht="40.200000000000003" customHeight="1" x14ac:dyDescent="0.3">
      <c r="A37" s="113" t="s">
        <v>35</v>
      </c>
      <c r="B37" s="114" t="s">
        <v>10</v>
      </c>
      <c r="C37" s="115">
        <v>2925</v>
      </c>
      <c r="D37" s="115">
        <v>2925</v>
      </c>
      <c r="E37" s="115">
        <v>8915</v>
      </c>
      <c r="F37" s="115">
        <v>8915</v>
      </c>
      <c r="G37" s="115">
        <v>16350</v>
      </c>
      <c r="H37" s="115">
        <v>16350</v>
      </c>
      <c r="I37" s="115">
        <v>40890</v>
      </c>
      <c r="J37" s="115">
        <v>40890</v>
      </c>
    </row>
    <row r="38" spans="1:10" ht="21.9" customHeight="1" x14ac:dyDescent="0.3">
      <c r="A38" s="74" t="s">
        <v>67</v>
      </c>
      <c r="B38" s="71" t="s">
        <v>68</v>
      </c>
    </row>
    <row r="39" spans="1:10" ht="77.25" customHeight="1" x14ac:dyDescent="0.3">
      <c r="A39" s="66" t="s">
        <v>112</v>
      </c>
      <c r="B39" s="75" t="s">
        <v>109</v>
      </c>
    </row>
    <row r="40" spans="1:10" ht="60" customHeight="1" x14ac:dyDescent="0.3">
      <c r="A40" s="66" t="s">
        <v>89</v>
      </c>
      <c r="B40" s="238" t="s">
        <v>88</v>
      </c>
      <c r="C40" s="238"/>
      <c r="E40" s="35"/>
      <c r="G40" s="35"/>
      <c r="I40" s="35"/>
    </row>
    <row r="41" spans="1:10" ht="21.9" customHeight="1" x14ac:dyDescent="0.3">
      <c r="B41" s="30"/>
      <c r="C41" s="30"/>
      <c r="D41" s="30"/>
      <c r="E41" s="30"/>
      <c r="F41" s="30"/>
      <c r="G41" s="30"/>
      <c r="H41" s="30"/>
      <c r="I41" s="30"/>
      <c r="J41" s="30"/>
    </row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7">
    <mergeCell ref="B40:C40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5" orientation="portrait" horizontalDpi="4294967295" verticalDpi="4294967295" r:id="rId1"/>
  <headerFooter alignWithMargins="0"/>
  <rowBreaks count="1" manualBreakCount="1">
    <brk id="37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96FE-623B-4511-81BC-B40CC16B2623}">
  <sheetPr>
    <pageSetUpPr fitToPage="1"/>
  </sheetPr>
  <dimension ref="A1:J1304"/>
  <sheetViews>
    <sheetView tabSelected="1" view="pageBreakPreview" zoomScale="40" zoomScaleNormal="50" zoomScaleSheetLayoutView="40" workbookViewId="0">
      <pane xSplit="2" topLeftCell="C1" activePane="topRight" state="frozenSplit"/>
      <selection pane="topRight" activeCell="C3" sqref="C3:J4"/>
    </sheetView>
  </sheetViews>
  <sheetFormatPr defaultColWidth="8.44140625" defaultRowHeight="17.399999999999999" x14ac:dyDescent="0.3"/>
  <cols>
    <col min="1" max="1" width="62.6640625" style="9" customWidth="1"/>
    <col min="2" max="2" width="72.6640625" style="9" customWidth="1"/>
    <col min="3" max="10" width="24.6640625" style="10" customWidth="1"/>
    <col min="11" max="16384" width="8.44140625" style="9"/>
  </cols>
  <sheetData>
    <row r="1" spans="1:10" s="14" customFormat="1" ht="66" customHeight="1" x14ac:dyDescent="0.25">
      <c r="A1" s="199" t="s">
        <v>102</v>
      </c>
      <c r="B1" s="200" t="s">
        <v>103</v>
      </c>
      <c r="C1" s="201"/>
      <c r="D1" s="201"/>
      <c r="E1" s="201"/>
      <c r="F1" s="201"/>
      <c r="G1" s="201"/>
      <c r="H1" s="201"/>
      <c r="I1" s="201"/>
      <c r="J1" s="201"/>
    </row>
    <row r="2" spans="1:10" ht="22.95" customHeight="1" x14ac:dyDescent="0.35">
      <c r="A2" s="158"/>
      <c r="B2" s="158"/>
      <c r="C2" s="202"/>
      <c r="E2" s="202"/>
      <c r="F2" s="203"/>
      <c r="G2" s="202"/>
      <c r="H2" s="203"/>
      <c r="I2" s="202"/>
      <c r="J2" s="203" t="s">
        <v>52</v>
      </c>
    </row>
    <row r="3" spans="1:10" s="10" customFormat="1" ht="15" customHeight="1" x14ac:dyDescent="0.35">
      <c r="A3" s="197"/>
      <c r="B3" s="224" t="s">
        <v>2</v>
      </c>
      <c r="C3" s="226" t="s">
        <v>120</v>
      </c>
      <c r="D3" s="227"/>
      <c r="E3" s="227"/>
      <c r="F3" s="227"/>
      <c r="G3" s="227"/>
      <c r="H3" s="227"/>
      <c r="I3" s="227"/>
      <c r="J3" s="228"/>
    </row>
    <row r="4" spans="1:10" s="10" customFormat="1" ht="49.95" customHeight="1" x14ac:dyDescent="0.35">
      <c r="A4" s="198"/>
      <c r="B4" s="225"/>
      <c r="C4" s="229"/>
      <c r="D4" s="230"/>
      <c r="E4" s="230"/>
      <c r="F4" s="230"/>
      <c r="G4" s="230"/>
      <c r="H4" s="230"/>
      <c r="I4" s="230"/>
      <c r="J4" s="231"/>
    </row>
    <row r="5" spans="1:10" s="10" customFormat="1" ht="15" customHeight="1" x14ac:dyDescent="0.35">
      <c r="A5" s="198"/>
      <c r="B5" s="198"/>
      <c r="C5" s="232" t="s">
        <v>22</v>
      </c>
      <c r="D5" s="232"/>
      <c r="E5" s="232" t="s">
        <v>24</v>
      </c>
      <c r="F5" s="232"/>
      <c r="G5" s="232" t="s">
        <v>25</v>
      </c>
      <c r="H5" s="239"/>
      <c r="I5" s="240" t="s">
        <v>26</v>
      </c>
      <c r="J5" s="240"/>
    </row>
    <row r="6" spans="1:10" s="10" customFormat="1" ht="15" customHeight="1" x14ac:dyDescent="0.35">
      <c r="A6" s="198"/>
      <c r="B6" s="198"/>
      <c r="C6" s="233"/>
      <c r="D6" s="233"/>
      <c r="E6" s="233"/>
      <c r="F6" s="233"/>
      <c r="G6" s="233"/>
      <c r="H6" s="229"/>
      <c r="I6" s="233"/>
      <c r="J6" s="233"/>
    </row>
    <row r="7" spans="1:10" ht="92.4" customHeight="1" x14ac:dyDescent="0.35">
      <c r="A7" s="204"/>
      <c r="B7" s="86"/>
      <c r="C7" s="87" t="s">
        <v>3</v>
      </c>
      <c r="D7" s="87" t="s">
        <v>66</v>
      </c>
      <c r="E7" s="87" t="s">
        <v>3</v>
      </c>
      <c r="F7" s="87" t="s">
        <v>66</v>
      </c>
      <c r="G7" s="87" t="s">
        <v>3</v>
      </c>
      <c r="H7" s="87" t="s">
        <v>66</v>
      </c>
      <c r="I7" s="87" t="s">
        <v>3</v>
      </c>
      <c r="J7" s="87" t="s">
        <v>66</v>
      </c>
    </row>
    <row r="8" spans="1:10" s="19" customFormat="1" ht="40.200000000000003" customHeight="1" x14ac:dyDescent="0.3">
      <c r="A8" s="205" t="s">
        <v>58</v>
      </c>
      <c r="B8" s="125" t="s">
        <v>0</v>
      </c>
      <c r="C8" s="92">
        <f t="shared" ref="C8:J8" si="0">C9+C13+C17+C22+C32+C35</f>
        <v>827748</v>
      </c>
      <c r="D8" s="92">
        <f t="shared" si="0"/>
        <v>870171</v>
      </c>
      <c r="E8" s="92">
        <f t="shared" si="0"/>
        <v>1761561</v>
      </c>
      <c r="F8" s="92">
        <f t="shared" si="0"/>
        <v>1858691</v>
      </c>
      <c r="G8" s="92">
        <f t="shared" si="0"/>
        <v>2765931</v>
      </c>
      <c r="H8" s="92">
        <f t="shared" si="0"/>
        <v>2929603</v>
      </c>
      <c r="I8" s="92">
        <f t="shared" si="0"/>
        <v>3904865</v>
      </c>
      <c r="J8" s="92">
        <f t="shared" si="0"/>
        <v>4111401</v>
      </c>
    </row>
    <row r="9" spans="1:10" s="19" customFormat="1" ht="40.200000000000003" customHeight="1" x14ac:dyDescent="0.3">
      <c r="A9" s="99" t="s">
        <v>32</v>
      </c>
      <c r="B9" s="100" t="s">
        <v>99</v>
      </c>
      <c r="C9" s="95">
        <f t="shared" ref="C9:H9" si="1">SUM(C10:C12)</f>
        <v>146611</v>
      </c>
      <c r="D9" s="95">
        <f t="shared" si="1"/>
        <v>138409</v>
      </c>
      <c r="E9" s="95">
        <f t="shared" si="1"/>
        <v>286277</v>
      </c>
      <c r="F9" s="95">
        <f t="shared" si="1"/>
        <v>263493</v>
      </c>
      <c r="G9" s="95">
        <f t="shared" si="1"/>
        <v>430945</v>
      </c>
      <c r="H9" s="95">
        <f t="shared" si="1"/>
        <v>396662</v>
      </c>
      <c r="I9" s="95">
        <f t="shared" ref="I9:J9" si="2">SUM(I10:I12)</f>
        <v>588055</v>
      </c>
      <c r="J9" s="95">
        <f t="shared" si="2"/>
        <v>543053</v>
      </c>
    </row>
    <row r="10" spans="1:10" s="13" customFormat="1" ht="40.200000000000003" customHeight="1" x14ac:dyDescent="0.3">
      <c r="A10" s="206" t="s">
        <v>33</v>
      </c>
      <c r="B10" s="129" t="s">
        <v>100</v>
      </c>
      <c r="C10" s="98">
        <v>121949</v>
      </c>
      <c r="D10" s="98">
        <v>123133</v>
      </c>
      <c r="E10" s="98">
        <v>234201</v>
      </c>
      <c r="F10" s="98">
        <v>236619</v>
      </c>
      <c r="G10" s="98">
        <v>354544</v>
      </c>
      <c r="H10" s="98">
        <v>358125</v>
      </c>
      <c r="I10" s="98">
        <v>487183</v>
      </c>
      <c r="J10" s="98">
        <v>492047</v>
      </c>
    </row>
    <row r="11" spans="1:10" s="13" customFormat="1" ht="40.200000000000003" customHeight="1" x14ac:dyDescent="0.3">
      <c r="A11" s="206" t="s">
        <v>34</v>
      </c>
      <c r="B11" s="129" t="s">
        <v>5</v>
      </c>
      <c r="C11" s="98">
        <v>17108</v>
      </c>
      <c r="D11" s="98">
        <v>4184</v>
      </c>
      <c r="E11" s="98">
        <v>33415</v>
      </c>
      <c r="F11" s="98">
        <v>8165</v>
      </c>
      <c r="G11" s="98">
        <v>50042</v>
      </c>
      <c r="H11" s="98">
        <v>12114</v>
      </c>
      <c r="I11" s="98">
        <v>66195</v>
      </c>
      <c r="J11" s="98">
        <v>16239</v>
      </c>
    </row>
    <row r="12" spans="1:10" s="13" customFormat="1" ht="40.200000000000003" customHeight="1" x14ac:dyDescent="0.3">
      <c r="A12" s="206" t="s">
        <v>35</v>
      </c>
      <c r="B12" s="129" t="s">
        <v>1</v>
      </c>
      <c r="C12" s="98">
        <v>7554</v>
      </c>
      <c r="D12" s="98">
        <v>11092</v>
      </c>
      <c r="E12" s="98">
        <v>18661</v>
      </c>
      <c r="F12" s="98">
        <v>18709</v>
      </c>
      <c r="G12" s="98">
        <v>26359</v>
      </c>
      <c r="H12" s="98">
        <v>26423</v>
      </c>
      <c r="I12" s="98">
        <v>34677</v>
      </c>
      <c r="J12" s="98">
        <v>34767</v>
      </c>
    </row>
    <row r="13" spans="1:10" s="19" customFormat="1" ht="40.200000000000003" customHeight="1" x14ac:dyDescent="0.3">
      <c r="A13" s="99" t="s">
        <v>36</v>
      </c>
      <c r="B13" s="100" t="s">
        <v>12</v>
      </c>
      <c r="C13" s="95">
        <f t="shared" ref="C13:J13" si="3">SUM(C14:C16)</f>
        <v>40530</v>
      </c>
      <c r="D13" s="95">
        <f t="shared" si="3"/>
        <v>40631</v>
      </c>
      <c r="E13" s="95">
        <f t="shared" si="3"/>
        <v>83760</v>
      </c>
      <c r="F13" s="95">
        <f t="shared" si="3"/>
        <v>84176</v>
      </c>
      <c r="G13" s="95">
        <f t="shared" si="3"/>
        <v>120055</v>
      </c>
      <c r="H13" s="95">
        <f t="shared" si="3"/>
        <v>120653</v>
      </c>
      <c r="I13" s="95">
        <f t="shared" si="3"/>
        <v>186200</v>
      </c>
      <c r="J13" s="95">
        <f t="shared" si="3"/>
        <v>187016</v>
      </c>
    </row>
    <row r="14" spans="1:10" s="13" customFormat="1" ht="40.200000000000003" customHeight="1" x14ac:dyDescent="0.3">
      <c r="A14" s="206" t="s">
        <v>37</v>
      </c>
      <c r="B14" s="129" t="s">
        <v>6</v>
      </c>
      <c r="C14" s="98">
        <v>21102</v>
      </c>
      <c r="D14" s="98">
        <v>21109</v>
      </c>
      <c r="E14" s="98">
        <v>47021</v>
      </c>
      <c r="F14" s="98">
        <v>47044</v>
      </c>
      <c r="G14" s="98">
        <v>66373</v>
      </c>
      <c r="H14" s="98">
        <v>66429</v>
      </c>
      <c r="I14" s="98">
        <v>104346</v>
      </c>
      <c r="J14" s="98">
        <v>104426</v>
      </c>
    </row>
    <row r="15" spans="1:10" s="13" customFormat="1" ht="40.200000000000003" customHeight="1" x14ac:dyDescent="0.3">
      <c r="A15" s="206" t="s">
        <v>38</v>
      </c>
      <c r="B15" s="129" t="s">
        <v>15</v>
      </c>
      <c r="C15" s="98">
        <v>19211</v>
      </c>
      <c r="D15" s="98">
        <v>19271</v>
      </c>
      <c r="E15" s="98">
        <v>36201</v>
      </c>
      <c r="F15" s="98">
        <v>36363</v>
      </c>
      <c r="G15" s="98">
        <v>55370</v>
      </c>
      <c r="H15" s="98">
        <v>55631</v>
      </c>
      <c r="I15" s="98">
        <v>80457</v>
      </c>
      <c r="J15" s="98">
        <v>80828</v>
      </c>
    </row>
    <row r="16" spans="1:10" s="13" customFormat="1" ht="40.200000000000003" customHeight="1" x14ac:dyDescent="0.3">
      <c r="A16" s="206" t="s">
        <v>35</v>
      </c>
      <c r="B16" s="129" t="s">
        <v>1</v>
      </c>
      <c r="C16" s="98">
        <v>217</v>
      </c>
      <c r="D16" s="98">
        <v>251</v>
      </c>
      <c r="E16" s="98">
        <v>538</v>
      </c>
      <c r="F16" s="98">
        <v>769</v>
      </c>
      <c r="G16" s="98">
        <v>-1688</v>
      </c>
      <c r="H16" s="98">
        <v>-1407</v>
      </c>
      <c r="I16" s="98">
        <v>1397</v>
      </c>
      <c r="J16" s="98">
        <v>1762</v>
      </c>
    </row>
    <row r="17" spans="1:10" s="19" customFormat="1" ht="40.200000000000003" customHeight="1" x14ac:dyDescent="0.3">
      <c r="A17" s="99" t="s">
        <v>39</v>
      </c>
      <c r="B17" s="100" t="s">
        <v>62</v>
      </c>
      <c r="C17" s="95">
        <f t="shared" ref="C17:J17" si="4">C18+C21</f>
        <v>451856</v>
      </c>
      <c r="D17" s="95">
        <f t="shared" si="4"/>
        <v>435462</v>
      </c>
      <c r="E17" s="95">
        <f t="shared" si="4"/>
        <v>939088</v>
      </c>
      <c r="F17" s="95">
        <f t="shared" si="4"/>
        <v>901934</v>
      </c>
      <c r="G17" s="95">
        <f t="shared" si="4"/>
        <v>1528811</v>
      </c>
      <c r="H17" s="95">
        <f t="shared" si="4"/>
        <v>1471257</v>
      </c>
      <c r="I17" s="95">
        <f t="shared" si="4"/>
        <v>1919098</v>
      </c>
      <c r="J17" s="95">
        <f t="shared" si="4"/>
        <v>1829511</v>
      </c>
    </row>
    <row r="18" spans="1:10" ht="40.200000000000003" customHeight="1" x14ac:dyDescent="0.3">
      <c r="A18" s="101" t="s">
        <v>94</v>
      </c>
      <c r="B18" s="102" t="s">
        <v>95</v>
      </c>
      <c r="C18" s="103">
        <f>C19+C20</f>
        <v>386169</v>
      </c>
      <c r="D18" s="103">
        <f>D19+D20</f>
        <v>369775</v>
      </c>
      <c r="E18" s="103">
        <f t="shared" ref="E18:J18" si="5">E19+E20</f>
        <v>823619</v>
      </c>
      <c r="F18" s="103">
        <f t="shared" si="5"/>
        <v>786465</v>
      </c>
      <c r="G18" s="103">
        <f t="shared" si="5"/>
        <v>1343460</v>
      </c>
      <c r="H18" s="103">
        <f t="shared" si="5"/>
        <v>1285906</v>
      </c>
      <c r="I18" s="103">
        <f t="shared" si="5"/>
        <v>1687663</v>
      </c>
      <c r="J18" s="103">
        <f t="shared" si="5"/>
        <v>1598076</v>
      </c>
    </row>
    <row r="19" spans="1:10" ht="40.200000000000003" customHeight="1" x14ac:dyDescent="0.3">
      <c r="A19" s="104" t="s">
        <v>40</v>
      </c>
      <c r="B19" s="105" t="s">
        <v>21</v>
      </c>
      <c r="C19" s="98">
        <v>24565</v>
      </c>
      <c r="D19" s="98">
        <v>0</v>
      </c>
      <c r="E19" s="98">
        <v>45894</v>
      </c>
      <c r="F19" s="98">
        <v>0</v>
      </c>
      <c r="G19" s="98">
        <v>66769</v>
      </c>
      <c r="H19" s="98">
        <v>0</v>
      </c>
      <c r="I19" s="98">
        <v>106985</v>
      </c>
      <c r="J19" s="98">
        <v>0</v>
      </c>
    </row>
    <row r="20" spans="1:10" ht="40.200000000000003" customHeight="1" x14ac:dyDescent="0.3">
      <c r="A20" s="104" t="s">
        <v>35</v>
      </c>
      <c r="B20" s="105" t="s">
        <v>7</v>
      </c>
      <c r="C20" s="98">
        <v>361604</v>
      </c>
      <c r="D20" s="98">
        <v>369775</v>
      </c>
      <c r="E20" s="98">
        <v>777725</v>
      </c>
      <c r="F20" s="98">
        <v>786465</v>
      </c>
      <c r="G20" s="98">
        <v>1276691</v>
      </c>
      <c r="H20" s="98">
        <v>1285906</v>
      </c>
      <c r="I20" s="98">
        <v>1580678</v>
      </c>
      <c r="J20" s="98">
        <v>1598076</v>
      </c>
    </row>
    <row r="21" spans="1:10" ht="40.200000000000003" customHeight="1" x14ac:dyDescent="0.3">
      <c r="A21" s="101" t="s">
        <v>41</v>
      </c>
      <c r="B21" s="102" t="s">
        <v>63</v>
      </c>
      <c r="C21" s="103">
        <v>65687</v>
      </c>
      <c r="D21" s="103">
        <v>65687</v>
      </c>
      <c r="E21" s="103">
        <v>115469</v>
      </c>
      <c r="F21" s="103">
        <v>115469</v>
      </c>
      <c r="G21" s="103">
        <v>185351</v>
      </c>
      <c r="H21" s="103">
        <v>185351</v>
      </c>
      <c r="I21" s="103">
        <v>231435</v>
      </c>
      <c r="J21" s="103">
        <v>231435</v>
      </c>
    </row>
    <row r="22" spans="1:10" s="19" customFormat="1" ht="40.200000000000003" customHeight="1" x14ac:dyDescent="0.3">
      <c r="A22" s="132" t="s">
        <v>42</v>
      </c>
      <c r="B22" s="100" t="s">
        <v>13</v>
      </c>
      <c r="C22" s="95">
        <f t="shared" ref="C22:J22" si="6">C23+C27+C28+C31</f>
        <v>133014</v>
      </c>
      <c r="D22" s="95">
        <f t="shared" si="6"/>
        <v>199931</v>
      </c>
      <c r="E22" s="95">
        <f t="shared" si="6"/>
        <v>278690</v>
      </c>
      <c r="F22" s="95">
        <f t="shared" si="6"/>
        <v>435342</v>
      </c>
      <c r="G22" s="95">
        <f t="shared" si="6"/>
        <v>409607</v>
      </c>
      <c r="H22" s="95">
        <f t="shared" si="6"/>
        <v>664513</v>
      </c>
      <c r="I22" s="95">
        <f t="shared" si="6"/>
        <v>645499</v>
      </c>
      <c r="J22" s="95">
        <f t="shared" si="6"/>
        <v>985796</v>
      </c>
    </row>
    <row r="23" spans="1:10" s="19" customFormat="1" ht="40.200000000000003" customHeight="1" x14ac:dyDescent="0.3">
      <c r="A23" s="207" t="s">
        <v>43</v>
      </c>
      <c r="B23" s="134" t="s">
        <v>54</v>
      </c>
      <c r="C23" s="95">
        <f t="shared" ref="C23:J23" si="7">C24+C25+C26</f>
        <v>63180</v>
      </c>
      <c r="D23" s="95">
        <f t="shared" si="7"/>
        <v>63180</v>
      </c>
      <c r="E23" s="95">
        <f t="shared" si="7"/>
        <v>156182</v>
      </c>
      <c r="F23" s="95">
        <f t="shared" si="7"/>
        <v>156182</v>
      </c>
      <c r="G23" s="95">
        <f t="shared" si="7"/>
        <v>242712</v>
      </c>
      <c r="H23" s="95">
        <f t="shared" si="7"/>
        <v>242712</v>
      </c>
      <c r="I23" s="95">
        <f t="shared" si="7"/>
        <v>409091</v>
      </c>
      <c r="J23" s="95">
        <f t="shared" si="7"/>
        <v>409091</v>
      </c>
    </row>
    <row r="24" spans="1:10" ht="40.200000000000003" customHeight="1" x14ac:dyDescent="0.3">
      <c r="A24" s="104" t="s">
        <v>44</v>
      </c>
      <c r="B24" s="105" t="s">
        <v>17</v>
      </c>
      <c r="C24" s="98">
        <v>28473</v>
      </c>
      <c r="D24" s="98">
        <v>28473</v>
      </c>
      <c r="E24" s="98">
        <v>70614</v>
      </c>
      <c r="F24" s="98">
        <v>70614</v>
      </c>
      <c r="G24" s="98">
        <v>104888</v>
      </c>
      <c r="H24" s="98">
        <v>104888</v>
      </c>
      <c r="I24" s="98">
        <v>155573</v>
      </c>
      <c r="J24" s="98">
        <v>155573</v>
      </c>
    </row>
    <row r="25" spans="1:10" ht="40.200000000000003" customHeight="1" x14ac:dyDescent="0.3">
      <c r="A25" s="104" t="s">
        <v>45</v>
      </c>
      <c r="B25" s="105" t="s">
        <v>16</v>
      </c>
      <c r="C25" s="98">
        <v>26096</v>
      </c>
      <c r="D25" s="98">
        <v>26096</v>
      </c>
      <c r="E25" s="98">
        <v>58996</v>
      </c>
      <c r="F25" s="98">
        <v>58996</v>
      </c>
      <c r="G25" s="98">
        <v>95067</v>
      </c>
      <c r="H25" s="98">
        <v>95067</v>
      </c>
      <c r="I25" s="98">
        <v>165401</v>
      </c>
      <c r="J25" s="98">
        <v>165401</v>
      </c>
    </row>
    <row r="26" spans="1:10" ht="40.200000000000003" customHeight="1" x14ac:dyDescent="0.3">
      <c r="A26" s="104" t="s">
        <v>35</v>
      </c>
      <c r="B26" s="105" t="s">
        <v>18</v>
      </c>
      <c r="C26" s="98">
        <v>8611</v>
      </c>
      <c r="D26" s="98">
        <v>8611</v>
      </c>
      <c r="E26" s="98">
        <v>26572</v>
      </c>
      <c r="F26" s="98">
        <v>26572</v>
      </c>
      <c r="G26" s="98">
        <v>42757</v>
      </c>
      <c r="H26" s="98">
        <v>42757</v>
      </c>
      <c r="I26" s="98">
        <v>88117</v>
      </c>
      <c r="J26" s="98">
        <v>88117</v>
      </c>
    </row>
    <row r="27" spans="1:10" s="19" customFormat="1" ht="40.200000000000003" customHeight="1" x14ac:dyDescent="0.3">
      <c r="A27" s="207" t="s">
        <v>46</v>
      </c>
      <c r="B27" s="134" t="s">
        <v>55</v>
      </c>
      <c r="C27" s="95">
        <v>2973</v>
      </c>
      <c r="D27" s="95">
        <v>2973</v>
      </c>
      <c r="E27" s="95">
        <v>6628</v>
      </c>
      <c r="F27" s="95">
        <v>6628</v>
      </c>
      <c r="G27" s="95">
        <v>12752</v>
      </c>
      <c r="H27" s="95">
        <v>12752</v>
      </c>
      <c r="I27" s="95">
        <v>22921</v>
      </c>
      <c r="J27" s="95">
        <v>22921</v>
      </c>
    </row>
    <row r="28" spans="1:10" s="19" customFormat="1" ht="40.200000000000003" customHeight="1" x14ac:dyDescent="0.3">
      <c r="A28" s="207" t="s">
        <v>101</v>
      </c>
      <c r="B28" s="134" t="s">
        <v>56</v>
      </c>
      <c r="C28" s="95">
        <f t="shared" ref="C28:J28" si="8">C29+C30</f>
        <v>66713</v>
      </c>
      <c r="D28" s="95">
        <f t="shared" si="8"/>
        <v>133630</v>
      </c>
      <c r="E28" s="95">
        <f t="shared" si="8"/>
        <v>116377</v>
      </c>
      <c r="F28" s="95">
        <f t="shared" si="8"/>
        <v>273029</v>
      </c>
      <c r="G28" s="95">
        <f t="shared" si="8"/>
        <v>154641</v>
      </c>
      <c r="H28" s="95">
        <f t="shared" si="8"/>
        <v>409547</v>
      </c>
      <c r="I28" s="95">
        <f t="shared" si="8"/>
        <v>212343</v>
      </c>
      <c r="J28" s="95">
        <f t="shared" si="8"/>
        <v>552640</v>
      </c>
    </row>
    <row r="29" spans="1:10" ht="40.200000000000003" customHeight="1" x14ac:dyDescent="0.3">
      <c r="A29" s="104" t="s">
        <v>47</v>
      </c>
      <c r="B29" s="105" t="s">
        <v>19</v>
      </c>
      <c r="C29" s="98">
        <v>53557</v>
      </c>
      <c r="D29" s="98">
        <v>0</v>
      </c>
      <c r="E29" s="98">
        <v>85591</v>
      </c>
      <c r="F29" s="98">
        <v>0</v>
      </c>
      <c r="G29" s="98">
        <v>106946</v>
      </c>
      <c r="H29" s="98">
        <v>0</v>
      </c>
      <c r="I29" s="98">
        <v>142651</v>
      </c>
      <c r="J29" s="98">
        <v>0</v>
      </c>
    </row>
    <row r="30" spans="1:10" ht="40.200000000000003" customHeight="1" x14ac:dyDescent="0.3">
      <c r="A30" s="104" t="s">
        <v>35</v>
      </c>
      <c r="B30" s="105" t="s">
        <v>20</v>
      </c>
      <c r="C30" s="98">
        <v>13156</v>
      </c>
      <c r="D30" s="98">
        <v>133630</v>
      </c>
      <c r="E30" s="98">
        <v>30786</v>
      </c>
      <c r="F30" s="98">
        <v>273029</v>
      </c>
      <c r="G30" s="98">
        <v>47695</v>
      </c>
      <c r="H30" s="98">
        <v>409547</v>
      </c>
      <c r="I30" s="98">
        <v>69692</v>
      </c>
      <c r="J30" s="98">
        <v>552640</v>
      </c>
    </row>
    <row r="31" spans="1:10" s="19" customFormat="1" ht="40.200000000000003" customHeight="1" x14ac:dyDescent="0.3">
      <c r="A31" s="207" t="s">
        <v>48</v>
      </c>
      <c r="B31" s="102" t="s">
        <v>119</v>
      </c>
      <c r="C31" s="95">
        <v>148</v>
      </c>
      <c r="D31" s="95">
        <v>148</v>
      </c>
      <c r="E31" s="95">
        <v>-497</v>
      </c>
      <c r="F31" s="95">
        <v>-497</v>
      </c>
      <c r="G31" s="95">
        <v>-498</v>
      </c>
      <c r="H31" s="95">
        <v>-498</v>
      </c>
      <c r="I31" s="95">
        <v>1144</v>
      </c>
      <c r="J31" s="95">
        <v>1144</v>
      </c>
    </row>
    <row r="32" spans="1:10" s="19" customFormat="1" ht="40.200000000000003" customHeight="1" x14ac:dyDescent="0.3">
      <c r="A32" s="99" t="s">
        <v>59</v>
      </c>
      <c r="B32" s="100" t="s">
        <v>11</v>
      </c>
      <c r="C32" s="95">
        <f t="shared" ref="C32:J32" si="9">C33+C34</f>
        <v>36626</v>
      </c>
      <c r="D32" s="95">
        <f t="shared" si="9"/>
        <v>36627</v>
      </c>
      <c r="E32" s="95">
        <f t="shared" si="9"/>
        <v>81064</v>
      </c>
      <c r="F32" s="95">
        <f t="shared" si="9"/>
        <v>81064</v>
      </c>
      <c r="G32" s="95">
        <f t="shared" si="9"/>
        <v>115210</v>
      </c>
      <c r="H32" s="95">
        <f t="shared" si="9"/>
        <v>115215</v>
      </c>
      <c r="I32" s="95">
        <f t="shared" si="9"/>
        <v>179113</v>
      </c>
      <c r="J32" s="95">
        <f t="shared" si="9"/>
        <v>179125</v>
      </c>
    </row>
    <row r="33" spans="1:10" ht="40.200000000000003" customHeight="1" x14ac:dyDescent="0.3">
      <c r="A33" s="206" t="s">
        <v>49</v>
      </c>
      <c r="B33" s="129" t="s">
        <v>4</v>
      </c>
      <c r="C33" s="98">
        <v>32185</v>
      </c>
      <c r="D33" s="98">
        <v>32185</v>
      </c>
      <c r="E33" s="98">
        <v>66625</v>
      </c>
      <c r="F33" s="98">
        <v>66625</v>
      </c>
      <c r="G33" s="98">
        <v>92999</v>
      </c>
      <c r="H33" s="98">
        <v>92999</v>
      </c>
      <c r="I33" s="98">
        <v>127076</v>
      </c>
      <c r="J33" s="98">
        <v>127076</v>
      </c>
    </row>
    <row r="34" spans="1:10" ht="40.200000000000003" customHeight="1" x14ac:dyDescent="0.3">
      <c r="A34" s="206" t="s">
        <v>35</v>
      </c>
      <c r="B34" s="129" t="s">
        <v>8</v>
      </c>
      <c r="C34" s="98">
        <v>4441</v>
      </c>
      <c r="D34" s="98">
        <v>4442</v>
      </c>
      <c r="E34" s="98">
        <v>14439</v>
      </c>
      <c r="F34" s="98">
        <v>14439</v>
      </c>
      <c r="G34" s="98">
        <v>22211</v>
      </c>
      <c r="H34" s="98">
        <v>22216</v>
      </c>
      <c r="I34" s="98">
        <v>52037</v>
      </c>
      <c r="J34" s="98">
        <v>52049</v>
      </c>
    </row>
    <row r="35" spans="1:10" s="19" customFormat="1" ht="40.200000000000003" customHeight="1" x14ac:dyDescent="0.3">
      <c r="A35" s="99" t="s">
        <v>50</v>
      </c>
      <c r="B35" s="136" t="s">
        <v>14</v>
      </c>
      <c r="C35" s="95">
        <f t="shared" ref="C35:J35" si="10">C36+C37</f>
        <v>19111</v>
      </c>
      <c r="D35" s="95">
        <f t="shared" si="10"/>
        <v>19111</v>
      </c>
      <c r="E35" s="95">
        <f t="shared" si="10"/>
        <v>92682</v>
      </c>
      <c r="F35" s="95">
        <f t="shared" si="10"/>
        <v>92682</v>
      </c>
      <c r="G35" s="95">
        <f t="shared" si="10"/>
        <v>161303</v>
      </c>
      <c r="H35" s="95">
        <f t="shared" si="10"/>
        <v>161303</v>
      </c>
      <c r="I35" s="95">
        <f t="shared" si="10"/>
        <v>386900</v>
      </c>
      <c r="J35" s="95">
        <f t="shared" si="10"/>
        <v>386900</v>
      </c>
    </row>
    <row r="36" spans="1:10" ht="40.200000000000003" customHeight="1" x14ac:dyDescent="0.3">
      <c r="A36" s="206" t="s">
        <v>51</v>
      </c>
      <c r="B36" s="129" t="s">
        <v>9</v>
      </c>
      <c r="C36" s="98">
        <v>16449</v>
      </c>
      <c r="D36" s="98">
        <v>16449</v>
      </c>
      <c r="E36" s="98">
        <v>79731</v>
      </c>
      <c r="F36" s="98">
        <v>79731</v>
      </c>
      <c r="G36" s="98">
        <v>136717</v>
      </c>
      <c r="H36" s="98">
        <v>136717</v>
      </c>
      <c r="I36" s="98">
        <v>320520</v>
      </c>
      <c r="J36" s="98">
        <v>320520</v>
      </c>
    </row>
    <row r="37" spans="1:10" ht="40.200000000000003" customHeight="1" x14ac:dyDescent="0.3">
      <c r="A37" s="208" t="s">
        <v>35</v>
      </c>
      <c r="B37" s="138" t="s">
        <v>10</v>
      </c>
      <c r="C37" s="115">
        <v>2662</v>
      </c>
      <c r="D37" s="115">
        <v>2662</v>
      </c>
      <c r="E37" s="115">
        <v>12951</v>
      </c>
      <c r="F37" s="115">
        <v>12951</v>
      </c>
      <c r="G37" s="115">
        <v>24586</v>
      </c>
      <c r="H37" s="115">
        <v>24586</v>
      </c>
      <c r="I37" s="115">
        <v>66380</v>
      </c>
      <c r="J37" s="115">
        <v>66380</v>
      </c>
    </row>
    <row r="38" spans="1:10" ht="21.9" customHeight="1" x14ac:dyDescent="0.3">
      <c r="A38" s="209" t="s">
        <v>67</v>
      </c>
      <c r="B38" s="210" t="s">
        <v>68</v>
      </c>
    </row>
    <row r="39" spans="1:10" ht="77.25" customHeight="1" x14ac:dyDescent="0.3">
      <c r="A39" s="60" t="s">
        <v>112</v>
      </c>
      <c r="B39" s="211" t="s">
        <v>109</v>
      </c>
    </row>
    <row r="40" spans="1:10" ht="60" customHeight="1" x14ac:dyDescent="0.3">
      <c r="A40" s="60" t="s">
        <v>89</v>
      </c>
      <c r="B40" s="223" t="s">
        <v>88</v>
      </c>
      <c r="C40" s="223"/>
      <c r="E40" s="9"/>
      <c r="G40" s="9"/>
      <c r="I40" s="9"/>
    </row>
    <row r="41" spans="1:10" ht="21.9" customHeight="1" x14ac:dyDescent="0.3">
      <c r="B41" s="212"/>
      <c r="C41" s="212"/>
      <c r="D41" s="212"/>
      <c r="E41" s="212"/>
      <c r="F41" s="212"/>
      <c r="G41" s="212"/>
      <c r="H41" s="212"/>
      <c r="I41" s="212"/>
      <c r="J41" s="212"/>
    </row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  <row r="1303" ht="21.9" customHeight="1" x14ac:dyDescent="0.3"/>
    <row r="1304" ht="21.9" customHeight="1" x14ac:dyDescent="0.3"/>
  </sheetData>
  <mergeCells count="7">
    <mergeCell ref="B40:C40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5" orientation="portrait" horizontalDpi="4294967295" verticalDpi="4294967295" r:id="rId1"/>
  <headerFooter alignWithMargins="0"/>
  <rowBreaks count="1" manualBreakCount="1">
    <brk id="3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Expenditures 2006-2007</vt:lpstr>
      <vt:lpstr>Expenditures 2007-2008</vt:lpstr>
      <vt:lpstr>Expenditures 2008-2009</vt:lpstr>
      <vt:lpstr> Expenditures 2009-2010</vt:lpstr>
      <vt:lpstr>Expenditures 2010-2011 </vt:lpstr>
      <vt:lpstr>Expenditures 2011-2012</vt:lpstr>
      <vt:lpstr>Expenditures 2012-2013</vt:lpstr>
      <vt:lpstr>Expenditures 2013-2014</vt:lpstr>
      <vt:lpstr>Expenditures 2014-2015</vt:lpstr>
      <vt:lpstr>Expenditures 2015-2016</vt:lpstr>
      <vt:lpstr>Expenditures 2016-2017 </vt:lpstr>
      <vt:lpstr>Expenditures 2017-2018 </vt:lpstr>
      <vt:lpstr>Expenditures 2018-2019  </vt:lpstr>
      <vt:lpstr>Expenditures 2019-2020</vt:lpstr>
      <vt:lpstr>Expenditures 2020-2021</vt:lpstr>
      <vt:lpstr>Expenditures 2021-2022</vt:lpstr>
      <vt:lpstr>Expenditures 2022-2023</vt:lpstr>
      <vt:lpstr>Expenditures 2023-2024</vt:lpstr>
      <vt:lpstr>Expenditures 2024-2025</vt:lpstr>
      <vt:lpstr>' Expenditures 2009-2010'!Print_Area</vt:lpstr>
      <vt:lpstr>'Expenditures 2006-2007'!Print_Area</vt:lpstr>
      <vt:lpstr>'Expenditures 2007-2008'!Print_Area</vt:lpstr>
      <vt:lpstr>'Expenditures 2008-2009'!Print_Area</vt:lpstr>
      <vt:lpstr>'Expenditures 2010-2011 '!Print_Area</vt:lpstr>
      <vt:lpstr>'Expenditures 2011-2012'!Print_Area</vt:lpstr>
      <vt:lpstr>'Expenditures 2012-2013'!Print_Area</vt:lpstr>
      <vt:lpstr>'Expenditures 2013-2014'!Print_Area</vt:lpstr>
      <vt:lpstr>'Expenditures 2014-2015'!Print_Area</vt:lpstr>
      <vt:lpstr>'Expenditures 2015-2016'!Print_Area</vt:lpstr>
      <vt:lpstr>'Expenditures 2016-2017 '!Print_Area</vt:lpstr>
      <vt:lpstr>'Expenditures 2017-2018 '!Print_Area</vt:lpstr>
      <vt:lpstr>'Expenditures 2018-2019  '!Print_Area</vt:lpstr>
      <vt:lpstr>'Expenditures 2019-2020'!Print_Area</vt:lpstr>
      <vt:lpstr>'Expenditures 2020-2021'!Print_Area</vt:lpstr>
      <vt:lpstr>'Expenditures 2021-2022'!Print_Area</vt:lpstr>
      <vt:lpstr>'Expenditures 2022-2023'!Print_Area</vt:lpstr>
      <vt:lpstr>'Expenditures 2023-2024'!Print_Area</vt:lpstr>
      <vt:lpstr>'Expenditures 2024-2025'!Print_Area</vt:lpstr>
      <vt:lpstr>' Expenditures 2009-2010'!Print_Titles</vt:lpstr>
      <vt:lpstr>'Expenditures 2006-2007'!Print_Titles</vt:lpstr>
      <vt:lpstr>'Expenditures 2007-2008'!Print_Titles</vt:lpstr>
      <vt:lpstr>'Expenditures 2008-2009'!Print_Titles</vt:lpstr>
      <vt:lpstr>'Expenditures 2010-2011 '!Print_Titles</vt:lpstr>
      <vt:lpstr>'Expenditures 2011-2012'!Print_Titles</vt:lpstr>
      <vt:lpstr>'Expenditures 2012-2013'!Print_Titles</vt:lpstr>
      <vt:lpstr>'Expenditures 2013-2014'!Print_Titles</vt:lpstr>
      <vt:lpstr>'Expenditures 2014-2015'!Print_Titles</vt:lpstr>
      <vt:lpstr>'Expenditures 2015-2016'!Print_Titles</vt:lpstr>
      <vt:lpstr>'Expenditures 2016-2017 '!Print_Titles</vt:lpstr>
      <vt:lpstr>'Expenditures 2017-2018 '!Print_Titles</vt:lpstr>
      <vt:lpstr>'Expenditures 2018-2019  '!Print_Titles</vt:lpstr>
      <vt:lpstr>'Expenditures 2019-2020'!Print_Titles</vt:lpstr>
      <vt:lpstr>'Expenditures 2020-2021'!Print_Titles</vt:lpstr>
      <vt:lpstr>'Expenditures 2021-2022'!Print_Titles</vt:lpstr>
      <vt:lpstr>'Expenditures 2022-2023'!Print_Titles</vt:lpstr>
      <vt:lpstr>'Expenditures 2023-2024'!Print_Titles</vt:lpstr>
      <vt:lpstr>'Expenditures 2024-2025'!Print_Titles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Hames Abdelrashaed</cp:lastModifiedBy>
  <cp:lastPrinted>2024-06-04T09:41:38Z</cp:lastPrinted>
  <dcterms:created xsi:type="dcterms:W3CDTF">1996-10-14T23:33:28Z</dcterms:created>
  <dcterms:modified xsi:type="dcterms:W3CDTF">2026-03-05T11:29:31Z</dcterms:modified>
</cp:coreProperties>
</file>