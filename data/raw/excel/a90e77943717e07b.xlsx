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5"/>
  <workbookPr defaultThemeVersion="124226"/>
  <xr:revisionPtr revIDLastSave="0" documentId="8_{31B2AD46-1F87-4253-8CA5-E0756EA1C926}" xr6:coauthVersionLast="36" xr6:coauthVersionMax="36" xr10:uidLastSave="{00000000-0000-0000-0000-000000000000}"/>
  <bookViews>
    <workbookView xWindow="240" yWindow="45" windowWidth="21075" windowHeight="10035" xr2:uid="{00000000-000D-0000-FFFF-FFFF00000000}"/>
  </bookViews>
  <sheets>
    <sheet name="2007-2008" sheetId="1" r:id="rId1"/>
  </sheets>
  <definedNames>
    <definedName name="_xlnm.Print_Area" localSheetId="0">'2007-2008'!$A$1:$F$28</definedName>
  </definedNames>
  <calcPr calcId="191028"/>
</workbook>
</file>

<file path=xl/calcChain.xml><?xml version="1.0" encoding="utf-8"?>
<calcChain xmlns="http://schemas.openxmlformats.org/spreadsheetml/2006/main">
  <c r="F26" i="1" l="1"/>
  <c r="E26" i="1"/>
  <c r="D26" i="1"/>
  <c r="C26" i="1"/>
  <c r="F21" i="1"/>
  <c r="E21" i="1"/>
  <c r="D21" i="1"/>
  <c r="C21" i="1"/>
  <c r="D16" i="1"/>
  <c r="C16" i="1"/>
  <c r="F15" i="1"/>
  <c r="E15" i="1"/>
  <c r="D15" i="1"/>
  <c r="C15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D8" i="1"/>
  <c r="C9" i="1"/>
  <c r="F8" i="1"/>
  <c r="E8" i="1"/>
  <c r="C8" i="1"/>
</calcChain>
</file>

<file path=xl/sharedStrings.xml><?xml version="1.0" encoding="utf-8"?>
<sst xmlns="http://schemas.openxmlformats.org/spreadsheetml/2006/main" count="55" uniqueCount="47">
  <si>
    <t>External Debt by Debtor</t>
  </si>
  <si>
    <t xml:space="preserve"> (US$ mn)</t>
  </si>
  <si>
    <t xml:space="preserve">فى آخر    </t>
  </si>
  <si>
    <t xml:space="preserve">End of       </t>
  </si>
  <si>
    <t>2007/2008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</si>
  <si>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</si>
  <si>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</si>
  <si>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</si>
  <si>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</si>
  <si>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</si>
  <si>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</si>
  <si>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</si>
  <si>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</si>
  <si>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>إجمالى الدين الخارجى</t>
  </si>
  <si>
    <t>Total External Debt</t>
  </si>
  <si>
    <t>الدين متوسط وطويل الأجل</t>
  </si>
  <si>
    <t xml:space="preserve"> Medium- and  Long-Term </t>
  </si>
  <si>
    <t>الدين قصير الأجل</t>
  </si>
  <si>
    <t xml:space="preserve"> Short-Term </t>
  </si>
  <si>
    <t xml:space="preserve"> الحكومة المركزية ووحدات الحكم المحلى</t>
  </si>
  <si>
    <t xml:space="preserve"> Central and Local Government </t>
  </si>
  <si>
    <t>السندات والاذون</t>
  </si>
  <si>
    <t xml:space="preserve">            Bonds &amp; Notes </t>
  </si>
  <si>
    <t>القروض</t>
  </si>
  <si>
    <t xml:space="preserve">            Loans</t>
  </si>
  <si>
    <t>السلطة النقدية</t>
  </si>
  <si>
    <t xml:space="preserve"> Monetary Authority </t>
  </si>
  <si>
    <t xml:space="preserve">الدين متوسط وطويل الأجل  </t>
  </si>
  <si>
    <t xml:space="preserve"> Medium- and  Long-Term  </t>
  </si>
  <si>
    <t xml:space="preserve">     القروض</t>
  </si>
  <si>
    <t xml:space="preserve">     العملة والودائع</t>
  </si>
  <si>
    <t xml:space="preserve">           Currency and Deposits</t>
  </si>
  <si>
    <t xml:space="preserve">     التزامات اخرى</t>
  </si>
  <si>
    <t xml:space="preserve"> Other liabilities</t>
  </si>
  <si>
    <t>الدين قصير الأجل (عملة وودائع)</t>
  </si>
  <si>
    <t xml:space="preserve">  Short-Term (Currency and Deposits) </t>
  </si>
  <si>
    <t>البنوك</t>
  </si>
  <si>
    <t xml:space="preserve">  Banks</t>
  </si>
  <si>
    <t>الدين متوسط وطويل الأجل (قروض)</t>
  </si>
  <si>
    <t xml:space="preserve"> Medium- and  Long-Term (Loans) </t>
  </si>
  <si>
    <t>الدين قصير الأجل (منه)</t>
  </si>
  <si>
    <t xml:space="preserve"> Short-Term (of which)</t>
  </si>
  <si>
    <t xml:space="preserve">           Currency and Deposits     </t>
  </si>
  <si>
    <t>القطاعات الأخرى</t>
  </si>
  <si>
    <t xml:space="preserve"> Other Sectors</t>
  </si>
  <si>
    <t>الدين قصير الأجل ( تسهيلات تجارية )</t>
  </si>
  <si>
    <t xml:space="preserve"> Short-Term (Trade Credit)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</si>
</sst>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_);[Red]\(###0.0\)"/>
    <numFmt numFmtId="165" formatCode="0.0"/>
  </numFmts>
  <fonts count="15">
    <font>
      <sz val="10"/>
      <name val="Arial"/>
      <charset val="178"/>
    </font>
    <font>
      <sz val="10"/>
      <name val="Arial"/>
      <charset val="178"/>
    </font>
    <font>
      <sz val="14"/>
      <name val="Arial"/>
      <family val="2"/>
    </font>
    <font>
      <b/>
      <sz val="14"/>
      <name val="Arial"/>
      <family val="2"/>
      <charset val="178"/>
    </font>
    <font>
      <sz val="14"/>
      <color indexed="17"/>
      <name val="Arial"/>
      <family val="2"/>
    </font>
    <font>
      <sz val="12"/>
      <color indexed="17"/>
      <name val="Arial"/>
      <family val="2"/>
    </font>
    <font>
      <sz val="14"/>
      <color indexed="17"/>
      <name val="Akhbar MT"/>
      <charset val="178"/>
    </font>
    <font>
      <b/>
      <u/>
      <sz val="14"/>
      <color rgb="FFFF0000"/>
      <name val="Akhbar MT"/>
      <charset val="178"/>
    </font>
    <font>
      <b/>
      <u/>
      <sz val="14"/>
      <color rgb="FFFF0000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b/>
      <sz val="14"/>
      <color rgb="FF0000CC"/>
      <name val="Akhbar MT"/>
      <charset val="178"/>
    </font>
    <font>
      <b/>
      <sz val="14"/>
      <color rgb="FF0000CC"/>
      <name val="Arial"/>
      <family val="2"/>
    </font>
    <font>
      <sz val="14"/>
      <name val="Akhbar MT"/>
      <charset val="178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4" fillId="0" borderId="0"/>
  </cellStyleXfs>
  <cellXfs count="3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readingOrder="1"/>
    </xf>
    <xf numFmtId="0" fontId="1" fillId="0" borderId="0" xfId="0" applyFont="1" applyAlignment="1">
      <alignment readingOrder="1"/>
    </xf>
    <xf numFmtId="0" fontId="3" fillId="0" borderId="0" xfId="0" applyFont="1" applyAlignment="1">
      <alignment vertical="center"/>
    </xf>
    <xf numFmtId="164" fontId="6" fillId="3" borderId="5" xfId="2" applyNumberFormat="1" applyFont="1" applyFill="1" applyBorder="1" applyAlignment="1">
      <alignment horizontal="center" vertical="center"/>
    </xf>
    <xf numFmtId="0" fontId="4" fillId="3" borderId="10" xfId="2" applyFont="1" applyFill="1" applyBorder="1" applyAlignment="1">
      <alignment horizontal="center" vertical="center" readingOrder="1"/>
    </xf>
    <xf numFmtId="165" fontId="7" fillId="0" borderId="5" xfId="0" applyNumberFormat="1" applyFont="1" applyBorder="1" applyAlignment="1">
      <alignment horizontal="right" vertical="center" indent="1" readingOrder="2"/>
    </xf>
    <xf numFmtId="0" fontId="8" fillId="0" borderId="5" xfId="0" applyFont="1" applyBorder="1" applyAlignment="1">
      <alignment horizontal="left" vertical="center" indent="1"/>
    </xf>
    <xf numFmtId="165" fontId="8" fillId="0" borderId="5" xfId="0" applyNumberFormat="1" applyFont="1" applyBorder="1" applyAlignment="1">
      <alignment horizontal="center" vertical="center"/>
    </xf>
    <xf numFmtId="165" fontId="9" fillId="0" borderId="8" xfId="0" applyNumberFormat="1" applyFont="1" applyBorder="1" applyAlignment="1">
      <alignment horizontal="right" vertical="center" indent="1" readingOrder="2"/>
    </xf>
    <xf numFmtId="0" fontId="10" fillId="0" borderId="8" xfId="0" applyFont="1" applyBorder="1" applyAlignment="1">
      <alignment horizontal="left" vertical="center" indent="1"/>
    </xf>
    <xf numFmtId="165" fontId="10" fillId="0" borderId="8" xfId="0" applyNumberFormat="1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right" vertical="center" indent="1" readingOrder="2"/>
    </xf>
    <xf numFmtId="0" fontId="12" fillId="0" borderId="8" xfId="0" applyFont="1" applyBorder="1" applyAlignment="1">
      <alignment horizontal="left" vertical="center" indent="1"/>
    </xf>
    <xf numFmtId="165" fontId="12" fillId="0" borderId="8" xfId="0" applyNumberFormat="1" applyFont="1" applyBorder="1" applyAlignment="1">
      <alignment horizontal="center" vertical="center"/>
    </xf>
    <xf numFmtId="165" fontId="13" fillId="0" borderId="8" xfId="0" applyNumberFormat="1" applyFont="1" applyBorder="1" applyAlignment="1">
      <alignment horizontal="right" vertical="center" indent="4" readingOrder="2"/>
    </xf>
    <xf numFmtId="165" fontId="13" fillId="0" borderId="8" xfId="0" applyNumberFormat="1" applyFont="1" applyBorder="1" applyAlignment="1">
      <alignment horizontal="left" vertical="center" indent="2" readingOrder="2"/>
    </xf>
    <xf numFmtId="165" fontId="2" fillId="0" borderId="8" xfId="0" applyNumberFormat="1" applyFont="1" applyBorder="1" applyAlignment="1">
      <alignment horizontal="center" vertical="center"/>
    </xf>
    <xf numFmtId="165" fontId="13" fillId="0" borderId="8" xfId="0" applyNumberFormat="1" applyFont="1" applyBorder="1" applyAlignment="1">
      <alignment horizontal="right" vertical="center" indent="6" readingOrder="2"/>
    </xf>
    <xf numFmtId="165" fontId="13" fillId="0" borderId="8" xfId="0" applyNumberFormat="1" applyFont="1" applyBorder="1" applyAlignment="1">
      <alignment horizontal="left" vertical="center" indent="1" readingOrder="1"/>
    </xf>
    <xf numFmtId="165" fontId="13" fillId="0" borderId="10" xfId="0" applyNumberFormat="1" applyFont="1" applyBorder="1" applyAlignment="1">
      <alignment horizontal="right" vertical="center" indent="4" readingOrder="2"/>
    </xf>
    <xf numFmtId="165" fontId="13" fillId="0" borderId="10" xfId="0" applyNumberFormat="1" applyFont="1" applyBorder="1" applyAlignment="1">
      <alignment horizontal="left" vertical="center" indent="1" readingOrder="1"/>
    </xf>
    <xf numFmtId="165" fontId="2" fillId="0" borderId="10" xfId="0" applyNumberFormat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readingOrder="1"/>
    </xf>
    <xf numFmtId="0" fontId="2" fillId="2" borderId="2" xfId="1" applyFont="1" applyFill="1" applyBorder="1" applyAlignment="1">
      <alignment horizontal="center" vertical="center" readingOrder="1"/>
    </xf>
    <xf numFmtId="0" fontId="2" fillId="2" borderId="3" xfId="1" applyFont="1" applyFill="1" applyBorder="1" applyAlignment="1">
      <alignment horizontal="center" vertical="center" readingOrder="1"/>
    </xf>
    <xf numFmtId="0" fontId="4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 readingOrder="1"/>
    </xf>
  </cellXfs>
  <cellStyles count="4">
    <cellStyle name="Normal" xfId="0" builtinId="0"/>
    <cellStyle name="Normal 2" xfId="3" xr:uid="{00000000-0005-0000-0000-000001000000}"/>
    <cellStyle name="Normal_BOP_11_14-19_21" xfId="2" xr:uid="{00000000-0005-0000-0000-000002000000}"/>
    <cellStyle name="Normal_T 25- T20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8"/>
  <sheetViews>
    <sheetView tabSelected="1" view="pageBreakPreview" zoomScale="60" zoomScaleNormal="100" workbookViewId="0" xr3:uid="{AEA406A1-0E4B-5B11-9CD5-51D6E497D94C}">
      <selection activeCell="B4" sqref="B4"/>
    </sheetView>
  </sheetViews>
  <sheetFormatPr defaultRowHeight="18"/>
  <cols>
    <col min="1" max="1" width="56.5703125" style="1" customWidth="1"/>
    <col min="2" max="2" width="73.28515625" style="1" customWidth="1"/>
    <col min="3" max="4" width="11.42578125" style="1" bestFit="1" customWidth="1"/>
    <col min="5" max="5" width="14.140625" style="1" bestFit="1" customWidth="1"/>
    <col min="6" max="6" width="11.42578125" style="1" bestFit="1" customWidth="1"/>
  </cols>
  <sheetData>
    <row r="1" spans="1:6" s="4" customFormat="1">
      <c r="A1" s="1"/>
      <c r="B1" s="1"/>
      <c r="C1" s="2"/>
      <c r="D1" s="3"/>
      <c r="E1" s="3"/>
      <c r="F1" s="3"/>
    </row>
    <row r="2" spans="1:6" s="4" customFormat="1">
      <c r="A2" s="25" t="s">
        <v>0</v>
      </c>
      <c r="B2" s="26"/>
      <c r="C2" s="26"/>
      <c r="D2" s="26"/>
      <c r="E2" s="26"/>
      <c r="F2" s="27"/>
    </row>
    <row r="3" spans="1:6" s="4" customFormat="1">
      <c r="A3" s="3"/>
      <c r="B3" s="3"/>
      <c r="C3" s="5"/>
      <c r="D3" s="5"/>
      <c r="E3" s="5" t="s">
        <v>1</v>
      </c>
      <c r="F3" s="5"/>
    </row>
    <row r="5" spans="1:6" ht="14.25" customHeight="1">
      <c r="A5" s="28" t="s">
        <v>2</v>
      </c>
      <c r="B5" s="31" t="s">
        <v>3</v>
      </c>
      <c r="C5" s="34" t="s">
        <v>4</v>
      </c>
      <c r="D5" s="34"/>
      <c r="E5" s="34"/>
      <c r="F5" s="34"/>
    </row>
    <row r="6" spans="1:6" ht="14.25" customHeight="1">
      <c r="A6" s="29"/>
      <c r="B6" s="32"/>
      <c r="C6" s="6" t="s">
        <v>5</v>
      </c>
      <c r="D6" s="6" t="s">
        <v>6</v>
      </c>
      <c r="E6" s="6" t="s">
        <v>7</v>
      </c>
      <c r="F6" s="6" t="s">
        <v>8</v>
      </c>
    </row>
    <row r="7" spans="1:6" ht="14.25" customHeight="1">
      <c r="A7" s="30"/>
      <c r="B7" s="33"/>
      <c r="C7" s="7" t="s">
        <v>9</v>
      </c>
      <c r="D7" s="7" t="s">
        <v>10</v>
      </c>
      <c r="E7" s="7" t="s">
        <v>11</v>
      </c>
      <c r="F7" s="7" t="s">
        <v>12</v>
      </c>
    </row>
    <row r="8" spans="1:6" ht="27">
      <c r="A8" s="8" t="s">
        <v>13</v>
      </c>
      <c r="B8" s="9" t="s">
        <v>14</v>
      </c>
      <c r="C8" s="10">
        <f>+C9+C10</f>
        <v>31923.9</v>
      </c>
      <c r="D8" s="10">
        <f>+D9+D10</f>
        <v>32840.199999999997</v>
      </c>
      <c r="E8" s="10">
        <f>+E9+E10</f>
        <v>34516.199999999997</v>
      </c>
      <c r="F8" s="10">
        <f>+F9+F10</f>
        <v>33892.800000000003</v>
      </c>
    </row>
    <row r="9" spans="1:6" ht="24">
      <c r="A9" s="11" t="s">
        <v>15</v>
      </c>
      <c r="B9" s="12" t="s">
        <v>16</v>
      </c>
      <c r="C9" s="13">
        <f>+C12+C16+C22+C27</f>
        <v>30147</v>
      </c>
      <c r="D9" s="13">
        <f>+D12+D16+D22+D27</f>
        <v>30605.199999999997</v>
      </c>
      <c r="E9" s="13">
        <f>+E12+E16+E22+E27</f>
        <v>31690.299999999996</v>
      </c>
      <c r="F9" s="13">
        <f>+F12+F16+F22+F27</f>
        <v>31373.5</v>
      </c>
    </row>
    <row r="10" spans="1:6" ht="24">
      <c r="A10" s="11" t="s">
        <v>17</v>
      </c>
      <c r="B10" s="12" t="s">
        <v>18</v>
      </c>
      <c r="C10" s="13">
        <f>+C20+C23+C28</f>
        <v>1776.9</v>
      </c>
      <c r="D10" s="13">
        <f>+D20+D23+D28</f>
        <v>2235</v>
      </c>
      <c r="E10" s="13">
        <f>+E20+E23+E28</f>
        <v>2825.9</v>
      </c>
      <c r="F10" s="13">
        <f>+F20+F23+F28</f>
        <v>2519.3000000000002</v>
      </c>
    </row>
    <row r="11" spans="1:6" ht="27">
      <c r="A11" s="14" t="s">
        <v>19</v>
      </c>
      <c r="B11" s="15" t="s">
        <v>20</v>
      </c>
      <c r="C11" s="16">
        <f>+C12</f>
        <v>20873.600000000002</v>
      </c>
      <c r="D11" s="16">
        <f>+D12</f>
        <v>21251.1</v>
      </c>
      <c r="E11" s="16">
        <f>+E12</f>
        <v>21834.1</v>
      </c>
      <c r="F11" s="16">
        <f>+F12</f>
        <v>21641.1</v>
      </c>
    </row>
    <row r="12" spans="1:6" ht="24">
      <c r="A12" s="17" t="s">
        <v>15</v>
      </c>
      <c r="B12" s="18" t="s">
        <v>16</v>
      </c>
      <c r="C12" s="19">
        <f>C13+C14</f>
        <v>20873.600000000002</v>
      </c>
      <c r="D12" s="19">
        <f>D13+D14</f>
        <v>21251.1</v>
      </c>
      <c r="E12" s="19">
        <v>21834.1</v>
      </c>
      <c r="F12" s="19">
        <v>21641.1</v>
      </c>
    </row>
    <row r="13" spans="1:6" ht="24">
      <c r="A13" s="20" t="s">
        <v>21</v>
      </c>
      <c r="B13" s="18" t="s">
        <v>22</v>
      </c>
      <c r="C13" s="19">
        <v>2633.2</v>
      </c>
      <c r="D13" s="19">
        <v>2646</v>
      </c>
      <c r="E13" s="19">
        <v>2642.7</v>
      </c>
      <c r="F13" s="19">
        <v>2651.8</v>
      </c>
    </row>
    <row r="14" spans="1:6" ht="24">
      <c r="A14" s="20" t="s">
        <v>23</v>
      </c>
      <c r="B14" s="18" t="s">
        <v>24</v>
      </c>
      <c r="C14" s="19">
        <v>18240.400000000001</v>
      </c>
      <c r="D14" s="19">
        <v>18605.099999999999</v>
      </c>
      <c r="E14" s="19">
        <v>19191.400000000001</v>
      </c>
      <c r="F14" s="19">
        <v>18989.3</v>
      </c>
    </row>
    <row r="15" spans="1:6" ht="27">
      <c r="A15" s="14" t="s">
        <v>25</v>
      </c>
      <c r="B15" s="15" t="s">
        <v>26</v>
      </c>
      <c r="C15" s="16">
        <f>+C16+C20</f>
        <v>324.7</v>
      </c>
      <c r="D15" s="16">
        <f>+D16+D20</f>
        <v>310.60000000000002</v>
      </c>
      <c r="E15" s="16">
        <f>+E16+E20</f>
        <v>303</v>
      </c>
      <c r="F15" s="16">
        <f>+F16+F20</f>
        <v>290</v>
      </c>
    </row>
    <row r="16" spans="1:6" ht="24">
      <c r="A16" s="17" t="s">
        <v>27</v>
      </c>
      <c r="B16" s="21" t="s">
        <v>28</v>
      </c>
      <c r="C16" s="19">
        <f>C17+C18</f>
        <v>324.7</v>
      </c>
      <c r="D16" s="19">
        <f>D17+D18</f>
        <v>310.60000000000002</v>
      </c>
      <c r="E16" s="19">
        <v>303</v>
      </c>
      <c r="F16" s="19">
        <v>290</v>
      </c>
    </row>
    <row r="17" spans="1:6" ht="24">
      <c r="A17" s="17" t="s">
        <v>29</v>
      </c>
      <c r="B17" s="21" t="s">
        <v>24</v>
      </c>
      <c r="C17" s="19">
        <v>324.7</v>
      </c>
      <c r="D17" s="19">
        <v>310.60000000000002</v>
      </c>
      <c r="E17" s="19">
        <v>303</v>
      </c>
      <c r="F17" s="19">
        <v>290</v>
      </c>
    </row>
    <row r="18" spans="1:6" ht="24">
      <c r="A18" s="17" t="s">
        <v>30</v>
      </c>
      <c r="B18" s="21" t="s">
        <v>31</v>
      </c>
      <c r="C18" s="19">
        <v>0</v>
      </c>
      <c r="D18" s="19">
        <v>0</v>
      </c>
      <c r="E18" s="19">
        <v>0</v>
      </c>
      <c r="F18" s="19">
        <v>0</v>
      </c>
    </row>
    <row r="19" spans="1:6" ht="24">
      <c r="A19" s="17" t="s">
        <v>32</v>
      </c>
      <c r="B19" s="21" t="s">
        <v>33</v>
      </c>
      <c r="C19" s="19">
        <v>0</v>
      </c>
      <c r="D19" s="19">
        <v>0</v>
      </c>
      <c r="E19" s="19">
        <v>0</v>
      </c>
      <c r="F19" s="19">
        <v>0</v>
      </c>
    </row>
    <row r="20" spans="1:6" ht="24">
      <c r="A20" s="17" t="s">
        <v>34</v>
      </c>
      <c r="B20" s="21" t="s">
        <v>35</v>
      </c>
      <c r="C20" s="19">
        <v>0</v>
      </c>
      <c r="D20" s="19">
        <v>0</v>
      </c>
      <c r="E20" s="19">
        <v>0</v>
      </c>
      <c r="F20" s="19">
        <v>0</v>
      </c>
    </row>
    <row r="21" spans="1:6" ht="27">
      <c r="A21" s="14" t="s">
        <v>36</v>
      </c>
      <c r="B21" s="15" t="s">
        <v>37</v>
      </c>
      <c r="C21" s="16">
        <f>+C22+C23</f>
        <v>2146.8000000000002</v>
      </c>
      <c r="D21" s="16">
        <f>+D22+D23</f>
        <v>2588.3000000000002</v>
      </c>
      <c r="E21" s="16">
        <f>+E22+E23</f>
        <v>3002.7</v>
      </c>
      <c r="F21" s="16">
        <f>+F22+F23</f>
        <v>2541.8000000000002</v>
      </c>
    </row>
    <row r="22" spans="1:6" ht="24">
      <c r="A22" s="17" t="s">
        <v>38</v>
      </c>
      <c r="B22" s="21" t="s">
        <v>39</v>
      </c>
      <c r="C22" s="19">
        <v>1399.8</v>
      </c>
      <c r="D22" s="19">
        <v>1358.4</v>
      </c>
      <c r="E22" s="19">
        <v>1388.8</v>
      </c>
      <c r="F22" s="19">
        <v>1361.7</v>
      </c>
    </row>
    <row r="23" spans="1:6" ht="24">
      <c r="A23" s="17" t="s">
        <v>40</v>
      </c>
      <c r="B23" s="21" t="s">
        <v>41</v>
      </c>
      <c r="C23" s="19">
        <v>747</v>
      </c>
      <c r="D23" s="19">
        <v>1229.9000000000001</v>
      </c>
      <c r="E23" s="19">
        <v>1613.9</v>
      </c>
      <c r="F23" s="19">
        <v>1180.0999999999999</v>
      </c>
    </row>
    <row r="24" spans="1:6" ht="24">
      <c r="A24" s="17" t="s">
        <v>29</v>
      </c>
      <c r="B24" s="21" t="s">
        <v>24</v>
      </c>
      <c r="C24" s="19">
        <v>30</v>
      </c>
      <c r="D24" s="19">
        <v>30</v>
      </c>
      <c r="E24" s="19">
        <v>45.5</v>
      </c>
      <c r="F24" s="19">
        <v>36.5</v>
      </c>
    </row>
    <row r="25" spans="1:6" ht="24">
      <c r="A25" s="17" t="s">
        <v>30</v>
      </c>
      <c r="B25" s="21" t="s">
        <v>42</v>
      </c>
      <c r="C25" s="19">
        <v>636.6</v>
      </c>
      <c r="D25" s="19">
        <v>1008.5</v>
      </c>
      <c r="E25" s="19">
        <v>883.6</v>
      </c>
      <c r="F25" s="19">
        <v>1048.3</v>
      </c>
    </row>
    <row r="26" spans="1:6" ht="27">
      <c r="A26" s="14" t="s">
        <v>43</v>
      </c>
      <c r="B26" s="15" t="s">
        <v>44</v>
      </c>
      <c r="C26" s="16">
        <f>+C27+C28</f>
        <v>8578.7999999999993</v>
      </c>
      <c r="D26" s="16">
        <f>+D27+D28</f>
        <v>8690.2000000000007</v>
      </c>
      <c r="E26" s="16">
        <f>+E27+E28</f>
        <v>9376.4</v>
      </c>
      <c r="F26" s="16">
        <f>+F27+F28</f>
        <v>9419.9</v>
      </c>
    </row>
    <row r="27" spans="1:6" ht="24">
      <c r="A27" s="17" t="s">
        <v>38</v>
      </c>
      <c r="B27" s="21" t="s">
        <v>39</v>
      </c>
      <c r="C27" s="19">
        <v>7548.9</v>
      </c>
      <c r="D27" s="19">
        <v>7685.1</v>
      </c>
      <c r="E27" s="19">
        <v>8164.4</v>
      </c>
      <c r="F27" s="19">
        <v>8080.7</v>
      </c>
    </row>
    <row r="28" spans="1:6" ht="24">
      <c r="A28" s="22" t="s">
        <v>45</v>
      </c>
      <c r="B28" s="23" t="s">
        <v>46</v>
      </c>
      <c r="C28" s="24">
        <v>1029.9000000000001</v>
      </c>
      <c r="D28" s="24">
        <v>1005.1</v>
      </c>
      <c r="E28" s="24">
        <v>1212</v>
      </c>
      <c r="F28" s="24">
        <v>1339.2</v>
      </c>
    </row>
  </sheetData>
  <mergeCells count="4">
    <mergeCell ref="A2:F2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7NQWTN4WQ7WA-971242747-951</_dlc_DocId>
    <_dlc_DocIdUrl xmlns="806035d9-ad3b-44db-92a1-1ed4b9daec3e">
      <Url>https://admin.cbe.org.eg/_layouts/15/DocIdRedir.aspx?ID=7NQWTN4WQ7WA-971242747-951</Url>
      <Description>7NQWTN4WQ7WA-971242747-951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35EF7E6-BCAE-4FF4-ACE9-51E336785F95}"/>
</file>

<file path=customXml/itemProps2.xml><?xml version="1.0" encoding="utf-8"?>
<ds:datastoreItem xmlns:ds="http://schemas.openxmlformats.org/officeDocument/2006/customXml" ds:itemID="{AE3BD842-2A07-4A24-A9B8-26EB7003DFA0}"/>
</file>

<file path=customXml/itemProps3.xml><?xml version="1.0" encoding="utf-8"?>
<ds:datastoreItem xmlns:ds="http://schemas.openxmlformats.org/officeDocument/2006/customXml" ds:itemID="{150985CC-213A-40AC-8BF0-31F8B5F81288}"/>
</file>

<file path=customXml/itemProps4.xml><?xml version="1.0" encoding="utf-8"?>
<ds:datastoreItem xmlns:ds="http://schemas.openxmlformats.org/officeDocument/2006/customXml" ds:itemID="{54C89F81-AB5E-418B-B603-73E1C245A1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_Debt _by _Debtor 2007-2008</dc:title>
  <dc:subject/>
  <dc:creator>Sara Mohsen</dc:creator>
  <cp:keywords/>
  <dc:description/>
  <cp:lastModifiedBy>Sara Mohsen</cp:lastModifiedBy>
  <cp:revision/>
  <dcterms:created xsi:type="dcterms:W3CDTF">2016-01-04T11:14:22Z</dcterms:created>
  <dcterms:modified xsi:type="dcterms:W3CDTF">2022-09-28T10:41:50Z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dc88f15b-afee-441a-bb2b-29297fb54d01</vt:lpwstr>
  </property>
</Properties>
</file>