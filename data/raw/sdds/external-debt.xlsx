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H:\الدين الخارجى\الدين الخارجى new 2015\18- للنشر على الموقع سلسلة  الدين والاستثمار دول+سلسة حديثة\45- السلاسل الزمنية المنشورة بيانات مارس 2026\SDDS March. 2026\"/>
    </mc:Choice>
  </mc:AlternateContent>
  <xr:revisionPtr revIDLastSave="0" documentId="13_ncr:1_{856FF64F-15EC-4B32-A9F5-785CBEAAB683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heet1" sheetId="1" r:id="rId1"/>
  </sheets>
  <definedNames>
    <definedName name="_xlnm.Print_Area" localSheetId="0">Sheet1!$A$1:$AJ$39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V22" i="1" l="1"/>
  <c r="H22" i="1" l="1"/>
</calcChain>
</file>

<file path=xl/sharedStrings.xml><?xml version="1.0" encoding="utf-8"?>
<sst xmlns="http://schemas.openxmlformats.org/spreadsheetml/2006/main" count="79" uniqueCount="45">
  <si>
    <t>         Loans</t>
  </si>
  <si>
    <t>         Currency and deposits</t>
  </si>
  <si>
    <r>
      <t>3 - Banks</t>
    </r>
    <r>
      <rPr>
        <b/>
        <sz val="14"/>
        <rFont val="Arial"/>
        <family val="2"/>
      </rPr>
      <t xml:space="preserve"> </t>
    </r>
  </si>
  <si>
    <t>          Loans</t>
  </si>
  <si>
    <t>          Currency and deposits</t>
  </si>
  <si>
    <t>          Other liabilities</t>
  </si>
  <si>
    <t xml:space="preserve">              Central Bank of Egypt</t>
  </si>
  <si>
    <r>
      <t>External Debt</t>
    </r>
    <r>
      <rPr>
        <b/>
        <sz val="16"/>
        <rFont val="Arial"/>
        <family val="2"/>
      </rPr>
      <t xml:space="preserve"> </t>
    </r>
  </si>
  <si>
    <r>
      <t>End of</t>
    </r>
    <r>
      <rPr>
        <b/>
        <sz val="14"/>
        <rFont val="Arial"/>
        <family val="2"/>
      </rPr>
      <t xml:space="preserve"> </t>
    </r>
  </si>
  <si>
    <t>Q2</t>
  </si>
  <si>
    <t>Q3</t>
  </si>
  <si>
    <t>Q4</t>
  </si>
  <si>
    <t>Q1</t>
  </si>
  <si>
    <r>
      <t>External Debt, Total</t>
    </r>
    <r>
      <rPr>
        <b/>
        <sz val="14"/>
        <rFont val="Arial"/>
        <family val="2"/>
      </rPr>
      <t xml:space="preserve"> </t>
    </r>
  </si>
  <si>
    <r>
      <t>4 - Other Sectors</t>
    </r>
    <r>
      <rPr>
        <b/>
        <sz val="14"/>
        <rFont val="Arial"/>
        <family val="2"/>
      </rPr>
      <t xml:space="preserve"> </t>
    </r>
  </si>
  <si>
    <t>           Loans</t>
  </si>
  <si>
    <t>Source: Central Bank of Egypt .</t>
  </si>
  <si>
    <t>+ Provisional</t>
  </si>
  <si>
    <r>
      <t>Total Long-term Debt</t>
    </r>
    <r>
      <rPr>
        <b/>
        <sz val="14"/>
        <rFont val="Arial"/>
        <family val="2"/>
      </rPr>
      <t xml:space="preserve"> </t>
    </r>
  </si>
  <si>
    <r>
      <t>Total Short- term Debt</t>
    </r>
    <r>
      <rPr>
        <b/>
        <sz val="14"/>
        <rFont val="Arial"/>
        <family val="2"/>
      </rPr>
      <t xml:space="preserve"> </t>
    </r>
  </si>
  <si>
    <r>
      <t>1/1 - Long-term Debt</t>
    </r>
    <r>
      <rPr>
        <b/>
        <sz val="14"/>
        <rFont val="Arial"/>
        <family val="2"/>
      </rPr>
      <t xml:space="preserve"> </t>
    </r>
  </si>
  <si>
    <r>
      <t>1/2 - Short-term Debt</t>
    </r>
    <r>
      <rPr>
        <b/>
        <sz val="14"/>
        <rFont val="Arial"/>
        <family val="2"/>
      </rPr>
      <t xml:space="preserve"> </t>
    </r>
  </si>
  <si>
    <r>
      <t>2/1 -  Long-term Debt</t>
    </r>
    <r>
      <rPr>
        <b/>
        <sz val="14"/>
        <rFont val="Arial"/>
        <family val="2"/>
      </rPr>
      <t xml:space="preserve"> </t>
    </r>
  </si>
  <si>
    <r>
      <t>2/2 - Short-term Debt</t>
    </r>
    <r>
      <rPr>
        <b/>
        <sz val="14"/>
        <rFont val="Arial"/>
        <family val="2"/>
      </rPr>
      <t xml:space="preserve"> </t>
    </r>
  </si>
  <si>
    <r>
      <t>3/1 -  Long-term Debt</t>
    </r>
    <r>
      <rPr>
        <b/>
        <sz val="14"/>
        <rFont val="Arial"/>
        <family val="2"/>
      </rPr>
      <t xml:space="preserve"> </t>
    </r>
  </si>
  <si>
    <r>
      <t>3/2 - Short-term Debt</t>
    </r>
    <r>
      <rPr>
        <b/>
        <sz val="14"/>
        <rFont val="Arial"/>
        <family val="2"/>
      </rPr>
      <t xml:space="preserve"> </t>
    </r>
  </si>
  <si>
    <r>
      <t>4/1 -  Long-term Debt</t>
    </r>
    <r>
      <rPr>
        <b/>
        <sz val="14"/>
        <rFont val="Arial"/>
        <family val="2"/>
      </rPr>
      <t xml:space="preserve"> </t>
    </r>
  </si>
  <si>
    <r>
      <t>4/2 - Short-term Debt</t>
    </r>
    <r>
      <rPr>
        <b/>
        <sz val="14"/>
        <rFont val="Arial"/>
        <family val="2"/>
      </rPr>
      <t xml:space="preserve"> </t>
    </r>
  </si>
  <si>
    <t>        Loans</t>
  </si>
  <si>
    <t>        Trade credit &amp; Advances</t>
  </si>
  <si>
    <t>2017/2018</t>
  </si>
  <si>
    <t>2018/2019</t>
  </si>
  <si>
    <t>2019/2020</t>
  </si>
  <si>
    <t>(US$ mn)</t>
  </si>
  <si>
    <t>2020/2021</t>
  </si>
  <si>
    <t xml:space="preserve">         Debt Securities</t>
  </si>
  <si>
    <t>2021/2022</t>
  </si>
  <si>
    <t>2022/2023</t>
  </si>
  <si>
    <t xml:space="preserve">        Special Drawing Rights</t>
  </si>
  <si>
    <r>
      <t>1 - Government</t>
    </r>
    <r>
      <rPr>
        <b/>
        <sz val="14"/>
        <rFont val="Arial"/>
        <family val="2"/>
      </rPr>
      <t xml:space="preserve"> </t>
    </r>
  </si>
  <si>
    <t>2 - Central Bank</t>
  </si>
  <si>
    <t>          Special Drawing Rights</t>
  </si>
  <si>
    <t>2023/2024</t>
  </si>
  <si>
    <t>2024/2025</t>
  </si>
  <si>
    <r>
      <t>2025/2026</t>
    </r>
    <r>
      <rPr>
        <b/>
        <vertAlign val="superscript"/>
        <sz val="14"/>
        <rFont val="Times New Roman"/>
        <family val="1"/>
      </rPr>
      <t>+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</si>
</sst>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-* #,##0.00\ _ج_._م_._‏_-;\-* #,##0.00\ _ج_._م_._‏_-;_-* &quot;-&quot;??\ _ج_._م_._‏_-;_-@_-"/>
    <numFmt numFmtId="165" formatCode="_(&quot;$&quot;* #,##0_);_(&quot;$&quot;* \(#,##0\);_(&quot;$&quot;* &quot;-&quot;_);_(@_)"/>
    <numFmt numFmtId="166" formatCode="_(* #,##0_);_(* \(#,##0\);_(* &quot;-&quot;_);_(@_)"/>
    <numFmt numFmtId="167" formatCode="_(&quot;$&quot;* #,##0.00_);_(&quot;$&quot;* \(#,##0.00\);_(&quot;$&quot;* &quot;-&quot;??_);_(@_)"/>
    <numFmt numFmtId="168" formatCode="_(* #,##0.00_);_(* \(#,##0.00\);_(* &quot;-&quot;??_);_(@_)"/>
    <numFmt numFmtId="169" formatCode="_-* #,##0.00_-;_-* #,##0.00\-;_-* &quot;-&quot;??_-;_-@_-"/>
    <numFmt numFmtId="170" formatCode="0.0"/>
    <numFmt numFmtId="171" formatCode="_-[$€]* #,##0.00_-;\-[$€]* #,##0.00_-;_-[$€]* &quot;-&quot;??_-;_-@_-"/>
  </numFmts>
  <fonts count="69">
    <font>
      <sz val="10"/>
      <name val="Arial"/>
      <charset val="178"/>
    </font>
    <font>
      <sz val="11"/>
      <color theme="1"/>
      <name val="Arial"/>
      <family val="2"/>
      <charset val="178"/>
      <scheme val="minor"/>
    </font>
    <font>
      <sz val="10"/>
      <name val="Arial"/>
      <family val="2"/>
    </font>
    <font>
      <b/>
      <sz val="14"/>
      <name val="Times New Roman"/>
      <family val="1"/>
    </font>
    <font>
      <b/>
      <sz val="14"/>
      <name val="Arial"/>
      <family val="2"/>
    </font>
    <font>
      <sz val="10"/>
      <name val="Arial"/>
      <family val="2"/>
    </font>
    <font>
      <sz val="14"/>
      <name val="Times New Roman"/>
      <family val="1"/>
    </font>
    <font>
      <sz val="12"/>
      <name val="Arial"/>
      <family val="2"/>
    </font>
    <font>
      <sz val="14"/>
      <name val="Arial"/>
      <family val="2"/>
    </font>
    <font>
      <b/>
      <sz val="16"/>
      <name val="Times New Roman"/>
      <family val="1"/>
    </font>
    <font>
      <b/>
      <sz val="16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0"/>
      <name val="Arabic Transparent"/>
      <charset val="178"/>
    </font>
    <font>
      <sz val="10"/>
      <color indexed="8"/>
      <name val="Arial"/>
      <family val="2"/>
    </font>
    <font>
      <sz val="11"/>
      <color theme="1"/>
      <name val="Arial"/>
      <family val="2"/>
      <scheme val="minor"/>
    </font>
    <font>
      <sz val="10"/>
      <name val="Times New Roman"/>
      <family val="1"/>
    </font>
    <font>
      <sz val="11"/>
      <color indexed="8"/>
      <name val="Calibri"/>
      <family val="2"/>
      <charset val="178"/>
    </font>
    <font>
      <sz val="11"/>
      <color indexed="9"/>
      <name val="Calibri"/>
      <family val="2"/>
      <charset val="178"/>
    </font>
    <font>
      <sz val="11"/>
      <color indexed="20"/>
      <name val="Calibri"/>
      <family val="2"/>
      <charset val="178"/>
    </font>
    <font>
      <b/>
      <sz val="11"/>
      <color indexed="52"/>
      <name val="Calibri"/>
      <family val="2"/>
      <charset val="178"/>
    </font>
    <font>
      <b/>
      <sz val="11"/>
      <color indexed="9"/>
      <name val="Calibri"/>
      <family val="2"/>
      <charset val="178"/>
    </font>
    <font>
      <i/>
      <sz val="11"/>
      <color indexed="23"/>
      <name val="Calibri"/>
      <family val="2"/>
      <charset val="178"/>
    </font>
    <font>
      <sz val="11"/>
      <color indexed="17"/>
      <name val="Calibri"/>
      <family val="2"/>
      <charset val="178"/>
    </font>
    <font>
      <b/>
      <sz val="15"/>
      <color indexed="56"/>
      <name val="Calibri"/>
      <family val="2"/>
      <charset val="178"/>
    </font>
    <font>
      <b/>
      <sz val="13"/>
      <color indexed="56"/>
      <name val="Calibri"/>
      <family val="2"/>
      <charset val="178"/>
    </font>
    <font>
      <b/>
      <sz val="11"/>
      <color indexed="56"/>
      <name val="Calibri"/>
      <family val="2"/>
      <charset val="178"/>
    </font>
    <font>
      <sz val="11"/>
      <color indexed="62"/>
      <name val="Calibri"/>
      <family val="2"/>
      <charset val="178"/>
    </font>
    <font>
      <sz val="11"/>
      <color indexed="52"/>
      <name val="Calibri"/>
      <family val="2"/>
      <charset val="178"/>
    </font>
    <font>
      <sz val="11"/>
      <color indexed="60"/>
      <name val="Calibri"/>
      <family val="2"/>
      <charset val="178"/>
    </font>
    <font>
      <b/>
      <sz val="11"/>
      <color indexed="63"/>
      <name val="Calibri"/>
      <family val="2"/>
      <charset val="178"/>
    </font>
    <font>
      <b/>
      <sz val="18"/>
      <color indexed="56"/>
      <name val="Cambria"/>
      <family val="2"/>
      <charset val="178"/>
    </font>
    <font>
      <b/>
      <sz val="11"/>
      <color indexed="8"/>
      <name val="Calibri"/>
      <family val="2"/>
      <charset val="178"/>
    </font>
    <font>
      <sz val="11"/>
      <color indexed="10"/>
      <name val="Calibri"/>
      <family val="2"/>
      <charset val="178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color indexed="8"/>
      <name val="Arial"/>
      <family val="2"/>
    </font>
    <font>
      <sz val="11"/>
      <color theme="0"/>
      <name val="Arial"/>
      <family val="2"/>
      <scheme val="minor"/>
    </font>
    <font>
      <sz val="11"/>
      <color rgb="FF9C0006"/>
      <name val="Arial"/>
      <family val="2"/>
      <scheme val="minor"/>
    </font>
    <font>
      <b/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i/>
      <sz val="11"/>
      <color rgb="FF7F7F7F"/>
      <name val="Arial"/>
      <family val="2"/>
      <scheme val="minor"/>
    </font>
    <font>
      <sz val="11"/>
      <color rgb="FF006100"/>
      <name val="Arial"/>
      <family val="2"/>
      <scheme val="minor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3F3F76"/>
      <name val="Arial"/>
      <family val="2"/>
      <scheme val="minor"/>
    </font>
    <font>
      <sz val="11"/>
      <color rgb="FFFA7D00"/>
      <name val="Arial"/>
      <family val="2"/>
      <scheme val="minor"/>
    </font>
    <font>
      <sz val="11"/>
      <color rgb="FF9C6500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8"/>
      <color theme="3"/>
      <name val="Times New Roman"/>
      <family val="2"/>
      <scheme val="major"/>
    </font>
    <font>
      <b/>
      <sz val="11"/>
      <color theme="1"/>
      <name val="Arial"/>
      <family val="2"/>
      <scheme val="minor"/>
    </font>
    <font>
      <sz val="11"/>
      <color rgb="FFFF0000"/>
      <name val="Arial"/>
      <family val="2"/>
      <scheme val="minor"/>
    </font>
    <font>
      <b/>
      <vertAlign val="superscript"/>
      <sz val="14"/>
      <name val="Times New Roman"/>
      <family val="1"/>
    </font>
  </fonts>
  <fills count="5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FF"/>
        <bgColor indexed="64"/>
      </patternFill>
    </fill>
  </fills>
  <borders count="37">
    <border>
      <left/>
      <right/>
      <top/>
      <bottom/>
      <diagonal/>
    </border>
    <border>
      <left style="double">
        <color indexed="9"/>
      </left>
      <right style="double">
        <color indexed="9"/>
      </right>
      <top style="double">
        <color indexed="22"/>
      </top>
      <bottom style="double">
        <color indexed="22"/>
      </bottom>
      <diagonal/>
    </border>
    <border>
      <left style="double">
        <color indexed="9"/>
      </left>
      <right style="double">
        <color indexed="9"/>
      </right>
      <top style="double">
        <color indexed="9"/>
      </top>
      <bottom style="double">
        <color indexed="9"/>
      </bottom>
      <diagonal/>
    </border>
    <border>
      <left style="double">
        <color indexed="22"/>
      </left>
      <right style="double">
        <color indexed="22"/>
      </right>
      <top/>
      <bottom style="double">
        <color indexed="22"/>
      </bottom>
      <diagonal/>
    </border>
    <border>
      <left style="double">
        <color indexed="9"/>
      </left>
      <right/>
      <top style="double">
        <color indexed="9"/>
      </top>
      <bottom style="double">
        <color indexed="9"/>
      </bottom>
      <diagonal/>
    </border>
    <border>
      <left style="double">
        <color indexed="9"/>
      </left>
      <right/>
      <top/>
      <bottom style="double">
        <color indexed="9"/>
      </bottom>
      <diagonal/>
    </border>
    <border>
      <left/>
      <right/>
      <top/>
      <bottom style="double">
        <color indexed="9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theme="0" tint="-0.14996795556505021"/>
      </left>
      <right style="double">
        <color indexed="9"/>
      </right>
      <top style="double">
        <color indexed="9"/>
      </top>
      <bottom/>
      <diagonal/>
    </border>
    <border>
      <left style="double">
        <color theme="0" tint="-0.14996795556505021"/>
      </left>
      <right style="double">
        <color indexed="9"/>
      </right>
      <top/>
      <bottom style="double">
        <color indexed="9"/>
      </bottom>
      <diagonal/>
    </border>
    <border>
      <left style="double">
        <color theme="0" tint="-0.14996795556505021"/>
      </left>
      <right style="double">
        <color indexed="22"/>
      </right>
      <top/>
      <bottom style="double">
        <color indexed="22"/>
      </bottom>
      <diagonal/>
    </border>
    <border>
      <left style="double">
        <color theme="0" tint="-0.14996795556505021"/>
      </left>
      <right style="double">
        <color indexed="9"/>
      </right>
      <top style="double">
        <color indexed="22"/>
      </top>
      <bottom style="double">
        <color indexed="22"/>
      </bottom>
      <diagonal/>
    </border>
    <border>
      <left style="double">
        <color theme="0" tint="-0.14996795556505021"/>
      </left>
      <right style="double">
        <color indexed="22"/>
      </right>
      <top style="double">
        <color indexed="22"/>
      </top>
      <bottom style="double">
        <color indexed="22"/>
      </bottom>
      <diagonal/>
    </border>
    <border>
      <left style="double">
        <color indexed="9"/>
      </left>
      <right style="double">
        <color indexed="22"/>
      </right>
      <top style="double">
        <color indexed="22"/>
      </top>
      <bottom style="double">
        <color indexed="22"/>
      </bottom>
      <diagonal/>
    </border>
    <border>
      <left/>
      <right style="double">
        <color theme="0"/>
      </right>
      <top/>
      <bottom style="double">
        <color indexed="9"/>
      </bottom>
      <diagonal/>
    </border>
    <border>
      <left/>
      <right style="double">
        <color indexed="9"/>
      </right>
      <top style="double">
        <color indexed="9"/>
      </top>
      <bottom style="double">
        <color indexed="9"/>
      </bottom>
      <diagonal/>
    </border>
    <border>
      <left style="double">
        <color theme="0" tint="-4.9989318521683403E-2"/>
      </left>
      <right style="double">
        <color theme="0" tint="-4.9989318521683403E-2"/>
      </right>
      <top style="double">
        <color indexed="9"/>
      </top>
      <bottom style="double">
        <color indexed="9"/>
      </bottom>
      <diagonal/>
    </border>
    <border>
      <left style="double">
        <color theme="0"/>
      </left>
      <right/>
      <top/>
      <bottom style="double">
        <color indexed="9"/>
      </bottom>
      <diagonal/>
    </border>
    <border>
      <left style="double">
        <color theme="0" tint="-0.14996795556505021"/>
      </left>
      <right style="double">
        <color indexed="22"/>
      </right>
      <top style="double">
        <color indexed="22"/>
      </top>
      <bottom/>
      <diagonal/>
    </border>
    <border>
      <left style="double">
        <color indexed="22"/>
      </left>
      <right style="double">
        <color indexed="22"/>
      </right>
      <top/>
      <bottom/>
      <diagonal/>
    </border>
  </borders>
  <cellStyleXfs count="225">
    <xf numFmtId="0" fontId="0" fillId="0" borderId="0"/>
    <xf numFmtId="0" fontId="14" fillId="0" borderId="0">
      <alignment vertical="top"/>
    </xf>
    <xf numFmtId="0" fontId="12" fillId="0" borderId="0"/>
    <xf numFmtId="166" fontId="12" fillId="0" borderId="0" applyFont="0" applyFill="0" applyBorder="0" applyAlignment="0" applyProtection="0"/>
    <xf numFmtId="171" fontId="12" fillId="0" borderId="0" applyFont="0" applyFill="0" applyBorder="0" applyAlignment="0" applyProtection="0"/>
    <xf numFmtId="0" fontId="13" fillId="0" borderId="0" applyNumberFormat="0">
      <alignment horizontal="right"/>
    </xf>
    <xf numFmtId="0" fontId="5" fillId="0" borderId="0"/>
    <xf numFmtId="0" fontId="2" fillId="0" borderId="0"/>
    <xf numFmtId="9" fontId="12" fillId="0" borderId="0" applyFont="0" applyFill="0" applyBorder="0" applyAlignment="0" applyProtection="0"/>
    <xf numFmtId="0" fontId="14" fillId="0" borderId="0">
      <alignment vertical="top"/>
    </xf>
    <xf numFmtId="0" fontId="7" fillId="0" borderId="0"/>
    <xf numFmtId="165" fontId="7" fillId="0" borderId="0" applyFont="0" applyFill="0" applyBorder="0" applyAlignment="0" applyProtection="0"/>
    <xf numFmtId="167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171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0" fontId="2" fillId="0" borderId="0"/>
    <xf numFmtId="0" fontId="15" fillId="0" borderId="0"/>
    <xf numFmtId="0" fontId="17" fillId="34" borderId="0" applyNumberFormat="0" applyBorder="0" applyAlignment="0" applyProtection="0"/>
    <xf numFmtId="0" fontId="17" fillId="35" borderId="0" applyNumberFormat="0" applyBorder="0" applyAlignment="0" applyProtection="0"/>
    <xf numFmtId="0" fontId="17" fillId="36" borderId="0" applyNumberFormat="0" applyBorder="0" applyAlignment="0" applyProtection="0"/>
    <xf numFmtId="0" fontId="17" fillId="37" borderId="0" applyNumberFormat="0" applyBorder="0" applyAlignment="0" applyProtection="0"/>
    <xf numFmtId="0" fontId="17" fillId="38" borderId="0" applyNumberFormat="0" applyBorder="0" applyAlignment="0" applyProtection="0"/>
    <xf numFmtId="0" fontId="17" fillId="39" borderId="0" applyNumberFormat="0" applyBorder="0" applyAlignment="0" applyProtection="0"/>
    <xf numFmtId="0" fontId="17" fillId="40" borderId="0" applyNumberFormat="0" applyBorder="0" applyAlignment="0" applyProtection="0"/>
    <xf numFmtId="0" fontId="17" fillId="41" borderId="0" applyNumberFormat="0" applyBorder="0" applyAlignment="0" applyProtection="0"/>
    <xf numFmtId="0" fontId="17" fillId="42" borderId="0" applyNumberFormat="0" applyBorder="0" applyAlignment="0" applyProtection="0"/>
    <xf numFmtId="0" fontId="17" fillId="37" borderId="0" applyNumberFormat="0" applyBorder="0" applyAlignment="0" applyProtection="0"/>
    <xf numFmtId="0" fontId="17" fillId="40" borderId="0" applyNumberFormat="0" applyBorder="0" applyAlignment="0" applyProtection="0"/>
    <xf numFmtId="0" fontId="17" fillId="43" borderId="0" applyNumberFormat="0" applyBorder="0" applyAlignment="0" applyProtection="0"/>
    <xf numFmtId="0" fontId="18" fillId="44" borderId="0" applyNumberFormat="0" applyBorder="0" applyAlignment="0" applyProtection="0"/>
    <xf numFmtId="0" fontId="18" fillId="41" borderId="0" applyNumberFormat="0" applyBorder="0" applyAlignment="0" applyProtection="0"/>
    <xf numFmtId="0" fontId="18" fillId="42" borderId="0" applyNumberFormat="0" applyBorder="0" applyAlignment="0" applyProtection="0"/>
    <xf numFmtId="0" fontId="18" fillId="45" borderId="0" applyNumberFormat="0" applyBorder="0" applyAlignment="0" applyProtection="0"/>
    <xf numFmtId="0" fontId="18" fillId="46" borderId="0" applyNumberFormat="0" applyBorder="0" applyAlignment="0" applyProtection="0"/>
    <xf numFmtId="0" fontId="18" fillId="47" borderId="0" applyNumberFormat="0" applyBorder="0" applyAlignment="0" applyProtection="0"/>
    <xf numFmtId="0" fontId="18" fillId="48" borderId="0" applyNumberFormat="0" applyBorder="0" applyAlignment="0" applyProtection="0"/>
    <xf numFmtId="0" fontId="18" fillId="49" borderId="0" applyNumberFormat="0" applyBorder="0" applyAlignment="0" applyProtection="0"/>
    <xf numFmtId="0" fontId="18" fillId="50" borderId="0" applyNumberFormat="0" applyBorder="0" applyAlignment="0" applyProtection="0"/>
    <xf numFmtId="0" fontId="18" fillId="45" borderId="0" applyNumberFormat="0" applyBorder="0" applyAlignment="0" applyProtection="0"/>
    <xf numFmtId="0" fontId="18" fillId="46" borderId="0" applyNumberFormat="0" applyBorder="0" applyAlignment="0" applyProtection="0"/>
    <xf numFmtId="0" fontId="18" fillId="51" borderId="0" applyNumberFormat="0" applyBorder="0" applyAlignment="0" applyProtection="0"/>
    <xf numFmtId="0" fontId="19" fillId="35" borderId="0" applyNumberFormat="0" applyBorder="0" applyAlignment="0" applyProtection="0"/>
    <xf numFmtId="0" fontId="20" fillId="52" borderId="16" applyNumberFormat="0" applyAlignment="0" applyProtection="0"/>
    <xf numFmtId="0" fontId="21" fillId="53" borderId="17" applyNumberFormat="0" applyAlignment="0" applyProtection="0"/>
    <xf numFmtId="169" fontId="2" fillId="0" borderId="0" applyFont="0" applyFill="0" applyBorder="0" applyAlignment="0" applyProtection="0"/>
    <xf numFmtId="0" fontId="22" fillId="0" borderId="0" applyNumberFormat="0" applyFill="0" applyBorder="0" applyAlignment="0" applyProtection="0"/>
    <xf numFmtId="0" fontId="23" fillId="36" borderId="0" applyNumberFormat="0" applyBorder="0" applyAlignment="0" applyProtection="0"/>
    <xf numFmtId="0" fontId="24" fillId="0" borderId="18" applyNumberFormat="0" applyFill="0" applyAlignment="0" applyProtection="0"/>
    <xf numFmtId="0" fontId="25" fillId="0" borderId="19" applyNumberFormat="0" applyFill="0" applyAlignment="0" applyProtection="0"/>
    <xf numFmtId="0" fontId="26" fillId="0" borderId="20" applyNumberFormat="0" applyFill="0" applyAlignment="0" applyProtection="0"/>
    <xf numFmtId="0" fontId="26" fillId="0" borderId="0" applyNumberFormat="0" applyFill="0" applyBorder="0" applyAlignment="0" applyProtection="0"/>
    <xf numFmtId="0" fontId="27" fillId="39" borderId="16" applyNumberFormat="0" applyAlignment="0" applyProtection="0"/>
    <xf numFmtId="0" fontId="28" fillId="0" borderId="21" applyNumberFormat="0" applyFill="0" applyAlignment="0" applyProtection="0"/>
    <xf numFmtId="0" fontId="29" fillId="54" borderId="0" applyNumberFormat="0" applyBorder="0" applyAlignment="0" applyProtection="0"/>
    <xf numFmtId="0" fontId="16" fillId="0" borderId="0"/>
    <xf numFmtId="0" fontId="2" fillId="0" borderId="0"/>
    <xf numFmtId="0" fontId="2" fillId="0" borderId="0"/>
    <xf numFmtId="0" fontId="30" fillId="52" borderId="22" applyNumberFormat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23" applyNumberFormat="0" applyFill="0" applyAlignment="0" applyProtection="0"/>
    <xf numFmtId="0" fontId="33" fillId="0" borderId="0" applyNumberFormat="0" applyFill="0" applyBorder="0" applyAlignment="0" applyProtection="0"/>
    <xf numFmtId="0" fontId="34" fillId="34" borderId="0" applyNumberFormat="0" applyBorder="0" applyAlignment="0" applyProtection="0"/>
    <xf numFmtId="0" fontId="34" fillId="35" borderId="0" applyNumberFormat="0" applyBorder="0" applyAlignment="0" applyProtection="0"/>
    <xf numFmtId="0" fontId="34" fillId="36" borderId="0" applyNumberFormat="0" applyBorder="0" applyAlignment="0" applyProtection="0"/>
    <xf numFmtId="0" fontId="34" fillId="37" borderId="0" applyNumberFormat="0" applyBorder="0" applyAlignment="0" applyProtection="0"/>
    <xf numFmtId="0" fontId="34" fillId="38" borderId="0" applyNumberFormat="0" applyBorder="0" applyAlignment="0" applyProtection="0"/>
    <xf numFmtId="0" fontId="34" fillId="39" borderId="0" applyNumberFormat="0" applyBorder="0" applyAlignment="0" applyProtection="0"/>
    <xf numFmtId="0" fontId="34" fillId="40" borderId="0" applyNumberFormat="0" applyBorder="0" applyAlignment="0" applyProtection="0"/>
    <xf numFmtId="0" fontId="34" fillId="41" borderId="0" applyNumberFormat="0" applyBorder="0" applyAlignment="0" applyProtection="0"/>
    <xf numFmtId="0" fontId="34" fillId="42" borderId="0" applyNumberFormat="0" applyBorder="0" applyAlignment="0" applyProtection="0"/>
    <xf numFmtId="0" fontId="34" fillId="37" borderId="0" applyNumberFormat="0" applyBorder="0" applyAlignment="0" applyProtection="0"/>
    <xf numFmtId="0" fontId="34" fillId="40" borderId="0" applyNumberFormat="0" applyBorder="0" applyAlignment="0" applyProtection="0"/>
    <xf numFmtId="0" fontId="34" fillId="43" borderId="0" applyNumberFormat="0" applyBorder="0" applyAlignment="0" applyProtection="0"/>
    <xf numFmtId="0" fontId="35" fillId="44" borderId="0" applyNumberFormat="0" applyBorder="0" applyAlignment="0" applyProtection="0"/>
    <xf numFmtId="0" fontId="35" fillId="41" borderId="0" applyNumberFormat="0" applyBorder="0" applyAlignment="0" applyProtection="0"/>
    <xf numFmtId="0" fontId="35" fillId="42" borderId="0" applyNumberFormat="0" applyBorder="0" applyAlignment="0" applyProtection="0"/>
    <xf numFmtId="0" fontId="35" fillId="45" borderId="0" applyNumberFormat="0" applyBorder="0" applyAlignment="0" applyProtection="0"/>
    <xf numFmtId="0" fontId="35" fillId="46" borderId="0" applyNumberFormat="0" applyBorder="0" applyAlignment="0" applyProtection="0"/>
    <xf numFmtId="0" fontId="35" fillId="47" borderId="0" applyNumberFormat="0" applyBorder="0" applyAlignment="0" applyProtection="0"/>
    <xf numFmtId="0" fontId="35" fillId="48" borderId="0" applyNumberFormat="0" applyBorder="0" applyAlignment="0" applyProtection="0"/>
    <xf numFmtId="0" fontId="35" fillId="49" borderId="0" applyNumberFormat="0" applyBorder="0" applyAlignment="0" applyProtection="0"/>
    <xf numFmtId="0" fontId="35" fillId="50" borderId="0" applyNumberFormat="0" applyBorder="0" applyAlignment="0" applyProtection="0"/>
    <xf numFmtId="0" fontId="35" fillId="45" borderId="0" applyNumberFormat="0" applyBorder="0" applyAlignment="0" applyProtection="0"/>
    <xf numFmtId="0" fontId="35" fillId="46" borderId="0" applyNumberFormat="0" applyBorder="0" applyAlignment="0" applyProtection="0"/>
    <xf numFmtId="0" fontId="35" fillId="51" borderId="0" applyNumberFormat="0" applyBorder="0" applyAlignment="0" applyProtection="0"/>
    <xf numFmtId="0" fontId="36" fillId="35" borderId="0" applyNumberFormat="0" applyBorder="0" applyAlignment="0" applyProtection="0"/>
    <xf numFmtId="0" fontId="37" fillId="52" borderId="16" applyNumberFormat="0" applyAlignment="0" applyProtection="0"/>
    <xf numFmtId="0" fontId="38" fillId="53" borderId="17" applyNumberFormat="0" applyAlignment="0" applyProtection="0"/>
    <xf numFmtId="0" fontId="39" fillId="0" borderId="0" applyNumberFormat="0" applyFill="0" applyBorder="0" applyAlignment="0" applyProtection="0"/>
    <xf numFmtId="0" fontId="40" fillId="36" borderId="0" applyNumberFormat="0" applyBorder="0" applyAlignment="0" applyProtection="0"/>
    <xf numFmtId="0" fontId="41" fillId="0" borderId="18" applyNumberFormat="0" applyFill="0" applyAlignment="0" applyProtection="0"/>
    <xf numFmtId="0" fontId="42" fillId="0" borderId="19" applyNumberFormat="0" applyFill="0" applyAlignment="0" applyProtection="0"/>
    <xf numFmtId="0" fontId="43" fillId="0" borderId="20" applyNumberFormat="0" applyFill="0" applyAlignment="0" applyProtection="0"/>
    <xf numFmtId="0" fontId="43" fillId="0" borderId="0" applyNumberFormat="0" applyFill="0" applyBorder="0" applyAlignment="0" applyProtection="0"/>
    <xf numFmtId="0" fontId="44" fillId="39" borderId="16" applyNumberFormat="0" applyAlignment="0" applyProtection="0"/>
    <xf numFmtId="0" fontId="45" fillId="0" borderId="21" applyNumberFormat="0" applyFill="0" applyAlignment="0" applyProtection="0"/>
    <xf numFmtId="0" fontId="46" fillId="54" borderId="0" applyNumberFormat="0" applyBorder="0" applyAlignment="0" applyProtection="0"/>
    <xf numFmtId="0" fontId="2" fillId="55" borderId="24" applyNumberFormat="0" applyFont="0" applyAlignment="0" applyProtection="0"/>
    <xf numFmtId="0" fontId="47" fillId="52" borderId="22" applyNumberFormat="0" applyAlignment="0" applyProtection="0"/>
    <xf numFmtId="0" fontId="48" fillId="0" borderId="0" applyNumberFormat="0" applyFill="0" applyBorder="0" applyAlignment="0" applyProtection="0"/>
    <xf numFmtId="0" fontId="49" fillId="0" borderId="23" applyNumberFormat="0" applyFill="0" applyAlignment="0" applyProtection="0"/>
    <xf numFmtId="0" fontId="50" fillId="0" borderId="0" applyNumberFormat="0" applyFill="0" applyBorder="0" applyAlignment="0" applyProtection="0"/>
    <xf numFmtId="16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15" fillId="11" borderId="0" applyNumberFormat="0" applyBorder="0" applyAlignment="0" applyProtection="0"/>
    <xf numFmtId="0" fontId="15" fillId="15" borderId="0" applyNumberFormat="0" applyBorder="0" applyAlignment="0" applyProtection="0"/>
    <xf numFmtId="0" fontId="15" fillId="19" borderId="0" applyNumberFormat="0" applyBorder="0" applyAlignment="0" applyProtection="0"/>
    <xf numFmtId="0" fontId="15" fillId="23" borderId="0" applyNumberFormat="0" applyBorder="0" applyAlignment="0" applyProtection="0"/>
    <xf numFmtId="0" fontId="15" fillId="27" borderId="0" applyNumberFormat="0" applyBorder="0" applyAlignment="0" applyProtection="0"/>
    <xf numFmtId="0" fontId="15" fillId="31" borderId="0" applyNumberFormat="0" applyBorder="0" applyAlignment="0" applyProtection="0"/>
    <xf numFmtId="0" fontId="15" fillId="12" borderId="0" applyNumberFormat="0" applyBorder="0" applyAlignment="0" applyProtection="0"/>
    <xf numFmtId="0" fontId="15" fillId="16" borderId="0" applyNumberFormat="0" applyBorder="0" applyAlignment="0" applyProtection="0"/>
    <xf numFmtId="0" fontId="15" fillId="20" borderId="0" applyNumberFormat="0" applyBorder="0" applyAlignment="0" applyProtection="0"/>
    <xf numFmtId="0" fontId="15" fillId="24" borderId="0" applyNumberFormat="0" applyBorder="0" applyAlignment="0" applyProtection="0"/>
    <xf numFmtId="0" fontId="15" fillId="28" borderId="0" applyNumberFormat="0" applyBorder="0" applyAlignment="0" applyProtection="0"/>
    <xf numFmtId="0" fontId="15" fillId="32" borderId="0" applyNumberFormat="0" applyBorder="0" applyAlignment="0" applyProtection="0"/>
    <xf numFmtId="0" fontId="52" fillId="13" borderId="0" applyNumberFormat="0" applyBorder="0" applyAlignment="0" applyProtection="0"/>
    <xf numFmtId="0" fontId="52" fillId="17" borderId="0" applyNumberFormat="0" applyBorder="0" applyAlignment="0" applyProtection="0"/>
    <xf numFmtId="0" fontId="52" fillId="21" borderId="0" applyNumberFormat="0" applyBorder="0" applyAlignment="0" applyProtection="0"/>
    <xf numFmtId="0" fontId="52" fillId="25" borderId="0" applyNumberFormat="0" applyBorder="0" applyAlignment="0" applyProtection="0"/>
    <xf numFmtId="0" fontId="52" fillId="29" borderId="0" applyNumberFormat="0" applyBorder="0" applyAlignment="0" applyProtection="0"/>
    <xf numFmtId="0" fontId="52" fillId="33" borderId="0" applyNumberFormat="0" applyBorder="0" applyAlignment="0" applyProtection="0"/>
    <xf numFmtId="0" fontId="52" fillId="10" borderId="0" applyNumberFormat="0" applyBorder="0" applyAlignment="0" applyProtection="0"/>
    <xf numFmtId="0" fontId="52" fillId="14" borderId="0" applyNumberFormat="0" applyBorder="0" applyAlignment="0" applyProtection="0"/>
    <xf numFmtId="0" fontId="52" fillId="18" borderId="0" applyNumberFormat="0" applyBorder="0" applyAlignment="0" applyProtection="0"/>
    <xf numFmtId="0" fontId="52" fillId="22" borderId="0" applyNumberFormat="0" applyBorder="0" applyAlignment="0" applyProtection="0"/>
    <xf numFmtId="0" fontId="52" fillId="26" borderId="0" applyNumberFormat="0" applyBorder="0" applyAlignment="0" applyProtection="0"/>
    <xf numFmtId="0" fontId="52" fillId="30" borderId="0" applyNumberFormat="0" applyBorder="0" applyAlignment="0" applyProtection="0"/>
    <xf numFmtId="0" fontId="53" fillId="4" borderId="0" applyNumberFormat="0" applyBorder="0" applyAlignment="0" applyProtection="0"/>
    <xf numFmtId="0" fontId="54" fillId="7" borderId="10" applyNumberFormat="0" applyAlignment="0" applyProtection="0"/>
    <xf numFmtId="0" fontId="55" fillId="8" borderId="13" applyNumberFormat="0" applyAlignment="0" applyProtection="0"/>
    <xf numFmtId="169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56" fillId="0" borderId="0" applyNumberFormat="0" applyFill="0" applyBorder="0" applyAlignment="0" applyProtection="0"/>
    <xf numFmtId="0" fontId="57" fillId="3" borderId="0" applyNumberFormat="0" applyBorder="0" applyAlignment="0" applyProtection="0"/>
    <xf numFmtId="0" fontId="58" fillId="0" borderId="7" applyNumberFormat="0" applyFill="0" applyAlignment="0" applyProtection="0"/>
    <xf numFmtId="0" fontId="59" fillId="0" borderId="8" applyNumberFormat="0" applyFill="0" applyAlignment="0" applyProtection="0"/>
    <xf numFmtId="0" fontId="60" fillId="0" borderId="9" applyNumberFormat="0" applyFill="0" applyAlignment="0" applyProtection="0"/>
    <xf numFmtId="0" fontId="60" fillId="0" borderId="0" applyNumberFormat="0" applyFill="0" applyBorder="0" applyAlignment="0" applyProtection="0"/>
    <xf numFmtId="0" fontId="61" fillId="6" borderId="10" applyNumberFormat="0" applyAlignment="0" applyProtection="0"/>
    <xf numFmtId="0" fontId="62" fillId="0" borderId="12" applyNumberFormat="0" applyFill="0" applyAlignment="0" applyProtection="0"/>
    <xf numFmtId="0" fontId="63" fillId="5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1" fillId="9" borderId="14" applyNumberFormat="0" applyFont="0" applyAlignment="0" applyProtection="0"/>
    <xf numFmtId="0" fontId="64" fillId="7" borderId="11" applyNumberFormat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5" fillId="0" borderId="0" applyNumberFormat="0" applyFill="0" applyBorder="0" applyAlignment="0" applyProtection="0"/>
    <xf numFmtId="0" fontId="66" fillId="0" borderId="15" applyNumberFormat="0" applyFill="0" applyAlignment="0" applyProtection="0"/>
    <xf numFmtId="0" fontId="67" fillId="0" borderId="0" applyNumberFormat="0" applyFill="0" applyBorder="0" applyAlignment="0" applyProtection="0"/>
    <xf numFmtId="0" fontId="2" fillId="0" borderId="0"/>
    <xf numFmtId="0" fontId="43" fillId="0" borderId="20" applyNumberFormat="0" applyFill="0" applyAlignment="0" applyProtection="0"/>
    <xf numFmtId="0" fontId="45" fillId="0" borderId="21" applyNumberFormat="0" applyFill="0" applyAlignment="0" applyProtection="0"/>
    <xf numFmtId="0" fontId="2" fillId="55" borderId="24" applyNumberFormat="0" applyFont="0" applyAlignment="0" applyProtection="0"/>
    <xf numFmtId="0" fontId="2" fillId="0" borderId="0"/>
    <xf numFmtId="0" fontId="49" fillId="0" borderId="23" applyNumberFormat="0" applyFill="0" applyAlignment="0" applyProtection="0"/>
    <xf numFmtId="0" fontId="26" fillId="0" borderId="20" applyNumberFormat="0" applyFill="0" applyAlignment="0" applyProtection="0"/>
    <xf numFmtId="0" fontId="30" fillId="52" borderId="22" applyNumberFormat="0" applyAlignment="0" applyProtection="0"/>
    <xf numFmtId="0" fontId="28" fillId="0" borderId="21" applyNumberFormat="0" applyFill="0" applyAlignment="0" applyProtection="0"/>
    <xf numFmtId="0" fontId="2" fillId="55" borderId="24" applyNumberFormat="0" applyFont="0" applyAlignment="0" applyProtection="0"/>
    <xf numFmtId="0" fontId="20" fillId="52" borderId="16" applyNumberFormat="0" applyAlignment="0" applyProtection="0"/>
    <xf numFmtId="0" fontId="32" fillId="0" borderId="23" applyNumberFormat="0" applyFill="0" applyAlignment="0" applyProtection="0"/>
    <xf numFmtId="0" fontId="37" fillId="52" borderId="16" applyNumberFormat="0" applyAlignment="0" applyProtection="0"/>
    <xf numFmtId="0" fontId="44" fillId="39" borderId="16" applyNumberFormat="0" applyAlignment="0" applyProtection="0"/>
    <xf numFmtId="0" fontId="47" fillId="52" borderId="22" applyNumberFormat="0" applyAlignment="0" applyProtection="0"/>
    <xf numFmtId="0" fontId="27" fillId="39" borderId="16" applyNumberFormat="0" applyAlignment="0" applyProtection="0"/>
    <xf numFmtId="0" fontId="43" fillId="0" borderId="20" applyNumberFormat="0" applyFill="0" applyAlignment="0" applyProtection="0"/>
    <xf numFmtId="0" fontId="45" fillId="0" borderId="21" applyNumberFormat="0" applyFill="0" applyAlignment="0" applyProtection="0"/>
    <xf numFmtId="0" fontId="2" fillId="55" borderId="24" applyNumberFormat="0" applyFont="0" applyAlignment="0" applyProtection="0"/>
    <xf numFmtId="16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5" fillId="0" borderId="0"/>
    <xf numFmtId="0" fontId="2" fillId="55" borderId="24" applyNumberFormat="0" applyFont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43" fillId="0" borderId="20" applyNumberFormat="0" applyFill="0" applyAlignment="0" applyProtection="0"/>
    <xf numFmtId="0" fontId="2" fillId="55" borderId="24" applyNumberFormat="0" applyFont="0" applyAlignment="0" applyProtection="0"/>
    <xf numFmtId="0" fontId="20" fillId="52" borderId="16" applyNumberFormat="0" applyAlignment="0" applyProtection="0"/>
    <xf numFmtId="0" fontId="27" fillId="39" borderId="16" applyNumberFormat="0" applyAlignment="0" applyProtection="0"/>
    <xf numFmtId="0" fontId="30" fillId="52" borderId="22" applyNumberFormat="0" applyAlignment="0" applyProtection="0"/>
    <xf numFmtId="0" fontId="32" fillId="0" borderId="23" applyNumberFormat="0" applyFill="0" applyAlignment="0" applyProtection="0"/>
    <xf numFmtId="0" fontId="37" fillId="52" borderId="16" applyNumberFormat="0" applyAlignment="0" applyProtection="0"/>
    <xf numFmtId="0" fontId="44" fillId="39" borderId="16" applyNumberFormat="0" applyAlignment="0" applyProtection="0"/>
    <xf numFmtId="0" fontId="47" fillId="52" borderId="22" applyNumberFormat="0" applyAlignment="0" applyProtection="0"/>
    <xf numFmtId="0" fontId="49" fillId="0" borderId="23" applyNumberFormat="0" applyFill="0" applyAlignment="0" applyProtection="0"/>
    <xf numFmtId="0" fontId="2" fillId="0" borderId="0"/>
    <xf numFmtId="0" fontId="2" fillId="55" borderId="24" applyNumberFormat="0" applyFont="0" applyAlignment="0" applyProtection="0"/>
    <xf numFmtId="0" fontId="1" fillId="0" borderId="0"/>
    <xf numFmtId="0" fontId="20" fillId="52" borderId="16" applyNumberFormat="0" applyAlignment="0" applyProtection="0"/>
    <xf numFmtId="0" fontId="37" fillId="52" borderId="16" applyNumberFormat="0" applyAlignment="0" applyProtection="0"/>
    <xf numFmtId="0" fontId="43" fillId="0" borderId="20" applyNumberFormat="0" applyFill="0" applyAlignment="0" applyProtection="0"/>
    <xf numFmtId="0" fontId="27" fillId="39" borderId="16" applyNumberFormat="0" applyAlignment="0" applyProtection="0"/>
    <xf numFmtId="0" fontId="44" fillId="39" borderId="16" applyNumberFormat="0" applyAlignment="0" applyProtection="0"/>
    <xf numFmtId="0" fontId="2" fillId="0" borderId="0"/>
    <xf numFmtId="0" fontId="2" fillId="0" borderId="0"/>
    <xf numFmtId="0" fontId="2" fillId="0" borderId="0"/>
    <xf numFmtId="0" fontId="2" fillId="55" borderId="24" applyNumberFormat="0" applyFont="0" applyAlignment="0" applyProtection="0"/>
    <xf numFmtId="0" fontId="2" fillId="55" borderId="24" applyNumberFormat="0" applyFont="0" applyAlignment="0" applyProtection="0"/>
    <xf numFmtId="0" fontId="2" fillId="55" borderId="24" applyNumberFormat="0" applyFont="0" applyAlignment="0" applyProtection="0"/>
    <xf numFmtId="0" fontId="30" fillId="52" borderId="22" applyNumberFormat="0" applyAlignment="0" applyProtection="0"/>
    <xf numFmtId="0" fontId="47" fillId="52" borderId="22" applyNumberFormat="0" applyAlignment="0" applyProtection="0"/>
    <xf numFmtId="0" fontId="32" fillId="0" borderId="23" applyNumberFormat="0" applyFill="0" applyAlignment="0" applyProtection="0"/>
    <xf numFmtId="0" fontId="49" fillId="0" borderId="23" applyNumberFormat="0" applyFill="0" applyAlignment="0" applyProtection="0"/>
    <xf numFmtId="0" fontId="1" fillId="0" borderId="0"/>
    <xf numFmtId="0" fontId="1" fillId="0" borderId="0"/>
    <xf numFmtId="0" fontId="15" fillId="0" borderId="0"/>
  </cellStyleXfs>
  <cellXfs count="63">
    <xf numFmtId="0" fontId="0" fillId="0" borderId="0" xfId="0"/>
    <xf numFmtId="0" fontId="5" fillId="0" borderId="0" xfId="0" applyFont="1"/>
    <xf numFmtId="0" fontId="5" fillId="0" borderId="0" xfId="0" applyFont="1" applyAlignment="1">
      <alignment horizontal="left"/>
    </xf>
    <xf numFmtId="0" fontId="8" fillId="0" borderId="0" xfId="0" applyFont="1"/>
    <xf numFmtId="0" fontId="8" fillId="0" borderId="0" xfId="0" applyFont="1" applyBorder="1" applyAlignment="1">
      <alignment horizontal="left" wrapText="1"/>
    </xf>
    <xf numFmtId="0" fontId="3" fillId="0" borderId="0" xfId="0" applyFont="1" applyBorder="1" applyAlignment="1">
      <alignment horizontal="center" vertical="center" wrapText="1"/>
    </xf>
    <xf numFmtId="0" fontId="8" fillId="0" borderId="0" xfId="0" applyFont="1" applyAlignment="1">
      <alignment vertical="center"/>
    </xf>
    <xf numFmtId="0" fontId="3" fillId="2" borderId="2" xfId="0" applyFont="1" applyFill="1" applyBorder="1" applyAlignment="1">
      <alignment horizontal="center" wrapText="1"/>
    </xf>
    <xf numFmtId="170" fontId="3" fillId="0" borderId="3" xfId="0" applyNumberFormat="1" applyFont="1" applyBorder="1" applyAlignment="1">
      <alignment horizontal="center" vertical="center" wrapText="1"/>
    </xf>
    <xf numFmtId="0" fontId="7" fillId="0" borderId="0" xfId="7" quotePrefix="1" applyFont="1" applyFill="1" applyBorder="1" applyAlignment="1">
      <alignment horizontal="left" vertical="center" indent="1" readingOrder="1"/>
    </xf>
    <xf numFmtId="170" fontId="6" fillId="0" borderId="3" xfId="0" applyNumberFormat="1" applyFont="1" applyBorder="1" applyAlignment="1">
      <alignment horizontal="center" vertical="center" wrapText="1"/>
    </xf>
    <xf numFmtId="0" fontId="3" fillId="0" borderId="0" xfId="6" applyFont="1" applyFill="1" applyAlignment="1">
      <alignment horizontal="left" vertical="center" indent="1"/>
    </xf>
    <xf numFmtId="0" fontId="9" fillId="2" borderId="0" xfId="0" applyFont="1" applyFill="1" applyBorder="1" applyAlignment="1">
      <alignment horizontal="center" vertical="center" wrapText="1"/>
    </xf>
    <xf numFmtId="0" fontId="9" fillId="2" borderId="0" xfId="0" applyFont="1" applyFill="1" applyBorder="1" applyAlignment="1">
      <alignment vertical="center" wrapText="1"/>
    </xf>
    <xf numFmtId="0" fontId="5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2" borderId="0" xfId="0" applyFont="1" applyFill="1" applyBorder="1" applyAlignment="1">
      <alignment horizontal="center" vertical="center" wrapText="1"/>
    </xf>
    <xf numFmtId="0" fontId="9" fillId="2" borderId="0" xfId="0" applyFont="1" applyFill="1" applyBorder="1" applyAlignment="1">
      <alignment horizontal="center" vertical="center" wrapText="1"/>
    </xf>
    <xf numFmtId="0" fontId="9" fillId="2" borderId="0" xfId="0" applyFont="1" applyFill="1" applyBorder="1" applyAlignment="1">
      <alignment horizontal="center" vertical="center" wrapText="1"/>
    </xf>
    <xf numFmtId="0" fontId="3" fillId="0" borderId="27" xfId="0" applyFont="1" applyBorder="1" applyAlignment="1">
      <alignment horizontal="left" vertical="center" wrapText="1"/>
    </xf>
    <xf numFmtId="0" fontId="3" fillId="2" borderId="28" xfId="0" applyFont="1" applyFill="1" applyBorder="1" applyAlignment="1">
      <alignment horizontal="left" vertical="center" wrapText="1"/>
    </xf>
    <xf numFmtId="0" fontId="3" fillId="0" borderId="29" xfId="0" applyFont="1" applyBorder="1" applyAlignment="1">
      <alignment horizontal="left" vertical="center" wrapText="1"/>
    </xf>
    <xf numFmtId="0" fontId="6" fillId="2" borderId="28" xfId="0" applyFont="1" applyFill="1" applyBorder="1" applyAlignment="1">
      <alignment horizontal="left" vertical="center" wrapText="1"/>
    </xf>
    <xf numFmtId="0" fontId="9" fillId="2" borderId="0" xfId="0" applyFont="1" applyFill="1" applyBorder="1" applyAlignment="1">
      <alignment horizontal="center" vertical="center" wrapText="1"/>
    </xf>
    <xf numFmtId="0" fontId="9" fillId="2" borderId="0" xfId="0" applyFont="1" applyFill="1" applyBorder="1" applyAlignment="1">
      <alignment horizontal="center" vertical="center" wrapText="1"/>
    </xf>
    <xf numFmtId="0" fontId="9" fillId="2" borderId="0" xfId="0" applyFont="1" applyFill="1" applyBorder="1" applyAlignment="1">
      <alignment horizontal="center" vertical="center" wrapText="1"/>
    </xf>
    <xf numFmtId="0" fontId="9" fillId="2" borderId="0" xfId="0" applyFont="1" applyFill="1" applyBorder="1" applyAlignment="1">
      <alignment horizontal="center" vertical="center" wrapText="1"/>
    </xf>
    <xf numFmtId="0" fontId="9" fillId="2" borderId="0" xfId="0" applyFont="1" applyFill="1" applyBorder="1" applyAlignment="1">
      <alignment horizontal="center" vertical="center" wrapText="1"/>
    </xf>
    <xf numFmtId="0" fontId="9" fillId="2" borderId="0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/>
    </xf>
    <xf numFmtId="0" fontId="3" fillId="2" borderId="33" xfId="0" applyFont="1" applyFill="1" applyBorder="1" applyAlignment="1">
      <alignment horizontal="center" wrapText="1"/>
    </xf>
    <xf numFmtId="0" fontId="3" fillId="56" borderId="28" xfId="0" applyFont="1" applyFill="1" applyBorder="1" applyAlignment="1">
      <alignment horizontal="left" vertical="center" wrapText="1"/>
    </xf>
    <xf numFmtId="0" fontId="6" fillId="57" borderId="29" xfId="0" applyFont="1" applyFill="1" applyBorder="1" applyAlignment="1">
      <alignment horizontal="left" vertical="center" wrapText="1"/>
    </xf>
    <xf numFmtId="0" fontId="6" fillId="56" borderId="28" xfId="0" applyFont="1" applyFill="1" applyBorder="1" applyAlignment="1">
      <alignment horizontal="left" vertical="center" wrapText="1"/>
    </xf>
    <xf numFmtId="0" fontId="3" fillId="57" borderId="29" xfId="0" applyFont="1" applyFill="1" applyBorder="1" applyAlignment="1">
      <alignment horizontal="left" vertical="center" wrapText="1"/>
    </xf>
    <xf numFmtId="170" fontId="3" fillId="57" borderId="1" xfId="0" applyNumberFormat="1" applyFont="1" applyFill="1" applyBorder="1" applyAlignment="1">
      <alignment horizontal="center" vertical="center" wrapText="1"/>
    </xf>
    <xf numFmtId="170" fontId="6" fillId="57" borderId="1" xfId="0" applyNumberFormat="1" applyFont="1" applyFill="1" applyBorder="1" applyAlignment="1">
      <alignment horizontal="center" vertical="center" wrapText="1"/>
    </xf>
    <xf numFmtId="0" fontId="6" fillId="58" borderId="28" xfId="0" applyFont="1" applyFill="1" applyBorder="1" applyAlignment="1">
      <alignment horizontal="left" vertical="center" wrapText="1"/>
    </xf>
    <xf numFmtId="0" fontId="3" fillId="58" borderId="28" xfId="0" applyFont="1" applyFill="1" applyBorder="1" applyAlignment="1">
      <alignment horizontal="left" vertical="center" wrapText="1"/>
    </xf>
    <xf numFmtId="0" fontId="3" fillId="57" borderId="28" xfId="0" applyFont="1" applyFill="1" applyBorder="1" applyAlignment="1">
      <alignment horizontal="left" vertical="center" wrapText="1"/>
    </xf>
    <xf numFmtId="170" fontId="3" fillId="57" borderId="30" xfId="0" applyNumberFormat="1" applyFont="1" applyFill="1" applyBorder="1" applyAlignment="1">
      <alignment horizontal="center" vertical="center" wrapText="1"/>
    </xf>
    <xf numFmtId="170" fontId="6" fillId="57" borderId="30" xfId="0" applyNumberFormat="1" applyFont="1" applyFill="1" applyBorder="1" applyAlignment="1">
      <alignment horizontal="center" vertical="center" wrapText="1"/>
    </xf>
    <xf numFmtId="0" fontId="9" fillId="2" borderId="0" xfId="0" applyFont="1" applyFill="1" applyBorder="1" applyAlignment="1">
      <alignment horizontal="center" vertical="center" wrapText="1"/>
    </xf>
    <xf numFmtId="0" fontId="9" fillId="2" borderId="0" xfId="0" applyFont="1" applyFill="1" applyBorder="1" applyAlignment="1">
      <alignment horizontal="center" vertical="center" wrapText="1"/>
    </xf>
    <xf numFmtId="0" fontId="9" fillId="2" borderId="0" xfId="0" applyFont="1" applyFill="1" applyBorder="1" applyAlignment="1">
      <alignment horizontal="center" vertical="center" wrapText="1"/>
    </xf>
    <xf numFmtId="0" fontId="9" fillId="2" borderId="0" xfId="0" applyFont="1" applyFill="1" applyBorder="1" applyAlignment="1">
      <alignment horizontal="center" vertical="center" wrapText="1"/>
    </xf>
    <xf numFmtId="0" fontId="9" fillId="2" borderId="0" xfId="0" applyFont="1" applyFill="1" applyBorder="1" applyAlignment="1">
      <alignment horizontal="center" vertical="center" wrapText="1"/>
    </xf>
    <xf numFmtId="0" fontId="5" fillId="0" borderId="0" xfId="0" applyFont="1" applyFill="1" applyBorder="1"/>
    <xf numFmtId="0" fontId="6" fillId="0" borderId="0" xfId="0" applyFont="1" applyFill="1" applyBorder="1" applyAlignment="1">
      <alignment horizontal="left" vertical="center" wrapText="1"/>
    </xf>
    <xf numFmtId="170" fontId="6" fillId="0" borderId="36" xfId="0" applyNumberFormat="1" applyFont="1" applyBorder="1" applyAlignment="1">
      <alignment horizontal="center" vertical="center" wrapText="1"/>
    </xf>
    <xf numFmtId="0" fontId="6" fillId="0" borderId="35" xfId="0" applyFont="1" applyBorder="1" applyAlignment="1">
      <alignment horizontal="left" vertical="center" wrapText="1"/>
    </xf>
    <xf numFmtId="0" fontId="9" fillId="2" borderId="0" xfId="0" applyFont="1" applyFill="1" applyBorder="1" applyAlignment="1">
      <alignment horizontal="center" vertical="center" wrapText="1"/>
    </xf>
    <xf numFmtId="0" fontId="9" fillId="2" borderId="0" xfId="0" applyFont="1" applyFill="1" applyBorder="1" applyAlignment="1">
      <alignment horizontal="center" vertical="center" wrapText="1"/>
    </xf>
    <xf numFmtId="0" fontId="9" fillId="2" borderId="0" xfId="0" applyFont="1" applyFill="1" applyBorder="1" applyAlignment="1">
      <alignment horizontal="center" vertical="center" wrapText="1"/>
    </xf>
    <xf numFmtId="0" fontId="9" fillId="2" borderId="0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34" xfId="0" applyFont="1" applyFill="1" applyBorder="1" applyAlignment="1">
      <alignment horizontal="center" vertical="center" wrapText="1"/>
    </xf>
    <xf numFmtId="0" fontId="9" fillId="2" borderId="0" xfId="0" applyFont="1" applyFill="1" applyBorder="1" applyAlignment="1">
      <alignment horizontal="center" vertical="center" wrapText="1"/>
    </xf>
    <xf numFmtId="0" fontId="3" fillId="2" borderId="25" xfId="0" applyFont="1" applyFill="1" applyBorder="1" applyAlignment="1">
      <alignment horizontal="center" vertical="center" wrapText="1"/>
    </xf>
    <xf numFmtId="0" fontId="3" fillId="2" borderId="26" xfId="0" applyFont="1" applyFill="1" applyBorder="1" applyAlignment="1">
      <alignment horizontal="center" vertical="center" wrapText="1"/>
    </xf>
  </cellXfs>
  <cellStyles count="225">
    <cellStyle name="_Book1" xfId="1" xr:uid="{00000000-0005-0000-0000-000000000000}"/>
    <cellStyle name="_الربع الثالث31" xfId="2" xr:uid="{00000000-0005-0000-0000-000001000000}"/>
    <cellStyle name="_الربع الثالث31 2" xfId="16" xr:uid="{00000000-0005-0000-0000-000002000000}"/>
    <cellStyle name="20% - Accent1 2" xfId="21" xr:uid="{00000000-0005-0000-0000-000003000000}"/>
    <cellStyle name="20% - Accent1 2 2" xfId="113" xr:uid="{00000000-0005-0000-0000-000004000000}"/>
    <cellStyle name="20% - Accent1 3" xfId="67" xr:uid="{00000000-0005-0000-0000-000005000000}"/>
    <cellStyle name="20% - Accent2 2" xfId="22" xr:uid="{00000000-0005-0000-0000-000006000000}"/>
    <cellStyle name="20% - Accent2 2 2" xfId="114" xr:uid="{00000000-0005-0000-0000-000007000000}"/>
    <cellStyle name="20% - Accent2 3" xfId="68" xr:uid="{00000000-0005-0000-0000-000008000000}"/>
    <cellStyle name="20% - Accent3 2" xfId="23" xr:uid="{00000000-0005-0000-0000-000009000000}"/>
    <cellStyle name="20% - Accent3 2 2" xfId="115" xr:uid="{00000000-0005-0000-0000-00000A000000}"/>
    <cellStyle name="20% - Accent3 3" xfId="69" xr:uid="{00000000-0005-0000-0000-00000B000000}"/>
    <cellStyle name="20% - Accent4 2" xfId="24" xr:uid="{00000000-0005-0000-0000-00000C000000}"/>
    <cellStyle name="20% - Accent4 2 2" xfId="116" xr:uid="{00000000-0005-0000-0000-00000D000000}"/>
    <cellStyle name="20% - Accent4 3" xfId="70" xr:uid="{00000000-0005-0000-0000-00000E000000}"/>
    <cellStyle name="20% - Accent5 2" xfId="25" xr:uid="{00000000-0005-0000-0000-00000F000000}"/>
    <cellStyle name="20% - Accent5 2 2" xfId="117" xr:uid="{00000000-0005-0000-0000-000010000000}"/>
    <cellStyle name="20% - Accent5 3" xfId="71" xr:uid="{00000000-0005-0000-0000-000011000000}"/>
    <cellStyle name="20% - Accent6 2" xfId="26" xr:uid="{00000000-0005-0000-0000-000012000000}"/>
    <cellStyle name="20% - Accent6 2 2" xfId="118" xr:uid="{00000000-0005-0000-0000-000013000000}"/>
    <cellStyle name="20% - Accent6 3" xfId="72" xr:uid="{00000000-0005-0000-0000-000014000000}"/>
    <cellStyle name="40% - Accent1 2" xfId="27" xr:uid="{00000000-0005-0000-0000-000015000000}"/>
    <cellStyle name="40% - Accent1 2 2" xfId="119" xr:uid="{00000000-0005-0000-0000-000016000000}"/>
    <cellStyle name="40% - Accent1 3" xfId="73" xr:uid="{00000000-0005-0000-0000-000017000000}"/>
    <cellStyle name="40% - Accent2 2" xfId="28" xr:uid="{00000000-0005-0000-0000-000018000000}"/>
    <cellStyle name="40% - Accent2 2 2" xfId="120" xr:uid="{00000000-0005-0000-0000-000019000000}"/>
    <cellStyle name="40% - Accent2 3" xfId="74" xr:uid="{00000000-0005-0000-0000-00001A000000}"/>
    <cellStyle name="40% - Accent3 2" xfId="29" xr:uid="{00000000-0005-0000-0000-00001B000000}"/>
    <cellStyle name="40% - Accent3 2 2" xfId="121" xr:uid="{00000000-0005-0000-0000-00001C000000}"/>
    <cellStyle name="40% - Accent3 3" xfId="75" xr:uid="{00000000-0005-0000-0000-00001D000000}"/>
    <cellStyle name="40% - Accent4 2" xfId="30" xr:uid="{00000000-0005-0000-0000-00001E000000}"/>
    <cellStyle name="40% - Accent4 2 2" xfId="122" xr:uid="{00000000-0005-0000-0000-00001F000000}"/>
    <cellStyle name="40% - Accent4 3" xfId="76" xr:uid="{00000000-0005-0000-0000-000020000000}"/>
    <cellStyle name="40% - Accent5 2" xfId="31" xr:uid="{00000000-0005-0000-0000-000021000000}"/>
    <cellStyle name="40% - Accent5 2 2" xfId="123" xr:uid="{00000000-0005-0000-0000-000022000000}"/>
    <cellStyle name="40% - Accent5 3" xfId="77" xr:uid="{00000000-0005-0000-0000-000023000000}"/>
    <cellStyle name="40% - Accent6 2" xfId="32" xr:uid="{00000000-0005-0000-0000-000024000000}"/>
    <cellStyle name="40% - Accent6 2 2" xfId="124" xr:uid="{00000000-0005-0000-0000-000025000000}"/>
    <cellStyle name="40% - Accent6 3" xfId="78" xr:uid="{00000000-0005-0000-0000-000026000000}"/>
    <cellStyle name="60% - Accent1 2" xfId="33" xr:uid="{00000000-0005-0000-0000-000027000000}"/>
    <cellStyle name="60% - Accent1 2 2" xfId="125" xr:uid="{00000000-0005-0000-0000-000028000000}"/>
    <cellStyle name="60% - Accent1 3" xfId="79" xr:uid="{00000000-0005-0000-0000-000029000000}"/>
    <cellStyle name="60% - Accent2 2" xfId="34" xr:uid="{00000000-0005-0000-0000-00002A000000}"/>
    <cellStyle name="60% - Accent2 2 2" xfId="126" xr:uid="{00000000-0005-0000-0000-00002B000000}"/>
    <cellStyle name="60% - Accent2 3" xfId="80" xr:uid="{00000000-0005-0000-0000-00002C000000}"/>
    <cellStyle name="60% - Accent3 2" xfId="35" xr:uid="{00000000-0005-0000-0000-00002D000000}"/>
    <cellStyle name="60% - Accent3 2 2" xfId="127" xr:uid="{00000000-0005-0000-0000-00002E000000}"/>
    <cellStyle name="60% - Accent3 3" xfId="81" xr:uid="{00000000-0005-0000-0000-00002F000000}"/>
    <cellStyle name="60% - Accent4 2" xfId="36" xr:uid="{00000000-0005-0000-0000-000030000000}"/>
    <cellStyle name="60% - Accent4 2 2" xfId="128" xr:uid="{00000000-0005-0000-0000-000031000000}"/>
    <cellStyle name="60% - Accent4 3" xfId="82" xr:uid="{00000000-0005-0000-0000-000032000000}"/>
    <cellStyle name="60% - Accent5 2" xfId="37" xr:uid="{00000000-0005-0000-0000-000033000000}"/>
    <cellStyle name="60% - Accent5 2 2" xfId="129" xr:uid="{00000000-0005-0000-0000-000034000000}"/>
    <cellStyle name="60% - Accent5 3" xfId="83" xr:uid="{00000000-0005-0000-0000-000035000000}"/>
    <cellStyle name="60% - Accent6 2" xfId="38" xr:uid="{00000000-0005-0000-0000-000036000000}"/>
    <cellStyle name="60% - Accent6 2 2" xfId="130" xr:uid="{00000000-0005-0000-0000-000037000000}"/>
    <cellStyle name="60% - Accent6 3" xfId="84" xr:uid="{00000000-0005-0000-0000-000038000000}"/>
    <cellStyle name="Accent1 2" xfId="39" xr:uid="{00000000-0005-0000-0000-000039000000}"/>
    <cellStyle name="Accent1 2 2" xfId="131" xr:uid="{00000000-0005-0000-0000-00003A000000}"/>
    <cellStyle name="Accent1 3" xfId="85" xr:uid="{00000000-0005-0000-0000-00003B000000}"/>
    <cellStyle name="Accent2 2" xfId="40" xr:uid="{00000000-0005-0000-0000-00003C000000}"/>
    <cellStyle name="Accent2 2 2" xfId="132" xr:uid="{00000000-0005-0000-0000-00003D000000}"/>
    <cellStyle name="Accent2 3" xfId="86" xr:uid="{00000000-0005-0000-0000-00003E000000}"/>
    <cellStyle name="Accent3 2" xfId="41" xr:uid="{00000000-0005-0000-0000-00003F000000}"/>
    <cellStyle name="Accent3 2 2" xfId="133" xr:uid="{00000000-0005-0000-0000-000040000000}"/>
    <cellStyle name="Accent3 3" xfId="87" xr:uid="{00000000-0005-0000-0000-000041000000}"/>
    <cellStyle name="Accent4 2" xfId="42" xr:uid="{00000000-0005-0000-0000-000042000000}"/>
    <cellStyle name="Accent4 2 2" xfId="134" xr:uid="{00000000-0005-0000-0000-000043000000}"/>
    <cellStyle name="Accent4 3" xfId="88" xr:uid="{00000000-0005-0000-0000-000044000000}"/>
    <cellStyle name="Accent5 2" xfId="43" xr:uid="{00000000-0005-0000-0000-000045000000}"/>
    <cellStyle name="Accent5 2 2" xfId="135" xr:uid="{00000000-0005-0000-0000-000046000000}"/>
    <cellStyle name="Accent5 3" xfId="89" xr:uid="{00000000-0005-0000-0000-000047000000}"/>
    <cellStyle name="Accent6 2" xfId="44" xr:uid="{00000000-0005-0000-0000-000048000000}"/>
    <cellStyle name="Accent6 2 2" xfId="136" xr:uid="{00000000-0005-0000-0000-000049000000}"/>
    <cellStyle name="Accent6 3" xfId="90" xr:uid="{00000000-0005-0000-0000-00004A000000}"/>
    <cellStyle name="Bad 2" xfId="45" xr:uid="{00000000-0005-0000-0000-00004B000000}"/>
    <cellStyle name="Bad 2 2" xfId="137" xr:uid="{00000000-0005-0000-0000-00004C000000}"/>
    <cellStyle name="Bad 3" xfId="91" xr:uid="{00000000-0005-0000-0000-00004D000000}"/>
    <cellStyle name="Calculation 2" xfId="46" xr:uid="{00000000-0005-0000-0000-00004E000000}"/>
    <cellStyle name="Calculation 2 2" xfId="138" xr:uid="{00000000-0005-0000-0000-00004F000000}"/>
    <cellStyle name="Calculation 2 3" xfId="173" xr:uid="{00000000-0005-0000-0000-000050000000}"/>
    <cellStyle name="Calculation 2 3 2" xfId="207" xr:uid="{00000000-0005-0000-0000-000051000000}"/>
    <cellStyle name="Calculation 2 4" xfId="196" xr:uid="{00000000-0005-0000-0000-000052000000}"/>
    <cellStyle name="Calculation 3" xfId="92" xr:uid="{00000000-0005-0000-0000-000053000000}"/>
    <cellStyle name="Calculation 3 2" xfId="175" xr:uid="{00000000-0005-0000-0000-000054000000}"/>
    <cellStyle name="Calculation 3 2 2" xfId="208" xr:uid="{00000000-0005-0000-0000-000055000000}"/>
    <cellStyle name="Calculation 3 3" xfId="200" xr:uid="{00000000-0005-0000-0000-000056000000}"/>
    <cellStyle name="Check Cell 2" xfId="47" xr:uid="{00000000-0005-0000-0000-000057000000}"/>
    <cellStyle name="Check Cell 2 2" xfId="139" xr:uid="{00000000-0005-0000-0000-000058000000}"/>
    <cellStyle name="Check Cell 3" xfId="93" xr:uid="{00000000-0005-0000-0000-000059000000}"/>
    <cellStyle name="Comma 2" xfId="18" xr:uid="{00000000-0005-0000-0000-00005A000000}"/>
    <cellStyle name="Comma 2 2" xfId="140" xr:uid="{00000000-0005-0000-0000-00005B000000}"/>
    <cellStyle name="Comma 2 3" xfId="186" xr:uid="{00000000-0005-0000-0000-00005C000000}"/>
    <cellStyle name="Comma 3" xfId="48" xr:uid="{00000000-0005-0000-0000-00005D000000}"/>
    <cellStyle name="Comma 3 2" xfId="108" xr:uid="{00000000-0005-0000-0000-00005E000000}"/>
    <cellStyle name="Comma 3 2 2" xfId="182" xr:uid="{00000000-0005-0000-0000-00005F000000}"/>
    <cellStyle name="Comma 4" xfId="141" xr:uid="{00000000-0005-0000-0000-000060000000}"/>
    <cellStyle name="Comma 4 2" xfId="189" xr:uid="{00000000-0005-0000-0000-000061000000}"/>
    <cellStyle name="Comma 5" xfId="185" xr:uid="{00000000-0005-0000-0000-000062000000}"/>
    <cellStyle name="Comma䲠[0]_THESIS_COVER" xfId="3" xr:uid="{00000000-0005-0000-0000-000063000000}"/>
    <cellStyle name="Euro" xfId="4" xr:uid="{00000000-0005-0000-0000-000064000000}"/>
    <cellStyle name="Euro 2" xfId="17" xr:uid="{00000000-0005-0000-0000-000065000000}"/>
    <cellStyle name="Explanatory Text 2" xfId="49" xr:uid="{00000000-0005-0000-0000-000066000000}"/>
    <cellStyle name="Explanatory Text 2 2" xfId="142" xr:uid="{00000000-0005-0000-0000-000067000000}"/>
    <cellStyle name="Explanatory Text 3" xfId="94" xr:uid="{00000000-0005-0000-0000-000068000000}"/>
    <cellStyle name="Good 2" xfId="50" xr:uid="{00000000-0005-0000-0000-000069000000}"/>
    <cellStyle name="Good 2 2" xfId="143" xr:uid="{00000000-0005-0000-0000-00006A000000}"/>
    <cellStyle name="Good 3" xfId="95" xr:uid="{00000000-0005-0000-0000-00006B000000}"/>
    <cellStyle name="Heading 1 2" xfId="51" xr:uid="{00000000-0005-0000-0000-00006C000000}"/>
    <cellStyle name="Heading 1 2 2" xfId="144" xr:uid="{00000000-0005-0000-0000-00006D000000}"/>
    <cellStyle name="Heading 1 3" xfId="96" xr:uid="{00000000-0005-0000-0000-00006E000000}"/>
    <cellStyle name="Heading 2 2" xfId="52" xr:uid="{00000000-0005-0000-0000-00006F000000}"/>
    <cellStyle name="Heading 2 2 2" xfId="145" xr:uid="{00000000-0005-0000-0000-000070000000}"/>
    <cellStyle name="Heading 2 3" xfId="97" xr:uid="{00000000-0005-0000-0000-000071000000}"/>
    <cellStyle name="Heading 3 2" xfId="53" xr:uid="{00000000-0005-0000-0000-000072000000}"/>
    <cellStyle name="Heading 3 2 2" xfId="146" xr:uid="{00000000-0005-0000-0000-000073000000}"/>
    <cellStyle name="Heading 3 2 3" xfId="169" xr:uid="{00000000-0005-0000-0000-000074000000}"/>
    <cellStyle name="Heading 3 3" xfId="98" xr:uid="{00000000-0005-0000-0000-000075000000}"/>
    <cellStyle name="Heading 3 3 2" xfId="179" xr:uid="{00000000-0005-0000-0000-000076000000}"/>
    <cellStyle name="Heading 3 4" xfId="164" xr:uid="{00000000-0005-0000-0000-000077000000}"/>
    <cellStyle name="Heading 3 4 2" xfId="194" xr:uid="{00000000-0005-0000-0000-000078000000}"/>
    <cellStyle name="Heading 3 4 2 2" xfId="209" xr:uid="{00000000-0005-0000-0000-000079000000}"/>
    <cellStyle name="Heading 4 2" xfId="54" xr:uid="{00000000-0005-0000-0000-00007A000000}"/>
    <cellStyle name="Heading 4 2 2" xfId="147" xr:uid="{00000000-0005-0000-0000-00007B000000}"/>
    <cellStyle name="Heading 4 3" xfId="99" xr:uid="{00000000-0005-0000-0000-00007C000000}"/>
    <cellStyle name="Input 2" xfId="55" xr:uid="{00000000-0005-0000-0000-00007D000000}"/>
    <cellStyle name="Input 2 2" xfId="148" xr:uid="{00000000-0005-0000-0000-00007E000000}"/>
    <cellStyle name="Input 2 3" xfId="178" xr:uid="{00000000-0005-0000-0000-00007F000000}"/>
    <cellStyle name="Input 2 3 2" xfId="210" xr:uid="{00000000-0005-0000-0000-000080000000}"/>
    <cellStyle name="Input 2 4" xfId="197" xr:uid="{00000000-0005-0000-0000-000081000000}"/>
    <cellStyle name="Input 3" xfId="100" xr:uid="{00000000-0005-0000-0000-000082000000}"/>
    <cellStyle name="Input 3 2" xfId="176" xr:uid="{00000000-0005-0000-0000-000083000000}"/>
    <cellStyle name="Input 3 2 2" xfId="211" xr:uid="{00000000-0005-0000-0000-000084000000}"/>
    <cellStyle name="Input 3 3" xfId="201" xr:uid="{00000000-0005-0000-0000-000085000000}"/>
    <cellStyle name="Linked Cell 2" xfId="56" xr:uid="{00000000-0005-0000-0000-000086000000}"/>
    <cellStyle name="Linked Cell 2 2" xfId="149" xr:uid="{00000000-0005-0000-0000-000087000000}"/>
    <cellStyle name="Linked Cell 2 3" xfId="171" xr:uid="{00000000-0005-0000-0000-000088000000}"/>
    <cellStyle name="Linked Cell 3" xfId="101" xr:uid="{00000000-0005-0000-0000-000089000000}"/>
    <cellStyle name="Linked Cell 3 2" xfId="180" xr:uid="{00000000-0005-0000-0000-00008A000000}"/>
    <cellStyle name="Linked Cell 4" xfId="165" xr:uid="{00000000-0005-0000-0000-00008B000000}"/>
    <cellStyle name="MS_Arabic" xfId="5" xr:uid="{00000000-0005-0000-0000-00008C000000}"/>
    <cellStyle name="Neutral 2" xfId="57" xr:uid="{00000000-0005-0000-0000-00008D000000}"/>
    <cellStyle name="Neutral 2 2" xfId="150" xr:uid="{00000000-0005-0000-0000-00008E000000}"/>
    <cellStyle name="Neutral 3" xfId="102" xr:uid="{00000000-0005-0000-0000-00008F000000}"/>
    <cellStyle name="Normal" xfId="0" builtinId="0"/>
    <cellStyle name="Normal 10" xfId="206" xr:uid="{00000000-0005-0000-0000-000091000000}"/>
    <cellStyle name="Normal 11" xfId="222" xr:uid="{00000000-0005-0000-0000-000092000000}"/>
    <cellStyle name="Normal 12" xfId="223" xr:uid="{00000000-0005-0000-0000-000093000000}"/>
    <cellStyle name="Normal 13" xfId="20" xr:uid="{00000000-0005-0000-0000-000094000000}"/>
    <cellStyle name="Normal 2" xfId="19" xr:uid="{00000000-0005-0000-0000-000095000000}"/>
    <cellStyle name="Normal 2 2" xfId="58" xr:uid="{00000000-0005-0000-0000-000096000000}"/>
    <cellStyle name="Normal 2 2 2" xfId="151" xr:uid="{00000000-0005-0000-0000-000097000000}"/>
    <cellStyle name="Normal 2 3" xfId="59" xr:uid="{00000000-0005-0000-0000-000098000000}"/>
    <cellStyle name="Normal 2 3 2" xfId="112" xr:uid="{00000000-0005-0000-0000-000099000000}"/>
    <cellStyle name="Normal 2 4" xfId="224" xr:uid="{00000000-0005-0000-0000-00009A000000}"/>
    <cellStyle name="Normal 3" xfId="60" xr:uid="{00000000-0005-0000-0000-00009B000000}"/>
    <cellStyle name="Normal 3 2" xfId="152" xr:uid="{00000000-0005-0000-0000-00009C000000}"/>
    <cellStyle name="Normal 4" xfId="110" xr:uid="{00000000-0005-0000-0000-00009D000000}"/>
    <cellStyle name="Normal 4 2" xfId="111" xr:uid="{00000000-0005-0000-0000-00009E000000}"/>
    <cellStyle name="Normal 4 3" xfId="153" xr:uid="{00000000-0005-0000-0000-00009F000000}"/>
    <cellStyle name="Normal 4 3 2" xfId="190" xr:uid="{00000000-0005-0000-0000-0000A0000000}"/>
    <cellStyle name="Normal 4 4" xfId="187" xr:uid="{00000000-0005-0000-0000-0000A1000000}"/>
    <cellStyle name="Normal 5" xfId="154" xr:uid="{00000000-0005-0000-0000-0000A2000000}"/>
    <cellStyle name="Normal 6" xfId="155" xr:uid="{00000000-0005-0000-0000-0000A3000000}"/>
    <cellStyle name="Normal 6 2" xfId="191" xr:uid="{00000000-0005-0000-0000-0000A4000000}"/>
    <cellStyle name="Normal 7" xfId="163" xr:uid="{00000000-0005-0000-0000-0000A5000000}"/>
    <cellStyle name="Normal 7 2" xfId="193" xr:uid="{00000000-0005-0000-0000-0000A6000000}"/>
    <cellStyle name="Normal 7 2 2" xfId="212" xr:uid="{00000000-0005-0000-0000-0000A7000000}"/>
    <cellStyle name="Normal 7 3" xfId="204" xr:uid="{00000000-0005-0000-0000-0000A8000000}"/>
    <cellStyle name="Normal 8" xfId="167" xr:uid="{00000000-0005-0000-0000-0000A9000000}"/>
    <cellStyle name="Normal 8 2" xfId="213" xr:uid="{00000000-0005-0000-0000-0000AA000000}"/>
    <cellStyle name="Normal 9" xfId="184" xr:uid="{00000000-0005-0000-0000-0000AB000000}"/>
    <cellStyle name="Normal 9 2" xfId="214" xr:uid="{00000000-0005-0000-0000-0000AC000000}"/>
    <cellStyle name="Normal_InternationalInvestmentPosition" xfId="6" xr:uid="{00000000-0005-0000-0000-0000AD000000}"/>
    <cellStyle name="Normal_T 25- T20" xfId="7" xr:uid="{00000000-0005-0000-0000-0000AE000000}"/>
    <cellStyle name="Note 2" xfId="103" xr:uid="{00000000-0005-0000-0000-0000AF000000}"/>
    <cellStyle name="Note 2 2" xfId="156" xr:uid="{00000000-0005-0000-0000-0000B0000000}"/>
    <cellStyle name="Note 2 3" xfId="181" xr:uid="{00000000-0005-0000-0000-0000B1000000}"/>
    <cellStyle name="Note 2 3 2" xfId="215" xr:uid="{00000000-0005-0000-0000-0000B2000000}"/>
    <cellStyle name="Note 2 4" xfId="172" xr:uid="{00000000-0005-0000-0000-0000B3000000}"/>
    <cellStyle name="Note 2 5" xfId="188" xr:uid="{00000000-0005-0000-0000-0000B4000000}"/>
    <cellStyle name="Note 2 5 2" xfId="216" xr:uid="{00000000-0005-0000-0000-0000B5000000}"/>
    <cellStyle name="Note 3" xfId="166" xr:uid="{00000000-0005-0000-0000-0000B6000000}"/>
    <cellStyle name="Note 3 2" xfId="195" xr:uid="{00000000-0005-0000-0000-0000B7000000}"/>
    <cellStyle name="Note 3 2 2" xfId="217" xr:uid="{00000000-0005-0000-0000-0000B8000000}"/>
    <cellStyle name="Note 3 3" xfId="205" xr:uid="{00000000-0005-0000-0000-0000B9000000}"/>
    <cellStyle name="Output 2" xfId="61" xr:uid="{00000000-0005-0000-0000-0000BA000000}"/>
    <cellStyle name="Output 2 2" xfId="157" xr:uid="{00000000-0005-0000-0000-0000BB000000}"/>
    <cellStyle name="Output 2 3" xfId="170" xr:uid="{00000000-0005-0000-0000-0000BC000000}"/>
    <cellStyle name="Output 2 3 2" xfId="218" xr:uid="{00000000-0005-0000-0000-0000BD000000}"/>
    <cellStyle name="Output 2 4" xfId="198" xr:uid="{00000000-0005-0000-0000-0000BE000000}"/>
    <cellStyle name="Output 3" xfId="104" xr:uid="{00000000-0005-0000-0000-0000BF000000}"/>
    <cellStyle name="Output 3 2" xfId="177" xr:uid="{00000000-0005-0000-0000-0000C0000000}"/>
    <cellStyle name="Output 3 2 2" xfId="219" xr:uid="{00000000-0005-0000-0000-0000C1000000}"/>
    <cellStyle name="Output 3 3" xfId="202" xr:uid="{00000000-0005-0000-0000-0000C2000000}"/>
    <cellStyle name="Percent 2" xfId="8" xr:uid="{00000000-0005-0000-0000-0000C3000000}"/>
    <cellStyle name="Percent 2 2" xfId="158" xr:uid="{00000000-0005-0000-0000-0000C4000000}"/>
    <cellStyle name="Percent 2 3" xfId="62" xr:uid="{00000000-0005-0000-0000-0000C5000000}"/>
    <cellStyle name="Percent 3" xfId="15" xr:uid="{00000000-0005-0000-0000-0000C6000000}"/>
    <cellStyle name="Percent 3 2" xfId="63" xr:uid="{00000000-0005-0000-0000-0000C7000000}"/>
    <cellStyle name="Percent 3 2 2" xfId="109" xr:uid="{00000000-0005-0000-0000-0000C8000000}"/>
    <cellStyle name="Percent 3 2 2 2" xfId="183" xr:uid="{00000000-0005-0000-0000-0000C9000000}"/>
    <cellStyle name="Percent 4" xfId="159" xr:uid="{00000000-0005-0000-0000-0000CA000000}"/>
    <cellStyle name="Percent 4 2" xfId="192" xr:uid="{00000000-0005-0000-0000-0000CB000000}"/>
    <cellStyle name="Style 1" xfId="9" xr:uid="{00000000-0005-0000-0000-0000CC000000}"/>
    <cellStyle name="Title 2" xfId="64" xr:uid="{00000000-0005-0000-0000-0000CD000000}"/>
    <cellStyle name="Title 2 2" xfId="160" xr:uid="{00000000-0005-0000-0000-0000CE000000}"/>
    <cellStyle name="Title 3" xfId="105" xr:uid="{00000000-0005-0000-0000-0000CF000000}"/>
    <cellStyle name="Total 2" xfId="65" xr:uid="{00000000-0005-0000-0000-0000D0000000}"/>
    <cellStyle name="Total 2 2" xfId="161" xr:uid="{00000000-0005-0000-0000-0000D1000000}"/>
    <cellStyle name="Total 2 3" xfId="174" xr:uid="{00000000-0005-0000-0000-0000D2000000}"/>
    <cellStyle name="Total 2 3 2" xfId="220" xr:uid="{00000000-0005-0000-0000-0000D3000000}"/>
    <cellStyle name="Total 2 4" xfId="199" xr:uid="{00000000-0005-0000-0000-0000D4000000}"/>
    <cellStyle name="Total 3" xfId="106" xr:uid="{00000000-0005-0000-0000-0000D5000000}"/>
    <cellStyle name="Total 3 2" xfId="168" xr:uid="{00000000-0005-0000-0000-0000D6000000}"/>
    <cellStyle name="Total 3 2 2" xfId="221" xr:uid="{00000000-0005-0000-0000-0000D7000000}"/>
    <cellStyle name="Total 3 3" xfId="203" xr:uid="{00000000-0005-0000-0000-0000D8000000}"/>
    <cellStyle name="Warning Text 2" xfId="66" xr:uid="{00000000-0005-0000-0000-0000D9000000}"/>
    <cellStyle name="Warning Text 2 2" xfId="162" xr:uid="{00000000-0005-0000-0000-0000DA000000}"/>
    <cellStyle name="Warning Text 3" xfId="107" xr:uid="{00000000-0005-0000-0000-0000DB000000}"/>
    <cellStyle name="عادي_30_09_03up" xfId="10" xr:uid="{00000000-0005-0000-0000-0000DC000000}"/>
    <cellStyle name="عملة [0]_30_09_03up" xfId="11" xr:uid="{00000000-0005-0000-0000-0000DD000000}"/>
    <cellStyle name="عملة_30_09_03up" xfId="12" xr:uid="{00000000-0005-0000-0000-0000DE000000}"/>
    <cellStyle name="فاصلة [0]_30_09_03up" xfId="13" xr:uid="{00000000-0005-0000-0000-0000DF000000}"/>
    <cellStyle name="فاصلة_30_09_03up" xfId="14" xr:uid="{00000000-0005-0000-0000-0000E0000000}"/>
  </cellStyles>
  <dxfs count="0"/>
  <tableStyles count="0" defaultTableStyle="TableStyleMedium2" defaultPivotStyle="PivotStyleLight16"/>
  <colors>
    <mruColors>
      <color rgb="FFC0C0C0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106136</xdr:colOff>
      <xdr:row>0</xdr:row>
      <xdr:rowOff>238125</xdr:rowOff>
    </xdr:from>
    <xdr:to>
      <xdr:col>1</xdr:col>
      <xdr:colOff>625929</xdr:colOff>
      <xdr:row>2</xdr:row>
      <xdr:rowOff>114300</xdr:rowOff>
    </xdr:to>
    <xdr:pic>
      <xdr:nvPicPr>
        <xdr:cNvPr id="1361" name="Picture 1" descr="image001">
          <a:extLst>
            <a:ext uri="{FF2B5EF4-FFF2-40B4-BE49-F238E27FC236}">
              <a16:creationId xmlns:a16="http://schemas.microsoft.com/office/drawing/2014/main" id="{00000000-0008-0000-0000-00005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102" y="238125"/>
          <a:ext cx="519793" cy="5454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12</xdr:row>
      <xdr:rowOff>0</xdr:rowOff>
    </xdr:from>
    <xdr:to>
      <xdr:col>2</xdr:col>
      <xdr:colOff>0</xdr:colOff>
      <xdr:row>12</xdr:row>
      <xdr:rowOff>144780</xdr:rowOff>
    </xdr:to>
    <xdr:sp macro="" textlink="">
      <xdr:nvSpPr>
        <xdr:cNvPr id="1026" name="Text Box 2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SpPr txBox="1">
          <a:spLocks noChangeArrowheads="1"/>
        </xdr:cNvSpPr>
      </xdr:nvSpPr>
      <xdr:spPr bwMode="auto">
        <a:xfrm>
          <a:off x="3246120" y="4061460"/>
          <a:ext cx="0" cy="1447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*</a:t>
          </a:r>
        </a:p>
      </xdr:txBody>
    </xdr:sp>
    <xdr:clientData/>
  </xdr:twoCellAnchor>
  <xdr:twoCellAnchor>
    <xdr:from>
      <xdr:col>2</xdr:col>
      <xdr:colOff>0</xdr:colOff>
      <xdr:row>12</xdr:row>
      <xdr:rowOff>38100</xdr:rowOff>
    </xdr:from>
    <xdr:to>
      <xdr:col>2</xdr:col>
      <xdr:colOff>0</xdr:colOff>
      <xdr:row>12</xdr:row>
      <xdr:rowOff>182880</xdr:rowOff>
    </xdr:to>
    <xdr:sp macro="" textlink="">
      <xdr:nvSpPr>
        <xdr:cNvPr id="1027" name="Text Box 3">
          <a:extLst>
            <a:ext uri="{FF2B5EF4-FFF2-40B4-BE49-F238E27FC236}">
              <a16:creationId xmlns:a16="http://schemas.microsoft.com/office/drawing/2014/main" id="{00000000-0008-0000-0000-000003040000}"/>
            </a:ext>
          </a:extLst>
        </xdr:cNvPr>
        <xdr:cNvSpPr txBox="1">
          <a:spLocks noChangeArrowheads="1"/>
        </xdr:cNvSpPr>
      </xdr:nvSpPr>
      <xdr:spPr bwMode="auto">
        <a:xfrm>
          <a:off x="3246120" y="4099560"/>
          <a:ext cx="0" cy="1447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*</a:t>
          </a:r>
        </a:p>
      </xdr:txBody>
    </xdr:sp>
    <xdr:clientData/>
  </xdr:twoCellAnchor>
  <xdr:twoCellAnchor>
    <xdr:from>
      <xdr:col>2</xdr:col>
      <xdr:colOff>0</xdr:colOff>
      <xdr:row>12</xdr:row>
      <xdr:rowOff>0</xdr:rowOff>
    </xdr:from>
    <xdr:to>
      <xdr:col>2</xdr:col>
      <xdr:colOff>0</xdr:colOff>
      <xdr:row>12</xdr:row>
      <xdr:rowOff>144780</xdr:rowOff>
    </xdr:to>
    <xdr:sp macro="" textlink="">
      <xdr:nvSpPr>
        <xdr:cNvPr id="1028" name="Text Box 4">
          <a:extLst>
            <a:ext uri="{FF2B5EF4-FFF2-40B4-BE49-F238E27FC236}">
              <a16:creationId xmlns:a16="http://schemas.microsoft.com/office/drawing/2014/main" id="{00000000-0008-0000-0000-000004040000}"/>
            </a:ext>
          </a:extLst>
        </xdr:cNvPr>
        <xdr:cNvSpPr txBox="1">
          <a:spLocks noChangeArrowheads="1"/>
        </xdr:cNvSpPr>
      </xdr:nvSpPr>
      <xdr:spPr bwMode="auto">
        <a:xfrm>
          <a:off x="3246120" y="4061460"/>
          <a:ext cx="0" cy="1447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*</a:t>
          </a:r>
        </a:p>
      </xdr:txBody>
    </xdr:sp>
    <xdr:clientData/>
  </xdr:twoCellAnchor>
  <xdr:twoCellAnchor>
    <xdr:from>
      <xdr:col>2</xdr:col>
      <xdr:colOff>0</xdr:colOff>
      <xdr:row>12</xdr:row>
      <xdr:rowOff>38100</xdr:rowOff>
    </xdr:from>
    <xdr:to>
      <xdr:col>2</xdr:col>
      <xdr:colOff>0</xdr:colOff>
      <xdr:row>12</xdr:row>
      <xdr:rowOff>182880</xdr:rowOff>
    </xdr:to>
    <xdr:sp macro="" textlink="">
      <xdr:nvSpPr>
        <xdr:cNvPr id="1029" name="Text Box 5">
          <a:extLst>
            <a:ext uri="{FF2B5EF4-FFF2-40B4-BE49-F238E27FC236}">
              <a16:creationId xmlns:a16="http://schemas.microsoft.com/office/drawing/2014/main" id="{00000000-0008-0000-0000-000005040000}"/>
            </a:ext>
          </a:extLst>
        </xdr:cNvPr>
        <xdr:cNvSpPr txBox="1">
          <a:spLocks noChangeArrowheads="1"/>
        </xdr:cNvSpPr>
      </xdr:nvSpPr>
      <xdr:spPr bwMode="auto">
        <a:xfrm>
          <a:off x="3246120" y="4099560"/>
          <a:ext cx="0" cy="1447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*</a:t>
          </a:r>
        </a:p>
      </xdr:txBody>
    </xdr:sp>
    <xdr:clientData/>
  </xdr:twoCellAnchor>
  <xdr:twoCellAnchor>
    <xdr:from>
      <xdr:col>2</xdr:col>
      <xdr:colOff>0</xdr:colOff>
      <xdr:row>12</xdr:row>
      <xdr:rowOff>0</xdr:rowOff>
    </xdr:from>
    <xdr:to>
      <xdr:col>2</xdr:col>
      <xdr:colOff>0</xdr:colOff>
      <xdr:row>12</xdr:row>
      <xdr:rowOff>144780</xdr:rowOff>
    </xdr:to>
    <xdr:sp macro="" textlink="">
      <xdr:nvSpPr>
        <xdr:cNvPr id="1030" name="Text Box 6">
          <a:extLst>
            <a:ext uri="{FF2B5EF4-FFF2-40B4-BE49-F238E27FC236}">
              <a16:creationId xmlns:a16="http://schemas.microsoft.com/office/drawing/2014/main" id="{00000000-0008-0000-0000-000006040000}"/>
            </a:ext>
          </a:extLst>
        </xdr:cNvPr>
        <xdr:cNvSpPr txBox="1">
          <a:spLocks noChangeArrowheads="1"/>
        </xdr:cNvSpPr>
      </xdr:nvSpPr>
      <xdr:spPr bwMode="auto">
        <a:xfrm>
          <a:off x="3246120" y="4061460"/>
          <a:ext cx="0" cy="1447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*</a:t>
          </a:r>
        </a:p>
      </xdr:txBody>
    </xdr:sp>
    <xdr:clientData/>
  </xdr:twoCellAnchor>
  <xdr:twoCellAnchor>
    <xdr:from>
      <xdr:col>2</xdr:col>
      <xdr:colOff>0</xdr:colOff>
      <xdr:row>12</xdr:row>
      <xdr:rowOff>38100</xdr:rowOff>
    </xdr:from>
    <xdr:to>
      <xdr:col>2</xdr:col>
      <xdr:colOff>0</xdr:colOff>
      <xdr:row>12</xdr:row>
      <xdr:rowOff>182880</xdr:rowOff>
    </xdr:to>
    <xdr:sp macro="" textlink="">
      <xdr:nvSpPr>
        <xdr:cNvPr id="1031" name="Text Box 7">
          <a:extLst>
            <a:ext uri="{FF2B5EF4-FFF2-40B4-BE49-F238E27FC236}">
              <a16:creationId xmlns:a16="http://schemas.microsoft.com/office/drawing/2014/main" id="{00000000-0008-0000-0000-000007040000}"/>
            </a:ext>
          </a:extLst>
        </xdr:cNvPr>
        <xdr:cNvSpPr txBox="1">
          <a:spLocks noChangeArrowheads="1"/>
        </xdr:cNvSpPr>
      </xdr:nvSpPr>
      <xdr:spPr bwMode="auto">
        <a:xfrm>
          <a:off x="3246120" y="4099560"/>
          <a:ext cx="0" cy="1447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*</a:t>
          </a:r>
        </a:p>
      </xdr:txBody>
    </xdr:sp>
    <xdr:clientData/>
  </xdr:twoCellAnchor>
  <xdr:twoCellAnchor>
    <xdr:from>
      <xdr:col>2</xdr:col>
      <xdr:colOff>0</xdr:colOff>
      <xdr:row>3</xdr:row>
      <xdr:rowOff>198120</xdr:rowOff>
    </xdr:from>
    <xdr:to>
      <xdr:col>2</xdr:col>
      <xdr:colOff>0</xdr:colOff>
      <xdr:row>4</xdr:row>
      <xdr:rowOff>182880</xdr:rowOff>
    </xdr:to>
    <xdr:sp macro="" textlink="">
      <xdr:nvSpPr>
        <xdr:cNvPr id="1032" name="Text Box 8">
          <a:extLst>
            <a:ext uri="{FF2B5EF4-FFF2-40B4-BE49-F238E27FC236}">
              <a16:creationId xmlns:a16="http://schemas.microsoft.com/office/drawing/2014/main" id="{00000000-0008-0000-0000-000008040000}"/>
            </a:ext>
          </a:extLst>
        </xdr:cNvPr>
        <xdr:cNvSpPr txBox="1">
          <a:spLocks noChangeArrowheads="1"/>
        </xdr:cNvSpPr>
      </xdr:nvSpPr>
      <xdr:spPr bwMode="auto">
        <a:xfrm>
          <a:off x="3246120" y="1181100"/>
          <a:ext cx="0" cy="3657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*</a:t>
          </a:r>
        </a:p>
      </xdr:txBody>
    </xdr:sp>
    <xdr:clientData/>
  </xdr:twoCellAnchor>
  <xdr:twoCellAnchor>
    <xdr:from>
      <xdr:col>2</xdr:col>
      <xdr:colOff>0</xdr:colOff>
      <xdr:row>3</xdr:row>
      <xdr:rowOff>228600</xdr:rowOff>
    </xdr:from>
    <xdr:to>
      <xdr:col>2</xdr:col>
      <xdr:colOff>0</xdr:colOff>
      <xdr:row>4</xdr:row>
      <xdr:rowOff>213360</xdr:rowOff>
    </xdr:to>
    <xdr:sp macro="" textlink="">
      <xdr:nvSpPr>
        <xdr:cNvPr id="1033" name="Text Box 9">
          <a:extLst>
            <a:ext uri="{FF2B5EF4-FFF2-40B4-BE49-F238E27FC236}">
              <a16:creationId xmlns:a16="http://schemas.microsoft.com/office/drawing/2014/main" id="{00000000-0008-0000-0000-000009040000}"/>
            </a:ext>
          </a:extLst>
        </xdr:cNvPr>
        <xdr:cNvSpPr txBox="1">
          <a:spLocks noChangeArrowheads="1"/>
        </xdr:cNvSpPr>
      </xdr:nvSpPr>
      <xdr:spPr bwMode="auto">
        <a:xfrm>
          <a:off x="3246120" y="1211580"/>
          <a:ext cx="0" cy="3657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*</a:t>
          </a:r>
        </a:p>
      </xdr:txBody>
    </xdr:sp>
    <xdr:clientData/>
  </xdr:twoCellAnchor>
  <xdr:twoCellAnchor>
    <xdr:from>
      <xdr:col>2</xdr:col>
      <xdr:colOff>0</xdr:colOff>
      <xdr:row>3</xdr:row>
      <xdr:rowOff>198120</xdr:rowOff>
    </xdr:from>
    <xdr:to>
      <xdr:col>2</xdr:col>
      <xdr:colOff>0</xdr:colOff>
      <xdr:row>4</xdr:row>
      <xdr:rowOff>182880</xdr:rowOff>
    </xdr:to>
    <xdr:sp macro="" textlink="">
      <xdr:nvSpPr>
        <xdr:cNvPr id="1034" name="Text Box 10">
          <a:extLst>
            <a:ext uri="{FF2B5EF4-FFF2-40B4-BE49-F238E27FC236}">
              <a16:creationId xmlns:a16="http://schemas.microsoft.com/office/drawing/2014/main" id="{00000000-0008-0000-0000-00000A040000}"/>
            </a:ext>
          </a:extLst>
        </xdr:cNvPr>
        <xdr:cNvSpPr txBox="1">
          <a:spLocks noChangeArrowheads="1"/>
        </xdr:cNvSpPr>
      </xdr:nvSpPr>
      <xdr:spPr bwMode="auto">
        <a:xfrm>
          <a:off x="3246120" y="1181100"/>
          <a:ext cx="0" cy="3657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*</a:t>
          </a:r>
        </a:p>
      </xdr:txBody>
    </xdr:sp>
    <xdr:clientData/>
  </xdr:twoCellAnchor>
  <xdr:twoCellAnchor>
    <xdr:from>
      <xdr:col>2</xdr:col>
      <xdr:colOff>0</xdr:colOff>
      <xdr:row>3</xdr:row>
      <xdr:rowOff>198120</xdr:rowOff>
    </xdr:from>
    <xdr:to>
      <xdr:col>2</xdr:col>
      <xdr:colOff>0</xdr:colOff>
      <xdr:row>4</xdr:row>
      <xdr:rowOff>182880</xdr:rowOff>
    </xdr:to>
    <xdr:sp macro="" textlink="">
      <xdr:nvSpPr>
        <xdr:cNvPr id="1035" name="Text Box 11">
          <a:extLst>
            <a:ext uri="{FF2B5EF4-FFF2-40B4-BE49-F238E27FC236}">
              <a16:creationId xmlns:a16="http://schemas.microsoft.com/office/drawing/2014/main" id="{00000000-0008-0000-0000-00000B040000}"/>
            </a:ext>
          </a:extLst>
        </xdr:cNvPr>
        <xdr:cNvSpPr txBox="1">
          <a:spLocks noChangeArrowheads="1"/>
        </xdr:cNvSpPr>
      </xdr:nvSpPr>
      <xdr:spPr bwMode="auto">
        <a:xfrm>
          <a:off x="8854440" y="1181100"/>
          <a:ext cx="0" cy="3657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*</a:t>
          </a:r>
        </a:p>
      </xdr:txBody>
    </xdr:sp>
    <xdr:clientData/>
  </xdr:twoCellAnchor>
  <xdr:twoCellAnchor>
    <xdr:from>
      <xdr:col>2</xdr:col>
      <xdr:colOff>0</xdr:colOff>
      <xdr:row>3</xdr:row>
      <xdr:rowOff>228600</xdr:rowOff>
    </xdr:from>
    <xdr:to>
      <xdr:col>2</xdr:col>
      <xdr:colOff>0</xdr:colOff>
      <xdr:row>4</xdr:row>
      <xdr:rowOff>213360</xdr:rowOff>
    </xdr:to>
    <xdr:sp macro="" textlink="">
      <xdr:nvSpPr>
        <xdr:cNvPr id="1036" name="Text Box 12">
          <a:extLst>
            <a:ext uri="{FF2B5EF4-FFF2-40B4-BE49-F238E27FC236}">
              <a16:creationId xmlns:a16="http://schemas.microsoft.com/office/drawing/2014/main" id="{00000000-0008-0000-0000-00000C040000}"/>
            </a:ext>
          </a:extLst>
        </xdr:cNvPr>
        <xdr:cNvSpPr txBox="1">
          <a:spLocks noChangeArrowheads="1"/>
        </xdr:cNvSpPr>
      </xdr:nvSpPr>
      <xdr:spPr bwMode="auto">
        <a:xfrm>
          <a:off x="8854440" y="1211580"/>
          <a:ext cx="0" cy="3657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*</a:t>
          </a:r>
        </a:p>
      </xdr:txBody>
    </xdr:sp>
    <xdr:clientData/>
  </xdr:twoCellAnchor>
  <xdr:twoCellAnchor>
    <xdr:from>
      <xdr:col>2</xdr:col>
      <xdr:colOff>0</xdr:colOff>
      <xdr:row>3</xdr:row>
      <xdr:rowOff>198120</xdr:rowOff>
    </xdr:from>
    <xdr:to>
      <xdr:col>2</xdr:col>
      <xdr:colOff>0</xdr:colOff>
      <xdr:row>4</xdr:row>
      <xdr:rowOff>182880</xdr:rowOff>
    </xdr:to>
    <xdr:sp macro="" textlink="">
      <xdr:nvSpPr>
        <xdr:cNvPr id="1037" name="Text Box 13">
          <a:extLst>
            <a:ext uri="{FF2B5EF4-FFF2-40B4-BE49-F238E27FC236}">
              <a16:creationId xmlns:a16="http://schemas.microsoft.com/office/drawing/2014/main" id="{00000000-0008-0000-0000-00000D040000}"/>
            </a:ext>
          </a:extLst>
        </xdr:cNvPr>
        <xdr:cNvSpPr txBox="1">
          <a:spLocks noChangeArrowheads="1"/>
        </xdr:cNvSpPr>
      </xdr:nvSpPr>
      <xdr:spPr bwMode="auto">
        <a:xfrm>
          <a:off x="8854440" y="1181100"/>
          <a:ext cx="0" cy="3657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*</a:t>
          </a:r>
        </a:p>
      </xdr:txBody>
    </xdr:sp>
    <xdr:clientData/>
  </xdr:twoCellAnchor>
  <xdr:twoCellAnchor>
    <xdr:from>
      <xdr:col>2</xdr:col>
      <xdr:colOff>0</xdr:colOff>
      <xdr:row>3</xdr:row>
      <xdr:rowOff>228600</xdr:rowOff>
    </xdr:from>
    <xdr:to>
      <xdr:col>2</xdr:col>
      <xdr:colOff>0</xdr:colOff>
      <xdr:row>4</xdr:row>
      <xdr:rowOff>198120</xdr:rowOff>
    </xdr:to>
    <xdr:sp macro="" textlink="">
      <xdr:nvSpPr>
        <xdr:cNvPr id="1038" name="Text Box 14">
          <a:extLst>
            <a:ext uri="{FF2B5EF4-FFF2-40B4-BE49-F238E27FC236}">
              <a16:creationId xmlns:a16="http://schemas.microsoft.com/office/drawing/2014/main" id="{00000000-0008-0000-0000-00000E040000}"/>
            </a:ext>
          </a:extLst>
        </xdr:cNvPr>
        <xdr:cNvSpPr txBox="1">
          <a:spLocks noChangeArrowheads="1"/>
        </xdr:cNvSpPr>
      </xdr:nvSpPr>
      <xdr:spPr bwMode="auto">
        <a:xfrm>
          <a:off x="17891760" y="1211580"/>
          <a:ext cx="0" cy="3505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*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42"/>
  <sheetViews>
    <sheetView tabSelected="1" topLeftCell="B1" zoomScale="70" zoomScaleNormal="70" zoomScaleSheetLayoutView="70" workbookViewId="0">
      <pane xSplit="1" ySplit="7" topLeftCell="AA8" activePane="bottomRight" state="frozen"/>
      <selection activeCell="B1" sqref="B1"/>
      <selection pane="topRight" activeCell="C1" sqref="C1"/>
      <selection pane="bottomLeft" activeCell="B8" sqref="B8"/>
      <selection pane="bottomRight" activeCell="AN6" sqref="AN6"/>
    </sheetView>
  </sheetViews>
  <sheetFormatPr defaultColWidth="9.140625" defaultRowHeight="12.75"/>
  <cols>
    <col min="1" max="1" width="9.140625" style="1"/>
    <col min="2" max="2" width="46.85546875" style="2" customWidth="1"/>
    <col min="3" max="8" width="10.5703125" style="1" hidden="1" customWidth="1"/>
    <col min="9" max="21" width="12" style="1" hidden="1" customWidth="1"/>
    <col min="22" max="22" width="14" style="1" hidden="1" customWidth="1"/>
    <col min="23" max="26" width="12" style="1" hidden="1" customWidth="1"/>
    <col min="27" max="30" width="12" style="1" bestFit="1" customWidth="1"/>
    <col min="31" max="32" width="14.28515625" style="1" customWidth="1"/>
    <col min="33" max="34" width="13.5703125" style="1" customWidth="1"/>
    <col min="35" max="35" width="15.42578125" style="1" customWidth="1"/>
    <col min="36" max="36" width="14.5703125" style="1" customWidth="1"/>
    <col min="37" max="16384" width="9.140625" style="1"/>
  </cols>
  <sheetData>
    <row r="1" spans="1:39" ht="26.25" customHeight="1">
      <c r="O1" s="14"/>
      <c r="P1" s="14"/>
    </row>
    <row r="2" spans="1:39" ht="26.25" customHeight="1">
      <c r="B2" s="11" t="s">
        <v>6</v>
      </c>
      <c r="O2" s="14"/>
      <c r="P2" s="14"/>
    </row>
    <row r="3" spans="1:39" ht="26.25" customHeight="1">
      <c r="O3" s="14"/>
      <c r="P3" s="14"/>
    </row>
    <row r="4" spans="1:39" s="3" customFormat="1" ht="30" customHeight="1">
      <c r="B4" s="13" t="s">
        <v>7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2"/>
      <c r="P4" s="60"/>
      <c r="Q4" s="60"/>
      <c r="R4" s="16"/>
      <c r="S4" s="17"/>
      <c r="T4" s="18"/>
      <c r="U4" s="23"/>
      <c r="V4" s="24"/>
      <c r="W4" s="25"/>
      <c r="X4" s="26"/>
      <c r="Y4" s="27"/>
      <c r="Z4" s="28"/>
      <c r="AA4" s="43"/>
      <c r="AB4" s="43"/>
      <c r="AC4" s="44"/>
      <c r="AD4" s="45"/>
      <c r="AE4" s="46"/>
      <c r="AF4" s="47"/>
      <c r="AG4" s="53"/>
      <c r="AH4" s="52"/>
      <c r="AI4" s="54"/>
      <c r="AJ4" s="55"/>
    </row>
    <row r="5" spans="1:39" s="3" customFormat="1" ht="19.5" customHeight="1" thickBot="1">
      <c r="B5" s="4"/>
      <c r="D5" s="5"/>
      <c r="F5" s="5"/>
      <c r="R5" s="15"/>
      <c r="S5" s="15"/>
      <c r="W5" s="15"/>
      <c r="X5" s="15"/>
      <c r="Y5" s="15"/>
      <c r="Z5" s="15"/>
      <c r="AA5" s="15"/>
      <c r="AB5" s="15"/>
      <c r="AC5" s="15"/>
      <c r="AE5" s="15"/>
      <c r="AG5" s="15"/>
      <c r="AJ5" s="15" t="s">
        <v>33</v>
      </c>
    </row>
    <row r="6" spans="1:39" s="6" customFormat="1" ht="25.5" customHeight="1" thickTop="1" thickBot="1">
      <c r="B6" s="61" t="s">
        <v>8</v>
      </c>
      <c r="C6" s="57" t="s">
        <v>30</v>
      </c>
      <c r="D6" s="56"/>
      <c r="E6" s="56"/>
      <c r="F6" s="56"/>
      <c r="G6" s="57" t="s">
        <v>31</v>
      </c>
      <c r="H6" s="56"/>
      <c r="I6" s="56"/>
      <c r="J6" s="56"/>
      <c r="K6" s="57" t="s">
        <v>32</v>
      </c>
      <c r="L6" s="56"/>
      <c r="M6" s="56"/>
      <c r="N6" s="56"/>
      <c r="O6" s="57" t="s">
        <v>34</v>
      </c>
      <c r="P6" s="56"/>
      <c r="Q6" s="56"/>
      <c r="R6" s="56"/>
      <c r="S6" s="57" t="s">
        <v>36</v>
      </c>
      <c r="T6" s="56"/>
      <c r="U6" s="56"/>
      <c r="V6" s="56"/>
      <c r="W6" s="57" t="s">
        <v>37</v>
      </c>
      <c r="X6" s="56"/>
      <c r="Y6" s="56"/>
      <c r="Z6" s="58"/>
      <c r="AA6" s="59" t="s">
        <v>42</v>
      </c>
      <c r="AB6" s="56"/>
      <c r="AC6" s="56"/>
      <c r="AD6" s="56" t="s">
        <v>43</v>
      </c>
      <c r="AE6" s="56"/>
      <c r="AF6" s="56"/>
      <c r="AG6" s="56"/>
      <c r="AH6" s="56" t="s">
        <v>44</v>
      </c>
      <c r="AI6" s="56"/>
      <c r="AJ6" s="56"/>
      <c r="AK6" s="1"/>
      <c r="AL6" s="1"/>
      <c r="AM6" s="1"/>
    </row>
    <row r="7" spans="1:39" ht="24" customHeight="1" thickTop="1" thickBot="1">
      <c r="B7" s="62"/>
      <c r="C7" s="7" t="s">
        <v>12</v>
      </c>
      <c r="D7" s="7" t="s">
        <v>9</v>
      </c>
      <c r="E7" s="7" t="s">
        <v>10</v>
      </c>
      <c r="F7" s="7" t="s">
        <v>11</v>
      </c>
      <c r="G7" s="7" t="s">
        <v>12</v>
      </c>
      <c r="H7" s="7" t="s">
        <v>9</v>
      </c>
      <c r="I7" s="7" t="s">
        <v>10</v>
      </c>
      <c r="J7" s="7" t="s">
        <v>11</v>
      </c>
      <c r="K7" s="7" t="s">
        <v>12</v>
      </c>
      <c r="L7" s="7" t="s">
        <v>9</v>
      </c>
      <c r="M7" s="7" t="s">
        <v>10</v>
      </c>
      <c r="N7" s="7" t="s">
        <v>11</v>
      </c>
      <c r="O7" s="7" t="s">
        <v>12</v>
      </c>
      <c r="P7" s="7" t="s">
        <v>9</v>
      </c>
      <c r="Q7" s="7" t="s">
        <v>10</v>
      </c>
      <c r="R7" s="7" t="s">
        <v>11</v>
      </c>
      <c r="S7" s="7" t="s">
        <v>12</v>
      </c>
      <c r="T7" s="7" t="s">
        <v>9</v>
      </c>
      <c r="U7" s="29" t="s">
        <v>10</v>
      </c>
      <c r="V7" s="7" t="s">
        <v>11</v>
      </c>
      <c r="W7" s="7" t="s">
        <v>12</v>
      </c>
      <c r="X7" s="30" t="s">
        <v>9</v>
      </c>
      <c r="Y7" s="31" t="s">
        <v>10</v>
      </c>
      <c r="Z7" s="29" t="s">
        <v>11</v>
      </c>
      <c r="AA7" s="29" t="s">
        <v>9</v>
      </c>
      <c r="AB7" s="30" t="s">
        <v>10</v>
      </c>
      <c r="AC7" s="30" t="s">
        <v>11</v>
      </c>
      <c r="AD7" s="30" t="s">
        <v>12</v>
      </c>
      <c r="AE7" s="30" t="s">
        <v>9</v>
      </c>
      <c r="AF7" s="30" t="s">
        <v>10</v>
      </c>
      <c r="AG7" s="7" t="s">
        <v>11</v>
      </c>
      <c r="AH7" s="7" t="s">
        <v>12</v>
      </c>
      <c r="AI7" s="30" t="s">
        <v>9</v>
      </c>
      <c r="AJ7" s="30" t="s">
        <v>10</v>
      </c>
    </row>
    <row r="8" spans="1:39" ht="29.25" customHeight="1" thickTop="1" thickBot="1">
      <c r="B8" s="19" t="s">
        <v>13</v>
      </c>
      <c r="C8" s="8">
        <v>80831.899999999994</v>
      </c>
      <c r="D8" s="8">
        <v>82884.5</v>
      </c>
      <c r="E8" s="8">
        <v>88163.9</v>
      </c>
      <c r="F8" s="8">
        <v>92643.9</v>
      </c>
      <c r="G8" s="8">
        <v>93130.7</v>
      </c>
      <c r="H8" s="8">
        <v>96612.1</v>
      </c>
      <c r="I8" s="8">
        <v>106220.8</v>
      </c>
      <c r="J8" s="8">
        <v>108699.1</v>
      </c>
      <c r="K8" s="8">
        <v>109362.6</v>
      </c>
      <c r="L8" s="8">
        <v>112670.6</v>
      </c>
      <c r="M8" s="8">
        <v>111292.2</v>
      </c>
      <c r="N8" s="8">
        <v>123490.5</v>
      </c>
      <c r="O8" s="8">
        <v>125337.8</v>
      </c>
      <c r="P8" s="8">
        <v>129195.7</v>
      </c>
      <c r="Q8" s="8">
        <v>134841.20000000001</v>
      </c>
      <c r="R8" s="8">
        <v>137859.6</v>
      </c>
      <c r="S8" s="8">
        <v>137420.1</v>
      </c>
      <c r="T8" s="8">
        <v>145529.29999999999</v>
      </c>
      <c r="U8" s="8">
        <v>157801</v>
      </c>
      <c r="V8" s="8">
        <v>155708.9</v>
      </c>
      <c r="W8" s="8">
        <v>154980.4</v>
      </c>
      <c r="X8" s="8">
        <v>162927.9</v>
      </c>
      <c r="Y8" s="8">
        <v>165361.1</v>
      </c>
      <c r="Z8" s="8">
        <v>164727.6</v>
      </c>
      <c r="AA8" s="8">
        <v>168034.19999999998</v>
      </c>
      <c r="AB8" s="8">
        <v>160607.4</v>
      </c>
      <c r="AC8" s="8">
        <v>152885.20000000001</v>
      </c>
      <c r="AD8" s="8">
        <v>155204.30000000002</v>
      </c>
      <c r="AE8" s="8">
        <v>155093.4</v>
      </c>
      <c r="AF8" s="8">
        <v>156689.20000000001</v>
      </c>
      <c r="AG8" s="8">
        <v>161230.1</v>
      </c>
      <c r="AH8" s="8">
        <v>163713.49999999997</v>
      </c>
      <c r="AI8" s="8">
        <v>163911.1</v>
      </c>
      <c r="AJ8" s="8">
        <v>164776.4</v>
      </c>
    </row>
    <row r="9" spans="1:39" ht="29.25" customHeight="1" thickTop="1" thickBot="1">
      <c r="B9" s="40" t="s">
        <v>18</v>
      </c>
      <c r="C9" s="36">
        <v>68757.3</v>
      </c>
      <c r="D9" s="36">
        <v>71756.100000000006</v>
      </c>
      <c r="E9" s="36">
        <v>76659</v>
      </c>
      <c r="F9" s="36">
        <v>80360.2</v>
      </c>
      <c r="G9" s="36">
        <v>81636.5</v>
      </c>
      <c r="H9" s="36">
        <v>86271.1</v>
      </c>
      <c r="I9" s="36">
        <v>93824.8</v>
      </c>
      <c r="J9" s="36">
        <v>97643.7</v>
      </c>
      <c r="K9" s="36">
        <v>98329.2</v>
      </c>
      <c r="L9" s="36">
        <v>101386.4</v>
      </c>
      <c r="M9" s="36">
        <v>100975.7</v>
      </c>
      <c r="N9" s="36">
        <v>112624.5</v>
      </c>
      <c r="O9" s="36">
        <v>113014</v>
      </c>
      <c r="P9" s="36">
        <v>117237</v>
      </c>
      <c r="Q9" s="36">
        <v>121579.5</v>
      </c>
      <c r="R9" s="36">
        <v>124143.6</v>
      </c>
      <c r="S9" s="36">
        <v>125939.5</v>
      </c>
      <c r="T9" s="41">
        <v>132687.1</v>
      </c>
      <c r="U9" s="36">
        <v>131359.29999999999</v>
      </c>
      <c r="V9" s="36">
        <v>129089.2</v>
      </c>
      <c r="W9" s="36">
        <v>127572.4</v>
      </c>
      <c r="X9" s="36">
        <v>132681.4</v>
      </c>
      <c r="Y9" s="36">
        <v>136410.29999999999</v>
      </c>
      <c r="Z9" s="36">
        <v>136577</v>
      </c>
      <c r="AA9" s="36">
        <v>138551.29999999999</v>
      </c>
      <c r="AB9" s="36">
        <v>135257.1</v>
      </c>
      <c r="AC9" s="36">
        <v>126860.4</v>
      </c>
      <c r="AD9" s="36">
        <v>127538.50000000001</v>
      </c>
      <c r="AE9" s="36">
        <v>124098.1</v>
      </c>
      <c r="AF9" s="36">
        <v>126654.3</v>
      </c>
      <c r="AG9" s="36">
        <v>130315.2</v>
      </c>
      <c r="AH9" s="36">
        <v>128950.39999999999</v>
      </c>
      <c r="AI9" s="36">
        <v>129490</v>
      </c>
      <c r="AJ9" s="36">
        <v>134251.29999999999</v>
      </c>
    </row>
    <row r="10" spans="1:39" ht="29.25" customHeight="1" thickTop="1" thickBot="1">
      <c r="B10" s="21" t="s">
        <v>19</v>
      </c>
      <c r="C10" s="8">
        <v>12074.6</v>
      </c>
      <c r="D10" s="8">
        <v>11128.4</v>
      </c>
      <c r="E10" s="8">
        <v>11504.9</v>
      </c>
      <c r="F10" s="8">
        <v>12283.7</v>
      </c>
      <c r="G10" s="8">
        <v>11494.199999999999</v>
      </c>
      <c r="H10" s="8">
        <v>10341</v>
      </c>
      <c r="I10" s="8">
        <v>12396</v>
      </c>
      <c r="J10" s="8">
        <v>11055.4</v>
      </c>
      <c r="K10" s="8">
        <v>11033.4</v>
      </c>
      <c r="L10" s="8">
        <v>11284.2</v>
      </c>
      <c r="M10" s="8">
        <v>10316.5</v>
      </c>
      <c r="N10" s="8">
        <v>10866</v>
      </c>
      <c r="O10" s="8">
        <v>12323.8</v>
      </c>
      <c r="P10" s="8">
        <v>11958.7</v>
      </c>
      <c r="Q10" s="8">
        <v>13261.7</v>
      </c>
      <c r="R10" s="8">
        <v>13716</v>
      </c>
      <c r="S10" s="8">
        <v>11480.6</v>
      </c>
      <c r="T10" s="8">
        <v>12842.2</v>
      </c>
      <c r="U10" s="8">
        <v>26441.7</v>
      </c>
      <c r="V10" s="8">
        <v>26619.7</v>
      </c>
      <c r="W10" s="8">
        <v>27408</v>
      </c>
      <c r="X10" s="8">
        <v>30246.5</v>
      </c>
      <c r="Y10" s="8">
        <v>28950.799999999999</v>
      </c>
      <c r="Z10" s="8">
        <v>28150.6</v>
      </c>
      <c r="AA10" s="8">
        <v>29482.9</v>
      </c>
      <c r="AB10" s="8">
        <v>25350.3</v>
      </c>
      <c r="AC10" s="8">
        <v>26024.799999999999</v>
      </c>
      <c r="AD10" s="8">
        <v>27665.8</v>
      </c>
      <c r="AE10" s="8">
        <v>30995.3</v>
      </c>
      <c r="AF10" s="8">
        <v>30034.9</v>
      </c>
      <c r="AG10" s="8">
        <v>30914.9</v>
      </c>
      <c r="AH10" s="8">
        <v>34763.1</v>
      </c>
      <c r="AI10" s="8">
        <v>34421.1</v>
      </c>
      <c r="AJ10" s="8">
        <v>30525.1</v>
      </c>
    </row>
    <row r="11" spans="1:39" ht="29.25" customHeight="1" thickTop="1" thickBot="1">
      <c r="B11" s="20" t="s">
        <v>39</v>
      </c>
      <c r="C11" s="36">
        <v>36308.400000000001</v>
      </c>
      <c r="D11" s="36">
        <v>38710.1</v>
      </c>
      <c r="E11" s="36">
        <v>43741.7</v>
      </c>
      <c r="F11" s="36">
        <v>47648.800000000003</v>
      </c>
      <c r="G11" s="36">
        <v>47210.1</v>
      </c>
      <c r="H11" s="36">
        <v>48070.3</v>
      </c>
      <c r="I11" s="36">
        <v>53835.3</v>
      </c>
      <c r="J11" s="36">
        <v>57272</v>
      </c>
      <c r="K11" s="36">
        <v>58863.1</v>
      </c>
      <c r="L11" s="36">
        <v>61421.9</v>
      </c>
      <c r="M11" s="36">
        <v>60404.1</v>
      </c>
      <c r="N11" s="36">
        <v>69352.100000000006</v>
      </c>
      <c r="O11" s="36">
        <v>73125</v>
      </c>
      <c r="P11" s="36">
        <v>77205.3</v>
      </c>
      <c r="Q11" s="36">
        <v>80491.399999999994</v>
      </c>
      <c r="R11" s="36">
        <v>82445.600000000006</v>
      </c>
      <c r="S11" s="36">
        <v>82632.100000000006</v>
      </c>
      <c r="T11" s="41">
        <v>85461.3</v>
      </c>
      <c r="U11" s="36">
        <v>83171.7</v>
      </c>
      <c r="V11" s="36">
        <v>82275.399999999994</v>
      </c>
      <c r="W11" s="36">
        <v>80340.600000000006</v>
      </c>
      <c r="X11" s="36">
        <v>82696.2</v>
      </c>
      <c r="Y11" s="36">
        <v>83413.3</v>
      </c>
      <c r="Z11" s="36">
        <v>83428.3</v>
      </c>
      <c r="AA11" s="36">
        <v>84849.9</v>
      </c>
      <c r="AB11" s="36">
        <v>82206</v>
      </c>
      <c r="AC11" s="36">
        <v>80178.2</v>
      </c>
      <c r="AD11" s="36">
        <v>80374</v>
      </c>
      <c r="AE11" s="36">
        <v>79204.400000000009</v>
      </c>
      <c r="AF11" s="36">
        <v>82039.8</v>
      </c>
      <c r="AG11" s="36">
        <v>81993.7</v>
      </c>
      <c r="AH11" s="36">
        <v>80760.700000000012</v>
      </c>
      <c r="AI11" s="36">
        <v>81846.100000000006</v>
      </c>
      <c r="AJ11" s="36">
        <v>82841.7</v>
      </c>
    </row>
    <row r="12" spans="1:39" ht="29.25" customHeight="1" thickTop="1" thickBot="1">
      <c r="B12" s="21" t="s">
        <v>20</v>
      </c>
      <c r="C12" s="8">
        <v>36308.400000000001</v>
      </c>
      <c r="D12" s="8">
        <v>38710.1</v>
      </c>
      <c r="E12" s="8">
        <v>43741.7</v>
      </c>
      <c r="F12" s="8">
        <v>47648.800000000003</v>
      </c>
      <c r="G12" s="8">
        <v>47210.1</v>
      </c>
      <c r="H12" s="8">
        <v>48070.3</v>
      </c>
      <c r="I12" s="8">
        <v>53835.3</v>
      </c>
      <c r="J12" s="8">
        <v>57272</v>
      </c>
      <c r="K12" s="8">
        <v>58863.1</v>
      </c>
      <c r="L12" s="8">
        <v>61421.9</v>
      </c>
      <c r="M12" s="8">
        <v>60404.1</v>
      </c>
      <c r="N12" s="8">
        <v>69352.100000000006</v>
      </c>
      <c r="O12" s="8">
        <v>71125</v>
      </c>
      <c r="P12" s="8">
        <v>75205.3</v>
      </c>
      <c r="Q12" s="8">
        <v>78491.399999999994</v>
      </c>
      <c r="R12" s="8">
        <v>80445.600000000006</v>
      </c>
      <c r="S12" s="8">
        <v>82632.100000000006</v>
      </c>
      <c r="T12" s="8">
        <v>85461.3</v>
      </c>
      <c r="U12" s="8">
        <v>83171.7</v>
      </c>
      <c r="V12" s="8">
        <v>82275.399999999994</v>
      </c>
      <c r="W12" s="8">
        <v>80340.600000000006</v>
      </c>
      <c r="X12" s="8">
        <v>82696.2</v>
      </c>
      <c r="Y12" s="8">
        <v>83413.3</v>
      </c>
      <c r="Z12" s="8">
        <v>83428.3</v>
      </c>
      <c r="AA12" s="8">
        <v>84849.9</v>
      </c>
      <c r="AB12" s="8">
        <v>82206</v>
      </c>
      <c r="AC12" s="8">
        <v>80178.2</v>
      </c>
      <c r="AD12" s="8">
        <v>80374</v>
      </c>
      <c r="AE12" s="8">
        <v>79204.400000000009</v>
      </c>
      <c r="AF12" s="8">
        <v>82039.8</v>
      </c>
      <c r="AG12" s="8">
        <v>81993.7</v>
      </c>
      <c r="AH12" s="8">
        <v>80760.700000000012</v>
      </c>
      <c r="AI12" s="8">
        <v>81846.100000000006</v>
      </c>
      <c r="AJ12" s="8">
        <v>82841.7</v>
      </c>
    </row>
    <row r="13" spans="1:39" ht="29.25" customHeight="1" thickTop="1" thickBot="1">
      <c r="B13" s="22" t="s">
        <v>35</v>
      </c>
      <c r="C13" s="37">
        <v>8990.2999999999993</v>
      </c>
      <c r="D13" s="37">
        <v>8881.5</v>
      </c>
      <c r="E13" s="37">
        <v>12175.9</v>
      </c>
      <c r="F13" s="37">
        <v>14277.7</v>
      </c>
      <c r="G13" s="37">
        <v>14156.4</v>
      </c>
      <c r="H13" s="37">
        <v>13974</v>
      </c>
      <c r="I13" s="37">
        <v>17321.599999999999</v>
      </c>
      <c r="J13" s="37">
        <v>19371.900000000001</v>
      </c>
      <c r="K13" s="37">
        <v>18894.7</v>
      </c>
      <c r="L13" s="37">
        <v>20862.5</v>
      </c>
      <c r="M13" s="37">
        <v>20070.099999999999</v>
      </c>
      <c r="N13" s="37">
        <v>23899.3</v>
      </c>
      <c r="O13" s="37">
        <v>24121.5</v>
      </c>
      <c r="P13" s="37">
        <v>25045.5</v>
      </c>
      <c r="Q13" s="37">
        <v>28684.3</v>
      </c>
      <c r="R13" s="37">
        <v>28709.3</v>
      </c>
      <c r="S13" s="37">
        <v>31585.200000000001</v>
      </c>
      <c r="T13" s="42">
        <v>31446.5</v>
      </c>
      <c r="U13" s="37">
        <v>29370.2</v>
      </c>
      <c r="V13" s="37">
        <v>29013.5</v>
      </c>
      <c r="W13" s="37">
        <v>28683.5</v>
      </c>
      <c r="X13" s="37">
        <v>29053.7</v>
      </c>
      <c r="Y13" s="37">
        <v>29607.4</v>
      </c>
      <c r="Z13" s="37">
        <v>29479.200000000001</v>
      </c>
      <c r="AA13" s="37">
        <v>29779.599999999999</v>
      </c>
      <c r="AB13" s="37">
        <v>28902.799999999999</v>
      </c>
      <c r="AC13" s="37">
        <v>27694.9</v>
      </c>
      <c r="AD13" s="37">
        <v>27913.200000000001</v>
      </c>
      <c r="AE13" s="37">
        <v>27293.1</v>
      </c>
      <c r="AF13" s="37">
        <v>29406.400000000001</v>
      </c>
      <c r="AG13" s="37">
        <v>28739.9</v>
      </c>
      <c r="AH13" s="37">
        <v>28450.7</v>
      </c>
      <c r="AI13" s="37">
        <v>28803.9</v>
      </c>
      <c r="AJ13" s="37">
        <v>26780.400000000001</v>
      </c>
    </row>
    <row r="14" spans="1:39" ht="29.25" customHeight="1" thickTop="1" thickBot="1">
      <c r="B14" s="51" t="s">
        <v>28</v>
      </c>
      <c r="C14" s="50">
        <v>27318.1</v>
      </c>
      <c r="D14" s="50">
        <v>29828.6</v>
      </c>
      <c r="E14" s="50">
        <v>31565.8</v>
      </c>
      <c r="F14" s="50">
        <v>33371.1</v>
      </c>
      <c r="G14" s="50">
        <v>33053.699999999997</v>
      </c>
      <c r="H14" s="50">
        <v>34096.300000000003</v>
      </c>
      <c r="I14" s="50">
        <v>36513.699999999997</v>
      </c>
      <c r="J14" s="50">
        <v>37900.1</v>
      </c>
      <c r="K14" s="50">
        <v>39968.400000000001</v>
      </c>
      <c r="L14" s="50">
        <v>40559.4</v>
      </c>
      <c r="M14" s="50">
        <v>40334</v>
      </c>
      <c r="N14" s="50">
        <v>45452.800000000003</v>
      </c>
      <c r="O14" s="50">
        <v>47003.5</v>
      </c>
      <c r="P14" s="50">
        <v>50159.8</v>
      </c>
      <c r="Q14" s="50">
        <v>49807.1</v>
      </c>
      <c r="R14" s="50">
        <v>51736.3</v>
      </c>
      <c r="S14" s="50">
        <v>51046.9</v>
      </c>
      <c r="T14" s="50">
        <v>54014.8</v>
      </c>
      <c r="U14" s="50">
        <v>53801.5</v>
      </c>
      <c r="V14" s="50">
        <v>53261.9</v>
      </c>
      <c r="W14" s="50">
        <v>51657.1</v>
      </c>
      <c r="X14" s="50">
        <v>53642.5</v>
      </c>
      <c r="Y14" s="50">
        <v>53805.9</v>
      </c>
      <c r="Z14" s="50">
        <v>53949.1</v>
      </c>
      <c r="AA14" s="50">
        <v>53963.4</v>
      </c>
      <c r="AB14" s="50">
        <v>52193.4</v>
      </c>
      <c r="AC14" s="50">
        <v>51398.400000000001</v>
      </c>
      <c r="AD14" s="50">
        <v>51341.8</v>
      </c>
      <c r="AE14" s="50">
        <v>49759.5</v>
      </c>
      <c r="AF14" s="50">
        <v>50445.3</v>
      </c>
      <c r="AG14" s="10">
        <v>50986.7</v>
      </c>
      <c r="AH14" s="10">
        <v>50047.9</v>
      </c>
      <c r="AI14" s="50">
        <v>50782.5</v>
      </c>
      <c r="AJ14" s="50">
        <v>53823.199999999997</v>
      </c>
    </row>
    <row r="15" spans="1:39" s="48" customFormat="1" ht="29.25" customHeight="1" thickTop="1" thickBot="1">
      <c r="A15" s="49"/>
      <c r="B15" s="33" t="s">
        <v>38</v>
      </c>
      <c r="C15" s="36">
        <v>0</v>
      </c>
      <c r="D15" s="36">
        <v>0</v>
      </c>
      <c r="E15" s="36">
        <v>0</v>
      </c>
      <c r="F15" s="36">
        <v>0</v>
      </c>
      <c r="G15" s="36">
        <v>0</v>
      </c>
      <c r="H15" s="36">
        <v>0</v>
      </c>
      <c r="I15" s="36">
        <v>0</v>
      </c>
      <c r="J15" s="36">
        <v>0</v>
      </c>
      <c r="K15" s="36">
        <v>0</v>
      </c>
      <c r="L15" s="36">
        <v>0</v>
      </c>
      <c r="M15" s="36">
        <v>0</v>
      </c>
      <c r="N15" s="36">
        <v>0</v>
      </c>
      <c r="O15" s="36">
        <v>0</v>
      </c>
      <c r="P15" s="36">
        <v>0</v>
      </c>
      <c r="Q15" s="36">
        <v>0</v>
      </c>
      <c r="R15" s="36">
        <v>0</v>
      </c>
      <c r="S15" s="36">
        <v>0</v>
      </c>
      <c r="T15" s="42">
        <v>0</v>
      </c>
      <c r="U15" s="42">
        <v>0</v>
      </c>
      <c r="V15" s="42">
        <v>0</v>
      </c>
      <c r="W15" s="42">
        <v>0</v>
      </c>
      <c r="X15" s="42">
        <v>0</v>
      </c>
      <c r="Y15" s="42">
        <v>0</v>
      </c>
      <c r="Z15" s="42">
        <v>0</v>
      </c>
      <c r="AA15" s="42">
        <v>1106.9000000000001</v>
      </c>
      <c r="AB15" s="42">
        <v>1109.8</v>
      </c>
      <c r="AC15" s="42">
        <v>1084.9000000000001</v>
      </c>
      <c r="AD15" s="42">
        <v>1119</v>
      </c>
      <c r="AE15" s="42">
        <v>2151.8000000000002</v>
      </c>
      <c r="AF15" s="42">
        <v>2188.1</v>
      </c>
      <c r="AG15" s="37">
        <v>2267.1</v>
      </c>
      <c r="AH15" s="37">
        <v>2262.1</v>
      </c>
      <c r="AI15" s="42">
        <v>2259.6999999999998</v>
      </c>
      <c r="AJ15" s="42">
        <v>2238.1</v>
      </c>
    </row>
    <row r="16" spans="1:39" ht="29.25" customHeight="1" thickTop="1" thickBot="1">
      <c r="B16" s="19" t="s">
        <v>21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2000</v>
      </c>
      <c r="P16" s="8">
        <v>2000</v>
      </c>
      <c r="Q16" s="8">
        <v>2000</v>
      </c>
      <c r="R16" s="8">
        <v>2000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  <c r="AJ16" s="8">
        <v>0</v>
      </c>
    </row>
    <row r="17" spans="2:36" ht="29.25" customHeight="1" thickTop="1" thickBot="1">
      <c r="B17" s="20" t="s">
        <v>40</v>
      </c>
      <c r="C17" s="36">
        <v>29927.5</v>
      </c>
      <c r="D17" s="36">
        <v>27403.3</v>
      </c>
      <c r="E17" s="36">
        <v>27305.4</v>
      </c>
      <c r="F17" s="36">
        <v>26560.3</v>
      </c>
      <c r="G17" s="36">
        <v>27459.199999999997</v>
      </c>
      <c r="H17" s="36">
        <v>28269.3</v>
      </c>
      <c r="I17" s="36">
        <v>28545.4</v>
      </c>
      <c r="J17" s="36">
        <v>27979.3</v>
      </c>
      <c r="K17" s="36">
        <v>27684</v>
      </c>
      <c r="L17" s="36">
        <v>27851.3</v>
      </c>
      <c r="M17" s="36">
        <v>27780.7</v>
      </c>
      <c r="N17" s="36">
        <v>27885.9</v>
      </c>
      <c r="O17" s="36">
        <v>25935.3</v>
      </c>
      <c r="P17" s="36">
        <v>26002.9</v>
      </c>
      <c r="Q17" s="36">
        <v>25755.3</v>
      </c>
      <c r="R17" s="36">
        <v>25566.9</v>
      </c>
      <c r="S17" s="36">
        <v>24925.1</v>
      </c>
      <c r="T17" s="41">
        <v>27805.5</v>
      </c>
      <c r="U17" s="36">
        <v>41861.199999999997</v>
      </c>
      <c r="V17" s="36">
        <v>40881.9</v>
      </c>
      <c r="W17" s="36">
        <v>41145.300000000003</v>
      </c>
      <c r="X17" s="36">
        <v>42299.199999999997</v>
      </c>
      <c r="Y17" s="36">
        <v>43792.1</v>
      </c>
      <c r="Z17" s="36">
        <v>43617.2</v>
      </c>
      <c r="AA17" s="36">
        <v>45314.400000000001</v>
      </c>
      <c r="AB17" s="36">
        <v>41119.1</v>
      </c>
      <c r="AC17" s="36">
        <v>34668.1</v>
      </c>
      <c r="AD17" s="36">
        <v>35019.199999999997</v>
      </c>
      <c r="AE17" s="36">
        <v>34250.600000000006</v>
      </c>
      <c r="AF17" s="36">
        <v>34033</v>
      </c>
      <c r="AG17" s="36">
        <v>37335.599999999999</v>
      </c>
      <c r="AH17" s="36">
        <v>37295.300000000003</v>
      </c>
      <c r="AI17" s="36">
        <v>36995.4</v>
      </c>
      <c r="AJ17" s="36">
        <v>35770.199999999997</v>
      </c>
    </row>
    <row r="18" spans="2:36" ht="29.25" customHeight="1" thickTop="1" thickBot="1">
      <c r="B18" s="32" t="s">
        <v>22</v>
      </c>
      <c r="C18" s="8">
        <v>21884.2</v>
      </c>
      <c r="D18" s="8">
        <v>21458.1</v>
      </c>
      <c r="E18" s="8">
        <v>21203.3</v>
      </c>
      <c r="F18" s="8">
        <v>20235.900000000001</v>
      </c>
      <c r="G18" s="8">
        <v>21233.8</v>
      </c>
      <c r="H18" s="8">
        <v>25156.2</v>
      </c>
      <c r="I18" s="8">
        <v>24920.400000000001</v>
      </c>
      <c r="J18" s="8">
        <v>24776</v>
      </c>
      <c r="K18" s="8">
        <v>24570.6</v>
      </c>
      <c r="L18" s="8">
        <v>24694.6</v>
      </c>
      <c r="M18" s="8">
        <v>25187.5</v>
      </c>
      <c r="N18" s="8">
        <v>25226.7</v>
      </c>
      <c r="O18" s="8">
        <v>23172.799999999999</v>
      </c>
      <c r="P18" s="8">
        <v>23180.7</v>
      </c>
      <c r="Q18" s="8">
        <v>22895.8</v>
      </c>
      <c r="R18" s="8">
        <v>22716.2</v>
      </c>
      <c r="S18" s="8">
        <v>22113.4</v>
      </c>
      <c r="T18" s="8">
        <v>24957</v>
      </c>
      <c r="U18" s="8">
        <v>26023.8</v>
      </c>
      <c r="V18" s="8">
        <v>25195</v>
      </c>
      <c r="W18" s="8">
        <v>25420.9</v>
      </c>
      <c r="X18" s="8">
        <v>24814.5</v>
      </c>
      <c r="Y18" s="8">
        <v>26277.200000000001</v>
      </c>
      <c r="Z18" s="8">
        <v>25729.5</v>
      </c>
      <c r="AA18" s="8">
        <v>25418.7</v>
      </c>
      <c r="AB18" s="8">
        <v>25165.599999999999</v>
      </c>
      <c r="AC18" s="8">
        <v>19230.7</v>
      </c>
      <c r="AD18" s="8">
        <v>19491.099999999999</v>
      </c>
      <c r="AE18" s="8">
        <v>18320.300000000003</v>
      </c>
      <c r="AF18" s="8">
        <v>18591.3</v>
      </c>
      <c r="AG18" s="8">
        <v>21858.7</v>
      </c>
      <c r="AH18" s="8">
        <v>21802.9</v>
      </c>
      <c r="AI18" s="8">
        <v>21960.2</v>
      </c>
      <c r="AJ18" s="8">
        <v>25698</v>
      </c>
    </row>
    <row r="19" spans="2:36" ht="29.25" customHeight="1" thickTop="1" thickBot="1">
      <c r="B19" s="33" t="s">
        <v>0</v>
      </c>
      <c r="C19" s="37">
        <v>2328.4</v>
      </c>
      <c r="D19" s="37">
        <v>2272.5</v>
      </c>
      <c r="E19" s="37">
        <v>2247.1999999999998</v>
      </c>
      <c r="F19" s="37">
        <v>1573.6</v>
      </c>
      <c r="G19" s="37">
        <v>2580.1999999999998</v>
      </c>
      <c r="H19" s="37">
        <v>6506.6</v>
      </c>
      <c r="I19" s="37">
        <v>6404.1</v>
      </c>
      <c r="J19" s="37">
        <v>6323.8</v>
      </c>
      <c r="K19" s="37">
        <v>6142.5</v>
      </c>
      <c r="L19" s="37">
        <v>6253.5</v>
      </c>
      <c r="M19" s="37">
        <v>6767.5</v>
      </c>
      <c r="N19" s="37">
        <v>6802.3</v>
      </c>
      <c r="O19" s="37">
        <v>6724.6</v>
      </c>
      <c r="P19" s="37">
        <v>6706.9</v>
      </c>
      <c r="Q19" s="37">
        <v>6445.9</v>
      </c>
      <c r="R19" s="37">
        <v>6458.1</v>
      </c>
      <c r="S19" s="37">
        <v>6120.3</v>
      </c>
      <c r="T19" s="42">
        <v>5990.3</v>
      </c>
      <c r="U19" s="37">
        <v>7119.6</v>
      </c>
      <c r="V19" s="37">
        <v>6433.3</v>
      </c>
      <c r="W19" s="37">
        <v>6825.2</v>
      </c>
      <c r="X19" s="37">
        <v>6063.7</v>
      </c>
      <c r="Y19" s="37">
        <v>6987.1</v>
      </c>
      <c r="Z19" s="37">
        <v>5972.3</v>
      </c>
      <c r="AA19" s="37">
        <v>6751.2</v>
      </c>
      <c r="AB19" s="37">
        <v>6490.8</v>
      </c>
      <c r="AC19" s="37">
        <v>6266.6</v>
      </c>
      <c r="AD19" s="37">
        <v>6443.2</v>
      </c>
      <c r="AE19" s="37">
        <v>6454.1</v>
      </c>
      <c r="AF19" s="37">
        <v>6348.7</v>
      </c>
      <c r="AG19" s="37">
        <v>9558.6</v>
      </c>
      <c r="AH19" s="37">
        <v>9506.5</v>
      </c>
      <c r="AI19" s="37">
        <v>9165.6</v>
      </c>
      <c r="AJ19" s="37">
        <v>7669.1</v>
      </c>
    </row>
    <row r="20" spans="2:36" ht="29.25" customHeight="1" thickTop="1" thickBot="1">
      <c r="B20" s="34" t="s">
        <v>1</v>
      </c>
      <c r="C20" s="10">
        <v>18287.400000000001</v>
      </c>
      <c r="D20" s="10">
        <v>17906.099999999999</v>
      </c>
      <c r="E20" s="10">
        <v>17650</v>
      </c>
      <c r="F20" s="10">
        <v>17400</v>
      </c>
      <c r="G20" s="10">
        <v>17400</v>
      </c>
      <c r="H20" s="10">
        <v>17400</v>
      </c>
      <c r="I20" s="10">
        <v>17269</v>
      </c>
      <c r="J20" s="10">
        <v>17203.3</v>
      </c>
      <c r="K20" s="10">
        <v>17203.2</v>
      </c>
      <c r="L20" s="10">
        <v>17198.7</v>
      </c>
      <c r="M20" s="10">
        <v>17193.8</v>
      </c>
      <c r="N20" s="10">
        <v>17188.400000000001</v>
      </c>
      <c r="O20" s="10">
        <v>15183.6</v>
      </c>
      <c r="P20" s="10">
        <v>15179.8</v>
      </c>
      <c r="Q20" s="10">
        <v>15176.6</v>
      </c>
      <c r="R20" s="10">
        <v>14976.5</v>
      </c>
      <c r="S20" s="10">
        <v>11976.5</v>
      </c>
      <c r="T20" s="10">
        <v>14976.6</v>
      </c>
      <c r="U20" s="10">
        <v>14963.1</v>
      </c>
      <c r="V20" s="10">
        <v>14961.7</v>
      </c>
      <c r="W20" s="10">
        <v>14958.3</v>
      </c>
      <c r="X20" s="10">
        <v>14956.7</v>
      </c>
      <c r="Y20" s="10">
        <v>15453.6</v>
      </c>
      <c r="Z20" s="10">
        <v>15953</v>
      </c>
      <c r="AA20" s="10">
        <v>15949.4</v>
      </c>
      <c r="AB20" s="10">
        <v>15949.4</v>
      </c>
      <c r="AC20" s="10">
        <v>10300</v>
      </c>
      <c r="AD20" s="10">
        <v>10300</v>
      </c>
      <c r="AE20" s="10">
        <v>10300</v>
      </c>
      <c r="AF20" s="10">
        <v>10650</v>
      </c>
      <c r="AG20" s="10">
        <v>10650</v>
      </c>
      <c r="AH20" s="10">
        <v>10650</v>
      </c>
      <c r="AI20" s="10">
        <v>11150</v>
      </c>
      <c r="AJ20" s="10">
        <v>16400</v>
      </c>
    </row>
    <row r="21" spans="2:36" ht="29.25" customHeight="1" thickTop="1" thickBot="1">
      <c r="B21" s="33" t="s">
        <v>41</v>
      </c>
      <c r="C21" s="37">
        <v>1268.4000000000001</v>
      </c>
      <c r="D21" s="37">
        <v>1279.5</v>
      </c>
      <c r="E21" s="37">
        <v>1306.0999999999999</v>
      </c>
      <c r="F21" s="37">
        <v>1262.3</v>
      </c>
      <c r="G21" s="37">
        <v>1253.5999999999999</v>
      </c>
      <c r="H21" s="37">
        <v>1249.5999999999999</v>
      </c>
      <c r="I21" s="37">
        <v>1247.3</v>
      </c>
      <c r="J21" s="37">
        <v>1248.9000000000001</v>
      </c>
      <c r="K21" s="37">
        <v>1224.9000000000001</v>
      </c>
      <c r="L21" s="37">
        <v>1242.4000000000001</v>
      </c>
      <c r="M21" s="37">
        <v>1226.2</v>
      </c>
      <c r="N21" s="37">
        <v>1236</v>
      </c>
      <c r="O21" s="37">
        <v>1264.5999999999999</v>
      </c>
      <c r="P21" s="37">
        <v>1294</v>
      </c>
      <c r="Q21" s="37">
        <v>1273.3</v>
      </c>
      <c r="R21" s="37">
        <v>1281.5999999999999</v>
      </c>
      <c r="S21" s="37">
        <v>4016.6</v>
      </c>
      <c r="T21" s="42">
        <v>3990.1</v>
      </c>
      <c r="U21" s="37">
        <v>3941.1</v>
      </c>
      <c r="V21" s="37">
        <v>3800</v>
      </c>
      <c r="W21" s="37">
        <v>3637.4</v>
      </c>
      <c r="X21" s="37">
        <v>3794.1</v>
      </c>
      <c r="Y21" s="37">
        <v>3836.5</v>
      </c>
      <c r="Z21" s="37">
        <v>3804.2</v>
      </c>
      <c r="AA21" s="37">
        <v>2718.1</v>
      </c>
      <c r="AB21" s="37">
        <v>2725.4</v>
      </c>
      <c r="AC21" s="37">
        <v>2664.1</v>
      </c>
      <c r="AD21" s="37">
        <v>2747.9</v>
      </c>
      <c r="AE21" s="37">
        <v>1566.2</v>
      </c>
      <c r="AF21" s="37">
        <v>1592.6</v>
      </c>
      <c r="AG21" s="37">
        <v>1650.1</v>
      </c>
      <c r="AH21" s="37">
        <v>1646.4</v>
      </c>
      <c r="AI21" s="37">
        <v>1644.6</v>
      </c>
      <c r="AJ21" s="37">
        <v>1628.9</v>
      </c>
    </row>
    <row r="22" spans="2:36" ht="29.25" customHeight="1" thickTop="1" thickBot="1">
      <c r="B22" s="32" t="s">
        <v>23</v>
      </c>
      <c r="C22" s="8">
        <v>8043.3</v>
      </c>
      <c r="D22" s="8">
        <v>5945.2</v>
      </c>
      <c r="E22" s="8">
        <v>6102.1</v>
      </c>
      <c r="F22" s="8">
        <v>6324.4</v>
      </c>
      <c r="G22" s="8">
        <v>6225.4</v>
      </c>
      <c r="H22" s="8">
        <f>H23+H24</f>
        <v>3113.1</v>
      </c>
      <c r="I22" s="8">
        <v>3625</v>
      </c>
      <c r="J22" s="8">
        <v>3203.3</v>
      </c>
      <c r="K22" s="8">
        <v>3113.4</v>
      </c>
      <c r="L22" s="8">
        <v>3156.7</v>
      </c>
      <c r="M22" s="8">
        <v>2593.1999999999998</v>
      </c>
      <c r="N22" s="8">
        <v>2659.2</v>
      </c>
      <c r="O22" s="8">
        <v>2762.5</v>
      </c>
      <c r="P22" s="8">
        <v>2822.2</v>
      </c>
      <c r="Q22" s="8">
        <v>2859.5</v>
      </c>
      <c r="R22" s="8">
        <v>2850.7</v>
      </c>
      <c r="S22" s="8">
        <v>2811.7</v>
      </c>
      <c r="T22" s="8">
        <v>2848.5</v>
      </c>
      <c r="U22" s="8">
        <v>15837.4</v>
      </c>
      <c r="V22" s="8">
        <f t="shared" ref="V22" si="0">V23+V24</f>
        <v>15686.9</v>
      </c>
      <c r="W22" s="8">
        <v>15724.4</v>
      </c>
      <c r="X22" s="8">
        <v>17484.7</v>
      </c>
      <c r="Y22" s="8">
        <v>17514.900000000001</v>
      </c>
      <c r="Z22" s="8">
        <v>17887.7</v>
      </c>
      <c r="AA22" s="8">
        <v>19895.7</v>
      </c>
      <c r="AB22" s="8">
        <v>15953.5</v>
      </c>
      <c r="AC22" s="8">
        <v>15437.4</v>
      </c>
      <c r="AD22" s="8">
        <v>15528.1</v>
      </c>
      <c r="AE22" s="8">
        <v>15930.3</v>
      </c>
      <c r="AF22" s="8">
        <v>15441.7</v>
      </c>
      <c r="AG22" s="8">
        <v>15476.9</v>
      </c>
      <c r="AH22" s="8">
        <v>15492.4</v>
      </c>
      <c r="AI22" s="8">
        <v>15035.2</v>
      </c>
      <c r="AJ22" s="8">
        <v>10072.200000000001</v>
      </c>
    </row>
    <row r="23" spans="2:36" ht="29.25" customHeight="1" thickTop="1" thickBot="1">
      <c r="B23" s="33" t="s">
        <v>0</v>
      </c>
      <c r="C23" s="37">
        <v>5340</v>
      </c>
      <c r="D23" s="37">
        <v>3179</v>
      </c>
      <c r="E23" s="37">
        <v>3240</v>
      </c>
      <c r="F23" s="37">
        <v>3609</v>
      </c>
      <c r="G23" s="37">
        <v>3605.2</v>
      </c>
      <c r="H23" s="37">
        <v>497.4</v>
      </c>
      <c r="I23" s="37">
        <v>943.6</v>
      </c>
      <c r="J23" s="37">
        <v>586.6</v>
      </c>
      <c r="K23" s="37">
        <v>593.70000000000005</v>
      </c>
      <c r="L23" s="37">
        <v>570.70000000000005</v>
      </c>
      <c r="M23" s="37">
        <v>57.6</v>
      </c>
      <c r="N23" s="37">
        <v>116.6</v>
      </c>
      <c r="O23" s="37">
        <v>119.7</v>
      </c>
      <c r="P23" s="37">
        <v>70.3</v>
      </c>
      <c r="Q23" s="37">
        <v>113.4</v>
      </c>
      <c r="R23" s="37">
        <v>63.5</v>
      </c>
      <c r="S23" s="37">
        <v>27.7</v>
      </c>
      <c r="T23" s="42">
        <v>26.3</v>
      </c>
      <c r="U23" s="37">
        <v>0</v>
      </c>
      <c r="V23" s="37">
        <v>0</v>
      </c>
      <c r="W23" s="37">
        <v>0</v>
      </c>
      <c r="X23" s="37">
        <v>0</v>
      </c>
      <c r="Y23" s="37">
        <v>0</v>
      </c>
      <c r="Z23" s="37">
        <v>0</v>
      </c>
      <c r="AA23" s="37">
        <v>0</v>
      </c>
      <c r="AB23" s="37">
        <v>0</v>
      </c>
      <c r="AC23" s="37">
        <v>0</v>
      </c>
      <c r="AD23" s="37">
        <v>0</v>
      </c>
      <c r="AE23" s="37">
        <v>0</v>
      </c>
      <c r="AF23" s="37">
        <v>0</v>
      </c>
      <c r="AG23" s="37">
        <v>0</v>
      </c>
      <c r="AH23" s="37">
        <v>0</v>
      </c>
      <c r="AI23" s="37">
        <v>0</v>
      </c>
      <c r="AJ23" s="37">
        <v>0</v>
      </c>
    </row>
    <row r="24" spans="2:36" ht="29.25" customHeight="1" thickTop="1" thickBot="1">
      <c r="B24" s="34" t="s">
        <v>1</v>
      </c>
      <c r="C24" s="10">
        <v>2703.3</v>
      </c>
      <c r="D24" s="10">
        <v>2766.2</v>
      </c>
      <c r="E24" s="10">
        <v>2862.1</v>
      </c>
      <c r="F24" s="10">
        <v>2715.4</v>
      </c>
      <c r="G24" s="10">
        <v>2620.1999999999998</v>
      </c>
      <c r="H24" s="10">
        <v>2615.6999999999998</v>
      </c>
      <c r="I24" s="10">
        <v>2681.4</v>
      </c>
      <c r="J24" s="10">
        <v>2616.6999999999998</v>
      </c>
      <c r="K24" s="10">
        <v>2519.6999999999998</v>
      </c>
      <c r="L24" s="10">
        <v>2586</v>
      </c>
      <c r="M24" s="10">
        <v>2535.6</v>
      </c>
      <c r="N24" s="10">
        <v>2542.6</v>
      </c>
      <c r="O24" s="10">
        <v>2642.8</v>
      </c>
      <c r="P24" s="10">
        <v>2751.9</v>
      </c>
      <c r="Q24" s="10">
        <v>2746.1</v>
      </c>
      <c r="R24" s="10">
        <v>2787.2</v>
      </c>
      <c r="S24" s="10">
        <v>2784</v>
      </c>
      <c r="T24" s="10">
        <v>2822.2</v>
      </c>
      <c r="U24" s="10">
        <v>15837.4</v>
      </c>
      <c r="V24" s="10">
        <v>15686.9</v>
      </c>
      <c r="W24" s="10">
        <v>15724.4</v>
      </c>
      <c r="X24" s="10">
        <v>17484.7</v>
      </c>
      <c r="Y24" s="10">
        <v>17514.900000000001</v>
      </c>
      <c r="Z24" s="10">
        <v>17887.7</v>
      </c>
      <c r="AA24" s="10">
        <v>19895.7</v>
      </c>
      <c r="AB24" s="10">
        <v>15953.5</v>
      </c>
      <c r="AC24" s="10">
        <v>15437.4</v>
      </c>
      <c r="AD24" s="10">
        <v>15528.1</v>
      </c>
      <c r="AE24" s="10">
        <v>15930.3</v>
      </c>
      <c r="AF24" s="10">
        <v>15441.7</v>
      </c>
      <c r="AG24" s="10">
        <v>15476.9</v>
      </c>
      <c r="AH24" s="10">
        <v>15492.4</v>
      </c>
      <c r="AI24" s="10">
        <v>15035.2</v>
      </c>
      <c r="AJ24" s="10">
        <v>10072.200000000001</v>
      </c>
    </row>
    <row r="25" spans="2:36" ht="29.25" customHeight="1" thickTop="1" thickBot="1">
      <c r="B25" s="35" t="s">
        <v>2</v>
      </c>
      <c r="C25" s="36">
        <v>4600.1000000000004</v>
      </c>
      <c r="D25" s="36">
        <v>6094.6</v>
      </c>
      <c r="E25" s="36">
        <v>5324.1</v>
      </c>
      <c r="F25" s="36">
        <v>6046.8</v>
      </c>
      <c r="G25" s="36">
        <v>6148.5</v>
      </c>
      <c r="H25" s="36">
        <v>7693</v>
      </c>
      <c r="I25" s="36">
        <v>10095</v>
      </c>
      <c r="J25" s="36">
        <v>9510.4</v>
      </c>
      <c r="K25" s="36">
        <v>9199.6</v>
      </c>
      <c r="L25" s="36">
        <v>8737.9</v>
      </c>
      <c r="M25" s="36">
        <v>8252.7000000000007</v>
      </c>
      <c r="N25" s="36">
        <v>11920.7</v>
      </c>
      <c r="O25" s="36">
        <v>11810.3</v>
      </c>
      <c r="P25" s="36">
        <v>12167</v>
      </c>
      <c r="Q25" s="36">
        <v>13758.7</v>
      </c>
      <c r="R25" s="36">
        <v>14390.4</v>
      </c>
      <c r="S25" s="36">
        <v>14402.9</v>
      </c>
      <c r="T25" s="41">
        <v>17121</v>
      </c>
      <c r="U25" s="36">
        <v>17425.8</v>
      </c>
      <c r="V25" s="36">
        <v>17714.3</v>
      </c>
      <c r="W25" s="36">
        <v>18297.900000000001</v>
      </c>
      <c r="X25" s="36">
        <v>19310.7</v>
      </c>
      <c r="Y25" s="36">
        <v>21144.3</v>
      </c>
      <c r="Z25" s="36">
        <v>20978.799999999999</v>
      </c>
      <c r="AA25" s="36">
        <v>20096.2</v>
      </c>
      <c r="AB25" s="36">
        <v>20120.8</v>
      </c>
      <c r="AC25" s="36">
        <v>20672.7</v>
      </c>
      <c r="AD25" s="36">
        <v>20740.5</v>
      </c>
      <c r="AE25" s="36">
        <v>21693.5</v>
      </c>
      <c r="AF25" s="36">
        <v>20894.099999999999</v>
      </c>
      <c r="AG25" s="36">
        <v>22236.400000000001</v>
      </c>
      <c r="AH25" s="36">
        <v>23563.200000000001</v>
      </c>
      <c r="AI25" s="36">
        <v>23004</v>
      </c>
      <c r="AJ25" s="36">
        <v>24750.3</v>
      </c>
    </row>
    <row r="26" spans="2:36" ht="29.25" customHeight="1" thickTop="1" thickBot="1">
      <c r="B26" s="32" t="s">
        <v>24</v>
      </c>
      <c r="C26" s="8">
        <v>3320.4</v>
      </c>
      <c r="D26" s="8">
        <v>3863.6</v>
      </c>
      <c r="E26" s="8">
        <v>3704.6</v>
      </c>
      <c r="F26" s="8">
        <v>4202.8999999999996</v>
      </c>
      <c r="G26" s="8">
        <v>4719.8</v>
      </c>
      <c r="H26" s="8">
        <v>4636</v>
      </c>
      <c r="I26" s="8">
        <v>5918.8</v>
      </c>
      <c r="J26" s="8">
        <v>5810.1</v>
      </c>
      <c r="K26" s="8">
        <v>5653.3</v>
      </c>
      <c r="L26" s="8">
        <v>5368.6</v>
      </c>
      <c r="M26" s="8">
        <v>5664.3</v>
      </c>
      <c r="N26" s="8">
        <v>8359.7000000000007</v>
      </c>
      <c r="O26" s="8">
        <v>8323.7000000000007</v>
      </c>
      <c r="P26" s="8">
        <v>8140.4</v>
      </c>
      <c r="Q26" s="8">
        <v>9648.6</v>
      </c>
      <c r="R26" s="8">
        <v>10371.9</v>
      </c>
      <c r="S26" s="8">
        <v>10236</v>
      </c>
      <c r="T26" s="8">
        <v>11547.9</v>
      </c>
      <c r="U26" s="8">
        <v>11243.8</v>
      </c>
      <c r="V26" s="8">
        <v>11043.9</v>
      </c>
      <c r="W26" s="8">
        <v>11365.1</v>
      </c>
      <c r="X26" s="8">
        <v>13861.2</v>
      </c>
      <c r="Y26" s="8">
        <v>14932.1</v>
      </c>
      <c r="Z26" s="8">
        <v>14968.8</v>
      </c>
      <c r="AA26" s="8">
        <v>15640.1</v>
      </c>
      <c r="AB26" s="8">
        <v>15548</v>
      </c>
      <c r="AC26" s="8">
        <v>15037</v>
      </c>
      <c r="AD26" s="8">
        <v>14816.1</v>
      </c>
      <c r="AE26" s="8">
        <v>14268.5</v>
      </c>
      <c r="AF26" s="8">
        <v>13612.8</v>
      </c>
      <c r="AG26" s="8">
        <v>13586.5</v>
      </c>
      <c r="AH26" s="8">
        <v>13581.5</v>
      </c>
      <c r="AI26" s="8">
        <v>13083</v>
      </c>
      <c r="AJ26" s="8">
        <v>13450.8</v>
      </c>
    </row>
    <row r="27" spans="2:36" ht="29.25" customHeight="1" thickTop="1" thickBot="1">
      <c r="B27" s="33" t="s">
        <v>3</v>
      </c>
      <c r="C27" s="37">
        <v>3320.4</v>
      </c>
      <c r="D27" s="37">
        <v>3863.6</v>
      </c>
      <c r="E27" s="37">
        <v>3704.6</v>
      </c>
      <c r="F27" s="37">
        <v>4202.8999999999996</v>
      </c>
      <c r="G27" s="37">
        <v>4719.8</v>
      </c>
      <c r="H27" s="37">
        <v>4636</v>
      </c>
      <c r="I27" s="37">
        <v>5918.8</v>
      </c>
      <c r="J27" s="37">
        <v>5810.1</v>
      </c>
      <c r="K27" s="37">
        <v>5653.3</v>
      </c>
      <c r="L27" s="37">
        <v>5368.6</v>
      </c>
      <c r="M27" s="37">
        <v>5664.3</v>
      </c>
      <c r="N27" s="37">
        <v>8359.7000000000007</v>
      </c>
      <c r="O27" s="37">
        <v>8323.7000000000007</v>
      </c>
      <c r="P27" s="37">
        <v>8140.4</v>
      </c>
      <c r="Q27" s="37">
        <v>9648.6</v>
      </c>
      <c r="R27" s="37">
        <v>10371.9</v>
      </c>
      <c r="S27" s="37">
        <v>10136</v>
      </c>
      <c r="T27" s="42">
        <v>11447.9</v>
      </c>
      <c r="U27" s="37">
        <v>11143.8</v>
      </c>
      <c r="V27" s="37">
        <v>10943.9</v>
      </c>
      <c r="W27" s="37">
        <v>11265.1</v>
      </c>
      <c r="X27" s="37">
        <v>13761.2</v>
      </c>
      <c r="Y27" s="37">
        <v>14832.1</v>
      </c>
      <c r="Z27" s="37">
        <v>14868.8</v>
      </c>
      <c r="AA27" s="37">
        <v>15540.1</v>
      </c>
      <c r="AB27" s="37">
        <v>15448</v>
      </c>
      <c r="AC27" s="37">
        <v>14937</v>
      </c>
      <c r="AD27" s="37">
        <v>14716.1</v>
      </c>
      <c r="AE27" s="37">
        <v>13669.5</v>
      </c>
      <c r="AF27" s="37">
        <v>13013.8</v>
      </c>
      <c r="AG27" s="37">
        <v>12987.5</v>
      </c>
      <c r="AH27" s="37">
        <v>12982.5</v>
      </c>
      <c r="AI27" s="37">
        <v>12484</v>
      </c>
      <c r="AJ27" s="37">
        <v>12851.8</v>
      </c>
    </row>
    <row r="28" spans="2:36" ht="29.25" customHeight="1" thickTop="1" thickBot="1">
      <c r="B28" s="34" t="s">
        <v>35</v>
      </c>
      <c r="C28" s="10"/>
      <c r="D28" s="10"/>
      <c r="E28" s="10"/>
      <c r="F28" s="10"/>
      <c r="G28" s="10"/>
      <c r="H28" s="10"/>
      <c r="I28" s="10"/>
      <c r="J28" s="10"/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100</v>
      </c>
      <c r="T28" s="10">
        <v>100</v>
      </c>
      <c r="U28" s="10">
        <v>100</v>
      </c>
      <c r="V28" s="10">
        <v>100</v>
      </c>
      <c r="W28" s="10">
        <v>100</v>
      </c>
      <c r="X28" s="10">
        <v>100</v>
      </c>
      <c r="Y28" s="10">
        <v>100</v>
      </c>
      <c r="Z28" s="10">
        <v>100</v>
      </c>
      <c r="AA28" s="10">
        <v>100</v>
      </c>
      <c r="AB28" s="10">
        <v>100</v>
      </c>
      <c r="AC28" s="10">
        <v>100</v>
      </c>
      <c r="AD28" s="10">
        <v>100</v>
      </c>
      <c r="AE28" s="10">
        <v>599</v>
      </c>
      <c r="AF28" s="10">
        <v>599</v>
      </c>
      <c r="AG28" s="10">
        <v>599</v>
      </c>
      <c r="AH28" s="10">
        <v>599</v>
      </c>
      <c r="AI28" s="10">
        <v>599</v>
      </c>
      <c r="AJ28" s="10">
        <v>599</v>
      </c>
    </row>
    <row r="29" spans="2:36" ht="29.25" customHeight="1" thickTop="1" thickBot="1">
      <c r="B29" s="35" t="s">
        <v>25</v>
      </c>
      <c r="C29" s="36">
        <v>1279.7</v>
      </c>
      <c r="D29" s="36">
        <v>2231</v>
      </c>
      <c r="E29" s="36">
        <v>1619.5</v>
      </c>
      <c r="F29" s="36">
        <v>1843.9</v>
      </c>
      <c r="G29" s="36">
        <v>1428.7</v>
      </c>
      <c r="H29" s="36">
        <v>3057</v>
      </c>
      <c r="I29" s="36">
        <v>4176.2</v>
      </c>
      <c r="J29" s="36">
        <v>3700.3</v>
      </c>
      <c r="K29" s="36">
        <v>3546.3</v>
      </c>
      <c r="L29" s="36">
        <v>3369.3</v>
      </c>
      <c r="M29" s="36">
        <v>2588.4</v>
      </c>
      <c r="N29" s="36">
        <v>3561</v>
      </c>
      <c r="O29" s="36">
        <v>3486.6</v>
      </c>
      <c r="P29" s="36">
        <v>4026.6</v>
      </c>
      <c r="Q29" s="36">
        <v>4110.1000000000004</v>
      </c>
      <c r="R29" s="36">
        <v>4018.5</v>
      </c>
      <c r="S29" s="36">
        <v>4166.8999999999996</v>
      </c>
      <c r="T29" s="41">
        <v>5573.1</v>
      </c>
      <c r="U29" s="36">
        <v>6182</v>
      </c>
      <c r="V29" s="36">
        <v>6670.4</v>
      </c>
      <c r="W29" s="36">
        <v>6932.8</v>
      </c>
      <c r="X29" s="36">
        <v>5449.5</v>
      </c>
      <c r="Y29" s="36">
        <v>6212.2</v>
      </c>
      <c r="Z29" s="36">
        <v>6010</v>
      </c>
      <c r="AA29" s="36">
        <v>4456.1000000000004</v>
      </c>
      <c r="AB29" s="36">
        <v>4572.8</v>
      </c>
      <c r="AC29" s="36">
        <v>5635.7</v>
      </c>
      <c r="AD29" s="36">
        <v>5924.4000000000005</v>
      </c>
      <c r="AE29" s="36">
        <v>7425</v>
      </c>
      <c r="AF29" s="36">
        <v>7281.3</v>
      </c>
      <c r="AG29" s="36">
        <v>8649.9</v>
      </c>
      <c r="AH29" s="36">
        <v>9981.7000000000007</v>
      </c>
      <c r="AI29" s="36">
        <v>9921</v>
      </c>
      <c r="AJ29" s="36">
        <v>11299.5</v>
      </c>
    </row>
    <row r="30" spans="2:36" ht="29.25" customHeight="1" thickTop="1" thickBot="1">
      <c r="B30" s="34" t="s">
        <v>3</v>
      </c>
      <c r="C30" s="10">
        <v>363.8</v>
      </c>
      <c r="D30" s="10">
        <v>1078.4000000000001</v>
      </c>
      <c r="E30" s="10">
        <v>534.5</v>
      </c>
      <c r="F30" s="10">
        <v>775.4</v>
      </c>
      <c r="G30" s="10">
        <v>331.2</v>
      </c>
      <c r="H30" s="10">
        <v>1985.4</v>
      </c>
      <c r="I30" s="10">
        <v>2666.6</v>
      </c>
      <c r="J30" s="10">
        <v>2610.1</v>
      </c>
      <c r="K30" s="10">
        <v>2617</v>
      </c>
      <c r="L30" s="10">
        <v>2544.9</v>
      </c>
      <c r="M30" s="10">
        <v>1497.7</v>
      </c>
      <c r="N30" s="10">
        <v>2535.9</v>
      </c>
      <c r="O30" s="10">
        <v>2427.4</v>
      </c>
      <c r="P30" s="10">
        <v>2967.3</v>
      </c>
      <c r="Q30" s="10">
        <v>2965.7</v>
      </c>
      <c r="R30" s="10">
        <v>2771</v>
      </c>
      <c r="S30" s="10">
        <v>3263.1</v>
      </c>
      <c r="T30" s="10">
        <v>4534.5</v>
      </c>
      <c r="U30" s="10">
        <v>5220.7</v>
      </c>
      <c r="V30" s="10">
        <v>5498.8</v>
      </c>
      <c r="W30" s="10">
        <v>5786.2</v>
      </c>
      <c r="X30" s="10">
        <v>4504.2</v>
      </c>
      <c r="Y30" s="10">
        <v>5194.5</v>
      </c>
      <c r="Z30" s="10">
        <v>5211.8</v>
      </c>
      <c r="AA30" s="10">
        <v>3726.8</v>
      </c>
      <c r="AB30" s="10">
        <v>3982.4</v>
      </c>
      <c r="AC30" s="10">
        <v>5046.3999999999996</v>
      </c>
      <c r="AD30" s="10">
        <v>5319.8</v>
      </c>
      <c r="AE30" s="10">
        <v>6841</v>
      </c>
      <c r="AF30" s="10">
        <v>6682.7</v>
      </c>
      <c r="AG30" s="10">
        <v>7997.7</v>
      </c>
      <c r="AH30" s="10">
        <v>9025.5</v>
      </c>
      <c r="AI30" s="10">
        <v>8341.7999999999993</v>
      </c>
      <c r="AJ30" s="10">
        <v>9435.2999999999993</v>
      </c>
    </row>
    <row r="31" spans="2:36" ht="29.25" customHeight="1" thickTop="1" thickBot="1">
      <c r="B31" s="33" t="s">
        <v>4</v>
      </c>
      <c r="C31" s="37">
        <v>915.9</v>
      </c>
      <c r="D31" s="37">
        <v>1152.5999999999999</v>
      </c>
      <c r="E31" s="37">
        <v>1085</v>
      </c>
      <c r="F31" s="37">
        <v>1068.5</v>
      </c>
      <c r="G31" s="37">
        <v>1097.5</v>
      </c>
      <c r="H31" s="37">
        <v>1071.5999999999999</v>
      </c>
      <c r="I31" s="37">
        <v>1509.6</v>
      </c>
      <c r="J31" s="37">
        <v>1090.2</v>
      </c>
      <c r="K31" s="37">
        <v>929.3</v>
      </c>
      <c r="L31" s="37">
        <v>824.4</v>
      </c>
      <c r="M31" s="37">
        <v>1090.7</v>
      </c>
      <c r="N31" s="37">
        <v>1025.0999999999999</v>
      </c>
      <c r="O31" s="37">
        <v>1059.2</v>
      </c>
      <c r="P31" s="37">
        <v>1059.3</v>
      </c>
      <c r="Q31" s="37">
        <v>1144.4000000000001</v>
      </c>
      <c r="R31" s="37">
        <v>1247.5</v>
      </c>
      <c r="S31" s="37">
        <v>903.8</v>
      </c>
      <c r="T31" s="42">
        <v>1038.5999999999999</v>
      </c>
      <c r="U31" s="37">
        <v>961.3</v>
      </c>
      <c r="V31" s="37">
        <v>1171.5999999999999</v>
      </c>
      <c r="W31" s="37">
        <v>1146.5999999999999</v>
      </c>
      <c r="X31" s="37">
        <v>945.3</v>
      </c>
      <c r="Y31" s="37">
        <v>1017.7</v>
      </c>
      <c r="Z31" s="37">
        <v>798.2</v>
      </c>
      <c r="AA31" s="37">
        <v>729.3</v>
      </c>
      <c r="AB31" s="37">
        <v>590.4</v>
      </c>
      <c r="AC31" s="37">
        <v>589.29999999999995</v>
      </c>
      <c r="AD31" s="37">
        <v>604.6</v>
      </c>
      <c r="AE31" s="37">
        <v>584</v>
      </c>
      <c r="AF31" s="37">
        <v>598.6</v>
      </c>
      <c r="AG31" s="37">
        <v>652.20000000000005</v>
      </c>
      <c r="AH31" s="37">
        <v>956.2</v>
      </c>
      <c r="AI31" s="37">
        <v>1579.2</v>
      </c>
      <c r="AJ31" s="37">
        <v>1864.2</v>
      </c>
    </row>
    <row r="32" spans="2:36" ht="29.25" customHeight="1" thickTop="1" thickBot="1">
      <c r="B32" s="38" t="s">
        <v>5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</row>
    <row r="33" spans="2:36" ht="29.25" customHeight="1" thickTop="1" thickBot="1">
      <c r="B33" s="35" t="s">
        <v>14</v>
      </c>
      <c r="C33" s="36">
        <v>9995.9</v>
      </c>
      <c r="D33" s="36">
        <v>10676.5</v>
      </c>
      <c r="E33" s="36">
        <v>11792.7</v>
      </c>
      <c r="F33" s="36">
        <v>12388</v>
      </c>
      <c r="G33" s="36">
        <v>12312.9</v>
      </c>
      <c r="H33" s="36">
        <v>12579.5</v>
      </c>
      <c r="I33" s="36">
        <v>13745.1</v>
      </c>
      <c r="J33" s="36">
        <v>13937.4</v>
      </c>
      <c r="K33" s="36">
        <v>13615.9</v>
      </c>
      <c r="L33" s="36">
        <v>14659.5</v>
      </c>
      <c r="M33" s="36">
        <v>14854.7</v>
      </c>
      <c r="N33" s="36">
        <v>14331.8</v>
      </c>
      <c r="O33" s="36">
        <v>14467.2</v>
      </c>
      <c r="P33" s="36">
        <v>13820.5</v>
      </c>
      <c r="Q33" s="36">
        <v>14835.8</v>
      </c>
      <c r="R33" s="36">
        <v>15456.7</v>
      </c>
      <c r="S33" s="36">
        <v>15460</v>
      </c>
      <c r="T33" s="41">
        <v>15141.5</v>
      </c>
      <c r="U33" s="36">
        <v>15342.3</v>
      </c>
      <c r="V33" s="36">
        <v>14837.3</v>
      </c>
      <c r="W33" s="36">
        <v>15196.6</v>
      </c>
      <c r="X33" s="36">
        <v>18621.8</v>
      </c>
      <c r="Y33" s="36">
        <v>17011.400000000001</v>
      </c>
      <c r="Z33" s="36">
        <v>16703.3</v>
      </c>
      <c r="AA33" s="36">
        <v>17773.7</v>
      </c>
      <c r="AB33" s="36">
        <v>17161.5</v>
      </c>
      <c r="AC33" s="36">
        <v>17366.2</v>
      </c>
      <c r="AD33" s="36">
        <v>19070.599999999999</v>
      </c>
      <c r="AE33" s="36">
        <v>19944.900000000001</v>
      </c>
      <c r="AF33" s="36">
        <v>19722.3</v>
      </c>
      <c r="AG33" s="36">
        <v>19664.400000000001</v>
      </c>
      <c r="AH33" s="36">
        <v>22094.3</v>
      </c>
      <c r="AI33" s="36">
        <v>22065.599999999999</v>
      </c>
      <c r="AJ33" s="36">
        <v>21414.2</v>
      </c>
    </row>
    <row r="34" spans="2:36" ht="29.25" customHeight="1" thickTop="1" thickBot="1">
      <c r="B34" s="39" t="s">
        <v>26</v>
      </c>
      <c r="C34" s="8">
        <v>7244.3</v>
      </c>
      <c r="D34" s="8">
        <v>7724.3</v>
      </c>
      <c r="E34" s="8">
        <v>8009.4</v>
      </c>
      <c r="F34" s="8">
        <v>8272.6</v>
      </c>
      <c r="G34" s="8">
        <v>8472.7999999999993</v>
      </c>
      <c r="H34" s="8">
        <v>8408.6</v>
      </c>
      <c r="I34" s="8">
        <v>9150.2999999999993</v>
      </c>
      <c r="J34" s="8">
        <v>9785.6</v>
      </c>
      <c r="K34" s="8">
        <v>9242.2000000000007</v>
      </c>
      <c r="L34" s="8">
        <v>9901.2999999999993</v>
      </c>
      <c r="M34" s="8">
        <v>9719.7999999999993</v>
      </c>
      <c r="N34" s="8">
        <v>9686</v>
      </c>
      <c r="O34" s="8">
        <v>10392.5</v>
      </c>
      <c r="P34" s="8">
        <v>10710.6</v>
      </c>
      <c r="Q34" s="8">
        <v>10543.7</v>
      </c>
      <c r="R34" s="8">
        <v>10609.9</v>
      </c>
      <c r="S34" s="8">
        <v>10958</v>
      </c>
      <c r="T34" s="8">
        <v>10720.9</v>
      </c>
      <c r="U34" s="8">
        <v>10920</v>
      </c>
      <c r="V34" s="8">
        <v>10574.9</v>
      </c>
      <c r="W34" s="8">
        <v>10445.799999999999</v>
      </c>
      <c r="X34" s="8">
        <v>11309.5</v>
      </c>
      <c r="Y34" s="8">
        <v>11787.7</v>
      </c>
      <c r="Z34" s="8">
        <v>12450.4</v>
      </c>
      <c r="AA34" s="8">
        <v>12642.6</v>
      </c>
      <c r="AB34" s="8">
        <v>12337.5</v>
      </c>
      <c r="AC34" s="8">
        <v>12414.5</v>
      </c>
      <c r="AD34" s="8">
        <v>12857.3</v>
      </c>
      <c r="AE34" s="8">
        <v>12304.9</v>
      </c>
      <c r="AF34" s="8">
        <v>12410.4</v>
      </c>
      <c r="AG34" s="8">
        <v>12876.3</v>
      </c>
      <c r="AH34" s="8">
        <v>12805.3</v>
      </c>
      <c r="AI34" s="8">
        <v>12600.7</v>
      </c>
      <c r="AJ34" s="8">
        <v>12260.8</v>
      </c>
    </row>
    <row r="35" spans="2:36" ht="29.25" customHeight="1" thickTop="1" thickBot="1">
      <c r="B35" s="33" t="s">
        <v>15</v>
      </c>
      <c r="C35" s="37">
        <v>7244.3</v>
      </c>
      <c r="D35" s="37">
        <v>7724.3</v>
      </c>
      <c r="E35" s="37">
        <v>8009.4</v>
      </c>
      <c r="F35" s="37">
        <v>8272.6</v>
      </c>
      <c r="G35" s="37">
        <v>8472.7999999999993</v>
      </c>
      <c r="H35" s="37">
        <v>8408.6</v>
      </c>
      <c r="I35" s="37">
        <v>9150.2999999999993</v>
      </c>
      <c r="J35" s="37">
        <v>9785.6</v>
      </c>
      <c r="K35" s="37">
        <v>9242.2000000000007</v>
      </c>
      <c r="L35" s="37">
        <v>9901.2999999999993</v>
      </c>
      <c r="M35" s="37">
        <v>9719.7999999999993</v>
      </c>
      <c r="N35" s="37">
        <v>9686</v>
      </c>
      <c r="O35" s="37">
        <v>10392.5</v>
      </c>
      <c r="P35" s="37">
        <v>10710.6</v>
      </c>
      <c r="Q35" s="37">
        <v>10543.7</v>
      </c>
      <c r="R35" s="37">
        <v>10609.9</v>
      </c>
      <c r="S35" s="37">
        <v>10958</v>
      </c>
      <c r="T35" s="42">
        <v>10720.9</v>
      </c>
      <c r="U35" s="37">
        <v>10920</v>
      </c>
      <c r="V35" s="37">
        <v>10574.9</v>
      </c>
      <c r="W35" s="37">
        <v>10445.799999999999</v>
      </c>
      <c r="X35" s="37">
        <v>11309.5</v>
      </c>
      <c r="Y35" s="37">
        <v>11787.7</v>
      </c>
      <c r="Z35" s="37">
        <v>12450.4</v>
      </c>
      <c r="AA35" s="37">
        <v>12642.6</v>
      </c>
      <c r="AB35" s="37">
        <v>12337.5</v>
      </c>
      <c r="AC35" s="37">
        <v>12414.5</v>
      </c>
      <c r="AD35" s="37">
        <v>12857.3</v>
      </c>
      <c r="AE35" s="37">
        <v>12304.9</v>
      </c>
      <c r="AF35" s="37">
        <v>12410.4</v>
      </c>
      <c r="AG35" s="37">
        <v>12876.3</v>
      </c>
      <c r="AH35" s="37">
        <v>12805.3</v>
      </c>
      <c r="AI35" s="37">
        <v>12600.7</v>
      </c>
      <c r="AJ35" s="37">
        <v>12260.8</v>
      </c>
    </row>
    <row r="36" spans="2:36" ht="29.25" customHeight="1" thickTop="1" thickBot="1">
      <c r="B36" s="39" t="s">
        <v>27</v>
      </c>
      <c r="C36" s="8">
        <v>2751.6</v>
      </c>
      <c r="D36" s="8">
        <v>2952.2</v>
      </c>
      <c r="E36" s="8">
        <v>3783.3</v>
      </c>
      <c r="F36" s="8">
        <v>4115.3999999999996</v>
      </c>
      <c r="G36" s="8">
        <v>3840.1</v>
      </c>
      <c r="H36" s="8">
        <v>4170.8999999999996</v>
      </c>
      <c r="I36" s="8">
        <v>4594.8</v>
      </c>
      <c r="J36" s="8">
        <v>4151.8</v>
      </c>
      <c r="K36" s="8">
        <v>4373.7</v>
      </c>
      <c r="L36" s="8">
        <v>4758.2</v>
      </c>
      <c r="M36" s="8">
        <v>5134.8999999999996</v>
      </c>
      <c r="N36" s="8">
        <v>4645.8</v>
      </c>
      <c r="O36" s="8">
        <v>4074.7</v>
      </c>
      <c r="P36" s="8">
        <v>3109.9</v>
      </c>
      <c r="Q36" s="8">
        <v>4292.1000000000004</v>
      </c>
      <c r="R36" s="8">
        <v>4846.8</v>
      </c>
      <c r="S36" s="8">
        <v>4502</v>
      </c>
      <c r="T36" s="8">
        <v>4420.6000000000004</v>
      </c>
      <c r="U36" s="8">
        <v>4422.3</v>
      </c>
      <c r="V36" s="8">
        <v>4262.3999999999996</v>
      </c>
      <c r="W36" s="8">
        <v>4750.8</v>
      </c>
      <c r="X36" s="8">
        <v>7312.3</v>
      </c>
      <c r="Y36" s="8">
        <v>5223.7</v>
      </c>
      <c r="Z36" s="8">
        <v>4252.8999999999996</v>
      </c>
      <c r="AA36" s="8">
        <v>5131.1000000000004</v>
      </c>
      <c r="AB36" s="8">
        <v>4824</v>
      </c>
      <c r="AC36" s="8">
        <v>4951.7</v>
      </c>
      <c r="AD36" s="8">
        <v>6213.3</v>
      </c>
      <c r="AE36" s="8">
        <v>7640</v>
      </c>
      <c r="AF36" s="8">
        <v>7311.9</v>
      </c>
      <c r="AG36" s="8">
        <v>6788.1</v>
      </c>
      <c r="AH36" s="8">
        <v>9289</v>
      </c>
      <c r="AI36" s="8">
        <v>9464.9</v>
      </c>
      <c r="AJ36" s="8">
        <v>9153.4</v>
      </c>
    </row>
    <row r="37" spans="2:36" ht="29.25" customHeight="1" thickTop="1" thickBot="1">
      <c r="B37" s="33" t="s">
        <v>29</v>
      </c>
      <c r="C37" s="37">
        <v>2751.6</v>
      </c>
      <c r="D37" s="37">
        <v>2952.2</v>
      </c>
      <c r="E37" s="37">
        <v>3783.3</v>
      </c>
      <c r="F37" s="37">
        <v>4115.3999999999996</v>
      </c>
      <c r="G37" s="37">
        <v>3840.1</v>
      </c>
      <c r="H37" s="37">
        <v>4170.8999999999996</v>
      </c>
      <c r="I37" s="37">
        <v>4594.8</v>
      </c>
      <c r="J37" s="37">
        <v>4151.8</v>
      </c>
      <c r="K37" s="37">
        <v>4373.7</v>
      </c>
      <c r="L37" s="37">
        <v>4758.2</v>
      </c>
      <c r="M37" s="37">
        <v>5134.8999999999996</v>
      </c>
      <c r="N37" s="37">
        <v>4645.8</v>
      </c>
      <c r="O37" s="37">
        <v>4074.7</v>
      </c>
      <c r="P37" s="37">
        <v>3109.9</v>
      </c>
      <c r="Q37" s="37">
        <v>4292.1000000000004</v>
      </c>
      <c r="R37" s="37">
        <v>4846.8</v>
      </c>
      <c r="S37" s="37">
        <v>4502</v>
      </c>
      <c r="T37" s="42">
        <v>4420.6000000000004</v>
      </c>
      <c r="U37" s="37">
        <v>4422.3</v>
      </c>
      <c r="V37" s="37">
        <v>4262.3999999999996</v>
      </c>
      <c r="W37" s="37">
        <v>4750.8</v>
      </c>
      <c r="X37" s="37">
        <v>7312.3</v>
      </c>
      <c r="Y37" s="37">
        <v>5223.7</v>
      </c>
      <c r="Z37" s="37">
        <v>4252.8999999999996</v>
      </c>
      <c r="AA37" s="37">
        <v>5131.1000000000004</v>
      </c>
      <c r="AB37" s="37">
        <v>4824</v>
      </c>
      <c r="AC37" s="37">
        <v>4951.7</v>
      </c>
      <c r="AD37" s="37">
        <v>6213.3</v>
      </c>
      <c r="AE37" s="37">
        <v>7640</v>
      </c>
      <c r="AF37" s="37">
        <v>7311.9</v>
      </c>
      <c r="AG37" s="37">
        <v>6788.1</v>
      </c>
      <c r="AH37" s="37">
        <v>9289</v>
      </c>
      <c r="AI37" s="37">
        <v>9464.9</v>
      </c>
      <c r="AJ37" s="37">
        <v>9153.4</v>
      </c>
    </row>
    <row r="38" spans="2:36" ht="21" customHeight="1" thickTop="1">
      <c r="B38" s="9" t="s">
        <v>16</v>
      </c>
    </row>
    <row r="39" spans="2:36" ht="21" customHeight="1">
      <c r="B39" s="9" t="s">
        <v>17</v>
      </c>
    </row>
    <row r="40" spans="2:36" ht="15" customHeight="1"/>
    <row r="42" spans="2:36">
      <c r="B42" s="1"/>
    </row>
  </sheetData>
  <mergeCells count="11">
    <mergeCell ref="P4:Q4"/>
    <mergeCell ref="B6:B7"/>
    <mergeCell ref="C6:F6"/>
    <mergeCell ref="G6:J6"/>
    <mergeCell ref="K6:N6"/>
    <mergeCell ref="AH6:AJ6"/>
    <mergeCell ref="W6:Z6"/>
    <mergeCell ref="S6:V6"/>
    <mergeCell ref="O6:R6"/>
    <mergeCell ref="AA6:AC6"/>
    <mergeCell ref="AD6:AG6"/>
  </mergeCells>
  <phoneticPr fontId="11" type="noConversion"/>
  <printOptions horizontalCentered="1" verticalCentered="1"/>
  <pageMargins left="0" right="0" top="0" bottom="0" header="0" footer="0"/>
  <pageSetup paperSize="9" scale="54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magdy.eldemrdash</dc:creator>
  <cp:lastModifiedBy>Shaimaa Aziem</cp:lastModifiedBy>
  <cp:lastPrinted>2026-06-24T08:11:06Z</cp:lastPrinted>
  <dcterms:created xsi:type="dcterms:W3CDTF">2014-05-19T09:27:38Z</dcterms:created>
  <dcterms:modified xsi:type="dcterms:W3CDTF">2026-08-02T12:40:56Z</dcterms:modified>
</cp:coreProperties>
</file>