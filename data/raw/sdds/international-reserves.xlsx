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yman.nasreldin\Desktop\sdds nir sept 2026\"/>
    </mc:Choice>
  </mc:AlternateContent>
  <xr:revisionPtr revIDLastSave="0" documentId="8_{7B65E446-6BB1-437E-A694-489B7F0B542C}" xr6:coauthVersionLast="47" xr6:coauthVersionMax="47" xr10:uidLastSave="{00000000-0000-0000-0000-000000000000}"/>
  <bookViews>
    <workbookView xWindow="-120" yWindow="-120" windowWidth="21840" windowHeight="13020" tabRatio="346" xr2:uid="{00000000-000D-0000-FFFF-FFFF00000000}"/>
  </bookViews>
  <sheets>
    <sheet name="International Reserves" sheetId="2" r:id="rId1"/>
    <sheet name="Historical Data" sheetId="3" r:id="rId2"/>
  </sheets>
  <definedNames>
    <definedName name="_xlnm.Print_Area" localSheetId="0">'International Reserves'!$A$1:$JO$17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O11" i="2" l="1"/>
  <c r="GR11" i="3"/>
  <c r="GR11" i="2" l="1"/>
  <c r="DO11" i="3" l="1"/>
  <c r="DN11" i="3"/>
  <c r="DM11" i="3"/>
  <c r="DL11" i="3"/>
  <c r="DA11" i="3"/>
  <c r="CY11" i="3"/>
  <c r="CK11" i="3"/>
  <c r="CJ11" i="3"/>
  <c r="CI11" i="3"/>
  <c r="DM11" i="2" l="1"/>
  <c r="DN11" i="2"/>
  <c r="DO11" i="2"/>
  <c r="DL11" i="2"/>
  <c r="DA11" i="2"/>
  <c r="CY11" i="2"/>
  <c r="CK11" i="2"/>
  <c r="CJ11" i="2"/>
  <c r="CI11" i="2"/>
</calcChain>
</file>

<file path=xl/sharedStrings.xml><?xml version="1.0" encoding="utf-8"?>
<sst xmlns="http://schemas.openxmlformats.org/spreadsheetml/2006/main" count="576" uniqueCount="49">
  <si>
    <t>Central Bank of Egypt</t>
  </si>
  <si>
    <t>Dec.</t>
  </si>
  <si>
    <t>Feb.</t>
  </si>
  <si>
    <t>April</t>
  </si>
  <si>
    <t>May</t>
  </si>
  <si>
    <t>End of</t>
  </si>
  <si>
    <t xml:space="preserve">Oct. </t>
  </si>
  <si>
    <t>International Reserves and Reserve Template</t>
  </si>
  <si>
    <t>(US$ mn)</t>
  </si>
  <si>
    <t>Net International Reserves</t>
  </si>
  <si>
    <t>Gross Official Reserves:</t>
  </si>
  <si>
    <t>Gold</t>
  </si>
  <si>
    <t>SDRs</t>
  </si>
  <si>
    <t>Foreign Currencies</t>
  </si>
  <si>
    <t>June</t>
  </si>
  <si>
    <t>July </t>
  </si>
  <si>
    <t xml:space="preserve">Aug. </t>
  </si>
  <si>
    <t xml:space="preserve">Sept. </t>
  </si>
  <si>
    <t xml:space="preserve">Nov. </t>
  </si>
  <si>
    <t> Jan.</t>
  </si>
  <si>
    <t> Feb.</t>
  </si>
  <si>
    <t> Mar.</t>
  </si>
  <si>
    <t> 14237</t>
  </si>
  <si>
    <t> 14329</t>
  </si>
  <si>
    <t> 14305</t>
  </si>
  <si>
    <t> 14419</t>
  </si>
  <si>
    <t> 14781</t>
  </si>
  <si>
    <t> 14345</t>
  </si>
  <si>
    <t>717 </t>
  </si>
  <si>
    <t> 125</t>
  </si>
  <si>
    <t>July</t>
  </si>
  <si>
    <t>Aug.</t>
  </si>
  <si>
    <t>Sep.</t>
  </si>
  <si>
    <t>Oct.</t>
  </si>
  <si>
    <t>Nov.</t>
  </si>
  <si>
    <t>March</t>
  </si>
  <si>
    <t>Jan.</t>
  </si>
  <si>
    <r>
      <t> </t>
    </r>
    <r>
      <rPr>
        <b/>
        <sz val="12"/>
        <rFont val="Times New Roman"/>
        <family val="1"/>
      </rPr>
      <t>March</t>
    </r>
  </si>
  <si>
    <r>
      <t> </t>
    </r>
    <r>
      <rPr>
        <b/>
        <sz val="12"/>
        <rFont val="Times New Roman"/>
        <family val="1"/>
      </rPr>
      <t>April</t>
    </r>
  </si>
  <si>
    <r>
      <t> </t>
    </r>
    <r>
      <rPr>
        <b/>
        <sz val="12"/>
        <rFont val="Times New Roman"/>
        <family val="1"/>
      </rPr>
      <t>May</t>
    </r>
  </si>
  <si>
    <t>Loans to IMF</t>
  </si>
  <si>
    <t>Mar.</t>
  </si>
  <si>
    <t>(US $mn )</t>
  </si>
  <si>
    <t>Sept.</t>
  </si>
  <si>
    <r>
      <rPr>
        <sz val="12"/>
        <rFont val="Arial"/>
        <family val="2"/>
      </rPr>
      <t>+</t>
    </r>
    <r>
      <rPr>
        <sz val="12"/>
        <rFont val="Times New Roman"/>
        <family val="1"/>
      </rPr>
      <t xml:space="preserve"> Provisional</t>
    </r>
  </si>
  <si>
    <t>June+</t>
  </si>
  <si>
    <t>July+</t>
  </si>
  <si>
    <t>Aug.+</t>
  </si>
  <si>
    <t>Sept.+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</si>
</sst>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8"/>
      <name val="Arial"/>
      <family val="2"/>
    </font>
    <font>
      <b/>
      <sz val="14"/>
      <color indexed="1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u/>
      <sz val="11"/>
      <name val="Times New Roman"/>
      <family val="1"/>
    </font>
    <font>
      <b/>
      <sz val="14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sz val="12"/>
      <color indexed="22"/>
      <name val="Times New Roman"/>
      <family val="1"/>
    </font>
    <font>
      <b/>
      <sz val="12"/>
      <name val="Arial"/>
      <family val="2"/>
    </font>
    <font>
      <sz val="12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Border="1"/>
    <xf numFmtId="0" fontId="2" fillId="0" borderId="0" xfId="0" applyFont="1" applyAlignment="1">
      <alignment vertical="center"/>
    </xf>
    <xf numFmtId="0" fontId="3" fillId="0" borderId="0" xfId="0" applyFont="1" applyBorder="1" applyAlignment="1"/>
    <xf numFmtId="0" fontId="11" fillId="0" borderId="0" xfId="0" applyFont="1" applyAlignment="1">
      <alignment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indent="1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indent="2"/>
    </xf>
    <xf numFmtId="0" fontId="10" fillId="0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3" fillId="2" borderId="0" xfId="0" applyFont="1" applyFill="1"/>
    <xf numFmtId="0" fontId="5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indent="1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indent="2"/>
    </xf>
    <xf numFmtId="0" fontId="10" fillId="2" borderId="0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Fill="1" applyBorder="1" applyAlignment="1">
      <alignment horizontal="center"/>
    </xf>
    <xf numFmtId="0" fontId="5" fillId="0" borderId="0" xfId="0" applyFont="1" applyFill="1"/>
    <xf numFmtId="0" fontId="12" fillId="2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4" fillId="2" borderId="0" xfId="0" applyFont="1" applyFill="1"/>
    <xf numFmtId="0" fontId="3" fillId="0" borderId="0" xfId="0" applyFont="1" applyFill="1" applyBorder="1" applyAlignment="1">
      <alignment wrapText="1"/>
    </xf>
    <xf numFmtId="1" fontId="5" fillId="2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2" borderId="0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/>
    <xf numFmtId="1" fontId="3" fillId="0" borderId="0" xfId="0" applyNumberFormat="1" applyFont="1"/>
    <xf numFmtId="0" fontId="5" fillId="2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left"/>
    </xf>
    <xf numFmtId="1" fontId="5" fillId="2" borderId="0" xfId="0" applyNumberFormat="1" applyFont="1" applyFill="1" applyBorder="1" applyAlignment="1">
      <alignment horizontal="center"/>
    </xf>
    <xf numFmtId="0" fontId="3" fillId="3" borderId="0" xfId="0" applyFont="1" applyFill="1"/>
    <xf numFmtId="1" fontId="3" fillId="2" borderId="0" xfId="0" applyNumberFormat="1" applyFont="1" applyFill="1"/>
    <xf numFmtId="0" fontId="15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" fontId="3" fillId="0" borderId="0" xfId="0" applyNumberFormat="1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" fontId="3" fillId="0" borderId="0" xfId="0" applyNumberFormat="1" applyFont="1" applyFill="1"/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Border="1" applyAlignment="1">
      <alignment horizontal="left" wrapText="1" indent="1"/>
    </xf>
    <xf numFmtId="0" fontId="3" fillId="2" borderId="0" xfId="0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wrapText="1" indent="1"/>
    </xf>
    <xf numFmtId="0" fontId="3" fillId="0" borderId="0" xfId="0" applyFont="1" applyFill="1" applyBorder="1" applyAlignment="1">
      <alignment horizontal="left" indent="1"/>
    </xf>
    <xf numFmtId="49" fontId="16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0" fontId="3" fillId="0" borderId="0" xfId="0" applyFont="1" applyAlignment="1"/>
    <xf numFmtId="0" fontId="16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5" fillId="0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5" fillId="3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28575</xdr:rowOff>
    </xdr:from>
    <xdr:to>
      <xdr:col>1</xdr:col>
      <xdr:colOff>419100</xdr:colOff>
      <xdr:row>0</xdr:row>
      <xdr:rowOff>390525</xdr:rowOff>
    </xdr:to>
    <xdr:pic>
      <xdr:nvPicPr>
        <xdr:cNvPr id="2089" name="Picture 1" descr="all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28575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381000</xdr:colOff>
      <xdr:row>1</xdr:row>
      <xdr:rowOff>9525</xdr:rowOff>
    </xdr:to>
    <xdr:pic>
      <xdr:nvPicPr>
        <xdr:cNvPr id="2" name="Picture 1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O21"/>
  <sheetViews>
    <sheetView tabSelected="1" zoomScaleNormal="100" zoomScaleSheetLayoutView="100" workbookViewId="0">
      <selection activeCell="JC4" sqref="JC4"/>
    </sheetView>
  </sheetViews>
  <sheetFormatPr defaultColWidth="9.140625" defaultRowHeight="15.75" x14ac:dyDescent="0.25"/>
  <cols>
    <col min="1" max="1" width="6.85546875" style="1" customWidth="1"/>
    <col min="2" max="2" width="9.28515625" style="1" customWidth="1"/>
    <col min="3" max="3" width="40.7109375" style="1" customWidth="1"/>
    <col min="4" max="10" width="10.7109375" style="1" hidden="1" customWidth="1"/>
    <col min="11" max="11" width="10.85546875" style="1" hidden="1" customWidth="1"/>
    <col min="12" max="17" width="10.7109375" style="1" hidden="1" customWidth="1"/>
    <col min="18" max="60" width="9.140625" style="1" hidden="1" customWidth="1"/>
    <col min="61" max="61" width="10.140625" style="1" hidden="1" customWidth="1"/>
    <col min="62" max="64" width="9.140625" style="1" hidden="1" customWidth="1"/>
    <col min="65" max="66" width="11.5703125" style="1" hidden="1" customWidth="1"/>
    <col min="67" max="69" width="9.140625" style="1" hidden="1" customWidth="1"/>
    <col min="70" max="70" width="11.85546875" style="1" hidden="1" customWidth="1"/>
    <col min="71" max="71" width="11.5703125" style="1" hidden="1" customWidth="1"/>
    <col min="72" max="72" width="9.5703125" style="1" hidden="1" customWidth="1"/>
    <col min="73" max="73" width="9.140625" style="1" hidden="1" customWidth="1"/>
    <col min="74" max="74" width="9.28515625" style="1" hidden="1" customWidth="1"/>
    <col min="75" max="77" width="9.140625" style="1" hidden="1" customWidth="1"/>
    <col min="78" max="78" width="10.42578125" style="1" hidden="1" customWidth="1"/>
    <col min="79" max="79" width="10.28515625" style="1" hidden="1" customWidth="1"/>
    <col min="80" max="80" width="9.140625" style="1" hidden="1" customWidth="1"/>
    <col min="81" max="81" width="11.140625" style="1" hidden="1" customWidth="1"/>
    <col min="82" max="98" width="9.140625" style="1" hidden="1" customWidth="1"/>
    <col min="99" max="99" width="11.5703125" style="1" hidden="1" customWidth="1"/>
    <col min="100" max="101" width="9.140625" style="1" hidden="1" customWidth="1"/>
    <col min="102" max="102" width="10.28515625" style="1" hidden="1" customWidth="1"/>
    <col min="103" max="103" width="10.7109375" style="1" hidden="1" customWidth="1"/>
    <col min="104" max="104" width="11.28515625" style="1" hidden="1" customWidth="1"/>
    <col min="105" max="105" width="10.7109375" style="1" hidden="1" customWidth="1"/>
    <col min="106" max="118" width="9.140625" style="1" hidden="1" customWidth="1"/>
    <col min="119" max="119" width="6.7109375" style="1" hidden="1" customWidth="1"/>
    <col min="120" max="120" width="9.5703125" style="1" hidden="1" customWidth="1"/>
    <col min="121" max="122" width="9.140625" style="1" hidden="1" customWidth="1"/>
    <col min="123" max="123" width="11" style="1" hidden="1" customWidth="1"/>
    <col min="124" max="127" width="10.42578125" style="1" hidden="1" customWidth="1"/>
    <col min="128" max="130" width="9.140625" style="1" hidden="1" customWidth="1"/>
    <col min="131" max="150" width="0" style="1" hidden="1" customWidth="1"/>
    <col min="151" max="151" width="0.42578125" style="1" hidden="1" customWidth="1"/>
    <col min="152" max="170" width="0" style="1" hidden="1" customWidth="1"/>
    <col min="171" max="171" width="4" style="1" hidden="1" customWidth="1"/>
    <col min="172" max="172" width="4.7109375" style="1" hidden="1" customWidth="1"/>
    <col min="173" max="173" width="2.85546875" style="1" hidden="1" customWidth="1"/>
    <col min="174" max="174" width="2.7109375" style="1" hidden="1" customWidth="1"/>
    <col min="175" max="175" width="2.5703125" style="1" hidden="1" customWidth="1"/>
    <col min="176" max="176" width="2" style="1" hidden="1" customWidth="1"/>
    <col min="177" max="230" width="0" style="1" hidden="1" customWidth="1"/>
    <col min="231" max="231" width="9.140625" style="1" hidden="1" customWidth="1"/>
    <col min="232" max="262" width="0" style="1" hidden="1" customWidth="1"/>
    <col min="263" max="16384" width="9.140625" style="1"/>
  </cols>
  <sheetData>
    <row r="1" spans="1:275" ht="31.5" customHeight="1" x14ac:dyDescent="0.25">
      <c r="A1" s="81"/>
      <c r="B1" s="81"/>
      <c r="C1" s="5" t="s">
        <v>0</v>
      </c>
      <c r="D1" s="3"/>
      <c r="E1" s="3"/>
      <c r="F1" s="3"/>
      <c r="G1" s="3"/>
      <c r="H1" s="3"/>
      <c r="I1" s="3"/>
      <c r="J1" s="3"/>
      <c r="K1" s="3"/>
      <c r="L1" s="3"/>
      <c r="BE1" s="78"/>
      <c r="BF1" s="78"/>
      <c r="BG1" s="78"/>
      <c r="BH1" s="78"/>
      <c r="BI1" s="78"/>
    </row>
    <row r="2" spans="1:27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275" s="31" customFormat="1" ht="17.25" customHeight="1" x14ac:dyDescent="0.25">
      <c r="A3" s="80" t="s">
        <v>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38"/>
      <c r="BF3" s="38"/>
      <c r="BG3" s="38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  <c r="JF3" s="61"/>
      <c r="JG3" s="61"/>
      <c r="JH3" s="61"/>
      <c r="JI3" s="61"/>
      <c r="JJ3" s="61"/>
      <c r="JK3" s="61"/>
      <c r="JL3" s="61"/>
      <c r="JM3" s="61"/>
      <c r="JN3" s="61"/>
      <c r="JO3" s="61"/>
    </row>
    <row r="4" spans="1:275" s="31" customFormat="1" ht="17.25" customHeight="1" x14ac:dyDescent="0.25">
      <c r="A4" s="39"/>
      <c r="B4" s="39"/>
      <c r="C4" s="84" t="s">
        <v>42</v>
      </c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F4" s="39"/>
      <c r="BG4" s="39"/>
      <c r="BH4" s="79" t="s">
        <v>8</v>
      </c>
      <c r="BI4" s="79"/>
      <c r="BT4" s="79"/>
      <c r="BU4" s="79"/>
      <c r="CG4" s="79"/>
      <c r="CH4" s="79"/>
      <c r="CI4" s="79"/>
      <c r="CJ4" s="79"/>
      <c r="CW4" s="39"/>
      <c r="CX4" s="48"/>
      <c r="CY4" s="48"/>
      <c r="CZ4" s="48"/>
      <c r="DP4" s="48"/>
      <c r="DS4" s="48" t="s">
        <v>8</v>
      </c>
    </row>
    <row r="5" spans="1:275" s="31" customFormat="1" ht="21.75" customHeight="1" x14ac:dyDescent="0.25">
      <c r="A5" s="20"/>
      <c r="B5" s="21"/>
      <c r="C5" s="53"/>
      <c r="D5" s="53">
        <v>2004</v>
      </c>
      <c r="E5" s="53">
        <v>2004</v>
      </c>
      <c r="F5" s="53">
        <v>2004</v>
      </c>
      <c r="G5" s="53">
        <v>2004</v>
      </c>
      <c r="H5" s="53">
        <v>2004</v>
      </c>
      <c r="I5" s="53">
        <v>2004</v>
      </c>
      <c r="J5" s="53">
        <v>2004</v>
      </c>
      <c r="K5" s="53">
        <v>2004</v>
      </c>
      <c r="L5" s="53">
        <v>2004</v>
      </c>
      <c r="M5" s="53">
        <v>2004</v>
      </c>
      <c r="N5" s="53">
        <v>2004</v>
      </c>
      <c r="O5" s="53">
        <v>2005</v>
      </c>
      <c r="P5" s="53">
        <v>2005</v>
      </c>
      <c r="Q5" s="53">
        <v>2005</v>
      </c>
      <c r="R5" s="53">
        <v>2005</v>
      </c>
      <c r="S5" s="53">
        <v>2005</v>
      </c>
      <c r="T5" s="53">
        <v>2005</v>
      </c>
      <c r="U5" s="53">
        <v>2005</v>
      </c>
      <c r="V5" s="53">
        <v>2005</v>
      </c>
      <c r="W5" s="53">
        <v>2005</v>
      </c>
      <c r="X5" s="53">
        <v>2005</v>
      </c>
      <c r="Y5" s="53">
        <v>2005</v>
      </c>
      <c r="Z5" s="53">
        <v>2005</v>
      </c>
      <c r="AA5" s="53">
        <v>2006</v>
      </c>
      <c r="AB5" s="53">
        <v>2006</v>
      </c>
      <c r="AC5" s="53">
        <v>2006</v>
      </c>
      <c r="AD5" s="53">
        <v>2006</v>
      </c>
      <c r="AE5" s="53">
        <v>2006</v>
      </c>
      <c r="AF5" s="53">
        <v>2006</v>
      </c>
      <c r="AG5" s="53">
        <v>2006</v>
      </c>
      <c r="AH5" s="53">
        <v>2006</v>
      </c>
      <c r="AI5" s="53">
        <v>2006</v>
      </c>
      <c r="AJ5" s="53">
        <v>2006</v>
      </c>
      <c r="AK5" s="53">
        <v>2006</v>
      </c>
      <c r="AL5" s="53">
        <v>2006</v>
      </c>
      <c r="AM5" s="21">
        <v>2007</v>
      </c>
      <c r="AN5" s="21">
        <v>2007</v>
      </c>
      <c r="AO5" s="21">
        <v>2007</v>
      </c>
      <c r="AP5" s="21">
        <v>2007</v>
      </c>
      <c r="AQ5" s="21">
        <v>2007</v>
      </c>
      <c r="AR5" s="21">
        <v>2007</v>
      </c>
      <c r="AS5" s="21">
        <v>2007</v>
      </c>
      <c r="AT5" s="21">
        <v>2007</v>
      </c>
      <c r="AU5" s="21">
        <v>2007</v>
      </c>
      <c r="AV5" s="21">
        <v>2007</v>
      </c>
      <c r="AW5" s="21">
        <v>2007</v>
      </c>
      <c r="AX5" s="21">
        <v>2007</v>
      </c>
      <c r="AY5" s="21">
        <v>2008</v>
      </c>
      <c r="AZ5" s="21">
        <v>2008</v>
      </c>
      <c r="BA5" s="21">
        <v>2008</v>
      </c>
      <c r="BB5" s="21">
        <v>2008</v>
      </c>
      <c r="BC5" s="21">
        <v>2008</v>
      </c>
      <c r="BD5" s="21">
        <v>2008</v>
      </c>
      <c r="BE5" s="21">
        <v>2008</v>
      </c>
      <c r="BF5" s="21">
        <v>2008</v>
      </c>
      <c r="BG5" s="21">
        <v>2008</v>
      </c>
      <c r="BH5" s="21">
        <v>2008</v>
      </c>
      <c r="BI5" s="21">
        <v>2008</v>
      </c>
      <c r="BJ5" s="21">
        <v>2008</v>
      </c>
      <c r="BK5" s="47">
        <v>2009</v>
      </c>
      <c r="BL5" s="47">
        <v>2009</v>
      </c>
      <c r="BM5" s="47">
        <v>2009</v>
      </c>
      <c r="BN5" s="47">
        <v>2009</v>
      </c>
      <c r="BO5" s="47">
        <v>2009</v>
      </c>
      <c r="BP5" s="47">
        <v>2009</v>
      </c>
      <c r="BQ5" s="47">
        <v>2009</v>
      </c>
      <c r="BR5" s="47">
        <v>2009</v>
      </c>
      <c r="BS5" s="47">
        <v>2009</v>
      </c>
      <c r="BT5" s="47">
        <v>2009</v>
      </c>
      <c r="BU5" s="47">
        <v>2009</v>
      </c>
      <c r="BV5" s="47">
        <v>2009</v>
      </c>
      <c r="BW5" s="45">
        <v>2010</v>
      </c>
      <c r="BX5" s="45">
        <v>2010</v>
      </c>
      <c r="BY5" s="45">
        <v>2010</v>
      </c>
      <c r="BZ5" s="45">
        <v>2010</v>
      </c>
      <c r="CA5" s="45">
        <v>2010</v>
      </c>
      <c r="CB5" s="45">
        <v>2010</v>
      </c>
      <c r="CC5" s="45">
        <v>2010</v>
      </c>
      <c r="CD5" s="45">
        <v>2010</v>
      </c>
      <c r="CE5" s="45">
        <v>2010</v>
      </c>
      <c r="CF5" s="45">
        <v>2010</v>
      </c>
      <c r="CG5" s="45">
        <v>2010</v>
      </c>
      <c r="CH5" s="45">
        <v>2010</v>
      </c>
      <c r="CI5" s="45">
        <v>2011</v>
      </c>
      <c r="CJ5" s="45">
        <v>2011</v>
      </c>
      <c r="CK5" s="45">
        <v>2011</v>
      </c>
      <c r="CL5" s="45">
        <v>2011</v>
      </c>
      <c r="CM5" s="45">
        <v>2011</v>
      </c>
      <c r="CN5" s="45">
        <v>2011</v>
      </c>
      <c r="CO5" s="45">
        <v>2011</v>
      </c>
      <c r="CP5" s="45">
        <v>2011</v>
      </c>
      <c r="CQ5" s="45">
        <v>2011</v>
      </c>
      <c r="CR5" s="45">
        <v>2011</v>
      </c>
      <c r="CS5" s="45">
        <v>2011</v>
      </c>
      <c r="CT5" s="45">
        <v>2011</v>
      </c>
      <c r="CU5" s="44">
        <v>2012</v>
      </c>
      <c r="CV5" s="44">
        <v>2012</v>
      </c>
      <c r="CW5" s="44">
        <v>2012</v>
      </c>
      <c r="CX5" s="44">
        <v>2012</v>
      </c>
      <c r="CY5" s="44">
        <v>2012</v>
      </c>
      <c r="CZ5" s="44">
        <v>2012</v>
      </c>
      <c r="DA5" s="44">
        <v>2012</v>
      </c>
      <c r="DB5" s="44">
        <v>2012</v>
      </c>
      <c r="DC5" s="44">
        <v>2012</v>
      </c>
      <c r="DD5" s="44">
        <v>2012</v>
      </c>
      <c r="DE5" s="44">
        <v>2012</v>
      </c>
      <c r="DF5" s="44">
        <v>2012</v>
      </c>
      <c r="DG5" s="44">
        <v>2013</v>
      </c>
      <c r="DH5" s="44">
        <v>2013</v>
      </c>
      <c r="DI5" s="44">
        <v>2013</v>
      </c>
      <c r="DJ5" s="44">
        <v>2013</v>
      </c>
      <c r="DK5" s="44">
        <v>2013</v>
      </c>
      <c r="DL5" s="44">
        <v>2013</v>
      </c>
      <c r="DM5" s="44">
        <v>2013</v>
      </c>
      <c r="DN5" s="44">
        <v>2013</v>
      </c>
      <c r="DO5" s="44">
        <v>2013</v>
      </c>
      <c r="DP5" s="44">
        <v>2013</v>
      </c>
      <c r="DQ5" s="44">
        <v>2013</v>
      </c>
      <c r="DR5" s="44">
        <v>2013</v>
      </c>
      <c r="DS5" s="44">
        <v>2014</v>
      </c>
      <c r="DT5" s="44">
        <v>2014</v>
      </c>
      <c r="DU5" s="44">
        <v>2014</v>
      </c>
      <c r="DV5" s="44">
        <v>2014</v>
      </c>
      <c r="DW5" s="44">
        <v>2014</v>
      </c>
      <c r="DX5" s="44">
        <v>2014</v>
      </c>
      <c r="DY5" s="44">
        <v>2014</v>
      </c>
      <c r="DZ5" s="44">
        <v>2014</v>
      </c>
      <c r="EA5" s="44">
        <v>2014</v>
      </c>
      <c r="EB5" s="44">
        <v>2014</v>
      </c>
      <c r="EC5" s="44">
        <v>2014</v>
      </c>
      <c r="ED5" s="44">
        <v>2014</v>
      </c>
      <c r="EE5" s="44">
        <v>2015</v>
      </c>
      <c r="EF5" s="44">
        <v>2015</v>
      </c>
      <c r="EG5" s="44">
        <v>2015</v>
      </c>
      <c r="EH5" s="44">
        <v>2015</v>
      </c>
      <c r="EI5" s="44">
        <v>2015</v>
      </c>
      <c r="EJ5" s="44">
        <v>2015</v>
      </c>
      <c r="EK5" s="44">
        <v>2015</v>
      </c>
      <c r="EL5" s="44"/>
      <c r="EM5" s="44">
        <v>2015</v>
      </c>
      <c r="EN5" s="44">
        <v>2015</v>
      </c>
      <c r="EO5" s="44">
        <v>2015</v>
      </c>
      <c r="EP5" s="44">
        <v>2015</v>
      </c>
      <c r="EQ5" s="44">
        <v>2016</v>
      </c>
      <c r="ER5" s="44">
        <v>2016</v>
      </c>
      <c r="ES5" s="44">
        <v>2016</v>
      </c>
      <c r="ET5" s="44">
        <v>2016</v>
      </c>
      <c r="EU5" s="44">
        <v>2016</v>
      </c>
      <c r="EV5" s="44">
        <v>2016</v>
      </c>
      <c r="EW5" s="44">
        <v>2016</v>
      </c>
      <c r="EX5" s="44">
        <v>2016</v>
      </c>
      <c r="EY5" s="44">
        <v>2016</v>
      </c>
      <c r="EZ5" s="44">
        <v>2016</v>
      </c>
      <c r="FA5" s="44">
        <v>2016</v>
      </c>
      <c r="FB5" s="44">
        <v>2016</v>
      </c>
      <c r="FC5" s="44">
        <v>2017</v>
      </c>
      <c r="FD5" s="89">
        <v>2017</v>
      </c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>
        <v>2018</v>
      </c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8">
        <v>2019</v>
      </c>
      <c r="GB5" s="88"/>
      <c r="GC5" s="88"/>
      <c r="GD5" s="88"/>
      <c r="GE5" s="88"/>
      <c r="GF5" s="88"/>
      <c r="GG5" s="88"/>
      <c r="GH5" s="88"/>
      <c r="GI5" s="88"/>
      <c r="GJ5" s="88"/>
      <c r="GK5" s="88"/>
      <c r="GL5" s="88"/>
      <c r="GM5" s="88">
        <v>2020</v>
      </c>
      <c r="GN5" s="88"/>
      <c r="GO5" s="88"/>
      <c r="GP5" s="88"/>
      <c r="GQ5" s="88"/>
      <c r="GR5" s="88"/>
      <c r="GS5" s="88"/>
      <c r="GT5" s="88"/>
      <c r="GU5" s="88"/>
      <c r="GV5" s="88"/>
      <c r="GW5" s="88"/>
      <c r="GX5" s="88"/>
      <c r="GY5" s="88">
        <v>2021</v>
      </c>
      <c r="GZ5" s="88"/>
      <c r="HA5" s="88"/>
      <c r="HB5" s="88"/>
      <c r="HC5" s="88"/>
      <c r="HD5" s="88"/>
      <c r="HE5" s="88"/>
      <c r="HF5" s="88"/>
      <c r="HG5" s="88"/>
      <c r="HH5" s="88"/>
      <c r="HI5" s="88"/>
      <c r="HJ5" s="88"/>
      <c r="HK5" s="88">
        <v>2022</v>
      </c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88"/>
      <c r="HW5" s="88">
        <v>2023</v>
      </c>
      <c r="HX5" s="88"/>
      <c r="HY5" s="88"/>
      <c r="HZ5" s="88"/>
      <c r="IA5" s="88"/>
      <c r="IB5" s="88"/>
      <c r="IC5" s="88"/>
      <c r="ID5" s="88"/>
      <c r="IE5" s="88"/>
      <c r="IF5" s="88"/>
      <c r="IG5" s="88"/>
      <c r="IH5" s="88"/>
      <c r="II5" s="88">
        <v>2024</v>
      </c>
      <c r="IJ5" s="88"/>
      <c r="IK5" s="88"/>
      <c r="IL5" s="88"/>
      <c r="IM5" s="88"/>
      <c r="IN5" s="88"/>
      <c r="IO5" s="88"/>
      <c r="IP5" s="88"/>
      <c r="IQ5" s="88"/>
      <c r="IR5" s="88"/>
      <c r="IS5" s="88"/>
      <c r="IT5" s="88"/>
      <c r="IU5" s="88">
        <v>2025</v>
      </c>
      <c r="IV5" s="88"/>
      <c r="IW5" s="88"/>
      <c r="IX5" s="88"/>
      <c r="IY5" s="88"/>
      <c r="IZ5" s="88"/>
      <c r="JA5" s="88"/>
      <c r="JB5" s="88"/>
      <c r="JC5" s="88"/>
      <c r="JD5" s="88"/>
      <c r="JE5" s="88"/>
      <c r="JF5" s="88"/>
      <c r="JG5" s="88">
        <v>2026</v>
      </c>
      <c r="JH5" s="88"/>
      <c r="JI5" s="88"/>
      <c r="JJ5" s="88"/>
      <c r="JK5" s="88"/>
      <c r="JL5" s="88"/>
      <c r="JM5" s="88"/>
      <c r="JN5" s="88"/>
      <c r="JO5" s="88"/>
    </row>
    <row r="6" spans="1:275" s="31" customFormat="1" ht="19.5" customHeight="1" x14ac:dyDescent="0.25">
      <c r="A6" s="7"/>
      <c r="B6" s="7"/>
      <c r="C6" s="7" t="s">
        <v>5</v>
      </c>
      <c r="D6" s="8" t="s">
        <v>2</v>
      </c>
      <c r="E6" s="9" t="s">
        <v>37</v>
      </c>
      <c r="F6" s="9" t="s">
        <v>38</v>
      </c>
      <c r="G6" s="9" t="s">
        <v>39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6</v>
      </c>
      <c r="M6" s="8" t="s">
        <v>18</v>
      </c>
      <c r="N6" s="8" t="s">
        <v>1</v>
      </c>
      <c r="O6" s="8" t="s">
        <v>19</v>
      </c>
      <c r="P6" s="8" t="s">
        <v>20</v>
      </c>
      <c r="Q6" s="8" t="s">
        <v>21</v>
      </c>
      <c r="R6" s="10" t="s">
        <v>3</v>
      </c>
      <c r="S6" s="10" t="s">
        <v>4</v>
      </c>
      <c r="T6" s="10" t="s">
        <v>14</v>
      </c>
      <c r="U6" s="10" t="s">
        <v>30</v>
      </c>
      <c r="V6" s="10" t="s">
        <v>31</v>
      </c>
      <c r="W6" s="10" t="s">
        <v>32</v>
      </c>
      <c r="X6" s="8" t="s">
        <v>33</v>
      </c>
      <c r="Y6" s="8" t="s">
        <v>34</v>
      </c>
      <c r="Z6" s="8" t="s">
        <v>1</v>
      </c>
      <c r="AA6" s="8" t="s">
        <v>19</v>
      </c>
      <c r="AB6" s="8" t="s">
        <v>2</v>
      </c>
      <c r="AC6" s="8" t="s">
        <v>35</v>
      </c>
      <c r="AD6" s="8" t="s">
        <v>3</v>
      </c>
      <c r="AE6" s="8" t="s">
        <v>4</v>
      </c>
      <c r="AF6" s="8" t="s">
        <v>14</v>
      </c>
      <c r="AG6" s="8" t="s">
        <v>30</v>
      </c>
      <c r="AH6" s="8" t="s">
        <v>31</v>
      </c>
      <c r="AI6" s="8" t="s">
        <v>32</v>
      </c>
      <c r="AJ6" s="8" t="s">
        <v>33</v>
      </c>
      <c r="AK6" s="8" t="s">
        <v>34</v>
      </c>
      <c r="AL6" s="8" t="s">
        <v>1</v>
      </c>
      <c r="AM6" s="8" t="s">
        <v>36</v>
      </c>
      <c r="AN6" s="8" t="s">
        <v>2</v>
      </c>
      <c r="AO6" s="8" t="s">
        <v>35</v>
      </c>
      <c r="AP6" s="8" t="s">
        <v>3</v>
      </c>
      <c r="AQ6" s="8" t="s">
        <v>4</v>
      </c>
      <c r="AR6" s="8" t="s">
        <v>14</v>
      </c>
      <c r="AS6" s="8" t="s">
        <v>30</v>
      </c>
      <c r="AT6" s="8" t="s">
        <v>31</v>
      </c>
      <c r="AU6" s="8" t="s">
        <v>32</v>
      </c>
      <c r="AV6" s="8" t="s">
        <v>33</v>
      </c>
      <c r="AW6" s="8" t="s">
        <v>34</v>
      </c>
      <c r="AX6" s="8" t="s">
        <v>1</v>
      </c>
      <c r="AY6" s="8" t="s">
        <v>36</v>
      </c>
      <c r="AZ6" s="8" t="s">
        <v>2</v>
      </c>
      <c r="BA6" s="8" t="s">
        <v>35</v>
      </c>
      <c r="BB6" s="8" t="s">
        <v>3</v>
      </c>
      <c r="BC6" s="8" t="s">
        <v>4</v>
      </c>
      <c r="BD6" s="8" t="s">
        <v>14</v>
      </c>
      <c r="BE6" s="8" t="s">
        <v>30</v>
      </c>
      <c r="BF6" s="8" t="s">
        <v>31</v>
      </c>
      <c r="BG6" s="8" t="s">
        <v>32</v>
      </c>
      <c r="BH6" s="8" t="s">
        <v>33</v>
      </c>
      <c r="BI6" s="8" t="s">
        <v>34</v>
      </c>
      <c r="BJ6" s="8" t="s">
        <v>1</v>
      </c>
      <c r="BK6" s="8" t="s">
        <v>36</v>
      </c>
      <c r="BL6" s="8" t="s">
        <v>2</v>
      </c>
      <c r="BM6" s="8" t="s">
        <v>35</v>
      </c>
      <c r="BN6" s="8" t="s">
        <v>3</v>
      </c>
      <c r="BO6" s="8" t="s">
        <v>4</v>
      </c>
      <c r="BP6" s="8" t="s">
        <v>14</v>
      </c>
      <c r="BQ6" s="8" t="s">
        <v>30</v>
      </c>
      <c r="BR6" s="8" t="s">
        <v>31</v>
      </c>
      <c r="BS6" s="8" t="s">
        <v>32</v>
      </c>
      <c r="BT6" s="8" t="s">
        <v>33</v>
      </c>
      <c r="BU6" s="8" t="s">
        <v>34</v>
      </c>
      <c r="BV6" s="8" t="s">
        <v>1</v>
      </c>
      <c r="BW6" s="8" t="s">
        <v>36</v>
      </c>
      <c r="BX6" s="8" t="s">
        <v>2</v>
      </c>
      <c r="BY6" s="8" t="s">
        <v>35</v>
      </c>
      <c r="BZ6" s="8" t="s">
        <v>3</v>
      </c>
      <c r="CA6" s="8" t="s">
        <v>4</v>
      </c>
      <c r="CB6" s="8" t="s">
        <v>14</v>
      </c>
      <c r="CC6" s="8" t="s">
        <v>30</v>
      </c>
      <c r="CD6" s="8" t="s">
        <v>31</v>
      </c>
      <c r="CE6" s="8" t="s">
        <v>32</v>
      </c>
      <c r="CF6" s="8" t="s">
        <v>33</v>
      </c>
      <c r="CG6" s="8" t="s">
        <v>34</v>
      </c>
      <c r="CH6" s="8" t="s">
        <v>1</v>
      </c>
      <c r="CI6" s="8" t="s">
        <v>36</v>
      </c>
      <c r="CJ6" s="8" t="s">
        <v>2</v>
      </c>
      <c r="CK6" s="8" t="s">
        <v>35</v>
      </c>
      <c r="CL6" s="8" t="s">
        <v>3</v>
      </c>
      <c r="CM6" s="8" t="s">
        <v>4</v>
      </c>
      <c r="CN6" s="8" t="s">
        <v>14</v>
      </c>
      <c r="CO6" s="8" t="s">
        <v>30</v>
      </c>
      <c r="CP6" s="8" t="s">
        <v>31</v>
      </c>
      <c r="CQ6" s="8" t="s">
        <v>32</v>
      </c>
      <c r="CR6" s="8" t="s">
        <v>33</v>
      </c>
      <c r="CS6" s="8" t="s">
        <v>34</v>
      </c>
      <c r="CT6" s="8" t="s">
        <v>1</v>
      </c>
      <c r="CU6" s="8" t="s">
        <v>36</v>
      </c>
      <c r="CV6" s="8" t="s">
        <v>2</v>
      </c>
      <c r="CW6" s="8" t="s">
        <v>41</v>
      </c>
      <c r="CX6" s="8" t="s">
        <v>3</v>
      </c>
      <c r="CY6" s="8" t="s">
        <v>4</v>
      </c>
      <c r="CZ6" s="8" t="s">
        <v>14</v>
      </c>
      <c r="DA6" s="8" t="s">
        <v>30</v>
      </c>
      <c r="DB6" s="8" t="s">
        <v>31</v>
      </c>
      <c r="DC6" s="8" t="s">
        <v>32</v>
      </c>
      <c r="DD6" s="8" t="s">
        <v>33</v>
      </c>
      <c r="DE6" s="8" t="s">
        <v>34</v>
      </c>
      <c r="DF6" s="8" t="s">
        <v>1</v>
      </c>
      <c r="DG6" s="8" t="s">
        <v>36</v>
      </c>
      <c r="DH6" s="8" t="s">
        <v>2</v>
      </c>
      <c r="DI6" s="8" t="s">
        <v>35</v>
      </c>
      <c r="DJ6" s="8" t="s">
        <v>3</v>
      </c>
      <c r="DK6" s="8" t="s">
        <v>4</v>
      </c>
      <c r="DL6" s="8" t="s">
        <v>14</v>
      </c>
      <c r="DM6" s="8" t="s">
        <v>30</v>
      </c>
      <c r="DN6" s="8" t="s">
        <v>31</v>
      </c>
      <c r="DO6" s="8" t="s">
        <v>32</v>
      </c>
      <c r="DP6" s="8" t="s">
        <v>33</v>
      </c>
      <c r="DQ6" s="8" t="s">
        <v>34</v>
      </c>
      <c r="DR6" s="8" t="s">
        <v>1</v>
      </c>
      <c r="DS6" s="8" t="s">
        <v>36</v>
      </c>
      <c r="DT6" s="8" t="s">
        <v>2</v>
      </c>
      <c r="DU6" s="8" t="s">
        <v>35</v>
      </c>
      <c r="DV6" s="8" t="s">
        <v>3</v>
      </c>
      <c r="DW6" s="8" t="s">
        <v>4</v>
      </c>
      <c r="DX6" s="8" t="s">
        <v>14</v>
      </c>
      <c r="DY6" s="8" t="s">
        <v>30</v>
      </c>
      <c r="DZ6" s="8" t="s">
        <v>31</v>
      </c>
      <c r="EA6" s="8" t="s">
        <v>32</v>
      </c>
      <c r="EB6" s="8" t="s">
        <v>33</v>
      </c>
      <c r="EC6" s="8" t="s">
        <v>34</v>
      </c>
      <c r="ED6" s="8" t="s">
        <v>1</v>
      </c>
      <c r="EE6" s="8" t="s">
        <v>36</v>
      </c>
      <c r="EF6" s="8" t="s">
        <v>2</v>
      </c>
      <c r="EG6" s="8" t="s">
        <v>35</v>
      </c>
      <c r="EH6" s="8" t="s">
        <v>3</v>
      </c>
      <c r="EI6" s="8" t="s">
        <v>4</v>
      </c>
      <c r="EJ6" s="8" t="s">
        <v>14</v>
      </c>
      <c r="EK6" s="8" t="s">
        <v>30</v>
      </c>
      <c r="EL6" s="8" t="s">
        <v>31</v>
      </c>
      <c r="EM6" s="8" t="s">
        <v>32</v>
      </c>
      <c r="EN6" s="8" t="s">
        <v>33</v>
      </c>
      <c r="EO6" s="8" t="s">
        <v>34</v>
      </c>
      <c r="EP6" s="8" t="s">
        <v>1</v>
      </c>
      <c r="EQ6" s="8" t="s">
        <v>36</v>
      </c>
      <c r="ER6" s="8" t="s">
        <v>2</v>
      </c>
      <c r="ES6" s="8" t="s">
        <v>35</v>
      </c>
      <c r="ET6" s="8" t="s">
        <v>3</v>
      </c>
      <c r="EU6" s="8" t="s">
        <v>4</v>
      </c>
      <c r="EV6" s="8" t="s">
        <v>14</v>
      </c>
      <c r="EW6" s="8" t="s">
        <v>30</v>
      </c>
      <c r="EX6" s="8" t="s">
        <v>31</v>
      </c>
      <c r="EY6" s="8" t="s">
        <v>43</v>
      </c>
      <c r="EZ6" s="8" t="s">
        <v>33</v>
      </c>
      <c r="FA6" s="8" t="s">
        <v>34</v>
      </c>
      <c r="FB6" s="8" t="s">
        <v>1</v>
      </c>
      <c r="FC6" s="8" t="s">
        <v>36</v>
      </c>
      <c r="FD6" s="8" t="s">
        <v>2</v>
      </c>
      <c r="FE6" s="8" t="s">
        <v>35</v>
      </c>
      <c r="FF6" s="8" t="s">
        <v>3</v>
      </c>
      <c r="FG6" s="8" t="s">
        <v>4</v>
      </c>
      <c r="FH6" s="8" t="s">
        <v>14</v>
      </c>
      <c r="FI6" s="8" t="s">
        <v>30</v>
      </c>
      <c r="FJ6" s="8" t="s">
        <v>31</v>
      </c>
      <c r="FK6" s="8" t="s">
        <v>43</v>
      </c>
      <c r="FL6" s="8" t="s">
        <v>33</v>
      </c>
      <c r="FM6" s="8" t="s">
        <v>34</v>
      </c>
      <c r="FN6" s="8" t="s">
        <v>1</v>
      </c>
      <c r="FO6" s="8" t="s">
        <v>36</v>
      </c>
      <c r="FP6" s="8" t="s">
        <v>2</v>
      </c>
      <c r="FQ6" s="8" t="s">
        <v>35</v>
      </c>
      <c r="FR6" s="8" t="s">
        <v>3</v>
      </c>
      <c r="FS6" s="8" t="s">
        <v>4</v>
      </c>
      <c r="FT6" s="8" t="s">
        <v>14</v>
      </c>
      <c r="FU6" s="8" t="s">
        <v>30</v>
      </c>
      <c r="FV6" s="8" t="s">
        <v>31</v>
      </c>
      <c r="FW6" s="8" t="s">
        <v>43</v>
      </c>
      <c r="FX6" s="8" t="s">
        <v>33</v>
      </c>
      <c r="FY6" s="8" t="s">
        <v>34</v>
      </c>
      <c r="FZ6" s="8" t="s">
        <v>1</v>
      </c>
      <c r="GA6" s="8" t="s">
        <v>36</v>
      </c>
      <c r="GB6" s="8" t="s">
        <v>2</v>
      </c>
      <c r="GC6" s="8" t="s">
        <v>35</v>
      </c>
      <c r="GD6" s="8" t="s">
        <v>3</v>
      </c>
      <c r="GE6" s="8" t="s">
        <v>4</v>
      </c>
      <c r="GF6" s="8" t="s">
        <v>14</v>
      </c>
      <c r="GG6" s="8" t="s">
        <v>30</v>
      </c>
      <c r="GH6" s="8" t="s">
        <v>31</v>
      </c>
      <c r="GI6" s="8" t="s">
        <v>43</v>
      </c>
      <c r="GJ6" s="8" t="s">
        <v>33</v>
      </c>
      <c r="GK6" s="8" t="s">
        <v>34</v>
      </c>
      <c r="GL6" s="8" t="s">
        <v>1</v>
      </c>
      <c r="GM6" s="8" t="s">
        <v>36</v>
      </c>
      <c r="GN6" s="8" t="s">
        <v>2</v>
      </c>
      <c r="GO6" s="8" t="s">
        <v>35</v>
      </c>
      <c r="GP6" s="8" t="s">
        <v>3</v>
      </c>
      <c r="GQ6" s="8" t="s">
        <v>4</v>
      </c>
      <c r="GR6" s="8" t="s">
        <v>14</v>
      </c>
      <c r="GS6" s="8" t="s">
        <v>30</v>
      </c>
      <c r="GT6" s="8" t="s">
        <v>31</v>
      </c>
      <c r="GU6" s="8" t="s">
        <v>43</v>
      </c>
      <c r="GV6" s="8" t="s">
        <v>33</v>
      </c>
      <c r="GW6" s="8" t="s">
        <v>34</v>
      </c>
      <c r="GX6" s="8" t="s">
        <v>1</v>
      </c>
      <c r="GY6" s="8" t="s">
        <v>36</v>
      </c>
      <c r="GZ6" s="8" t="s">
        <v>2</v>
      </c>
      <c r="HA6" s="8" t="s">
        <v>35</v>
      </c>
      <c r="HB6" s="8" t="s">
        <v>3</v>
      </c>
      <c r="HC6" s="8" t="s">
        <v>4</v>
      </c>
      <c r="HD6" s="8" t="s">
        <v>14</v>
      </c>
      <c r="HE6" s="8" t="s">
        <v>30</v>
      </c>
      <c r="HF6" s="8" t="s">
        <v>31</v>
      </c>
      <c r="HG6" s="8" t="s">
        <v>43</v>
      </c>
      <c r="HH6" s="8" t="s">
        <v>33</v>
      </c>
      <c r="HI6" s="8" t="s">
        <v>34</v>
      </c>
      <c r="HJ6" s="8" t="s">
        <v>1</v>
      </c>
      <c r="HK6" s="8" t="s">
        <v>36</v>
      </c>
      <c r="HL6" s="8" t="s">
        <v>2</v>
      </c>
      <c r="HM6" s="8" t="s">
        <v>35</v>
      </c>
      <c r="HN6" s="8" t="s">
        <v>3</v>
      </c>
      <c r="HO6" s="8" t="s">
        <v>4</v>
      </c>
      <c r="HP6" s="8" t="s">
        <v>14</v>
      </c>
      <c r="HQ6" s="8" t="s">
        <v>30</v>
      </c>
      <c r="HR6" s="8" t="s">
        <v>31</v>
      </c>
      <c r="HS6" s="8" t="s">
        <v>43</v>
      </c>
      <c r="HT6" s="8" t="s">
        <v>33</v>
      </c>
      <c r="HU6" s="8" t="s">
        <v>34</v>
      </c>
      <c r="HV6" s="8" t="s">
        <v>1</v>
      </c>
      <c r="HW6" s="8" t="s">
        <v>36</v>
      </c>
      <c r="HX6" s="8" t="s">
        <v>2</v>
      </c>
      <c r="HY6" s="8" t="s">
        <v>35</v>
      </c>
      <c r="HZ6" s="8" t="s">
        <v>3</v>
      </c>
      <c r="IA6" s="8" t="s">
        <v>4</v>
      </c>
      <c r="IB6" s="8" t="s">
        <v>14</v>
      </c>
      <c r="IC6" s="8" t="s">
        <v>30</v>
      </c>
      <c r="ID6" s="8" t="s">
        <v>31</v>
      </c>
      <c r="IE6" s="8" t="s">
        <v>43</v>
      </c>
      <c r="IF6" s="8" t="s">
        <v>33</v>
      </c>
      <c r="IG6" s="8" t="s">
        <v>34</v>
      </c>
      <c r="IH6" s="8" t="s">
        <v>1</v>
      </c>
      <c r="II6" s="8" t="s">
        <v>36</v>
      </c>
      <c r="IJ6" s="8" t="s">
        <v>2</v>
      </c>
      <c r="IK6" s="8" t="s">
        <v>35</v>
      </c>
      <c r="IL6" s="8" t="s">
        <v>3</v>
      </c>
      <c r="IM6" s="8" t="s">
        <v>4</v>
      </c>
      <c r="IN6" s="8" t="s">
        <v>14</v>
      </c>
      <c r="IO6" s="8" t="s">
        <v>30</v>
      </c>
      <c r="IP6" s="8" t="s">
        <v>31</v>
      </c>
      <c r="IQ6" s="8" t="s">
        <v>43</v>
      </c>
      <c r="IR6" s="8" t="s">
        <v>33</v>
      </c>
      <c r="IS6" s="8" t="s">
        <v>34</v>
      </c>
      <c r="IT6" s="8" t="s">
        <v>1</v>
      </c>
      <c r="IU6" s="8" t="s">
        <v>36</v>
      </c>
      <c r="IV6" s="8" t="s">
        <v>2</v>
      </c>
      <c r="IW6" s="8" t="s">
        <v>35</v>
      </c>
      <c r="IX6" s="8" t="s">
        <v>3</v>
      </c>
      <c r="IY6" s="8" t="s">
        <v>4</v>
      </c>
      <c r="IZ6" s="8" t="s">
        <v>14</v>
      </c>
      <c r="JA6" s="8" t="s">
        <v>30</v>
      </c>
      <c r="JB6" s="8" t="s">
        <v>31</v>
      </c>
      <c r="JC6" s="8" t="s">
        <v>43</v>
      </c>
      <c r="JD6" s="8" t="s">
        <v>33</v>
      </c>
      <c r="JE6" s="8" t="s">
        <v>34</v>
      </c>
      <c r="JF6" s="8" t="s">
        <v>1</v>
      </c>
      <c r="JG6" s="8" t="s">
        <v>36</v>
      </c>
      <c r="JH6" s="8" t="s">
        <v>2</v>
      </c>
      <c r="JI6" s="8" t="s">
        <v>35</v>
      </c>
      <c r="JJ6" s="8" t="s">
        <v>3</v>
      </c>
      <c r="JK6" s="8" t="s">
        <v>4</v>
      </c>
      <c r="JL6" s="8" t="s">
        <v>45</v>
      </c>
      <c r="JM6" s="8" t="s">
        <v>46</v>
      </c>
      <c r="JN6" s="8" t="s">
        <v>47</v>
      </c>
      <c r="JO6" s="8" t="s">
        <v>48</v>
      </c>
    </row>
    <row r="7" spans="1:275" s="33" customFormat="1" ht="18" customHeight="1" x14ac:dyDescent="0.25">
      <c r="A7" s="86" t="s">
        <v>9</v>
      </c>
      <c r="B7" s="86"/>
      <c r="C7" s="86"/>
      <c r="D7" s="22" t="s">
        <v>22</v>
      </c>
      <c r="E7" s="22" t="s">
        <v>23</v>
      </c>
      <c r="F7" s="22" t="s">
        <v>24</v>
      </c>
      <c r="G7" s="22" t="s">
        <v>25</v>
      </c>
      <c r="H7" s="22" t="s">
        <v>26</v>
      </c>
      <c r="I7" s="22">
        <v>14351</v>
      </c>
      <c r="J7" s="22">
        <v>14602</v>
      </c>
      <c r="K7" s="22">
        <v>14675</v>
      </c>
      <c r="L7" s="22">
        <v>14785</v>
      </c>
      <c r="M7" s="22">
        <v>14975</v>
      </c>
      <c r="N7" s="22">
        <v>15427</v>
      </c>
      <c r="O7" s="22">
        <v>16559</v>
      </c>
      <c r="P7" s="22">
        <v>17320</v>
      </c>
      <c r="Q7" s="22">
        <v>18043</v>
      </c>
      <c r="R7" s="22">
        <v>18470</v>
      </c>
      <c r="S7" s="22">
        <v>18712</v>
      </c>
      <c r="T7" s="22">
        <v>19302</v>
      </c>
      <c r="U7" s="23">
        <v>20251</v>
      </c>
      <c r="V7" s="23">
        <v>20705</v>
      </c>
      <c r="W7" s="23">
        <v>21100</v>
      </c>
      <c r="X7" s="23">
        <v>21213</v>
      </c>
      <c r="Y7" s="23">
        <v>21212</v>
      </c>
      <c r="Z7" s="23">
        <v>21890</v>
      </c>
      <c r="AA7" s="23">
        <v>22129</v>
      </c>
      <c r="AB7" s="23">
        <v>22365</v>
      </c>
      <c r="AC7" s="23">
        <v>22537</v>
      </c>
      <c r="AD7" s="23">
        <v>22794</v>
      </c>
      <c r="AE7" s="23">
        <v>22860</v>
      </c>
      <c r="AF7" s="23">
        <v>22931</v>
      </c>
      <c r="AG7" s="23">
        <v>23051</v>
      </c>
      <c r="AH7" s="23">
        <v>23935</v>
      </c>
      <c r="AI7" s="23">
        <v>24065</v>
      </c>
      <c r="AJ7" s="23">
        <v>24392</v>
      </c>
      <c r="AK7" s="23">
        <v>24901</v>
      </c>
      <c r="AL7" s="23">
        <v>26045</v>
      </c>
      <c r="AM7" s="23">
        <v>26089</v>
      </c>
      <c r="AN7" s="23">
        <v>26216</v>
      </c>
      <c r="AO7" s="23">
        <v>26312</v>
      </c>
      <c r="AP7" s="23">
        <v>27082</v>
      </c>
      <c r="AQ7" s="23">
        <v>28036</v>
      </c>
      <c r="AR7" s="34">
        <v>28559</v>
      </c>
      <c r="AS7" s="34">
        <v>29581</v>
      </c>
      <c r="AT7" s="34">
        <v>29665</v>
      </c>
      <c r="AU7" s="34">
        <v>29881</v>
      </c>
      <c r="AV7" s="34">
        <v>30921</v>
      </c>
      <c r="AW7" s="34">
        <v>31495</v>
      </c>
      <c r="AX7" s="34">
        <v>31681</v>
      </c>
      <c r="AY7" s="19">
        <v>32206</v>
      </c>
      <c r="AZ7" s="19">
        <v>32915</v>
      </c>
      <c r="BA7" s="19">
        <v>33705</v>
      </c>
      <c r="BB7" s="19">
        <v>33810</v>
      </c>
      <c r="BC7" s="19">
        <v>34102</v>
      </c>
      <c r="BD7" s="19">
        <v>34572</v>
      </c>
      <c r="BE7" s="19">
        <v>34683</v>
      </c>
      <c r="BF7" s="19">
        <v>34819</v>
      </c>
      <c r="BG7" s="19">
        <v>35024</v>
      </c>
      <c r="BH7" s="19">
        <v>35031</v>
      </c>
      <c r="BI7" s="40">
        <v>34404.9</v>
      </c>
      <c r="BJ7" s="40">
        <v>34112</v>
      </c>
      <c r="BK7" s="40">
        <v>33431</v>
      </c>
      <c r="BL7" s="40">
        <v>33053</v>
      </c>
      <c r="BM7" s="40">
        <v>32177</v>
      </c>
      <c r="BN7" s="40">
        <v>31189</v>
      </c>
      <c r="BO7" s="40">
        <v>31208</v>
      </c>
      <c r="BP7" s="40">
        <v>31310</v>
      </c>
      <c r="BQ7" s="40">
        <v>31626</v>
      </c>
      <c r="BR7" s="40">
        <v>32914</v>
      </c>
      <c r="BS7" s="40">
        <v>33508</v>
      </c>
      <c r="BT7" s="40">
        <v>34026</v>
      </c>
      <c r="BU7" s="40">
        <v>34113</v>
      </c>
      <c r="BV7" s="40">
        <v>34163</v>
      </c>
      <c r="BW7" s="40">
        <v>34211</v>
      </c>
      <c r="BX7" s="40">
        <v>34324</v>
      </c>
      <c r="BY7" s="40">
        <v>34508</v>
      </c>
      <c r="BZ7" s="40">
        <v>34654</v>
      </c>
      <c r="CA7" s="40">
        <v>35100</v>
      </c>
      <c r="CB7" s="40">
        <v>35221</v>
      </c>
      <c r="CC7" s="40">
        <v>35278</v>
      </c>
      <c r="CD7" s="40">
        <v>35527</v>
      </c>
      <c r="CE7" s="40">
        <v>35534</v>
      </c>
      <c r="CF7" s="40">
        <v>35545</v>
      </c>
      <c r="CG7" s="40">
        <v>35571</v>
      </c>
      <c r="CH7" s="40">
        <v>36005</v>
      </c>
      <c r="CI7" s="40">
        <v>35007</v>
      </c>
      <c r="CJ7" s="40">
        <v>33321</v>
      </c>
      <c r="CK7" s="40">
        <v>30106</v>
      </c>
      <c r="CL7" s="40">
        <v>28024</v>
      </c>
      <c r="CM7" s="40">
        <v>27228</v>
      </c>
      <c r="CN7" s="40">
        <v>26564</v>
      </c>
      <c r="CO7" s="40">
        <v>25706</v>
      </c>
      <c r="CP7" s="40">
        <v>25008</v>
      </c>
      <c r="CQ7" s="40">
        <v>24009</v>
      </c>
      <c r="CR7" s="40">
        <v>22072</v>
      </c>
      <c r="CS7" s="40">
        <v>20150</v>
      </c>
      <c r="CT7" s="40">
        <v>18119</v>
      </c>
      <c r="CU7" s="40">
        <v>16354</v>
      </c>
      <c r="CV7" s="40">
        <v>15718</v>
      </c>
      <c r="CW7" s="40">
        <v>15119</v>
      </c>
      <c r="CX7" s="40">
        <v>15213</v>
      </c>
      <c r="CY7" s="40">
        <v>15515</v>
      </c>
      <c r="CZ7" s="40">
        <v>15534</v>
      </c>
      <c r="DA7" s="40">
        <v>14422</v>
      </c>
      <c r="DB7" s="40">
        <v>15127</v>
      </c>
      <c r="DC7" s="40">
        <v>15043</v>
      </c>
      <c r="DD7" s="40">
        <v>15484</v>
      </c>
      <c r="DE7" s="40">
        <v>15036</v>
      </c>
      <c r="DF7" s="40">
        <v>15015</v>
      </c>
      <c r="DG7" s="40">
        <v>13613</v>
      </c>
      <c r="DH7" s="40">
        <v>13508</v>
      </c>
      <c r="DI7" s="40">
        <v>13424</v>
      </c>
      <c r="DJ7" s="40">
        <v>14426.4</v>
      </c>
      <c r="DK7" s="40">
        <v>16039</v>
      </c>
      <c r="DL7" s="40">
        <v>14936</v>
      </c>
      <c r="DM7" s="40">
        <v>18890</v>
      </c>
      <c r="DN7" s="40">
        <v>18924</v>
      </c>
      <c r="DO7" s="40">
        <v>18709</v>
      </c>
      <c r="DP7" s="40">
        <v>18590</v>
      </c>
      <c r="DQ7" s="40">
        <v>17766</v>
      </c>
      <c r="DR7" s="40">
        <v>17032</v>
      </c>
      <c r="DS7" s="40">
        <v>17105</v>
      </c>
      <c r="DT7" s="40">
        <v>17307</v>
      </c>
      <c r="DU7" s="40">
        <v>17414</v>
      </c>
      <c r="DV7" s="40">
        <v>17489</v>
      </c>
      <c r="DW7" s="40">
        <v>17284</v>
      </c>
      <c r="DX7" s="40">
        <v>16687</v>
      </c>
      <c r="DY7" s="50">
        <v>16737</v>
      </c>
      <c r="DZ7" s="40">
        <v>16836</v>
      </c>
      <c r="EA7" s="40">
        <v>16872</v>
      </c>
      <c r="EB7" s="40">
        <v>16909</v>
      </c>
      <c r="EC7" s="40">
        <v>15882</v>
      </c>
      <c r="ED7" s="40">
        <v>15333</v>
      </c>
      <c r="EE7" s="40">
        <v>15429</v>
      </c>
      <c r="EF7" s="50">
        <v>15455.5</v>
      </c>
      <c r="EG7" s="50">
        <v>15291</v>
      </c>
      <c r="EH7" s="50">
        <v>20525</v>
      </c>
      <c r="EI7" s="50">
        <v>19560</v>
      </c>
      <c r="EJ7" s="50">
        <v>20082</v>
      </c>
      <c r="EK7" s="50">
        <v>18536</v>
      </c>
      <c r="EL7" s="50">
        <v>18096</v>
      </c>
      <c r="EM7" s="50">
        <v>16335</v>
      </c>
      <c r="EN7" s="50">
        <v>16414.8</v>
      </c>
      <c r="EO7" s="50">
        <v>16423</v>
      </c>
      <c r="EP7" s="50">
        <v>16445</v>
      </c>
      <c r="EQ7" s="50">
        <v>16478</v>
      </c>
      <c r="ER7" s="50">
        <v>16534</v>
      </c>
      <c r="ES7" s="50">
        <v>16561</v>
      </c>
      <c r="ET7" s="50">
        <v>17011</v>
      </c>
      <c r="EU7" s="50">
        <v>17521</v>
      </c>
      <c r="EV7" s="50">
        <v>17546</v>
      </c>
      <c r="EW7" s="50">
        <v>15537</v>
      </c>
      <c r="EX7" s="50">
        <v>16564</v>
      </c>
      <c r="EY7" s="50">
        <v>19592</v>
      </c>
      <c r="EZ7" s="50">
        <v>19041</v>
      </c>
      <c r="FA7" s="50">
        <v>23058</v>
      </c>
      <c r="FB7" s="50">
        <v>24265</v>
      </c>
      <c r="FC7" s="50">
        <v>26363</v>
      </c>
      <c r="FD7" s="50">
        <v>26542</v>
      </c>
      <c r="FE7" s="50">
        <v>28526</v>
      </c>
      <c r="FF7" s="50">
        <v>28641</v>
      </c>
      <c r="FG7" s="50">
        <v>31126</v>
      </c>
      <c r="FH7" s="50">
        <v>31305</v>
      </c>
      <c r="FI7" s="50">
        <v>36036</v>
      </c>
      <c r="FJ7" s="50">
        <v>36143</v>
      </c>
      <c r="FK7" s="50">
        <v>36535</v>
      </c>
      <c r="FL7" s="50">
        <v>36703</v>
      </c>
      <c r="FM7" s="50">
        <v>36723</v>
      </c>
      <c r="FN7" s="50">
        <v>37020</v>
      </c>
      <c r="FO7" s="50">
        <v>38210</v>
      </c>
      <c r="FP7" s="50">
        <v>42524</v>
      </c>
      <c r="FQ7" s="50">
        <v>42611</v>
      </c>
      <c r="FR7" s="50">
        <v>44030</v>
      </c>
      <c r="FS7" s="50">
        <v>44139</v>
      </c>
      <c r="FT7" s="50">
        <v>44259</v>
      </c>
      <c r="FU7" s="50">
        <v>44315</v>
      </c>
      <c r="FV7" s="50">
        <v>44419</v>
      </c>
      <c r="FW7" s="50">
        <v>44459</v>
      </c>
      <c r="FX7" s="50">
        <v>44501</v>
      </c>
      <c r="FY7" s="50">
        <v>44513</v>
      </c>
      <c r="FZ7" s="50">
        <v>42551</v>
      </c>
      <c r="GA7" s="50">
        <v>42617</v>
      </c>
      <c r="GB7" s="50">
        <v>44060</v>
      </c>
      <c r="GC7" s="50">
        <v>44112</v>
      </c>
      <c r="GD7" s="50">
        <v>44218</v>
      </c>
      <c r="GE7" s="50">
        <v>44275</v>
      </c>
      <c r="GF7" s="50">
        <v>44481</v>
      </c>
      <c r="GG7" s="50">
        <v>45037</v>
      </c>
      <c r="GH7" s="50">
        <v>45090</v>
      </c>
      <c r="GI7" s="50">
        <v>45118</v>
      </c>
      <c r="GJ7" s="50">
        <v>45247</v>
      </c>
      <c r="GK7" s="50">
        <v>45354</v>
      </c>
      <c r="GL7" s="50">
        <v>45420</v>
      </c>
      <c r="GM7" s="50">
        <v>45457</v>
      </c>
      <c r="GN7" s="50">
        <v>45510</v>
      </c>
      <c r="GO7" s="50">
        <v>40108</v>
      </c>
      <c r="GP7" s="50">
        <v>37037</v>
      </c>
      <c r="GQ7" s="50">
        <v>36004</v>
      </c>
      <c r="GR7" s="50">
        <v>38176</v>
      </c>
      <c r="GS7" s="50">
        <v>38258</v>
      </c>
      <c r="GT7" s="50">
        <v>38310</v>
      </c>
      <c r="GU7" s="50">
        <v>38425</v>
      </c>
      <c r="GV7" s="50">
        <v>39220</v>
      </c>
      <c r="GW7" s="50">
        <v>39222</v>
      </c>
      <c r="GX7" s="50">
        <v>40063</v>
      </c>
      <c r="GY7" s="50">
        <v>40101</v>
      </c>
      <c r="GZ7" s="50">
        <v>40201</v>
      </c>
      <c r="HA7" s="50">
        <v>40337</v>
      </c>
      <c r="HB7" s="50">
        <v>40343</v>
      </c>
      <c r="HC7" s="50">
        <v>40468</v>
      </c>
      <c r="HD7" s="50">
        <v>40584</v>
      </c>
      <c r="HE7" s="50">
        <v>40609</v>
      </c>
      <c r="HF7" s="50">
        <v>40672</v>
      </c>
      <c r="HG7" s="50">
        <v>40825</v>
      </c>
      <c r="HH7" s="50">
        <v>40849</v>
      </c>
      <c r="HI7" s="50">
        <v>40909</v>
      </c>
      <c r="HJ7" s="50">
        <v>40935</v>
      </c>
      <c r="HK7" s="50">
        <v>40980</v>
      </c>
      <c r="HL7" s="50">
        <v>40994</v>
      </c>
      <c r="HM7" s="50">
        <v>37082</v>
      </c>
      <c r="HN7" s="50">
        <v>37124</v>
      </c>
      <c r="HO7" s="50">
        <v>35495</v>
      </c>
      <c r="HP7" s="50">
        <v>33380</v>
      </c>
      <c r="HQ7" s="50">
        <v>33158</v>
      </c>
      <c r="HR7" s="50">
        <v>33142</v>
      </c>
      <c r="HS7" s="50">
        <v>33198</v>
      </c>
      <c r="HT7" s="50">
        <v>33411</v>
      </c>
      <c r="HU7" s="50">
        <v>33532</v>
      </c>
      <c r="HV7" s="50">
        <v>34003</v>
      </c>
      <c r="HW7" s="50">
        <v>34224</v>
      </c>
      <c r="HX7" s="50">
        <v>34352</v>
      </c>
      <c r="HY7" s="50">
        <v>34447</v>
      </c>
      <c r="HZ7" s="50">
        <v>34551</v>
      </c>
      <c r="IA7" s="50">
        <v>34660</v>
      </c>
      <c r="IB7" s="50">
        <v>34828</v>
      </c>
      <c r="IC7" s="50">
        <v>34879</v>
      </c>
      <c r="ID7" s="50">
        <v>34928</v>
      </c>
      <c r="IE7" s="50">
        <v>34970</v>
      </c>
      <c r="IF7" s="50">
        <v>35102</v>
      </c>
      <c r="IG7" s="50">
        <v>35173</v>
      </c>
      <c r="IH7" s="50">
        <v>35220</v>
      </c>
      <c r="II7" s="50">
        <v>35250</v>
      </c>
      <c r="IJ7" s="50">
        <v>35311</v>
      </c>
      <c r="IK7" s="50">
        <v>40361</v>
      </c>
      <c r="IL7" s="50">
        <v>41057</v>
      </c>
      <c r="IM7" s="50">
        <v>46126</v>
      </c>
      <c r="IN7" s="50">
        <v>46385</v>
      </c>
      <c r="IO7" s="50">
        <v>46489</v>
      </c>
      <c r="IP7" s="50">
        <v>46597</v>
      </c>
      <c r="IQ7" s="50">
        <v>46737</v>
      </c>
      <c r="IR7" s="50">
        <v>46942</v>
      </c>
      <c r="IS7" s="50">
        <v>46952</v>
      </c>
      <c r="IT7" s="50">
        <v>47109</v>
      </c>
      <c r="IU7" s="50">
        <v>47265</v>
      </c>
      <c r="IV7" s="50">
        <v>47394</v>
      </c>
      <c r="IW7" s="50">
        <v>47757</v>
      </c>
      <c r="IX7" s="50">
        <v>48144</v>
      </c>
      <c r="IY7" s="50">
        <v>48526</v>
      </c>
      <c r="IZ7" s="50">
        <v>48720</v>
      </c>
      <c r="JA7" s="50">
        <v>49036</v>
      </c>
      <c r="JB7" s="50">
        <v>49251</v>
      </c>
      <c r="JC7" s="50">
        <v>49534</v>
      </c>
      <c r="JD7" s="50">
        <v>50071</v>
      </c>
      <c r="JE7" s="50">
        <v>50216</v>
      </c>
      <c r="JF7" s="50">
        <v>51452</v>
      </c>
      <c r="JG7" s="50">
        <v>52594</v>
      </c>
      <c r="JH7" s="50">
        <v>52746</v>
      </c>
      <c r="JI7" s="50">
        <v>52831</v>
      </c>
      <c r="JJ7" s="50">
        <v>53009</v>
      </c>
      <c r="JK7" s="50">
        <v>53134</v>
      </c>
      <c r="JL7" s="50">
        <v>55072</v>
      </c>
      <c r="JM7" s="50">
        <v>56294</v>
      </c>
      <c r="JN7" s="50">
        <v>57215</v>
      </c>
      <c r="JO7" s="50">
        <v>57348</v>
      </c>
    </row>
    <row r="8" spans="1:275" s="31" customFormat="1" ht="15.75" customHeight="1" x14ac:dyDescent="0.25">
      <c r="A8" s="87" t="s">
        <v>10</v>
      </c>
      <c r="B8" s="87"/>
      <c r="C8" s="87"/>
      <c r="D8" s="11">
        <v>14253</v>
      </c>
      <c r="E8" s="11" t="s">
        <v>27</v>
      </c>
      <c r="F8" s="11">
        <v>14321</v>
      </c>
      <c r="G8" s="11">
        <v>14439</v>
      </c>
      <c r="H8" s="11">
        <v>14800</v>
      </c>
      <c r="I8" s="11">
        <v>14371</v>
      </c>
      <c r="J8" s="11">
        <v>14622</v>
      </c>
      <c r="K8" s="11">
        <v>14696</v>
      </c>
      <c r="L8" s="11">
        <v>14808</v>
      </c>
      <c r="M8" s="11">
        <v>14999</v>
      </c>
      <c r="N8" s="11">
        <v>15453</v>
      </c>
      <c r="O8" s="11">
        <v>16576</v>
      </c>
      <c r="P8" s="11">
        <v>17354</v>
      </c>
      <c r="Q8" s="11">
        <v>18059</v>
      </c>
      <c r="R8" s="11">
        <v>18487</v>
      </c>
      <c r="S8" s="11">
        <v>18726</v>
      </c>
      <c r="T8" s="11">
        <v>19322</v>
      </c>
      <c r="U8" s="12">
        <v>20272</v>
      </c>
      <c r="V8" s="12">
        <v>20727</v>
      </c>
      <c r="W8" s="12">
        <v>21121</v>
      </c>
      <c r="X8" s="12">
        <v>21235</v>
      </c>
      <c r="Y8" s="12">
        <v>21236</v>
      </c>
      <c r="Z8" s="12">
        <v>21915</v>
      </c>
      <c r="AA8" s="12">
        <v>22146</v>
      </c>
      <c r="AB8" s="12">
        <v>22383</v>
      </c>
      <c r="AC8" s="12">
        <v>22556</v>
      </c>
      <c r="AD8" s="12">
        <v>22814</v>
      </c>
      <c r="AE8" s="12">
        <v>22881</v>
      </c>
      <c r="AF8" s="12">
        <v>22952</v>
      </c>
      <c r="AG8" s="12">
        <v>23073</v>
      </c>
      <c r="AH8" s="12">
        <v>23959</v>
      </c>
      <c r="AI8" s="12">
        <v>24090</v>
      </c>
      <c r="AJ8" s="12">
        <v>24418</v>
      </c>
      <c r="AK8" s="12">
        <v>24929</v>
      </c>
      <c r="AL8" s="12">
        <v>26073</v>
      </c>
      <c r="AM8" s="12">
        <v>26119</v>
      </c>
      <c r="AN8" s="12">
        <v>26248</v>
      </c>
      <c r="AO8" s="12">
        <v>26345</v>
      </c>
      <c r="AP8" s="12">
        <v>27117</v>
      </c>
      <c r="AQ8" s="12">
        <v>28073</v>
      </c>
      <c r="AR8" s="35">
        <v>28589</v>
      </c>
      <c r="AS8" s="35">
        <v>29607</v>
      </c>
      <c r="AT8" s="35">
        <v>29693</v>
      </c>
      <c r="AU8" s="35">
        <v>29910</v>
      </c>
      <c r="AV8" s="35">
        <v>30952</v>
      </c>
      <c r="AW8" s="35">
        <v>31527</v>
      </c>
      <c r="AX8" s="35">
        <v>31717</v>
      </c>
      <c r="AY8" s="6">
        <v>32225</v>
      </c>
      <c r="AZ8" s="6">
        <v>32954</v>
      </c>
      <c r="BA8" s="6">
        <v>33746</v>
      </c>
      <c r="BB8" s="6">
        <v>33857</v>
      </c>
      <c r="BC8" s="6">
        <v>34132</v>
      </c>
      <c r="BD8" s="6">
        <v>34603</v>
      </c>
      <c r="BE8" s="6">
        <v>34716</v>
      </c>
      <c r="BF8" s="6">
        <v>34850</v>
      </c>
      <c r="BG8" s="6">
        <v>35054</v>
      </c>
      <c r="BH8" s="6">
        <v>35065</v>
      </c>
      <c r="BI8" s="41">
        <v>34441.1</v>
      </c>
      <c r="BJ8" s="41">
        <v>34163</v>
      </c>
      <c r="BK8" s="41">
        <v>33467</v>
      </c>
      <c r="BL8" s="41">
        <v>33086</v>
      </c>
      <c r="BM8" s="41">
        <v>32213</v>
      </c>
      <c r="BN8" s="41">
        <v>31225</v>
      </c>
      <c r="BO8" s="41">
        <v>31244</v>
      </c>
      <c r="BP8" s="41">
        <v>31347</v>
      </c>
      <c r="BQ8" s="41">
        <v>31654</v>
      </c>
      <c r="BR8" s="41">
        <v>32954</v>
      </c>
      <c r="BS8" s="41">
        <v>33551</v>
      </c>
      <c r="BT8" s="41">
        <v>34068</v>
      </c>
      <c r="BU8" s="41">
        <v>34156</v>
      </c>
      <c r="BV8" s="41">
        <v>34209</v>
      </c>
      <c r="BW8" s="41">
        <v>34235</v>
      </c>
      <c r="BX8" s="41">
        <v>34349</v>
      </c>
      <c r="BY8" s="41">
        <v>34528</v>
      </c>
      <c r="BZ8" s="41">
        <v>34681</v>
      </c>
      <c r="CA8" s="41">
        <v>35128</v>
      </c>
      <c r="CB8" s="41">
        <v>35248</v>
      </c>
      <c r="CC8" s="41">
        <v>35304</v>
      </c>
      <c r="CD8" s="41">
        <v>35554</v>
      </c>
      <c r="CE8" s="41">
        <v>35561</v>
      </c>
      <c r="CF8" s="41">
        <v>35574</v>
      </c>
      <c r="CG8" s="41">
        <v>35604</v>
      </c>
      <c r="CH8" s="41">
        <v>36038</v>
      </c>
      <c r="CI8" s="41">
        <v>35023</v>
      </c>
      <c r="CJ8" s="41">
        <v>33337</v>
      </c>
      <c r="CK8" s="41">
        <v>30123</v>
      </c>
      <c r="CL8" s="41">
        <v>28040</v>
      </c>
      <c r="CM8" s="41">
        <v>27243</v>
      </c>
      <c r="CN8" s="41">
        <v>26593</v>
      </c>
      <c r="CO8" s="41">
        <v>25734</v>
      </c>
      <c r="CP8" s="41">
        <v>25030</v>
      </c>
      <c r="CQ8" s="41">
        <v>24033</v>
      </c>
      <c r="CR8" s="41">
        <v>22094</v>
      </c>
      <c r="CS8" s="41">
        <v>20172</v>
      </c>
      <c r="CT8" s="41">
        <v>18141</v>
      </c>
      <c r="CU8" s="41">
        <v>16377</v>
      </c>
      <c r="CV8" s="41">
        <v>15741</v>
      </c>
      <c r="CW8" s="41">
        <v>15143</v>
      </c>
      <c r="CX8" s="41">
        <v>15236</v>
      </c>
      <c r="CY8" s="41">
        <v>15538</v>
      </c>
      <c r="CZ8" s="41">
        <v>15556</v>
      </c>
      <c r="DA8" s="41">
        <v>14444</v>
      </c>
      <c r="DB8" s="41">
        <v>15149</v>
      </c>
      <c r="DC8" s="41">
        <v>15068</v>
      </c>
      <c r="DD8" s="41">
        <v>15508</v>
      </c>
      <c r="DE8" s="41">
        <v>15059</v>
      </c>
      <c r="DF8" s="41">
        <v>15037</v>
      </c>
      <c r="DG8" s="41">
        <v>13636</v>
      </c>
      <c r="DH8" s="41">
        <v>13530</v>
      </c>
      <c r="DI8" s="41">
        <v>13448</v>
      </c>
      <c r="DJ8" s="41">
        <v>14449.6</v>
      </c>
      <c r="DK8" s="41">
        <v>16061</v>
      </c>
      <c r="DL8" s="41">
        <v>14960</v>
      </c>
      <c r="DM8" s="41">
        <v>18913</v>
      </c>
      <c r="DN8" s="41">
        <v>18947</v>
      </c>
      <c r="DO8" s="41">
        <v>18734</v>
      </c>
      <c r="DP8" s="41">
        <v>18614</v>
      </c>
      <c r="DQ8" s="41">
        <v>17789</v>
      </c>
      <c r="DR8" s="41">
        <v>17054</v>
      </c>
      <c r="DS8" s="41">
        <v>17127</v>
      </c>
      <c r="DT8" s="41">
        <v>17329</v>
      </c>
      <c r="DU8" s="41">
        <v>17438</v>
      </c>
      <c r="DV8" s="41">
        <v>17512</v>
      </c>
      <c r="DW8" s="41">
        <v>17306</v>
      </c>
      <c r="DX8" s="41">
        <v>16710</v>
      </c>
      <c r="DY8" s="41">
        <v>16759</v>
      </c>
      <c r="DZ8" s="41">
        <v>16858</v>
      </c>
      <c r="EA8" s="41">
        <v>16895</v>
      </c>
      <c r="EB8" s="41">
        <v>16932</v>
      </c>
      <c r="EC8" s="41">
        <v>15905</v>
      </c>
      <c r="ED8" s="41">
        <v>15356</v>
      </c>
      <c r="EE8" s="41">
        <v>15452</v>
      </c>
      <c r="EF8" s="41">
        <v>15477.3</v>
      </c>
      <c r="EG8" s="41">
        <v>15314</v>
      </c>
      <c r="EH8" s="41">
        <v>20547.400000000001</v>
      </c>
      <c r="EI8" s="41">
        <v>19582</v>
      </c>
      <c r="EJ8" s="41">
        <v>20104</v>
      </c>
      <c r="EK8" s="41">
        <v>18558</v>
      </c>
      <c r="EL8" s="41">
        <v>18118</v>
      </c>
      <c r="EM8" s="41">
        <v>16358</v>
      </c>
      <c r="EN8" s="41">
        <v>16437</v>
      </c>
      <c r="EO8" s="41">
        <v>16445</v>
      </c>
      <c r="EP8" s="41">
        <v>16468</v>
      </c>
      <c r="EQ8" s="41">
        <v>16500</v>
      </c>
      <c r="ER8" s="41">
        <v>16556</v>
      </c>
      <c r="ES8" s="41">
        <v>16586</v>
      </c>
      <c r="ET8" s="41">
        <v>17035</v>
      </c>
      <c r="EU8" s="41">
        <v>17545</v>
      </c>
      <c r="EV8" s="41">
        <v>17570</v>
      </c>
      <c r="EW8" s="41">
        <v>15561</v>
      </c>
      <c r="EX8" s="41">
        <v>16589</v>
      </c>
      <c r="EY8" s="41">
        <v>19618</v>
      </c>
      <c r="EZ8" s="41">
        <v>19066</v>
      </c>
      <c r="FA8" s="41">
        <v>23081</v>
      </c>
      <c r="FB8" s="41">
        <v>24287</v>
      </c>
      <c r="FC8" s="41">
        <v>26385</v>
      </c>
      <c r="FD8" s="41">
        <v>26561</v>
      </c>
      <c r="FE8" s="41">
        <v>28545</v>
      </c>
      <c r="FF8" s="41">
        <v>28645</v>
      </c>
      <c r="FG8" s="41">
        <v>31130</v>
      </c>
      <c r="FH8" s="41">
        <v>31307</v>
      </c>
      <c r="FI8" s="41">
        <v>36037</v>
      </c>
      <c r="FJ8" s="41">
        <v>36145</v>
      </c>
      <c r="FK8" s="41">
        <v>36537</v>
      </c>
      <c r="FL8" s="41">
        <v>36705</v>
      </c>
      <c r="FM8" s="41">
        <v>36725</v>
      </c>
      <c r="FN8" s="41">
        <v>37021</v>
      </c>
      <c r="FO8" s="41">
        <v>38212</v>
      </c>
      <c r="FP8" s="41">
        <v>42527</v>
      </c>
      <c r="FQ8" s="41">
        <v>42614</v>
      </c>
      <c r="FR8" s="41">
        <v>44033</v>
      </c>
      <c r="FS8" s="41">
        <v>44142</v>
      </c>
      <c r="FT8" s="41">
        <v>44262</v>
      </c>
      <c r="FU8" s="41">
        <v>44318</v>
      </c>
      <c r="FV8" s="41">
        <v>44422</v>
      </c>
      <c r="FW8" s="41">
        <v>44463</v>
      </c>
      <c r="FX8" s="41">
        <v>44505</v>
      </c>
      <c r="FY8" s="41">
        <v>44516</v>
      </c>
      <c r="FZ8" s="41">
        <v>42555</v>
      </c>
      <c r="GA8" s="41">
        <v>42621</v>
      </c>
      <c r="GB8" s="41">
        <v>44064</v>
      </c>
      <c r="GC8" s="41">
        <v>44117</v>
      </c>
      <c r="GD8" s="41">
        <v>44223</v>
      </c>
      <c r="GE8" s="41">
        <v>44279</v>
      </c>
      <c r="GF8" s="41">
        <v>44485</v>
      </c>
      <c r="GG8" s="41">
        <v>45041</v>
      </c>
      <c r="GH8" s="41">
        <v>45093</v>
      </c>
      <c r="GI8" s="41">
        <v>45123</v>
      </c>
      <c r="GJ8" s="41">
        <v>45251</v>
      </c>
      <c r="GK8" s="41">
        <v>45359</v>
      </c>
      <c r="GL8" s="41">
        <v>45424</v>
      </c>
      <c r="GM8" s="41">
        <v>45462</v>
      </c>
      <c r="GN8" s="41">
        <v>45515</v>
      </c>
      <c r="GO8" s="41">
        <v>40112</v>
      </c>
      <c r="GP8" s="41">
        <v>37041</v>
      </c>
      <c r="GQ8" s="41">
        <v>36008</v>
      </c>
      <c r="GR8" s="41">
        <v>38180</v>
      </c>
      <c r="GS8" s="41">
        <v>38262</v>
      </c>
      <c r="GT8" s="41">
        <v>38314</v>
      </c>
      <c r="GU8" s="41">
        <v>38430</v>
      </c>
      <c r="GV8" s="41">
        <v>39225</v>
      </c>
      <c r="GW8" s="41">
        <v>39227</v>
      </c>
      <c r="GX8" s="41">
        <v>40068</v>
      </c>
      <c r="GY8" s="41">
        <v>40105</v>
      </c>
      <c r="GZ8" s="41">
        <v>40206</v>
      </c>
      <c r="HA8" s="41">
        <v>40344</v>
      </c>
      <c r="HB8" s="41">
        <v>40350</v>
      </c>
      <c r="HC8" s="41">
        <v>40475</v>
      </c>
      <c r="HD8" s="41">
        <v>40591</v>
      </c>
      <c r="HE8" s="41">
        <v>40616</v>
      </c>
      <c r="HF8" s="41">
        <v>40679</v>
      </c>
      <c r="HG8" s="41">
        <v>40832</v>
      </c>
      <c r="HH8" s="41">
        <v>40856</v>
      </c>
      <c r="HI8" s="41">
        <v>40916</v>
      </c>
      <c r="HJ8" s="41">
        <v>40941</v>
      </c>
      <c r="HK8" s="41">
        <v>40987</v>
      </c>
      <c r="HL8" s="41">
        <v>41000</v>
      </c>
      <c r="HM8" s="41">
        <v>37088</v>
      </c>
      <c r="HN8" s="41">
        <v>37129</v>
      </c>
      <c r="HO8" s="41">
        <v>35500</v>
      </c>
      <c r="HP8" s="41">
        <v>33385</v>
      </c>
      <c r="HQ8" s="41">
        <v>33163</v>
      </c>
      <c r="HR8" s="41">
        <v>33147</v>
      </c>
      <c r="HS8" s="41">
        <v>33203</v>
      </c>
      <c r="HT8" s="41">
        <v>33416</v>
      </c>
      <c r="HU8" s="41">
        <v>33537</v>
      </c>
      <c r="HV8" s="41">
        <v>34008</v>
      </c>
      <c r="HW8" s="41">
        <v>34228</v>
      </c>
      <c r="HX8" s="41">
        <v>34356</v>
      </c>
      <c r="HY8" s="41">
        <v>34449</v>
      </c>
      <c r="HZ8" s="41">
        <v>34553</v>
      </c>
      <c r="IA8" s="41">
        <v>34662</v>
      </c>
      <c r="IB8" s="41">
        <v>34830</v>
      </c>
      <c r="IC8" s="41">
        <v>34880</v>
      </c>
      <c r="ID8" s="41">
        <v>34930</v>
      </c>
      <c r="IE8" s="41">
        <v>34972</v>
      </c>
      <c r="IF8" s="41">
        <v>35104</v>
      </c>
      <c r="IG8" s="41">
        <v>35175</v>
      </c>
      <c r="IH8" s="41">
        <v>35221</v>
      </c>
      <c r="II8" s="41">
        <v>35251</v>
      </c>
      <c r="IJ8" s="41">
        <v>35313</v>
      </c>
      <c r="IK8" s="41">
        <v>40363</v>
      </c>
      <c r="IL8" s="41">
        <v>41059</v>
      </c>
      <c r="IM8" s="41">
        <v>46127</v>
      </c>
      <c r="IN8" s="41">
        <v>46387</v>
      </c>
      <c r="IO8" s="41">
        <v>46491</v>
      </c>
      <c r="IP8" s="41">
        <v>46599</v>
      </c>
      <c r="IQ8" s="41">
        <v>46739</v>
      </c>
      <c r="IR8" s="41">
        <v>46944</v>
      </c>
      <c r="IS8" s="41">
        <v>46954</v>
      </c>
      <c r="IT8" s="41">
        <v>47111</v>
      </c>
      <c r="IU8" s="41">
        <v>47268</v>
      </c>
      <c r="IV8" s="41">
        <v>47396</v>
      </c>
      <c r="IW8" s="41">
        <v>47760</v>
      </c>
      <c r="IX8" s="41">
        <v>48147</v>
      </c>
      <c r="IY8" s="41">
        <v>48529</v>
      </c>
      <c r="IZ8" s="41">
        <v>48723</v>
      </c>
      <c r="JA8" s="41">
        <v>49038</v>
      </c>
      <c r="JB8" s="41">
        <v>49253</v>
      </c>
      <c r="JC8" s="41">
        <v>49536</v>
      </c>
      <c r="JD8" s="41">
        <v>50074</v>
      </c>
      <c r="JE8" s="41">
        <v>50218</v>
      </c>
      <c r="JF8" s="41">
        <v>51454</v>
      </c>
      <c r="JG8" s="41">
        <v>52596</v>
      </c>
      <c r="JH8" s="41">
        <v>52748</v>
      </c>
      <c r="JI8" s="41">
        <v>52833</v>
      </c>
      <c r="JJ8" s="41">
        <v>53012</v>
      </c>
      <c r="JK8" s="41">
        <v>53137</v>
      </c>
      <c r="JL8" s="41">
        <v>55075</v>
      </c>
      <c r="JM8" s="41">
        <v>56296</v>
      </c>
      <c r="JN8" s="41">
        <v>57217</v>
      </c>
      <c r="JO8" s="41">
        <v>57350</v>
      </c>
    </row>
    <row r="9" spans="1:275" s="31" customFormat="1" x14ac:dyDescent="0.25">
      <c r="A9" s="72" t="s">
        <v>11</v>
      </c>
      <c r="B9" s="73"/>
      <c r="C9" s="73"/>
      <c r="D9" s="24"/>
      <c r="E9" s="24"/>
      <c r="F9" s="24"/>
      <c r="G9" s="24"/>
      <c r="H9" s="24"/>
      <c r="I9" s="24"/>
      <c r="J9" s="24"/>
      <c r="K9" s="25"/>
      <c r="L9" s="25"/>
      <c r="M9" s="26">
        <v>717</v>
      </c>
      <c r="N9" s="26" t="s">
        <v>28</v>
      </c>
      <c r="O9" s="26">
        <v>717</v>
      </c>
      <c r="P9" s="26">
        <v>717</v>
      </c>
      <c r="Q9" s="26">
        <v>717</v>
      </c>
      <c r="R9" s="26">
        <v>717</v>
      </c>
      <c r="S9" s="26">
        <v>717</v>
      </c>
      <c r="T9" s="26">
        <v>779</v>
      </c>
      <c r="U9" s="27">
        <v>779</v>
      </c>
      <c r="V9" s="27">
        <v>779</v>
      </c>
      <c r="W9" s="27">
        <v>779</v>
      </c>
      <c r="X9" s="27">
        <v>779</v>
      </c>
      <c r="Y9" s="27">
        <v>779</v>
      </c>
      <c r="Z9" s="27">
        <v>779</v>
      </c>
      <c r="AA9" s="27">
        <v>779</v>
      </c>
      <c r="AB9" s="27">
        <v>779</v>
      </c>
      <c r="AC9" s="27">
        <v>779</v>
      </c>
      <c r="AD9" s="27">
        <v>779</v>
      </c>
      <c r="AE9" s="27">
        <v>779</v>
      </c>
      <c r="AF9" s="27">
        <v>1119</v>
      </c>
      <c r="AG9" s="27">
        <v>1119</v>
      </c>
      <c r="AH9" s="27">
        <v>1119</v>
      </c>
      <c r="AI9" s="27">
        <v>1119</v>
      </c>
      <c r="AJ9" s="27">
        <v>1119</v>
      </c>
      <c r="AK9" s="27">
        <v>1119</v>
      </c>
      <c r="AL9" s="27">
        <v>1119</v>
      </c>
      <c r="AM9" s="27">
        <v>1119</v>
      </c>
      <c r="AN9" s="27">
        <v>1119</v>
      </c>
      <c r="AO9" s="27">
        <v>1119</v>
      </c>
      <c r="AP9" s="27">
        <v>1119</v>
      </c>
      <c r="AQ9" s="27">
        <v>1119</v>
      </c>
      <c r="AR9" s="36">
        <v>1186</v>
      </c>
      <c r="AS9" s="36">
        <v>1186</v>
      </c>
      <c r="AT9" s="36">
        <v>1186</v>
      </c>
      <c r="AU9" s="36">
        <v>1186</v>
      </c>
      <c r="AV9" s="36">
        <v>1186</v>
      </c>
      <c r="AW9" s="36">
        <v>1186</v>
      </c>
      <c r="AX9" s="36">
        <v>1186</v>
      </c>
      <c r="AY9" s="28">
        <v>1186</v>
      </c>
      <c r="AZ9" s="28">
        <v>1186</v>
      </c>
      <c r="BA9" s="28">
        <v>1186</v>
      </c>
      <c r="BB9" s="28">
        <v>1186</v>
      </c>
      <c r="BC9" s="28">
        <v>1186</v>
      </c>
      <c r="BD9" s="28">
        <v>1633</v>
      </c>
      <c r="BE9" s="28">
        <v>1633</v>
      </c>
      <c r="BF9" s="28">
        <v>1633</v>
      </c>
      <c r="BG9" s="28">
        <v>1633</v>
      </c>
      <c r="BH9" s="28">
        <v>1633</v>
      </c>
      <c r="BI9" s="28">
        <v>1633</v>
      </c>
      <c r="BJ9" s="28">
        <v>1633</v>
      </c>
      <c r="BK9" s="28">
        <v>1633</v>
      </c>
      <c r="BL9" s="28">
        <v>1633</v>
      </c>
      <c r="BM9" s="28">
        <v>1633</v>
      </c>
      <c r="BN9" s="28">
        <v>1633</v>
      </c>
      <c r="BO9" s="28">
        <v>1633</v>
      </c>
      <c r="BP9" s="28">
        <v>1680</v>
      </c>
      <c r="BQ9" s="28">
        <v>1680</v>
      </c>
      <c r="BR9" s="28">
        <v>1680</v>
      </c>
      <c r="BS9" s="28">
        <v>1680</v>
      </c>
      <c r="BT9" s="28">
        <v>1680</v>
      </c>
      <c r="BU9" s="28">
        <v>1680</v>
      </c>
      <c r="BV9" s="28">
        <v>1680</v>
      </c>
      <c r="BW9" s="28">
        <v>1680</v>
      </c>
      <c r="BX9" s="28">
        <v>1680</v>
      </c>
      <c r="BY9" s="28">
        <v>1680</v>
      </c>
      <c r="BZ9" s="28">
        <v>1680</v>
      </c>
      <c r="CA9" s="28">
        <v>1680</v>
      </c>
      <c r="CB9" s="28">
        <v>2180</v>
      </c>
      <c r="CC9" s="28">
        <v>2180</v>
      </c>
      <c r="CD9" s="28">
        <v>2180</v>
      </c>
      <c r="CE9" s="28">
        <v>2180</v>
      </c>
      <c r="CF9" s="28">
        <v>2180</v>
      </c>
      <c r="CG9" s="28">
        <v>2180</v>
      </c>
      <c r="CH9" s="28">
        <v>2180</v>
      </c>
      <c r="CI9" s="28">
        <v>2180</v>
      </c>
      <c r="CJ9" s="28">
        <v>2180</v>
      </c>
      <c r="CK9" s="28">
        <v>2180</v>
      </c>
      <c r="CL9" s="28">
        <v>2180</v>
      </c>
      <c r="CM9" s="28">
        <v>2180</v>
      </c>
      <c r="CN9" s="28">
        <v>2743</v>
      </c>
      <c r="CO9" s="28">
        <v>2743</v>
      </c>
      <c r="CP9" s="28">
        <v>2743</v>
      </c>
      <c r="CQ9" s="28">
        <v>2743</v>
      </c>
      <c r="CR9" s="28">
        <v>2743</v>
      </c>
      <c r="CS9" s="28">
        <v>2743</v>
      </c>
      <c r="CT9" s="28">
        <v>2743</v>
      </c>
      <c r="CU9" s="28">
        <v>2743</v>
      </c>
      <c r="CV9" s="28">
        <v>2743</v>
      </c>
      <c r="CW9" s="28">
        <v>2743</v>
      </c>
      <c r="CX9" s="28">
        <v>2743</v>
      </c>
      <c r="CY9" s="28">
        <v>2743</v>
      </c>
      <c r="CZ9" s="28">
        <v>3303</v>
      </c>
      <c r="DA9" s="28">
        <v>3303</v>
      </c>
      <c r="DB9" s="28">
        <v>3303</v>
      </c>
      <c r="DC9" s="28">
        <v>3303</v>
      </c>
      <c r="DD9" s="28">
        <v>3303</v>
      </c>
      <c r="DE9" s="28">
        <v>3303</v>
      </c>
      <c r="DF9" s="28">
        <v>3303</v>
      </c>
      <c r="DG9" s="28">
        <v>3303</v>
      </c>
      <c r="DH9" s="28">
        <v>3303</v>
      </c>
      <c r="DI9" s="28">
        <v>3303</v>
      </c>
      <c r="DJ9" s="43">
        <v>3302.9</v>
      </c>
      <c r="DK9" s="43">
        <v>3303</v>
      </c>
      <c r="DL9" s="43">
        <v>2463</v>
      </c>
      <c r="DM9" s="43">
        <v>2463</v>
      </c>
      <c r="DN9" s="43">
        <v>2463</v>
      </c>
      <c r="DO9" s="43">
        <v>2463</v>
      </c>
      <c r="DP9" s="43">
        <v>2463</v>
      </c>
      <c r="DQ9" s="43">
        <v>2578</v>
      </c>
      <c r="DR9" s="43">
        <v>2510</v>
      </c>
      <c r="DS9" s="43">
        <v>2585</v>
      </c>
      <c r="DT9" s="43">
        <v>2767</v>
      </c>
      <c r="DU9" s="43">
        <v>2678</v>
      </c>
      <c r="DV9" s="43">
        <v>2684</v>
      </c>
      <c r="DW9" s="43">
        <v>2669</v>
      </c>
      <c r="DX9" s="43">
        <v>2662</v>
      </c>
      <c r="DY9" s="43">
        <v>2675</v>
      </c>
      <c r="DZ9" s="43">
        <v>2657</v>
      </c>
      <c r="EA9" s="43">
        <v>2508</v>
      </c>
      <c r="EB9" s="43">
        <v>2540</v>
      </c>
      <c r="EC9" s="43">
        <v>2477</v>
      </c>
      <c r="ED9" s="43">
        <v>2450</v>
      </c>
      <c r="EE9" s="43">
        <v>2662</v>
      </c>
      <c r="EF9" s="43">
        <v>2463.9</v>
      </c>
      <c r="EG9" s="43">
        <v>2471</v>
      </c>
      <c r="EH9" s="43">
        <v>2498</v>
      </c>
      <c r="EI9" s="43">
        <v>2449</v>
      </c>
      <c r="EJ9" s="43">
        <v>2420</v>
      </c>
      <c r="EK9" s="43">
        <v>2265</v>
      </c>
      <c r="EL9" s="43">
        <v>2312</v>
      </c>
      <c r="EM9" s="43">
        <v>2337</v>
      </c>
      <c r="EN9" s="43">
        <v>2408.6</v>
      </c>
      <c r="EO9" s="43">
        <v>2213</v>
      </c>
      <c r="EP9" s="43">
        <v>2211</v>
      </c>
      <c r="EQ9" s="43">
        <v>2301</v>
      </c>
      <c r="ER9" s="43">
        <v>2554</v>
      </c>
      <c r="ES9" s="43">
        <v>2533</v>
      </c>
      <c r="ET9" s="43">
        <v>2566</v>
      </c>
      <c r="EU9" s="43">
        <v>2513</v>
      </c>
      <c r="EV9" s="43">
        <v>2602</v>
      </c>
      <c r="EW9" s="43">
        <v>2735</v>
      </c>
      <c r="EX9" s="43">
        <v>2726</v>
      </c>
      <c r="EY9" s="43">
        <v>2743</v>
      </c>
      <c r="EZ9" s="43">
        <v>2618</v>
      </c>
      <c r="FA9" s="43">
        <v>2454</v>
      </c>
      <c r="FB9" s="43">
        <v>2346</v>
      </c>
      <c r="FC9" s="43">
        <v>2450</v>
      </c>
      <c r="FD9" s="43">
        <v>2620</v>
      </c>
      <c r="FE9" s="43">
        <v>2621</v>
      </c>
      <c r="FF9" s="43">
        <v>2630</v>
      </c>
      <c r="FG9" s="43">
        <v>2637</v>
      </c>
      <c r="FH9" s="43">
        <v>2602</v>
      </c>
      <c r="FI9" s="43">
        <v>2629</v>
      </c>
      <c r="FJ9" s="43">
        <v>2680</v>
      </c>
      <c r="FK9" s="43">
        <v>2710</v>
      </c>
      <c r="FL9" s="43">
        <v>2640</v>
      </c>
      <c r="FM9" s="43">
        <v>2702</v>
      </c>
      <c r="FN9" s="43">
        <v>2673</v>
      </c>
      <c r="FO9" s="43">
        <v>2808</v>
      </c>
      <c r="FP9" s="43">
        <v>2805</v>
      </c>
      <c r="FQ9" s="43">
        <v>2825</v>
      </c>
      <c r="FR9" s="43">
        <v>2783</v>
      </c>
      <c r="FS9" s="43">
        <v>2733</v>
      </c>
      <c r="FT9" s="43">
        <v>2641</v>
      </c>
      <c r="FU9" s="43">
        <v>2587</v>
      </c>
      <c r="FV9" s="43">
        <v>2564</v>
      </c>
      <c r="FW9" s="43">
        <v>2545</v>
      </c>
      <c r="FX9" s="43">
        <v>2631</v>
      </c>
      <c r="FY9" s="43">
        <v>2612</v>
      </c>
      <c r="FZ9" s="43">
        <v>2716</v>
      </c>
      <c r="GA9" s="43">
        <v>2804</v>
      </c>
      <c r="GB9" s="43">
        <v>2842</v>
      </c>
      <c r="GC9" s="43">
        <v>2828</v>
      </c>
      <c r="GD9" s="43">
        <v>2731</v>
      </c>
      <c r="GE9" s="43">
        <v>2752</v>
      </c>
      <c r="GF9" s="43">
        <v>2821</v>
      </c>
      <c r="GG9" s="43">
        <v>3059</v>
      </c>
      <c r="GH9" s="43">
        <v>3324</v>
      </c>
      <c r="GI9" s="43">
        <v>3209</v>
      </c>
      <c r="GJ9" s="43">
        <v>3267</v>
      </c>
      <c r="GK9" s="43">
        <v>3148</v>
      </c>
      <c r="GL9" s="43">
        <v>3301</v>
      </c>
      <c r="GM9" s="43">
        <v>3424</v>
      </c>
      <c r="GN9" s="43">
        <v>3588</v>
      </c>
      <c r="GO9" s="43">
        <v>3518</v>
      </c>
      <c r="GP9" s="43">
        <v>3705</v>
      </c>
      <c r="GQ9" s="43">
        <v>3805</v>
      </c>
      <c r="GR9" s="43">
        <v>4076</v>
      </c>
      <c r="GS9" s="43">
        <v>4505</v>
      </c>
      <c r="GT9" s="43">
        <v>4520</v>
      </c>
      <c r="GU9" s="43">
        <v>4361</v>
      </c>
      <c r="GV9" s="43">
        <v>4328</v>
      </c>
      <c r="GW9" s="43">
        <v>4082</v>
      </c>
      <c r="GX9" s="43">
        <v>4390</v>
      </c>
      <c r="GY9" s="43">
        <v>4284</v>
      </c>
      <c r="GZ9" s="43">
        <v>4140</v>
      </c>
      <c r="HA9" s="43">
        <v>3934</v>
      </c>
      <c r="HB9" s="43">
        <v>4128</v>
      </c>
      <c r="HC9" s="43">
        <v>4409</v>
      </c>
      <c r="HD9" s="43">
        <v>4111</v>
      </c>
      <c r="HE9" s="43">
        <v>4268</v>
      </c>
      <c r="HF9" s="43">
        <v>4239</v>
      </c>
      <c r="HG9" s="43">
        <v>4071</v>
      </c>
      <c r="HH9" s="43">
        <v>4217</v>
      </c>
      <c r="HI9" s="43">
        <v>4222</v>
      </c>
      <c r="HJ9" s="43">
        <v>4228</v>
      </c>
      <c r="HK9" s="43">
        <v>4204</v>
      </c>
      <c r="HL9" s="43">
        <v>6907</v>
      </c>
      <c r="HM9" s="43">
        <v>7807</v>
      </c>
      <c r="HN9" s="43">
        <v>7597</v>
      </c>
      <c r="HO9" s="43">
        <v>7398</v>
      </c>
      <c r="HP9" s="43">
        <v>7314</v>
      </c>
      <c r="HQ9" s="43">
        <v>7061</v>
      </c>
      <c r="HR9" s="43">
        <v>6913</v>
      </c>
      <c r="HS9" s="43">
        <v>6668</v>
      </c>
      <c r="HT9" s="43">
        <v>6612</v>
      </c>
      <c r="HU9" s="43">
        <v>7078</v>
      </c>
      <c r="HV9" s="43">
        <v>7326</v>
      </c>
      <c r="HW9" s="43">
        <v>7773</v>
      </c>
      <c r="HX9" s="43">
        <v>7372</v>
      </c>
      <c r="HY9" s="43">
        <v>7950</v>
      </c>
      <c r="HZ9" s="43">
        <v>8031</v>
      </c>
      <c r="IA9" s="43">
        <v>7949</v>
      </c>
      <c r="IB9" s="43">
        <v>7738</v>
      </c>
      <c r="IC9" s="43">
        <v>7974</v>
      </c>
      <c r="ID9" s="43">
        <v>7863</v>
      </c>
      <c r="IE9" s="43">
        <v>7644</v>
      </c>
      <c r="IF9" s="43">
        <v>8098</v>
      </c>
      <c r="IG9" s="43">
        <v>8258</v>
      </c>
      <c r="IH9" s="43">
        <v>8440</v>
      </c>
      <c r="II9" s="43">
        <v>8337</v>
      </c>
      <c r="IJ9" s="43">
        <v>8323</v>
      </c>
      <c r="IK9" s="43">
        <v>9003</v>
      </c>
      <c r="IL9" s="43">
        <v>9384</v>
      </c>
      <c r="IM9" s="43">
        <v>9557</v>
      </c>
      <c r="IN9" s="43">
        <v>9485</v>
      </c>
      <c r="IO9" s="43">
        <v>9883</v>
      </c>
      <c r="IP9" s="43">
        <v>10262</v>
      </c>
      <c r="IQ9" s="43">
        <v>10723</v>
      </c>
      <c r="IR9" s="43">
        <v>11154</v>
      </c>
      <c r="IS9" s="43">
        <v>10777</v>
      </c>
      <c r="IT9" s="43">
        <v>10644</v>
      </c>
      <c r="IU9" s="43">
        <v>11416</v>
      </c>
      <c r="IV9" s="43">
        <v>11851</v>
      </c>
      <c r="IW9" s="43">
        <v>12606</v>
      </c>
      <c r="IX9" s="43">
        <v>13629</v>
      </c>
      <c r="IY9" s="43">
        <v>13679</v>
      </c>
      <c r="IZ9" s="43">
        <v>13586</v>
      </c>
      <c r="JA9" s="43">
        <v>13639</v>
      </c>
      <c r="JB9" s="43">
        <v>14088</v>
      </c>
      <c r="JC9" s="43">
        <v>15843</v>
      </c>
      <c r="JD9" s="43">
        <v>16545</v>
      </c>
      <c r="JE9" s="43">
        <v>17252</v>
      </c>
      <c r="JF9" s="43">
        <v>18166</v>
      </c>
      <c r="JG9" s="43">
        <v>20730</v>
      </c>
      <c r="JH9" s="43">
        <v>21502</v>
      </c>
      <c r="JI9" s="43">
        <v>19188</v>
      </c>
      <c r="JJ9" s="43">
        <v>19201</v>
      </c>
      <c r="JK9" s="43">
        <v>18776</v>
      </c>
      <c r="JL9" s="43">
        <v>16784</v>
      </c>
      <c r="JM9" s="43">
        <v>17139</v>
      </c>
      <c r="JN9" s="43">
        <v>19058</v>
      </c>
      <c r="JO9" s="43">
        <v>17456</v>
      </c>
    </row>
    <row r="10" spans="1:275" s="31" customFormat="1" x14ac:dyDescent="0.25">
      <c r="A10" s="74" t="s">
        <v>12</v>
      </c>
      <c r="B10" s="75"/>
      <c r="C10" s="75"/>
      <c r="D10" s="13"/>
      <c r="E10" s="13"/>
      <c r="F10" s="13"/>
      <c r="G10" s="13"/>
      <c r="H10" s="13"/>
      <c r="I10" s="17"/>
      <c r="J10" s="18"/>
      <c r="K10" s="14"/>
      <c r="L10" s="14"/>
      <c r="M10" s="15">
        <v>83</v>
      </c>
      <c r="N10" s="15">
        <v>162</v>
      </c>
      <c r="O10" s="15">
        <v>89</v>
      </c>
      <c r="P10" s="15">
        <v>91</v>
      </c>
      <c r="Q10" s="15">
        <v>93</v>
      </c>
      <c r="R10" s="15">
        <v>94</v>
      </c>
      <c r="S10" s="15">
        <v>91</v>
      </c>
      <c r="T10" s="15">
        <v>93</v>
      </c>
      <c r="U10" s="16">
        <v>95</v>
      </c>
      <c r="V10" s="16">
        <v>97</v>
      </c>
      <c r="W10" s="16">
        <v>99</v>
      </c>
      <c r="X10" s="16">
        <v>100</v>
      </c>
      <c r="Y10" s="16">
        <v>98</v>
      </c>
      <c r="Z10" s="16">
        <v>98</v>
      </c>
      <c r="AA10" s="16">
        <v>105</v>
      </c>
      <c r="AB10" s="16">
        <v>107</v>
      </c>
      <c r="AC10" s="16">
        <v>107</v>
      </c>
      <c r="AD10" s="16">
        <v>110</v>
      </c>
      <c r="AE10" s="16">
        <v>111</v>
      </c>
      <c r="AF10" s="16">
        <v>113</v>
      </c>
      <c r="AG10" s="16">
        <v>114</v>
      </c>
      <c r="AH10" s="16">
        <v>116</v>
      </c>
      <c r="AI10" s="16">
        <v>116</v>
      </c>
      <c r="AJ10" s="16">
        <v>117</v>
      </c>
      <c r="AK10" s="16">
        <v>118</v>
      </c>
      <c r="AL10" s="16">
        <v>118</v>
      </c>
      <c r="AM10" s="16">
        <v>121</v>
      </c>
      <c r="AN10" s="16">
        <v>124</v>
      </c>
      <c r="AO10" s="16">
        <v>126</v>
      </c>
      <c r="AP10" s="16">
        <v>127</v>
      </c>
      <c r="AQ10" s="16">
        <v>125</v>
      </c>
      <c r="AR10" s="37">
        <v>128</v>
      </c>
      <c r="AS10" s="37">
        <v>131</v>
      </c>
      <c r="AT10" s="37">
        <v>133</v>
      </c>
      <c r="AU10" s="37">
        <v>135</v>
      </c>
      <c r="AV10" s="37">
        <v>138</v>
      </c>
      <c r="AW10" s="37">
        <v>133</v>
      </c>
      <c r="AX10" s="37">
        <v>134</v>
      </c>
      <c r="AY10" s="32">
        <v>137</v>
      </c>
      <c r="AZ10" s="32">
        <v>140</v>
      </c>
      <c r="BA10" s="32">
        <v>145</v>
      </c>
      <c r="BB10" s="32">
        <v>141</v>
      </c>
      <c r="BC10" s="32">
        <v>141</v>
      </c>
      <c r="BD10" s="32">
        <v>130</v>
      </c>
      <c r="BE10" s="32">
        <v>130</v>
      </c>
      <c r="BF10" s="32">
        <v>128</v>
      </c>
      <c r="BG10" s="32">
        <v>130</v>
      </c>
      <c r="BH10" s="32">
        <v>123</v>
      </c>
      <c r="BI10" s="32">
        <v>123</v>
      </c>
      <c r="BJ10" s="32">
        <v>109</v>
      </c>
      <c r="BK10" s="32">
        <v>106</v>
      </c>
      <c r="BL10" s="32">
        <v>106</v>
      </c>
      <c r="BM10" s="32">
        <v>109</v>
      </c>
      <c r="BN10" s="32">
        <v>108</v>
      </c>
      <c r="BO10" s="32">
        <v>112</v>
      </c>
      <c r="BP10" s="32">
        <v>115</v>
      </c>
      <c r="BQ10" s="42">
        <v>106</v>
      </c>
      <c r="BR10" s="42">
        <v>1198</v>
      </c>
      <c r="BS10" s="42">
        <v>1314</v>
      </c>
      <c r="BT10" s="42">
        <v>1322</v>
      </c>
      <c r="BU10" s="42">
        <v>1332</v>
      </c>
      <c r="BV10" s="42">
        <v>1307</v>
      </c>
      <c r="BW10" s="42">
        <v>1301</v>
      </c>
      <c r="BX10" s="42">
        <v>1264</v>
      </c>
      <c r="BY10" s="42">
        <v>1249</v>
      </c>
      <c r="BZ10" s="42">
        <v>1248</v>
      </c>
      <c r="CA10" s="42">
        <v>1214</v>
      </c>
      <c r="CB10" s="42">
        <v>1210</v>
      </c>
      <c r="CC10" s="42">
        <v>1240</v>
      </c>
      <c r="CD10" s="42">
        <v>1238</v>
      </c>
      <c r="CE10" s="42">
        <v>1263</v>
      </c>
      <c r="CF10" s="42">
        <v>1286</v>
      </c>
      <c r="CG10" s="42">
        <v>1259</v>
      </c>
      <c r="CH10" s="42">
        <v>1255</v>
      </c>
      <c r="CI10" s="42">
        <v>1281</v>
      </c>
      <c r="CJ10" s="42">
        <v>1285</v>
      </c>
      <c r="CK10" s="42">
        <v>1295</v>
      </c>
      <c r="CL10" s="42">
        <v>1318</v>
      </c>
      <c r="CM10" s="42">
        <v>1305</v>
      </c>
      <c r="CN10" s="42">
        <v>1311</v>
      </c>
      <c r="CO10" s="42">
        <v>1319</v>
      </c>
      <c r="CP10" s="42">
        <v>1319</v>
      </c>
      <c r="CQ10" s="42">
        <v>1281</v>
      </c>
      <c r="CR10" s="42">
        <v>1303</v>
      </c>
      <c r="CS10" s="42">
        <v>1273</v>
      </c>
      <c r="CT10" s="42">
        <v>1264</v>
      </c>
      <c r="CU10" s="42">
        <v>1268</v>
      </c>
      <c r="CV10" s="42">
        <v>1272</v>
      </c>
      <c r="CW10" s="42">
        <v>1269</v>
      </c>
      <c r="CX10" s="42">
        <v>1268</v>
      </c>
      <c r="CY10" s="42">
        <v>1243</v>
      </c>
      <c r="CZ10" s="42">
        <v>1243</v>
      </c>
      <c r="DA10" s="42">
        <v>1238</v>
      </c>
      <c r="DB10" s="42">
        <v>1245</v>
      </c>
      <c r="DC10" s="42">
        <v>1263</v>
      </c>
      <c r="DD10" s="42">
        <v>1259</v>
      </c>
      <c r="DE10" s="42">
        <v>1257</v>
      </c>
      <c r="DF10" s="42">
        <v>1263</v>
      </c>
      <c r="DG10" s="42">
        <v>1259</v>
      </c>
      <c r="DH10" s="42">
        <v>1240</v>
      </c>
      <c r="DI10" s="42">
        <v>1230</v>
      </c>
      <c r="DJ10" s="42">
        <v>1237.0999999999999</v>
      </c>
      <c r="DK10" s="42">
        <v>1225</v>
      </c>
      <c r="DL10" s="42">
        <v>1233</v>
      </c>
      <c r="DM10" s="42">
        <v>1244</v>
      </c>
      <c r="DN10" s="42">
        <v>1247</v>
      </c>
      <c r="DO10" s="42">
        <v>1257</v>
      </c>
      <c r="DP10" s="42">
        <v>1266</v>
      </c>
      <c r="DQ10" s="42">
        <v>1257</v>
      </c>
      <c r="DR10" s="42">
        <v>1269</v>
      </c>
      <c r="DS10" s="42">
        <v>1264</v>
      </c>
      <c r="DT10" s="42">
        <v>1269</v>
      </c>
      <c r="DU10" s="42">
        <v>1266</v>
      </c>
      <c r="DV10" s="42">
        <v>1275</v>
      </c>
      <c r="DW10" s="42">
        <v>1268</v>
      </c>
      <c r="DX10" s="42">
        <v>1274</v>
      </c>
      <c r="DY10" s="42">
        <v>1267</v>
      </c>
      <c r="DZ10" s="42">
        <v>1252</v>
      </c>
      <c r="EA10" s="42">
        <v>1229</v>
      </c>
      <c r="EB10" s="42">
        <v>1227</v>
      </c>
      <c r="EC10" s="42">
        <v>1207</v>
      </c>
      <c r="ED10" s="42">
        <v>1198</v>
      </c>
      <c r="EE10" s="42">
        <v>1165</v>
      </c>
      <c r="EF10" s="42">
        <v>1168.8</v>
      </c>
      <c r="EG10" s="42">
        <v>1148</v>
      </c>
      <c r="EH10" s="42">
        <v>1154.7</v>
      </c>
      <c r="EI10" s="42">
        <v>1153</v>
      </c>
      <c r="EJ10" s="42">
        <v>1168</v>
      </c>
      <c r="EK10" s="42">
        <v>1162</v>
      </c>
      <c r="EL10" s="42">
        <v>1174</v>
      </c>
      <c r="EM10" s="42">
        <v>1167</v>
      </c>
      <c r="EN10" s="42">
        <v>1164.7</v>
      </c>
      <c r="EO10" s="42">
        <v>1144</v>
      </c>
      <c r="EP10" s="42">
        <v>1161</v>
      </c>
      <c r="EQ10" s="42">
        <v>1153</v>
      </c>
      <c r="ER10" s="42">
        <v>1164</v>
      </c>
      <c r="ES10" s="42">
        <v>1172</v>
      </c>
      <c r="ET10" s="42">
        <v>1180</v>
      </c>
      <c r="EU10" s="42">
        <v>1179</v>
      </c>
      <c r="EV10" s="42">
        <v>793</v>
      </c>
      <c r="EW10" s="42">
        <v>789</v>
      </c>
      <c r="EX10" s="42">
        <v>796</v>
      </c>
      <c r="EY10" s="42">
        <v>799</v>
      </c>
      <c r="EZ10" s="42">
        <v>784</v>
      </c>
      <c r="FA10" s="42">
        <v>756</v>
      </c>
      <c r="FB10" s="42">
        <v>753</v>
      </c>
      <c r="FC10" s="42">
        <v>763</v>
      </c>
      <c r="FD10" s="42">
        <v>756</v>
      </c>
      <c r="FE10" s="42">
        <v>763</v>
      </c>
      <c r="FF10" s="42">
        <v>764</v>
      </c>
      <c r="FG10" s="42">
        <v>764</v>
      </c>
      <c r="FH10" s="42">
        <v>770</v>
      </c>
      <c r="FI10" s="42">
        <v>778</v>
      </c>
      <c r="FJ10" s="42">
        <v>774</v>
      </c>
      <c r="FK10" s="42">
        <v>772</v>
      </c>
      <c r="FL10" s="42">
        <v>766</v>
      </c>
      <c r="FM10" s="42">
        <v>753</v>
      </c>
      <c r="FN10" s="42">
        <v>749</v>
      </c>
      <c r="FO10" s="42">
        <v>769</v>
      </c>
      <c r="FP10" s="42">
        <v>746</v>
      </c>
      <c r="FQ10" s="42">
        <v>749</v>
      </c>
      <c r="FR10" s="42">
        <v>742</v>
      </c>
      <c r="FS10" s="42">
        <v>694</v>
      </c>
      <c r="FT10" s="42">
        <v>2706</v>
      </c>
      <c r="FU10" s="42">
        <v>689</v>
      </c>
      <c r="FV10" s="42">
        <v>651</v>
      </c>
      <c r="FW10" s="42">
        <v>651</v>
      </c>
      <c r="FX10" s="42">
        <v>643</v>
      </c>
      <c r="FY10" s="42">
        <v>580</v>
      </c>
      <c r="FZ10" s="42">
        <v>586</v>
      </c>
      <c r="GA10" s="42">
        <v>591</v>
      </c>
      <c r="GB10" s="42">
        <v>528</v>
      </c>
      <c r="GC10" s="42">
        <v>527</v>
      </c>
      <c r="GD10" s="42">
        <v>525</v>
      </c>
      <c r="GE10" s="42">
        <v>448</v>
      </c>
      <c r="GF10" s="42">
        <v>453</v>
      </c>
      <c r="GG10" s="42">
        <v>443</v>
      </c>
      <c r="GH10" s="42">
        <v>367</v>
      </c>
      <c r="GI10" s="42">
        <v>365</v>
      </c>
      <c r="GJ10" s="42">
        <v>369</v>
      </c>
      <c r="GK10" s="42">
        <v>277</v>
      </c>
      <c r="GL10" s="42">
        <v>280</v>
      </c>
      <c r="GM10" s="42">
        <v>279</v>
      </c>
      <c r="GN10" s="42">
        <v>192</v>
      </c>
      <c r="GO10" s="42">
        <v>193</v>
      </c>
      <c r="GP10" s="42">
        <v>192</v>
      </c>
      <c r="GQ10" s="42">
        <v>107</v>
      </c>
      <c r="GR10" s="42">
        <v>298</v>
      </c>
      <c r="GS10" s="42">
        <v>304</v>
      </c>
      <c r="GT10" s="42">
        <v>215</v>
      </c>
      <c r="GU10" s="42">
        <v>214</v>
      </c>
      <c r="GV10" s="42">
        <v>214</v>
      </c>
      <c r="GW10" s="42">
        <v>110</v>
      </c>
      <c r="GX10" s="42">
        <v>279</v>
      </c>
      <c r="GY10" s="42">
        <v>279</v>
      </c>
      <c r="GZ10" s="42">
        <v>161</v>
      </c>
      <c r="HA10" s="42">
        <v>158</v>
      </c>
      <c r="HB10" s="42">
        <v>160</v>
      </c>
      <c r="HC10" s="42">
        <v>33</v>
      </c>
      <c r="HD10" s="42">
        <v>201</v>
      </c>
      <c r="HE10" s="42">
        <v>201</v>
      </c>
      <c r="HF10" s="42">
        <v>2847</v>
      </c>
      <c r="HG10" s="42">
        <v>2817</v>
      </c>
      <c r="HH10" s="42">
        <v>2826</v>
      </c>
      <c r="HI10" s="42">
        <v>2659</v>
      </c>
      <c r="HJ10" s="42">
        <v>2657</v>
      </c>
      <c r="HK10" s="42">
        <v>2642</v>
      </c>
      <c r="HL10" s="42">
        <v>2508</v>
      </c>
      <c r="HM10" s="42">
        <v>205</v>
      </c>
      <c r="HN10" s="42">
        <v>198</v>
      </c>
      <c r="HO10" s="42">
        <v>51</v>
      </c>
      <c r="HP10" s="42">
        <v>50</v>
      </c>
      <c r="HQ10" s="42">
        <v>232</v>
      </c>
      <c r="HR10" s="42">
        <v>41</v>
      </c>
      <c r="HS10" s="42">
        <v>40</v>
      </c>
      <c r="HT10" s="42">
        <v>251</v>
      </c>
      <c r="HU10" s="42">
        <v>15</v>
      </c>
      <c r="HV10" s="42">
        <v>13</v>
      </c>
      <c r="HW10" s="42">
        <v>324</v>
      </c>
      <c r="HX10" s="42">
        <v>22</v>
      </c>
      <c r="HY10" s="42">
        <v>22</v>
      </c>
      <c r="HZ10" s="42">
        <v>349</v>
      </c>
      <c r="IA10" s="42">
        <v>27</v>
      </c>
      <c r="IB10" s="42">
        <v>27</v>
      </c>
      <c r="IC10" s="42">
        <v>376</v>
      </c>
      <c r="ID10" s="42">
        <v>30</v>
      </c>
      <c r="IE10" s="42">
        <v>29</v>
      </c>
      <c r="IF10" s="42">
        <v>371</v>
      </c>
      <c r="IG10" s="42">
        <v>38</v>
      </c>
      <c r="IH10" s="42">
        <v>36</v>
      </c>
      <c r="II10" s="42">
        <v>367</v>
      </c>
      <c r="IJ10" s="42">
        <v>48</v>
      </c>
      <c r="IK10" s="42">
        <v>47</v>
      </c>
      <c r="IL10" s="42">
        <v>300</v>
      </c>
      <c r="IM10" s="42">
        <v>12</v>
      </c>
      <c r="IN10" s="42">
        <v>12</v>
      </c>
      <c r="IO10" s="42">
        <v>302</v>
      </c>
      <c r="IP10" s="42">
        <v>20</v>
      </c>
      <c r="IQ10" s="42">
        <v>20</v>
      </c>
      <c r="IR10" s="42">
        <v>293</v>
      </c>
      <c r="IS10" s="42">
        <v>37</v>
      </c>
      <c r="IT10" s="42">
        <v>31</v>
      </c>
      <c r="IU10" s="42">
        <v>31</v>
      </c>
      <c r="IV10" s="42">
        <v>21</v>
      </c>
      <c r="IW10" s="42">
        <v>18</v>
      </c>
      <c r="IX10" s="42">
        <v>194</v>
      </c>
      <c r="IY10" s="42">
        <v>41</v>
      </c>
      <c r="IZ10" s="42">
        <v>41</v>
      </c>
      <c r="JA10" s="42">
        <v>183</v>
      </c>
      <c r="JB10" s="42">
        <v>43</v>
      </c>
      <c r="JC10" s="42">
        <v>44</v>
      </c>
      <c r="JD10" s="42">
        <v>179</v>
      </c>
      <c r="JE10" s="42">
        <v>61</v>
      </c>
      <c r="JF10" s="42">
        <v>56</v>
      </c>
      <c r="JG10" s="42">
        <v>163</v>
      </c>
      <c r="JH10" s="42">
        <v>556</v>
      </c>
      <c r="JI10" s="42">
        <v>548</v>
      </c>
      <c r="JJ10" s="42">
        <v>554</v>
      </c>
      <c r="JK10" s="42">
        <v>448</v>
      </c>
      <c r="JL10" s="42">
        <v>444</v>
      </c>
      <c r="JM10" s="42">
        <v>446</v>
      </c>
      <c r="JN10" s="42">
        <v>606</v>
      </c>
      <c r="JO10" s="42">
        <v>602</v>
      </c>
    </row>
    <row r="11" spans="1:275" s="31" customFormat="1" x14ac:dyDescent="0.25">
      <c r="A11" s="73" t="s">
        <v>13</v>
      </c>
      <c r="B11" s="73"/>
      <c r="C11" s="73"/>
      <c r="D11" s="24"/>
      <c r="E11" s="24"/>
      <c r="F11" s="24"/>
      <c r="G11" s="24"/>
      <c r="H11" s="24"/>
      <c r="I11" s="29"/>
      <c r="J11" s="30"/>
      <c r="K11" s="25"/>
      <c r="L11" s="25"/>
      <c r="M11" s="26">
        <v>14078</v>
      </c>
      <c r="N11" s="26">
        <v>14449</v>
      </c>
      <c r="O11" s="26">
        <v>15650</v>
      </c>
      <c r="P11" s="26">
        <v>16429</v>
      </c>
      <c r="Q11" s="26">
        <v>17136</v>
      </c>
      <c r="R11" s="26">
        <v>17564</v>
      </c>
      <c r="S11" s="26">
        <v>17809</v>
      </c>
      <c r="T11" s="26">
        <v>18345</v>
      </c>
      <c r="U11" s="27">
        <v>19295</v>
      </c>
      <c r="V11" s="27">
        <v>19749</v>
      </c>
      <c r="W11" s="27">
        <v>20145</v>
      </c>
      <c r="X11" s="27">
        <v>20259</v>
      </c>
      <c r="Y11" s="27">
        <v>20264</v>
      </c>
      <c r="Z11" s="27">
        <v>20943</v>
      </c>
      <c r="AA11" s="27">
        <v>21202</v>
      </c>
      <c r="AB11" s="27">
        <v>21440</v>
      </c>
      <c r="AC11" s="27">
        <v>21613</v>
      </c>
      <c r="AD11" s="27">
        <v>21868</v>
      </c>
      <c r="AE11" s="27">
        <v>21933</v>
      </c>
      <c r="AF11" s="27">
        <v>21665</v>
      </c>
      <c r="AG11" s="27">
        <v>21785</v>
      </c>
      <c r="AH11" s="27">
        <v>22672</v>
      </c>
      <c r="AI11" s="27">
        <v>22803</v>
      </c>
      <c r="AJ11" s="27">
        <v>23131</v>
      </c>
      <c r="AK11" s="27">
        <v>23640</v>
      </c>
      <c r="AL11" s="27">
        <v>24784</v>
      </c>
      <c r="AM11" s="27">
        <v>24830</v>
      </c>
      <c r="AN11" s="27">
        <v>24959</v>
      </c>
      <c r="AO11" s="27">
        <v>25055</v>
      </c>
      <c r="AP11" s="27">
        <v>25826</v>
      </c>
      <c r="AQ11" s="27">
        <v>26784</v>
      </c>
      <c r="AR11" s="36">
        <v>27232</v>
      </c>
      <c r="AS11" s="36">
        <v>28247</v>
      </c>
      <c r="AT11" s="36">
        <v>28334</v>
      </c>
      <c r="AU11" s="36">
        <v>28549</v>
      </c>
      <c r="AV11" s="36">
        <v>29589</v>
      </c>
      <c r="AW11" s="36">
        <v>30162</v>
      </c>
      <c r="AX11" s="36">
        <v>30353</v>
      </c>
      <c r="AY11" s="28">
        <v>30859</v>
      </c>
      <c r="AZ11" s="28">
        <v>31588</v>
      </c>
      <c r="BA11" s="28">
        <v>32375</v>
      </c>
      <c r="BB11" s="28">
        <v>32488</v>
      </c>
      <c r="BC11" s="28">
        <v>32763</v>
      </c>
      <c r="BD11" s="28">
        <v>32787</v>
      </c>
      <c r="BE11" s="28">
        <v>32900</v>
      </c>
      <c r="BF11" s="28">
        <v>33041</v>
      </c>
      <c r="BG11" s="28">
        <v>33245</v>
      </c>
      <c r="BH11" s="28">
        <v>33265</v>
      </c>
      <c r="BI11" s="28">
        <v>32641</v>
      </c>
      <c r="BJ11" s="28">
        <v>32357</v>
      </c>
      <c r="BK11" s="28">
        <v>31664</v>
      </c>
      <c r="BL11" s="28">
        <v>31287</v>
      </c>
      <c r="BM11" s="28">
        <v>30411</v>
      </c>
      <c r="BN11" s="28">
        <v>29425</v>
      </c>
      <c r="BO11" s="28">
        <v>29438</v>
      </c>
      <c r="BP11" s="28">
        <v>29493</v>
      </c>
      <c r="BQ11" s="43">
        <v>29799</v>
      </c>
      <c r="BR11" s="43">
        <v>30009</v>
      </c>
      <c r="BS11" s="43">
        <v>30489</v>
      </c>
      <c r="BT11" s="43">
        <v>30997</v>
      </c>
      <c r="BU11" s="43">
        <v>31075</v>
      </c>
      <c r="BV11" s="43">
        <v>31157</v>
      </c>
      <c r="BW11" s="43">
        <v>31189</v>
      </c>
      <c r="BX11" s="43">
        <v>31329</v>
      </c>
      <c r="BY11" s="43">
        <v>31524</v>
      </c>
      <c r="BZ11" s="43">
        <v>31678</v>
      </c>
      <c r="CA11" s="43">
        <v>32161</v>
      </c>
      <c r="CB11" s="43">
        <v>31774</v>
      </c>
      <c r="CC11" s="43">
        <v>31798</v>
      </c>
      <c r="CD11" s="43">
        <v>32052</v>
      </c>
      <c r="CE11" s="43">
        <v>32029</v>
      </c>
      <c r="CF11" s="43">
        <v>32017</v>
      </c>
      <c r="CG11" s="43">
        <v>32076</v>
      </c>
      <c r="CH11" s="43">
        <v>32517</v>
      </c>
      <c r="CI11" s="43">
        <f>CI8-CI9-CI10-CI12:CI12</f>
        <v>31474.6</v>
      </c>
      <c r="CJ11" s="43">
        <f>CJ8-CJ9-CJ10-CJ12:CJ12</f>
        <v>29783.599999999999</v>
      </c>
      <c r="CK11" s="43">
        <f>CK8-CK9-CK10-CK12:CK12</f>
        <v>26559.599999999999</v>
      </c>
      <c r="CL11" s="43">
        <v>24452</v>
      </c>
      <c r="CM11" s="43">
        <v>23669</v>
      </c>
      <c r="CN11" s="43">
        <v>22450</v>
      </c>
      <c r="CO11" s="43">
        <v>21582</v>
      </c>
      <c r="CP11" s="43">
        <v>20878</v>
      </c>
      <c r="CQ11" s="43">
        <v>19922</v>
      </c>
      <c r="CR11" s="43">
        <v>17959</v>
      </c>
      <c r="CS11" s="43">
        <v>16069.6</v>
      </c>
      <c r="CT11" s="43">
        <v>14048</v>
      </c>
      <c r="CU11" s="43">
        <v>12280</v>
      </c>
      <c r="CV11" s="43">
        <v>11640</v>
      </c>
      <c r="CW11" s="43">
        <v>11045</v>
      </c>
      <c r="CX11" s="43">
        <v>11139</v>
      </c>
      <c r="CY11" s="43">
        <f>CY8-CY9-CY10-CY12</f>
        <v>11468</v>
      </c>
      <c r="CZ11" s="43">
        <v>10926</v>
      </c>
      <c r="DA11" s="43">
        <f>DA8-DA9-DA10-DA12</f>
        <v>9819</v>
      </c>
      <c r="DB11" s="43">
        <v>10516</v>
      </c>
      <c r="DC11" s="43">
        <v>10416</v>
      </c>
      <c r="DD11" s="43">
        <v>10861</v>
      </c>
      <c r="DE11" s="43">
        <v>10414</v>
      </c>
      <c r="DF11" s="43">
        <v>10385</v>
      </c>
      <c r="DG11" s="43">
        <v>8989</v>
      </c>
      <c r="DH11" s="43">
        <v>8903</v>
      </c>
      <c r="DI11" s="43">
        <v>8832</v>
      </c>
      <c r="DJ11" s="43">
        <v>9826</v>
      </c>
      <c r="DK11" s="43">
        <v>11451</v>
      </c>
      <c r="DL11" s="43">
        <f>DL8-DL9-DL10-DL12</f>
        <v>11181</v>
      </c>
      <c r="DM11" s="43">
        <f>DM8-DM9-DM10-DM12</f>
        <v>15122</v>
      </c>
      <c r="DN11" s="43">
        <f>DN8-DN9-DN10-DN12</f>
        <v>15153</v>
      </c>
      <c r="DO11" s="43">
        <f>DO8-DO9-DO10-DO12</f>
        <v>14929</v>
      </c>
      <c r="DP11" s="43">
        <v>14800</v>
      </c>
      <c r="DQ11" s="43">
        <v>13870</v>
      </c>
      <c r="DR11" s="43">
        <v>13192</v>
      </c>
      <c r="DS11" s="43">
        <v>13195</v>
      </c>
      <c r="DT11" s="43">
        <v>13210</v>
      </c>
      <c r="DU11" s="43">
        <v>13411</v>
      </c>
      <c r="DV11" s="43">
        <v>13470</v>
      </c>
      <c r="DW11" s="43">
        <v>13287</v>
      </c>
      <c r="DX11" s="43">
        <v>12695</v>
      </c>
      <c r="DY11" s="43">
        <v>12739</v>
      </c>
      <c r="DZ11" s="43">
        <v>12872</v>
      </c>
      <c r="EA11" s="43">
        <v>13082</v>
      </c>
      <c r="EB11" s="43">
        <v>13089</v>
      </c>
      <c r="EC11" s="43">
        <v>12147</v>
      </c>
      <c r="ED11" s="43">
        <v>11638</v>
      </c>
      <c r="EE11" s="43">
        <v>11558</v>
      </c>
      <c r="EF11" s="43">
        <v>11777</v>
      </c>
      <c r="EG11" s="43">
        <v>11629</v>
      </c>
      <c r="EH11" s="43">
        <v>16828</v>
      </c>
      <c r="EI11" s="43">
        <v>15915</v>
      </c>
      <c r="EJ11" s="43">
        <v>16453</v>
      </c>
      <c r="EK11" s="43">
        <v>15070</v>
      </c>
      <c r="EL11" s="43">
        <v>14571</v>
      </c>
      <c r="EM11" s="43">
        <v>12794</v>
      </c>
      <c r="EN11" s="43">
        <v>12803</v>
      </c>
      <c r="EO11" s="43">
        <v>13030</v>
      </c>
      <c r="EP11" s="43">
        <v>13041</v>
      </c>
      <c r="EQ11" s="43">
        <v>12993</v>
      </c>
      <c r="ER11" s="43">
        <v>12786</v>
      </c>
      <c r="ES11" s="43">
        <v>12829</v>
      </c>
      <c r="ET11" s="43">
        <v>13237</v>
      </c>
      <c r="EU11" s="43">
        <v>13801</v>
      </c>
      <c r="EV11" s="43">
        <v>14128</v>
      </c>
      <c r="EW11" s="43">
        <v>11991</v>
      </c>
      <c r="EX11" s="43">
        <v>13022</v>
      </c>
      <c r="EY11" s="43">
        <v>16031</v>
      </c>
      <c r="EZ11" s="43">
        <v>15620</v>
      </c>
      <c r="FA11" s="43">
        <v>19829</v>
      </c>
      <c r="FB11" s="43">
        <v>21150</v>
      </c>
      <c r="FC11" s="43">
        <v>23135</v>
      </c>
      <c r="FD11" s="43">
        <v>23149</v>
      </c>
      <c r="FE11" s="43">
        <v>25125</v>
      </c>
      <c r="FF11" s="43">
        <v>25215</v>
      </c>
      <c r="FG11" s="43">
        <v>27694</v>
      </c>
      <c r="FH11" s="43">
        <v>27904</v>
      </c>
      <c r="FI11" s="43">
        <v>32599</v>
      </c>
      <c r="FJ11" s="43">
        <v>32661</v>
      </c>
      <c r="FK11" s="43">
        <v>33026</v>
      </c>
      <c r="FL11" s="43">
        <v>33270</v>
      </c>
      <c r="FM11" s="43">
        <v>33242</v>
      </c>
      <c r="FN11" s="43">
        <v>33575</v>
      </c>
      <c r="FO11" s="43">
        <v>34611</v>
      </c>
      <c r="FP11" s="43">
        <v>38954</v>
      </c>
      <c r="FQ11" s="43">
        <v>39018</v>
      </c>
      <c r="FR11" s="43">
        <v>40486</v>
      </c>
      <c r="FS11" s="43">
        <v>40694</v>
      </c>
      <c r="FT11" s="43">
        <v>38898</v>
      </c>
      <c r="FU11" s="43">
        <v>41026</v>
      </c>
      <c r="FV11" s="43">
        <v>41193</v>
      </c>
      <c r="FW11" s="43">
        <v>41253</v>
      </c>
      <c r="FX11" s="43">
        <v>41217</v>
      </c>
      <c r="FY11" s="43">
        <v>41310</v>
      </c>
      <c r="FZ11" s="43">
        <v>39242</v>
      </c>
      <c r="GA11" s="43">
        <v>39216</v>
      </c>
      <c r="GB11" s="43">
        <v>40686</v>
      </c>
      <c r="GC11" s="43">
        <v>40754</v>
      </c>
      <c r="GD11" s="43">
        <v>40959</v>
      </c>
      <c r="GE11" s="43">
        <v>41071</v>
      </c>
      <c r="GF11" s="43">
        <v>41204</v>
      </c>
      <c r="GG11" s="43">
        <v>41533</v>
      </c>
      <c r="GH11" s="43">
        <v>41398</v>
      </c>
      <c r="GI11" s="43">
        <v>41545</v>
      </c>
      <c r="GJ11" s="43">
        <v>41611</v>
      </c>
      <c r="GK11" s="43">
        <v>41930</v>
      </c>
      <c r="GL11" s="43">
        <v>41840</v>
      </c>
      <c r="GM11" s="43">
        <v>41756</v>
      </c>
      <c r="GN11" s="43">
        <v>41733</v>
      </c>
      <c r="GO11" s="43">
        <v>36399</v>
      </c>
      <c r="GP11" s="43">
        <v>33142</v>
      </c>
      <c r="GQ11" s="43">
        <v>32094</v>
      </c>
      <c r="GR11" s="43">
        <f>GR8-GR9-GR10-GR12</f>
        <v>33806</v>
      </c>
      <c r="GS11" s="43">
        <v>33453</v>
      </c>
      <c r="GT11" s="43">
        <v>33579</v>
      </c>
      <c r="GU11" s="43">
        <v>33855</v>
      </c>
      <c r="GV11" s="43">
        <v>34683</v>
      </c>
      <c r="GW11" s="43">
        <v>35035</v>
      </c>
      <c r="GX11" s="43">
        <v>35399</v>
      </c>
      <c r="GY11" s="43">
        <v>35542</v>
      </c>
      <c r="GZ11" s="43">
        <v>35905</v>
      </c>
      <c r="HA11" s="43">
        <v>36252</v>
      </c>
      <c r="HB11" s="43">
        <v>36062</v>
      </c>
      <c r="HC11" s="43">
        <v>36033</v>
      </c>
      <c r="HD11" s="43">
        <v>36279</v>
      </c>
      <c r="HE11" s="43">
        <v>36147</v>
      </c>
      <c r="HF11" s="43">
        <v>33593</v>
      </c>
      <c r="HG11" s="43">
        <v>33944</v>
      </c>
      <c r="HH11" s="43">
        <v>33813</v>
      </c>
      <c r="HI11" s="43">
        <v>34035</v>
      </c>
      <c r="HJ11" s="43">
        <v>34056</v>
      </c>
      <c r="HK11" s="43">
        <v>34141</v>
      </c>
      <c r="HL11" s="43">
        <v>31585</v>
      </c>
      <c r="HM11" s="43">
        <v>29076</v>
      </c>
      <c r="HN11" s="43">
        <v>29334</v>
      </c>
      <c r="HO11" s="43">
        <v>28051</v>
      </c>
      <c r="HP11" s="43">
        <v>26021</v>
      </c>
      <c r="HQ11" s="43">
        <v>25870</v>
      </c>
      <c r="HR11" s="43">
        <v>26193</v>
      </c>
      <c r="HS11" s="43">
        <v>26495</v>
      </c>
      <c r="HT11" s="43">
        <v>26553</v>
      </c>
      <c r="HU11" s="43">
        <v>26444</v>
      </c>
      <c r="HV11" s="43">
        <v>26669</v>
      </c>
      <c r="HW11" s="43">
        <v>26131</v>
      </c>
      <c r="HX11" s="43">
        <v>26962</v>
      </c>
      <c r="HY11" s="43">
        <v>26477</v>
      </c>
      <c r="HZ11" s="43">
        <v>26173</v>
      </c>
      <c r="IA11" s="43">
        <v>26686</v>
      </c>
      <c r="IB11" s="43">
        <v>27065</v>
      </c>
      <c r="IC11" s="43">
        <v>26530</v>
      </c>
      <c r="ID11" s="43">
        <v>27037</v>
      </c>
      <c r="IE11" s="43">
        <v>27299</v>
      </c>
      <c r="IF11" s="43">
        <v>26635</v>
      </c>
      <c r="IG11" s="43">
        <v>26879</v>
      </c>
      <c r="IH11" s="43">
        <v>26745</v>
      </c>
      <c r="II11" s="43">
        <v>26547</v>
      </c>
      <c r="IJ11" s="43">
        <v>26942</v>
      </c>
      <c r="IK11" s="43">
        <v>31313</v>
      </c>
      <c r="IL11" s="43">
        <v>31375</v>
      </c>
      <c r="IM11" s="43">
        <v>36558</v>
      </c>
      <c r="IN11" s="43">
        <v>36890</v>
      </c>
      <c r="IO11" s="43">
        <v>36306</v>
      </c>
      <c r="IP11" s="43">
        <v>36317</v>
      </c>
      <c r="IQ11" s="43">
        <v>35996</v>
      </c>
      <c r="IR11" s="43">
        <v>35497</v>
      </c>
      <c r="IS11" s="43">
        <v>36140</v>
      </c>
      <c r="IT11" s="43">
        <v>36436</v>
      </c>
      <c r="IU11" s="43">
        <v>35821</v>
      </c>
      <c r="IV11" s="43">
        <v>35524</v>
      </c>
      <c r="IW11" s="43">
        <v>35136</v>
      </c>
      <c r="IX11" s="43">
        <v>34324</v>
      </c>
      <c r="IY11" s="43">
        <v>34809</v>
      </c>
      <c r="IZ11" s="43">
        <v>35096</v>
      </c>
      <c r="JA11" s="43">
        <v>35216</v>
      </c>
      <c r="JB11" s="43">
        <v>35122</v>
      </c>
      <c r="JC11" s="43">
        <v>33649</v>
      </c>
      <c r="JD11" s="43">
        <v>33350</v>
      </c>
      <c r="JE11" s="43">
        <v>32905</v>
      </c>
      <c r="JF11" s="43">
        <v>33232</v>
      </c>
      <c r="JG11" s="43">
        <v>31703</v>
      </c>
      <c r="JH11" s="43">
        <v>30690</v>
      </c>
      <c r="JI11" s="43">
        <v>33097</v>
      </c>
      <c r="JJ11" s="43">
        <v>33257</v>
      </c>
      <c r="JK11" s="43">
        <v>33913</v>
      </c>
      <c r="JL11" s="43">
        <v>37847</v>
      </c>
      <c r="JM11" s="43">
        <v>38711</v>
      </c>
      <c r="JN11" s="43">
        <v>37553</v>
      </c>
      <c r="JO11" s="43">
        <f>JO8-JO9-JO10</f>
        <v>39292</v>
      </c>
    </row>
    <row r="12" spans="1:275" s="31" customFormat="1" ht="17.25" customHeight="1" x14ac:dyDescent="0.25">
      <c r="A12" s="75" t="s">
        <v>40</v>
      </c>
      <c r="B12" s="75"/>
      <c r="C12" s="75"/>
      <c r="D12" s="13"/>
      <c r="E12" s="13"/>
      <c r="F12" s="13"/>
      <c r="G12" s="13"/>
      <c r="H12" s="13"/>
      <c r="I12" s="17"/>
      <c r="J12" s="18"/>
      <c r="K12" s="14"/>
      <c r="L12" s="14"/>
      <c r="M12" s="15">
        <v>121</v>
      </c>
      <c r="N12" s="15" t="s">
        <v>29</v>
      </c>
      <c r="O12" s="15">
        <v>120</v>
      </c>
      <c r="P12" s="15">
        <v>117</v>
      </c>
      <c r="Q12" s="15">
        <v>113</v>
      </c>
      <c r="R12" s="15">
        <v>112</v>
      </c>
      <c r="S12" s="15">
        <v>109</v>
      </c>
      <c r="T12" s="15">
        <v>105</v>
      </c>
      <c r="U12" s="16">
        <v>103</v>
      </c>
      <c r="V12" s="16">
        <v>102</v>
      </c>
      <c r="W12" s="16">
        <v>98</v>
      </c>
      <c r="X12" s="16">
        <v>97</v>
      </c>
      <c r="Y12" s="16">
        <v>95</v>
      </c>
      <c r="Z12" s="16">
        <v>95</v>
      </c>
      <c r="AA12" s="16">
        <v>60</v>
      </c>
      <c r="AB12" s="16">
        <v>57</v>
      </c>
      <c r="AC12" s="16">
        <v>57</v>
      </c>
      <c r="AD12" s="16">
        <v>57</v>
      </c>
      <c r="AE12" s="16">
        <v>58</v>
      </c>
      <c r="AF12" s="16">
        <v>55</v>
      </c>
      <c r="AG12" s="16">
        <v>55</v>
      </c>
      <c r="AH12" s="16">
        <v>52</v>
      </c>
      <c r="AI12" s="16">
        <v>52</v>
      </c>
      <c r="AJ12" s="16">
        <v>51</v>
      </c>
      <c r="AK12" s="16">
        <v>52</v>
      </c>
      <c r="AL12" s="16">
        <v>52</v>
      </c>
      <c r="AM12" s="16">
        <v>49</v>
      </c>
      <c r="AN12" s="16">
        <v>46</v>
      </c>
      <c r="AO12" s="16">
        <v>45</v>
      </c>
      <c r="AP12" s="16">
        <v>45</v>
      </c>
      <c r="AQ12" s="16">
        <v>45</v>
      </c>
      <c r="AR12" s="37">
        <v>43</v>
      </c>
      <c r="AS12" s="37">
        <v>43</v>
      </c>
      <c r="AT12" s="37">
        <v>40</v>
      </c>
      <c r="AU12" s="37">
        <v>40</v>
      </c>
      <c r="AV12" s="37">
        <v>39</v>
      </c>
      <c r="AW12" s="37">
        <v>46</v>
      </c>
      <c r="AX12" s="37">
        <v>44</v>
      </c>
      <c r="AY12" s="32">
        <v>43</v>
      </c>
      <c r="AZ12" s="32">
        <v>40</v>
      </c>
      <c r="BA12" s="32">
        <v>40</v>
      </c>
      <c r="BB12" s="32">
        <v>42</v>
      </c>
      <c r="BC12" s="32">
        <v>42</v>
      </c>
      <c r="BD12" s="32">
        <v>53</v>
      </c>
      <c r="BE12" s="32">
        <v>53</v>
      </c>
      <c r="BF12" s="32">
        <v>48</v>
      </c>
      <c r="BG12" s="32">
        <v>46</v>
      </c>
      <c r="BH12" s="32">
        <v>44</v>
      </c>
      <c r="BI12" s="32">
        <v>44</v>
      </c>
      <c r="BJ12" s="32">
        <v>64</v>
      </c>
      <c r="BK12" s="32">
        <v>64</v>
      </c>
      <c r="BL12" s="32">
        <v>60</v>
      </c>
      <c r="BM12" s="32">
        <v>60</v>
      </c>
      <c r="BN12" s="32">
        <v>59</v>
      </c>
      <c r="BO12" s="32">
        <v>61</v>
      </c>
      <c r="BP12" s="32">
        <v>59</v>
      </c>
      <c r="BQ12" s="42">
        <v>69</v>
      </c>
      <c r="BR12" s="42">
        <v>67</v>
      </c>
      <c r="BS12" s="42">
        <v>68</v>
      </c>
      <c r="BT12" s="42">
        <v>69</v>
      </c>
      <c r="BU12" s="42">
        <v>69</v>
      </c>
      <c r="BV12" s="42">
        <v>65</v>
      </c>
      <c r="BW12" s="42">
        <v>65</v>
      </c>
      <c r="BX12" s="42">
        <v>76</v>
      </c>
      <c r="BY12" s="42">
        <v>75</v>
      </c>
      <c r="BZ12" s="42">
        <v>75</v>
      </c>
      <c r="CA12" s="42">
        <v>73</v>
      </c>
      <c r="CB12" s="42">
        <v>84</v>
      </c>
      <c r="CC12" s="42">
        <v>86</v>
      </c>
      <c r="CD12" s="42">
        <v>84</v>
      </c>
      <c r="CE12" s="42">
        <v>89</v>
      </c>
      <c r="CF12" s="42">
        <v>91</v>
      </c>
      <c r="CG12" s="42">
        <v>89</v>
      </c>
      <c r="CH12" s="42">
        <v>86</v>
      </c>
      <c r="CI12" s="42">
        <v>87.4</v>
      </c>
      <c r="CJ12" s="42">
        <v>88.4</v>
      </c>
      <c r="CK12" s="42">
        <v>88.4</v>
      </c>
      <c r="CL12" s="42">
        <v>90</v>
      </c>
      <c r="CM12" s="42">
        <v>89</v>
      </c>
      <c r="CN12" s="42">
        <v>89</v>
      </c>
      <c r="CO12" s="42">
        <v>90</v>
      </c>
      <c r="CP12" s="42">
        <v>90</v>
      </c>
      <c r="CQ12" s="42">
        <v>87</v>
      </c>
      <c r="CR12" s="42">
        <v>89</v>
      </c>
      <c r="CS12" s="42">
        <v>86.4</v>
      </c>
      <c r="CT12" s="42">
        <v>86</v>
      </c>
      <c r="CU12" s="42">
        <v>86</v>
      </c>
      <c r="CV12" s="42">
        <v>86</v>
      </c>
      <c r="CW12" s="42">
        <v>86</v>
      </c>
      <c r="CX12" s="42">
        <v>86</v>
      </c>
      <c r="CY12" s="42">
        <v>84</v>
      </c>
      <c r="CZ12" s="42">
        <v>84</v>
      </c>
      <c r="DA12" s="42">
        <v>84</v>
      </c>
      <c r="DB12" s="42">
        <v>85</v>
      </c>
      <c r="DC12" s="42">
        <v>86</v>
      </c>
      <c r="DD12" s="42">
        <v>85</v>
      </c>
      <c r="DE12" s="42">
        <v>85</v>
      </c>
      <c r="DF12" s="42">
        <v>86</v>
      </c>
      <c r="DG12" s="42">
        <v>85</v>
      </c>
      <c r="DH12" s="42">
        <v>84</v>
      </c>
      <c r="DI12" s="42">
        <v>83</v>
      </c>
      <c r="DJ12" s="42">
        <v>83.9</v>
      </c>
      <c r="DK12" s="42">
        <v>82</v>
      </c>
      <c r="DL12" s="42">
        <v>83</v>
      </c>
      <c r="DM12" s="42">
        <v>84</v>
      </c>
      <c r="DN12" s="42">
        <v>84</v>
      </c>
      <c r="DO12" s="42">
        <v>85</v>
      </c>
      <c r="DP12" s="42">
        <v>85</v>
      </c>
      <c r="DQ12" s="42">
        <v>84</v>
      </c>
      <c r="DR12" s="42">
        <v>83</v>
      </c>
      <c r="DS12" s="42">
        <v>83</v>
      </c>
      <c r="DT12" s="42">
        <v>83</v>
      </c>
      <c r="DU12" s="42">
        <v>83</v>
      </c>
      <c r="DV12" s="42">
        <v>83</v>
      </c>
      <c r="DW12" s="42">
        <v>82</v>
      </c>
      <c r="DX12" s="42">
        <v>79</v>
      </c>
      <c r="DY12" s="42">
        <v>78</v>
      </c>
      <c r="DZ12" s="42">
        <v>77</v>
      </c>
      <c r="EA12" s="42">
        <v>76</v>
      </c>
      <c r="EB12" s="42">
        <v>76</v>
      </c>
      <c r="EC12" s="42">
        <v>74</v>
      </c>
      <c r="ED12" s="42">
        <v>70</v>
      </c>
      <c r="EE12" s="42">
        <v>67</v>
      </c>
      <c r="EF12" s="42">
        <v>66.900000000000006</v>
      </c>
      <c r="EG12" s="42">
        <v>66</v>
      </c>
      <c r="EH12" s="42">
        <v>66</v>
      </c>
      <c r="EI12" s="42">
        <v>65</v>
      </c>
      <c r="EJ12" s="42">
        <v>63</v>
      </c>
      <c r="EK12" s="42">
        <v>61</v>
      </c>
      <c r="EL12" s="42">
        <v>61</v>
      </c>
      <c r="EM12" s="42">
        <v>60</v>
      </c>
      <c r="EN12" s="42">
        <v>60</v>
      </c>
      <c r="EO12" s="42">
        <v>58</v>
      </c>
      <c r="EP12" s="42">
        <v>55</v>
      </c>
      <c r="EQ12" s="42">
        <v>53</v>
      </c>
      <c r="ER12" s="42">
        <v>52</v>
      </c>
      <c r="ES12" s="42">
        <v>52</v>
      </c>
      <c r="ET12" s="42">
        <v>52</v>
      </c>
      <c r="EU12" s="42">
        <v>52</v>
      </c>
      <c r="EV12" s="42">
        <v>47</v>
      </c>
      <c r="EW12" s="42">
        <v>46</v>
      </c>
      <c r="EX12" s="42">
        <v>45</v>
      </c>
      <c r="EY12" s="42">
        <v>45</v>
      </c>
      <c r="EZ12" s="42">
        <v>44</v>
      </c>
      <c r="FA12" s="42">
        <v>42</v>
      </c>
      <c r="FB12" s="42">
        <v>38</v>
      </c>
      <c r="FC12" s="42">
        <v>37</v>
      </c>
      <c r="FD12" s="42">
        <v>36</v>
      </c>
      <c r="FE12" s="42">
        <v>36</v>
      </c>
      <c r="FF12" s="42">
        <v>36</v>
      </c>
      <c r="FG12" s="42">
        <v>35</v>
      </c>
      <c r="FH12" s="42">
        <v>31</v>
      </c>
      <c r="FI12" s="42">
        <v>31</v>
      </c>
      <c r="FJ12" s="42">
        <v>30</v>
      </c>
      <c r="FK12" s="42">
        <v>29</v>
      </c>
      <c r="FL12" s="42">
        <v>29</v>
      </c>
      <c r="FM12" s="42">
        <v>28</v>
      </c>
      <c r="FN12" s="42">
        <v>24</v>
      </c>
      <c r="FO12" s="42">
        <v>24</v>
      </c>
      <c r="FP12" s="42">
        <v>22</v>
      </c>
      <c r="FQ12" s="42">
        <v>22</v>
      </c>
      <c r="FR12" s="42">
        <v>22</v>
      </c>
      <c r="FS12" s="42">
        <v>21</v>
      </c>
      <c r="FT12" s="42">
        <v>17</v>
      </c>
      <c r="FU12" s="42">
        <v>16</v>
      </c>
      <c r="FV12" s="42">
        <v>14</v>
      </c>
      <c r="FW12" s="42">
        <v>14</v>
      </c>
      <c r="FX12" s="42">
        <v>14</v>
      </c>
      <c r="FY12" s="42">
        <v>14</v>
      </c>
      <c r="FZ12" s="42">
        <v>11</v>
      </c>
      <c r="GA12" s="42">
        <v>10</v>
      </c>
      <c r="GB12" s="42">
        <v>8</v>
      </c>
      <c r="GC12" s="42">
        <v>8</v>
      </c>
      <c r="GD12" s="42">
        <v>8</v>
      </c>
      <c r="GE12" s="42">
        <v>8</v>
      </c>
      <c r="GF12" s="42">
        <v>7</v>
      </c>
      <c r="GG12" s="42">
        <v>6</v>
      </c>
      <c r="GH12" s="42">
        <v>4</v>
      </c>
      <c r="GI12" s="42">
        <v>4</v>
      </c>
      <c r="GJ12" s="42">
        <v>4</v>
      </c>
      <c r="GK12" s="42">
        <v>4</v>
      </c>
      <c r="GL12" s="42">
        <v>3</v>
      </c>
      <c r="GM12" s="42">
        <v>3</v>
      </c>
      <c r="GN12" s="42">
        <v>2</v>
      </c>
      <c r="GO12" s="42">
        <v>2</v>
      </c>
      <c r="GP12" s="42">
        <v>2</v>
      </c>
      <c r="GQ12" s="42">
        <v>2</v>
      </c>
      <c r="GR12" s="42">
        <v>0</v>
      </c>
      <c r="GS12" s="42">
        <v>0</v>
      </c>
      <c r="GT12" s="42">
        <v>0</v>
      </c>
      <c r="GU12" s="42">
        <v>0</v>
      </c>
      <c r="GV12" s="42">
        <v>0</v>
      </c>
      <c r="GW12" s="42">
        <v>0</v>
      </c>
      <c r="GX12" s="42">
        <v>0</v>
      </c>
      <c r="GY12" s="42">
        <v>0</v>
      </c>
      <c r="GZ12" s="42">
        <v>0</v>
      </c>
      <c r="HA12" s="42">
        <v>0</v>
      </c>
      <c r="HB12" s="42">
        <v>0</v>
      </c>
      <c r="HC12" s="42">
        <v>0</v>
      </c>
      <c r="HD12" s="42">
        <v>0</v>
      </c>
      <c r="HE12" s="42">
        <v>0</v>
      </c>
      <c r="HF12" s="42">
        <v>0</v>
      </c>
      <c r="HG12" s="42">
        <v>0</v>
      </c>
      <c r="HH12" s="42">
        <v>0</v>
      </c>
      <c r="HI12" s="42">
        <v>0</v>
      </c>
      <c r="HJ12" s="42">
        <v>0</v>
      </c>
      <c r="HK12" s="42">
        <v>0</v>
      </c>
      <c r="HL12" s="42">
        <v>0</v>
      </c>
      <c r="HM12" s="42">
        <v>0</v>
      </c>
      <c r="HN12" s="42">
        <v>0</v>
      </c>
      <c r="HO12" s="42">
        <v>0</v>
      </c>
      <c r="HP12" s="42">
        <v>0</v>
      </c>
      <c r="HQ12" s="42">
        <v>0</v>
      </c>
      <c r="HR12" s="42">
        <v>0</v>
      </c>
      <c r="HS12" s="42">
        <v>0</v>
      </c>
      <c r="HT12" s="42">
        <v>0</v>
      </c>
      <c r="HU12" s="42">
        <v>0</v>
      </c>
      <c r="HV12" s="42">
        <v>0</v>
      </c>
      <c r="HW12" s="42">
        <v>0</v>
      </c>
      <c r="HX12" s="42">
        <v>0</v>
      </c>
      <c r="HY12" s="42">
        <v>0</v>
      </c>
      <c r="HZ12" s="42">
        <v>0</v>
      </c>
      <c r="IA12" s="42">
        <v>0</v>
      </c>
      <c r="IB12" s="42">
        <v>0</v>
      </c>
      <c r="IC12" s="42">
        <v>0</v>
      </c>
      <c r="ID12" s="42">
        <v>0</v>
      </c>
      <c r="IE12" s="42">
        <v>0</v>
      </c>
      <c r="IF12" s="42">
        <v>0</v>
      </c>
      <c r="IG12" s="42">
        <v>0</v>
      </c>
      <c r="IH12" s="42">
        <v>0</v>
      </c>
      <c r="II12" s="42">
        <v>0</v>
      </c>
      <c r="IJ12" s="42">
        <v>0</v>
      </c>
      <c r="IK12" s="42">
        <v>0</v>
      </c>
      <c r="IL12" s="42">
        <v>0</v>
      </c>
      <c r="IM12" s="42">
        <v>0</v>
      </c>
      <c r="IN12" s="42">
        <v>0</v>
      </c>
      <c r="IO12" s="42">
        <v>0</v>
      </c>
      <c r="IP12" s="42">
        <v>0</v>
      </c>
      <c r="IQ12" s="42">
        <v>0</v>
      </c>
      <c r="IR12" s="42">
        <v>0</v>
      </c>
      <c r="IS12" s="42">
        <v>0</v>
      </c>
      <c r="IT12" s="42">
        <v>0</v>
      </c>
      <c r="IU12" s="42">
        <v>0</v>
      </c>
      <c r="IV12" s="42">
        <v>0</v>
      </c>
      <c r="IW12" s="42">
        <v>0</v>
      </c>
      <c r="IX12" s="42">
        <v>0</v>
      </c>
      <c r="IY12" s="42">
        <v>0</v>
      </c>
      <c r="IZ12" s="42">
        <v>0</v>
      </c>
      <c r="JA12" s="42">
        <v>0</v>
      </c>
      <c r="JB12" s="42">
        <v>0</v>
      </c>
      <c r="JC12" s="42">
        <v>0</v>
      </c>
      <c r="JD12" s="42">
        <v>0</v>
      </c>
      <c r="JE12" s="42">
        <v>0</v>
      </c>
      <c r="JF12" s="42">
        <v>0</v>
      </c>
      <c r="JG12" s="42">
        <v>0</v>
      </c>
      <c r="JH12" s="42">
        <v>0</v>
      </c>
      <c r="JI12" s="42">
        <v>0</v>
      </c>
      <c r="JJ12" s="42">
        <v>0</v>
      </c>
      <c r="JK12" s="42">
        <v>0</v>
      </c>
      <c r="JL12" s="42">
        <v>0</v>
      </c>
      <c r="JM12" s="42">
        <v>0</v>
      </c>
      <c r="JN12" s="42">
        <v>0</v>
      </c>
      <c r="JO12" s="42">
        <v>0</v>
      </c>
    </row>
    <row r="13" spans="1:275" s="31" customFormat="1" ht="15.95" customHeight="1" x14ac:dyDescent="0.25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2"/>
      <c r="II13" s="52"/>
      <c r="IJ13" s="52"/>
      <c r="IK13" s="52"/>
      <c r="IL13" s="52"/>
      <c r="IM13" s="52"/>
      <c r="IN13" s="52"/>
      <c r="IO13" s="52"/>
      <c r="IP13" s="52"/>
      <c r="IQ13" s="52"/>
      <c r="IR13" s="52"/>
      <c r="IS13" s="52"/>
      <c r="IT13" s="52"/>
      <c r="IU13" s="52"/>
      <c r="IV13" s="52"/>
      <c r="IW13" s="52"/>
      <c r="IX13" s="52"/>
      <c r="IY13" s="52"/>
      <c r="IZ13" s="52"/>
      <c r="JA13" s="52"/>
      <c r="JB13" s="52"/>
      <c r="JC13" s="52"/>
      <c r="JD13" s="52"/>
      <c r="JE13" s="52"/>
      <c r="JF13" s="52"/>
      <c r="JG13" s="52"/>
      <c r="JH13" s="52"/>
      <c r="JI13" s="52"/>
      <c r="JJ13" s="52"/>
      <c r="JK13" s="52"/>
      <c r="JL13" s="52"/>
      <c r="JM13" s="52"/>
      <c r="JN13" s="52"/>
      <c r="JO13" s="52"/>
    </row>
    <row r="14" spans="1:275" s="31" customFormat="1" ht="15.95" customHeight="1" x14ac:dyDescent="0.25">
      <c r="A14" s="82"/>
      <c r="B14" s="83"/>
      <c r="C14" s="83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Q14" s="69"/>
      <c r="IR14" s="69"/>
      <c r="IS14" s="69"/>
      <c r="IT14" s="69"/>
      <c r="IU14" s="69"/>
      <c r="IV14" s="69"/>
      <c r="IW14" s="69"/>
      <c r="IX14" s="69"/>
      <c r="IY14" s="69"/>
      <c r="IZ14" s="69"/>
      <c r="JA14" s="69"/>
      <c r="JB14" s="69"/>
      <c r="JC14" s="69"/>
      <c r="JH14" s="69"/>
      <c r="JK14" s="69"/>
    </row>
    <row r="15" spans="1:275" s="31" customFormat="1" ht="15.95" customHeight="1" x14ac:dyDescent="0.25">
      <c r="A15" s="76" t="s">
        <v>44</v>
      </c>
      <c r="B15" s="77"/>
      <c r="C15" s="77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J15" s="52"/>
      <c r="JK15" s="52"/>
      <c r="JL15" s="52"/>
      <c r="JM15" s="52"/>
      <c r="JN15" s="52"/>
      <c r="JO15" s="52"/>
    </row>
    <row r="16" spans="1:275" ht="15.95" customHeight="1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Z16" s="46"/>
      <c r="FA16" s="46"/>
      <c r="FB16" s="46"/>
      <c r="FC16" s="46"/>
      <c r="FD16" s="46"/>
      <c r="FE16" s="46"/>
      <c r="FF16" s="46"/>
      <c r="FG16" s="46"/>
      <c r="FH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</row>
    <row r="17" spans="1:228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46"/>
      <c r="EW17" s="46"/>
      <c r="FF17" s="46"/>
      <c r="FG17" s="46"/>
      <c r="FH17" s="46"/>
      <c r="FI17" s="46"/>
      <c r="FJ17" s="46"/>
      <c r="FN17" s="46"/>
      <c r="FO17" s="46"/>
      <c r="HP17" s="46"/>
      <c r="HQ17" s="46"/>
      <c r="HR17" s="46"/>
      <c r="HS17" s="46"/>
      <c r="HT17" s="46"/>
    </row>
    <row r="18" spans="1:228" x14ac:dyDescent="0.2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</row>
    <row r="19" spans="1:228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</row>
    <row r="20" spans="1:228" x14ac:dyDescent="0.25">
      <c r="FC20" s="46"/>
      <c r="FD20" s="46"/>
    </row>
    <row r="21" spans="1:228" x14ac:dyDescent="0.25">
      <c r="EV21" s="46"/>
      <c r="EW21" s="46"/>
      <c r="EX21" s="46"/>
      <c r="EY21" s="46"/>
      <c r="EZ21" s="46"/>
      <c r="FA21" s="46"/>
      <c r="FB21" s="46"/>
      <c r="FC21" s="46"/>
      <c r="FD21" s="46"/>
    </row>
  </sheetData>
  <mergeCells count="57">
    <mergeCell ref="JG5:JO5"/>
    <mergeCell ref="GM5:GX5"/>
    <mergeCell ref="FD5:FN5"/>
    <mergeCell ref="FO5:FZ5"/>
    <mergeCell ref="GA5:GL5"/>
    <mergeCell ref="II5:IT5"/>
    <mergeCell ref="HW5:IH5"/>
    <mergeCell ref="HK5:HV5"/>
    <mergeCell ref="GY5:HJ5"/>
    <mergeCell ref="IU5:JF5"/>
    <mergeCell ref="CI4:CJ4"/>
    <mergeCell ref="CG4:CH4"/>
    <mergeCell ref="BT4:BU4"/>
    <mergeCell ref="P15:R15"/>
    <mergeCell ref="S15:U15"/>
    <mergeCell ref="V15:X15"/>
    <mergeCell ref="Y15:AA15"/>
    <mergeCell ref="AB15:AD15"/>
    <mergeCell ref="AE15:AG15"/>
    <mergeCell ref="AH15:AJ15"/>
    <mergeCell ref="BX15:BZ15"/>
    <mergeCell ref="CA15:CC15"/>
    <mergeCell ref="BI15:BK15"/>
    <mergeCell ref="BL15:BN15"/>
    <mergeCell ref="BO15:BQ15"/>
    <mergeCell ref="BR15:BT15"/>
    <mergeCell ref="D15:F15"/>
    <mergeCell ref="G15:I15"/>
    <mergeCell ref="J15:L15"/>
    <mergeCell ref="BE1:BI1"/>
    <mergeCell ref="BH4:BI4"/>
    <mergeCell ref="A3:BD3"/>
    <mergeCell ref="A1:B1"/>
    <mergeCell ref="A14:C14"/>
    <mergeCell ref="C4:AP4"/>
    <mergeCell ref="A13:CC13"/>
    <mergeCell ref="A12:C12"/>
    <mergeCell ref="A7:C7"/>
    <mergeCell ref="A8:C8"/>
    <mergeCell ref="BU15:BW15"/>
    <mergeCell ref="M15:O15"/>
    <mergeCell ref="A19:ET19"/>
    <mergeCell ref="A9:C9"/>
    <mergeCell ref="A11:C11"/>
    <mergeCell ref="A10:C10"/>
    <mergeCell ref="A16:EW16"/>
    <mergeCell ref="A17:EU17"/>
    <mergeCell ref="A18:EU18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A15:C15"/>
  </mergeCells>
  <phoneticPr fontId="1" type="noConversion"/>
  <pageMargins left="0.15748031496063" right="0.15748031496063" top="0.98425196850393704" bottom="0.98425196850393704" header="0.511811023622047" footer="0.511811023622047"/>
  <pageSetup paperSize="9" scale="83" orientation="landscape" r:id="rId1"/>
  <headerFooter alignWithMargins="0"/>
  <drawing r:id="rId2"/>
  <webPublishItems count="1">
    <webPublishItem id="28325" divId="InternationalReserves_28325" sourceType="sheet" destinationFile="A:\Page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F21"/>
  <sheetViews>
    <sheetView topLeftCell="IM1" workbookViewId="0">
      <selection activeCell="JF2" sqref="JF2"/>
    </sheetView>
  </sheetViews>
  <sheetFormatPr defaultColWidth="9.140625" defaultRowHeight="15.75" x14ac:dyDescent="0.25"/>
  <cols>
    <col min="1" max="1" width="6.85546875" style="1" customWidth="1"/>
    <col min="2" max="2" width="9.28515625" style="1" customWidth="1"/>
    <col min="3" max="3" width="40.7109375" style="1" customWidth="1"/>
    <col min="4" max="10" width="10.7109375" style="1" customWidth="1"/>
    <col min="11" max="11" width="10.85546875" style="1" customWidth="1"/>
    <col min="12" max="17" width="10.7109375" style="1" customWidth="1"/>
    <col min="18" max="60" width="9.140625" style="1" customWidth="1"/>
    <col min="61" max="61" width="10.140625" style="1" customWidth="1"/>
    <col min="62" max="64" width="9.140625" style="1" customWidth="1"/>
    <col min="65" max="66" width="11.5703125" style="1" customWidth="1"/>
    <col min="67" max="69" width="9.140625" style="1" customWidth="1"/>
    <col min="70" max="70" width="11.85546875" style="1" customWidth="1"/>
    <col min="71" max="71" width="11.5703125" style="1" customWidth="1"/>
    <col min="72" max="72" width="9.5703125" style="1" customWidth="1"/>
    <col min="73" max="73" width="9.140625" style="1" customWidth="1"/>
    <col min="74" max="74" width="9.28515625" style="1" customWidth="1"/>
    <col min="75" max="77" width="9.140625" style="1" customWidth="1"/>
    <col min="78" max="78" width="10.42578125" style="1" customWidth="1"/>
    <col min="79" max="79" width="10.28515625" style="1" customWidth="1"/>
    <col min="80" max="80" width="9.140625" style="1" customWidth="1"/>
    <col min="81" max="81" width="11.140625" style="1" customWidth="1"/>
    <col min="82" max="98" width="9.140625" style="1" customWidth="1"/>
    <col min="99" max="99" width="11.5703125" style="1" customWidth="1"/>
    <col min="100" max="101" width="9.140625" style="1" customWidth="1"/>
    <col min="102" max="102" width="10.28515625" style="1" customWidth="1"/>
    <col min="103" max="103" width="10.7109375" style="1" customWidth="1"/>
    <col min="104" max="104" width="11.28515625" style="1" customWidth="1"/>
    <col min="105" max="105" width="10.7109375" style="1" customWidth="1"/>
    <col min="106" max="118" width="9.140625" style="1" customWidth="1"/>
    <col min="119" max="119" width="6.7109375" style="1" customWidth="1"/>
    <col min="120" max="120" width="9.5703125" style="1" customWidth="1"/>
    <col min="121" max="122" width="9.140625" style="1" customWidth="1"/>
    <col min="123" max="123" width="11" style="1" customWidth="1"/>
    <col min="124" max="127" width="10.42578125" style="1" customWidth="1"/>
    <col min="128" max="147" width="9.140625" style="1" customWidth="1"/>
    <col min="148" max="16384" width="9.140625" style="1"/>
  </cols>
  <sheetData>
    <row r="1" spans="1:266" ht="31.5" customHeight="1" x14ac:dyDescent="0.25">
      <c r="A1" s="81"/>
      <c r="B1" s="81"/>
      <c r="C1" s="5" t="s">
        <v>0</v>
      </c>
      <c r="D1" s="3"/>
      <c r="E1" s="3"/>
      <c r="F1" s="3"/>
      <c r="G1" s="3"/>
      <c r="H1" s="3"/>
      <c r="I1" s="3"/>
      <c r="J1" s="3"/>
      <c r="K1" s="3"/>
      <c r="L1" s="3"/>
      <c r="BE1" s="78"/>
      <c r="BF1" s="78"/>
      <c r="BG1" s="78"/>
      <c r="BH1" s="78"/>
      <c r="BI1" s="78"/>
    </row>
    <row r="2" spans="1:26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266" s="31" customFormat="1" ht="17.25" customHeight="1" x14ac:dyDescent="0.25">
      <c r="A3" s="80" t="s">
        <v>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38"/>
      <c r="BF3" s="38"/>
      <c r="BG3" s="38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  <c r="JF3" s="61"/>
    </row>
    <row r="4" spans="1:266" s="31" customFormat="1" ht="17.25" customHeight="1" x14ac:dyDescent="0.25">
      <c r="A4" s="39"/>
      <c r="B4" s="39"/>
      <c r="C4" s="91" t="s">
        <v>42</v>
      </c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F4" s="39"/>
      <c r="BG4" s="39"/>
      <c r="BH4" s="79" t="s">
        <v>8</v>
      </c>
      <c r="BI4" s="79"/>
      <c r="BT4" s="79"/>
      <c r="BU4" s="79"/>
      <c r="CG4" s="79"/>
      <c r="CH4" s="79"/>
      <c r="CI4" s="79"/>
      <c r="CJ4" s="79"/>
      <c r="CW4" s="39"/>
      <c r="CX4" s="54"/>
      <c r="CY4" s="54"/>
      <c r="CZ4" s="54"/>
      <c r="DP4" s="54"/>
      <c r="DS4" s="54" t="s">
        <v>8</v>
      </c>
    </row>
    <row r="5" spans="1:266" s="31" customFormat="1" ht="21.75" customHeight="1" x14ac:dyDescent="0.25">
      <c r="A5" s="20"/>
      <c r="B5" s="21"/>
      <c r="C5" s="53"/>
      <c r="D5" s="53">
        <v>2004</v>
      </c>
      <c r="E5" s="53">
        <v>2004</v>
      </c>
      <c r="F5" s="53">
        <v>2004</v>
      </c>
      <c r="G5" s="53">
        <v>2004</v>
      </c>
      <c r="H5" s="53">
        <v>2004</v>
      </c>
      <c r="I5" s="53">
        <v>2004</v>
      </c>
      <c r="J5" s="53">
        <v>2004</v>
      </c>
      <c r="K5" s="53">
        <v>2004</v>
      </c>
      <c r="L5" s="53">
        <v>2004</v>
      </c>
      <c r="M5" s="53">
        <v>2004</v>
      </c>
      <c r="N5" s="53">
        <v>2004</v>
      </c>
      <c r="O5" s="53">
        <v>2005</v>
      </c>
      <c r="P5" s="53">
        <v>2005</v>
      </c>
      <c r="Q5" s="53">
        <v>2005</v>
      </c>
      <c r="R5" s="53">
        <v>2005</v>
      </c>
      <c r="S5" s="53">
        <v>2005</v>
      </c>
      <c r="T5" s="53">
        <v>2005</v>
      </c>
      <c r="U5" s="53">
        <v>2005</v>
      </c>
      <c r="V5" s="53">
        <v>2005</v>
      </c>
      <c r="W5" s="53">
        <v>2005</v>
      </c>
      <c r="X5" s="53">
        <v>2005</v>
      </c>
      <c r="Y5" s="53">
        <v>2005</v>
      </c>
      <c r="Z5" s="53">
        <v>2005</v>
      </c>
      <c r="AA5" s="53">
        <v>2006</v>
      </c>
      <c r="AB5" s="53">
        <v>2006</v>
      </c>
      <c r="AC5" s="53">
        <v>2006</v>
      </c>
      <c r="AD5" s="53">
        <v>2006</v>
      </c>
      <c r="AE5" s="53">
        <v>2006</v>
      </c>
      <c r="AF5" s="53">
        <v>2006</v>
      </c>
      <c r="AG5" s="53">
        <v>2006</v>
      </c>
      <c r="AH5" s="53">
        <v>2006</v>
      </c>
      <c r="AI5" s="53">
        <v>2006</v>
      </c>
      <c r="AJ5" s="53">
        <v>2006</v>
      </c>
      <c r="AK5" s="53">
        <v>2006</v>
      </c>
      <c r="AL5" s="53">
        <v>2006</v>
      </c>
      <c r="AM5" s="21">
        <v>2007</v>
      </c>
      <c r="AN5" s="21">
        <v>2007</v>
      </c>
      <c r="AO5" s="21">
        <v>2007</v>
      </c>
      <c r="AP5" s="21">
        <v>2007</v>
      </c>
      <c r="AQ5" s="21">
        <v>2007</v>
      </c>
      <c r="AR5" s="21">
        <v>2007</v>
      </c>
      <c r="AS5" s="21">
        <v>2007</v>
      </c>
      <c r="AT5" s="21">
        <v>2007</v>
      </c>
      <c r="AU5" s="21">
        <v>2007</v>
      </c>
      <c r="AV5" s="21">
        <v>2007</v>
      </c>
      <c r="AW5" s="21">
        <v>2007</v>
      </c>
      <c r="AX5" s="21">
        <v>2007</v>
      </c>
      <c r="AY5" s="21">
        <v>2008</v>
      </c>
      <c r="AZ5" s="21">
        <v>2008</v>
      </c>
      <c r="BA5" s="21">
        <v>2008</v>
      </c>
      <c r="BB5" s="21">
        <v>2008</v>
      </c>
      <c r="BC5" s="21">
        <v>2008</v>
      </c>
      <c r="BD5" s="21">
        <v>2008</v>
      </c>
      <c r="BE5" s="21">
        <v>2008</v>
      </c>
      <c r="BF5" s="21">
        <v>2008</v>
      </c>
      <c r="BG5" s="21">
        <v>2008</v>
      </c>
      <c r="BH5" s="21">
        <v>2008</v>
      </c>
      <c r="BI5" s="21">
        <v>2008</v>
      </c>
      <c r="BJ5" s="21">
        <v>2008</v>
      </c>
      <c r="BK5" s="47">
        <v>2009</v>
      </c>
      <c r="BL5" s="47">
        <v>2009</v>
      </c>
      <c r="BM5" s="47">
        <v>2009</v>
      </c>
      <c r="BN5" s="47">
        <v>2009</v>
      </c>
      <c r="BO5" s="47">
        <v>2009</v>
      </c>
      <c r="BP5" s="47">
        <v>2009</v>
      </c>
      <c r="BQ5" s="47">
        <v>2009</v>
      </c>
      <c r="BR5" s="47">
        <v>2009</v>
      </c>
      <c r="BS5" s="47">
        <v>2009</v>
      </c>
      <c r="BT5" s="47">
        <v>2009</v>
      </c>
      <c r="BU5" s="47">
        <v>2009</v>
      </c>
      <c r="BV5" s="47">
        <v>2009</v>
      </c>
      <c r="BW5" s="45">
        <v>2010</v>
      </c>
      <c r="BX5" s="45">
        <v>2010</v>
      </c>
      <c r="BY5" s="45">
        <v>2010</v>
      </c>
      <c r="BZ5" s="45">
        <v>2010</v>
      </c>
      <c r="CA5" s="45">
        <v>2010</v>
      </c>
      <c r="CB5" s="45">
        <v>2010</v>
      </c>
      <c r="CC5" s="45">
        <v>2010</v>
      </c>
      <c r="CD5" s="45">
        <v>2010</v>
      </c>
      <c r="CE5" s="45">
        <v>2010</v>
      </c>
      <c r="CF5" s="45">
        <v>2010</v>
      </c>
      <c r="CG5" s="45">
        <v>2010</v>
      </c>
      <c r="CH5" s="45">
        <v>2010</v>
      </c>
      <c r="CI5" s="45">
        <v>2011</v>
      </c>
      <c r="CJ5" s="45">
        <v>2011</v>
      </c>
      <c r="CK5" s="45">
        <v>2011</v>
      </c>
      <c r="CL5" s="45">
        <v>2011</v>
      </c>
      <c r="CM5" s="45">
        <v>2011</v>
      </c>
      <c r="CN5" s="45">
        <v>2011</v>
      </c>
      <c r="CO5" s="45">
        <v>2011</v>
      </c>
      <c r="CP5" s="45">
        <v>2011</v>
      </c>
      <c r="CQ5" s="45">
        <v>2011</v>
      </c>
      <c r="CR5" s="45">
        <v>2011</v>
      </c>
      <c r="CS5" s="45">
        <v>2011</v>
      </c>
      <c r="CT5" s="45">
        <v>2011</v>
      </c>
      <c r="CU5" s="44">
        <v>2012</v>
      </c>
      <c r="CV5" s="44">
        <v>2012</v>
      </c>
      <c r="CW5" s="44">
        <v>2012</v>
      </c>
      <c r="CX5" s="44">
        <v>2012</v>
      </c>
      <c r="CY5" s="44">
        <v>2012</v>
      </c>
      <c r="CZ5" s="44">
        <v>2012</v>
      </c>
      <c r="DA5" s="44">
        <v>2012</v>
      </c>
      <c r="DB5" s="44">
        <v>2012</v>
      </c>
      <c r="DC5" s="44">
        <v>2012</v>
      </c>
      <c r="DD5" s="44">
        <v>2012</v>
      </c>
      <c r="DE5" s="44">
        <v>2012</v>
      </c>
      <c r="DF5" s="44">
        <v>2012</v>
      </c>
      <c r="DG5" s="44">
        <v>2013</v>
      </c>
      <c r="DH5" s="44">
        <v>2013</v>
      </c>
      <c r="DI5" s="44">
        <v>2013</v>
      </c>
      <c r="DJ5" s="44">
        <v>2013</v>
      </c>
      <c r="DK5" s="44">
        <v>2013</v>
      </c>
      <c r="DL5" s="44">
        <v>2013</v>
      </c>
      <c r="DM5" s="44">
        <v>2013</v>
      </c>
      <c r="DN5" s="44">
        <v>2013</v>
      </c>
      <c r="DO5" s="44">
        <v>2013</v>
      </c>
      <c r="DP5" s="44">
        <v>2013</v>
      </c>
      <c r="DQ5" s="44">
        <v>2013</v>
      </c>
      <c r="DR5" s="44">
        <v>2013</v>
      </c>
      <c r="DS5" s="44">
        <v>2014</v>
      </c>
      <c r="DT5" s="44">
        <v>2014</v>
      </c>
      <c r="DU5" s="44">
        <v>2014</v>
      </c>
      <c r="DV5" s="44">
        <v>2014</v>
      </c>
      <c r="DW5" s="44">
        <v>2014</v>
      </c>
      <c r="DX5" s="44">
        <v>2014</v>
      </c>
      <c r="DY5" s="44">
        <v>2014</v>
      </c>
      <c r="DZ5" s="44">
        <v>2014</v>
      </c>
      <c r="EA5" s="44">
        <v>2014</v>
      </c>
      <c r="EB5" s="44">
        <v>2014</v>
      </c>
      <c r="EC5" s="44">
        <v>2014</v>
      </c>
      <c r="ED5" s="44">
        <v>2014</v>
      </c>
      <c r="EE5" s="44">
        <v>2015</v>
      </c>
      <c r="EF5" s="44">
        <v>2015</v>
      </c>
      <c r="EG5" s="44">
        <v>2015</v>
      </c>
      <c r="EH5" s="44">
        <v>2015</v>
      </c>
      <c r="EI5" s="44">
        <v>2015</v>
      </c>
      <c r="EJ5" s="44">
        <v>2015</v>
      </c>
      <c r="EK5" s="44">
        <v>2015</v>
      </c>
      <c r="EL5" s="44">
        <v>2015</v>
      </c>
      <c r="EM5" s="44">
        <v>2015</v>
      </c>
      <c r="EN5" s="44">
        <v>2015</v>
      </c>
      <c r="EO5" s="44">
        <v>2015</v>
      </c>
      <c r="EP5" s="44">
        <v>2015</v>
      </c>
      <c r="EQ5" s="44">
        <v>2016</v>
      </c>
      <c r="ER5" s="44">
        <v>2016</v>
      </c>
      <c r="ES5" s="44">
        <v>2016</v>
      </c>
      <c r="ET5" s="44">
        <v>2016</v>
      </c>
      <c r="EU5" s="44">
        <v>2016</v>
      </c>
      <c r="EV5" s="44">
        <v>2016</v>
      </c>
      <c r="EW5" s="44">
        <v>2016</v>
      </c>
      <c r="EX5" s="44">
        <v>2016</v>
      </c>
      <c r="EY5" s="44">
        <v>2016</v>
      </c>
      <c r="EZ5" s="44">
        <v>2016</v>
      </c>
      <c r="FA5" s="44">
        <v>2016</v>
      </c>
      <c r="FB5" s="44">
        <v>2016</v>
      </c>
      <c r="FC5" s="44">
        <v>2017</v>
      </c>
      <c r="FD5" s="44">
        <v>2017</v>
      </c>
      <c r="FE5" s="44">
        <v>2017</v>
      </c>
      <c r="FF5" s="44">
        <v>2017</v>
      </c>
      <c r="FG5" s="44">
        <v>2017</v>
      </c>
      <c r="FH5" s="44">
        <v>2017</v>
      </c>
      <c r="FI5" s="44">
        <v>2017</v>
      </c>
      <c r="FJ5" s="44">
        <v>2017</v>
      </c>
      <c r="FK5" s="44">
        <v>2017</v>
      </c>
      <c r="FL5" s="44">
        <v>2017</v>
      </c>
      <c r="FM5" s="44">
        <v>2017</v>
      </c>
      <c r="FN5" s="44">
        <v>2017</v>
      </c>
      <c r="FO5" s="56">
        <v>2018</v>
      </c>
      <c r="FP5" s="56">
        <v>2018</v>
      </c>
      <c r="FQ5" s="56">
        <v>2018</v>
      </c>
      <c r="FR5" s="56">
        <v>2018</v>
      </c>
      <c r="FS5" s="56">
        <v>2018</v>
      </c>
      <c r="FT5" s="56">
        <v>2018</v>
      </c>
      <c r="FU5" s="56">
        <v>2018</v>
      </c>
      <c r="FV5" s="56">
        <v>2018</v>
      </c>
      <c r="FW5" s="56">
        <v>2018</v>
      </c>
      <c r="FX5" s="56">
        <v>2018</v>
      </c>
      <c r="FY5" s="56">
        <v>2018</v>
      </c>
      <c r="FZ5" s="56">
        <v>2018</v>
      </c>
      <c r="GA5" s="58">
        <v>2019</v>
      </c>
      <c r="GB5" s="58">
        <v>2019</v>
      </c>
      <c r="GC5" s="58">
        <v>2019</v>
      </c>
      <c r="GD5" s="58">
        <v>2019</v>
      </c>
      <c r="GE5" s="58">
        <v>2019</v>
      </c>
      <c r="GF5" s="59">
        <v>2019</v>
      </c>
      <c r="GG5" s="59">
        <v>2019</v>
      </c>
      <c r="GH5" s="59">
        <v>2019</v>
      </c>
      <c r="GI5" s="59">
        <v>2019</v>
      </c>
      <c r="GJ5" s="59">
        <v>2019</v>
      </c>
      <c r="GK5" s="59">
        <v>2019</v>
      </c>
      <c r="GL5" s="60">
        <v>2019</v>
      </c>
      <c r="GM5" s="62">
        <v>2020</v>
      </c>
      <c r="GN5" s="62">
        <v>2020</v>
      </c>
      <c r="GO5" s="62">
        <v>2020</v>
      </c>
      <c r="GP5" s="62">
        <v>2020</v>
      </c>
      <c r="GQ5" s="62">
        <v>2020</v>
      </c>
      <c r="GR5" s="62">
        <v>2020</v>
      </c>
      <c r="GS5" s="62">
        <v>2020</v>
      </c>
      <c r="GT5" s="62">
        <v>2020</v>
      </c>
      <c r="GU5" s="62">
        <v>2020</v>
      </c>
      <c r="GV5" s="62">
        <v>2020</v>
      </c>
      <c r="GW5" s="62">
        <v>2020</v>
      </c>
      <c r="GX5" s="62">
        <v>2020</v>
      </c>
      <c r="GY5" s="63">
        <v>2021</v>
      </c>
      <c r="GZ5" s="63">
        <v>2021</v>
      </c>
      <c r="HA5" s="63">
        <v>2021</v>
      </c>
      <c r="HB5" s="63">
        <v>2021</v>
      </c>
      <c r="HC5" s="63">
        <v>2021</v>
      </c>
      <c r="HD5" s="63">
        <v>2021</v>
      </c>
      <c r="HE5" s="63">
        <v>2021</v>
      </c>
      <c r="HF5" s="63">
        <v>2021</v>
      </c>
      <c r="HG5" s="63">
        <v>2021</v>
      </c>
      <c r="HH5" s="63">
        <v>2021</v>
      </c>
      <c r="HI5" s="63">
        <v>2021</v>
      </c>
      <c r="HJ5" s="63">
        <v>2021</v>
      </c>
      <c r="HK5" s="64">
        <v>2022</v>
      </c>
      <c r="HL5" s="64">
        <v>2022</v>
      </c>
      <c r="HM5" s="64">
        <v>2022</v>
      </c>
      <c r="HN5" s="64">
        <v>2022</v>
      </c>
      <c r="HO5" s="65">
        <v>2022</v>
      </c>
      <c r="HP5" s="65">
        <v>2022</v>
      </c>
      <c r="HQ5" s="65">
        <v>2022</v>
      </c>
      <c r="HR5" s="65">
        <v>2022</v>
      </c>
      <c r="HS5" s="65">
        <v>2022</v>
      </c>
      <c r="HT5" s="65">
        <v>2022</v>
      </c>
      <c r="HU5" s="65">
        <v>2022</v>
      </c>
      <c r="HV5" s="65">
        <v>2022</v>
      </c>
      <c r="HW5" s="67">
        <v>2023</v>
      </c>
      <c r="HX5" s="67">
        <v>2023</v>
      </c>
      <c r="HY5" s="67">
        <v>2023</v>
      </c>
      <c r="HZ5" s="67">
        <v>2023</v>
      </c>
      <c r="IA5" s="67">
        <v>2023</v>
      </c>
      <c r="IB5" s="67">
        <v>2023</v>
      </c>
      <c r="IC5" s="67">
        <v>2023</v>
      </c>
      <c r="ID5" s="67">
        <v>2023</v>
      </c>
      <c r="IE5" s="67">
        <v>2023</v>
      </c>
      <c r="IF5" s="67">
        <v>2023</v>
      </c>
      <c r="IG5" s="67">
        <v>2023</v>
      </c>
      <c r="IH5" s="67">
        <v>2023</v>
      </c>
      <c r="II5" s="68">
        <v>2024</v>
      </c>
      <c r="IJ5" s="68">
        <v>2024</v>
      </c>
      <c r="IK5" s="68">
        <v>2024</v>
      </c>
      <c r="IL5" s="68">
        <v>2024</v>
      </c>
      <c r="IM5" s="68">
        <v>2024</v>
      </c>
      <c r="IN5" s="68">
        <v>2024</v>
      </c>
      <c r="IO5" s="68">
        <v>2024</v>
      </c>
      <c r="IP5" s="68">
        <v>2024</v>
      </c>
      <c r="IQ5" s="68">
        <v>2024</v>
      </c>
      <c r="IR5" s="68">
        <v>2024</v>
      </c>
      <c r="IS5" s="68">
        <v>2024</v>
      </c>
      <c r="IT5" s="68">
        <v>2024</v>
      </c>
      <c r="IU5" s="70">
        <v>2025</v>
      </c>
      <c r="IV5" s="70">
        <v>2025</v>
      </c>
      <c r="IW5" s="70">
        <v>2025</v>
      </c>
      <c r="IX5" s="70">
        <v>2025</v>
      </c>
      <c r="IY5" s="70">
        <v>2025</v>
      </c>
      <c r="IZ5" s="70">
        <v>2025</v>
      </c>
      <c r="JA5" s="70">
        <v>2025</v>
      </c>
      <c r="JB5" s="70">
        <v>2025</v>
      </c>
      <c r="JC5" s="70">
        <v>2025</v>
      </c>
      <c r="JD5" s="70">
        <v>2025</v>
      </c>
      <c r="JE5" s="70">
        <v>2025</v>
      </c>
      <c r="JF5" s="70">
        <v>2025</v>
      </c>
    </row>
    <row r="6" spans="1:266" s="31" customFormat="1" ht="19.5" customHeight="1" x14ac:dyDescent="0.25">
      <c r="A6" s="7"/>
      <c r="B6" s="7"/>
      <c r="C6" s="7" t="s">
        <v>5</v>
      </c>
      <c r="D6" s="8" t="s">
        <v>2</v>
      </c>
      <c r="E6" s="9" t="s">
        <v>37</v>
      </c>
      <c r="F6" s="9" t="s">
        <v>38</v>
      </c>
      <c r="G6" s="9" t="s">
        <v>39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6</v>
      </c>
      <c r="M6" s="8" t="s">
        <v>18</v>
      </c>
      <c r="N6" s="8" t="s">
        <v>1</v>
      </c>
      <c r="O6" s="8" t="s">
        <v>19</v>
      </c>
      <c r="P6" s="8" t="s">
        <v>20</v>
      </c>
      <c r="Q6" s="8" t="s">
        <v>21</v>
      </c>
      <c r="R6" s="10" t="s">
        <v>3</v>
      </c>
      <c r="S6" s="10" t="s">
        <v>4</v>
      </c>
      <c r="T6" s="10" t="s">
        <v>14</v>
      </c>
      <c r="U6" s="10" t="s">
        <v>30</v>
      </c>
      <c r="V6" s="10" t="s">
        <v>31</v>
      </c>
      <c r="W6" s="10" t="s">
        <v>32</v>
      </c>
      <c r="X6" s="8" t="s">
        <v>33</v>
      </c>
      <c r="Y6" s="8" t="s">
        <v>34</v>
      </c>
      <c r="Z6" s="8" t="s">
        <v>1</v>
      </c>
      <c r="AA6" s="8" t="s">
        <v>19</v>
      </c>
      <c r="AB6" s="8" t="s">
        <v>2</v>
      </c>
      <c r="AC6" s="8" t="s">
        <v>35</v>
      </c>
      <c r="AD6" s="8" t="s">
        <v>3</v>
      </c>
      <c r="AE6" s="8" t="s">
        <v>4</v>
      </c>
      <c r="AF6" s="8" t="s">
        <v>14</v>
      </c>
      <c r="AG6" s="8" t="s">
        <v>30</v>
      </c>
      <c r="AH6" s="8" t="s">
        <v>31</v>
      </c>
      <c r="AI6" s="8" t="s">
        <v>32</v>
      </c>
      <c r="AJ6" s="8" t="s">
        <v>33</v>
      </c>
      <c r="AK6" s="8" t="s">
        <v>34</v>
      </c>
      <c r="AL6" s="8" t="s">
        <v>1</v>
      </c>
      <c r="AM6" s="8" t="s">
        <v>36</v>
      </c>
      <c r="AN6" s="8" t="s">
        <v>2</v>
      </c>
      <c r="AO6" s="8" t="s">
        <v>35</v>
      </c>
      <c r="AP6" s="8" t="s">
        <v>3</v>
      </c>
      <c r="AQ6" s="8" t="s">
        <v>4</v>
      </c>
      <c r="AR6" s="8" t="s">
        <v>14</v>
      </c>
      <c r="AS6" s="8" t="s">
        <v>30</v>
      </c>
      <c r="AT6" s="8" t="s">
        <v>31</v>
      </c>
      <c r="AU6" s="8" t="s">
        <v>32</v>
      </c>
      <c r="AV6" s="8" t="s">
        <v>33</v>
      </c>
      <c r="AW6" s="8" t="s">
        <v>34</v>
      </c>
      <c r="AX6" s="8" t="s">
        <v>1</v>
      </c>
      <c r="AY6" s="8" t="s">
        <v>36</v>
      </c>
      <c r="AZ6" s="8" t="s">
        <v>2</v>
      </c>
      <c r="BA6" s="8" t="s">
        <v>35</v>
      </c>
      <c r="BB6" s="8" t="s">
        <v>3</v>
      </c>
      <c r="BC6" s="8" t="s">
        <v>4</v>
      </c>
      <c r="BD6" s="8" t="s">
        <v>14</v>
      </c>
      <c r="BE6" s="8" t="s">
        <v>30</v>
      </c>
      <c r="BF6" s="8" t="s">
        <v>31</v>
      </c>
      <c r="BG6" s="8" t="s">
        <v>32</v>
      </c>
      <c r="BH6" s="8" t="s">
        <v>33</v>
      </c>
      <c r="BI6" s="8" t="s">
        <v>34</v>
      </c>
      <c r="BJ6" s="8" t="s">
        <v>1</v>
      </c>
      <c r="BK6" s="8" t="s">
        <v>36</v>
      </c>
      <c r="BL6" s="8" t="s">
        <v>2</v>
      </c>
      <c r="BM6" s="8" t="s">
        <v>35</v>
      </c>
      <c r="BN6" s="8" t="s">
        <v>3</v>
      </c>
      <c r="BO6" s="8" t="s">
        <v>4</v>
      </c>
      <c r="BP6" s="8" t="s">
        <v>14</v>
      </c>
      <c r="BQ6" s="8" t="s">
        <v>30</v>
      </c>
      <c r="BR6" s="8" t="s">
        <v>31</v>
      </c>
      <c r="BS6" s="8" t="s">
        <v>32</v>
      </c>
      <c r="BT6" s="8" t="s">
        <v>33</v>
      </c>
      <c r="BU6" s="8" t="s">
        <v>34</v>
      </c>
      <c r="BV6" s="8" t="s">
        <v>1</v>
      </c>
      <c r="BW6" s="8" t="s">
        <v>36</v>
      </c>
      <c r="BX6" s="8" t="s">
        <v>2</v>
      </c>
      <c r="BY6" s="8" t="s">
        <v>35</v>
      </c>
      <c r="BZ6" s="8" t="s">
        <v>3</v>
      </c>
      <c r="CA6" s="8" t="s">
        <v>4</v>
      </c>
      <c r="CB6" s="8" t="s">
        <v>14</v>
      </c>
      <c r="CC6" s="8" t="s">
        <v>30</v>
      </c>
      <c r="CD6" s="8" t="s">
        <v>31</v>
      </c>
      <c r="CE6" s="8" t="s">
        <v>32</v>
      </c>
      <c r="CF6" s="8" t="s">
        <v>33</v>
      </c>
      <c r="CG6" s="8" t="s">
        <v>34</v>
      </c>
      <c r="CH6" s="8" t="s">
        <v>1</v>
      </c>
      <c r="CI6" s="8" t="s">
        <v>36</v>
      </c>
      <c r="CJ6" s="8" t="s">
        <v>2</v>
      </c>
      <c r="CK6" s="8" t="s">
        <v>35</v>
      </c>
      <c r="CL6" s="8" t="s">
        <v>3</v>
      </c>
      <c r="CM6" s="8" t="s">
        <v>4</v>
      </c>
      <c r="CN6" s="8" t="s">
        <v>14</v>
      </c>
      <c r="CO6" s="8" t="s">
        <v>30</v>
      </c>
      <c r="CP6" s="8" t="s">
        <v>31</v>
      </c>
      <c r="CQ6" s="8" t="s">
        <v>32</v>
      </c>
      <c r="CR6" s="8" t="s">
        <v>33</v>
      </c>
      <c r="CS6" s="8" t="s">
        <v>34</v>
      </c>
      <c r="CT6" s="8" t="s">
        <v>1</v>
      </c>
      <c r="CU6" s="8" t="s">
        <v>36</v>
      </c>
      <c r="CV6" s="8" t="s">
        <v>2</v>
      </c>
      <c r="CW6" s="8" t="s">
        <v>41</v>
      </c>
      <c r="CX6" s="8" t="s">
        <v>3</v>
      </c>
      <c r="CY6" s="8" t="s">
        <v>4</v>
      </c>
      <c r="CZ6" s="8" t="s">
        <v>14</v>
      </c>
      <c r="DA6" s="8" t="s">
        <v>30</v>
      </c>
      <c r="DB6" s="8" t="s">
        <v>31</v>
      </c>
      <c r="DC6" s="8" t="s">
        <v>32</v>
      </c>
      <c r="DD6" s="8" t="s">
        <v>33</v>
      </c>
      <c r="DE6" s="8" t="s">
        <v>34</v>
      </c>
      <c r="DF6" s="8" t="s">
        <v>1</v>
      </c>
      <c r="DG6" s="8" t="s">
        <v>36</v>
      </c>
      <c r="DH6" s="8" t="s">
        <v>2</v>
      </c>
      <c r="DI6" s="8" t="s">
        <v>35</v>
      </c>
      <c r="DJ6" s="8" t="s">
        <v>3</v>
      </c>
      <c r="DK6" s="8" t="s">
        <v>4</v>
      </c>
      <c r="DL6" s="8" t="s">
        <v>14</v>
      </c>
      <c r="DM6" s="8" t="s">
        <v>30</v>
      </c>
      <c r="DN6" s="8" t="s">
        <v>31</v>
      </c>
      <c r="DO6" s="8" t="s">
        <v>32</v>
      </c>
      <c r="DP6" s="8" t="s">
        <v>33</v>
      </c>
      <c r="DQ6" s="8" t="s">
        <v>34</v>
      </c>
      <c r="DR6" s="8" t="s">
        <v>1</v>
      </c>
      <c r="DS6" s="8" t="s">
        <v>36</v>
      </c>
      <c r="DT6" s="8" t="s">
        <v>2</v>
      </c>
      <c r="DU6" s="8" t="s">
        <v>35</v>
      </c>
      <c r="DV6" s="8" t="s">
        <v>3</v>
      </c>
      <c r="DW6" s="8" t="s">
        <v>4</v>
      </c>
      <c r="DX6" s="8" t="s">
        <v>14</v>
      </c>
      <c r="DY6" s="8" t="s">
        <v>30</v>
      </c>
      <c r="DZ6" s="8" t="s">
        <v>31</v>
      </c>
      <c r="EA6" s="8" t="s">
        <v>32</v>
      </c>
      <c r="EB6" s="8" t="s">
        <v>33</v>
      </c>
      <c r="EC6" s="8" t="s">
        <v>34</v>
      </c>
      <c r="ED6" s="8" t="s">
        <v>1</v>
      </c>
      <c r="EE6" s="8" t="s">
        <v>36</v>
      </c>
      <c r="EF6" s="8" t="s">
        <v>2</v>
      </c>
      <c r="EG6" s="8" t="s">
        <v>35</v>
      </c>
      <c r="EH6" s="8" t="s">
        <v>3</v>
      </c>
      <c r="EI6" s="8" t="s">
        <v>4</v>
      </c>
      <c r="EJ6" s="8" t="s">
        <v>14</v>
      </c>
      <c r="EK6" s="8" t="s">
        <v>30</v>
      </c>
      <c r="EL6" s="8" t="s">
        <v>31</v>
      </c>
      <c r="EM6" s="8" t="s">
        <v>32</v>
      </c>
      <c r="EN6" s="8" t="s">
        <v>33</v>
      </c>
      <c r="EO6" s="8" t="s">
        <v>34</v>
      </c>
      <c r="EP6" s="8" t="s">
        <v>1</v>
      </c>
      <c r="EQ6" s="8" t="s">
        <v>36</v>
      </c>
      <c r="ER6" s="8" t="s">
        <v>2</v>
      </c>
      <c r="ES6" s="8" t="s">
        <v>35</v>
      </c>
      <c r="ET6" s="8" t="s">
        <v>3</v>
      </c>
      <c r="EU6" s="8" t="s">
        <v>4</v>
      </c>
      <c r="EV6" s="8" t="s">
        <v>14</v>
      </c>
      <c r="EW6" s="8" t="s">
        <v>30</v>
      </c>
      <c r="EX6" s="8" t="s">
        <v>31</v>
      </c>
      <c r="EY6" s="8" t="s">
        <v>43</v>
      </c>
      <c r="EZ6" s="8" t="s">
        <v>33</v>
      </c>
      <c r="FA6" s="8" t="s">
        <v>34</v>
      </c>
      <c r="FB6" s="8" t="s">
        <v>1</v>
      </c>
      <c r="FC6" s="8" t="s">
        <v>36</v>
      </c>
      <c r="FD6" s="8" t="s">
        <v>2</v>
      </c>
      <c r="FE6" s="8" t="s">
        <v>35</v>
      </c>
      <c r="FF6" s="8" t="s">
        <v>3</v>
      </c>
      <c r="FG6" s="8" t="s">
        <v>4</v>
      </c>
      <c r="FH6" s="8" t="s">
        <v>14</v>
      </c>
      <c r="FI6" s="8" t="s">
        <v>30</v>
      </c>
      <c r="FJ6" s="8" t="s">
        <v>31</v>
      </c>
      <c r="FK6" s="8" t="s">
        <v>43</v>
      </c>
      <c r="FL6" s="8" t="s">
        <v>33</v>
      </c>
      <c r="FM6" s="8" t="s">
        <v>34</v>
      </c>
      <c r="FN6" s="8" t="s">
        <v>1</v>
      </c>
      <c r="FO6" s="8" t="s">
        <v>36</v>
      </c>
      <c r="FP6" s="8" t="s">
        <v>2</v>
      </c>
      <c r="FQ6" s="8" t="s">
        <v>35</v>
      </c>
      <c r="FR6" s="8" t="s">
        <v>3</v>
      </c>
      <c r="FS6" s="8" t="s">
        <v>4</v>
      </c>
      <c r="FT6" s="8" t="s">
        <v>14</v>
      </c>
      <c r="FU6" s="8" t="s">
        <v>30</v>
      </c>
      <c r="FV6" s="8" t="s">
        <v>31</v>
      </c>
      <c r="FW6" s="8" t="s">
        <v>43</v>
      </c>
      <c r="FX6" s="8" t="s">
        <v>33</v>
      </c>
      <c r="FY6" s="8" t="s">
        <v>34</v>
      </c>
      <c r="FZ6" s="8" t="s">
        <v>1</v>
      </c>
      <c r="GA6" s="8" t="s">
        <v>36</v>
      </c>
      <c r="GB6" s="8" t="s">
        <v>2</v>
      </c>
      <c r="GC6" s="8" t="s">
        <v>35</v>
      </c>
      <c r="GD6" s="8" t="s">
        <v>3</v>
      </c>
      <c r="GE6" s="8" t="s">
        <v>4</v>
      </c>
      <c r="GF6" s="8" t="s">
        <v>14</v>
      </c>
      <c r="GG6" s="8" t="s">
        <v>30</v>
      </c>
      <c r="GH6" s="8" t="s">
        <v>31</v>
      </c>
      <c r="GI6" s="8" t="s">
        <v>43</v>
      </c>
      <c r="GJ6" s="8" t="s">
        <v>33</v>
      </c>
      <c r="GK6" s="8" t="s">
        <v>34</v>
      </c>
      <c r="GL6" s="8" t="s">
        <v>1</v>
      </c>
      <c r="GM6" s="8" t="s">
        <v>36</v>
      </c>
      <c r="GN6" s="8" t="s">
        <v>2</v>
      </c>
      <c r="GO6" s="8" t="s">
        <v>35</v>
      </c>
      <c r="GP6" s="8" t="s">
        <v>3</v>
      </c>
      <c r="GQ6" s="8" t="s">
        <v>4</v>
      </c>
      <c r="GR6" s="8" t="s">
        <v>14</v>
      </c>
      <c r="GS6" s="8" t="s">
        <v>30</v>
      </c>
      <c r="GT6" s="8" t="s">
        <v>31</v>
      </c>
      <c r="GU6" s="8" t="s">
        <v>43</v>
      </c>
      <c r="GV6" s="8" t="s">
        <v>33</v>
      </c>
      <c r="GW6" s="8" t="s">
        <v>34</v>
      </c>
      <c r="GX6" s="8" t="s">
        <v>1</v>
      </c>
      <c r="GY6" s="8" t="s">
        <v>36</v>
      </c>
      <c r="GZ6" s="8" t="s">
        <v>2</v>
      </c>
      <c r="HA6" s="8" t="s">
        <v>35</v>
      </c>
      <c r="HB6" s="8" t="s">
        <v>3</v>
      </c>
      <c r="HC6" s="8" t="s">
        <v>4</v>
      </c>
      <c r="HD6" s="8" t="s">
        <v>14</v>
      </c>
      <c r="HE6" s="8" t="s">
        <v>30</v>
      </c>
      <c r="HF6" s="8" t="s">
        <v>31</v>
      </c>
      <c r="HG6" s="8" t="s">
        <v>43</v>
      </c>
      <c r="HH6" s="8" t="s">
        <v>33</v>
      </c>
      <c r="HI6" s="8" t="s">
        <v>34</v>
      </c>
      <c r="HJ6" s="8" t="s">
        <v>1</v>
      </c>
      <c r="HK6" s="8" t="s">
        <v>36</v>
      </c>
      <c r="HL6" s="8" t="s">
        <v>2</v>
      </c>
      <c r="HM6" s="8" t="s">
        <v>35</v>
      </c>
      <c r="HN6" s="8" t="s">
        <v>3</v>
      </c>
      <c r="HO6" s="8" t="s">
        <v>4</v>
      </c>
      <c r="HP6" s="8" t="s">
        <v>14</v>
      </c>
      <c r="HQ6" s="8" t="s">
        <v>30</v>
      </c>
      <c r="HR6" s="8" t="s">
        <v>31</v>
      </c>
      <c r="HS6" s="8" t="s">
        <v>43</v>
      </c>
      <c r="HT6" s="8" t="s">
        <v>33</v>
      </c>
      <c r="HU6" s="8" t="s">
        <v>34</v>
      </c>
      <c r="HV6" s="8" t="s">
        <v>1</v>
      </c>
      <c r="HW6" s="8" t="s">
        <v>36</v>
      </c>
      <c r="HX6" s="8" t="s">
        <v>2</v>
      </c>
      <c r="HY6" s="8" t="s">
        <v>35</v>
      </c>
      <c r="HZ6" s="8" t="s">
        <v>3</v>
      </c>
      <c r="IA6" s="8" t="s">
        <v>4</v>
      </c>
      <c r="IB6" s="8" t="s">
        <v>14</v>
      </c>
      <c r="IC6" s="8" t="s">
        <v>30</v>
      </c>
      <c r="ID6" s="8" t="s">
        <v>31</v>
      </c>
      <c r="IE6" s="8" t="s">
        <v>43</v>
      </c>
      <c r="IF6" s="8" t="s">
        <v>33</v>
      </c>
      <c r="IG6" s="8" t="s">
        <v>34</v>
      </c>
      <c r="IH6" s="8" t="s">
        <v>1</v>
      </c>
      <c r="II6" s="8" t="s">
        <v>36</v>
      </c>
      <c r="IJ6" s="8" t="s">
        <v>2</v>
      </c>
      <c r="IK6" s="8" t="s">
        <v>35</v>
      </c>
      <c r="IL6" s="8" t="s">
        <v>3</v>
      </c>
      <c r="IM6" s="8" t="s">
        <v>4</v>
      </c>
      <c r="IN6" s="8" t="s">
        <v>14</v>
      </c>
      <c r="IO6" s="8" t="s">
        <v>30</v>
      </c>
      <c r="IP6" s="8" t="s">
        <v>31</v>
      </c>
      <c r="IQ6" s="8" t="s">
        <v>43</v>
      </c>
      <c r="IR6" s="8" t="s">
        <v>33</v>
      </c>
      <c r="IS6" s="8" t="s">
        <v>34</v>
      </c>
      <c r="IT6" s="8" t="s">
        <v>1</v>
      </c>
      <c r="IU6" s="8" t="s">
        <v>36</v>
      </c>
      <c r="IV6" s="8" t="s">
        <v>2</v>
      </c>
      <c r="IW6" s="8" t="s">
        <v>35</v>
      </c>
      <c r="IX6" s="8" t="s">
        <v>3</v>
      </c>
      <c r="IY6" s="8" t="s">
        <v>4</v>
      </c>
      <c r="IZ6" s="8" t="s">
        <v>14</v>
      </c>
      <c r="JA6" s="8" t="s">
        <v>30</v>
      </c>
      <c r="JB6" s="8" t="s">
        <v>31</v>
      </c>
      <c r="JC6" s="8" t="s">
        <v>43</v>
      </c>
      <c r="JD6" s="8" t="s">
        <v>33</v>
      </c>
      <c r="JE6" s="8" t="s">
        <v>34</v>
      </c>
      <c r="JF6" s="8" t="s">
        <v>1</v>
      </c>
    </row>
    <row r="7" spans="1:266" s="33" customFormat="1" ht="18" customHeight="1" x14ac:dyDescent="0.25">
      <c r="A7" s="86" t="s">
        <v>9</v>
      </c>
      <c r="B7" s="86"/>
      <c r="C7" s="86"/>
      <c r="D7" s="22" t="s">
        <v>22</v>
      </c>
      <c r="E7" s="22" t="s">
        <v>23</v>
      </c>
      <c r="F7" s="22" t="s">
        <v>24</v>
      </c>
      <c r="G7" s="22" t="s">
        <v>25</v>
      </c>
      <c r="H7" s="22" t="s">
        <v>26</v>
      </c>
      <c r="I7" s="22">
        <v>14351</v>
      </c>
      <c r="J7" s="22">
        <v>14602</v>
      </c>
      <c r="K7" s="22">
        <v>14675</v>
      </c>
      <c r="L7" s="22">
        <v>14785</v>
      </c>
      <c r="M7" s="22">
        <v>14975</v>
      </c>
      <c r="N7" s="22">
        <v>15427</v>
      </c>
      <c r="O7" s="22">
        <v>16559</v>
      </c>
      <c r="P7" s="22">
        <v>17320</v>
      </c>
      <c r="Q7" s="22">
        <v>18043</v>
      </c>
      <c r="R7" s="22">
        <v>18470</v>
      </c>
      <c r="S7" s="22">
        <v>18712</v>
      </c>
      <c r="T7" s="22">
        <v>19302</v>
      </c>
      <c r="U7" s="23">
        <v>20251</v>
      </c>
      <c r="V7" s="23">
        <v>20705</v>
      </c>
      <c r="W7" s="23">
        <v>21100</v>
      </c>
      <c r="X7" s="23">
        <v>21213</v>
      </c>
      <c r="Y7" s="23">
        <v>21212</v>
      </c>
      <c r="Z7" s="23">
        <v>21890</v>
      </c>
      <c r="AA7" s="23">
        <v>22129</v>
      </c>
      <c r="AB7" s="23">
        <v>22365</v>
      </c>
      <c r="AC7" s="23">
        <v>22537</v>
      </c>
      <c r="AD7" s="23">
        <v>22794</v>
      </c>
      <c r="AE7" s="23">
        <v>22860</v>
      </c>
      <c r="AF7" s="23">
        <v>22931</v>
      </c>
      <c r="AG7" s="23">
        <v>23051</v>
      </c>
      <c r="AH7" s="23">
        <v>23935</v>
      </c>
      <c r="AI7" s="23">
        <v>24065</v>
      </c>
      <c r="AJ7" s="23">
        <v>24392</v>
      </c>
      <c r="AK7" s="23">
        <v>24901</v>
      </c>
      <c r="AL7" s="23">
        <v>26045</v>
      </c>
      <c r="AM7" s="23">
        <v>26089</v>
      </c>
      <c r="AN7" s="23">
        <v>26216</v>
      </c>
      <c r="AO7" s="23">
        <v>26312</v>
      </c>
      <c r="AP7" s="23">
        <v>27082</v>
      </c>
      <c r="AQ7" s="23">
        <v>28036</v>
      </c>
      <c r="AR7" s="34">
        <v>28559</v>
      </c>
      <c r="AS7" s="34">
        <v>29581</v>
      </c>
      <c r="AT7" s="34">
        <v>29665</v>
      </c>
      <c r="AU7" s="34">
        <v>29881</v>
      </c>
      <c r="AV7" s="34">
        <v>30921</v>
      </c>
      <c r="AW7" s="34">
        <v>31495</v>
      </c>
      <c r="AX7" s="34">
        <v>31681</v>
      </c>
      <c r="AY7" s="55">
        <v>32206</v>
      </c>
      <c r="AZ7" s="55">
        <v>32915</v>
      </c>
      <c r="BA7" s="55">
        <v>33705</v>
      </c>
      <c r="BB7" s="55">
        <v>33810</v>
      </c>
      <c r="BC7" s="55">
        <v>34102</v>
      </c>
      <c r="BD7" s="55">
        <v>34572</v>
      </c>
      <c r="BE7" s="55">
        <v>34683</v>
      </c>
      <c r="BF7" s="55">
        <v>34819</v>
      </c>
      <c r="BG7" s="55">
        <v>35024</v>
      </c>
      <c r="BH7" s="55">
        <v>35031</v>
      </c>
      <c r="BI7" s="50">
        <v>34404.9</v>
      </c>
      <c r="BJ7" s="50">
        <v>34112</v>
      </c>
      <c r="BK7" s="50">
        <v>33431</v>
      </c>
      <c r="BL7" s="50">
        <v>33053</v>
      </c>
      <c r="BM7" s="50">
        <v>32177</v>
      </c>
      <c r="BN7" s="50">
        <v>31189</v>
      </c>
      <c r="BO7" s="50">
        <v>31208</v>
      </c>
      <c r="BP7" s="50">
        <v>31310</v>
      </c>
      <c r="BQ7" s="50">
        <v>31626</v>
      </c>
      <c r="BR7" s="50">
        <v>32914</v>
      </c>
      <c r="BS7" s="50">
        <v>33508</v>
      </c>
      <c r="BT7" s="50">
        <v>34026</v>
      </c>
      <c r="BU7" s="50">
        <v>34113</v>
      </c>
      <c r="BV7" s="50">
        <v>34163</v>
      </c>
      <c r="BW7" s="50">
        <v>34211</v>
      </c>
      <c r="BX7" s="50">
        <v>34324</v>
      </c>
      <c r="BY7" s="50">
        <v>34508</v>
      </c>
      <c r="BZ7" s="50">
        <v>34654</v>
      </c>
      <c r="CA7" s="50">
        <v>35100</v>
      </c>
      <c r="CB7" s="50">
        <v>35221</v>
      </c>
      <c r="CC7" s="50">
        <v>35278</v>
      </c>
      <c r="CD7" s="50">
        <v>35527</v>
      </c>
      <c r="CE7" s="50">
        <v>35534</v>
      </c>
      <c r="CF7" s="50">
        <v>35545</v>
      </c>
      <c r="CG7" s="50">
        <v>35571</v>
      </c>
      <c r="CH7" s="50">
        <v>36005</v>
      </c>
      <c r="CI7" s="50">
        <v>35007</v>
      </c>
      <c r="CJ7" s="50">
        <v>33321</v>
      </c>
      <c r="CK7" s="50">
        <v>30106</v>
      </c>
      <c r="CL7" s="50">
        <v>28024</v>
      </c>
      <c r="CM7" s="50">
        <v>27228</v>
      </c>
      <c r="CN7" s="50">
        <v>26564</v>
      </c>
      <c r="CO7" s="50">
        <v>25706</v>
      </c>
      <c r="CP7" s="50">
        <v>25008</v>
      </c>
      <c r="CQ7" s="50">
        <v>24009</v>
      </c>
      <c r="CR7" s="50">
        <v>22072</v>
      </c>
      <c r="CS7" s="50">
        <v>20150</v>
      </c>
      <c r="CT7" s="50">
        <v>18119</v>
      </c>
      <c r="CU7" s="50">
        <v>16354</v>
      </c>
      <c r="CV7" s="50">
        <v>15718</v>
      </c>
      <c r="CW7" s="50">
        <v>15119</v>
      </c>
      <c r="CX7" s="50">
        <v>15213</v>
      </c>
      <c r="CY7" s="50">
        <v>15515</v>
      </c>
      <c r="CZ7" s="50">
        <v>15534</v>
      </c>
      <c r="DA7" s="50">
        <v>14422</v>
      </c>
      <c r="DB7" s="50">
        <v>15127</v>
      </c>
      <c r="DC7" s="50">
        <v>15043</v>
      </c>
      <c r="DD7" s="50">
        <v>15484</v>
      </c>
      <c r="DE7" s="50">
        <v>15036</v>
      </c>
      <c r="DF7" s="50">
        <v>15015</v>
      </c>
      <c r="DG7" s="50">
        <v>13613</v>
      </c>
      <c r="DH7" s="50">
        <v>13508</v>
      </c>
      <c r="DI7" s="50">
        <v>13424</v>
      </c>
      <c r="DJ7" s="50">
        <v>14426.4</v>
      </c>
      <c r="DK7" s="50">
        <v>16039</v>
      </c>
      <c r="DL7" s="50">
        <v>14936</v>
      </c>
      <c r="DM7" s="50">
        <v>18890</v>
      </c>
      <c r="DN7" s="50">
        <v>18924</v>
      </c>
      <c r="DO7" s="50">
        <v>18709</v>
      </c>
      <c r="DP7" s="50">
        <v>18590</v>
      </c>
      <c r="DQ7" s="50">
        <v>17766</v>
      </c>
      <c r="DR7" s="50">
        <v>17032</v>
      </c>
      <c r="DS7" s="50">
        <v>17105</v>
      </c>
      <c r="DT7" s="50">
        <v>17307</v>
      </c>
      <c r="DU7" s="50">
        <v>17414</v>
      </c>
      <c r="DV7" s="50">
        <v>17489</v>
      </c>
      <c r="DW7" s="50">
        <v>17284</v>
      </c>
      <c r="DX7" s="50">
        <v>16687</v>
      </c>
      <c r="DY7" s="50">
        <v>16737</v>
      </c>
      <c r="DZ7" s="50">
        <v>16836</v>
      </c>
      <c r="EA7" s="50">
        <v>16872</v>
      </c>
      <c r="EB7" s="50">
        <v>16909</v>
      </c>
      <c r="EC7" s="50">
        <v>15882</v>
      </c>
      <c r="ED7" s="50">
        <v>15333</v>
      </c>
      <c r="EE7" s="50">
        <v>15429</v>
      </c>
      <c r="EF7" s="50">
        <v>15455.5</v>
      </c>
      <c r="EG7" s="50">
        <v>15291</v>
      </c>
      <c r="EH7" s="50">
        <v>20525</v>
      </c>
      <c r="EI7" s="50">
        <v>19560</v>
      </c>
      <c r="EJ7" s="50">
        <v>20082</v>
      </c>
      <c r="EK7" s="50">
        <v>18536</v>
      </c>
      <c r="EL7" s="50">
        <v>18096</v>
      </c>
      <c r="EM7" s="50">
        <v>16335</v>
      </c>
      <c r="EN7" s="50">
        <v>16414.8</v>
      </c>
      <c r="EO7" s="50">
        <v>16423</v>
      </c>
      <c r="EP7" s="50">
        <v>16445</v>
      </c>
      <c r="EQ7" s="50">
        <v>16478</v>
      </c>
      <c r="ER7" s="50">
        <v>16534</v>
      </c>
      <c r="ES7" s="50">
        <v>16561</v>
      </c>
      <c r="ET7" s="50">
        <v>17011</v>
      </c>
      <c r="EU7" s="50">
        <v>17521</v>
      </c>
      <c r="EV7" s="50">
        <v>17546</v>
      </c>
      <c r="EW7" s="50">
        <v>15537</v>
      </c>
      <c r="EX7" s="50">
        <v>16564</v>
      </c>
      <c r="EY7" s="50">
        <v>19592</v>
      </c>
      <c r="EZ7" s="50">
        <v>19041</v>
      </c>
      <c r="FA7" s="50">
        <v>23058</v>
      </c>
      <c r="FB7" s="50">
        <v>24265</v>
      </c>
      <c r="FC7" s="50">
        <v>26363</v>
      </c>
      <c r="FD7" s="50">
        <v>26542</v>
      </c>
      <c r="FE7" s="50">
        <v>28526</v>
      </c>
      <c r="FF7" s="50">
        <v>28641</v>
      </c>
      <c r="FG7" s="50">
        <v>31126</v>
      </c>
      <c r="FH7" s="50">
        <v>31305</v>
      </c>
      <c r="FI7" s="50">
        <v>36036</v>
      </c>
      <c r="FJ7" s="50">
        <v>36143</v>
      </c>
      <c r="FK7" s="50">
        <v>36535</v>
      </c>
      <c r="FL7" s="50">
        <v>36703</v>
      </c>
      <c r="FM7" s="50">
        <v>36723</v>
      </c>
      <c r="FN7" s="50">
        <v>37020</v>
      </c>
      <c r="FO7" s="50">
        <v>38210</v>
      </c>
      <c r="FP7" s="50">
        <v>42524</v>
      </c>
      <c r="FQ7" s="50">
        <v>42611</v>
      </c>
      <c r="FR7" s="50">
        <v>44030</v>
      </c>
      <c r="FS7" s="50">
        <v>44139</v>
      </c>
      <c r="FT7" s="50">
        <v>44259</v>
      </c>
      <c r="FU7" s="50">
        <v>44315</v>
      </c>
      <c r="FV7" s="50">
        <v>44419</v>
      </c>
      <c r="FW7" s="50">
        <v>44459</v>
      </c>
      <c r="FX7" s="50">
        <v>44501</v>
      </c>
      <c r="FY7" s="50">
        <v>44513</v>
      </c>
      <c r="FZ7" s="50">
        <v>42551</v>
      </c>
      <c r="GA7" s="50">
        <v>42617</v>
      </c>
      <c r="GB7" s="50">
        <v>44060</v>
      </c>
      <c r="GC7" s="50">
        <v>44112</v>
      </c>
      <c r="GD7" s="50">
        <v>44218</v>
      </c>
      <c r="GE7" s="50">
        <v>44275</v>
      </c>
      <c r="GF7" s="50">
        <v>44481</v>
      </c>
      <c r="GG7" s="50">
        <v>45037</v>
      </c>
      <c r="GH7" s="50">
        <v>45090</v>
      </c>
      <c r="GI7" s="50">
        <v>45118</v>
      </c>
      <c r="GJ7" s="50">
        <v>45247</v>
      </c>
      <c r="GK7" s="50">
        <v>45354</v>
      </c>
      <c r="GL7" s="50">
        <v>45420</v>
      </c>
      <c r="GM7" s="50">
        <v>45457</v>
      </c>
      <c r="GN7" s="50">
        <v>45510</v>
      </c>
      <c r="GO7" s="50">
        <v>40108</v>
      </c>
      <c r="GP7" s="50">
        <v>37037</v>
      </c>
      <c r="GQ7" s="50">
        <v>36004</v>
      </c>
      <c r="GR7" s="50">
        <v>38176</v>
      </c>
      <c r="GS7" s="50">
        <v>38258</v>
      </c>
      <c r="GT7" s="50">
        <v>38310</v>
      </c>
      <c r="GU7" s="50">
        <v>38425</v>
      </c>
      <c r="GV7" s="50">
        <v>39220</v>
      </c>
      <c r="GW7" s="50">
        <v>39222</v>
      </c>
      <c r="GX7" s="50">
        <v>40063</v>
      </c>
      <c r="GY7" s="50">
        <v>40101</v>
      </c>
      <c r="GZ7" s="50">
        <v>40201</v>
      </c>
      <c r="HA7" s="50">
        <v>40337</v>
      </c>
      <c r="HB7" s="50">
        <v>40343</v>
      </c>
      <c r="HC7" s="50">
        <v>40468</v>
      </c>
      <c r="HD7" s="50">
        <v>40584</v>
      </c>
      <c r="HE7" s="50">
        <v>40609</v>
      </c>
      <c r="HF7" s="50">
        <v>40672</v>
      </c>
      <c r="HG7" s="50">
        <v>40825</v>
      </c>
      <c r="HH7" s="50">
        <v>40849</v>
      </c>
      <c r="HI7" s="50">
        <v>40909</v>
      </c>
      <c r="HJ7" s="50">
        <v>40935</v>
      </c>
      <c r="HK7" s="50">
        <v>40980</v>
      </c>
      <c r="HL7" s="50">
        <v>40994</v>
      </c>
      <c r="HM7" s="50">
        <v>37082</v>
      </c>
      <c r="HN7" s="50">
        <v>37124</v>
      </c>
      <c r="HO7" s="50">
        <v>35495</v>
      </c>
      <c r="HP7" s="50">
        <v>33380</v>
      </c>
      <c r="HQ7" s="50">
        <v>33158</v>
      </c>
      <c r="HR7" s="50">
        <v>33142</v>
      </c>
      <c r="HS7" s="50">
        <v>33198</v>
      </c>
      <c r="HT7" s="50">
        <v>33411</v>
      </c>
      <c r="HU7" s="50">
        <v>33532</v>
      </c>
      <c r="HV7" s="50">
        <v>34003</v>
      </c>
      <c r="HW7" s="50">
        <v>34224</v>
      </c>
      <c r="HX7" s="50">
        <v>34352</v>
      </c>
      <c r="HY7" s="50">
        <v>34447</v>
      </c>
      <c r="HZ7" s="50">
        <v>34551</v>
      </c>
      <c r="IA7" s="50">
        <v>34660</v>
      </c>
      <c r="IB7" s="50">
        <v>34828</v>
      </c>
      <c r="IC7" s="50">
        <v>34879</v>
      </c>
      <c r="ID7" s="50">
        <v>34928</v>
      </c>
      <c r="IE7" s="50">
        <v>34970</v>
      </c>
      <c r="IF7" s="50">
        <v>35102</v>
      </c>
      <c r="IG7" s="50">
        <v>35173</v>
      </c>
      <c r="IH7" s="50">
        <v>35220</v>
      </c>
      <c r="II7" s="50">
        <v>35250</v>
      </c>
      <c r="IJ7" s="50">
        <v>35311</v>
      </c>
      <c r="IK7" s="50">
        <v>40361</v>
      </c>
      <c r="IL7" s="50">
        <v>41057</v>
      </c>
      <c r="IM7" s="50">
        <v>46126</v>
      </c>
      <c r="IN7" s="50">
        <v>46385</v>
      </c>
      <c r="IO7" s="50">
        <v>46489</v>
      </c>
      <c r="IP7" s="50">
        <v>46597</v>
      </c>
      <c r="IQ7" s="50">
        <v>46737</v>
      </c>
      <c r="IR7" s="50">
        <v>46942</v>
      </c>
      <c r="IS7" s="50">
        <v>46952</v>
      </c>
      <c r="IT7" s="50">
        <v>47109</v>
      </c>
      <c r="IU7" s="50">
        <v>47265</v>
      </c>
      <c r="IV7" s="50">
        <v>47394</v>
      </c>
      <c r="IW7" s="50">
        <v>47757</v>
      </c>
      <c r="IX7" s="50">
        <v>48144</v>
      </c>
      <c r="IY7" s="50">
        <v>48526</v>
      </c>
      <c r="IZ7" s="50">
        <v>48720</v>
      </c>
      <c r="JA7" s="50">
        <v>49036</v>
      </c>
      <c r="JB7" s="50">
        <v>49251</v>
      </c>
      <c r="JC7" s="50">
        <v>49534</v>
      </c>
      <c r="JD7" s="50">
        <v>50071</v>
      </c>
      <c r="JE7" s="50">
        <v>50216</v>
      </c>
      <c r="JF7" s="50">
        <v>51452</v>
      </c>
    </row>
    <row r="8" spans="1:266" s="31" customFormat="1" ht="15.75" customHeight="1" x14ac:dyDescent="0.25">
      <c r="A8" s="87" t="s">
        <v>10</v>
      </c>
      <c r="B8" s="87"/>
      <c r="C8" s="87"/>
      <c r="D8" s="11">
        <v>14253</v>
      </c>
      <c r="E8" s="11" t="s">
        <v>27</v>
      </c>
      <c r="F8" s="11">
        <v>14321</v>
      </c>
      <c r="G8" s="11">
        <v>14439</v>
      </c>
      <c r="H8" s="11">
        <v>14800</v>
      </c>
      <c r="I8" s="11">
        <v>14371</v>
      </c>
      <c r="J8" s="11">
        <v>14622</v>
      </c>
      <c r="K8" s="11">
        <v>14696</v>
      </c>
      <c r="L8" s="11">
        <v>14808</v>
      </c>
      <c r="M8" s="11">
        <v>14999</v>
      </c>
      <c r="N8" s="11">
        <v>15453</v>
      </c>
      <c r="O8" s="11">
        <v>16576</v>
      </c>
      <c r="P8" s="11">
        <v>17354</v>
      </c>
      <c r="Q8" s="11">
        <v>18059</v>
      </c>
      <c r="R8" s="11">
        <v>18487</v>
      </c>
      <c r="S8" s="11">
        <v>18726</v>
      </c>
      <c r="T8" s="11">
        <v>19322</v>
      </c>
      <c r="U8" s="12">
        <v>20272</v>
      </c>
      <c r="V8" s="12">
        <v>20727</v>
      </c>
      <c r="W8" s="12">
        <v>21121</v>
      </c>
      <c r="X8" s="12">
        <v>21235</v>
      </c>
      <c r="Y8" s="12">
        <v>21236</v>
      </c>
      <c r="Z8" s="12">
        <v>21915</v>
      </c>
      <c r="AA8" s="12">
        <v>22146</v>
      </c>
      <c r="AB8" s="12">
        <v>22383</v>
      </c>
      <c r="AC8" s="12">
        <v>22556</v>
      </c>
      <c r="AD8" s="12">
        <v>22814</v>
      </c>
      <c r="AE8" s="12">
        <v>22881</v>
      </c>
      <c r="AF8" s="12">
        <v>22952</v>
      </c>
      <c r="AG8" s="12">
        <v>23073</v>
      </c>
      <c r="AH8" s="12">
        <v>23959</v>
      </c>
      <c r="AI8" s="12">
        <v>24090</v>
      </c>
      <c r="AJ8" s="12">
        <v>24418</v>
      </c>
      <c r="AK8" s="12">
        <v>24929</v>
      </c>
      <c r="AL8" s="12">
        <v>26073</v>
      </c>
      <c r="AM8" s="12">
        <v>26119</v>
      </c>
      <c r="AN8" s="12">
        <v>26248</v>
      </c>
      <c r="AO8" s="12">
        <v>26345</v>
      </c>
      <c r="AP8" s="12">
        <v>27117</v>
      </c>
      <c r="AQ8" s="12">
        <v>28073</v>
      </c>
      <c r="AR8" s="35">
        <v>28589</v>
      </c>
      <c r="AS8" s="35">
        <v>29607</v>
      </c>
      <c r="AT8" s="35">
        <v>29693</v>
      </c>
      <c r="AU8" s="35">
        <v>29910</v>
      </c>
      <c r="AV8" s="35">
        <v>30952</v>
      </c>
      <c r="AW8" s="35">
        <v>31527</v>
      </c>
      <c r="AX8" s="35">
        <v>31717</v>
      </c>
      <c r="AY8" s="6">
        <v>32225</v>
      </c>
      <c r="AZ8" s="6">
        <v>32954</v>
      </c>
      <c r="BA8" s="6">
        <v>33746</v>
      </c>
      <c r="BB8" s="6">
        <v>33857</v>
      </c>
      <c r="BC8" s="6">
        <v>34132</v>
      </c>
      <c r="BD8" s="6">
        <v>34603</v>
      </c>
      <c r="BE8" s="6">
        <v>34716</v>
      </c>
      <c r="BF8" s="6">
        <v>34850</v>
      </c>
      <c r="BG8" s="6">
        <v>35054</v>
      </c>
      <c r="BH8" s="6">
        <v>35065</v>
      </c>
      <c r="BI8" s="41">
        <v>34441.1</v>
      </c>
      <c r="BJ8" s="41">
        <v>34163</v>
      </c>
      <c r="BK8" s="41">
        <v>33467</v>
      </c>
      <c r="BL8" s="41">
        <v>33086</v>
      </c>
      <c r="BM8" s="41">
        <v>32213</v>
      </c>
      <c r="BN8" s="41">
        <v>31225</v>
      </c>
      <c r="BO8" s="41">
        <v>31244</v>
      </c>
      <c r="BP8" s="41">
        <v>31347</v>
      </c>
      <c r="BQ8" s="41">
        <v>31654</v>
      </c>
      <c r="BR8" s="41">
        <v>32954</v>
      </c>
      <c r="BS8" s="41">
        <v>33551</v>
      </c>
      <c r="BT8" s="41">
        <v>34068</v>
      </c>
      <c r="BU8" s="41">
        <v>34156</v>
      </c>
      <c r="BV8" s="41">
        <v>34209</v>
      </c>
      <c r="BW8" s="41">
        <v>34235</v>
      </c>
      <c r="BX8" s="41">
        <v>34349</v>
      </c>
      <c r="BY8" s="41">
        <v>34528</v>
      </c>
      <c r="BZ8" s="41">
        <v>34681</v>
      </c>
      <c r="CA8" s="41">
        <v>35128</v>
      </c>
      <c r="CB8" s="41">
        <v>35248</v>
      </c>
      <c r="CC8" s="41">
        <v>35304</v>
      </c>
      <c r="CD8" s="41">
        <v>35554</v>
      </c>
      <c r="CE8" s="41">
        <v>35561</v>
      </c>
      <c r="CF8" s="41">
        <v>35574</v>
      </c>
      <c r="CG8" s="41">
        <v>35604</v>
      </c>
      <c r="CH8" s="41">
        <v>36038</v>
      </c>
      <c r="CI8" s="41">
        <v>35023</v>
      </c>
      <c r="CJ8" s="41">
        <v>33337</v>
      </c>
      <c r="CK8" s="41">
        <v>30123</v>
      </c>
      <c r="CL8" s="41">
        <v>28040</v>
      </c>
      <c r="CM8" s="41">
        <v>27243</v>
      </c>
      <c r="CN8" s="41">
        <v>26593</v>
      </c>
      <c r="CO8" s="41">
        <v>25734</v>
      </c>
      <c r="CP8" s="41">
        <v>25030</v>
      </c>
      <c r="CQ8" s="41">
        <v>24033</v>
      </c>
      <c r="CR8" s="41">
        <v>22094</v>
      </c>
      <c r="CS8" s="41">
        <v>20172</v>
      </c>
      <c r="CT8" s="41">
        <v>18141</v>
      </c>
      <c r="CU8" s="41">
        <v>16377</v>
      </c>
      <c r="CV8" s="41">
        <v>15741</v>
      </c>
      <c r="CW8" s="41">
        <v>15143</v>
      </c>
      <c r="CX8" s="41">
        <v>15236</v>
      </c>
      <c r="CY8" s="41">
        <v>15538</v>
      </c>
      <c r="CZ8" s="41">
        <v>15556</v>
      </c>
      <c r="DA8" s="41">
        <v>14444</v>
      </c>
      <c r="DB8" s="41">
        <v>15149</v>
      </c>
      <c r="DC8" s="41">
        <v>15068</v>
      </c>
      <c r="DD8" s="41">
        <v>15508</v>
      </c>
      <c r="DE8" s="41">
        <v>15059</v>
      </c>
      <c r="DF8" s="41">
        <v>15037</v>
      </c>
      <c r="DG8" s="41">
        <v>13636</v>
      </c>
      <c r="DH8" s="41">
        <v>13530</v>
      </c>
      <c r="DI8" s="41">
        <v>13448</v>
      </c>
      <c r="DJ8" s="41">
        <v>14449.6</v>
      </c>
      <c r="DK8" s="41">
        <v>16061</v>
      </c>
      <c r="DL8" s="41">
        <v>14960</v>
      </c>
      <c r="DM8" s="41">
        <v>18913</v>
      </c>
      <c r="DN8" s="41">
        <v>18947</v>
      </c>
      <c r="DO8" s="41">
        <v>18734</v>
      </c>
      <c r="DP8" s="41">
        <v>18614</v>
      </c>
      <c r="DQ8" s="41">
        <v>17789</v>
      </c>
      <c r="DR8" s="41">
        <v>17054</v>
      </c>
      <c r="DS8" s="41">
        <v>17127</v>
      </c>
      <c r="DT8" s="41">
        <v>17329</v>
      </c>
      <c r="DU8" s="41">
        <v>17438</v>
      </c>
      <c r="DV8" s="41">
        <v>17512</v>
      </c>
      <c r="DW8" s="41">
        <v>17306</v>
      </c>
      <c r="DX8" s="41">
        <v>16710</v>
      </c>
      <c r="DY8" s="41">
        <v>16759</v>
      </c>
      <c r="DZ8" s="41">
        <v>16858</v>
      </c>
      <c r="EA8" s="41">
        <v>16895</v>
      </c>
      <c r="EB8" s="41">
        <v>16932</v>
      </c>
      <c r="EC8" s="41">
        <v>15905</v>
      </c>
      <c r="ED8" s="41">
        <v>15356</v>
      </c>
      <c r="EE8" s="41">
        <v>15452</v>
      </c>
      <c r="EF8" s="41">
        <v>15477.3</v>
      </c>
      <c r="EG8" s="41">
        <v>15314</v>
      </c>
      <c r="EH8" s="41">
        <v>20547.400000000001</v>
      </c>
      <c r="EI8" s="41">
        <v>19582</v>
      </c>
      <c r="EJ8" s="41">
        <v>20104</v>
      </c>
      <c r="EK8" s="41">
        <v>18558</v>
      </c>
      <c r="EL8" s="41">
        <v>18118</v>
      </c>
      <c r="EM8" s="41">
        <v>16358</v>
      </c>
      <c r="EN8" s="41">
        <v>16437</v>
      </c>
      <c r="EO8" s="41">
        <v>16445</v>
      </c>
      <c r="EP8" s="41">
        <v>16468</v>
      </c>
      <c r="EQ8" s="41">
        <v>16500</v>
      </c>
      <c r="ER8" s="41">
        <v>16556</v>
      </c>
      <c r="ES8" s="41">
        <v>16586</v>
      </c>
      <c r="ET8" s="41">
        <v>17035</v>
      </c>
      <c r="EU8" s="41">
        <v>17545</v>
      </c>
      <c r="EV8" s="41">
        <v>17570</v>
      </c>
      <c r="EW8" s="41">
        <v>15561</v>
      </c>
      <c r="EX8" s="41">
        <v>16589</v>
      </c>
      <c r="EY8" s="41">
        <v>19618</v>
      </c>
      <c r="EZ8" s="41">
        <v>19066</v>
      </c>
      <c r="FA8" s="41">
        <v>23081</v>
      </c>
      <c r="FB8" s="41">
        <v>24287</v>
      </c>
      <c r="FC8" s="41">
        <v>26385</v>
      </c>
      <c r="FD8" s="41">
        <v>26561</v>
      </c>
      <c r="FE8" s="41">
        <v>28545</v>
      </c>
      <c r="FF8" s="41">
        <v>28645</v>
      </c>
      <c r="FG8" s="41">
        <v>31130</v>
      </c>
      <c r="FH8" s="41">
        <v>31307</v>
      </c>
      <c r="FI8" s="41">
        <v>36037</v>
      </c>
      <c r="FJ8" s="41">
        <v>36145</v>
      </c>
      <c r="FK8" s="41">
        <v>36537</v>
      </c>
      <c r="FL8" s="41">
        <v>36705</v>
      </c>
      <c r="FM8" s="41">
        <v>36725</v>
      </c>
      <c r="FN8" s="41">
        <v>37021</v>
      </c>
      <c r="FO8" s="41">
        <v>38212</v>
      </c>
      <c r="FP8" s="41">
        <v>42527</v>
      </c>
      <c r="FQ8" s="41">
        <v>42614</v>
      </c>
      <c r="FR8" s="41">
        <v>44033</v>
      </c>
      <c r="FS8" s="41">
        <v>44142</v>
      </c>
      <c r="FT8" s="41">
        <v>44262</v>
      </c>
      <c r="FU8" s="41">
        <v>44318</v>
      </c>
      <c r="FV8" s="41">
        <v>44422</v>
      </c>
      <c r="FW8" s="41">
        <v>44463</v>
      </c>
      <c r="FX8" s="41">
        <v>44505</v>
      </c>
      <c r="FY8" s="41">
        <v>44516</v>
      </c>
      <c r="FZ8" s="41">
        <v>42555</v>
      </c>
      <c r="GA8" s="41">
        <v>42621</v>
      </c>
      <c r="GB8" s="41">
        <v>44064</v>
      </c>
      <c r="GC8" s="41">
        <v>44117</v>
      </c>
      <c r="GD8" s="41">
        <v>44223</v>
      </c>
      <c r="GE8" s="41">
        <v>44279</v>
      </c>
      <c r="GF8" s="41">
        <v>44485</v>
      </c>
      <c r="GG8" s="41">
        <v>45041</v>
      </c>
      <c r="GH8" s="41">
        <v>45093</v>
      </c>
      <c r="GI8" s="41">
        <v>45123</v>
      </c>
      <c r="GJ8" s="41">
        <v>45251</v>
      </c>
      <c r="GK8" s="41">
        <v>45359</v>
      </c>
      <c r="GL8" s="41">
        <v>45424</v>
      </c>
      <c r="GM8" s="41">
        <v>45462</v>
      </c>
      <c r="GN8" s="41">
        <v>45515</v>
      </c>
      <c r="GO8" s="41">
        <v>40112</v>
      </c>
      <c r="GP8" s="41">
        <v>37041</v>
      </c>
      <c r="GQ8" s="41">
        <v>36008</v>
      </c>
      <c r="GR8" s="41">
        <v>38180</v>
      </c>
      <c r="GS8" s="41">
        <v>38262</v>
      </c>
      <c r="GT8" s="41">
        <v>38314</v>
      </c>
      <c r="GU8" s="41">
        <v>38430</v>
      </c>
      <c r="GV8" s="41">
        <v>39225</v>
      </c>
      <c r="GW8" s="41">
        <v>39227</v>
      </c>
      <c r="GX8" s="41">
        <v>40068</v>
      </c>
      <c r="GY8" s="41">
        <v>40105</v>
      </c>
      <c r="GZ8" s="41">
        <v>40206</v>
      </c>
      <c r="HA8" s="41">
        <v>40344</v>
      </c>
      <c r="HB8" s="41">
        <v>40350</v>
      </c>
      <c r="HC8" s="41">
        <v>40475</v>
      </c>
      <c r="HD8" s="41">
        <v>40591</v>
      </c>
      <c r="HE8" s="41">
        <v>40616</v>
      </c>
      <c r="HF8" s="41">
        <v>40679</v>
      </c>
      <c r="HG8" s="41">
        <v>40832</v>
      </c>
      <c r="HH8" s="41">
        <v>40856</v>
      </c>
      <c r="HI8" s="41">
        <v>40916</v>
      </c>
      <c r="HJ8" s="41">
        <v>40941</v>
      </c>
      <c r="HK8" s="41">
        <v>40987</v>
      </c>
      <c r="HL8" s="41">
        <v>41000</v>
      </c>
      <c r="HM8" s="41">
        <v>37088</v>
      </c>
      <c r="HN8" s="41">
        <v>37129</v>
      </c>
      <c r="HO8" s="41">
        <v>35500</v>
      </c>
      <c r="HP8" s="41">
        <v>33385</v>
      </c>
      <c r="HQ8" s="41">
        <v>33163</v>
      </c>
      <c r="HR8" s="41">
        <v>33147</v>
      </c>
      <c r="HS8" s="41">
        <v>33203</v>
      </c>
      <c r="HT8" s="41">
        <v>33416</v>
      </c>
      <c r="HU8" s="41">
        <v>33537</v>
      </c>
      <c r="HV8" s="41">
        <v>34008</v>
      </c>
      <c r="HW8" s="41">
        <v>34228</v>
      </c>
      <c r="HX8" s="41">
        <v>34356</v>
      </c>
      <c r="HY8" s="41">
        <v>34449</v>
      </c>
      <c r="HZ8" s="41">
        <v>34553</v>
      </c>
      <c r="IA8" s="41">
        <v>34662</v>
      </c>
      <c r="IB8" s="41">
        <v>34830</v>
      </c>
      <c r="IC8" s="41">
        <v>34880</v>
      </c>
      <c r="ID8" s="41">
        <v>34930</v>
      </c>
      <c r="IE8" s="41">
        <v>34972</v>
      </c>
      <c r="IF8" s="41">
        <v>35104</v>
      </c>
      <c r="IG8" s="41">
        <v>35175</v>
      </c>
      <c r="IH8" s="41">
        <v>35221</v>
      </c>
      <c r="II8" s="41">
        <v>35251</v>
      </c>
      <c r="IJ8" s="41">
        <v>35313</v>
      </c>
      <c r="IK8" s="41">
        <v>40363</v>
      </c>
      <c r="IL8" s="41">
        <v>41059</v>
      </c>
      <c r="IM8" s="41">
        <v>46127</v>
      </c>
      <c r="IN8" s="41">
        <v>46387</v>
      </c>
      <c r="IO8" s="41">
        <v>46491</v>
      </c>
      <c r="IP8" s="41">
        <v>46599</v>
      </c>
      <c r="IQ8" s="41">
        <v>46739</v>
      </c>
      <c r="IR8" s="41">
        <v>46944</v>
      </c>
      <c r="IS8" s="41">
        <v>46954</v>
      </c>
      <c r="IT8" s="41">
        <v>47111</v>
      </c>
      <c r="IU8" s="41">
        <v>47268</v>
      </c>
      <c r="IV8" s="41">
        <v>47396</v>
      </c>
      <c r="IW8" s="41">
        <v>47760</v>
      </c>
      <c r="IX8" s="41">
        <v>48147</v>
      </c>
      <c r="IY8" s="41">
        <v>48529</v>
      </c>
      <c r="IZ8" s="41">
        <v>48723</v>
      </c>
      <c r="JA8" s="41">
        <v>49038</v>
      </c>
      <c r="JB8" s="41">
        <v>49253</v>
      </c>
      <c r="JC8" s="41">
        <v>49536</v>
      </c>
      <c r="JD8" s="41">
        <v>50074</v>
      </c>
      <c r="JE8" s="41">
        <v>50218</v>
      </c>
      <c r="JF8" s="41">
        <v>51454</v>
      </c>
    </row>
    <row r="9" spans="1:266" s="31" customFormat="1" x14ac:dyDescent="0.25">
      <c r="A9" s="72" t="s">
        <v>11</v>
      </c>
      <c r="B9" s="73"/>
      <c r="C9" s="73"/>
      <c r="D9" s="24"/>
      <c r="E9" s="24"/>
      <c r="F9" s="24"/>
      <c r="G9" s="24"/>
      <c r="H9" s="24"/>
      <c r="I9" s="24"/>
      <c r="J9" s="24"/>
      <c r="K9" s="25"/>
      <c r="L9" s="25"/>
      <c r="M9" s="26">
        <v>717</v>
      </c>
      <c r="N9" s="26" t="s">
        <v>28</v>
      </c>
      <c r="O9" s="26">
        <v>717</v>
      </c>
      <c r="P9" s="26">
        <v>717</v>
      </c>
      <c r="Q9" s="26">
        <v>717</v>
      </c>
      <c r="R9" s="26">
        <v>717</v>
      </c>
      <c r="S9" s="26">
        <v>717</v>
      </c>
      <c r="T9" s="26">
        <v>779</v>
      </c>
      <c r="U9" s="27">
        <v>779</v>
      </c>
      <c r="V9" s="27">
        <v>779</v>
      </c>
      <c r="W9" s="27">
        <v>779</v>
      </c>
      <c r="X9" s="27">
        <v>779</v>
      </c>
      <c r="Y9" s="27">
        <v>779</v>
      </c>
      <c r="Z9" s="27">
        <v>779</v>
      </c>
      <c r="AA9" s="27">
        <v>779</v>
      </c>
      <c r="AB9" s="27">
        <v>779</v>
      </c>
      <c r="AC9" s="27">
        <v>779</v>
      </c>
      <c r="AD9" s="27">
        <v>779</v>
      </c>
      <c r="AE9" s="27">
        <v>779</v>
      </c>
      <c r="AF9" s="27">
        <v>1119</v>
      </c>
      <c r="AG9" s="27">
        <v>1119</v>
      </c>
      <c r="AH9" s="27">
        <v>1119</v>
      </c>
      <c r="AI9" s="27">
        <v>1119</v>
      </c>
      <c r="AJ9" s="27">
        <v>1119</v>
      </c>
      <c r="AK9" s="27">
        <v>1119</v>
      </c>
      <c r="AL9" s="27">
        <v>1119</v>
      </c>
      <c r="AM9" s="27">
        <v>1119</v>
      </c>
      <c r="AN9" s="27">
        <v>1119</v>
      </c>
      <c r="AO9" s="27">
        <v>1119</v>
      </c>
      <c r="AP9" s="27">
        <v>1119</v>
      </c>
      <c r="AQ9" s="27">
        <v>1119</v>
      </c>
      <c r="AR9" s="36">
        <v>1186</v>
      </c>
      <c r="AS9" s="36">
        <v>1186</v>
      </c>
      <c r="AT9" s="36">
        <v>1186</v>
      </c>
      <c r="AU9" s="36">
        <v>1186</v>
      </c>
      <c r="AV9" s="36">
        <v>1186</v>
      </c>
      <c r="AW9" s="36">
        <v>1186</v>
      </c>
      <c r="AX9" s="36">
        <v>1186</v>
      </c>
      <c r="AY9" s="28">
        <v>1186</v>
      </c>
      <c r="AZ9" s="28">
        <v>1186</v>
      </c>
      <c r="BA9" s="28">
        <v>1186</v>
      </c>
      <c r="BB9" s="28">
        <v>1186</v>
      </c>
      <c r="BC9" s="28">
        <v>1186</v>
      </c>
      <c r="BD9" s="28">
        <v>1633</v>
      </c>
      <c r="BE9" s="28">
        <v>1633</v>
      </c>
      <c r="BF9" s="28">
        <v>1633</v>
      </c>
      <c r="BG9" s="28">
        <v>1633</v>
      </c>
      <c r="BH9" s="28">
        <v>1633</v>
      </c>
      <c r="BI9" s="28">
        <v>1633</v>
      </c>
      <c r="BJ9" s="28">
        <v>1633</v>
      </c>
      <c r="BK9" s="28">
        <v>1633</v>
      </c>
      <c r="BL9" s="28">
        <v>1633</v>
      </c>
      <c r="BM9" s="28">
        <v>1633</v>
      </c>
      <c r="BN9" s="28">
        <v>1633</v>
      </c>
      <c r="BO9" s="28">
        <v>1633</v>
      </c>
      <c r="BP9" s="28">
        <v>1680</v>
      </c>
      <c r="BQ9" s="28">
        <v>1680</v>
      </c>
      <c r="BR9" s="28">
        <v>1680</v>
      </c>
      <c r="BS9" s="28">
        <v>1680</v>
      </c>
      <c r="BT9" s="28">
        <v>1680</v>
      </c>
      <c r="BU9" s="28">
        <v>1680</v>
      </c>
      <c r="BV9" s="28">
        <v>1680</v>
      </c>
      <c r="BW9" s="28">
        <v>1680</v>
      </c>
      <c r="BX9" s="28">
        <v>1680</v>
      </c>
      <c r="BY9" s="28">
        <v>1680</v>
      </c>
      <c r="BZ9" s="28">
        <v>1680</v>
      </c>
      <c r="CA9" s="28">
        <v>1680</v>
      </c>
      <c r="CB9" s="28">
        <v>2180</v>
      </c>
      <c r="CC9" s="28">
        <v>2180</v>
      </c>
      <c r="CD9" s="28">
        <v>2180</v>
      </c>
      <c r="CE9" s="28">
        <v>2180</v>
      </c>
      <c r="CF9" s="28">
        <v>2180</v>
      </c>
      <c r="CG9" s="28">
        <v>2180</v>
      </c>
      <c r="CH9" s="28">
        <v>2180</v>
      </c>
      <c r="CI9" s="28">
        <v>2180</v>
      </c>
      <c r="CJ9" s="28">
        <v>2180</v>
      </c>
      <c r="CK9" s="28">
        <v>2180</v>
      </c>
      <c r="CL9" s="28">
        <v>2180</v>
      </c>
      <c r="CM9" s="28">
        <v>2180</v>
      </c>
      <c r="CN9" s="28">
        <v>2743</v>
      </c>
      <c r="CO9" s="28">
        <v>2743</v>
      </c>
      <c r="CP9" s="28">
        <v>2743</v>
      </c>
      <c r="CQ9" s="28">
        <v>2743</v>
      </c>
      <c r="CR9" s="28">
        <v>2743</v>
      </c>
      <c r="CS9" s="28">
        <v>2743</v>
      </c>
      <c r="CT9" s="28">
        <v>2743</v>
      </c>
      <c r="CU9" s="28">
        <v>2743</v>
      </c>
      <c r="CV9" s="28">
        <v>2743</v>
      </c>
      <c r="CW9" s="28">
        <v>2743</v>
      </c>
      <c r="CX9" s="28">
        <v>2743</v>
      </c>
      <c r="CY9" s="28">
        <v>2743</v>
      </c>
      <c r="CZ9" s="28">
        <v>3303</v>
      </c>
      <c r="DA9" s="28">
        <v>3303</v>
      </c>
      <c r="DB9" s="28">
        <v>3303</v>
      </c>
      <c r="DC9" s="28">
        <v>3303</v>
      </c>
      <c r="DD9" s="28">
        <v>3303</v>
      </c>
      <c r="DE9" s="28">
        <v>3303</v>
      </c>
      <c r="DF9" s="28">
        <v>3303</v>
      </c>
      <c r="DG9" s="28">
        <v>3303</v>
      </c>
      <c r="DH9" s="28">
        <v>3303</v>
      </c>
      <c r="DI9" s="28">
        <v>3303</v>
      </c>
      <c r="DJ9" s="43">
        <v>3302.9</v>
      </c>
      <c r="DK9" s="43">
        <v>3303</v>
      </c>
      <c r="DL9" s="43">
        <v>2463</v>
      </c>
      <c r="DM9" s="43">
        <v>2463</v>
      </c>
      <c r="DN9" s="43">
        <v>2463</v>
      </c>
      <c r="DO9" s="43">
        <v>2463</v>
      </c>
      <c r="DP9" s="43">
        <v>2463</v>
      </c>
      <c r="DQ9" s="43">
        <v>2578</v>
      </c>
      <c r="DR9" s="43">
        <v>2510</v>
      </c>
      <c r="DS9" s="43">
        <v>2585</v>
      </c>
      <c r="DT9" s="43">
        <v>2767</v>
      </c>
      <c r="DU9" s="43">
        <v>2678</v>
      </c>
      <c r="DV9" s="43">
        <v>2684</v>
      </c>
      <c r="DW9" s="43">
        <v>2669</v>
      </c>
      <c r="DX9" s="43">
        <v>2662</v>
      </c>
      <c r="DY9" s="43">
        <v>2675</v>
      </c>
      <c r="DZ9" s="43">
        <v>2657</v>
      </c>
      <c r="EA9" s="43">
        <v>2508</v>
      </c>
      <c r="EB9" s="43">
        <v>2540</v>
      </c>
      <c r="EC9" s="43">
        <v>2477</v>
      </c>
      <c r="ED9" s="43">
        <v>2450</v>
      </c>
      <c r="EE9" s="43">
        <v>2662</v>
      </c>
      <c r="EF9" s="43">
        <v>2463.9</v>
      </c>
      <c r="EG9" s="43">
        <v>2471</v>
      </c>
      <c r="EH9" s="43">
        <v>2498</v>
      </c>
      <c r="EI9" s="43">
        <v>2449</v>
      </c>
      <c r="EJ9" s="43">
        <v>2420</v>
      </c>
      <c r="EK9" s="43">
        <v>2265</v>
      </c>
      <c r="EL9" s="43">
        <v>2312</v>
      </c>
      <c r="EM9" s="43">
        <v>2337</v>
      </c>
      <c r="EN9" s="43">
        <v>2408.6</v>
      </c>
      <c r="EO9" s="43">
        <v>2213</v>
      </c>
      <c r="EP9" s="43">
        <v>2211</v>
      </c>
      <c r="EQ9" s="43">
        <v>2301</v>
      </c>
      <c r="ER9" s="43">
        <v>2554</v>
      </c>
      <c r="ES9" s="43">
        <v>2533</v>
      </c>
      <c r="ET9" s="43">
        <v>2566</v>
      </c>
      <c r="EU9" s="43">
        <v>2513</v>
      </c>
      <c r="EV9" s="43">
        <v>2602</v>
      </c>
      <c r="EW9" s="43">
        <v>2735</v>
      </c>
      <c r="EX9" s="43">
        <v>2726</v>
      </c>
      <c r="EY9" s="43">
        <v>2743</v>
      </c>
      <c r="EZ9" s="43">
        <v>2618</v>
      </c>
      <c r="FA9" s="43">
        <v>2454</v>
      </c>
      <c r="FB9" s="43">
        <v>2346</v>
      </c>
      <c r="FC9" s="43">
        <v>2450</v>
      </c>
      <c r="FD9" s="43">
        <v>2620</v>
      </c>
      <c r="FE9" s="43">
        <v>2621</v>
      </c>
      <c r="FF9" s="43">
        <v>2630</v>
      </c>
      <c r="FG9" s="43">
        <v>2637</v>
      </c>
      <c r="FH9" s="43">
        <v>2602</v>
      </c>
      <c r="FI9" s="43">
        <v>2629</v>
      </c>
      <c r="FJ9" s="43">
        <v>2680</v>
      </c>
      <c r="FK9" s="43">
        <v>2710</v>
      </c>
      <c r="FL9" s="43">
        <v>2640</v>
      </c>
      <c r="FM9" s="43">
        <v>2702</v>
      </c>
      <c r="FN9" s="43">
        <v>2673</v>
      </c>
      <c r="FO9" s="43">
        <v>2808</v>
      </c>
      <c r="FP9" s="43">
        <v>2805</v>
      </c>
      <c r="FQ9" s="43">
        <v>2825</v>
      </c>
      <c r="FR9" s="43">
        <v>2783</v>
      </c>
      <c r="FS9" s="43">
        <v>2733</v>
      </c>
      <c r="FT9" s="43">
        <v>2641</v>
      </c>
      <c r="FU9" s="43">
        <v>2587</v>
      </c>
      <c r="FV9" s="43">
        <v>2564</v>
      </c>
      <c r="FW9" s="43">
        <v>2545</v>
      </c>
      <c r="FX9" s="43">
        <v>2631</v>
      </c>
      <c r="FY9" s="43">
        <v>2612</v>
      </c>
      <c r="FZ9" s="43">
        <v>2716</v>
      </c>
      <c r="GA9" s="43">
        <v>2804</v>
      </c>
      <c r="GB9" s="43">
        <v>2842</v>
      </c>
      <c r="GC9" s="43">
        <v>2828</v>
      </c>
      <c r="GD9" s="43">
        <v>2731</v>
      </c>
      <c r="GE9" s="43">
        <v>2752</v>
      </c>
      <c r="GF9" s="43">
        <v>2821</v>
      </c>
      <c r="GG9" s="43">
        <v>3059</v>
      </c>
      <c r="GH9" s="43">
        <v>3324</v>
      </c>
      <c r="GI9" s="43">
        <v>3209</v>
      </c>
      <c r="GJ9" s="43">
        <v>3267</v>
      </c>
      <c r="GK9" s="43">
        <v>3148</v>
      </c>
      <c r="GL9" s="43">
        <v>3301</v>
      </c>
      <c r="GM9" s="43">
        <v>3424</v>
      </c>
      <c r="GN9" s="43">
        <v>3588</v>
      </c>
      <c r="GO9" s="43">
        <v>3518</v>
      </c>
      <c r="GP9" s="43">
        <v>3705</v>
      </c>
      <c r="GQ9" s="43">
        <v>3805</v>
      </c>
      <c r="GR9" s="43">
        <v>4076</v>
      </c>
      <c r="GS9" s="43">
        <v>4505</v>
      </c>
      <c r="GT9" s="43">
        <v>4520</v>
      </c>
      <c r="GU9" s="43">
        <v>4361</v>
      </c>
      <c r="GV9" s="43">
        <v>4328</v>
      </c>
      <c r="GW9" s="43">
        <v>4082</v>
      </c>
      <c r="GX9" s="43">
        <v>4390</v>
      </c>
      <c r="GY9" s="43">
        <v>4284</v>
      </c>
      <c r="GZ9" s="43">
        <v>4140</v>
      </c>
      <c r="HA9" s="43">
        <v>3934</v>
      </c>
      <c r="HB9" s="43">
        <v>4128</v>
      </c>
      <c r="HC9" s="43">
        <v>4409</v>
      </c>
      <c r="HD9" s="43">
        <v>4111</v>
      </c>
      <c r="HE9" s="43">
        <v>4268</v>
      </c>
      <c r="HF9" s="43">
        <v>4239</v>
      </c>
      <c r="HG9" s="43">
        <v>4071</v>
      </c>
      <c r="HH9" s="43">
        <v>4217</v>
      </c>
      <c r="HI9" s="43">
        <v>4222</v>
      </c>
      <c r="HJ9" s="43">
        <v>4228</v>
      </c>
      <c r="HK9" s="43">
        <v>4204</v>
      </c>
      <c r="HL9" s="43">
        <v>6907</v>
      </c>
      <c r="HM9" s="43">
        <v>7807</v>
      </c>
      <c r="HN9" s="43">
        <v>7597</v>
      </c>
      <c r="HO9" s="43">
        <v>7398</v>
      </c>
      <c r="HP9" s="43">
        <v>7314</v>
      </c>
      <c r="HQ9" s="43">
        <v>7061</v>
      </c>
      <c r="HR9" s="43">
        <v>6913</v>
      </c>
      <c r="HS9" s="43">
        <v>6668</v>
      </c>
      <c r="HT9" s="43">
        <v>6612</v>
      </c>
      <c r="HU9" s="43">
        <v>7078</v>
      </c>
      <c r="HV9" s="43">
        <v>7326</v>
      </c>
      <c r="HW9" s="43">
        <v>7773</v>
      </c>
      <c r="HX9" s="43">
        <v>7372</v>
      </c>
      <c r="HY9" s="43">
        <v>7950</v>
      </c>
      <c r="HZ9" s="43">
        <v>8031</v>
      </c>
      <c r="IA9" s="43">
        <v>7949</v>
      </c>
      <c r="IB9" s="43">
        <v>7738</v>
      </c>
      <c r="IC9" s="43">
        <v>7974</v>
      </c>
      <c r="ID9" s="43">
        <v>7863</v>
      </c>
      <c r="IE9" s="43">
        <v>7644</v>
      </c>
      <c r="IF9" s="43">
        <v>8098</v>
      </c>
      <c r="IG9" s="43">
        <v>8258</v>
      </c>
      <c r="IH9" s="43">
        <v>8440</v>
      </c>
      <c r="II9" s="43">
        <v>8337</v>
      </c>
      <c r="IJ9" s="43">
        <v>8323</v>
      </c>
      <c r="IK9" s="43">
        <v>9003</v>
      </c>
      <c r="IL9" s="43">
        <v>9384</v>
      </c>
      <c r="IM9" s="43">
        <v>9557</v>
      </c>
      <c r="IN9" s="43">
        <v>9485</v>
      </c>
      <c r="IO9" s="43">
        <v>9883</v>
      </c>
      <c r="IP9" s="43">
        <v>10262</v>
      </c>
      <c r="IQ9" s="43">
        <v>10723</v>
      </c>
      <c r="IR9" s="43">
        <v>11154</v>
      </c>
      <c r="IS9" s="43">
        <v>10777</v>
      </c>
      <c r="IT9" s="43">
        <v>10644</v>
      </c>
      <c r="IU9" s="43">
        <v>11416</v>
      </c>
      <c r="IV9" s="43">
        <v>11851</v>
      </c>
      <c r="IW9" s="43">
        <v>12606</v>
      </c>
      <c r="IX9" s="43">
        <v>13629</v>
      </c>
      <c r="IY9" s="43">
        <v>13679</v>
      </c>
      <c r="IZ9" s="43">
        <v>13586</v>
      </c>
      <c r="JA9" s="43">
        <v>13639</v>
      </c>
      <c r="JB9" s="43">
        <v>14088</v>
      </c>
      <c r="JC9" s="43">
        <v>15843</v>
      </c>
      <c r="JD9" s="43">
        <v>16545</v>
      </c>
      <c r="JE9" s="43">
        <v>17252</v>
      </c>
      <c r="JF9" s="43">
        <v>18166</v>
      </c>
    </row>
    <row r="10" spans="1:266" s="31" customFormat="1" x14ac:dyDescent="0.25">
      <c r="A10" s="74" t="s">
        <v>12</v>
      </c>
      <c r="B10" s="75"/>
      <c r="C10" s="75"/>
      <c r="D10" s="13"/>
      <c r="E10" s="13"/>
      <c r="F10" s="13"/>
      <c r="G10" s="13"/>
      <c r="H10" s="13"/>
      <c r="I10" s="17"/>
      <c r="J10" s="18"/>
      <c r="K10" s="14"/>
      <c r="L10" s="14"/>
      <c r="M10" s="15">
        <v>83</v>
      </c>
      <c r="N10" s="15">
        <v>162</v>
      </c>
      <c r="O10" s="15">
        <v>89</v>
      </c>
      <c r="P10" s="15">
        <v>91</v>
      </c>
      <c r="Q10" s="15">
        <v>93</v>
      </c>
      <c r="R10" s="15">
        <v>94</v>
      </c>
      <c r="S10" s="15">
        <v>91</v>
      </c>
      <c r="T10" s="15">
        <v>93</v>
      </c>
      <c r="U10" s="16">
        <v>95</v>
      </c>
      <c r="V10" s="16">
        <v>97</v>
      </c>
      <c r="W10" s="16">
        <v>99</v>
      </c>
      <c r="X10" s="16">
        <v>100</v>
      </c>
      <c r="Y10" s="16">
        <v>98</v>
      </c>
      <c r="Z10" s="16">
        <v>98</v>
      </c>
      <c r="AA10" s="16">
        <v>105</v>
      </c>
      <c r="AB10" s="16">
        <v>107</v>
      </c>
      <c r="AC10" s="16">
        <v>107</v>
      </c>
      <c r="AD10" s="16">
        <v>110</v>
      </c>
      <c r="AE10" s="16">
        <v>111</v>
      </c>
      <c r="AF10" s="16">
        <v>113</v>
      </c>
      <c r="AG10" s="16">
        <v>114</v>
      </c>
      <c r="AH10" s="16">
        <v>116</v>
      </c>
      <c r="AI10" s="16">
        <v>116</v>
      </c>
      <c r="AJ10" s="16">
        <v>117</v>
      </c>
      <c r="AK10" s="16">
        <v>118</v>
      </c>
      <c r="AL10" s="16">
        <v>118</v>
      </c>
      <c r="AM10" s="16">
        <v>121</v>
      </c>
      <c r="AN10" s="16">
        <v>124</v>
      </c>
      <c r="AO10" s="16">
        <v>126</v>
      </c>
      <c r="AP10" s="16">
        <v>127</v>
      </c>
      <c r="AQ10" s="16">
        <v>125</v>
      </c>
      <c r="AR10" s="37">
        <v>128</v>
      </c>
      <c r="AS10" s="37">
        <v>131</v>
      </c>
      <c r="AT10" s="37">
        <v>133</v>
      </c>
      <c r="AU10" s="37">
        <v>135</v>
      </c>
      <c r="AV10" s="37">
        <v>138</v>
      </c>
      <c r="AW10" s="37">
        <v>133</v>
      </c>
      <c r="AX10" s="37">
        <v>134</v>
      </c>
      <c r="AY10" s="32">
        <v>137</v>
      </c>
      <c r="AZ10" s="32">
        <v>140</v>
      </c>
      <c r="BA10" s="32">
        <v>145</v>
      </c>
      <c r="BB10" s="32">
        <v>141</v>
      </c>
      <c r="BC10" s="32">
        <v>141</v>
      </c>
      <c r="BD10" s="32">
        <v>130</v>
      </c>
      <c r="BE10" s="32">
        <v>130</v>
      </c>
      <c r="BF10" s="32">
        <v>128</v>
      </c>
      <c r="BG10" s="32">
        <v>130</v>
      </c>
      <c r="BH10" s="32">
        <v>123</v>
      </c>
      <c r="BI10" s="32">
        <v>123</v>
      </c>
      <c r="BJ10" s="32">
        <v>109</v>
      </c>
      <c r="BK10" s="32">
        <v>106</v>
      </c>
      <c r="BL10" s="32">
        <v>106</v>
      </c>
      <c r="BM10" s="32">
        <v>109</v>
      </c>
      <c r="BN10" s="32">
        <v>108</v>
      </c>
      <c r="BO10" s="32">
        <v>112</v>
      </c>
      <c r="BP10" s="32">
        <v>115</v>
      </c>
      <c r="BQ10" s="42">
        <v>106</v>
      </c>
      <c r="BR10" s="42">
        <v>1198</v>
      </c>
      <c r="BS10" s="42">
        <v>1314</v>
      </c>
      <c r="BT10" s="42">
        <v>1322</v>
      </c>
      <c r="BU10" s="42">
        <v>1332</v>
      </c>
      <c r="BV10" s="42">
        <v>1307</v>
      </c>
      <c r="BW10" s="42">
        <v>1301</v>
      </c>
      <c r="BX10" s="42">
        <v>1264</v>
      </c>
      <c r="BY10" s="42">
        <v>1249</v>
      </c>
      <c r="BZ10" s="42">
        <v>1248</v>
      </c>
      <c r="CA10" s="42">
        <v>1214</v>
      </c>
      <c r="CB10" s="42">
        <v>1210</v>
      </c>
      <c r="CC10" s="42">
        <v>1240</v>
      </c>
      <c r="CD10" s="42">
        <v>1238</v>
      </c>
      <c r="CE10" s="42">
        <v>1263</v>
      </c>
      <c r="CF10" s="42">
        <v>1286</v>
      </c>
      <c r="CG10" s="42">
        <v>1259</v>
      </c>
      <c r="CH10" s="42">
        <v>1255</v>
      </c>
      <c r="CI10" s="42">
        <v>1281</v>
      </c>
      <c r="CJ10" s="42">
        <v>1285</v>
      </c>
      <c r="CK10" s="42">
        <v>1295</v>
      </c>
      <c r="CL10" s="42">
        <v>1318</v>
      </c>
      <c r="CM10" s="42">
        <v>1305</v>
      </c>
      <c r="CN10" s="42">
        <v>1311</v>
      </c>
      <c r="CO10" s="42">
        <v>1319</v>
      </c>
      <c r="CP10" s="42">
        <v>1319</v>
      </c>
      <c r="CQ10" s="42">
        <v>1281</v>
      </c>
      <c r="CR10" s="42">
        <v>1303</v>
      </c>
      <c r="CS10" s="42">
        <v>1273</v>
      </c>
      <c r="CT10" s="42">
        <v>1264</v>
      </c>
      <c r="CU10" s="42">
        <v>1268</v>
      </c>
      <c r="CV10" s="42">
        <v>1272</v>
      </c>
      <c r="CW10" s="42">
        <v>1269</v>
      </c>
      <c r="CX10" s="42">
        <v>1268</v>
      </c>
      <c r="CY10" s="42">
        <v>1243</v>
      </c>
      <c r="CZ10" s="42">
        <v>1243</v>
      </c>
      <c r="DA10" s="42">
        <v>1238</v>
      </c>
      <c r="DB10" s="42">
        <v>1245</v>
      </c>
      <c r="DC10" s="42">
        <v>1263</v>
      </c>
      <c r="DD10" s="42">
        <v>1259</v>
      </c>
      <c r="DE10" s="42">
        <v>1257</v>
      </c>
      <c r="DF10" s="42">
        <v>1263</v>
      </c>
      <c r="DG10" s="42">
        <v>1259</v>
      </c>
      <c r="DH10" s="42">
        <v>1240</v>
      </c>
      <c r="DI10" s="42">
        <v>1230</v>
      </c>
      <c r="DJ10" s="42">
        <v>1237.0999999999999</v>
      </c>
      <c r="DK10" s="42">
        <v>1225</v>
      </c>
      <c r="DL10" s="42">
        <v>1233</v>
      </c>
      <c r="DM10" s="42">
        <v>1244</v>
      </c>
      <c r="DN10" s="42">
        <v>1247</v>
      </c>
      <c r="DO10" s="42">
        <v>1257</v>
      </c>
      <c r="DP10" s="42">
        <v>1266</v>
      </c>
      <c r="DQ10" s="42">
        <v>1257</v>
      </c>
      <c r="DR10" s="42">
        <v>1269</v>
      </c>
      <c r="DS10" s="42">
        <v>1264</v>
      </c>
      <c r="DT10" s="42">
        <v>1269</v>
      </c>
      <c r="DU10" s="42">
        <v>1266</v>
      </c>
      <c r="DV10" s="42">
        <v>1275</v>
      </c>
      <c r="DW10" s="42">
        <v>1268</v>
      </c>
      <c r="DX10" s="42">
        <v>1274</v>
      </c>
      <c r="DY10" s="42">
        <v>1267</v>
      </c>
      <c r="DZ10" s="42">
        <v>1252</v>
      </c>
      <c r="EA10" s="42">
        <v>1229</v>
      </c>
      <c r="EB10" s="42">
        <v>1227</v>
      </c>
      <c r="EC10" s="42">
        <v>1207</v>
      </c>
      <c r="ED10" s="42">
        <v>1198</v>
      </c>
      <c r="EE10" s="42">
        <v>1165</v>
      </c>
      <c r="EF10" s="42">
        <v>1168.8</v>
      </c>
      <c r="EG10" s="42">
        <v>1148</v>
      </c>
      <c r="EH10" s="42">
        <v>1154.7</v>
      </c>
      <c r="EI10" s="42">
        <v>1153</v>
      </c>
      <c r="EJ10" s="42">
        <v>1168</v>
      </c>
      <c r="EK10" s="42">
        <v>1162</v>
      </c>
      <c r="EL10" s="42">
        <v>1174</v>
      </c>
      <c r="EM10" s="42">
        <v>1167</v>
      </c>
      <c r="EN10" s="42">
        <v>1164.7</v>
      </c>
      <c r="EO10" s="42">
        <v>1144</v>
      </c>
      <c r="EP10" s="42">
        <v>1161</v>
      </c>
      <c r="EQ10" s="42">
        <v>1153</v>
      </c>
      <c r="ER10" s="42">
        <v>1164</v>
      </c>
      <c r="ES10" s="42">
        <v>1172</v>
      </c>
      <c r="ET10" s="42">
        <v>1180</v>
      </c>
      <c r="EU10" s="42">
        <v>1179</v>
      </c>
      <c r="EV10" s="42">
        <v>793</v>
      </c>
      <c r="EW10" s="42">
        <v>789</v>
      </c>
      <c r="EX10" s="42">
        <v>796</v>
      </c>
      <c r="EY10" s="42">
        <v>799</v>
      </c>
      <c r="EZ10" s="42">
        <v>784</v>
      </c>
      <c r="FA10" s="42">
        <v>756</v>
      </c>
      <c r="FB10" s="42">
        <v>753</v>
      </c>
      <c r="FC10" s="42">
        <v>763</v>
      </c>
      <c r="FD10" s="42">
        <v>756</v>
      </c>
      <c r="FE10" s="42">
        <v>763</v>
      </c>
      <c r="FF10" s="42">
        <v>764</v>
      </c>
      <c r="FG10" s="42">
        <v>764</v>
      </c>
      <c r="FH10" s="42">
        <v>770</v>
      </c>
      <c r="FI10" s="42">
        <v>778</v>
      </c>
      <c r="FJ10" s="42">
        <v>774</v>
      </c>
      <c r="FK10" s="42">
        <v>772</v>
      </c>
      <c r="FL10" s="42">
        <v>766</v>
      </c>
      <c r="FM10" s="42">
        <v>753</v>
      </c>
      <c r="FN10" s="42">
        <v>749</v>
      </c>
      <c r="FO10" s="42">
        <v>769</v>
      </c>
      <c r="FP10" s="42">
        <v>746</v>
      </c>
      <c r="FQ10" s="42">
        <v>749</v>
      </c>
      <c r="FR10" s="42">
        <v>742</v>
      </c>
      <c r="FS10" s="42">
        <v>694</v>
      </c>
      <c r="FT10" s="42">
        <v>2706</v>
      </c>
      <c r="FU10" s="42">
        <v>689</v>
      </c>
      <c r="FV10" s="42">
        <v>651</v>
      </c>
      <c r="FW10" s="42">
        <v>651</v>
      </c>
      <c r="FX10" s="42">
        <v>643</v>
      </c>
      <c r="FY10" s="42">
        <v>580</v>
      </c>
      <c r="FZ10" s="42">
        <v>586</v>
      </c>
      <c r="GA10" s="42">
        <v>591</v>
      </c>
      <c r="GB10" s="42">
        <v>528</v>
      </c>
      <c r="GC10" s="42">
        <v>527</v>
      </c>
      <c r="GD10" s="42">
        <v>525</v>
      </c>
      <c r="GE10" s="42">
        <v>448</v>
      </c>
      <c r="GF10" s="42">
        <v>453</v>
      </c>
      <c r="GG10" s="42">
        <v>443</v>
      </c>
      <c r="GH10" s="42">
        <v>367</v>
      </c>
      <c r="GI10" s="42">
        <v>365</v>
      </c>
      <c r="GJ10" s="42">
        <v>369</v>
      </c>
      <c r="GK10" s="42">
        <v>277</v>
      </c>
      <c r="GL10" s="42">
        <v>280</v>
      </c>
      <c r="GM10" s="42">
        <v>279</v>
      </c>
      <c r="GN10" s="42">
        <v>192</v>
      </c>
      <c r="GO10" s="42">
        <v>193</v>
      </c>
      <c r="GP10" s="42">
        <v>192</v>
      </c>
      <c r="GQ10" s="42">
        <v>107</v>
      </c>
      <c r="GR10" s="42">
        <v>298</v>
      </c>
      <c r="GS10" s="42">
        <v>304</v>
      </c>
      <c r="GT10" s="42">
        <v>215</v>
      </c>
      <c r="GU10" s="42">
        <v>214</v>
      </c>
      <c r="GV10" s="42">
        <v>214</v>
      </c>
      <c r="GW10" s="42">
        <v>110</v>
      </c>
      <c r="GX10" s="42">
        <v>279</v>
      </c>
      <c r="GY10" s="42">
        <v>279</v>
      </c>
      <c r="GZ10" s="42">
        <v>161</v>
      </c>
      <c r="HA10" s="42">
        <v>158</v>
      </c>
      <c r="HB10" s="42">
        <v>160</v>
      </c>
      <c r="HC10" s="42">
        <v>33</v>
      </c>
      <c r="HD10" s="42">
        <v>201</v>
      </c>
      <c r="HE10" s="42">
        <v>201</v>
      </c>
      <c r="HF10" s="42">
        <v>2847</v>
      </c>
      <c r="HG10" s="42">
        <v>2817</v>
      </c>
      <c r="HH10" s="42">
        <v>2826</v>
      </c>
      <c r="HI10" s="42">
        <v>2659</v>
      </c>
      <c r="HJ10" s="42">
        <v>2657</v>
      </c>
      <c r="HK10" s="42">
        <v>2642</v>
      </c>
      <c r="HL10" s="42">
        <v>2508</v>
      </c>
      <c r="HM10" s="42">
        <v>205</v>
      </c>
      <c r="HN10" s="42">
        <v>198</v>
      </c>
      <c r="HO10" s="42">
        <v>51</v>
      </c>
      <c r="HP10" s="42">
        <v>50</v>
      </c>
      <c r="HQ10" s="42">
        <v>232</v>
      </c>
      <c r="HR10" s="42">
        <v>41</v>
      </c>
      <c r="HS10" s="42">
        <v>40</v>
      </c>
      <c r="HT10" s="42">
        <v>251</v>
      </c>
      <c r="HU10" s="42">
        <v>15</v>
      </c>
      <c r="HV10" s="42">
        <v>13</v>
      </c>
      <c r="HW10" s="42">
        <v>324</v>
      </c>
      <c r="HX10" s="42">
        <v>22</v>
      </c>
      <c r="HY10" s="42">
        <v>22</v>
      </c>
      <c r="HZ10" s="42">
        <v>349</v>
      </c>
      <c r="IA10" s="42">
        <v>27</v>
      </c>
      <c r="IB10" s="42">
        <v>27</v>
      </c>
      <c r="IC10" s="42">
        <v>376</v>
      </c>
      <c r="ID10" s="42">
        <v>30</v>
      </c>
      <c r="IE10" s="42">
        <v>29</v>
      </c>
      <c r="IF10" s="42">
        <v>371</v>
      </c>
      <c r="IG10" s="42">
        <v>38</v>
      </c>
      <c r="IH10" s="42">
        <v>36</v>
      </c>
      <c r="II10" s="42">
        <v>367</v>
      </c>
      <c r="IJ10" s="42">
        <v>48</v>
      </c>
      <c r="IK10" s="42">
        <v>47</v>
      </c>
      <c r="IL10" s="42">
        <v>300</v>
      </c>
      <c r="IM10" s="42">
        <v>12</v>
      </c>
      <c r="IN10" s="42">
        <v>12</v>
      </c>
      <c r="IO10" s="42">
        <v>302</v>
      </c>
      <c r="IP10" s="42">
        <v>20</v>
      </c>
      <c r="IQ10" s="42">
        <v>20</v>
      </c>
      <c r="IR10" s="42">
        <v>293</v>
      </c>
      <c r="IS10" s="42">
        <v>37</v>
      </c>
      <c r="IT10" s="42">
        <v>31</v>
      </c>
      <c r="IU10" s="42">
        <v>31</v>
      </c>
      <c r="IV10" s="42">
        <v>21</v>
      </c>
      <c r="IW10" s="42">
        <v>18</v>
      </c>
      <c r="IX10" s="42">
        <v>194</v>
      </c>
      <c r="IY10" s="42">
        <v>41</v>
      </c>
      <c r="IZ10" s="42">
        <v>41</v>
      </c>
      <c r="JA10" s="42">
        <v>183</v>
      </c>
      <c r="JB10" s="42">
        <v>43</v>
      </c>
      <c r="JC10" s="42">
        <v>44</v>
      </c>
      <c r="JD10" s="42">
        <v>179</v>
      </c>
      <c r="JE10" s="42">
        <v>61</v>
      </c>
      <c r="JF10" s="42">
        <v>56</v>
      </c>
    </row>
    <row r="11" spans="1:266" s="31" customFormat="1" x14ac:dyDescent="0.25">
      <c r="A11" s="73" t="s">
        <v>13</v>
      </c>
      <c r="B11" s="73"/>
      <c r="C11" s="73"/>
      <c r="D11" s="24"/>
      <c r="E11" s="24"/>
      <c r="F11" s="24"/>
      <c r="G11" s="24"/>
      <c r="H11" s="24"/>
      <c r="I11" s="29"/>
      <c r="J11" s="30"/>
      <c r="K11" s="25"/>
      <c r="L11" s="25"/>
      <c r="M11" s="26">
        <v>14078</v>
      </c>
      <c r="N11" s="26">
        <v>14449</v>
      </c>
      <c r="O11" s="26">
        <v>15650</v>
      </c>
      <c r="P11" s="26">
        <v>16429</v>
      </c>
      <c r="Q11" s="26">
        <v>17136</v>
      </c>
      <c r="R11" s="26">
        <v>17564</v>
      </c>
      <c r="S11" s="26">
        <v>17809</v>
      </c>
      <c r="T11" s="26">
        <v>18345</v>
      </c>
      <c r="U11" s="27">
        <v>19295</v>
      </c>
      <c r="V11" s="27">
        <v>19749</v>
      </c>
      <c r="W11" s="27">
        <v>20145</v>
      </c>
      <c r="X11" s="27">
        <v>20259</v>
      </c>
      <c r="Y11" s="27">
        <v>20264</v>
      </c>
      <c r="Z11" s="27">
        <v>20943</v>
      </c>
      <c r="AA11" s="27">
        <v>21202</v>
      </c>
      <c r="AB11" s="27">
        <v>21440</v>
      </c>
      <c r="AC11" s="27">
        <v>21613</v>
      </c>
      <c r="AD11" s="27">
        <v>21868</v>
      </c>
      <c r="AE11" s="27">
        <v>21933</v>
      </c>
      <c r="AF11" s="27">
        <v>21665</v>
      </c>
      <c r="AG11" s="27">
        <v>21785</v>
      </c>
      <c r="AH11" s="27">
        <v>22672</v>
      </c>
      <c r="AI11" s="27">
        <v>22803</v>
      </c>
      <c r="AJ11" s="27">
        <v>23131</v>
      </c>
      <c r="AK11" s="27">
        <v>23640</v>
      </c>
      <c r="AL11" s="27">
        <v>24784</v>
      </c>
      <c r="AM11" s="27">
        <v>24830</v>
      </c>
      <c r="AN11" s="27">
        <v>24959</v>
      </c>
      <c r="AO11" s="27">
        <v>25055</v>
      </c>
      <c r="AP11" s="27">
        <v>25826</v>
      </c>
      <c r="AQ11" s="27">
        <v>26784</v>
      </c>
      <c r="AR11" s="36">
        <v>27232</v>
      </c>
      <c r="AS11" s="36">
        <v>28247</v>
      </c>
      <c r="AT11" s="36">
        <v>28334</v>
      </c>
      <c r="AU11" s="36">
        <v>28549</v>
      </c>
      <c r="AV11" s="36">
        <v>29589</v>
      </c>
      <c r="AW11" s="36">
        <v>30162</v>
      </c>
      <c r="AX11" s="36">
        <v>30353</v>
      </c>
      <c r="AY11" s="28">
        <v>30859</v>
      </c>
      <c r="AZ11" s="28">
        <v>31588</v>
      </c>
      <c r="BA11" s="28">
        <v>32375</v>
      </c>
      <c r="BB11" s="28">
        <v>32488</v>
      </c>
      <c r="BC11" s="28">
        <v>32763</v>
      </c>
      <c r="BD11" s="28">
        <v>32787</v>
      </c>
      <c r="BE11" s="28">
        <v>32900</v>
      </c>
      <c r="BF11" s="28">
        <v>33041</v>
      </c>
      <c r="BG11" s="28">
        <v>33245</v>
      </c>
      <c r="BH11" s="28">
        <v>33265</v>
      </c>
      <c r="BI11" s="28">
        <v>32641</v>
      </c>
      <c r="BJ11" s="28">
        <v>32357</v>
      </c>
      <c r="BK11" s="28">
        <v>31664</v>
      </c>
      <c r="BL11" s="28">
        <v>31287</v>
      </c>
      <c r="BM11" s="28">
        <v>30411</v>
      </c>
      <c r="BN11" s="28">
        <v>29425</v>
      </c>
      <c r="BO11" s="28">
        <v>29438</v>
      </c>
      <c r="BP11" s="28">
        <v>29493</v>
      </c>
      <c r="BQ11" s="43">
        <v>29799</v>
      </c>
      <c r="BR11" s="43">
        <v>30009</v>
      </c>
      <c r="BS11" s="43">
        <v>30489</v>
      </c>
      <c r="BT11" s="43">
        <v>30997</v>
      </c>
      <c r="BU11" s="43">
        <v>31075</v>
      </c>
      <c r="BV11" s="43">
        <v>31157</v>
      </c>
      <c r="BW11" s="43">
        <v>31189</v>
      </c>
      <c r="BX11" s="43">
        <v>31329</v>
      </c>
      <c r="BY11" s="43">
        <v>31524</v>
      </c>
      <c r="BZ11" s="43">
        <v>31678</v>
      </c>
      <c r="CA11" s="43">
        <v>32161</v>
      </c>
      <c r="CB11" s="43">
        <v>31774</v>
      </c>
      <c r="CC11" s="43">
        <v>31798</v>
      </c>
      <c r="CD11" s="43">
        <v>32052</v>
      </c>
      <c r="CE11" s="43">
        <v>32029</v>
      </c>
      <c r="CF11" s="43">
        <v>32017</v>
      </c>
      <c r="CG11" s="43">
        <v>32076</v>
      </c>
      <c r="CH11" s="43">
        <v>32517</v>
      </c>
      <c r="CI11" s="43">
        <f>CI8-CI9-CI10-CI12:CI12</f>
        <v>31474.6</v>
      </c>
      <c r="CJ11" s="43">
        <f>CJ8-CJ9-CJ10-CJ12:CJ12</f>
        <v>29783.599999999999</v>
      </c>
      <c r="CK11" s="43">
        <f>CK8-CK9-CK10-CK12:CK12</f>
        <v>26559.599999999999</v>
      </c>
      <c r="CL11" s="43">
        <v>24452</v>
      </c>
      <c r="CM11" s="43">
        <v>23669</v>
      </c>
      <c r="CN11" s="43">
        <v>22450</v>
      </c>
      <c r="CO11" s="43">
        <v>21582</v>
      </c>
      <c r="CP11" s="43">
        <v>20878</v>
      </c>
      <c r="CQ11" s="43">
        <v>19922</v>
      </c>
      <c r="CR11" s="43">
        <v>17959</v>
      </c>
      <c r="CS11" s="43">
        <v>16069.6</v>
      </c>
      <c r="CT11" s="43">
        <v>14048</v>
      </c>
      <c r="CU11" s="43">
        <v>12280</v>
      </c>
      <c r="CV11" s="43">
        <v>11640</v>
      </c>
      <c r="CW11" s="43">
        <v>11045</v>
      </c>
      <c r="CX11" s="43">
        <v>11139</v>
      </c>
      <c r="CY11" s="43">
        <f>CY8-CY9-CY10-CY12</f>
        <v>11468</v>
      </c>
      <c r="CZ11" s="43">
        <v>10926</v>
      </c>
      <c r="DA11" s="43">
        <f>DA8-DA9-DA10-DA12</f>
        <v>9819</v>
      </c>
      <c r="DB11" s="43">
        <v>10516</v>
      </c>
      <c r="DC11" s="43">
        <v>10416</v>
      </c>
      <c r="DD11" s="43">
        <v>10861</v>
      </c>
      <c r="DE11" s="43">
        <v>10414</v>
      </c>
      <c r="DF11" s="43">
        <v>10385</v>
      </c>
      <c r="DG11" s="43">
        <v>8989</v>
      </c>
      <c r="DH11" s="43">
        <v>8903</v>
      </c>
      <c r="DI11" s="43">
        <v>8832</v>
      </c>
      <c r="DJ11" s="43">
        <v>9826</v>
      </c>
      <c r="DK11" s="43">
        <v>11451</v>
      </c>
      <c r="DL11" s="43">
        <f>DL8-DL9-DL10-DL12</f>
        <v>11181</v>
      </c>
      <c r="DM11" s="43">
        <f>DM8-DM9-DM10-DM12</f>
        <v>15122</v>
      </c>
      <c r="DN11" s="43">
        <f>DN8-DN9-DN10-DN12</f>
        <v>15153</v>
      </c>
      <c r="DO11" s="43">
        <f>DO8-DO9-DO10-DO12</f>
        <v>14929</v>
      </c>
      <c r="DP11" s="43">
        <v>14800</v>
      </c>
      <c r="DQ11" s="43">
        <v>13870</v>
      </c>
      <c r="DR11" s="43">
        <v>13192</v>
      </c>
      <c r="DS11" s="43">
        <v>13195</v>
      </c>
      <c r="DT11" s="43">
        <v>13210</v>
      </c>
      <c r="DU11" s="43">
        <v>13411</v>
      </c>
      <c r="DV11" s="43">
        <v>13470</v>
      </c>
      <c r="DW11" s="43">
        <v>13287</v>
      </c>
      <c r="DX11" s="43">
        <v>12695</v>
      </c>
      <c r="DY11" s="43">
        <v>12739</v>
      </c>
      <c r="DZ11" s="43">
        <v>12872</v>
      </c>
      <c r="EA11" s="43">
        <v>13082</v>
      </c>
      <c r="EB11" s="43">
        <v>13089</v>
      </c>
      <c r="EC11" s="43">
        <v>12147</v>
      </c>
      <c r="ED11" s="43">
        <v>11638</v>
      </c>
      <c r="EE11" s="43">
        <v>11558</v>
      </c>
      <c r="EF11" s="43">
        <v>11777</v>
      </c>
      <c r="EG11" s="43">
        <v>11629</v>
      </c>
      <c r="EH11" s="43">
        <v>16828</v>
      </c>
      <c r="EI11" s="43">
        <v>15915</v>
      </c>
      <c r="EJ11" s="43">
        <v>16453</v>
      </c>
      <c r="EK11" s="43">
        <v>15070</v>
      </c>
      <c r="EL11" s="43">
        <v>14571</v>
      </c>
      <c r="EM11" s="43">
        <v>12794</v>
      </c>
      <c r="EN11" s="43">
        <v>12803</v>
      </c>
      <c r="EO11" s="43">
        <v>13030</v>
      </c>
      <c r="EP11" s="43">
        <v>13041</v>
      </c>
      <c r="EQ11" s="43">
        <v>12993</v>
      </c>
      <c r="ER11" s="43">
        <v>12786</v>
      </c>
      <c r="ES11" s="43">
        <v>12829</v>
      </c>
      <c r="ET11" s="43">
        <v>13237</v>
      </c>
      <c r="EU11" s="43">
        <v>13801</v>
      </c>
      <c r="EV11" s="43">
        <v>14128</v>
      </c>
      <c r="EW11" s="43">
        <v>11991</v>
      </c>
      <c r="EX11" s="43">
        <v>13022</v>
      </c>
      <c r="EY11" s="43">
        <v>16031</v>
      </c>
      <c r="EZ11" s="43">
        <v>15620</v>
      </c>
      <c r="FA11" s="43">
        <v>19829</v>
      </c>
      <c r="FB11" s="43">
        <v>21150</v>
      </c>
      <c r="FC11" s="43">
        <v>23135</v>
      </c>
      <c r="FD11" s="43">
        <v>23149</v>
      </c>
      <c r="FE11" s="43">
        <v>25125</v>
      </c>
      <c r="FF11" s="43">
        <v>25215</v>
      </c>
      <c r="FG11" s="43">
        <v>27694</v>
      </c>
      <c r="FH11" s="43">
        <v>27904</v>
      </c>
      <c r="FI11" s="43">
        <v>32599</v>
      </c>
      <c r="FJ11" s="43">
        <v>32661</v>
      </c>
      <c r="FK11" s="43">
        <v>33026</v>
      </c>
      <c r="FL11" s="43">
        <v>33270</v>
      </c>
      <c r="FM11" s="43">
        <v>33242</v>
      </c>
      <c r="FN11" s="43">
        <v>33575</v>
      </c>
      <c r="FO11" s="43">
        <v>34611</v>
      </c>
      <c r="FP11" s="43">
        <v>38954</v>
      </c>
      <c r="FQ11" s="43">
        <v>39018</v>
      </c>
      <c r="FR11" s="43">
        <v>40486</v>
      </c>
      <c r="FS11" s="43">
        <v>40694</v>
      </c>
      <c r="FT11" s="43">
        <v>38898</v>
      </c>
      <c r="FU11" s="43">
        <v>41026</v>
      </c>
      <c r="FV11" s="43">
        <v>41193</v>
      </c>
      <c r="FW11" s="43">
        <v>41253</v>
      </c>
      <c r="FX11" s="43">
        <v>41217</v>
      </c>
      <c r="FY11" s="43">
        <v>41310</v>
      </c>
      <c r="FZ11" s="43">
        <v>39242</v>
      </c>
      <c r="GA11" s="43">
        <v>39216</v>
      </c>
      <c r="GB11" s="43">
        <v>40686</v>
      </c>
      <c r="GC11" s="43">
        <v>40754</v>
      </c>
      <c r="GD11" s="43">
        <v>40959</v>
      </c>
      <c r="GE11" s="43">
        <v>41071</v>
      </c>
      <c r="GF11" s="43">
        <v>41204</v>
      </c>
      <c r="GG11" s="43">
        <v>41533</v>
      </c>
      <c r="GH11" s="43">
        <v>41398</v>
      </c>
      <c r="GI11" s="43">
        <v>41545</v>
      </c>
      <c r="GJ11" s="43">
        <v>41611</v>
      </c>
      <c r="GK11" s="43">
        <v>41930</v>
      </c>
      <c r="GL11" s="43">
        <v>41840</v>
      </c>
      <c r="GM11" s="43">
        <v>41756</v>
      </c>
      <c r="GN11" s="43">
        <v>41733</v>
      </c>
      <c r="GO11" s="43">
        <v>36399</v>
      </c>
      <c r="GP11" s="43">
        <v>33142</v>
      </c>
      <c r="GQ11" s="43">
        <v>32094</v>
      </c>
      <c r="GR11" s="43">
        <f>GR8-GR9-GR10-GR12</f>
        <v>33806</v>
      </c>
      <c r="GS11" s="43">
        <v>33453</v>
      </c>
      <c r="GT11" s="43">
        <v>33579</v>
      </c>
      <c r="GU11" s="43">
        <v>33855</v>
      </c>
      <c r="GV11" s="43">
        <v>34683</v>
      </c>
      <c r="GW11" s="43">
        <v>35035</v>
      </c>
      <c r="GX11" s="43">
        <v>35399</v>
      </c>
      <c r="GY11" s="43">
        <v>35542</v>
      </c>
      <c r="GZ11" s="43">
        <v>35905</v>
      </c>
      <c r="HA11" s="43">
        <v>36252</v>
      </c>
      <c r="HB11" s="43">
        <v>36062</v>
      </c>
      <c r="HC11" s="43">
        <v>36033</v>
      </c>
      <c r="HD11" s="43">
        <v>36279</v>
      </c>
      <c r="HE11" s="43">
        <v>36147</v>
      </c>
      <c r="HF11" s="43">
        <v>33593</v>
      </c>
      <c r="HG11" s="43">
        <v>33944</v>
      </c>
      <c r="HH11" s="43">
        <v>33813</v>
      </c>
      <c r="HI11" s="43">
        <v>34035</v>
      </c>
      <c r="HJ11" s="43">
        <v>34056</v>
      </c>
      <c r="HK11" s="43">
        <v>34141</v>
      </c>
      <c r="HL11" s="43">
        <v>31585</v>
      </c>
      <c r="HM11" s="43">
        <v>29076</v>
      </c>
      <c r="HN11" s="43">
        <v>29334</v>
      </c>
      <c r="HO11" s="43">
        <v>28051</v>
      </c>
      <c r="HP11" s="43">
        <v>26021</v>
      </c>
      <c r="HQ11" s="43">
        <v>25870</v>
      </c>
      <c r="HR11" s="43">
        <v>26193</v>
      </c>
      <c r="HS11" s="43">
        <v>26495</v>
      </c>
      <c r="HT11" s="43">
        <v>26553</v>
      </c>
      <c r="HU11" s="43">
        <v>26444</v>
      </c>
      <c r="HV11" s="43">
        <v>26669</v>
      </c>
      <c r="HW11" s="43">
        <v>26131</v>
      </c>
      <c r="HX11" s="43">
        <v>26962</v>
      </c>
      <c r="HY11" s="43">
        <v>26477</v>
      </c>
      <c r="HZ11" s="43">
        <v>26173</v>
      </c>
      <c r="IA11" s="43">
        <v>26686</v>
      </c>
      <c r="IB11" s="43">
        <v>27065</v>
      </c>
      <c r="IC11" s="43">
        <v>26530</v>
      </c>
      <c r="ID11" s="43">
        <v>27037</v>
      </c>
      <c r="IE11" s="43">
        <v>27299</v>
      </c>
      <c r="IF11" s="43">
        <v>26635</v>
      </c>
      <c r="IG11" s="43">
        <v>26879</v>
      </c>
      <c r="IH11" s="43">
        <v>26745</v>
      </c>
      <c r="II11" s="43">
        <v>26547</v>
      </c>
      <c r="IJ11" s="43">
        <v>26942</v>
      </c>
      <c r="IK11" s="43">
        <v>31313</v>
      </c>
      <c r="IL11" s="43">
        <v>31375</v>
      </c>
      <c r="IM11" s="43">
        <v>36558</v>
      </c>
      <c r="IN11" s="43">
        <v>36890</v>
      </c>
      <c r="IO11" s="43">
        <v>36306</v>
      </c>
      <c r="IP11" s="43">
        <v>36317</v>
      </c>
      <c r="IQ11" s="43">
        <v>35996</v>
      </c>
      <c r="IR11" s="43">
        <v>35497</v>
      </c>
      <c r="IS11" s="43">
        <v>36140</v>
      </c>
      <c r="IT11" s="43">
        <v>36436</v>
      </c>
      <c r="IU11" s="43">
        <v>35821</v>
      </c>
      <c r="IV11" s="43">
        <v>35524</v>
      </c>
      <c r="IW11" s="43">
        <v>35136</v>
      </c>
      <c r="IX11" s="43">
        <v>34324</v>
      </c>
      <c r="IY11" s="43">
        <v>34809</v>
      </c>
      <c r="IZ11" s="43">
        <v>35096</v>
      </c>
      <c r="JA11" s="43">
        <v>35216</v>
      </c>
      <c r="JB11" s="43">
        <v>35122</v>
      </c>
      <c r="JC11" s="43">
        <v>33649</v>
      </c>
      <c r="JD11" s="43">
        <v>33350</v>
      </c>
      <c r="JE11" s="43">
        <v>32905</v>
      </c>
      <c r="JF11" s="43">
        <v>33232</v>
      </c>
    </row>
    <row r="12" spans="1:266" s="31" customFormat="1" ht="17.25" customHeight="1" x14ac:dyDescent="0.25">
      <c r="A12" s="75" t="s">
        <v>40</v>
      </c>
      <c r="B12" s="75"/>
      <c r="C12" s="75"/>
      <c r="D12" s="13"/>
      <c r="E12" s="13"/>
      <c r="F12" s="13"/>
      <c r="G12" s="13"/>
      <c r="H12" s="13"/>
      <c r="I12" s="17"/>
      <c r="J12" s="18"/>
      <c r="K12" s="14"/>
      <c r="L12" s="14"/>
      <c r="M12" s="15">
        <v>121</v>
      </c>
      <c r="N12" s="15" t="s">
        <v>29</v>
      </c>
      <c r="O12" s="15">
        <v>120</v>
      </c>
      <c r="P12" s="15">
        <v>117</v>
      </c>
      <c r="Q12" s="15">
        <v>113</v>
      </c>
      <c r="R12" s="15">
        <v>112</v>
      </c>
      <c r="S12" s="15">
        <v>109</v>
      </c>
      <c r="T12" s="15">
        <v>105</v>
      </c>
      <c r="U12" s="16">
        <v>103</v>
      </c>
      <c r="V12" s="16">
        <v>102</v>
      </c>
      <c r="W12" s="16">
        <v>98</v>
      </c>
      <c r="X12" s="16">
        <v>97</v>
      </c>
      <c r="Y12" s="16">
        <v>95</v>
      </c>
      <c r="Z12" s="16">
        <v>95</v>
      </c>
      <c r="AA12" s="16">
        <v>60</v>
      </c>
      <c r="AB12" s="16">
        <v>57</v>
      </c>
      <c r="AC12" s="16">
        <v>57</v>
      </c>
      <c r="AD12" s="16">
        <v>57</v>
      </c>
      <c r="AE12" s="16">
        <v>58</v>
      </c>
      <c r="AF12" s="16">
        <v>55</v>
      </c>
      <c r="AG12" s="16">
        <v>55</v>
      </c>
      <c r="AH12" s="16">
        <v>52</v>
      </c>
      <c r="AI12" s="16">
        <v>52</v>
      </c>
      <c r="AJ12" s="16">
        <v>51</v>
      </c>
      <c r="AK12" s="16">
        <v>52</v>
      </c>
      <c r="AL12" s="16">
        <v>52</v>
      </c>
      <c r="AM12" s="16">
        <v>49</v>
      </c>
      <c r="AN12" s="16">
        <v>46</v>
      </c>
      <c r="AO12" s="16">
        <v>45</v>
      </c>
      <c r="AP12" s="16">
        <v>45</v>
      </c>
      <c r="AQ12" s="16">
        <v>45</v>
      </c>
      <c r="AR12" s="37">
        <v>43</v>
      </c>
      <c r="AS12" s="37">
        <v>43</v>
      </c>
      <c r="AT12" s="37">
        <v>40</v>
      </c>
      <c r="AU12" s="37">
        <v>40</v>
      </c>
      <c r="AV12" s="37">
        <v>39</v>
      </c>
      <c r="AW12" s="37">
        <v>46</v>
      </c>
      <c r="AX12" s="37">
        <v>44</v>
      </c>
      <c r="AY12" s="32">
        <v>43</v>
      </c>
      <c r="AZ12" s="32">
        <v>40</v>
      </c>
      <c r="BA12" s="32">
        <v>40</v>
      </c>
      <c r="BB12" s="32">
        <v>42</v>
      </c>
      <c r="BC12" s="32">
        <v>42</v>
      </c>
      <c r="BD12" s="32">
        <v>53</v>
      </c>
      <c r="BE12" s="32">
        <v>53</v>
      </c>
      <c r="BF12" s="32">
        <v>48</v>
      </c>
      <c r="BG12" s="32">
        <v>46</v>
      </c>
      <c r="BH12" s="32">
        <v>44</v>
      </c>
      <c r="BI12" s="32">
        <v>44</v>
      </c>
      <c r="BJ12" s="32">
        <v>64</v>
      </c>
      <c r="BK12" s="32">
        <v>64</v>
      </c>
      <c r="BL12" s="32">
        <v>60</v>
      </c>
      <c r="BM12" s="32">
        <v>60</v>
      </c>
      <c r="BN12" s="32">
        <v>59</v>
      </c>
      <c r="BO12" s="32">
        <v>61</v>
      </c>
      <c r="BP12" s="32">
        <v>59</v>
      </c>
      <c r="BQ12" s="42">
        <v>69</v>
      </c>
      <c r="BR12" s="42">
        <v>67</v>
      </c>
      <c r="BS12" s="42">
        <v>68</v>
      </c>
      <c r="BT12" s="42">
        <v>69</v>
      </c>
      <c r="BU12" s="42">
        <v>69</v>
      </c>
      <c r="BV12" s="42">
        <v>65</v>
      </c>
      <c r="BW12" s="42">
        <v>65</v>
      </c>
      <c r="BX12" s="42">
        <v>76</v>
      </c>
      <c r="BY12" s="42">
        <v>75</v>
      </c>
      <c r="BZ12" s="42">
        <v>75</v>
      </c>
      <c r="CA12" s="42">
        <v>73</v>
      </c>
      <c r="CB12" s="42">
        <v>84</v>
      </c>
      <c r="CC12" s="42">
        <v>86</v>
      </c>
      <c r="CD12" s="42">
        <v>84</v>
      </c>
      <c r="CE12" s="42">
        <v>89</v>
      </c>
      <c r="CF12" s="42">
        <v>91</v>
      </c>
      <c r="CG12" s="42">
        <v>89</v>
      </c>
      <c r="CH12" s="42">
        <v>86</v>
      </c>
      <c r="CI12" s="42">
        <v>87.4</v>
      </c>
      <c r="CJ12" s="42">
        <v>88.4</v>
      </c>
      <c r="CK12" s="42">
        <v>88.4</v>
      </c>
      <c r="CL12" s="42">
        <v>90</v>
      </c>
      <c r="CM12" s="42">
        <v>89</v>
      </c>
      <c r="CN12" s="42">
        <v>89</v>
      </c>
      <c r="CO12" s="42">
        <v>90</v>
      </c>
      <c r="CP12" s="42">
        <v>90</v>
      </c>
      <c r="CQ12" s="42">
        <v>87</v>
      </c>
      <c r="CR12" s="42">
        <v>89</v>
      </c>
      <c r="CS12" s="42">
        <v>86.4</v>
      </c>
      <c r="CT12" s="42">
        <v>86</v>
      </c>
      <c r="CU12" s="42">
        <v>86</v>
      </c>
      <c r="CV12" s="42">
        <v>86</v>
      </c>
      <c r="CW12" s="42">
        <v>86</v>
      </c>
      <c r="CX12" s="42">
        <v>86</v>
      </c>
      <c r="CY12" s="42">
        <v>84</v>
      </c>
      <c r="CZ12" s="42">
        <v>84</v>
      </c>
      <c r="DA12" s="42">
        <v>84</v>
      </c>
      <c r="DB12" s="42">
        <v>85</v>
      </c>
      <c r="DC12" s="42">
        <v>86</v>
      </c>
      <c r="DD12" s="42">
        <v>85</v>
      </c>
      <c r="DE12" s="42">
        <v>85</v>
      </c>
      <c r="DF12" s="42">
        <v>86</v>
      </c>
      <c r="DG12" s="42">
        <v>85</v>
      </c>
      <c r="DH12" s="42">
        <v>84</v>
      </c>
      <c r="DI12" s="42">
        <v>83</v>
      </c>
      <c r="DJ12" s="42">
        <v>83.9</v>
      </c>
      <c r="DK12" s="42">
        <v>82</v>
      </c>
      <c r="DL12" s="42">
        <v>83</v>
      </c>
      <c r="DM12" s="42">
        <v>84</v>
      </c>
      <c r="DN12" s="42">
        <v>84</v>
      </c>
      <c r="DO12" s="42">
        <v>85</v>
      </c>
      <c r="DP12" s="42">
        <v>85</v>
      </c>
      <c r="DQ12" s="42">
        <v>84</v>
      </c>
      <c r="DR12" s="42">
        <v>83</v>
      </c>
      <c r="DS12" s="42">
        <v>83</v>
      </c>
      <c r="DT12" s="42">
        <v>83</v>
      </c>
      <c r="DU12" s="42">
        <v>83</v>
      </c>
      <c r="DV12" s="42">
        <v>83</v>
      </c>
      <c r="DW12" s="42">
        <v>82</v>
      </c>
      <c r="DX12" s="42">
        <v>79</v>
      </c>
      <c r="DY12" s="42">
        <v>78</v>
      </c>
      <c r="DZ12" s="42">
        <v>77</v>
      </c>
      <c r="EA12" s="42">
        <v>76</v>
      </c>
      <c r="EB12" s="42">
        <v>76</v>
      </c>
      <c r="EC12" s="42">
        <v>74</v>
      </c>
      <c r="ED12" s="42">
        <v>70</v>
      </c>
      <c r="EE12" s="42">
        <v>67</v>
      </c>
      <c r="EF12" s="42">
        <v>66.900000000000006</v>
      </c>
      <c r="EG12" s="42">
        <v>66</v>
      </c>
      <c r="EH12" s="42">
        <v>66</v>
      </c>
      <c r="EI12" s="42">
        <v>65</v>
      </c>
      <c r="EJ12" s="42">
        <v>63</v>
      </c>
      <c r="EK12" s="42">
        <v>61</v>
      </c>
      <c r="EL12" s="42">
        <v>61</v>
      </c>
      <c r="EM12" s="42">
        <v>60</v>
      </c>
      <c r="EN12" s="42">
        <v>60</v>
      </c>
      <c r="EO12" s="42">
        <v>58</v>
      </c>
      <c r="EP12" s="42">
        <v>55</v>
      </c>
      <c r="EQ12" s="42">
        <v>53</v>
      </c>
      <c r="ER12" s="42">
        <v>52</v>
      </c>
      <c r="ES12" s="42">
        <v>52</v>
      </c>
      <c r="ET12" s="42">
        <v>52</v>
      </c>
      <c r="EU12" s="42">
        <v>52</v>
      </c>
      <c r="EV12" s="42">
        <v>47</v>
      </c>
      <c r="EW12" s="42">
        <v>46</v>
      </c>
      <c r="EX12" s="42">
        <v>45</v>
      </c>
      <c r="EY12" s="42">
        <v>45</v>
      </c>
      <c r="EZ12" s="42">
        <v>44</v>
      </c>
      <c r="FA12" s="42">
        <v>42</v>
      </c>
      <c r="FB12" s="42">
        <v>38</v>
      </c>
      <c r="FC12" s="42">
        <v>37</v>
      </c>
      <c r="FD12" s="42">
        <v>36</v>
      </c>
      <c r="FE12" s="42">
        <v>36</v>
      </c>
      <c r="FF12" s="42">
        <v>36</v>
      </c>
      <c r="FG12" s="42">
        <v>35</v>
      </c>
      <c r="FH12" s="42">
        <v>31</v>
      </c>
      <c r="FI12" s="42">
        <v>31</v>
      </c>
      <c r="FJ12" s="42">
        <v>30</v>
      </c>
      <c r="FK12" s="42">
        <v>29</v>
      </c>
      <c r="FL12" s="42">
        <v>29</v>
      </c>
      <c r="FM12" s="42">
        <v>28</v>
      </c>
      <c r="FN12" s="42">
        <v>24</v>
      </c>
      <c r="FO12" s="42">
        <v>24</v>
      </c>
      <c r="FP12" s="42">
        <v>22</v>
      </c>
      <c r="FQ12" s="42">
        <v>22</v>
      </c>
      <c r="FR12" s="42">
        <v>22</v>
      </c>
      <c r="FS12" s="42">
        <v>21</v>
      </c>
      <c r="FT12" s="42">
        <v>17</v>
      </c>
      <c r="FU12" s="42">
        <v>16</v>
      </c>
      <c r="FV12" s="42">
        <v>14</v>
      </c>
      <c r="FW12" s="42">
        <v>14</v>
      </c>
      <c r="FX12" s="42">
        <v>14</v>
      </c>
      <c r="FY12" s="42">
        <v>14</v>
      </c>
      <c r="FZ12" s="42">
        <v>11</v>
      </c>
      <c r="GA12" s="42">
        <v>10</v>
      </c>
      <c r="GB12" s="42">
        <v>8</v>
      </c>
      <c r="GC12" s="42">
        <v>8</v>
      </c>
      <c r="GD12" s="42">
        <v>8</v>
      </c>
      <c r="GE12" s="42">
        <v>8</v>
      </c>
      <c r="GF12" s="42">
        <v>7</v>
      </c>
      <c r="GG12" s="42">
        <v>6</v>
      </c>
      <c r="GH12" s="42">
        <v>4</v>
      </c>
      <c r="GI12" s="42">
        <v>4</v>
      </c>
      <c r="GJ12" s="42">
        <v>4</v>
      </c>
      <c r="GK12" s="42">
        <v>4</v>
      </c>
      <c r="GL12" s="42">
        <v>3</v>
      </c>
      <c r="GM12" s="42">
        <v>3</v>
      </c>
      <c r="GN12" s="42">
        <v>2</v>
      </c>
      <c r="GO12" s="42">
        <v>2</v>
      </c>
      <c r="GP12" s="42">
        <v>2</v>
      </c>
      <c r="GQ12" s="42">
        <v>2</v>
      </c>
      <c r="GR12" s="42">
        <v>0</v>
      </c>
      <c r="GS12" s="42">
        <v>0</v>
      </c>
      <c r="GT12" s="42">
        <v>0</v>
      </c>
      <c r="GU12" s="42">
        <v>0</v>
      </c>
      <c r="GV12" s="42">
        <v>0</v>
      </c>
      <c r="GW12" s="42">
        <v>0</v>
      </c>
      <c r="GX12" s="42">
        <v>0</v>
      </c>
      <c r="GY12" s="42">
        <v>0</v>
      </c>
      <c r="GZ12" s="42">
        <v>0</v>
      </c>
      <c r="HA12" s="42">
        <v>0</v>
      </c>
      <c r="HB12" s="42">
        <v>0</v>
      </c>
      <c r="HC12" s="42">
        <v>0</v>
      </c>
      <c r="HD12" s="42">
        <v>0</v>
      </c>
      <c r="HE12" s="42">
        <v>0</v>
      </c>
      <c r="HF12" s="42">
        <v>0</v>
      </c>
      <c r="HG12" s="42">
        <v>0</v>
      </c>
      <c r="HH12" s="42">
        <v>0</v>
      </c>
      <c r="HI12" s="42">
        <v>0</v>
      </c>
      <c r="HJ12" s="42">
        <v>0</v>
      </c>
      <c r="HK12" s="42">
        <v>0</v>
      </c>
      <c r="HL12" s="42">
        <v>0</v>
      </c>
      <c r="HM12" s="42">
        <v>0</v>
      </c>
      <c r="HN12" s="42">
        <v>0</v>
      </c>
      <c r="HO12" s="42">
        <v>0</v>
      </c>
      <c r="HP12" s="42">
        <v>0</v>
      </c>
      <c r="HQ12" s="42">
        <v>0</v>
      </c>
      <c r="HR12" s="42">
        <v>0</v>
      </c>
      <c r="HS12" s="42">
        <v>0</v>
      </c>
      <c r="HT12" s="42">
        <v>0</v>
      </c>
      <c r="HU12" s="42">
        <v>0</v>
      </c>
      <c r="HV12" s="42">
        <v>0</v>
      </c>
      <c r="HW12" s="42">
        <v>0</v>
      </c>
      <c r="HX12" s="42">
        <v>0</v>
      </c>
      <c r="HY12" s="42">
        <v>0</v>
      </c>
      <c r="HZ12" s="42">
        <v>0</v>
      </c>
      <c r="IA12" s="42">
        <v>0</v>
      </c>
      <c r="IB12" s="42">
        <v>0</v>
      </c>
      <c r="IC12" s="42">
        <v>0</v>
      </c>
      <c r="ID12" s="42">
        <v>0</v>
      </c>
      <c r="IE12" s="42">
        <v>0</v>
      </c>
      <c r="IF12" s="42">
        <v>0</v>
      </c>
      <c r="IG12" s="42">
        <v>0</v>
      </c>
      <c r="IH12" s="42">
        <v>0</v>
      </c>
      <c r="II12" s="42">
        <v>0</v>
      </c>
      <c r="IJ12" s="42">
        <v>0</v>
      </c>
      <c r="IK12" s="42">
        <v>0</v>
      </c>
      <c r="IL12" s="42">
        <v>0</v>
      </c>
      <c r="IM12" s="42">
        <v>0</v>
      </c>
      <c r="IN12" s="42">
        <v>0</v>
      </c>
      <c r="IO12" s="42">
        <v>0</v>
      </c>
      <c r="IP12" s="42">
        <v>0</v>
      </c>
      <c r="IQ12" s="42">
        <v>0</v>
      </c>
      <c r="IR12" s="42">
        <v>0</v>
      </c>
      <c r="IS12" s="42">
        <v>0</v>
      </c>
      <c r="IT12" s="42">
        <v>0</v>
      </c>
      <c r="IU12" s="42">
        <v>0</v>
      </c>
      <c r="IV12" s="42">
        <v>0</v>
      </c>
      <c r="IW12" s="42">
        <v>0</v>
      </c>
      <c r="IX12" s="42">
        <v>0</v>
      </c>
      <c r="IY12" s="42">
        <v>0</v>
      </c>
      <c r="IZ12" s="42">
        <v>0</v>
      </c>
      <c r="JA12" s="42">
        <v>0</v>
      </c>
      <c r="JB12" s="42">
        <v>0</v>
      </c>
      <c r="JC12" s="42">
        <v>0</v>
      </c>
      <c r="JD12" s="42">
        <v>0</v>
      </c>
      <c r="JE12" s="42">
        <v>0</v>
      </c>
      <c r="JF12" s="42">
        <v>0</v>
      </c>
    </row>
    <row r="13" spans="1:266" s="31" customFormat="1" x14ac:dyDescent="0.25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2"/>
      <c r="II13" s="52"/>
      <c r="IJ13" s="52"/>
      <c r="IK13" s="52"/>
      <c r="IL13" s="52"/>
      <c r="IM13" s="52"/>
      <c r="IN13" s="52"/>
      <c r="IO13" s="52"/>
      <c r="IP13" s="52"/>
      <c r="IQ13" s="52"/>
      <c r="IR13" s="52"/>
      <c r="IS13" s="52"/>
      <c r="IT13" s="52"/>
      <c r="IU13" s="52"/>
      <c r="IV13" s="52"/>
      <c r="IW13" s="52"/>
      <c r="IX13" s="52"/>
      <c r="IY13" s="52"/>
      <c r="IZ13" s="52"/>
      <c r="JA13" s="52"/>
      <c r="JB13" s="52"/>
      <c r="JC13" s="52"/>
      <c r="JD13" s="52"/>
      <c r="JE13" s="52"/>
      <c r="JF13" s="52"/>
    </row>
    <row r="14" spans="1:266" s="51" customFormat="1" ht="10.5" customHeight="1" x14ac:dyDescent="0.25">
      <c r="A14" s="90"/>
      <c r="B14" s="90"/>
      <c r="C14" s="90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IU14" s="69"/>
      <c r="IV14" s="69"/>
      <c r="IW14" s="69"/>
      <c r="IX14" s="69"/>
      <c r="IY14" s="69"/>
      <c r="IZ14" s="69"/>
      <c r="JA14" s="69"/>
      <c r="JB14" s="69"/>
      <c r="JC14" s="69"/>
      <c r="JD14" s="31"/>
      <c r="JE14" s="31"/>
      <c r="JF14" s="31"/>
    </row>
    <row r="15" spans="1:266" s="31" customFormat="1" x14ac:dyDescent="0.2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</row>
    <row r="16" spans="1:266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Z16" s="46"/>
      <c r="FA16" s="46"/>
      <c r="FB16" s="46"/>
    </row>
    <row r="17" spans="152:158" x14ac:dyDescent="0.25">
      <c r="EV17" s="46"/>
      <c r="EW17" s="46"/>
    </row>
    <row r="21" spans="152:158" x14ac:dyDescent="0.25">
      <c r="EV21" s="46"/>
      <c r="EW21" s="46"/>
      <c r="EX21" s="46"/>
      <c r="EY21" s="46"/>
      <c r="EZ21" s="46"/>
      <c r="FA21" s="46"/>
      <c r="FB21" s="46"/>
    </row>
  </sheetData>
  <mergeCells count="18">
    <mergeCell ref="A1:B1"/>
    <mergeCell ref="BE1:BI1"/>
    <mergeCell ref="A3:BD3"/>
    <mergeCell ref="C4:AP4"/>
    <mergeCell ref="BH4:BI4"/>
    <mergeCell ref="A10:C10"/>
    <mergeCell ref="CG4:CH4"/>
    <mergeCell ref="CI4:CJ4"/>
    <mergeCell ref="A7:C7"/>
    <mergeCell ref="A8:C8"/>
    <mergeCell ref="A9:C9"/>
    <mergeCell ref="BT4:BU4"/>
    <mergeCell ref="A16:EQ16"/>
    <mergeCell ref="A11:C11"/>
    <mergeCell ref="A12:C12"/>
    <mergeCell ref="A13:CC13"/>
    <mergeCell ref="A14:C14"/>
    <mergeCell ref="A15:CC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International Reserves</vt:lpstr>
      <vt:lpstr>Historical Data</vt:lpstr>
      <vt:lpstr>'International Reserves'!Print_Area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Ayman Nasreldin</cp:lastModifiedBy>
  <cp:lastPrinted>2026-08-05T07:34:01Z</cp:lastPrinted>
  <dcterms:created xsi:type="dcterms:W3CDTF">2005-03-14T12:14:09Z</dcterms:created>
  <dcterms:modified xsi:type="dcterms:W3CDTF">2026-10-07T05:39:29Z</dcterms:modified>
</cp:coreProperties>
</file>