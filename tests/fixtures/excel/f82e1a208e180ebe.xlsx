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التجارة الخارجية\trade1\Trade\TRADE for Time Series\2024-2025\جداول الربع الرابع 2024-2025\الموازين\"/>
    </mc:Choice>
  </mc:AlternateContent>
  <xr:revisionPtr revIDLastSave="0" documentId="13_ncr:1_{8F4BDB0A-39A0-4405-8792-5D86170EAA27}" xr6:coauthVersionLast="36" xr6:coauthVersionMax="36" xr10:uidLastSave="{00000000-0000-0000-0000-000000000000}"/>
  <bookViews>
    <workbookView showHorizontalScroll="0" showVerticalScroll="0" showSheetTabs="0" xWindow="0" yWindow="0" windowWidth="20730" windowHeight="9390" xr2:uid="{00000000-000D-0000-FFFF-FFFF00000000}"/>
  </bookViews>
  <sheets>
    <sheet name="annual" sheetId="1" r:id="rId1"/>
  </sheets>
  <definedNames>
    <definedName name="_xlnm.Print_Area" localSheetId="0">annual!$A$1:$AC$50</definedName>
  </definedNames>
  <calcPr calcId="191029"/>
</workbook>
</file>

<file path=xl/calcChain.xml><?xml version="1.0" encoding="utf-8"?>
<calcChain xmlns="http://schemas.openxmlformats.org/spreadsheetml/2006/main">
  <c r="E49" i="1" l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</calcChain>
</file>

<file path=xl/sharedStrings.xml><?xml version="1.0" encoding="utf-8"?>
<sst xmlns="http://schemas.openxmlformats.org/spreadsheetml/2006/main" count="157" uniqueCount="109">
  <si>
    <t>Main Merchandise Balances</t>
  </si>
  <si>
    <t>(US$ mn)</t>
  </si>
  <si>
    <t>خلال</t>
  </si>
  <si>
    <t>During</t>
  </si>
  <si>
    <t>الصادرات</t>
  </si>
  <si>
    <t>الواردات</t>
  </si>
  <si>
    <t>الفائض / العجز</t>
  </si>
  <si>
    <t>Exports</t>
  </si>
  <si>
    <t>Imports</t>
  </si>
  <si>
    <t>Surplus / Deficit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</si>
  <si>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</si>
  <si>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</si>
  <si>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</si>
  <si>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</si>
  <si>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</si>
  <si>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</si>
  <si>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</si>
  <si>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</si>
  <si>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</si>
  <si>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</si>
  <si>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الميزان السلعى للمواد الغذائية (بدون الحبوب)، منها :</t>
  </si>
  <si>
    <t>Foodstuff Merchandise Balance (without cereals), of which:</t>
  </si>
  <si>
    <t xml:space="preserve"> لحوم واحشاء واطراف صالحه للاكل</t>
  </si>
  <si>
    <t>Meat and edible offals</t>
  </si>
  <si>
    <t xml:space="preserve"> البان ومنتجاتها .بيض .طيور.عسل طبيعى.منتجات للاكل</t>
  </si>
  <si>
    <t>Milk and dairy products, eggs, poultry, honey and edible products</t>
  </si>
  <si>
    <t xml:space="preserve"> خضر ونباتات وجزور ودرنات غذائيه</t>
  </si>
  <si>
    <t>Edible vegetables, plants, roots and tubers</t>
  </si>
  <si>
    <t xml:space="preserve"> شحوم ودهون وزيوت حيوانيه او نباتيه ومنتجاتها المشتقه</t>
  </si>
  <si>
    <t>Animal or vegetable fats, greases and oils and products thereof</t>
  </si>
  <si>
    <t xml:space="preserve"> محضرات غذائية منوعة</t>
  </si>
  <si>
    <t>Miscellaneous food preparations</t>
  </si>
  <si>
    <t xml:space="preserve"> سكر ومصنوعات سكرية</t>
  </si>
  <si>
    <t>Sugar and sugar confectionery</t>
  </si>
  <si>
    <t xml:space="preserve"> فواكه واثمار صالحه للاكل</t>
  </si>
  <si>
    <t>Edible fruits and nuts</t>
  </si>
  <si>
    <t xml:space="preserve"> محضرات خضر ومحضرات ثمار او فواكة</t>
  </si>
  <si>
    <t xml:space="preserve">Preparations of vegetables, fruits or nuts </t>
  </si>
  <si>
    <t xml:space="preserve">الميزان السلعى للحبوب ومنتجات المطاحن ، منها : </t>
  </si>
  <si>
    <t>Merchandise Balance of Cereals and Milling Products, of which:</t>
  </si>
  <si>
    <t>ذرة</t>
  </si>
  <si>
    <t>Maize</t>
  </si>
  <si>
    <t>قمح</t>
  </si>
  <si>
    <t>Wheat</t>
  </si>
  <si>
    <t>أرز</t>
  </si>
  <si>
    <t>Rice</t>
  </si>
  <si>
    <t>الميزان السلعى للمواد النسيجية ومصنوعاتها  ، منها :</t>
  </si>
  <si>
    <t>Merchandise Balance of Textile Materials and Articles thereof, of which:</t>
  </si>
  <si>
    <t xml:space="preserve">ألبسة وتوابع البسة </t>
  </si>
  <si>
    <t>Apparel and clothing accessories</t>
  </si>
  <si>
    <t>منسوجات قطنية</t>
  </si>
  <si>
    <t>Cotton textiles</t>
  </si>
  <si>
    <t xml:space="preserve"> الياف تركيبيه اصطناعيه</t>
  </si>
  <si>
    <t>Synthetic fibers</t>
  </si>
  <si>
    <t xml:space="preserve"> سجاد واغطيه ارضيات اخر من مواد نسيجيه</t>
  </si>
  <si>
    <t>Carpets and other floor coverings</t>
  </si>
  <si>
    <t>خيوط القطن</t>
  </si>
  <si>
    <t>Cotton yarn</t>
  </si>
  <si>
    <t xml:space="preserve"> قطن خام</t>
  </si>
  <si>
    <t>Raw cotton</t>
  </si>
  <si>
    <t>الميزان السلعى لمنتجات الصناعات الكيماوية ، منها :</t>
  </si>
  <si>
    <t>Merchandise Balance of Chemical Products, of which:</t>
  </si>
  <si>
    <t xml:space="preserve"> منتجات الصيدله</t>
  </si>
  <si>
    <t>Pharmaceuticals</t>
  </si>
  <si>
    <t xml:space="preserve"> منتجات كيماويه غير العضوية والعضوية</t>
  </si>
  <si>
    <t>Organic and inorganic Chemicals</t>
  </si>
  <si>
    <t xml:space="preserve"> اسمده</t>
  </si>
  <si>
    <t>Fertilizers</t>
  </si>
  <si>
    <t>الميزان السلعى للآلات والأجهـــزة والمعـدات الكهـربـائيـة وأجـــزاؤهـــا ، منها:</t>
  </si>
  <si>
    <t>Merchandise Balance of Electrical machinery and equipment and parts thereof, of which:</t>
  </si>
  <si>
    <t>أجهزة كهربائية للاستعمال المنزلى وقطع غيارها</t>
  </si>
  <si>
    <t>Household electric-motor appliances and spare parts</t>
  </si>
  <si>
    <t>أجهزة كهربائية للهاتف (بما فيها الانتركم، والتليفونات المحمولة)</t>
  </si>
  <si>
    <t>Electrical appliances for telephone (including Intercom and mobile phones)</t>
  </si>
  <si>
    <t>اسلاك وكابلات</t>
  </si>
  <si>
    <t>Wires and cables</t>
  </si>
  <si>
    <t>الات للمعالجة الذاتية للمعلومات</t>
  </si>
  <si>
    <t>Automatic data processing machines</t>
  </si>
  <si>
    <t>الات وأجهزة تكييف الهواء وقطع غيارها</t>
  </si>
  <si>
    <t>Air-conditioning machines and spare parts</t>
  </si>
  <si>
    <t>الميزان السلعي للمعــــــــادن العــــــــاديـــه ومنتجاتها ، منها :</t>
  </si>
  <si>
    <t>Merchandise Balance of Base Metals and Products, of which:</t>
  </si>
  <si>
    <t xml:space="preserve"> حديد وصلب - فولاز ومصنوعاته</t>
  </si>
  <si>
    <t>Iron &amp; steel  and articles thereof</t>
  </si>
  <si>
    <t xml:space="preserve"> الومنيوم ومصنوعاتة</t>
  </si>
  <si>
    <t xml:space="preserve">Aluminum and articles thereof  </t>
  </si>
  <si>
    <t xml:space="preserve"> نحاس ومصنوعاتة</t>
  </si>
  <si>
    <t>Copper and articles thereof</t>
  </si>
  <si>
    <t xml:space="preserve"> الميزان السلعي للمركـبات والعـربـات ووسائل الـنـقـل الاخرى  ، منها :</t>
  </si>
  <si>
    <t>Merchandise Balance of Vehicles, Cars and Other Means of Transportation , of which:</t>
  </si>
  <si>
    <t>قطع غيار واجزاء للسيارات والجرارات</t>
  </si>
  <si>
    <t>Spare parts and accessories for cars and tractors</t>
  </si>
  <si>
    <t>سيارات ركوب</t>
  </si>
  <si>
    <t>Passenger vehicles</t>
  </si>
  <si>
    <t>*  أرقام مبدئية .</t>
  </si>
  <si>
    <t xml:space="preserve">   * Provisional .</t>
  </si>
  <si>
    <t>2016/2017</t>
  </si>
  <si>
    <t>فول الصويا لغير البذار</t>
  </si>
  <si>
    <t>Soya beans for non-sowing</t>
  </si>
  <si>
    <t>Liquid and air pumps, concrete and spare parts</t>
  </si>
  <si>
    <t>مضخات للسوائل والهواء والخرسانة وقطع غيارها</t>
  </si>
  <si>
    <t>2017/2018</t>
  </si>
  <si>
    <t>2018/2019</t>
  </si>
  <si>
    <t>2019/2020</t>
  </si>
  <si>
    <t>2020/2021</t>
  </si>
  <si>
    <t>2023/2024*</t>
  </si>
  <si>
    <t>2021/2022</t>
  </si>
  <si>
    <t>2024/2025*</t>
  </si>
  <si>
    <t>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</si>
</sst>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\ _ج_._م_._‏_-;\-* #,##0\ _ج_._م_._‏_-;_-* &quot;-&quot;\ _ج_._م_._‏_-;_-@_-"/>
    <numFmt numFmtId="164" formatCode="_(* #,##0_);_(* \(#,##0\);_(* &quot;-&quot;_);_(@_)"/>
    <numFmt numFmtId="165" formatCode="_-* #,##0_-;_-* #,##0\-;_-* &quot;-&quot;_-;_-@_-"/>
    <numFmt numFmtId="166" formatCode="_-* #,##0.00_-;_-* #,##0.00\-;_-* &quot;-&quot;??_-;_-@_-"/>
    <numFmt numFmtId="167" formatCode="0.0"/>
    <numFmt numFmtId="168" formatCode="###0.0_);[Black]\(###0.0\)"/>
    <numFmt numFmtId="169" formatCode="0.0;\(###0.0\)"/>
    <numFmt numFmtId="170" formatCode="_ &quot;ج.م.‏&quot;* #,##0_ ;_ &quot;ج.م.‏&quot;* \-#,##0_ ;_ &quot;ج.م.‏&quot;* &quot;-&quot;_ ;_ @_ "/>
    <numFmt numFmtId="171" formatCode="_ * #,##0_ ;_ * \-#,##0_ ;_ * &quot;-&quot;_ ;_ @_ "/>
    <numFmt numFmtId="172" formatCode="_ &quot;ج.م.‏&quot;* #,##0.00_ ;_ &quot;ج.م.‏&quot;* \-#,##0.00_ ;_ &quot;ج.م.‏&quot;* &quot;-&quot;??_ ;_ @_ "/>
    <numFmt numFmtId="173" formatCode="_ * #,##0.00_ ;_ * \-#,##0.00_ ;_ * &quot;-&quot;??_ ;_ @_ "/>
    <numFmt numFmtId="175" formatCode="_-* #,##0\ _ج_._م_._‏_-;\-* #,##0\ _ج_._م_._‏_-;_-* &quot;-&quot;\ _ج_._م_._‏_-;_-@_-"/>
  </numFmts>
  <fonts count="44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sz val="10"/>
      <name val="Arial"/>
      <family val="2"/>
    </font>
    <font>
      <b/>
      <i/>
      <u/>
      <sz val="12"/>
      <name val="Times New (W1)"/>
      <charset val="178"/>
    </font>
    <font>
      <sz val="14"/>
      <name val="Arial"/>
      <family val="2"/>
    </font>
    <font>
      <i/>
      <sz val="12"/>
      <name val="Times New (W1)"/>
      <family val="1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u/>
      <sz val="12"/>
      <name val="Arial"/>
      <family val="2"/>
    </font>
    <font>
      <i/>
      <sz val="10"/>
      <name val="Arial"/>
      <family val="2"/>
    </font>
    <font>
      <b/>
      <sz val="9"/>
      <name val="Times New (W1)"/>
      <family val="1"/>
    </font>
    <font>
      <u/>
      <sz val="14"/>
      <color indexed="61"/>
      <name val="Akhbar MT"/>
      <charset val="178"/>
    </font>
    <font>
      <sz val="10"/>
      <name val="Arial"/>
      <family val="2"/>
      <charset val="178"/>
    </font>
    <font>
      <sz val="13"/>
      <name val="Akhbar MT"/>
      <charset val="178"/>
    </font>
    <font>
      <sz val="8"/>
      <name val="Arial"/>
      <family val="2"/>
      <charset val="178"/>
    </font>
    <font>
      <sz val="8"/>
      <name val="Arial"/>
      <family val="2"/>
    </font>
    <font>
      <sz val="10"/>
      <name val="Arabic Transparent"/>
      <charset val="178"/>
    </font>
    <font>
      <sz val="10"/>
      <color indexed="8"/>
      <name val="MS Sans Serif"/>
      <family val="2"/>
      <charset val="178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b/>
      <sz val="12"/>
      <name val="Arial"/>
      <family val="2"/>
      <charset val="178"/>
    </font>
    <font>
      <sz val="10"/>
      <color indexed="8"/>
      <name val="MS Sans Serif"/>
      <family val="2"/>
      <charset val="178"/>
    </font>
    <font>
      <u/>
      <sz val="10"/>
      <color indexed="36"/>
      <name val="Arial"/>
      <family val="2"/>
    </font>
    <font>
      <b/>
      <sz val="12"/>
      <color rgb="FF7030A0"/>
      <name val="Arial"/>
      <family val="2"/>
    </font>
    <font>
      <u/>
      <sz val="14"/>
      <color indexed="61"/>
      <name val="Arial"/>
      <family val="2"/>
    </font>
    <font>
      <b/>
      <sz val="14"/>
      <name val="Arial"/>
      <family val="2"/>
    </font>
    <font>
      <u/>
      <sz val="14"/>
      <color rgb="FF993366"/>
      <name val="Arial"/>
      <family val="2"/>
    </font>
    <font>
      <u/>
      <sz val="14"/>
      <color rgb="FF993D66"/>
      <name val="Arial"/>
      <family val="2"/>
    </font>
    <font>
      <u/>
      <sz val="11"/>
      <color indexed="6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Times New (W1)"/>
      <charset val="178"/>
    </font>
    <font>
      <sz val="10"/>
      <color indexed="8"/>
      <name val="MS Sans Serif"/>
      <family val="2"/>
    </font>
    <font>
      <u/>
      <sz val="16"/>
      <color indexed="61"/>
      <name val="Arial"/>
      <family val="2"/>
    </font>
    <font>
      <sz val="14"/>
      <name val="Arial"/>
      <family val="2"/>
      <charset val="178"/>
    </font>
    <font>
      <sz val="10"/>
      <color indexed="8"/>
      <name val="MS Sans Serif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E7D6BC"/>
        <bgColor indexed="64"/>
      </patternFill>
    </fill>
    <fill>
      <patternFill patternType="solid">
        <fgColor rgb="FFDFD8E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5">
    <xf numFmtId="0" fontId="0" fillId="0" borderId="0"/>
    <xf numFmtId="0" fontId="7" fillId="0" borderId="0"/>
    <xf numFmtId="0" fontId="23" fillId="0" borderId="0" applyNumberFormat="0">
      <alignment horizontal="right"/>
    </xf>
    <xf numFmtId="0" fontId="24" fillId="0" borderId="0"/>
    <xf numFmtId="0" fontId="26" fillId="0" borderId="0"/>
    <xf numFmtId="0" fontId="25" fillId="0" borderId="0"/>
    <xf numFmtId="9" fontId="26" fillId="0" borderId="0" applyFont="0" applyFill="0" applyBorder="0" applyAlignment="0" applyProtection="0"/>
    <xf numFmtId="0" fontId="27" fillId="0" borderId="0"/>
    <xf numFmtId="0" fontId="29" fillId="0" borderId="0"/>
    <xf numFmtId="0" fontId="7" fillId="0" borderId="0"/>
    <xf numFmtId="0" fontId="7" fillId="0" borderId="0"/>
    <xf numFmtId="0" fontId="4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170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0" fontId="38" fillId="0" borderId="0"/>
    <xf numFmtId="166" fontId="7" fillId="0" borderId="0" applyFont="0" applyFill="0" applyBorder="0" applyAlignment="0" applyProtection="0"/>
    <xf numFmtId="0" fontId="3" fillId="0" borderId="0"/>
    <xf numFmtId="0" fontId="40" fillId="0" borderId="0"/>
    <xf numFmtId="0" fontId="7" fillId="0" borderId="0"/>
    <xf numFmtId="0" fontId="2" fillId="0" borderId="0"/>
    <xf numFmtId="0" fontId="7" fillId="0" borderId="0"/>
    <xf numFmtId="0" fontId="1" fillId="0" borderId="0"/>
    <xf numFmtId="0" fontId="24" fillId="0" borderId="0"/>
    <xf numFmtId="9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5" fontId="7" fillId="0" borderId="0" applyFont="0" applyFill="0" applyBorder="0" applyAlignment="0" applyProtection="0"/>
    <xf numFmtId="0" fontId="24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7" fillId="0" borderId="0"/>
    <xf numFmtId="0" fontId="1" fillId="0" borderId="0"/>
    <xf numFmtId="0" fontId="24" fillId="0" borderId="0"/>
    <xf numFmtId="9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5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5" fontId="7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0" fillId="0" borderId="0" xfId="0" applyFill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0" borderId="0" xfId="0" applyBorder="1"/>
    <xf numFmtId="0" fontId="14" fillId="0" borderId="0" xfId="0" applyFont="1"/>
    <xf numFmtId="0" fontId="15" fillId="0" borderId="0" xfId="0" applyFont="1"/>
    <xf numFmtId="0" fontId="12" fillId="0" borderId="0" xfId="0" applyFont="1" applyFill="1"/>
    <xf numFmtId="0" fontId="15" fillId="0" borderId="0" xfId="0" applyFont="1" applyFill="1"/>
    <xf numFmtId="0" fontId="16" fillId="0" borderId="0" xfId="0" applyFont="1"/>
    <xf numFmtId="0" fontId="17" fillId="0" borderId="0" xfId="0" quotePrefix="1" applyFont="1" applyFill="1" applyAlignment="1">
      <alignment horizontal="left" vertical="center" readingOrder="1"/>
    </xf>
    <xf numFmtId="0" fontId="18" fillId="0" borderId="0" xfId="1" applyFont="1" applyFill="1" applyBorder="1" applyAlignment="1">
      <alignment horizontal="right" vertical="center" indent="1" readingOrder="2"/>
    </xf>
    <xf numFmtId="0" fontId="8" fillId="0" borderId="0" xfId="0" quotePrefix="1" applyFont="1" applyFill="1" applyBorder="1" applyAlignment="1">
      <alignment horizontal="right" indent="2"/>
    </xf>
    <xf numFmtId="0" fontId="19" fillId="0" borderId="0" xfId="0" applyFont="1" applyFill="1" applyAlignment="1">
      <alignment readingOrder="1"/>
    </xf>
    <xf numFmtId="0" fontId="20" fillId="0" borderId="0" xfId="1" applyFont="1" applyFill="1" applyBorder="1" applyAlignment="1">
      <alignment horizontal="right" vertical="center" indent="1" readingOrder="2"/>
    </xf>
    <xf numFmtId="0" fontId="10" fillId="0" borderId="0" xfId="0" quotePrefix="1" applyFont="1" applyFill="1" applyBorder="1" applyAlignment="1">
      <alignment horizontal="right" indent="2"/>
    </xf>
    <xf numFmtId="0" fontId="21" fillId="0" borderId="0" xfId="0" applyFont="1" applyFill="1" applyAlignment="1">
      <alignment readingOrder="1"/>
    </xf>
    <xf numFmtId="0" fontId="22" fillId="0" borderId="0" xfId="0" applyFont="1" applyFill="1" applyAlignment="1">
      <alignment horizontal="left" readingOrder="1"/>
    </xf>
    <xf numFmtId="0" fontId="0" fillId="0" borderId="0" xfId="0" applyFill="1" applyBorder="1"/>
    <xf numFmtId="0" fontId="19" fillId="0" borderId="0" xfId="0" applyFont="1" applyFill="1" applyBorder="1" applyAlignment="1">
      <alignment readingOrder="1"/>
    </xf>
    <xf numFmtId="167" fontId="31" fillId="3" borderId="5" xfId="1" applyNumberFormat="1" applyFont="1" applyFill="1" applyBorder="1" applyAlignment="1">
      <alignment horizontal="center" vertical="center"/>
    </xf>
    <xf numFmtId="167" fontId="31" fillId="3" borderId="1" xfId="1" applyNumberFormat="1" applyFont="1" applyFill="1" applyBorder="1" applyAlignment="1">
      <alignment horizontal="center" vertical="center"/>
    </xf>
    <xf numFmtId="167" fontId="31" fillId="3" borderId="5" xfId="1" applyNumberFormat="1" applyFont="1" applyFill="1" applyBorder="1" applyAlignment="1">
      <alignment horizontal="center" vertical="center" shrinkToFit="1"/>
    </xf>
    <xf numFmtId="167" fontId="36" fillId="0" borderId="6" xfId="1" applyNumberFormat="1" applyFont="1" applyFill="1" applyBorder="1" applyAlignment="1">
      <alignment horizontal="center" vertical="center" readingOrder="1"/>
    </xf>
    <xf numFmtId="169" fontId="36" fillId="0" borderId="3" xfId="8" applyNumberFormat="1" applyFont="1" applyBorder="1" applyAlignment="1">
      <alignment horizontal="center" vertical="center" readingOrder="1"/>
    </xf>
    <xf numFmtId="167" fontId="37" fillId="0" borderId="6" xfId="1" applyNumberFormat="1" applyFont="1" applyFill="1" applyBorder="1" applyAlignment="1">
      <alignment horizontal="center" vertical="center" readingOrder="1"/>
    </xf>
    <xf numFmtId="168" fontId="37" fillId="0" borderId="3" xfId="8" applyNumberFormat="1" applyFont="1" applyBorder="1" applyAlignment="1">
      <alignment horizontal="center" vertical="center" readingOrder="1"/>
    </xf>
    <xf numFmtId="167" fontId="37" fillId="0" borderId="4" xfId="1" applyNumberFormat="1" applyFont="1" applyFill="1" applyBorder="1" applyAlignment="1">
      <alignment horizontal="center" vertical="center" readingOrder="1"/>
    </xf>
    <xf numFmtId="168" fontId="37" fillId="0" borderId="5" xfId="8" applyNumberFormat="1" applyFont="1" applyBorder="1" applyAlignment="1">
      <alignment horizontal="center" vertical="center" readingOrder="1"/>
    </xf>
    <xf numFmtId="0" fontId="32" fillId="4" borderId="3" xfId="1" applyFont="1" applyFill="1" applyBorder="1" applyAlignment="1">
      <alignment horizontal="right" vertical="center" indent="1" readingOrder="2"/>
    </xf>
    <xf numFmtId="0" fontId="35" fillId="4" borderId="3" xfId="0" quotePrefix="1" applyFont="1" applyFill="1" applyBorder="1" applyAlignment="1">
      <alignment horizontal="left" indent="2"/>
    </xf>
    <xf numFmtId="0" fontId="14" fillId="4" borderId="3" xfId="1" applyFont="1" applyFill="1" applyBorder="1" applyAlignment="1">
      <alignment horizontal="right" vertical="center" indent="1" readingOrder="2"/>
    </xf>
    <xf numFmtId="0" fontId="13" fillId="4" borderId="3" xfId="0" quotePrefix="1" applyFont="1" applyFill="1" applyBorder="1" applyAlignment="1">
      <alignment horizontal="left" indent="2"/>
    </xf>
    <xf numFmtId="0" fontId="34" fillId="4" borderId="3" xfId="1" applyFont="1" applyFill="1" applyBorder="1" applyAlignment="1">
      <alignment horizontal="right" vertical="center" indent="1" readingOrder="2"/>
    </xf>
    <xf numFmtId="0" fontId="13" fillId="0" borderId="2" xfId="1" applyFont="1" applyFill="1" applyBorder="1" applyAlignment="1">
      <alignment horizontal="right" vertical="center" indent="1" readingOrder="2"/>
    </xf>
    <xf numFmtId="0" fontId="39" fillId="0" borderId="0" xfId="0" quotePrefix="1" applyFont="1" applyFill="1" applyAlignment="1">
      <alignment horizontal="left" vertical="center" readingOrder="1"/>
    </xf>
    <xf numFmtId="0" fontId="28" fillId="0" borderId="0" xfId="5" applyFont="1" applyAlignment="1">
      <alignment horizontal="center" vertical="center"/>
    </xf>
    <xf numFmtId="0" fontId="13" fillId="4" borderId="5" xfId="0" quotePrefix="1" applyFont="1" applyFill="1" applyBorder="1" applyAlignment="1">
      <alignment horizontal="left" vertical="center" indent="2"/>
    </xf>
    <xf numFmtId="0" fontId="5" fillId="0" borderId="0" xfId="0" applyFont="1" applyFill="1" applyBorder="1" applyAlignment="1">
      <alignment horizontal="center" vertical="center" readingOrder="1"/>
    </xf>
    <xf numFmtId="167" fontId="9" fillId="0" borderId="0" xfId="0" applyNumberFormat="1" applyFont="1"/>
    <xf numFmtId="169" fontId="36" fillId="0" borderId="3" xfId="8" applyNumberFormat="1" applyFont="1" applyFill="1" applyBorder="1" applyAlignment="1">
      <alignment horizontal="center" vertical="center" readingOrder="1"/>
    </xf>
    <xf numFmtId="168" fontId="37" fillId="0" borderId="3" xfId="8" applyNumberFormat="1" applyFont="1" applyFill="1" applyBorder="1" applyAlignment="1">
      <alignment horizontal="center" vertical="center" readingOrder="1"/>
    </xf>
    <xf numFmtId="0" fontId="6" fillId="2" borderId="7" xfId="0" applyFont="1" applyFill="1" applyBorder="1" applyAlignment="1">
      <alignment horizontal="center" vertical="center" wrapText="1" readingOrder="1"/>
    </xf>
    <xf numFmtId="0" fontId="6" fillId="2" borderId="8" xfId="0" applyFont="1" applyFill="1" applyBorder="1" applyAlignment="1">
      <alignment horizontal="center" vertical="center" wrapText="1" readingOrder="1"/>
    </xf>
    <xf numFmtId="0" fontId="6" fillId="2" borderId="9" xfId="0" applyFont="1" applyFill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 readingOrder="1"/>
    </xf>
    <xf numFmtId="0" fontId="33" fillId="4" borderId="1" xfId="0" applyFont="1" applyFill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/>
    </xf>
    <xf numFmtId="0" fontId="33" fillId="4" borderId="5" xfId="0" applyFont="1" applyFill="1" applyBorder="1" applyAlignment="1">
      <alignment horizontal="center" vertical="center"/>
    </xf>
    <xf numFmtId="167" fontId="9" fillId="0" borderId="0" xfId="0" applyNumberFormat="1" applyFont="1"/>
    <xf numFmtId="167" fontId="41" fillId="0" borderId="6" xfId="1" applyNumberFormat="1" applyFont="1" applyFill="1" applyBorder="1" applyAlignment="1">
      <alignment horizontal="center" vertical="center" readingOrder="1"/>
    </xf>
    <xf numFmtId="167" fontId="42" fillId="0" borderId="6" xfId="1" applyNumberFormat="1" applyFont="1" applyFill="1" applyBorder="1" applyAlignment="1">
      <alignment horizontal="center" vertical="center" readingOrder="1"/>
    </xf>
  </cellXfs>
  <cellStyles count="65">
    <cellStyle name="Comma 2" xfId="20" xr:uid="{00000000-0005-0000-0000-000000000000}"/>
    <cellStyle name="MS_Arabic" xfId="2" xr:uid="{00000000-0005-0000-0000-000001000000}"/>
    <cellStyle name="Normal" xfId="0" builtinId="0"/>
    <cellStyle name="Normal 2" xfId="3" xr:uid="{00000000-0005-0000-0000-000003000000}"/>
    <cellStyle name="Normal 2 2" xfId="10" xr:uid="{00000000-0005-0000-0000-000004000000}"/>
    <cellStyle name="Normal 2 2 2" xfId="23" xr:uid="{00000000-0005-0000-0000-000005000000}"/>
    <cellStyle name="Normal 2 3" xfId="9" xr:uid="{00000000-0005-0000-0000-000006000000}"/>
    <cellStyle name="Normal 3" xfId="4" xr:uid="{00000000-0005-0000-0000-000007000000}"/>
    <cellStyle name="Normal 3 2" xfId="11" xr:uid="{00000000-0005-0000-0000-000008000000}"/>
    <cellStyle name="Normal 3 2 2" xfId="32" xr:uid="{00000000-0005-0000-0000-000009000000}"/>
    <cellStyle name="Normal 3 2 2 2" xfId="56" xr:uid="{00000000-0005-0000-0000-000009000000}"/>
    <cellStyle name="Normal 3 2 2 3" xfId="49" xr:uid="{00000000-0005-0000-0000-000009000000}"/>
    <cellStyle name="Normal 3 2 3" xfId="43" xr:uid="{00000000-0005-0000-0000-000008000000}"/>
    <cellStyle name="Normal 3 2 4" xfId="54" xr:uid="{00000000-0005-0000-0000-000008000000}"/>
    <cellStyle name="Normal 3 2 5" xfId="38" xr:uid="{00000000-0005-0000-0000-000008000000}"/>
    <cellStyle name="Normal 3 2 6" xfId="61" xr:uid="{00000000-0005-0000-0000-000008000000}"/>
    <cellStyle name="Normal 3 2 7" xfId="26" xr:uid="{00000000-0005-0000-0000-000008000000}"/>
    <cellStyle name="Normal 3 3" xfId="21" xr:uid="{00000000-0005-0000-0000-000009000000}"/>
    <cellStyle name="Normal 3 3 2" xfId="33" xr:uid="{00000000-0005-0000-0000-00000B000000}"/>
    <cellStyle name="Normal 3 3 2 2" xfId="57" xr:uid="{00000000-0005-0000-0000-00000B000000}"/>
    <cellStyle name="Normal 3 3 2 3" xfId="50" xr:uid="{00000000-0005-0000-0000-00000B000000}"/>
    <cellStyle name="Normal 3 3 3" xfId="47" xr:uid="{00000000-0005-0000-0000-00000A000000}"/>
    <cellStyle name="Normal 3 3 4" xfId="55" xr:uid="{00000000-0005-0000-0000-00000A000000}"/>
    <cellStyle name="Normal 3 3 5" xfId="39" xr:uid="{00000000-0005-0000-0000-000009000000}"/>
    <cellStyle name="Normal 3 3 6" xfId="63" xr:uid="{00000000-0005-0000-0000-000009000000}"/>
    <cellStyle name="Normal 3 3 7" xfId="30" xr:uid="{00000000-0005-0000-0000-00000A000000}"/>
    <cellStyle name="Normal 3 4" xfId="24" xr:uid="{00000000-0005-0000-0000-00000A000000}"/>
    <cellStyle name="Normal 3 4 2" xfId="48" xr:uid="{00000000-0005-0000-0000-00000C000000}"/>
    <cellStyle name="Normal 3 4 3" xfId="40" xr:uid="{00000000-0005-0000-0000-00000A000000}"/>
    <cellStyle name="Normal 3 4 4" xfId="64" xr:uid="{00000000-0005-0000-0000-00000A000000}"/>
    <cellStyle name="Normal 3 4 5" xfId="31" xr:uid="{00000000-0005-0000-0000-00000C000000}"/>
    <cellStyle name="Normal 3 5" xfId="35" xr:uid="{00000000-0005-0000-0000-00000D000000}"/>
    <cellStyle name="Normal 3 5 2" xfId="59" xr:uid="{00000000-0005-0000-0000-00000D000000}"/>
    <cellStyle name="Normal 3 5 3" xfId="52" xr:uid="{00000000-0005-0000-0000-00000D000000}"/>
    <cellStyle name="Normal 3 6" xfId="42" xr:uid="{00000000-0005-0000-0000-000007000000}"/>
    <cellStyle name="Normal 3 7" xfId="25" xr:uid="{00000000-0005-0000-0000-000007000000}"/>
    <cellStyle name="Normal 4" xfId="8" xr:uid="{00000000-0005-0000-0000-00000B000000}"/>
    <cellStyle name="Normal 4 2" xfId="44" xr:uid="{00000000-0005-0000-0000-00000E000000}"/>
    <cellStyle name="Normal 4 3" xfId="37" xr:uid="{00000000-0005-0000-0000-00000B000000}"/>
    <cellStyle name="Normal 4 4" xfId="27" xr:uid="{00000000-0005-0000-0000-00000E000000}"/>
    <cellStyle name="Normal 5" xfId="19" xr:uid="{00000000-0005-0000-0000-00000C000000}"/>
    <cellStyle name="Normal 5 2" xfId="51" xr:uid="{00000000-0005-0000-0000-00000F000000}"/>
    <cellStyle name="Normal 5 3" xfId="58" xr:uid="{00000000-0005-0000-0000-00000F000000}"/>
    <cellStyle name="Normal 5 4" xfId="41" xr:uid="{00000000-0005-0000-0000-00000C000000}"/>
    <cellStyle name="Normal 5 5" xfId="62" xr:uid="{00000000-0005-0000-0000-00000C000000}"/>
    <cellStyle name="Normal 5 6" xfId="34" xr:uid="{00000000-0005-0000-0000-00000F000000}"/>
    <cellStyle name="Normal 6" xfId="22" xr:uid="{00000000-0005-0000-0000-00000D000000}"/>
    <cellStyle name="Normal_BOP_11_14-19_21" xfId="1" xr:uid="{00000000-0005-0000-0000-00000E000000}"/>
    <cellStyle name="Normal_BOP_11_14-19_21 2" xfId="5" xr:uid="{00000000-0005-0000-0000-00000F000000}"/>
    <cellStyle name="Percent 2" xfId="6" xr:uid="{00000000-0005-0000-0000-000010000000}"/>
    <cellStyle name="Percent 2 2" xfId="45" xr:uid="{00000000-0005-0000-0000-000012000000}"/>
    <cellStyle name="Percent 2 3" xfId="28" xr:uid="{00000000-0005-0000-0000-000012000000}"/>
    <cellStyle name="Spelling 1033,0" xfId="12" xr:uid="{00000000-0005-0000-0000-000011000000}"/>
    <cellStyle name="Spelling 1033,0 2" xfId="13" xr:uid="{00000000-0005-0000-0000-000012000000}"/>
    <cellStyle name="Spelling 1033,0 2 2" xfId="36" xr:uid="{00000000-0005-0000-0000-000015000000}"/>
    <cellStyle name="Spelling 1033,0 2 2 2" xfId="60" xr:uid="{00000000-0005-0000-0000-000015000000}"/>
    <cellStyle name="Spelling 1033,0 2 2 3" xfId="53" xr:uid="{00000000-0005-0000-0000-000015000000}"/>
    <cellStyle name="Spelling 1033,0 2 3" xfId="46" xr:uid="{00000000-0005-0000-0000-000014000000}"/>
    <cellStyle name="Spelling 1033,0 2 4" xfId="29" xr:uid="{00000000-0005-0000-0000-000014000000}"/>
    <cellStyle name="ارتباط تشعبي متبع_قطاعات" xfId="14" xr:uid="{00000000-0005-0000-0000-000013000000}"/>
    <cellStyle name="عادي_artim" xfId="7" xr:uid="{00000000-0005-0000-0000-000014000000}"/>
    <cellStyle name="عملة [0]_ART1" xfId="15" xr:uid="{00000000-0005-0000-0000-000015000000}"/>
    <cellStyle name="عملة_ART1" xfId="16" xr:uid="{00000000-0005-0000-0000-000016000000}"/>
    <cellStyle name="فاصلة [0]_ART1" xfId="17" xr:uid="{00000000-0005-0000-0000-000017000000}"/>
    <cellStyle name="فاصلة_ART1" xfId="18" xr:uid="{00000000-0005-0000-0000-000018000000}"/>
  </cellStyles>
  <dxfs count="0"/>
  <tableStyles count="0" defaultTableStyle="TableStyleMedium2" defaultPivotStyle="PivotStyleLight16"/>
  <colors>
    <mruColors>
      <color rgb="FFDFD8E7"/>
      <color rgb="FF993D66"/>
      <color rgb="FF993366"/>
      <color rgb="FFE7D6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87"/>
  <sheetViews>
    <sheetView tabSelected="1" view="pageBreakPreview" topLeftCell="R1" zoomScale="60" zoomScaleNormal="100" workbookViewId="0">
      <selection activeCell="AD6" sqref="AD6"/>
    </sheetView>
  </sheetViews>
  <sheetFormatPr defaultRowHeight="12.75"/>
  <cols>
    <col min="1" max="1" width="87.85546875" customWidth="1"/>
    <col min="2" max="2" width="127.28515625" style="15" customWidth="1"/>
    <col min="3" max="4" width="20.7109375" style="15" hidden="1" customWidth="1"/>
    <col min="5" max="5" width="20.7109375" hidden="1" customWidth="1"/>
    <col min="6" max="7" width="20.7109375" style="15" hidden="1" customWidth="1"/>
    <col min="8" max="11" width="20.7109375" hidden="1" customWidth="1"/>
    <col min="12" max="12" width="14.42578125" hidden="1" customWidth="1"/>
    <col min="13" max="13" width="15.140625" hidden="1" customWidth="1"/>
    <col min="14" max="14" width="17.5703125" hidden="1" customWidth="1"/>
    <col min="15" max="15" width="16.140625" hidden="1" customWidth="1"/>
    <col min="16" max="16" width="14.7109375" hidden="1" customWidth="1"/>
    <col min="17" max="17" width="18.7109375" hidden="1" customWidth="1"/>
    <col min="18" max="18" width="17.140625" customWidth="1"/>
    <col min="19" max="19" width="15.5703125" customWidth="1"/>
    <col min="20" max="20" width="18.7109375" customWidth="1"/>
    <col min="21" max="21" width="16.140625" customWidth="1"/>
    <col min="22" max="22" width="14.7109375" customWidth="1"/>
    <col min="23" max="23" width="18.7109375" bestFit="1" customWidth="1"/>
    <col min="24" max="24" width="16.140625" customWidth="1"/>
    <col min="25" max="25" width="14.7109375" customWidth="1"/>
    <col min="26" max="26" width="18.7109375" bestFit="1" customWidth="1"/>
    <col min="27" max="27" width="16.140625" customWidth="1"/>
    <col min="28" max="28" width="14.7109375" customWidth="1"/>
    <col min="29" max="29" width="18.7109375" bestFit="1" customWidth="1"/>
  </cols>
  <sheetData>
    <row r="1" spans="1:35" s="1" customFormat="1" ht="45" customHeight="1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</row>
    <row r="2" spans="1:35" s="1" customFormat="1" ht="45" customHeight="1">
      <c r="A2" s="40"/>
      <c r="B2" s="40"/>
      <c r="C2" s="40"/>
      <c r="D2" s="40"/>
      <c r="F2" s="40"/>
      <c r="G2" s="40"/>
      <c r="AC2" s="38" t="s">
        <v>1</v>
      </c>
    </row>
    <row r="3" spans="1:35" ht="36" customHeight="1">
      <c r="A3" s="48" t="s">
        <v>2</v>
      </c>
      <c r="B3" s="48" t="s">
        <v>3</v>
      </c>
      <c r="C3" s="44" t="s">
        <v>96</v>
      </c>
      <c r="D3" s="45"/>
      <c r="E3" s="46"/>
      <c r="F3" s="44" t="s">
        <v>101</v>
      </c>
      <c r="G3" s="45"/>
      <c r="H3" s="46"/>
      <c r="I3" s="44" t="s">
        <v>102</v>
      </c>
      <c r="J3" s="45"/>
      <c r="K3" s="46"/>
      <c r="L3" s="44" t="s">
        <v>103</v>
      </c>
      <c r="M3" s="45"/>
      <c r="N3" s="46"/>
      <c r="O3" s="44" t="s">
        <v>104</v>
      </c>
      <c r="P3" s="45"/>
      <c r="Q3" s="46"/>
      <c r="R3" s="44" t="s">
        <v>106</v>
      </c>
      <c r="S3" s="45"/>
      <c r="T3" s="46"/>
      <c r="U3" s="44" t="s">
        <v>108</v>
      </c>
      <c r="V3" s="45"/>
      <c r="W3" s="46"/>
      <c r="X3" s="44" t="s">
        <v>105</v>
      </c>
      <c r="Y3" s="45"/>
      <c r="Z3" s="46"/>
      <c r="AA3" s="44" t="s">
        <v>107</v>
      </c>
      <c r="AB3" s="45"/>
      <c r="AC3" s="46"/>
    </row>
    <row r="4" spans="1:35" ht="20.100000000000001" customHeight="1">
      <c r="A4" s="49"/>
      <c r="B4" s="49"/>
      <c r="C4" s="23" t="s">
        <v>4</v>
      </c>
      <c r="D4" s="23" t="s">
        <v>5</v>
      </c>
      <c r="E4" s="23" t="s">
        <v>6</v>
      </c>
      <c r="F4" s="23" t="s">
        <v>4</v>
      </c>
      <c r="G4" s="23" t="s">
        <v>5</v>
      </c>
      <c r="H4" s="23" t="s">
        <v>6</v>
      </c>
      <c r="I4" s="23" t="s">
        <v>4</v>
      </c>
      <c r="J4" s="23" t="s">
        <v>5</v>
      </c>
      <c r="K4" s="23" t="s">
        <v>6</v>
      </c>
      <c r="L4" s="23" t="s">
        <v>4</v>
      </c>
      <c r="M4" s="23" t="s">
        <v>5</v>
      </c>
      <c r="N4" s="23" t="s">
        <v>6</v>
      </c>
      <c r="O4" s="23" t="s">
        <v>4</v>
      </c>
      <c r="P4" s="23" t="s">
        <v>5</v>
      </c>
      <c r="Q4" s="23" t="s">
        <v>6</v>
      </c>
      <c r="R4" s="23" t="s">
        <v>4</v>
      </c>
      <c r="S4" s="23" t="s">
        <v>5</v>
      </c>
      <c r="T4" s="23" t="s">
        <v>6</v>
      </c>
      <c r="U4" s="23" t="s">
        <v>4</v>
      </c>
      <c r="V4" s="23" t="s">
        <v>5</v>
      </c>
      <c r="W4" s="23" t="s">
        <v>6</v>
      </c>
      <c r="X4" s="23" t="s">
        <v>4</v>
      </c>
      <c r="Y4" s="23" t="s">
        <v>5</v>
      </c>
      <c r="Z4" s="23" t="s">
        <v>6</v>
      </c>
      <c r="AA4" s="23" t="s">
        <v>4</v>
      </c>
      <c r="AB4" s="23" t="s">
        <v>5</v>
      </c>
      <c r="AC4" s="23" t="s">
        <v>6</v>
      </c>
    </row>
    <row r="5" spans="1:35" ht="20.100000000000001" customHeight="1">
      <c r="A5" s="50"/>
      <c r="B5" s="50"/>
      <c r="C5" s="22" t="s">
        <v>7</v>
      </c>
      <c r="D5" s="22" t="s">
        <v>8</v>
      </c>
      <c r="E5" s="24" t="s">
        <v>9</v>
      </c>
      <c r="F5" s="22" t="s">
        <v>7</v>
      </c>
      <c r="G5" s="22" t="s">
        <v>8</v>
      </c>
      <c r="H5" s="24" t="s">
        <v>9</v>
      </c>
      <c r="I5" s="22" t="s">
        <v>7</v>
      </c>
      <c r="J5" s="22" t="s">
        <v>8</v>
      </c>
      <c r="K5" s="24" t="s">
        <v>9</v>
      </c>
      <c r="L5" s="22" t="s">
        <v>7</v>
      </c>
      <c r="M5" s="22" t="s">
        <v>8</v>
      </c>
      <c r="N5" s="24" t="s">
        <v>9</v>
      </c>
      <c r="O5" s="22" t="s">
        <v>7</v>
      </c>
      <c r="P5" s="22" t="s">
        <v>8</v>
      </c>
      <c r="Q5" s="24" t="s">
        <v>9</v>
      </c>
      <c r="R5" s="22" t="s">
        <v>7</v>
      </c>
      <c r="S5" s="22" t="s">
        <v>8</v>
      </c>
      <c r="T5" s="24" t="s">
        <v>9</v>
      </c>
      <c r="U5" s="22" t="s">
        <v>7</v>
      </c>
      <c r="V5" s="22" t="s">
        <v>8</v>
      </c>
      <c r="W5" s="24" t="s">
        <v>9</v>
      </c>
      <c r="X5" s="22" t="s">
        <v>7</v>
      </c>
      <c r="Y5" s="22" t="s">
        <v>8</v>
      </c>
      <c r="Z5" s="24" t="s">
        <v>9</v>
      </c>
      <c r="AA5" s="22" t="s">
        <v>7</v>
      </c>
      <c r="AB5" s="22" t="s">
        <v>8</v>
      </c>
      <c r="AC5" s="24" t="s">
        <v>9</v>
      </c>
    </row>
    <row r="6" spans="1:35" s="2" customFormat="1" ht="24" customHeight="1">
      <c r="A6" s="31" t="s">
        <v>10</v>
      </c>
      <c r="B6" s="32" t="s">
        <v>11</v>
      </c>
      <c r="C6" s="25">
        <v>6589.5</v>
      </c>
      <c r="D6" s="25">
        <v>12015.5</v>
      </c>
      <c r="E6" s="26">
        <f>C6-D6</f>
        <v>-5426</v>
      </c>
      <c r="F6" s="25">
        <v>8772.9999999999982</v>
      </c>
      <c r="G6" s="25">
        <v>12489.800000000001</v>
      </c>
      <c r="H6" s="26">
        <v>-3716.8000000000011</v>
      </c>
      <c r="I6" s="25">
        <v>11557</v>
      </c>
      <c r="J6" s="25">
        <v>11548.9</v>
      </c>
      <c r="K6" s="42">
        <v>8.1</v>
      </c>
      <c r="L6" s="25">
        <v>8479.9</v>
      </c>
      <c r="M6" s="25">
        <v>8900.9</v>
      </c>
      <c r="N6" s="26">
        <v>-421</v>
      </c>
      <c r="O6" s="25">
        <v>8597.2000000000007</v>
      </c>
      <c r="P6" s="25">
        <v>8603.9</v>
      </c>
      <c r="Q6" s="26">
        <v>-6.7</v>
      </c>
      <c r="R6" s="25">
        <v>17977.2</v>
      </c>
      <c r="S6" s="25">
        <v>13544.6</v>
      </c>
      <c r="T6" s="26">
        <v>4432.6000000000004</v>
      </c>
      <c r="U6" s="25">
        <v>13816.5</v>
      </c>
      <c r="V6" s="25">
        <v>13406.5</v>
      </c>
      <c r="W6" s="26">
        <v>410</v>
      </c>
      <c r="X6" s="25">
        <v>5722.5000000000018</v>
      </c>
      <c r="Y6" s="25">
        <v>13371.800000000003</v>
      </c>
      <c r="Z6" s="26">
        <v>-7649.3000000000011</v>
      </c>
      <c r="AA6" s="25">
        <v>5594.2999999999993</v>
      </c>
      <c r="AB6" s="25">
        <v>19488.800000000003</v>
      </c>
      <c r="AC6" s="26">
        <v>-13894.500000000004</v>
      </c>
      <c r="AD6" s="52"/>
      <c r="AE6" s="51"/>
      <c r="AF6" s="51"/>
      <c r="AG6" s="51"/>
      <c r="AH6" s="51"/>
      <c r="AI6" s="51"/>
    </row>
    <row r="7" spans="1:35" s="3" customFormat="1" ht="24" customHeight="1">
      <c r="A7" s="33" t="s">
        <v>12</v>
      </c>
      <c r="B7" s="34" t="s">
        <v>13</v>
      </c>
      <c r="C7" s="27">
        <v>3876</v>
      </c>
      <c r="D7" s="27">
        <v>1898.9</v>
      </c>
      <c r="E7" s="28">
        <f t="shared" ref="E7:E49" si="0">C7-D7</f>
        <v>1977.1</v>
      </c>
      <c r="F7" s="27">
        <v>4600.8</v>
      </c>
      <c r="G7" s="27">
        <v>2534.4</v>
      </c>
      <c r="H7" s="28">
        <v>2066.4</v>
      </c>
      <c r="I7" s="27">
        <v>4851.3</v>
      </c>
      <c r="J7" s="27">
        <v>2567.8000000000002</v>
      </c>
      <c r="K7" s="28">
        <v>2283.5</v>
      </c>
      <c r="L7" s="27">
        <v>3245</v>
      </c>
      <c r="M7" s="27">
        <v>4286.3</v>
      </c>
      <c r="N7" s="28">
        <v>-1041.3</v>
      </c>
      <c r="O7" s="27">
        <v>2677.8</v>
      </c>
      <c r="P7" s="27">
        <v>3439</v>
      </c>
      <c r="Q7" s="28">
        <v>-761.19999999999982</v>
      </c>
      <c r="R7" s="27">
        <v>3845.3</v>
      </c>
      <c r="S7" s="27">
        <v>4525</v>
      </c>
      <c r="T7" s="28">
        <v>-679.69999999999982</v>
      </c>
      <c r="U7" s="27">
        <v>2332.6</v>
      </c>
      <c r="V7" s="27">
        <v>3277.8</v>
      </c>
      <c r="W7" s="28">
        <v>-945.2</v>
      </c>
      <c r="X7" s="27">
        <v>2089.8000000000002</v>
      </c>
      <c r="Y7" s="27">
        <v>798</v>
      </c>
      <c r="Z7" s="28">
        <v>1291.8000000000002</v>
      </c>
      <c r="AA7" s="27">
        <v>1391.5</v>
      </c>
      <c r="AB7" s="27">
        <v>1293.3</v>
      </c>
      <c r="AC7" s="28">
        <v>98.200000000000045</v>
      </c>
      <c r="AD7" s="53"/>
      <c r="AE7" s="51"/>
      <c r="AF7" s="51"/>
      <c r="AG7" s="51"/>
      <c r="AH7" s="51"/>
      <c r="AI7" s="51"/>
    </row>
    <row r="8" spans="1:35" s="3" customFormat="1" ht="24" customHeight="1">
      <c r="A8" s="33" t="s">
        <v>14</v>
      </c>
      <c r="B8" s="34" t="s">
        <v>15</v>
      </c>
      <c r="C8" s="27">
        <v>2202.3000000000002</v>
      </c>
      <c r="D8" s="27">
        <v>7391</v>
      </c>
      <c r="E8" s="28">
        <f t="shared" si="0"/>
        <v>-5188.7</v>
      </c>
      <c r="F8" s="27">
        <v>3490.4</v>
      </c>
      <c r="G8" s="27">
        <v>7951.6</v>
      </c>
      <c r="H8" s="28">
        <v>-4461.2000000000007</v>
      </c>
      <c r="I8" s="27">
        <v>4824</v>
      </c>
      <c r="J8" s="27">
        <v>8122.7000000000007</v>
      </c>
      <c r="K8" s="28">
        <v>-3298.7000000000003</v>
      </c>
      <c r="L8" s="27">
        <v>3916.3</v>
      </c>
      <c r="M8" s="27">
        <v>4348.5</v>
      </c>
      <c r="N8" s="28">
        <v>-432.2</v>
      </c>
      <c r="O8" s="27">
        <v>4281.6000000000004</v>
      </c>
      <c r="P8" s="27">
        <v>4190.2</v>
      </c>
      <c r="Q8" s="28">
        <v>91.4</v>
      </c>
      <c r="R8" s="27">
        <v>5006.6000000000004</v>
      </c>
      <c r="S8" s="27">
        <v>7227.1</v>
      </c>
      <c r="T8" s="28">
        <v>-2220.5</v>
      </c>
      <c r="U8" s="27">
        <v>3198.8</v>
      </c>
      <c r="V8" s="27">
        <v>7643.0999999999985</v>
      </c>
      <c r="W8" s="28">
        <v>-4444.3</v>
      </c>
      <c r="X8" s="27">
        <v>2047.2999999999997</v>
      </c>
      <c r="Y8" s="27">
        <v>9468.7000000000044</v>
      </c>
      <c r="Z8" s="28">
        <v>-7421.4</v>
      </c>
      <c r="AA8" s="27">
        <v>3191.3</v>
      </c>
      <c r="AB8" s="27">
        <v>11129.7</v>
      </c>
      <c r="AC8" s="28">
        <v>-7938.4000000000005</v>
      </c>
      <c r="AD8" s="53"/>
      <c r="AE8" s="51"/>
      <c r="AF8" s="51"/>
      <c r="AG8" s="51"/>
      <c r="AH8" s="51"/>
      <c r="AI8" s="51"/>
    </row>
    <row r="9" spans="1:35" s="2" customFormat="1" ht="24" customHeight="1">
      <c r="A9" s="33" t="s">
        <v>16</v>
      </c>
      <c r="B9" s="34" t="s">
        <v>17</v>
      </c>
      <c r="C9" s="27">
        <v>278.7</v>
      </c>
      <c r="D9" s="27">
        <v>243.6</v>
      </c>
      <c r="E9" s="28">
        <f t="shared" si="0"/>
        <v>35.099999999999994</v>
      </c>
      <c r="F9" s="27">
        <v>519.4</v>
      </c>
      <c r="G9" s="27">
        <v>261.8</v>
      </c>
      <c r="H9" s="28">
        <v>257.59999999999997</v>
      </c>
      <c r="I9" s="27">
        <v>760.40000000000009</v>
      </c>
      <c r="J9" s="27">
        <v>318.39999999999998</v>
      </c>
      <c r="K9" s="28">
        <v>442</v>
      </c>
      <c r="L9" s="27">
        <v>600.9</v>
      </c>
      <c r="M9" s="27">
        <v>266.10000000000002</v>
      </c>
      <c r="N9" s="28">
        <v>334.8</v>
      </c>
      <c r="O9" s="27">
        <v>313</v>
      </c>
      <c r="P9" s="27">
        <v>210.7</v>
      </c>
      <c r="Q9" s="28">
        <v>102.30000000000003</v>
      </c>
      <c r="R9" s="27">
        <v>935.5</v>
      </c>
      <c r="S9" s="27">
        <v>260.89999999999998</v>
      </c>
      <c r="T9" s="28">
        <v>674.6</v>
      </c>
      <c r="U9" s="27">
        <v>1083.4000000000001</v>
      </c>
      <c r="V9" s="27">
        <v>237.7</v>
      </c>
      <c r="W9" s="28">
        <v>845.7</v>
      </c>
      <c r="X9" s="27">
        <v>980.1</v>
      </c>
      <c r="Y9" s="27">
        <v>300.39999999999992</v>
      </c>
      <c r="Z9" s="28">
        <v>679.7</v>
      </c>
      <c r="AA9" s="27">
        <v>918.8</v>
      </c>
      <c r="AB9" s="27">
        <v>317.60000000000002</v>
      </c>
      <c r="AC9" s="28">
        <v>601.19999999999993</v>
      </c>
      <c r="AD9" s="53"/>
      <c r="AE9" s="51"/>
      <c r="AF9" s="51"/>
      <c r="AG9" s="51"/>
      <c r="AH9" s="51"/>
      <c r="AI9" s="51"/>
    </row>
    <row r="10" spans="1:35" s="3" customFormat="1" ht="24" customHeight="1">
      <c r="A10" s="33" t="s">
        <v>18</v>
      </c>
      <c r="B10" s="34" t="s">
        <v>19</v>
      </c>
      <c r="C10" s="27">
        <v>232.5</v>
      </c>
      <c r="D10" s="27">
        <v>2482</v>
      </c>
      <c r="E10" s="28">
        <f t="shared" si="0"/>
        <v>-2249.5</v>
      </c>
      <c r="F10" s="27">
        <v>162.4</v>
      </c>
      <c r="G10" s="27">
        <v>1742</v>
      </c>
      <c r="H10" s="28">
        <v>-1579.6</v>
      </c>
      <c r="I10" s="27">
        <v>1121.3</v>
      </c>
      <c r="J10" s="27">
        <v>540</v>
      </c>
      <c r="K10" s="28">
        <v>581.29999999999995</v>
      </c>
      <c r="L10" s="27">
        <v>717.7</v>
      </c>
      <c r="M10" s="27">
        <v>0</v>
      </c>
      <c r="N10" s="28">
        <v>717.7</v>
      </c>
      <c r="O10" s="27">
        <v>1324.7999999999997</v>
      </c>
      <c r="P10" s="27">
        <v>764</v>
      </c>
      <c r="Q10" s="28">
        <v>560.79999999999984</v>
      </c>
      <c r="R10" s="27">
        <v>8189.8</v>
      </c>
      <c r="S10" s="27">
        <v>1531.6</v>
      </c>
      <c r="T10" s="28">
        <v>6658.2000000000007</v>
      </c>
      <c r="U10" s="27">
        <v>7201.7</v>
      </c>
      <c r="V10" s="27">
        <v>2247.9</v>
      </c>
      <c r="W10" s="28">
        <v>4953.8</v>
      </c>
      <c r="X10" s="27">
        <v>605.29999999999995</v>
      </c>
      <c r="Y10" s="27">
        <v>2804.7</v>
      </c>
      <c r="Z10" s="28">
        <v>-2199.3999999999996</v>
      </c>
      <c r="AA10" s="27">
        <v>92.700000000000017</v>
      </c>
      <c r="AB10" s="27">
        <v>6748.2000000000007</v>
      </c>
      <c r="AC10" s="28">
        <v>-6655.5000000000009</v>
      </c>
      <c r="AD10" s="53"/>
      <c r="AE10" s="51"/>
      <c r="AF10" s="51"/>
      <c r="AG10" s="51"/>
      <c r="AH10" s="51"/>
      <c r="AI10" s="51"/>
    </row>
    <row r="11" spans="1:35" s="3" customFormat="1" ht="24" customHeight="1">
      <c r="A11" s="35" t="s">
        <v>20</v>
      </c>
      <c r="B11" s="32" t="s">
        <v>21</v>
      </c>
      <c r="C11" s="25">
        <v>2998.9999999999995</v>
      </c>
      <c r="D11" s="25">
        <v>5869.0999999999995</v>
      </c>
      <c r="E11" s="26">
        <f t="shared" si="0"/>
        <v>-2870.1</v>
      </c>
      <c r="F11" s="25">
        <v>3118.3</v>
      </c>
      <c r="G11" s="25">
        <v>6487.2</v>
      </c>
      <c r="H11" s="26">
        <v>-3368.8999999999996</v>
      </c>
      <c r="I11" s="25">
        <v>3367.2</v>
      </c>
      <c r="J11" s="25">
        <v>6287.5</v>
      </c>
      <c r="K11" s="26">
        <v>-2920.3</v>
      </c>
      <c r="L11" s="25">
        <v>3682.1</v>
      </c>
      <c r="M11" s="25">
        <v>6835.2</v>
      </c>
      <c r="N11" s="26">
        <v>-3153.1</v>
      </c>
      <c r="O11" s="25">
        <v>4152</v>
      </c>
      <c r="P11" s="25">
        <v>7076.1</v>
      </c>
      <c r="Q11" s="26">
        <v>-2924.1000000000004</v>
      </c>
      <c r="R11" s="25">
        <v>4715</v>
      </c>
      <c r="S11" s="25">
        <v>9530</v>
      </c>
      <c r="T11" s="26">
        <v>-4815</v>
      </c>
      <c r="U11" s="25">
        <v>5183.3</v>
      </c>
      <c r="V11" s="25">
        <v>6602.9</v>
      </c>
      <c r="W11" s="26">
        <v>-1419.6</v>
      </c>
      <c r="X11" s="25">
        <v>5898.6</v>
      </c>
      <c r="Y11" s="25">
        <v>7362.1</v>
      </c>
      <c r="Z11" s="26">
        <v>-1463.5</v>
      </c>
      <c r="AA11" s="25">
        <v>7573.8000000000011</v>
      </c>
      <c r="AB11" s="25">
        <v>9777.0999999999985</v>
      </c>
      <c r="AC11" s="26">
        <v>-2203.2999999999975</v>
      </c>
      <c r="AD11" s="52"/>
      <c r="AE11" s="51"/>
      <c r="AF11" s="51"/>
      <c r="AG11" s="51"/>
      <c r="AH11" s="51"/>
      <c r="AI11" s="51"/>
    </row>
    <row r="12" spans="1:35" ht="24" customHeight="1">
      <c r="A12" s="33" t="s">
        <v>22</v>
      </c>
      <c r="B12" s="34" t="s">
        <v>23</v>
      </c>
      <c r="C12" s="27">
        <v>14.000000000000002</v>
      </c>
      <c r="D12" s="27">
        <v>938.5</v>
      </c>
      <c r="E12" s="28">
        <f t="shared" si="0"/>
        <v>-924.5</v>
      </c>
      <c r="F12" s="27">
        <v>16</v>
      </c>
      <c r="G12" s="27">
        <v>1142.3</v>
      </c>
      <c r="H12" s="28">
        <v>-1126.3</v>
      </c>
      <c r="I12" s="27">
        <v>11.5</v>
      </c>
      <c r="J12" s="27">
        <v>886.90000000000009</v>
      </c>
      <c r="K12" s="28">
        <v>-875.40000000000009</v>
      </c>
      <c r="L12" s="27">
        <v>13.7</v>
      </c>
      <c r="M12" s="27">
        <v>862.1</v>
      </c>
      <c r="N12" s="28">
        <v>-848.4</v>
      </c>
      <c r="O12" s="27">
        <v>9.1</v>
      </c>
      <c r="P12" s="27">
        <v>1048.2000000000003</v>
      </c>
      <c r="Q12" s="28">
        <v>-1039.1000000000001</v>
      </c>
      <c r="R12" s="27">
        <v>13.3</v>
      </c>
      <c r="S12" s="27">
        <v>1559.2</v>
      </c>
      <c r="T12" s="28">
        <v>-1545.9</v>
      </c>
      <c r="U12" s="27">
        <v>66.5</v>
      </c>
      <c r="V12" s="27">
        <v>982.40000000000009</v>
      </c>
      <c r="W12" s="28">
        <v>-915.9</v>
      </c>
      <c r="X12" s="27">
        <v>19.899999999999999</v>
      </c>
      <c r="Y12" s="27">
        <v>985.2</v>
      </c>
      <c r="Z12" s="28">
        <v>-965.30000000000007</v>
      </c>
      <c r="AA12" s="27">
        <v>24.5</v>
      </c>
      <c r="AB12" s="27">
        <v>1299.6999999999998</v>
      </c>
      <c r="AC12" s="28">
        <v>-1275.1999999999998</v>
      </c>
      <c r="AD12" s="53"/>
      <c r="AE12" s="51"/>
      <c r="AF12" s="51"/>
      <c r="AG12" s="51"/>
      <c r="AH12" s="51"/>
      <c r="AI12" s="51"/>
    </row>
    <row r="13" spans="1:35" ht="24" customHeight="1">
      <c r="A13" s="33" t="s">
        <v>24</v>
      </c>
      <c r="B13" s="34" t="s">
        <v>25</v>
      </c>
      <c r="C13" s="27">
        <v>302.60000000000002</v>
      </c>
      <c r="D13" s="27">
        <v>578.20000000000005</v>
      </c>
      <c r="E13" s="28">
        <f t="shared" si="0"/>
        <v>-275.60000000000002</v>
      </c>
      <c r="F13" s="27">
        <v>230.3</v>
      </c>
      <c r="G13" s="27">
        <v>614.1</v>
      </c>
      <c r="H13" s="28">
        <v>-383.8</v>
      </c>
      <c r="I13" s="27">
        <v>256.10000000000002</v>
      </c>
      <c r="J13" s="27">
        <v>659.7</v>
      </c>
      <c r="K13" s="28">
        <v>-403.60000000000008</v>
      </c>
      <c r="L13" s="27">
        <v>219.1</v>
      </c>
      <c r="M13" s="27">
        <v>684.1</v>
      </c>
      <c r="N13" s="28">
        <v>-465</v>
      </c>
      <c r="O13" s="27">
        <v>218.8</v>
      </c>
      <c r="P13" s="27">
        <v>661.5</v>
      </c>
      <c r="Q13" s="28">
        <v>-442.7</v>
      </c>
      <c r="R13" s="27">
        <v>249.1</v>
      </c>
      <c r="S13" s="27">
        <v>878.7</v>
      </c>
      <c r="T13" s="28">
        <v>-629.6</v>
      </c>
      <c r="U13" s="27">
        <v>259</v>
      </c>
      <c r="V13" s="27">
        <v>540.70000000000005</v>
      </c>
      <c r="W13" s="28">
        <v>-281.7</v>
      </c>
      <c r="X13" s="27">
        <v>230.5</v>
      </c>
      <c r="Y13" s="27">
        <v>658.3</v>
      </c>
      <c r="Z13" s="28">
        <v>-427.79999999999995</v>
      </c>
      <c r="AA13" s="27">
        <v>301.39999999999998</v>
      </c>
      <c r="AB13" s="27">
        <v>722.3</v>
      </c>
      <c r="AC13" s="28">
        <v>-420.9</v>
      </c>
      <c r="AD13" s="53"/>
      <c r="AE13" s="51"/>
      <c r="AF13" s="51"/>
      <c r="AG13" s="51"/>
      <c r="AH13" s="51"/>
      <c r="AI13" s="51"/>
    </row>
    <row r="14" spans="1:35" ht="24" customHeight="1">
      <c r="A14" s="33" t="s">
        <v>26</v>
      </c>
      <c r="B14" s="34" t="s">
        <v>27</v>
      </c>
      <c r="C14" s="27">
        <v>720.09999999999991</v>
      </c>
      <c r="D14" s="27">
        <v>343.6</v>
      </c>
      <c r="E14" s="28">
        <f t="shared" si="0"/>
        <v>376.49999999999989</v>
      </c>
      <c r="F14" s="27">
        <v>833</v>
      </c>
      <c r="G14" s="27">
        <v>343.9</v>
      </c>
      <c r="H14" s="28">
        <v>489.1</v>
      </c>
      <c r="I14" s="27">
        <v>904.6</v>
      </c>
      <c r="J14" s="27">
        <v>467.30000000000007</v>
      </c>
      <c r="K14" s="28">
        <v>437.3</v>
      </c>
      <c r="L14" s="27">
        <v>1056.3</v>
      </c>
      <c r="M14" s="27">
        <v>528.79999999999995</v>
      </c>
      <c r="N14" s="28">
        <v>527.5</v>
      </c>
      <c r="O14" s="27">
        <v>1057.7999999999997</v>
      </c>
      <c r="P14" s="27">
        <v>597.1</v>
      </c>
      <c r="Q14" s="28">
        <v>460.69999999999987</v>
      </c>
      <c r="R14" s="27">
        <v>1134.9000000000001</v>
      </c>
      <c r="S14" s="27">
        <v>585.4</v>
      </c>
      <c r="T14" s="28">
        <v>549.50000000000011</v>
      </c>
      <c r="U14" s="27">
        <v>1413.2</v>
      </c>
      <c r="V14" s="27">
        <v>437.4</v>
      </c>
      <c r="W14" s="28">
        <v>975.8</v>
      </c>
      <c r="X14" s="27">
        <v>1927.4</v>
      </c>
      <c r="Y14" s="27">
        <v>497.1</v>
      </c>
      <c r="Z14" s="28">
        <v>1430.3000000000002</v>
      </c>
      <c r="AA14" s="27">
        <v>2268.5</v>
      </c>
      <c r="AB14" s="27">
        <v>589.20000000000005</v>
      </c>
      <c r="AC14" s="28">
        <v>1679.3</v>
      </c>
      <c r="AD14" s="53"/>
      <c r="AE14" s="51"/>
      <c r="AF14" s="51"/>
      <c r="AG14" s="51"/>
      <c r="AH14" s="51"/>
      <c r="AI14" s="51"/>
    </row>
    <row r="15" spans="1:35" s="4" customFormat="1" ht="24" customHeight="1">
      <c r="A15" s="33" t="s">
        <v>28</v>
      </c>
      <c r="B15" s="34" t="s">
        <v>29</v>
      </c>
      <c r="C15" s="27">
        <v>144</v>
      </c>
      <c r="D15" s="27">
        <v>1140.8</v>
      </c>
      <c r="E15" s="28">
        <f t="shared" si="0"/>
        <v>-996.8</v>
      </c>
      <c r="F15" s="27">
        <v>106.6</v>
      </c>
      <c r="G15" s="27">
        <v>1039.3</v>
      </c>
      <c r="H15" s="28">
        <v>-932.69999999999993</v>
      </c>
      <c r="I15" s="27">
        <v>121.00000000000001</v>
      </c>
      <c r="J15" s="27">
        <v>1058.4000000000001</v>
      </c>
      <c r="K15" s="28">
        <v>-937.39999999999986</v>
      </c>
      <c r="L15" s="27">
        <v>200.6</v>
      </c>
      <c r="M15" s="27">
        <v>1295.0999999999999</v>
      </c>
      <c r="N15" s="28">
        <v>-1094.5</v>
      </c>
      <c r="O15" s="27">
        <v>370.7</v>
      </c>
      <c r="P15" s="27">
        <v>1258.8</v>
      </c>
      <c r="Q15" s="28">
        <v>-888.09999999999991</v>
      </c>
      <c r="R15" s="27">
        <v>310.8</v>
      </c>
      <c r="S15" s="27">
        <v>1885.7</v>
      </c>
      <c r="T15" s="28">
        <v>-1574.9</v>
      </c>
      <c r="U15" s="27">
        <v>165.8</v>
      </c>
      <c r="V15" s="27">
        <v>1271.3</v>
      </c>
      <c r="W15" s="28">
        <v>-1105.5</v>
      </c>
      <c r="X15" s="27">
        <v>132.30000000000001</v>
      </c>
      <c r="Y15" s="27">
        <v>1530.1999999999998</v>
      </c>
      <c r="Z15" s="28">
        <v>-1397.8999999999999</v>
      </c>
      <c r="AA15" s="27">
        <v>227</v>
      </c>
      <c r="AB15" s="27">
        <v>1943.4</v>
      </c>
      <c r="AC15" s="28">
        <v>-1716.4</v>
      </c>
      <c r="AD15" s="53"/>
      <c r="AE15" s="51"/>
      <c r="AF15" s="51"/>
      <c r="AG15" s="51"/>
      <c r="AH15" s="51"/>
      <c r="AI15" s="51"/>
    </row>
    <row r="16" spans="1:35" ht="24" customHeight="1">
      <c r="A16" s="33" t="s">
        <v>30</v>
      </c>
      <c r="B16" s="34" t="s">
        <v>31</v>
      </c>
      <c r="C16" s="27">
        <v>226.3</v>
      </c>
      <c r="D16" s="27">
        <v>374.9</v>
      </c>
      <c r="E16" s="28">
        <f t="shared" si="0"/>
        <v>-148.59999999999997</v>
      </c>
      <c r="F16" s="27">
        <v>166.7</v>
      </c>
      <c r="G16" s="27">
        <v>282.60000000000002</v>
      </c>
      <c r="H16" s="28">
        <v>-115.90000000000003</v>
      </c>
      <c r="I16" s="27">
        <v>177</v>
      </c>
      <c r="J16" s="27">
        <v>240</v>
      </c>
      <c r="K16" s="28">
        <v>-63</v>
      </c>
      <c r="L16" s="27">
        <v>274.8</v>
      </c>
      <c r="M16" s="27">
        <v>340.3</v>
      </c>
      <c r="N16" s="28">
        <v>-65.5</v>
      </c>
      <c r="O16" s="27">
        <v>388.5</v>
      </c>
      <c r="P16" s="27">
        <v>396.4</v>
      </c>
      <c r="Q16" s="28">
        <v>-7.9</v>
      </c>
      <c r="R16" s="27">
        <v>503.2</v>
      </c>
      <c r="S16" s="27">
        <v>422</v>
      </c>
      <c r="T16" s="28">
        <v>81.199999999999989</v>
      </c>
      <c r="U16" s="27">
        <v>478.9</v>
      </c>
      <c r="V16" s="27">
        <v>267.5</v>
      </c>
      <c r="W16" s="28">
        <v>211.4</v>
      </c>
      <c r="X16" s="27">
        <v>343.80000000000007</v>
      </c>
      <c r="Y16" s="27">
        <v>276</v>
      </c>
      <c r="Z16" s="28">
        <v>67.8</v>
      </c>
      <c r="AA16" s="27">
        <v>373.70000000000005</v>
      </c>
      <c r="AB16" s="27">
        <v>278.3</v>
      </c>
      <c r="AC16" s="28">
        <v>95.400000000000034</v>
      </c>
      <c r="AD16" s="53"/>
      <c r="AE16" s="51"/>
      <c r="AF16" s="51"/>
      <c r="AG16" s="51"/>
      <c r="AH16" s="51"/>
      <c r="AI16" s="51"/>
    </row>
    <row r="17" spans="1:35" ht="24" customHeight="1">
      <c r="A17" s="33" t="s">
        <v>32</v>
      </c>
      <c r="B17" s="34" t="s">
        <v>33</v>
      </c>
      <c r="C17" s="27">
        <v>317</v>
      </c>
      <c r="D17" s="27">
        <v>428.9</v>
      </c>
      <c r="E17" s="28">
        <f t="shared" si="0"/>
        <v>-111.89999999999998</v>
      </c>
      <c r="F17" s="27">
        <v>237</v>
      </c>
      <c r="G17" s="27">
        <v>710.7</v>
      </c>
      <c r="H17" s="28">
        <v>-473.70000000000005</v>
      </c>
      <c r="I17" s="27">
        <v>277.2</v>
      </c>
      <c r="J17" s="27">
        <v>343.9</v>
      </c>
      <c r="K17" s="28">
        <v>-66.700000000000017</v>
      </c>
      <c r="L17" s="27">
        <v>255.9</v>
      </c>
      <c r="M17" s="27">
        <v>385.5</v>
      </c>
      <c r="N17" s="28">
        <v>-129.6</v>
      </c>
      <c r="O17" s="27">
        <v>323.10000000000002</v>
      </c>
      <c r="P17" s="27">
        <v>325.89999999999998</v>
      </c>
      <c r="Q17" s="28">
        <v>-2.8</v>
      </c>
      <c r="R17" s="27">
        <v>496.5</v>
      </c>
      <c r="S17" s="27">
        <v>447.8</v>
      </c>
      <c r="T17" s="28">
        <v>48.699999999999989</v>
      </c>
      <c r="U17" s="27">
        <v>427</v>
      </c>
      <c r="V17" s="27">
        <v>437</v>
      </c>
      <c r="W17" s="28">
        <v>-10</v>
      </c>
      <c r="X17" s="27">
        <v>575.5</v>
      </c>
      <c r="Y17" s="27">
        <v>778.8</v>
      </c>
      <c r="Z17" s="28">
        <v>-203.29999999999995</v>
      </c>
      <c r="AA17" s="27">
        <v>537.20000000000005</v>
      </c>
      <c r="AB17" s="27">
        <v>740.20000000000016</v>
      </c>
      <c r="AC17" s="28">
        <v>-203.00000000000011</v>
      </c>
      <c r="AD17" s="53"/>
      <c r="AE17" s="51"/>
      <c r="AF17" s="51"/>
      <c r="AG17" s="51"/>
      <c r="AH17" s="51"/>
      <c r="AI17" s="51"/>
    </row>
    <row r="18" spans="1:35" ht="24" customHeight="1">
      <c r="A18" s="33" t="s">
        <v>34</v>
      </c>
      <c r="B18" s="34" t="s">
        <v>35</v>
      </c>
      <c r="C18" s="27">
        <v>608.6</v>
      </c>
      <c r="D18" s="27">
        <v>130.39999999999998</v>
      </c>
      <c r="E18" s="28">
        <f t="shared" si="0"/>
        <v>478.20000000000005</v>
      </c>
      <c r="F18" s="27">
        <v>770.6</v>
      </c>
      <c r="G18" s="27">
        <v>167.9</v>
      </c>
      <c r="H18" s="28">
        <v>602.70000000000005</v>
      </c>
      <c r="I18" s="27">
        <v>786.3</v>
      </c>
      <c r="J18" s="27">
        <v>221.2</v>
      </c>
      <c r="K18" s="28">
        <v>565.1</v>
      </c>
      <c r="L18" s="27">
        <v>884.9</v>
      </c>
      <c r="M18" s="27">
        <v>313.10000000000002</v>
      </c>
      <c r="N18" s="28">
        <v>571.79999999999995</v>
      </c>
      <c r="O18" s="27">
        <v>997.39999999999986</v>
      </c>
      <c r="P18" s="27">
        <v>382.6</v>
      </c>
      <c r="Q18" s="28">
        <v>614.79999999999995</v>
      </c>
      <c r="R18" s="27">
        <v>1056.2</v>
      </c>
      <c r="S18" s="27">
        <v>392.2</v>
      </c>
      <c r="T18" s="28">
        <v>664</v>
      </c>
      <c r="U18" s="27">
        <v>1128.5</v>
      </c>
      <c r="V18" s="27">
        <v>84.2</v>
      </c>
      <c r="W18" s="28">
        <v>1044.3</v>
      </c>
      <c r="X18" s="27">
        <v>1237.7</v>
      </c>
      <c r="Y18" s="27">
        <v>76.400000000000006</v>
      </c>
      <c r="Z18" s="28">
        <v>1161.3</v>
      </c>
      <c r="AA18" s="27">
        <v>1907</v>
      </c>
      <c r="AB18" s="27">
        <v>205.1</v>
      </c>
      <c r="AC18" s="28">
        <v>1701.9</v>
      </c>
      <c r="AD18" s="53"/>
      <c r="AE18" s="51"/>
      <c r="AF18" s="51"/>
      <c r="AG18" s="51"/>
      <c r="AH18" s="51"/>
      <c r="AI18" s="51"/>
    </row>
    <row r="19" spans="1:35" ht="24" customHeight="1">
      <c r="A19" s="33" t="s">
        <v>36</v>
      </c>
      <c r="B19" s="34" t="s">
        <v>37</v>
      </c>
      <c r="C19" s="27">
        <v>192.8</v>
      </c>
      <c r="D19" s="27">
        <v>92.800000000000011</v>
      </c>
      <c r="E19" s="28">
        <f t="shared" si="0"/>
        <v>100</v>
      </c>
      <c r="F19" s="27">
        <v>144.30000000000001</v>
      </c>
      <c r="G19" s="27">
        <v>57</v>
      </c>
      <c r="H19" s="28">
        <v>87.300000000000011</v>
      </c>
      <c r="I19" s="27">
        <v>141.69999999999999</v>
      </c>
      <c r="J19" s="27">
        <v>95.300000000000011</v>
      </c>
      <c r="K19" s="28">
        <v>46.400000000000006</v>
      </c>
      <c r="L19" s="27">
        <v>158.69999999999999</v>
      </c>
      <c r="M19" s="27">
        <v>210.1</v>
      </c>
      <c r="N19" s="28">
        <v>-51.4</v>
      </c>
      <c r="O19" s="27">
        <v>164.9</v>
      </c>
      <c r="P19" s="27">
        <v>152.80000000000001</v>
      </c>
      <c r="Q19" s="28">
        <v>12.099999999999991</v>
      </c>
      <c r="R19" s="27">
        <v>211.4</v>
      </c>
      <c r="S19" s="27">
        <v>121.3</v>
      </c>
      <c r="T19" s="28">
        <v>90.100000000000009</v>
      </c>
      <c r="U19" s="27">
        <v>382.2</v>
      </c>
      <c r="V19" s="27">
        <v>100.8</v>
      </c>
      <c r="W19" s="28">
        <v>281.39999999999998</v>
      </c>
      <c r="X19" s="27">
        <v>592.4</v>
      </c>
      <c r="Y19" s="27">
        <v>92.5</v>
      </c>
      <c r="Z19" s="28">
        <v>499.9</v>
      </c>
      <c r="AA19" s="27">
        <v>641.9</v>
      </c>
      <c r="AB19" s="27">
        <v>120.40000000000002</v>
      </c>
      <c r="AC19" s="28">
        <v>521.5</v>
      </c>
      <c r="AD19" s="53"/>
      <c r="AE19" s="51"/>
      <c r="AF19" s="51"/>
      <c r="AG19" s="51"/>
      <c r="AH19" s="51"/>
      <c r="AI19" s="51"/>
    </row>
    <row r="20" spans="1:35" ht="24" customHeight="1">
      <c r="A20" s="31" t="s">
        <v>38</v>
      </c>
      <c r="B20" s="32" t="s">
        <v>39</v>
      </c>
      <c r="C20" s="25">
        <v>224</v>
      </c>
      <c r="D20" s="25">
        <v>4746.5</v>
      </c>
      <c r="E20" s="26">
        <f t="shared" si="0"/>
        <v>-4522.5</v>
      </c>
      <c r="F20" s="25">
        <v>295.60000000000002</v>
      </c>
      <c r="G20" s="25">
        <v>4512.5</v>
      </c>
      <c r="H20" s="26">
        <v>-4216.8999999999996</v>
      </c>
      <c r="I20" s="25">
        <v>318.00000000000006</v>
      </c>
      <c r="J20" s="25">
        <v>4960.8999999999996</v>
      </c>
      <c r="K20" s="26">
        <v>-4642.8999999999996</v>
      </c>
      <c r="L20" s="25">
        <v>313</v>
      </c>
      <c r="M20" s="25">
        <v>5359.2</v>
      </c>
      <c r="N20" s="26">
        <v>-5046.2</v>
      </c>
      <c r="O20" s="25">
        <v>340.5</v>
      </c>
      <c r="P20" s="25">
        <v>6215.1</v>
      </c>
      <c r="Q20" s="26">
        <v>-5874.5999999999995</v>
      </c>
      <c r="R20" s="25">
        <v>437.1</v>
      </c>
      <c r="S20" s="25">
        <v>7932.1</v>
      </c>
      <c r="T20" s="26">
        <v>-7495</v>
      </c>
      <c r="U20" s="25">
        <v>376.4</v>
      </c>
      <c r="V20" s="25">
        <v>6391.5</v>
      </c>
      <c r="W20" s="26">
        <v>-6015.1</v>
      </c>
      <c r="X20" s="25">
        <v>520.4</v>
      </c>
      <c r="Y20" s="25">
        <v>6497.4</v>
      </c>
      <c r="Z20" s="26">
        <v>-5977</v>
      </c>
      <c r="AA20" s="25">
        <v>860.30000000000007</v>
      </c>
      <c r="AB20" s="25">
        <v>9317.6</v>
      </c>
      <c r="AC20" s="26">
        <v>-8457.3000000000011</v>
      </c>
      <c r="AD20" s="52"/>
      <c r="AE20" s="51"/>
      <c r="AF20" s="51"/>
      <c r="AG20" s="51"/>
      <c r="AH20" s="51"/>
      <c r="AI20" s="51"/>
    </row>
    <row r="21" spans="1:35" ht="24" customHeight="1">
      <c r="A21" s="33" t="s">
        <v>40</v>
      </c>
      <c r="B21" s="34" t="s">
        <v>41</v>
      </c>
      <c r="C21" s="27">
        <v>11.7</v>
      </c>
      <c r="D21" s="27">
        <v>1437.4</v>
      </c>
      <c r="E21" s="28">
        <f t="shared" si="0"/>
        <v>-1425.7</v>
      </c>
      <c r="F21" s="27">
        <v>2.7</v>
      </c>
      <c r="G21" s="27">
        <v>1573.1</v>
      </c>
      <c r="H21" s="28">
        <v>-1570.3999999999999</v>
      </c>
      <c r="I21" s="27">
        <v>0.89999999999999991</v>
      </c>
      <c r="J21" s="27">
        <v>1403.6</v>
      </c>
      <c r="K21" s="28">
        <v>-1402.6999999999998</v>
      </c>
      <c r="L21" s="27">
        <v>3</v>
      </c>
      <c r="M21" s="27">
        <v>1543.1</v>
      </c>
      <c r="N21" s="28">
        <v>-1540.1</v>
      </c>
      <c r="O21" s="27">
        <v>4.7000000000000011</v>
      </c>
      <c r="P21" s="27">
        <v>2123.6</v>
      </c>
      <c r="Q21" s="28">
        <v>-2118.9</v>
      </c>
      <c r="R21" s="27">
        <v>2.5</v>
      </c>
      <c r="S21" s="27">
        <v>2671.5</v>
      </c>
      <c r="T21" s="28">
        <v>-2669</v>
      </c>
      <c r="U21" s="27">
        <v>5.6</v>
      </c>
      <c r="V21" s="27">
        <v>2340</v>
      </c>
      <c r="W21" s="28">
        <v>-2334.4</v>
      </c>
      <c r="X21" s="27">
        <v>1.8</v>
      </c>
      <c r="Y21" s="27">
        <v>1827.8</v>
      </c>
      <c r="Z21" s="28">
        <v>-1826</v>
      </c>
      <c r="AA21" s="27">
        <v>6.5</v>
      </c>
      <c r="AB21" s="27">
        <v>2433.5</v>
      </c>
      <c r="AC21" s="28">
        <v>-2427</v>
      </c>
      <c r="AD21" s="53"/>
      <c r="AE21" s="51"/>
      <c r="AF21" s="51"/>
      <c r="AG21" s="51"/>
      <c r="AH21" s="51"/>
      <c r="AI21" s="51"/>
    </row>
    <row r="22" spans="1:35" ht="24" customHeight="1">
      <c r="A22" s="33" t="s">
        <v>42</v>
      </c>
      <c r="B22" s="34" t="s">
        <v>43</v>
      </c>
      <c r="C22" s="27">
        <v>7.3</v>
      </c>
      <c r="D22" s="27">
        <v>2177.1</v>
      </c>
      <c r="E22" s="28">
        <f t="shared" si="0"/>
        <v>-2169.7999999999997</v>
      </c>
      <c r="F22" s="27">
        <v>0</v>
      </c>
      <c r="G22" s="27">
        <v>1570.9</v>
      </c>
      <c r="H22" s="28">
        <v>-1570.9</v>
      </c>
      <c r="I22" s="27">
        <v>0</v>
      </c>
      <c r="J22" s="27">
        <v>2126.6</v>
      </c>
      <c r="K22" s="28">
        <v>-2126.6</v>
      </c>
      <c r="L22" s="27">
        <v>0.1</v>
      </c>
      <c r="M22" s="27">
        <v>2219</v>
      </c>
      <c r="N22" s="28">
        <v>-2218.9</v>
      </c>
      <c r="O22" s="27">
        <v>10.5</v>
      </c>
      <c r="P22" s="27">
        <v>2130</v>
      </c>
      <c r="Q22" s="28">
        <v>-2119.5</v>
      </c>
      <c r="R22" s="27">
        <v>0</v>
      </c>
      <c r="S22" s="27">
        <v>2408.1</v>
      </c>
      <c r="T22" s="43">
        <v>-2408.1</v>
      </c>
      <c r="U22" s="27">
        <v>0</v>
      </c>
      <c r="V22" s="27">
        <v>1959.1000000000001</v>
      </c>
      <c r="W22" s="43">
        <v>-1959.1</v>
      </c>
      <c r="X22" s="27">
        <v>7.8</v>
      </c>
      <c r="Y22" s="27">
        <v>2458.4</v>
      </c>
      <c r="Z22" s="43">
        <v>-2450.6</v>
      </c>
      <c r="AA22" s="27">
        <v>0.6</v>
      </c>
      <c r="AB22" s="27">
        <v>3322.1</v>
      </c>
      <c r="AC22" s="43">
        <v>-3321.5</v>
      </c>
      <c r="AD22" s="53"/>
      <c r="AE22" s="51"/>
      <c r="AF22" s="51"/>
      <c r="AG22" s="51"/>
      <c r="AH22" s="51"/>
      <c r="AI22" s="51"/>
    </row>
    <row r="23" spans="1:35" ht="24" customHeight="1">
      <c r="A23" s="33" t="s">
        <v>97</v>
      </c>
      <c r="B23" s="34" t="s">
        <v>98</v>
      </c>
      <c r="C23" s="27">
        <v>6.6999999999999993</v>
      </c>
      <c r="D23" s="27">
        <v>659.3</v>
      </c>
      <c r="E23" s="28">
        <f t="shared" si="0"/>
        <v>-652.59999999999991</v>
      </c>
      <c r="F23" s="27">
        <v>8.5</v>
      </c>
      <c r="G23" s="27">
        <v>939.1</v>
      </c>
      <c r="H23" s="28">
        <v>-930.6</v>
      </c>
      <c r="I23" s="27">
        <v>5.8999999999999995</v>
      </c>
      <c r="J23" s="27">
        <v>813.90000000000009</v>
      </c>
      <c r="K23" s="28">
        <v>-808</v>
      </c>
      <c r="L23" s="27">
        <v>15.2</v>
      </c>
      <c r="M23" s="27">
        <v>1020.6</v>
      </c>
      <c r="N23" s="28">
        <v>-1005.4</v>
      </c>
      <c r="O23" s="27">
        <v>9.6999999999999993</v>
      </c>
      <c r="P23" s="27">
        <v>1324.3</v>
      </c>
      <c r="Q23" s="28">
        <v>-1314.6</v>
      </c>
      <c r="R23" s="27">
        <v>10.3</v>
      </c>
      <c r="S23" s="27">
        <v>2269.6999999999998</v>
      </c>
      <c r="T23" s="43">
        <v>-2259.3999999999996</v>
      </c>
      <c r="U23" s="27">
        <v>1.5</v>
      </c>
      <c r="V23" s="27">
        <v>1552.7</v>
      </c>
      <c r="W23" s="28">
        <v>-1551.2</v>
      </c>
      <c r="X23" s="27">
        <v>3.7</v>
      </c>
      <c r="Y23" s="27">
        <v>1679.9</v>
      </c>
      <c r="Z23" s="28">
        <v>-1676.2</v>
      </c>
      <c r="AA23" s="27">
        <v>6.2000000000000011</v>
      </c>
      <c r="AB23" s="27">
        <v>2955.6000000000004</v>
      </c>
      <c r="AC23" s="28">
        <v>-2949.4000000000005</v>
      </c>
      <c r="AD23" s="53"/>
      <c r="AE23" s="51"/>
      <c r="AF23" s="51"/>
      <c r="AG23" s="51"/>
      <c r="AH23" s="51"/>
      <c r="AI23" s="51"/>
    </row>
    <row r="24" spans="1:35" s="5" customFormat="1" ht="24" customHeight="1">
      <c r="A24" s="33" t="s">
        <v>44</v>
      </c>
      <c r="B24" s="34" t="s">
        <v>45</v>
      </c>
      <c r="C24" s="27">
        <v>5.3000000000000007</v>
      </c>
      <c r="D24" s="27">
        <v>44.2</v>
      </c>
      <c r="E24" s="28">
        <f t="shared" si="0"/>
        <v>-38.900000000000006</v>
      </c>
      <c r="F24" s="27">
        <v>23.4</v>
      </c>
      <c r="G24" s="27">
        <v>64.099999999999994</v>
      </c>
      <c r="H24" s="28">
        <v>-40.699999999999996</v>
      </c>
      <c r="I24" s="27">
        <v>39.299999999999997</v>
      </c>
      <c r="J24" s="27">
        <v>170.59999999999997</v>
      </c>
      <c r="K24" s="28">
        <v>-131.30000000000001</v>
      </c>
      <c r="L24" s="27">
        <v>12</v>
      </c>
      <c r="M24" s="27">
        <v>71.599999999999994</v>
      </c>
      <c r="N24" s="28">
        <v>-59.6</v>
      </c>
      <c r="O24" s="27">
        <v>22.200000000000003</v>
      </c>
      <c r="P24" s="27">
        <v>51</v>
      </c>
      <c r="Q24" s="28">
        <v>-28.799999999999997</v>
      </c>
      <c r="R24" s="27">
        <v>62.4</v>
      </c>
      <c r="S24" s="27">
        <v>49.1</v>
      </c>
      <c r="T24" s="43">
        <v>13.299999999999997</v>
      </c>
      <c r="U24" s="27">
        <v>15</v>
      </c>
      <c r="V24" s="27">
        <v>72</v>
      </c>
      <c r="W24" s="28">
        <v>-57</v>
      </c>
      <c r="X24" s="27">
        <v>25.1</v>
      </c>
      <c r="Y24" s="27">
        <v>45.5</v>
      </c>
      <c r="Z24" s="28">
        <v>-20.399999999999999</v>
      </c>
      <c r="AA24" s="27">
        <v>51.5</v>
      </c>
      <c r="AB24" s="27">
        <v>77.400000000000006</v>
      </c>
      <c r="AC24" s="28">
        <v>-25.900000000000006</v>
      </c>
      <c r="AD24" s="53"/>
      <c r="AE24" s="51"/>
      <c r="AF24" s="51"/>
      <c r="AG24" s="51"/>
      <c r="AH24" s="51"/>
      <c r="AI24" s="51"/>
    </row>
    <row r="25" spans="1:35" ht="24" customHeight="1">
      <c r="A25" s="31" t="s">
        <v>46</v>
      </c>
      <c r="B25" s="32" t="s">
        <v>47</v>
      </c>
      <c r="C25" s="25">
        <v>1959.3000000000002</v>
      </c>
      <c r="D25" s="25">
        <v>2421.7999999999997</v>
      </c>
      <c r="E25" s="26">
        <f t="shared" si="0"/>
        <v>-462.49999999999955</v>
      </c>
      <c r="F25" s="25">
        <v>2331</v>
      </c>
      <c r="G25" s="25">
        <v>3004.2</v>
      </c>
      <c r="H25" s="26">
        <v>-673.19999999999982</v>
      </c>
      <c r="I25" s="25">
        <v>2459.6999999999998</v>
      </c>
      <c r="J25" s="25">
        <v>3240.1</v>
      </c>
      <c r="K25" s="26">
        <v>-780.39999999999986</v>
      </c>
      <c r="L25" s="25">
        <v>2293.5</v>
      </c>
      <c r="M25" s="25">
        <v>3547.5</v>
      </c>
      <c r="N25" s="26">
        <v>-1254</v>
      </c>
      <c r="O25" s="25">
        <v>2580.8000000000002</v>
      </c>
      <c r="P25" s="25">
        <v>3777.3999999999996</v>
      </c>
      <c r="Q25" s="26">
        <v>-1196.5999999999997</v>
      </c>
      <c r="R25" s="25">
        <v>3484.6</v>
      </c>
      <c r="S25" s="25">
        <v>4533.6000000000004</v>
      </c>
      <c r="T25" s="42">
        <v>-1049.0000000000005</v>
      </c>
      <c r="U25" s="25">
        <v>3383.6</v>
      </c>
      <c r="V25" s="25">
        <v>3241.1</v>
      </c>
      <c r="W25" s="26">
        <v>142.5</v>
      </c>
      <c r="X25" s="25">
        <v>3284.1000000000004</v>
      </c>
      <c r="Y25" s="25">
        <v>3016.6000000000004</v>
      </c>
      <c r="Z25" s="26">
        <v>267.5</v>
      </c>
      <c r="AA25" s="25">
        <v>3798.2</v>
      </c>
      <c r="AB25" s="25">
        <v>3879.9000000000005</v>
      </c>
      <c r="AC25" s="26">
        <v>-81.7</v>
      </c>
      <c r="AD25" s="52"/>
      <c r="AE25" s="51"/>
      <c r="AF25" s="51"/>
      <c r="AG25" s="51"/>
      <c r="AH25" s="51"/>
      <c r="AI25" s="51"/>
    </row>
    <row r="26" spans="1:35" ht="24" customHeight="1">
      <c r="A26" s="33" t="s">
        <v>48</v>
      </c>
      <c r="B26" s="34" t="s">
        <v>49</v>
      </c>
      <c r="C26" s="27">
        <v>707.59999999999991</v>
      </c>
      <c r="D26" s="27">
        <v>473</v>
      </c>
      <c r="E26" s="28">
        <f t="shared" si="0"/>
        <v>234.59999999999991</v>
      </c>
      <c r="F26" s="27">
        <v>829</v>
      </c>
      <c r="G26" s="27">
        <v>462.8</v>
      </c>
      <c r="H26" s="28">
        <v>366.2</v>
      </c>
      <c r="I26" s="27">
        <v>894</v>
      </c>
      <c r="J26" s="27">
        <v>656.3</v>
      </c>
      <c r="K26" s="28">
        <v>237.70000000000002</v>
      </c>
      <c r="L26" s="27">
        <v>913.6</v>
      </c>
      <c r="M26" s="27">
        <v>809.6</v>
      </c>
      <c r="N26" s="28">
        <v>104</v>
      </c>
      <c r="O26" s="27">
        <v>1037.7</v>
      </c>
      <c r="P26" s="27">
        <v>874.1</v>
      </c>
      <c r="Q26" s="28">
        <v>163.6</v>
      </c>
      <c r="R26" s="27">
        <v>1546</v>
      </c>
      <c r="S26" s="27">
        <v>919.1</v>
      </c>
      <c r="T26" s="43">
        <v>626.9</v>
      </c>
      <c r="U26" s="27">
        <v>1385.6</v>
      </c>
      <c r="V26" s="27">
        <v>698.5</v>
      </c>
      <c r="W26" s="28">
        <v>687.1</v>
      </c>
      <c r="X26" s="27">
        <v>1271.0999999999999</v>
      </c>
      <c r="Y26" s="27">
        <v>708.1</v>
      </c>
      <c r="Z26" s="28">
        <v>562.99999999999989</v>
      </c>
      <c r="AA26" s="27">
        <v>1757.5</v>
      </c>
      <c r="AB26" s="27">
        <v>630.70000000000005</v>
      </c>
      <c r="AC26" s="28">
        <v>1126.8</v>
      </c>
      <c r="AD26" s="53"/>
      <c r="AE26" s="51"/>
      <c r="AF26" s="51"/>
      <c r="AG26" s="51"/>
      <c r="AH26" s="51"/>
      <c r="AI26" s="51"/>
    </row>
    <row r="27" spans="1:35" ht="24" customHeight="1">
      <c r="A27" s="33" t="s">
        <v>50</v>
      </c>
      <c r="B27" s="34" t="s">
        <v>51</v>
      </c>
      <c r="C27" s="27">
        <v>754.9</v>
      </c>
      <c r="D27" s="27">
        <v>458.3</v>
      </c>
      <c r="E27" s="28">
        <f t="shared" si="0"/>
        <v>296.59999999999997</v>
      </c>
      <c r="F27" s="27">
        <v>895.1</v>
      </c>
      <c r="G27" s="27">
        <v>531.4</v>
      </c>
      <c r="H27" s="28">
        <v>363.70000000000005</v>
      </c>
      <c r="I27" s="27">
        <v>1001.3</v>
      </c>
      <c r="J27" s="27">
        <v>472.6</v>
      </c>
      <c r="K27" s="28">
        <v>528.70000000000005</v>
      </c>
      <c r="L27" s="27">
        <v>846.6</v>
      </c>
      <c r="M27" s="27">
        <v>537.4</v>
      </c>
      <c r="N27" s="28">
        <v>309.2</v>
      </c>
      <c r="O27" s="27">
        <v>637.9</v>
      </c>
      <c r="P27" s="27">
        <v>422.19999999999993</v>
      </c>
      <c r="Q27" s="28">
        <v>215.70000000000002</v>
      </c>
      <c r="R27" s="27">
        <v>835.2</v>
      </c>
      <c r="S27" s="27">
        <v>371.5</v>
      </c>
      <c r="T27" s="43">
        <v>463.70000000000005</v>
      </c>
      <c r="U27" s="27">
        <v>758.4</v>
      </c>
      <c r="V27" s="27">
        <v>242.9</v>
      </c>
      <c r="W27" s="28">
        <v>515.5</v>
      </c>
      <c r="X27" s="27">
        <v>967</v>
      </c>
      <c r="Y27" s="27">
        <v>182.09999999999997</v>
      </c>
      <c r="Z27" s="28">
        <v>784.90000000000009</v>
      </c>
      <c r="AA27" s="27">
        <v>873.3</v>
      </c>
      <c r="AB27" s="27">
        <v>270.7</v>
      </c>
      <c r="AC27" s="28">
        <v>602.59999999999991</v>
      </c>
      <c r="AD27" s="53"/>
      <c r="AE27" s="51"/>
      <c r="AF27" s="51"/>
      <c r="AG27" s="51"/>
      <c r="AH27" s="51"/>
      <c r="AI27" s="51"/>
    </row>
    <row r="28" spans="1:35" ht="24" customHeight="1">
      <c r="A28" s="33" t="s">
        <v>52</v>
      </c>
      <c r="B28" s="34" t="s">
        <v>53</v>
      </c>
      <c r="C28" s="27">
        <v>107.9</v>
      </c>
      <c r="D28" s="27">
        <v>805.19999999999993</v>
      </c>
      <c r="E28" s="28">
        <f t="shared" si="0"/>
        <v>-697.3</v>
      </c>
      <c r="F28" s="27">
        <v>66</v>
      </c>
      <c r="G28" s="27">
        <v>946.6</v>
      </c>
      <c r="H28" s="28">
        <v>-880.6</v>
      </c>
      <c r="I28" s="27">
        <v>59.1</v>
      </c>
      <c r="J28" s="27">
        <v>1248.8</v>
      </c>
      <c r="K28" s="28">
        <v>-1189.7</v>
      </c>
      <c r="L28" s="27">
        <v>78.900000000000006</v>
      </c>
      <c r="M28" s="27">
        <v>1325.6</v>
      </c>
      <c r="N28" s="28">
        <v>-1246.7</v>
      </c>
      <c r="O28" s="27">
        <v>194.6</v>
      </c>
      <c r="P28" s="27">
        <v>1396.7</v>
      </c>
      <c r="Q28" s="28">
        <v>-1202.0999999999999</v>
      </c>
      <c r="R28" s="27">
        <v>336.6</v>
      </c>
      <c r="S28" s="27">
        <v>1840.6</v>
      </c>
      <c r="T28" s="43">
        <v>-1504</v>
      </c>
      <c r="U28" s="27">
        <v>298.7</v>
      </c>
      <c r="V28" s="27">
        <v>1156</v>
      </c>
      <c r="W28" s="28">
        <v>-857.3</v>
      </c>
      <c r="X28" s="27">
        <v>257.89999999999998</v>
      </c>
      <c r="Y28" s="27">
        <v>1165.7</v>
      </c>
      <c r="Z28" s="28">
        <v>-907.80000000000007</v>
      </c>
      <c r="AA28" s="27">
        <v>264.39999999999998</v>
      </c>
      <c r="AB28" s="27">
        <v>1475.1</v>
      </c>
      <c r="AC28" s="28">
        <v>-1210.6999999999998</v>
      </c>
      <c r="AD28" s="53"/>
      <c r="AE28" s="51"/>
      <c r="AF28" s="51"/>
      <c r="AG28" s="51"/>
      <c r="AH28" s="51"/>
      <c r="AI28" s="51"/>
    </row>
    <row r="29" spans="1:35" ht="24" customHeight="1">
      <c r="A29" s="33" t="s">
        <v>54</v>
      </c>
      <c r="B29" s="34" t="s">
        <v>55</v>
      </c>
      <c r="C29" s="27">
        <v>180.8</v>
      </c>
      <c r="D29" s="27">
        <v>54.7</v>
      </c>
      <c r="E29" s="28">
        <f t="shared" si="0"/>
        <v>126.10000000000001</v>
      </c>
      <c r="F29" s="27">
        <v>251.5</v>
      </c>
      <c r="G29" s="27">
        <v>60</v>
      </c>
      <c r="H29" s="28">
        <v>191.5</v>
      </c>
      <c r="I29" s="27">
        <v>219.7</v>
      </c>
      <c r="J29" s="27">
        <v>73.099999999999994</v>
      </c>
      <c r="K29" s="28">
        <v>146.6</v>
      </c>
      <c r="L29" s="27">
        <v>222.3</v>
      </c>
      <c r="M29" s="27">
        <v>84.9</v>
      </c>
      <c r="N29" s="28">
        <v>137.4</v>
      </c>
      <c r="O29" s="27">
        <v>336.4</v>
      </c>
      <c r="P29" s="27">
        <v>105.09999999999998</v>
      </c>
      <c r="Q29" s="28">
        <v>231.29999999999995</v>
      </c>
      <c r="R29" s="27">
        <v>330.3</v>
      </c>
      <c r="S29" s="27">
        <v>62</v>
      </c>
      <c r="T29" s="43">
        <v>268.3</v>
      </c>
      <c r="U29" s="27">
        <v>299</v>
      </c>
      <c r="V29" s="27">
        <v>42.6</v>
      </c>
      <c r="W29" s="28">
        <v>256.39999999999998</v>
      </c>
      <c r="X29" s="27">
        <v>290.2</v>
      </c>
      <c r="Y29" s="27">
        <v>29.1</v>
      </c>
      <c r="Z29" s="28">
        <v>261.09999999999997</v>
      </c>
      <c r="AA29" s="27">
        <v>335.10000000000008</v>
      </c>
      <c r="AB29" s="27">
        <v>44.7</v>
      </c>
      <c r="AC29" s="28">
        <v>290.40000000000009</v>
      </c>
      <c r="AD29" s="53"/>
      <c r="AE29" s="51"/>
      <c r="AF29" s="51"/>
      <c r="AG29" s="51"/>
      <c r="AH29" s="51"/>
      <c r="AI29" s="51"/>
    </row>
    <row r="30" spans="1:35" ht="24" customHeight="1">
      <c r="A30" s="33" t="s">
        <v>56</v>
      </c>
      <c r="B30" s="34" t="s">
        <v>57</v>
      </c>
      <c r="C30" s="27">
        <v>83.8</v>
      </c>
      <c r="D30" s="27">
        <v>237.60000000000002</v>
      </c>
      <c r="E30" s="28">
        <f t="shared" si="0"/>
        <v>-153.80000000000001</v>
      </c>
      <c r="F30" s="27">
        <v>105.2</v>
      </c>
      <c r="G30" s="27">
        <v>359.7</v>
      </c>
      <c r="H30" s="28">
        <v>-254.5</v>
      </c>
      <c r="I30" s="27">
        <v>57.3</v>
      </c>
      <c r="J30" s="27">
        <v>174.6</v>
      </c>
      <c r="K30" s="28">
        <v>-117.3</v>
      </c>
      <c r="L30" s="27">
        <v>30.3</v>
      </c>
      <c r="M30" s="27">
        <v>138</v>
      </c>
      <c r="N30" s="28">
        <v>-107.7</v>
      </c>
      <c r="O30" s="27">
        <v>51.5</v>
      </c>
      <c r="P30" s="27">
        <v>137.59999999999997</v>
      </c>
      <c r="Q30" s="28">
        <v>-86.099999999999966</v>
      </c>
      <c r="R30" s="27">
        <v>98</v>
      </c>
      <c r="S30" s="27">
        <v>207.6</v>
      </c>
      <c r="T30" s="43">
        <v>-109.6</v>
      </c>
      <c r="U30" s="27">
        <v>90.4</v>
      </c>
      <c r="V30" s="27">
        <v>127.1</v>
      </c>
      <c r="W30" s="43">
        <v>-36.700000000000003</v>
      </c>
      <c r="X30" s="27">
        <v>151.6</v>
      </c>
      <c r="Y30" s="27">
        <v>212.7</v>
      </c>
      <c r="Z30" s="43">
        <v>-61.099999999999994</v>
      </c>
      <c r="AA30" s="27">
        <v>157.69999999999999</v>
      </c>
      <c r="AB30" s="27">
        <v>391.79999999999995</v>
      </c>
      <c r="AC30" s="43">
        <v>-234.09999999999997</v>
      </c>
      <c r="AD30" s="53"/>
      <c r="AE30" s="51"/>
      <c r="AF30" s="51"/>
      <c r="AG30" s="51"/>
      <c r="AH30" s="51"/>
      <c r="AI30" s="51"/>
    </row>
    <row r="31" spans="1:35" s="6" customFormat="1" ht="24" customHeight="1">
      <c r="A31" s="33" t="s">
        <v>58</v>
      </c>
      <c r="B31" s="34" t="s">
        <v>59</v>
      </c>
      <c r="C31" s="27">
        <v>60.2</v>
      </c>
      <c r="D31" s="27">
        <v>104.4</v>
      </c>
      <c r="E31" s="28">
        <f t="shared" si="0"/>
        <v>-44.2</v>
      </c>
      <c r="F31" s="27">
        <v>84.8</v>
      </c>
      <c r="G31" s="27">
        <v>176.9</v>
      </c>
      <c r="H31" s="28">
        <v>-92.100000000000009</v>
      </c>
      <c r="I31" s="27">
        <v>112.9</v>
      </c>
      <c r="J31" s="27">
        <v>170.8</v>
      </c>
      <c r="K31" s="28">
        <v>-57.9</v>
      </c>
      <c r="L31" s="27">
        <v>91.8</v>
      </c>
      <c r="M31" s="27">
        <v>139.30000000000001</v>
      </c>
      <c r="N31" s="28">
        <v>-47.5</v>
      </c>
      <c r="O31" s="27">
        <v>169.6</v>
      </c>
      <c r="P31" s="27">
        <v>160.5</v>
      </c>
      <c r="Q31" s="28">
        <v>9.1</v>
      </c>
      <c r="R31" s="27">
        <v>156.1</v>
      </c>
      <c r="S31" s="27">
        <v>312.7</v>
      </c>
      <c r="T31" s="43">
        <v>-156.6</v>
      </c>
      <c r="U31" s="27">
        <v>137.6</v>
      </c>
      <c r="V31" s="27">
        <v>153.39999999999998</v>
      </c>
      <c r="W31" s="28">
        <v>-15.8</v>
      </c>
      <c r="X31" s="27">
        <v>148.89999999999998</v>
      </c>
      <c r="Y31" s="27">
        <v>162.1</v>
      </c>
      <c r="Z31" s="28">
        <v>-13.200000000000017</v>
      </c>
      <c r="AA31" s="27">
        <v>108.60000000000002</v>
      </c>
      <c r="AB31" s="27">
        <v>282.90000000000003</v>
      </c>
      <c r="AC31" s="28">
        <v>-174.3</v>
      </c>
      <c r="AD31" s="53"/>
      <c r="AE31" s="51"/>
      <c r="AF31" s="51"/>
      <c r="AG31" s="51"/>
      <c r="AH31" s="51"/>
      <c r="AI31" s="51"/>
    </row>
    <row r="32" spans="1:35" ht="24" customHeight="1">
      <c r="A32" s="31" t="s">
        <v>60</v>
      </c>
      <c r="B32" s="32" t="s">
        <v>61</v>
      </c>
      <c r="C32" s="25">
        <v>2237.4</v>
      </c>
      <c r="D32" s="25">
        <v>5668.2999999999993</v>
      </c>
      <c r="E32" s="26">
        <f t="shared" si="0"/>
        <v>-3430.8999999999992</v>
      </c>
      <c r="F32" s="25">
        <v>2736.1</v>
      </c>
      <c r="G32" s="25">
        <v>5509.4</v>
      </c>
      <c r="H32" s="26">
        <v>-2773.2999999999997</v>
      </c>
      <c r="I32" s="25">
        <v>2818.4000000000005</v>
      </c>
      <c r="J32" s="25">
        <v>6285.9</v>
      </c>
      <c r="K32" s="26">
        <v>-3467.5</v>
      </c>
      <c r="L32" s="25">
        <v>3047.6</v>
      </c>
      <c r="M32" s="25">
        <v>6651.6</v>
      </c>
      <c r="N32" s="26">
        <v>-3604</v>
      </c>
      <c r="O32" s="25">
        <v>3614.5</v>
      </c>
      <c r="P32" s="25">
        <v>7704.1</v>
      </c>
      <c r="Q32" s="26">
        <v>-4089.6000000000004</v>
      </c>
      <c r="R32" s="25">
        <v>5614.6</v>
      </c>
      <c r="S32" s="25">
        <v>10106.200000000001</v>
      </c>
      <c r="T32" s="26">
        <v>-4491.6000000000004</v>
      </c>
      <c r="U32" s="25">
        <v>5399.5</v>
      </c>
      <c r="V32" s="25">
        <v>8164.1</v>
      </c>
      <c r="W32" s="26">
        <v>-2764.6</v>
      </c>
      <c r="X32" s="25">
        <v>4899.5</v>
      </c>
      <c r="Y32" s="25">
        <v>8216.1</v>
      </c>
      <c r="Z32" s="26">
        <v>-3316.6000000000004</v>
      </c>
      <c r="AA32" s="25">
        <v>4984.1000000000013</v>
      </c>
      <c r="AB32" s="25">
        <v>8891.5</v>
      </c>
      <c r="AC32" s="26">
        <v>-3907.3999999999987</v>
      </c>
      <c r="AD32" s="52"/>
      <c r="AE32" s="51"/>
      <c r="AF32" s="51"/>
      <c r="AG32" s="51"/>
      <c r="AH32" s="51"/>
      <c r="AI32" s="51"/>
    </row>
    <row r="33" spans="1:35" s="7" customFormat="1" ht="24" customHeight="1">
      <c r="A33" s="33" t="s">
        <v>62</v>
      </c>
      <c r="B33" s="34" t="s">
        <v>63</v>
      </c>
      <c r="C33" s="27">
        <v>300.2</v>
      </c>
      <c r="D33" s="27">
        <v>2701.3</v>
      </c>
      <c r="E33" s="28">
        <f t="shared" si="0"/>
        <v>-2401.1000000000004</v>
      </c>
      <c r="F33" s="27">
        <v>392.1</v>
      </c>
      <c r="G33" s="27">
        <v>2411.6</v>
      </c>
      <c r="H33" s="28">
        <v>-2019.5</v>
      </c>
      <c r="I33" s="27">
        <v>331.7</v>
      </c>
      <c r="J33" s="27">
        <v>2884.2</v>
      </c>
      <c r="K33" s="28">
        <v>-2552.5</v>
      </c>
      <c r="L33" s="27">
        <v>500.2</v>
      </c>
      <c r="M33" s="27">
        <v>3184</v>
      </c>
      <c r="N33" s="28">
        <v>-2683.8</v>
      </c>
      <c r="O33" s="27">
        <v>503.5</v>
      </c>
      <c r="P33" s="27">
        <v>3540.3</v>
      </c>
      <c r="Q33" s="28">
        <v>-3036.8000000000006</v>
      </c>
      <c r="R33" s="27">
        <v>785.1</v>
      </c>
      <c r="S33" s="27">
        <v>4841.2</v>
      </c>
      <c r="T33" s="28">
        <v>-4056.1</v>
      </c>
      <c r="U33" s="27">
        <v>716</v>
      </c>
      <c r="V33" s="27">
        <v>3775.6</v>
      </c>
      <c r="W33" s="28">
        <v>-3059.6</v>
      </c>
      <c r="X33" s="27">
        <v>800.6</v>
      </c>
      <c r="Y33" s="27">
        <v>4100.3999999999996</v>
      </c>
      <c r="Z33" s="28">
        <v>-3299.7999999999997</v>
      </c>
      <c r="AA33" s="27">
        <v>928.39999999999986</v>
      </c>
      <c r="AB33" s="27">
        <v>4216.2</v>
      </c>
      <c r="AC33" s="28">
        <v>-3287.8</v>
      </c>
      <c r="AD33" s="53"/>
      <c r="AE33" s="51"/>
      <c r="AF33" s="51"/>
      <c r="AG33" s="51"/>
      <c r="AH33" s="51"/>
      <c r="AI33" s="51"/>
    </row>
    <row r="34" spans="1:35" s="7" customFormat="1" ht="24" customHeight="1">
      <c r="A34" s="33" t="s">
        <v>64</v>
      </c>
      <c r="B34" s="34" t="s">
        <v>65</v>
      </c>
      <c r="C34" s="27">
        <v>573.1</v>
      </c>
      <c r="D34" s="27">
        <v>1645.6999999999998</v>
      </c>
      <c r="E34" s="28">
        <f t="shared" si="0"/>
        <v>-1072.5999999999999</v>
      </c>
      <c r="F34" s="27">
        <v>646.19999999999993</v>
      </c>
      <c r="G34" s="27">
        <v>1589</v>
      </c>
      <c r="H34" s="28">
        <v>-942.80000000000007</v>
      </c>
      <c r="I34" s="27">
        <v>726</v>
      </c>
      <c r="J34" s="27">
        <v>1735.2</v>
      </c>
      <c r="K34" s="28">
        <v>-1009.2000000000002</v>
      </c>
      <c r="L34" s="27">
        <v>924.3</v>
      </c>
      <c r="M34" s="27">
        <v>1561</v>
      </c>
      <c r="N34" s="28">
        <v>-636.70000000000005</v>
      </c>
      <c r="O34" s="27">
        <v>1198.9000000000001</v>
      </c>
      <c r="P34" s="27">
        <v>1808.7999999999997</v>
      </c>
      <c r="Q34" s="28">
        <v>-609.89999999999964</v>
      </c>
      <c r="R34" s="27">
        <v>1716.7</v>
      </c>
      <c r="S34" s="27">
        <v>2649</v>
      </c>
      <c r="T34" s="28">
        <v>-932.3</v>
      </c>
      <c r="U34" s="27">
        <v>1280.4000000000001</v>
      </c>
      <c r="V34" s="27">
        <v>2072.3000000000002</v>
      </c>
      <c r="W34" s="28">
        <v>-791.9</v>
      </c>
      <c r="X34" s="27">
        <v>1182.3</v>
      </c>
      <c r="Y34" s="27">
        <v>1690.2000000000003</v>
      </c>
      <c r="Z34" s="28">
        <v>-507.90000000000032</v>
      </c>
      <c r="AA34" s="27">
        <v>1194.2</v>
      </c>
      <c r="AB34" s="27">
        <v>1984.5999999999997</v>
      </c>
      <c r="AC34" s="28">
        <v>-790.39999999999964</v>
      </c>
      <c r="AD34" s="53"/>
      <c r="AE34" s="51"/>
      <c r="AF34" s="51"/>
      <c r="AG34" s="51"/>
      <c r="AH34" s="51"/>
      <c r="AI34" s="51"/>
    </row>
    <row r="35" spans="1:35" s="8" customFormat="1" ht="24" customHeight="1">
      <c r="A35" s="33" t="s">
        <v>66</v>
      </c>
      <c r="B35" s="34" t="s">
        <v>67</v>
      </c>
      <c r="C35" s="27">
        <v>766.30000000000007</v>
      </c>
      <c r="D35" s="27">
        <v>149.1</v>
      </c>
      <c r="E35" s="28">
        <f t="shared" si="0"/>
        <v>617.20000000000005</v>
      </c>
      <c r="F35" s="27">
        <v>964.8</v>
      </c>
      <c r="G35" s="27">
        <v>168.7</v>
      </c>
      <c r="H35" s="28">
        <v>796.09999999999991</v>
      </c>
      <c r="I35" s="27">
        <v>1020.4</v>
      </c>
      <c r="J35" s="27">
        <v>270.5</v>
      </c>
      <c r="K35" s="28">
        <v>749.90000000000009</v>
      </c>
      <c r="L35" s="27">
        <v>966.7</v>
      </c>
      <c r="M35" s="27">
        <v>251.1</v>
      </c>
      <c r="N35" s="28">
        <v>715.6</v>
      </c>
      <c r="O35" s="27">
        <v>1183.9000000000001</v>
      </c>
      <c r="P35" s="27">
        <v>330.9</v>
      </c>
      <c r="Q35" s="28">
        <v>853.00000000000011</v>
      </c>
      <c r="R35" s="27">
        <v>2191</v>
      </c>
      <c r="S35" s="27">
        <v>483.6</v>
      </c>
      <c r="T35" s="28">
        <v>1707.4</v>
      </c>
      <c r="U35" s="27">
        <v>2487.1</v>
      </c>
      <c r="V35" s="27">
        <v>315</v>
      </c>
      <c r="W35" s="28">
        <v>2172.1</v>
      </c>
      <c r="X35" s="27">
        <v>1819.4</v>
      </c>
      <c r="Y35" s="27">
        <v>368.69999999999993</v>
      </c>
      <c r="Z35" s="28">
        <v>1450.7000000000003</v>
      </c>
      <c r="AA35" s="27">
        <v>1521.1000000000001</v>
      </c>
      <c r="AB35" s="27">
        <v>490.8</v>
      </c>
      <c r="AC35" s="28">
        <v>1030.3000000000002</v>
      </c>
      <c r="AD35" s="53"/>
      <c r="AE35" s="51"/>
      <c r="AF35" s="51"/>
      <c r="AG35" s="51"/>
      <c r="AH35" s="51"/>
      <c r="AI35" s="51"/>
    </row>
    <row r="36" spans="1:35" s="9" customFormat="1" ht="24" customHeight="1">
      <c r="A36" s="31" t="s">
        <v>68</v>
      </c>
      <c r="B36" s="32" t="s">
        <v>69</v>
      </c>
      <c r="C36" s="25">
        <v>1927.3</v>
      </c>
      <c r="D36" s="25">
        <v>8896.1</v>
      </c>
      <c r="E36" s="26">
        <f t="shared" si="0"/>
        <v>-6968.8</v>
      </c>
      <c r="F36" s="25">
        <v>2240</v>
      </c>
      <c r="G36" s="25">
        <v>10149</v>
      </c>
      <c r="H36" s="26">
        <v>-7909</v>
      </c>
      <c r="I36" s="25">
        <v>2107.1</v>
      </c>
      <c r="J36" s="25">
        <v>11379.7</v>
      </c>
      <c r="K36" s="26">
        <v>-9272.6</v>
      </c>
      <c r="L36" s="25">
        <v>1874</v>
      </c>
      <c r="M36" s="25">
        <v>11567</v>
      </c>
      <c r="N36" s="26">
        <v>-9693</v>
      </c>
      <c r="O36" s="25">
        <v>2248.9</v>
      </c>
      <c r="P36" s="25">
        <v>12831.1</v>
      </c>
      <c r="Q36" s="26">
        <v>-10582.2</v>
      </c>
      <c r="R36" s="25">
        <v>3157.5</v>
      </c>
      <c r="S36" s="25">
        <v>14092.5</v>
      </c>
      <c r="T36" s="26">
        <v>-10935</v>
      </c>
      <c r="U36" s="25">
        <v>2532.3000000000002</v>
      </c>
      <c r="V36" s="25">
        <v>11052.1</v>
      </c>
      <c r="W36" s="26">
        <v>-8519.7999999999993</v>
      </c>
      <c r="X36" s="25">
        <v>2845.4</v>
      </c>
      <c r="Y36" s="25">
        <v>11774.400000000001</v>
      </c>
      <c r="Z36" s="26">
        <v>-8929.0000000000018</v>
      </c>
      <c r="AA36" s="25">
        <v>3346.5</v>
      </c>
      <c r="AB36" s="25">
        <v>13289.8</v>
      </c>
      <c r="AC36" s="26">
        <v>-9943.2999999999993</v>
      </c>
      <c r="AD36" s="52"/>
      <c r="AE36" s="51"/>
      <c r="AF36" s="51"/>
      <c r="AG36" s="51"/>
      <c r="AH36" s="51"/>
      <c r="AI36" s="51"/>
    </row>
    <row r="37" spans="1:35" s="9" customFormat="1" ht="24" customHeight="1">
      <c r="A37" s="33" t="s">
        <v>70</v>
      </c>
      <c r="B37" s="34" t="s">
        <v>71</v>
      </c>
      <c r="C37" s="27">
        <v>496.5</v>
      </c>
      <c r="D37" s="27">
        <v>823.30000000000007</v>
      </c>
      <c r="E37" s="28">
        <f t="shared" si="0"/>
        <v>-326.80000000000007</v>
      </c>
      <c r="F37" s="27">
        <v>740.6</v>
      </c>
      <c r="G37" s="27">
        <v>707.6</v>
      </c>
      <c r="H37" s="28">
        <v>33</v>
      </c>
      <c r="I37" s="27">
        <v>648.6</v>
      </c>
      <c r="J37" s="27">
        <v>910.19999999999993</v>
      </c>
      <c r="K37" s="28">
        <v>-261.60000000000002</v>
      </c>
      <c r="L37" s="27">
        <v>478.1</v>
      </c>
      <c r="M37" s="27">
        <v>842.7</v>
      </c>
      <c r="N37" s="28">
        <v>-364.6</v>
      </c>
      <c r="O37" s="27">
        <v>855.09999999999991</v>
      </c>
      <c r="P37" s="27">
        <v>1122.2</v>
      </c>
      <c r="Q37" s="28">
        <v>-267.10000000000014</v>
      </c>
      <c r="R37" s="27">
        <v>1105.2</v>
      </c>
      <c r="S37" s="27">
        <v>1298.2</v>
      </c>
      <c r="T37" s="28">
        <v>-193</v>
      </c>
      <c r="U37" s="27">
        <v>731.5</v>
      </c>
      <c r="V37" s="27">
        <v>684.5</v>
      </c>
      <c r="W37" s="28">
        <v>47</v>
      </c>
      <c r="X37" s="27">
        <v>1065.3</v>
      </c>
      <c r="Y37" s="27">
        <v>1064.9000000000001</v>
      </c>
      <c r="Z37" s="28">
        <v>0.4</v>
      </c>
      <c r="AA37" s="27">
        <v>893</v>
      </c>
      <c r="AB37" s="27">
        <v>1511.2999999999997</v>
      </c>
      <c r="AC37" s="28">
        <v>-618.29999999999973</v>
      </c>
      <c r="AD37" s="53"/>
      <c r="AE37" s="51"/>
      <c r="AF37" s="51"/>
      <c r="AG37" s="51"/>
      <c r="AH37" s="51"/>
      <c r="AI37" s="51"/>
    </row>
    <row r="38" spans="1:35" s="10" customFormat="1" ht="24" customHeight="1">
      <c r="A38" s="33" t="s">
        <v>72</v>
      </c>
      <c r="B38" s="34" t="s">
        <v>73</v>
      </c>
      <c r="C38" s="27">
        <v>299.8</v>
      </c>
      <c r="D38" s="27">
        <v>843</v>
      </c>
      <c r="E38" s="28">
        <f t="shared" si="0"/>
        <v>-543.20000000000005</v>
      </c>
      <c r="F38" s="27">
        <v>110.9</v>
      </c>
      <c r="G38" s="27">
        <v>974.1</v>
      </c>
      <c r="H38" s="28">
        <v>-863.2</v>
      </c>
      <c r="I38" s="27">
        <v>118.9</v>
      </c>
      <c r="J38" s="27">
        <v>1248</v>
      </c>
      <c r="K38" s="28">
        <v>-1129.0999999999999</v>
      </c>
      <c r="L38" s="27">
        <v>48</v>
      </c>
      <c r="M38" s="27">
        <v>1742</v>
      </c>
      <c r="N38" s="28">
        <v>-1694</v>
      </c>
      <c r="O38" s="27">
        <v>94.9</v>
      </c>
      <c r="P38" s="27">
        <v>1650.7999999999997</v>
      </c>
      <c r="Q38" s="28">
        <v>-1555.8999999999996</v>
      </c>
      <c r="R38" s="27">
        <v>65</v>
      </c>
      <c r="S38" s="27">
        <v>1454.9</v>
      </c>
      <c r="T38" s="28">
        <v>-1389.9</v>
      </c>
      <c r="U38" s="27">
        <v>18.100000000000001</v>
      </c>
      <c r="V38" s="27">
        <v>802.1</v>
      </c>
      <c r="W38" s="28">
        <v>-784</v>
      </c>
      <c r="X38" s="27">
        <v>6.6</v>
      </c>
      <c r="Y38" s="27">
        <v>766</v>
      </c>
      <c r="Z38" s="28">
        <v>-759.4</v>
      </c>
      <c r="AA38" s="27">
        <v>21.8</v>
      </c>
      <c r="AB38" s="27">
        <v>967</v>
      </c>
      <c r="AC38" s="28">
        <v>-945.2</v>
      </c>
      <c r="AD38" s="53"/>
      <c r="AE38" s="51"/>
      <c r="AF38" s="51"/>
      <c r="AG38" s="51"/>
      <c r="AH38" s="51"/>
      <c r="AI38" s="51"/>
    </row>
    <row r="39" spans="1:35" s="9" customFormat="1" ht="24" customHeight="1">
      <c r="A39" s="33" t="s">
        <v>100</v>
      </c>
      <c r="B39" s="34" t="s">
        <v>99</v>
      </c>
      <c r="C39" s="27">
        <v>43.4</v>
      </c>
      <c r="D39" s="27">
        <v>810.9</v>
      </c>
      <c r="E39" s="28">
        <f t="shared" si="0"/>
        <v>-767.5</v>
      </c>
      <c r="F39" s="27">
        <v>27.8</v>
      </c>
      <c r="G39" s="27">
        <v>768</v>
      </c>
      <c r="H39" s="28">
        <v>-740.2</v>
      </c>
      <c r="I39" s="27">
        <v>50.2</v>
      </c>
      <c r="J39" s="27">
        <v>963.2</v>
      </c>
      <c r="K39" s="28">
        <v>-913</v>
      </c>
      <c r="L39" s="27">
        <v>36</v>
      </c>
      <c r="M39" s="27">
        <v>621.6</v>
      </c>
      <c r="N39" s="28">
        <v>-585.6</v>
      </c>
      <c r="O39" s="27">
        <v>23.5</v>
      </c>
      <c r="P39" s="27">
        <v>578.79999999999995</v>
      </c>
      <c r="Q39" s="28">
        <v>-555.29999999999995</v>
      </c>
      <c r="R39" s="27">
        <v>35.200000000000003</v>
      </c>
      <c r="S39" s="27">
        <v>732.4</v>
      </c>
      <c r="T39" s="28">
        <v>-697.19999999999993</v>
      </c>
      <c r="U39" s="27">
        <v>22</v>
      </c>
      <c r="V39" s="27">
        <v>881.5</v>
      </c>
      <c r="W39" s="28">
        <v>-859.5</v>
      </c>
      <c r="X39" s="27">
        <v>37</v>
      </c>
      <c r="Y39" s="27">
        <v>940.3</v>
      </c>
      <c r="Z39" s="28">
        <v>-903.3</v>
      </c>
      <c r="AA39" s="27">
        <v>101.50000000000001</v>
      </c>
      <c r="AB39" s="27">
        <v>931.6</v>
      </c>
      <c r="AC39" s="28">
        <v>-830.1</v>
      </c>
      <c r="AD39" s="53"/>
      <c r="AE39" s="51"/>
      <c r="AF39" s="51"/>
      <c r="AG39" s="51"/>
      <c r="AH39" s="51"/>
      <c r="AI39" s="51"/>
    </row>
    <row r="40" spans="1:35" s="4" customFormat="1" ht="24" customHeight="1">
      <c r="A40" s="33" t="s">
        <v>74</v>
      </c>
      <c r="B40" s="34" t="s">
        <v>75</v>
      </c>
      <c r="C40" s="27">
        <v>458.4</v>
      </c>
      <c r="D40" s="27">
        <v>339.2</v>
      </c>
      <c r="E40" s="28">
        <f t="shared" si="0"/>
        <v>119.19999999999999</v>
      </c>
      <c r="F40" s="27">
        <v>542.9</v>
      </c>
      <c r="G40" s="27">
        <v>444.3</v>
      </c>
      <c r="H40" s="28">
        <v>98.599999999999966</v>
      </c>
      <c r="I40" s="27">
        <v>508.9</v>
      </c>
      <c r="J40" s="27">
        <v>535.29999999999995</v>
      </c>
      <c r="K40" s="28">
        <v>-26.400000000000031</v>
      </c>
      <c r="L40" s="27">
        <v>319.60000000000002</v>
      </c>
      <c r="M40" s="27">
        <v>704.9</v>
      </c>
      <c r="N40" s="28">
        <v>-385.3</v>
      </c>
      <c r="O40" s="27">
        <v>584.79999999999995</v>
      </c>
      <c r="P40" s="27">
        <v>823.8</v>
      </c>
      <c r="Q40" s="28">
        <v>-239.00000000000003</v>
      </c>
      <c r="R40" s="27">
        <v>768.3</v>
      </c>
      <c r="S40" s="27">
        <v>973.4</v>
      </c>
      <c r="T40" s="28">
        <v>-205.10000000000002</v>
      </c>
      <c r="U40" s="27">
        <v>652.70000000000005</v>
      </c>
      <c r="V40" s="27">
        <v>1022.8000000000001</v>
      </c>
      <c r="W40" s="28">
        <v>-370.1</v>
      </c>
      <c r="X40" s="27">
        <v>1272</v>
      </c>
      <c r="Y40" s="27">
        <v>1127.3</v>
      </c>
      <c r="Z40" s="28">
        <v>144.70000000000005</v>
      </c>
      <c r="AA40" s="27">
        <v>1489.1000000000004</v>
      </c>
      <c r="AB40" s="27">
        <v>1414.7999999999997</v>
      </c>
      <c r="AC40" s="28">
        <v>74.3</v>
      </c>
      <c r="AD40" s="53"/>
      <c r="AE40" s="51"/>
      <c r="AF40" s="51"/>
      <c r="AG40" s="51"/>
      <c r="AH40" s="51"/>
      <c r="AI40" s="51"/>
    </row>
    <row r="41" spans="1:35" s="8" customFormat="1" ht="24" customHeight="1">
      <c r="A41" s="33" t="s">
        <v>76</v>
      </c>
      <c r="B41" s="34" t="s">
        <v>77</v>
      </c>
      <c r="C41" s="27">
        <v>155.6</v>
      </c>
      <c r="D41" s="27">
        <v>533.20000000000005</v>
      </c>
      <c r="E41" s="28">
        <f t="shared" si="0"/>
        <v>-377.6</v>
      </c>
      <c r="F41" s="27">
        <v>62.2</v>
      </c>
      <c r="G41" s="27">
        <v>447.1</v>
      </c>
      <c r="H41" s="28">
        <v>-384.9</v>
      </c>
      <c r="I41" s="27">
        <v>53.5</v>
      </c>
      <c r="J41" s="27">
        <v>819.3</v>
      </c>
      <c r="K41" s="28">
        <v>-765.8</v>
      </c>
      <c r="L41" s="27">
        <v>52.7</v>
      </c>
      <c r="M41" s="27">
        <v>789.6</v>
      </c>
      <c r="N41" s="28">
        <v>-736.9</v>
      </c>
      <c r="O41" s="27">
        <v>51.9</v>
      </c>
      <c r="P41" s="27">
        <v>817.09999999999991</v>
      </c>
      <c r="Q41" s="28">
        <v>-765.2</v>
      </c>
      <c r="R41" s="27">
        <v>44.6</v>
      </c>
      <c r="S41" s="27">
        <v>662.5</v>
      </c>
      <c r="T41" s="28">
        <v>-617.9</v>
      </c>
      <c r="U41" s="27">
        <v>63</v>
      </c>
      <c r="V41" s="27">
        <v>513.1</v>
      </c>
      <c r="W41" s="28">
        <v>-450.1</v>
      </c>
      <c r="X41" s="27">
        <v>64.7</v>
      </c>
      <c r="Y41" s="27">
        <v>469.5</v>
      </c>
      <c r="Z41" s="28">
        <v>-404.8</v>
      </c>
      <c r="AA41" s="27">
        <v>25.6</v>
      </c>
      <c r="AB41" s="27">
        <v>475.70000000000005</v>
      </c>
      <c r="AC41" s="28">
        <v>-450.1</v>
      </c>
      <c r="AD41" s="53"/>
      <c r="AE41" s="51"/>
      <c r="AF41" s="51"/>
      <c r="AG41" s="51"/>
      <c r="AH41" s="51"/>
      <c r="AI41" s="51"/>
    </row>
    <row r="42" spans="1:35" s="11" customFormat="1" ht="24" customHeight="1">
      <c r="A42" s="33" t="s">
        <v>78</v>
      </c>
      <c r="B42" s="34" t="s">
        <v>79</v>
      </c>
      <c r="C42" s="27">
        <v>33</v>
      </c>
      <c r="D42" s="27">
        <v>293.90000000000003</v>
      </c>
      <c r="E42" s="28">
        <f t="shared" si="0"/>
        <v>-260.90000000000003</v>
      </c>
      <c r="F42" s="27">
        <v>51.5</v>
      </c>
      <c r="G42" s="27">
        <v>262.89999999999998</v>
      </c>
      <c r="H42" s="28">
        <v>-211.39999999999998</v>
      </c>
      <c r="I42" s="27">
        <v>28.6</v>
      </c>
      <c r="J42" s="27">
        <v>240.9</v>
      </c>
      <c r="K42" s="28">
        <v>-212.29999999999998</v>
      </c>
      <c r="L42" s="27">
        <v>31.3</v>
      </c>
      <c r="M42" s="27">
        <v>230.8</v>
      </c>
      <c r="N42" s="28">
        <v>-199.5</v>
      </c>
      <c r="O42" s="27">
        <v>27.000000000000004</v>
      </c>
      <c r="P42" s="27">
        <v>263.5</v>
      </c>
      <c r="Q42" s="28">
        <v>-236.5</v>
      </c>
      <c r="R42" s="27">
        <v>29.8</v>
      </c>
      <c r="S42" s="27">
        <v>395.6</v>
      </c>
      <c r="T42" s="28">
        <v>-365.8</v>
      </c>
      <c r="U42" s="27">
        <v>39.799999999999997</v>
      </c>
      <c r="V42" s="27">
        <v>343.6</v>
      </c>
      <c r="W42" s="28">
        <v>-303.8</v>
      </c>
      <c r="X42" s="27">
        <v>43.399999999999991</v>
      </c>
      <c r="Y42" s="27">
        <v>292</v>
      </c>
      <c r="Z42" s="28">
        <v>-248.60000000000002</v>
      </c>
      <c r="AA42" s="27">
        <v>40.599999999999994</v>
      </c>
      <c r="AB42" s="27">
        <v>449.5</v>
      </c>
      <c r="AC42" s="28">
        <v>-408.9</v>
      </c>
      <c r="AD42" s="53"/>
      <c r="AE42" s="51"/>
      <c r="AF42" s="51"/>
      <c r="AG42" s="51"/>
      <c r="AH42" s="51"/>
      <c r="AI42" s="51"/>
    </row>
    <row r="43" spans="1:35" s="11" customFormat="1" ht="24" customHeight="1">
      <c r="A43" s="31" t="s">
        <v>80</v>
      </c>
      <c r="B43" s="32" t="s">
        <v>81</v>
      </c>
      <c r="C43" s="25">
        <v>1292</v>
      </c>
      <c r="D43" s="25">
        <v>3527.2999999999997</v>
      </c>
      <c r="E43" s="26">
        <f t="shared" si="0"/>
        <v>-2235.2999999999997</v>
      </c>
      <c r="F43" s="25">
        <v>1608.3</v>
      </c>
      <c r="G43" s="25">
        <v>5335</v>
      </c>
      <c r="H43" s="26">
        <v>-3726.7</v>
      </c>
      <c r="I43" s="25">
        <v>1520.5</v>
      </c>
      <c r="J43" s="25">
        <v>5388.9</v>
      </c>
      <c r="K43" s="26">
        <v>-3868.3999999999996</v>
      </c>
      <c r="L43" s="25">
        <v>1178.5</v>
      </c>
      <c r="M43" s="25">
        <v>4526.2</v>
      </c>
      <c r="N43" s="26">
        <v>-3347.7</v>
      </c>
      <c r="O43" s="25">
        <v>1906.9</v>
      </c>
      <c r="P43" s="25">
        <v>4989.7</v>
      </c>
      <c r="Q43" s="26">
        <v>-3082.7999999999993</v>
      </c>
      <c r="R43" s="25">
        <v>3052.2</v>
      </c>
      <c r="S43" s="25">
        <v>7457.8</v>
      </c>
      <c r="T43" s="26">
        <v>-4405.6000000000004</v>
      </c>
      <c r="U43" s="25">
        <v>2931.8</v>
      </c>
      <c r="V43" s="25">
        <v>5412.7</v>
      </c>
      <c r="W43" s="26">
        <v>-2480.9</v>
      </c>
      <c r="X43" s="25">
        <v>3207.5</v>
      </c>
      <c r="Y43" s="25">
        <v>7411.1</v>
      </c>
      <c r="Z43" s="26">
        <v>-4203.6000000000004</v>
      </c>
      <c r="AA43" s="25">
        <v>3610.1</v>
      </c>
      <c r="AB43" s="25">
        <v>8599.9</v>
      </c>
      <c r="AC43" s="26">
        <v>-4989.7999999999993</v>
      </c>
      <c r="AD43" s="52"/>
      <c r="AE43" s="51"/>
      <c r="AF43" s="51"/>
      <c r="AG43" s="51"/>
      <c r="AH43" s="51"/>
      <c r="AI43" s="51"/>
    </row>
    <row r="44" spans="1:35" s="7" customFormat="1" ht="24" customHeight="1">
      <c r="A44" s="33" t="s">
        <v>82</v>
      </c>
      <c r="B44" s="34" t="s">
        <v>83</v>
      </c>
      <c r="C44" s="27">
        <v>750.7</v>
      </c>
      <c r="D44" s="27">
        <v>2447.1000000000004</v>
      </c>
      <c r="E44" s="28">
        <f t="shared" si="0"/>
        <v>-1696.4000000000003</v>
      </c>
      <c r="F44" s="27">
        <v>949.2</v>
      </c>
      <c r="G44" s="27">
        <v>4113.3999999999996</v>
      </c>
      <c r="H44" s="28">
        <v>-3164.2</v>
      </c>
      <c r="I44" s="27">
        <v>919.5</v>
      </c>
      <c r="J44" s="27">
        <v>3887.3</v>
      </c>
      <c r="K44" s="28">
        <v>-2967.8</v>
      </c>
      <c r="L44" s="27">
        <v>704.9</v>
      </c>
      <c r="M44" s="27">
        <v>3149.7</v>
      </c>
      <c r="N44" s="28">
        <v>-2444.8000000000002</v>
      </c>
      <c r="O44" s="27">
        <v>1250.2</v>
      </c>
      <c r="P44" s="27">
        <v>3336.8</v>
      </c>
      <c r="Q44" s="28">
        <v>-2086.6000000000004</v>
      </c>
      <c r="R44" s="27">
        <v>1972.7</v>
      </c>
      <c r="S44" s="27">
        <v>5050.2</v>
      </c>
      <c r="T44" s="28">
        <v>-3077.5</v>
      </c>
      <c r="U44" s="27">
        <v>1784.2</v>
      </c>
      <c r="V44" s="27">
        <v>3540.2</v>
      </c>
      <c r="W44" s="28">
        <v>-1756</v>
      </c>
      <c r="X44" s="27">
        <v>1868.8</v>
      </c>
      <c r="Y44" s="27">
        <v>5284.6</v>
      </c>
      <c r="Z44" s="28">
        <v>-3415.8</v>
      </c>
      <c r="AA44" s="27">
        <v>2192.1999999999998</v>
      </c>
      <c r="AB44" s="27">
        <v>5880.1999999999989</v>
      </c>
      <c r="AC44" s="28">
        <v>-3687.9999999999991</v>
      </c>
      <c r="AD44" s="53"/>
      <c r="AE44" s="51"/>
      <c r="AF44" s="51"/>
      <c r="AG44" s="51"/>
      <c r="AH44" s="51"/>
      <c r="AI44" s="51"/>
    </row>
    <row r="45" spans="1:35" s="4" customFormat="1" ht="24" customHeight="1">
      <c r="A45" s="33" t="s">
        <v>84</v>
      </c>
      <c r="B45" s="34" t="s">
        <v>85</v>
      </c>
      <c r="C45" s="27">
        <v>264.10000000000002</v>
      </c>
      <c r="D45" s="27">
        <v>353.5</v>
      </c>
      <c r="E45" s="28">
        <f t="shared" si="0"/>
        <v>-89.399999999999977</v>
      </c>
      <c r="F45" s="27">
        <v>344.1</v>
      </c>
      <c r="G45" s="27">
        <v>366.1</v>
      </c>
      <c r="H45" s="28">
        <v>-22</v>
      </c>
      <c r="I45" s="27">
        <v>399.6</v>
      </c>
      <c r="J45" s="27">
        <v>629.4</v>
      </c>
      <c r="K45" s="28">
        <v>-229.8</v>
      </c>
      <c r="L45" s="27">
        <v>294.8</v>
      </c>
      <c r="M45" s="27">
        <v>548.79999999999995</v>
      </c>
      <c r="N45" s="28">
        <v>-254</v>
      </c>
      <c r="O45" s="27">
        <v>445.3</v>
      </c>
      <c r="P45" s="27">
        <v>540.20000000000005</v>
      </c>
      <c r="Q45" s="28">
        <v>-94.90000000000002</v>
      </c>
      <c r="R45" s="27">
        <v>523.1</v>
      </c>
      <c r="S45" s="27">
        <v>948.8</v>
      </c>
      <c r="T45" s="28">
        <v>-425.69999999999993</v>
      </c>
      <c r="U45" s="27">
        <v>453.7</v>
      </c>
      <c r="V45" s="27">
        <v>817.4</v>
      </c>
      <c r="W45" s="28">
        <v>-363.7</v>
      </c>
      <c r="X45" s="27">
        <v>506.9</v>
      </c>
      <c r="Y45" s="27">
        <v>812</v>
      </c>
      <c r="Z45" s="28">
        <v>-305.10000000000002</v>
      </c>
      <c r="AA45" s="27">
        <v>766.59999999999991</v>
      </c>
      <c r="AB45" s="27">
        <v>926.2</v>
      </c>
      <c r="AC45" s="28">
        <v>-159.60000000000014</v>
      </c>
      <c r="AD45" s="53"/>
      <c r="AE45" s="51"/>
      <c r="AF45" s="51"/>
      <c r="AG45" s="51"/>
      <c r="AH45" s="51"/>
      <c r="AI45" s="51"/>
    </row>
    <row r="46" spans="1:35" s="4" customFormat="1" ht="24" customHeight="1">
      <c r="A46" s="33" t="s">
        <v>86</v>
      </c>
      <c r="B46" s="34" t="s">
        <v>87</v>
      </c>
      <c r="C46" s="27">
        <v>171.7</v>
      </c>
      <c r="D46" s="27">
        <v>476.5</v>
      </c>
      <c r="E46" s="28">
        <f t="shared" si="0"/>
        <v>-304.8</v>
      </c>
      <c r="F46" s="27">
        <v>208</v>
      </c>
      <c r="G46" s="27">
        <v>580.1</v>
      </c>
      <c r="H46" s="28">
        <v>-372.1</v>
      </c>
      <c r="I46" s="27">
        <v>123.79999999999998</v>
      </c>
      <c r="J46" s="27">
        <v>484.1</v>
      </c>
      <c r="K46" s="28">
        <v>-360.30000000000007</v>
      </c>
      <c r="L46" s="27">
        <v>124.5</v>
      </c>
      <c r="M46" s="27">
        <v>421.7</v>
      </c>
      <c r="N46" s="28">
        <v>-297.2</v>
      </c>
      <c r="O46" s="27">
        <v>144.30000000000001</v>
      </c>
      <c r="P46" s="27">
        <v>706.2</v>
      </c>
      <c r="Q46" s="28">
        <v>-561.90000000000009</v>
      </c>
      <c r="R46" s="27">
        <v>439</v>
      </c>
      <c r="S46" s="27">
        <v>1008</v>
      </c>
      <c r="T46" s="28">
        <v>-569</v>
      </c>
      <c r="U46" s="27">
        <v>430.5</v>
      </c>
      <c r="V46" s="27">
        <v>758</v>
      </c>
      <c r="W46" s="28">
        <v>-327.5</v>
      </c>
      <c r="X46" s="27">
        <v>480.69999999999993</v>
      </c>
      <c r="Y46" s="27">
        <v>1005.1999999999998</v>
      </c>
      <c r="Z46" s="28">
        <v>-524.49999999999989</v>
      </c>
      <c r="AA46" s="27">
        <v>432.9</v>
      </c>
      <c r="AB46" s="27">
        <v>1370.5</v>
      </c>
      <c r="AC46" s="28">
        <v>-937.6</v>
      </c>
      <c r="AD46" s="53"/>
      <c r="AE46" s="51"/>
      <c r="AF46" s="51"/>
      <c r="AG46" s="51"/>
      <c r="AH46" s="51"/>
      <c r="AI46" s="51"/>
    </row>
    <row r="47" spans="1:35" s="4" customFormat="1" ht="24" customHeight="1">
      <c r="A47" s="31" t="s">
        <v>88</v>
      </c>
      <c r="B47" s="32" t="s">
        <v>89</v>
      </c>
      <c r="C47" s="25">
        <v>373.4</v>
      </c>
      <c r="D47" s="25">
        <v>2929.1</v>
      </c>
      <c r="E47" s="26">
        <f t="shared" si="0"/>
        <v>-2555.6999999999998</v>
      </c>
      <c r="F47" s="25">
        <v>226</v>
      </c>
      <c r="G47" s="25">
        <v>2933.5</v>
      </c>
      <c r="H47" s="26">
        <v>-2707.5</v>
      </c>
      <c r="I47" s="25">
        <v>385.3</v>
      </c>
      <c r="J47" s="25">
        <v>4333.5</v>
      </c>
      <c r="K47" s="26">
        <v>-3948.2</v>
      </c>
      <c r="L47" s="25">
        <v>351.8</v>
      </c>
      <c r="M47" s="25">
        <v>4545.3</v>
      </c>
      <c r="N47" s="26">
        <v>-4193.5</v>
      </c>
      <c r="O47" s="25">
        <v>185.4</v>
      </c>
      <c r="P47" s="25">
        <v>5842.9</v>
      </c>
      <c r="Q47" s="26">
        <v>-5657.4999999999991</v>
      </c>
      <c r="R47" s="25">
        <v>243.4</v>
      </c>
      <c r="S47" s="25">
        <v>5415</v>
      </c>
      <c r="T47" s="26">
        <v>-5171.6000000000004</v>
      </c>
      <c r="U47" s="25">
        <v>445.4</v>
      </c>
      <c r="V47" s="25">
        <v>2405.4</v>
      </c>
      <c r="W47" s="26">
        <v>-1960</v>
      </c>
      <c r="X47" s="25">
        <v>477.5</v>
      </c>
      <c r="Y47" s="25">
        <v>3773.4</v>
      </c>
      <c r="Z47" s="26">
        <v>-3295.9</v>
      </c>
      <c r="AA47" s="25">
        <v>760.7</v>
      </c>
      <c r="AB47" s="25">
        <v>4977.4000000000005</v>
      </c>
      <c r="AC47" s="26">
        <v>-4216.7000000000007</v>
      </c>
      <c r="AD47" s="52"/>
      <c r="AE47" s="51"/>
      <c r="AF47" s="51"/>
      <c r="AG47" s="51"/>
      <c r="AH47" s="51"/>
      <c r="AI47" s="51"/>
    </row>
    <row r="48" spans="1:35" s="7" customFormat="1" ht="24" customHeight="1">
      <c r="A48" s="33" t="s">
        <v>90</v>
      </c>
      <c r="B48" s="34" t="s">
        <v>91</v>
      </c>
      <c r="C48" s="27">
        <v>114.20000000000002</v>
      </c>
      <c r="D48" s="27">
        <v>1280</v>
      </c>
      <c r="E48" s="28">
        <f t="shared" si="0"/>
        <v>-1165.8</v>
      </c>
      <c r="F48" s="27">
        <v>112.3</v>
      </c>
      <c r="G48" s="27">
        <v>1280.5</v>
      </c>
      <c r="H48" s="28">
        <v>-1168.2</v>
      </c>
      <c r="I48" s="27">
        <v>256.39999999999998</v>
      </c>
      <c r="J48" s="27">
        <v>1765.1999999999998</v>
      </c>
      <c r="K48" s="28">
        <v>-1508.7999999999997</v>
      </c>
      <c r="L48" s="27">
        <v>243.4</v>
      </c>
      <c r="M48" s="27">
        <v>1628.6</v>
      </c>
      <c r="N48" s="28">
        <v>-1385.2</v>
      </c>
      <c r="O48" s="27">
        <v>107.79999999999998</v>
      </c>
      <c r="P48" s="27">
        <v>2055</v>
      </c>
      <c r="Q48" s="28">
        <v>-1947.1999999999998</v>
      </c>
      <c r="R48" s="27">
        <v>106.6</v>
      </c>
      <c r="S48" s="27">
        <v>2053.3000000000002</v>
      </c>
      <c r="T48" s="28">
        <v>-1946.7000000000003</v>
      </c>
      <c r="U48" s="27">
        <v>262.39999999999998</v>
      </c>
      <c r="V48" s="27">
        <v>1103.0999999999999</v>
      </c>
      <c r="W48" s="28">
        <v>-840.7</v>
      </c>
      <c r="X48" s="27">
        <v>302.10000000000002</v>
      </c>
      <c r="Y48" s="27">
        <v>1248.3</v>
      </c>
      <c r="Z48" s="28">
        <v>-946.19999999999993</v>
      </c>
      <c r="AA48" s="27">
        <v>425.69999999999993</v>
      </c>
      <c r="AB48" s="27">
        <v>2057</v>
      </c>
      <c r="AC48" s="28">
        <v>-1631.3000000000002</v>
      </c>
      <c r="AD48" s="53"/>
      <c r="AE48" s="51"/>
      <c r="AF48" s="51"/>
      <c r="AG48" s="51"/>
      <c r="AH48" s="51"/>
      <c r="AI48" s="51"/>
    </row>
    <row r="49" spans="1:35" s="9" customFormat="1" ht="24" customHeight="1">
      <c r="A49" s="33" t="s">
        <v>92</v>
      </c>
      <c r="B49" s="39" t="s">
        <v>93</v>
      </c>
      <c r="C49" s="29">
        <v>213.1</v>
      </c>
      <c r="D49" s="29">
        <v>857.59999999999991</v>
      </c>
      <c r="E49" s="30">
        <f t="shared" si="0"/>
        <v>-644.49999999999989</v>
      </c>
      <c r="F49" s="29">
        <v>76.2</v>
      </c>
      <c r="G49" s="29">
        <v>764.2</v>
      </c>
      <c r="H49" s="30">
        <v>-688</v>
      </c>
      <c r="I49" s="29">
        <v>89.299999999999983</v>
      </c>
      <c r="J49" s="29">
        <v>1266.9000000000001</v>
      </c>
      <c r="K49" s="30">
        <v>-1177.5999999999997</v>
      </c>
      <c r="L49" s="29">
        <v>71.599999999999994</v>
      </c>
      <c r="M49" s="29">
        <v>1809</v>
      </c>
      <c r="N49" s="30">
        <v>-1737.4</v>
      </c>
      <c r="O49" s="29">
        <v>56.800000000000004</v>
      </c>
      <c r="P49" s="29">
        <v>2499.6</v>
      </c>
      <c r="Q49" s="30">
        <v>-2442.8000000000002</v>
      </c>
      <c r="R49" s="29">
        <v>85.7</v>
      </c>
      <c r="S49" s="29">
        <v>2124.9</v>
      </c>
      <c r="T49" s="30">
        <v>-2039.2</v>
      </c>
      <c r="U49" s="29">
        <v>114.4</v>
      </c>
      <c r="V49" s="29">
        <v>397.2</v>
      </c>
      <c r="W49" s="30">
        <v>-282.8</v>
      </c>
      <c r="X49" s="29">
        <v>103</v>
      </c>
      <c r="Y49" s="29">
        <v>1039.0999999999999</v>
      </c>
      <c r="Z49" s="30">
        <v>-936.1</v>
      </c>
      <c r="AA49" s="29">
        <v>116.30000000000001</v>
      </c>
      <c r="AB49" s="29">
        <v>1524.7999999999997</v>
      </c>
      <c r="AC49" s="30">
        <v>-1408.4999999999998</v>
      </c>
      <c r="AD49" s="53"/>
      <c r="AE49" s="51"/>
      <c r="AF49" s="51"/>
      <c r="AG49" s="51"/>
      <c r="AH49" s="51"/>
      <c r="AI49" s="51"/>
    </row>
    <row r="50" spans="1:35" ht="24" customHeight="1">
      <c r="A50" s="36" t="s">
        <v>94</v>
      </c>
      <c r="B50" s="37" t="s">
        <v>95</v>
      </c>
      <c r="C50" s="12"/>
      <c r="D50" s="12"/>
      <c r="F50" s="12"/>
      <c r="G50" s="12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E50" s="41"/>
      <c r="AF50" s="41"/>
    </row>
    <row r="51" spans="1:35" ht="19.5" customHeight="1">
      <c r="A51" s="16"/>
      <c r="B51" s="17"/>
      <c r="C51" s="18"/>
      <c r="D51" s="18"/>
      <c r="F51" s="18"/>
      <c r="G51" s="18"/>
    </row>
    <row r="52" spans="1:35" ht="20.100000000000001" hidden="1" customHeight="1">
      <c r="A52" s="16"/>
      <c r="B52" s="17"/>
    </row>
    <row r="53" spans="1:35" ht="23.25">
      <c r="A53" s="16"/>
      <c r="B53" s="17"/>
      <c r="C53" s="19"/>
      <c r="D53" s="19"/>
      <c r="F53" s="19"/>
      <c r="G53" s="19"/>
    </row>
    <row r="54" spans="1:35" ht="23.25">
      <c r="A54" s="16"/>
      <c r="B54" s="17"/>
    </row>
    <row r="55" spans="1:35" ht="23.25">
      <c r="A55" s="16"/>
      <c r="B55" s="17"/>
    </row>
    <row r="56" spans="1:35" ht="24">
      <c r="A56" s="13"/>
      <c r="B56" s="14"/>
    </row>
    <row r="57" spans="1:35" ht="23.25">
      <c r="A57" s="16"/>
      <c r="B57" s="17"/>
    </row>
    <row r="58" spans="1:35" ht="23.25">
      <c r="A58" s="16"/>
      <c r="B58" s="17"/>
    </row>
    <row r="59" spans="1:35" ht="23.25">
      <c r="A59" s="16"/>
      <c r="B59" s="17"/>
    </row>
    <row r="60" spans="1:35" ht="23.25">
      <c r="A60" s="16"/>
      <c r="B60" s="17"/>
    </row>
    <row r="61" spans="1:35" ht="24">
      <c r="A61" s="13"/>
      <c r="B61" s="14"/>
    </row>
    <row r="62" spans="1:35" ht="23.25">
      <c r="A62" s="16"/>
      <c r="B62" s="17"/>
    </row>
    <row r="63" spans="1:35" ht="23.25">
      <c r="A63" s="16"/>
      <c r="B63" s="17"/>
    </row>
    <row r="64" spans="1:35" ht="23.25">
      <c r="A64" s="16"/>
      <c r="B64" s="17"/>
    </row>
    <row r="65" spans="1:7" ht="23.25">
      <c r="A65" s="16"/>
      <c r="B65" s="17"/>
    </row>
    <row r="66" spans="1:7" ht="23.25">
      <c r="A66" s="16"/>
      <c r="B66" s="17"/>
      <c r="C66"/>
      <c r="D66"/>
      <c r="F66"/>
      <c r="G66"/>
    </row>
    <row r="67" spans="1:7" ht="23.25">
      <c r="A67" s="16"/>
      <c r="B67" s="17"/>
      <c r="C67"/>
      <c r="D67"/>
      <c r="F67"/>
      <c r="G67"/>
    </row>
    <row r="68" spans="1:7" ht="24">
      <c r="A68" s="13"/>
      <c r="B68" s="14"/>
      <c r="C68"/>
      <c r="D68"/>
      <c r="F68"/>
      <c r="G68"/>
    </row>
    <row r="69" spans="1:7" ht="23.25">
      <c r="A69" s="16"/>
      <c r="B69" s="17"/>
      <c r="C69"/>
      <c r="D69"/>
      <c r="F69"/>
      <c r="G69"/>
    </row>
    <row r="70" spans="1:7" ht="23.25">
      <c r="A70" s="16"/>
      <c r="B70" s="17"/>
      <c r="C70"/>
      <c r="D70"/>
      <c r="F70"/>
      <c r="G70"/>
    </row>
    <row r="71" spans="1:7" ht="23.25">
      <c r="A71" s="16"/>
      <c r="B71" s="17"/>
      <c r="C71"/>
      <c r="D71"/>
      <c r="F71"/>
      <c r="G71"/>
    </row>
    <row r="72" spans="1:7" ht="24">
      <c r="A72" s="13"/>
      <c r="B72" s="14"/>
      <c r="C72"/>
      <c r="D72"/>
      <c r="F72"/>
      <c r="G72"/>
    </row>
    <row r="73" spans="1:7" ht="23.25">
      <c r="A73" s="16"/>
      <c r="B73" s="17"/>
      <c r="C73"/>
      <c r="D73"/>
      <c r="F73"/>
      <c r="G73"/>
    </row>
    <row r="74" spans="1:7" ht="23.25">
      <c r="A74" s="16"/>
      <c r="B74" s="17"/>
      <c r="C74"/>
      <c r="D74"/>
      <c r="F74"/>
      <c r="G74"/>
    </row>
    <row r="75" spans="1:7" ht="23.25">
      <c r="A75" s="16"/>
      <c r="B75" s="17"/>
      <c r="C75"/>
      <c r="D75"/>
      <c r="F75"/>
      <c r="G75"/>
    </row>
    <row r="76" spans="1:7" ht="23.25">
      <c r="A76" s="16"/>
      <c r="B76" s="17"/>
      <c r="C76"/>
      <c r="D76"/>
      <c r="F76"/>
      <c r="G76"/>
    </row>
    <row r="77" spans="1:7" ht="23.25">
      <c r="A77" s="16"/>
      <c r="B77" s="17"/>
      <c r="C77"/>
      <c r="D77"/>
      <c r="F77"/>
      <c r="G77"/>
    </row>
    <row r="78" spans="1:7" ht="23.25">
      <c r="A78" s="16"/>
      <c r="B78" s="17"/>
      <c r="C78"/>
      <c r="D78"/>
      <c r="F78"/>
      <c r="G78"/>
    </row>
    <row r="79" spans="1:7" ht="24">
      <c r="A79" s="13"/>
      <c r="B79" s="17"/>
      <c r="C79"/>
      <c r="D79"/>
      <c r="F79"/>
      <c r="G79"/>
    </row>
    <row r="80" spans="1:7" ht="23.25">
      <c r="A80" s="16"/>
      <c r="B80" s="17"/>
      <c r="C80"/>
      <c r="D80"/>
      <c r="F80"/>
      <c r="G80"/>
    </row>
    <row r="81" spans="1:7" ht="23.25">
      <c r="A81" s="16"/>
      <c r="B81" s="17"/>
      <c r="C81"/>
      <c r="D81"/>
      <c r="F81"/>
      <c r="G81"/>
    </row>
    <row r="82" spans="1:7" ht="23.25">
      <c r="A82" s="16"/>
      <c r="B82" s="17"/>
      <c r="C82"/>
      <c r="D82"/>
      <c r="F82"/>
      <c r="G82"/>
    </row>
    <row r="83" spans="1:7" ht="24">
      <c r="A83" s="13"/>
      <c r="B83" s="14"/>
      <c r="C83"/>
      <c r="D83"/>
      <c r="F83"/>
      <c r="G83"/>
    </row>
    <row r="84" spans="1:7" ht="23.25">
      <c r="A84" s="16"/>
      <c r="B84" s="17"/>
      <c r="C84"/>
      <c r="D84"/>
      <c r="F84"/>
      <c r="G84"/>
    </row>
    <row r="85" spans="1:7" ht="23.25">
      <c r="A85" s="16"/>
      <c r="B85" s="17"/>
      <c r="C85"/>
      <c r="D85"/>
      <c r="F85"/>
      <c r="G85"/>
    </row>
    <row r="86" spans="1:7" ht="23.25">
      <c r="A86" s="16"/>
      <c r="B86" s="17"/>
      <c r="C86"/>
      <c r="D86"/>
      <c r="F86"/>
      <c r="G86"/>
    </row>
    <row r="87" spans="1:7">
      <c r="A87" s="20"/>
      <c r="B87" s="21"/>
    </row>
  </sheetData>
  <mergeCells count="12">
    <mergeCell ref="AA3:AC3"/>
    <mergeCell ref="A1:AC1"/>
    <mergeCell ref="X3:Z3"/>
    <mergeCell ref="U3:W3"/>
    <mergeCell ref="R3:T3"/>
    <mergeCell ref="O3:Q3"/>
    <mergeCell ref="L3:N3"/>
    <mergeCell ref="I3:K3"/>
    <mergeCell ref="A3:A5"/>
    <mergeCell ref="B3:B5"/>
    <mergeCell ref="C3:E3"/>
    <mergeCell ref="F3:H3"/>
  </mergeCells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.74803149606299213" bottom="0.74803149606299213" header="0.31496062992125984" footer="0.31496062992125984"/>
  <pageSetup paperSize="8" scale="5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22</FiscalYear>
    <Frequency xmlns="4a1cef21-950b-48ce-bef3-2690db201377">Annual</Frequency>
    <_dlc_DocId xmlns="806035d9-ad3b-44db-92a1-1ed4b9daec3e">7NQWTN4WQ7WA-971242747-1761</_dlc_DocId>
    <_dlc_DocIdUrl xmlns="806035d9-ad3b-44db-92a1-1ed4b9daec3e">
      <Url>https://admin.cbe.org.eg/_layouts/15/DocIdRedir.aspx?ID=7NQWTN4WQ7WA-971242747-1761</Url>
      <Description>7NQWTN4WQ7WA-971242747-1761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9A3AE3-58E1-4C6B-A31E-AD81A691E7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660C30-B12D-404F-B82C-3CC1CEBFAC3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550204-194F-4B5B-8344-4CC9F81EEC12}">
  <ds:schemaRefs>
    <ds:schemaRef ds:uri="http://purl.org/dc/dcmitype/"/>
    <ds:schemaRef ds:uri="http://purl.org/dc/elements/1.1/"/>
    <ds:schemaRef ds:uri="http://schemas.openxmlformats.org/package/2006/metadata/core-properties"/>
    <ds:schemaRef ds:uri="806035d9-ad3b-44db-92a1-1ed4b9daec3e"/>
    <ds:schemaRef ds:uri="4a1cef21-950b-48ce-bef3-2690db201377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CE45043E-7110-48DE-BC00-056614DDAA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annual</vt:lpstr>
      <vt:lpstr>annual!Print_Area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Main_Merchandise_Annual  - New</dc:title>
  <dc:subject/>
  <dc:creator>Internet Research</dc:creator>
  <cp:keywords/>
  <dc:description/>
  <cp:lastModifiedBy>Walaa Ahmed</cp:lastModifiedBy>
  <cp:revision/>
  <cp:lastPrinted>2025-10-21T11:28:23Z</cp:lastPrinted>
  <dcterms:created xsi:type="dcterms:W3CDTF">2015-04-29T12:20:43Z</dcterms:created>
  <dcterms:modified xsi:type="dcterms:W3CDTF">2025-10-21T11:31:23Z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58f97a40-a1eb-4d80-89fe-b940020b3620</vt:lpwstr>
  </property>
</Properties>
</file>