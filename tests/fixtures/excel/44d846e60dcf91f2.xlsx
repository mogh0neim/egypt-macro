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X:\ميزان المدفوعات\ميزان المدفوعات\BOP(1)\Bop(2)\Time Series\2016-2017 + updates\"/>
    </mc:Choice>
  </mc:AlternateContent>
  <xr:revisionPtr revIDLastSave="0" documentId="13_ncr:1_{AC630D6B-BB83-4167-AF45-F44829CFAC37}" xr6:coauthVersionLast="36" xr6:coauthVersionMax="36" xr10:uidLastSave="{00000000-0000-0000-0000-000000000000}"/>
  <bookViews>
    <workbookView xWindow="0" yWindow="0" windowWidth="21600" windowHeight="9525" xr2:uid="{0A52E617-D98C-44B5-9EA6-FD246C027755}"/>
  </bookViews>
  <sheets>
    <sheet name="2022-2023" sheetId="1" r:id="rId1"/>
  </sheets>
  <definedNames>
    <definedName name="_xlnm.Print_Area" localSheetId="0">'2022-2023'!$A$1:$F$70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1" l="1"/>
  <c r="E41" i="1"/>
  <c r="D42" i="1" l="1"/>
  <c r="D41" i="1"/>
</calcChain>
</file>

<file path=xl/sharedStrings.xml><?xml version="1.0" encoding="utf-8"?>
<sst xmlns="http://schemas.openxmlformats.org/spreadsheetml/2006/main" count="130" uniqueCount="118">
  <si>
    <t xml:space="preserve">Balance of Payments  </t>
  </si>
  <si>
    <t>(US.$mn)</t>
  </si>
  <si>
    <t>Q1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</si>
  <si>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</si>
  <si>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</si>
  <si>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</si>
  <si>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</si>
  <si>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</si>
  <si>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</si>
  <si>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</si>
  <si>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</si>
  <si>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</si>
  <si>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</si>
  <si>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</si>
  <si>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</si>
  <si>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</si>
  <si>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</si>
  <si>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</si>
  <si>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</si>
  <si>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</si>
  <si>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</si>
  <si>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النقل </t>
  </si>
  <si>
    <t xml:space="preserve">   Transportation </t>
  </si>
  <si>
    <t xml:space="preserve">   منها،  رسوم المرور فى قناة السويس              </t>
  </si>
  <si>
    <t xml:space="preserve">     Of which,  Suez Canal dues</t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</si>
  <si>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</si>
  <si>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</si>
  <si>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</si>
  <si>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</si>
  <si>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</si>
  <si>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</si>
  <si>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</si>
  <si>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</si>
  <si>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</si>
  <si>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</si>
  <si>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</si>
  <si>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</si>
  <si>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</si>
  <si>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</si>
  <si>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</si>
  <si>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</si>
  <si>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</si>
  <si>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</si>
  <si>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 xml:space="preserve">   منها،  فوائد مدفوعة</t>
  </si>
  <si>
    <t xml:space="preserve">       Of which,  Interest Paid</t>
  </si>
  <si>
    <t>التحويلات</t>
  </si>
  <si>
    <t>Transfers</t>
  </si>
  <si>
    <t xml:space="preserve">  الخاصة (صافى) </t>
  </si>
  <si>
    <t xml:space="preserve">Private (net) </t>
  </si>
  <si>
    <t xml:space="preserve">   منها،  تحويلات المصريين العاملين بالخارج </t>
  </si>
  <si>
    <t xml:space="preserve"> Of which, Remittanes of Egyptians working abroad 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</si>
  <si>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</si>
  <si>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</si>
  <si>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</si>
  <si>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</si>
  <si>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*بيانات مبدئية</t>
  </si>
  <si>
    <t>* Preliminary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</si>
  <si>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</si>
  <si>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</si>
  <si>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</si>
  <si>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</si>
  <si>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</si>
  <si>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</si>
  <si>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</si>
  <si>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</si>
  <si>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</si>
  <si>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استثمار الحافظة فى الخارج </t>
  </si>
  <si>
    <t>Portfolio Investment Abroad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</si>
  <si>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</si>
  <si>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</si>
  <si>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</si>
  <si>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</si>
  <si>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</si>
  <si>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</si>
  <si>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</si>
  <si>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</si>
  <si>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</si>
  <si>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>المستخدم</t>
  </si>
  <si>
    <t>المسدد</t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</si>
  <si>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</si>
  <si>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</si>
  <si>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</si>
  <si>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</si>
  <si>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</si>
  <si>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</si>
  <si>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</si>
  <si>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</si>
  <si>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</si>
  <si>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</si>
  <si>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</si>
  <si>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</si>
  <si>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</si>
  <si>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</si>
  <si>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</si>
  <si>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</si>
  <si>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</si>
  <si>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</si>
  <si>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</si>
  <si>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 xml:space="preserve">Direct Investment In Egypt (net) </t>
  </si>
  <si>
    <t>الاستثمار المباشر في  مصر  (صافى)</t>
  </si>
  <si>
    <t xml:space="preserve">   Investment Income Payments </t>
  </si>
  <si>
    <t>مدفوعات دخل الاستثمار</t>
  </si>
  <si>
    <t>M&amp;L Term Loans</t>
  </si>
  <si>
    <t xml:space="preserve">          Drawings</t>
  </si>
  <si>
    <t xml:space="preserve">          Repayments</t>
  </si>
  <si>
    <t>تسهيلات الموردين والمشترين قصيرة الأجل  (صافى)</t>
  </si>
  <si>
    <t xml:space="preserve">         Drawings</t>
  </si>
  <si>
    <t xml:space="preserve">         Repayments</t>
  </si>
  <si>
    <t xml:space="preserve"> تسهيلات الموردين والمشترين متوسطة وطويلة الاجل</t>
  </si>
  <si>
    <t>July/Sep 2022*</t>
  </si>
  <si>
    <t>Short Term buyers' and suppliers' credit (net)</t>
  </si>
  <si>
    <t xml:space="preserve">M&amp; L Term buyers' and suppliers' credit </t>
  </si>
  <si>
    <t>Q2</t>
  </si>
  <si>
    <t>Oct./Dec. 2022*</t>
  </si>
  <si>
    <t>Q3</t>
  </si>
  <si>
    <t>Jan./March 2023*</t>
  </si>
  <si>
    <t>Apr./June 2023*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</si>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</sst>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>
    <font>
      <sz val="10"/>
      <name val="Arial"/>
      <charset val="178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u/>
      <sz val="13"/>
      <name val="Times New (W1)"/>
      <family val="1"/>
    </font>
    <font>
      <sz val="14"/>
      <name val="Times New (W1)"/>
      <charset val="178"/>
    </font>
    <font>
      <sz val="14"/>
      <name val="Times New (W1)"/>
      <family val="1"/>
    </font>
    <font>
      <sz val="13"/>
      <name val="Times New (W1)"/>
      <family val="1"/>
    </font>
    <font>
      <sz val="14"/>
      <name val="Arial"/>
      <family val="2"/>
    </font>
    <font>
      <i/>
      <sz val="13"/>
      <name val="Times New (W1)"/>
      <charset val="178"/>
    </font>
    <font>
      <i/>
      <sz val="13"/>
      <name val="Times New (W1)"/>
      <family val="1"/>
    </font>
    <font>
      <i/>
      <sz val="13"/>
      <name val="Arial"/>
      <family val="2"/>
    </font>
    <font>
      <b/>
      <sz val="14"/>
      <name val="Times New (W1)"/>
      <family val="1"/>
    </font>
    <font>
      <sz val="12"/>
      <name val="Times New (W1)"/>
      <family val="1"/>
    </font>
    <font>
      <i/>
      <sz val="12"/>
      <name val="Times New (W1)"/>
      <family val="1"/>
    </font>
    <font>
      <i/>
      <sz val="14"/>
      <name val="Times New (W1)"/>
      <family val="1"/>
    </font>
    <font>
      <i/>
      <sz val="12"/>
      <name val="Arial"/>
      <family val="2"/>
    </font>
    <font>
      <sz val="12"/>
      <name val="Arial"/>
      <family val="2"/>
    </font>
    <font>
      <i/>
      <sz val="12"/>
      <name val="Times New (W1)"/>
      <charset val="178"/>
    </font>
    <font>
      <sz val="10"/>
      <name val="Arial"/>
      <family val="2"/>
    </font>
    <font>
      <sz val="12"/>
      <name val="Akhbar MT"/>
      <charset val="178"/>
    </font>
    <font>
      <sz val="10"/>
      <name val="Arial"/>
      <family val="2"/>
      <charset val="178"/>
    </font>
    <font>
      <b/>
      <sz val="12"/>
      <name val="Times New (W1)"/>
      <charset val="178"/>
    </font>
    <font>
      <b/>
      <sz val="13"/>
      <name val="Times New (W1)"/>
      <family val="1"/>
    </font>
    <font>
      <sz val="13"/>
      <name val="Arial"/>
      <family val="2"/>
    </font>
    <font>
      <u/>
      <sz val="12"/>
      <name val="Times New (W1)"/>
      <charset val="178"/>
    </font>
    <font>
      <u/>
      <sz val="13"/>
      <name val="Times New (W1)"/>
      <family val="1"/>
    </font>
    <font>
      <u/>
      <sz val="12"/>
      <name val="Times New (W1)"/>
      <family val="1"/>
    </font>
    <font>
      <u/>
      <sz val="12"/>
      <name val="Arial"/>
      <family val="2"/>
    </font>
    <font>
      <u/>
      <sz val="12"/>
      <name val="Times New (W1)"/>
    </font>
    <font>
      <b/>
      <sz val="9"/>
      <name val="Times New (W1)"/>
      <family val="1"/>
    </font>
    <font>
      <b/>
      <sz val="14"/>
      <name val="Arial"/>
      <family val="2"/>
    </font>
    <font>
      <sz val="10"/>
      <name val="Arabic Transparen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0" fillId="0" borderId="0"/>
    <xf numFmtId="0" fontId="20" fillId="0" borderId="0"/>
    <xf numFmtId="0" fontId="20" fillId="0" borderId="0"/>
    <xf numFmtId="0" fontId="33" fillId="0" borderId="0" applyNumberFormat="0">
      <alignment horizontal="right"/>
    </xf>
  </cellStyleXfs>
  <cellXfs count="94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readingOrder="1"/>
    </xf>
    <xf numFmtId="164" fontId="2" fillId="0" borderId="1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0" xfId="0" applyBorder="1"/>
    <xf numFmtId="0" fontId="0" fillId="3" borderId="3" xfId="0" applyFill="1" applyBorder="1" applyAlignment="1">
      <alignment readingOrder="2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readingOrder="2"/>
    </xf>
    <xf numFmtId="0" fontId="4" fillId="3" borderId="4" xfId="0" applyFont="1" applyFill="1" applyBorder="1" applyAlignment="1">
      <alignment readingOrder="1"/>
    </xf>
    <xf numFmtId="164" fontId="5" fillId="0" borderId="0" xfId="0" applyNumberFormat="1" applyFont="1" applyFill="1" applyAlignment="1">
      <alignment horizontal="center" readingOrder="1"/>
    </xf>
    <xf numFmtId="164" fontId="0" fillId="0" borderId="0" xfId="0" applyNumberFormat="1" applyBorder="1"/>
    <xf numFmtId="0" fontId="6" fillId="3" borderId="4" xfId="0" quotePrefix="1" applyFont="1" applyFill="1" applyBorder="1" applyAlignment="1">
      <alignment horizontal="right" readingOrder="2"/>
    </xf>
    <xf numFmtId="0" fontId="7" fillId="3" borderId="4" xfId="0" applyFont="1" applyFill="1" applyBorder="1" applyAlignment="1">
      <alignment horizontal="left" readingOrder="1"/>
    </xf>
    <xf numFmtId="164" fontId="8" fillId="0" borderId="0" xfId="0" applyNumberFormat="1" applyFont="1" applyFill="1" applyAlignment="1">
      <alignment horizontal="center" readingOrder="1"/>
    </xf>
    <xf numFmtId="0" fontId="9" fillId="0" borderId="0" xfId="0" applyFont="1" applyBorder="1"/>
    <xf numFmtId="0" fontId="9" fillId="0" borderId="0" xfId="0" applyFont="1"/>
    <xf numFmtId="0" fontId="10" fillId="3" borderId="4" xfId="0" applyFont="1" applyFill="1" applyBorder="1" applyAlignment="1">
      <alignment horizontal="right" readingOrder="2"/>
    </xf>
    <xf numFmtId="0" fontId="11" fillId="3" borderId="4" xfId="0" quotePrefix="1" applyFont="1" applyFill="1" applyBorder="1" applyAlignment="1">
      <alignment horizontal="justify" readingOrder="1"/>
    </xf>
    <xf numFmtId="0" fontId="12" fillId="0" borderId="0" xfId="0" applyFont="1" applyBorder="1"/>
    <xf numFmtId="0" fontId="12" fillId="0" borderId="0" xfId="0" applyFont="1"/>
    <xf numFmtId="0" fontId="7" fillId="3" borderId="4" xfId="0" quotePrefix="1" applyFont="1" applyFill="1" applyBorder="1" applyAlignment="1">
      <alignment horizontal="left" readingOrder="1"/>
    </xf>
    <xf numFmtId="0" fontId="11" fillId="3" borderId="4" xfId="0" quotePrefix="1" applyFont="1" applyFill="1" applyBorder="1" applyAlignment="1">
      <alignment horizontal="left" readingOrder="1"/>
    </xf>
    <xf numFmtId="0" fontId="4" fillId="3" borderId="4" xfId="0" quotePrefix="1" applyFont="1" applyFill="1" applyBorder="1" applyAlignment="1">
      <alignment horizontal="left" readingOrder="1"/>
    </xf>
    <xf numFmtId="0" fontId="14" fillId="3" borderId="4" xfId="0" quotePrefix="1" applyFont="1" applyFill="1" applyBorder="1" applyAlignment="1">
      <alignment horizontal="right" readingOrder="2"/>
    </xf>
    <xf numFmtId="0" fontId="15" fillId="3" borderId="4" xfId="0" quotePrefix="1" applyFont="1" applyFill="1" applyBorder="1" applyAlignment="1">
      <alignment horizontal="right" readingOrder="2"/>
    </xf>
    <xf numFmtId="0" fontId="16" fillId="3" borderId="4" xfId="0" quotePrefix="1" applyFont="1" applyFill="1" applyBorder="1" applyAlignment="1">
      <alignment horizontal="left" readingOrder="1"/>
    </xf>
    <xf numFmtId="0" fontId="17" fillId="0" borderId="0" xfId="0" applyFont="1" applyBorder="1"/>
    <xf numFmtId="0" fontId="17" fillId="0" borderId="0" xfId="0" applyFont="1"/>
    <xf numFmtId="0" fontId="8" fillId="3" borderId="4" xfId="0" quotePrefix="1" applyFont="1" applyFill="1" applyBorder="1" applyAlignment="1">
      <alignment horizontal="right" readingOrder="2"/>
    </xf>
    <xf numFmtId="164" fontId="2" fillId="0" borderId="0" xfId="0" applyNumberFormat="1" applyFont="1" applyFill="1" applyAlignment="1">
      <alignment horizontal="center" readingOrder="1"/>
    </xf>
    <xf numFmtId="0" fontId="18" fillId="0" borderId="0" xfId="0" applyFont="1" applyBorder="1"/>
    <xf numFmtId="0" fontId="18" fillId="0" borderId="0" xfId="0" applyFont="1"/>
    <xf numFmtId="0" fontId="4" fillId="3" borderId="4" xfId="0" applyFont="1" applyFill="1" applyBorder="1" applyAlignment="1">
      <alignment horizontal="left" readingOrder="1"/>
    </xf>
    <xf numFmtId="0" fontId="7" fillId="3" borderId="4" xfId="0" quotePrefix="1" applyFont="1" applyFill="1" applyBorder="1" applyAlignment="1">
      <alignment horizontal="left" indent="1" readingOrder="1"/>
    </xf>
    <xf numFmtId="0" fontId="19" fillId="3" borderId="4" xfId="0" quotePrefix="1" applyFont="1" applyFill="1" applyBorder="1" applyAlignment="1">
      <alignment horizontal="right" readingOrder="2"/>
    </xf>
    <xf numFmtId="0" fontId="4" fillId="3" borderId="5" xfId="0" applyFont="1" applyFill="1" applyBorder="1" applyAlignment="1">
      <alignment readingOrder="2"/>
    </xf>
    <xf numFmtId="0" fontId="4" fillId="3" borderId="5" xfId="0" applyFont="1" applyFill="1" applyBorder="1" applyAlignment="1">
      <alignment readingOrder="1"/>
    </xf>
    <xf numFmtId="164" fontId="5" fillId="0" borderId="6" xfId="0" applyNumberFormat="1" applyFont="1" applyFill="1" applyBorder="1" applyAlignment="1">
      <alignment horizontal="center" readingOrder="1"/>
    </xf>
    <xf numFmtId="0" fontId="0" fillId="0" borderId="6" xfId="0" applyBorder="1"/>
    <xf numFmtId="0" fontId="18" fillId="0" borderId="0" xfId="0" applyFont="1" applyAlignment="1">
      <alignment horizontal="right" readingOrder="2"/>
    </xf>
    <xf numFmtId="0" fontId="18" fillId="0" borderId="0" xfId="0" applyFont="1" applyFill="1" applyAlignment="1">
      <alignment readingOrder="1"/>
    </xf>
    <xf numFmtId="164" fontId="2" fillId="0" borderId="0" xfId="0" applyNumberFormat="1" applyFont="1" applyFill="1" applyBorder="1" applyAlignment="1">
      <alignment horizontal="center" readingOrder="1"/>
    </xf>
    <xf numFmtId="49" fontId="20" fillId="0" borderId="0" xfId="2" applyNumberFormat="1" applyFont="1" applyFill="1" applyAlignment="1">
      <alignment vertical="center" wrapText="1" readingOrder="1"/>
    </xf>
    <xf numFmtId="0" fontId="18" fillId="0" borderId="0" xfId="3" applyFont="1" applyFill="1" applyAlignment="1">
      <alignment horizontal="left" vertical="center" readingOrder="2"/>
    </xf>
    <xf numFmtId="0" fontId="21" fillId="0" borderId="0" xfId="3" applyFont="1" applyFill="1" applyAlignment="1">
      <alignment vertical="center" readingOrder="2"/>
    </xf>
    <xf numFmtId="0" fontId="18" fillId="0" borderId="0" xfId="3" applyFont="1" applyFill="1" applyAlignment="1">
      <alignment horizontal="center" vertical="center" readingOrder="2"/>
    </xf>
    <xf numFmtId="0" fontId="22" fillId="0" borderId="0" xfId="0" applyFont="1" applyFill="1" applyAlignment="1">
      <alignment readingOrder="1"/>
    </xf>
    <xf numFmtId="0" fontId="3" fillId="0" borderId="0" xfId="0" applyFont="1" applyFill="1" applyAlignment="1">
      <alignment horizontal="center"/>
    </xf>
    <xf numFmtId="0" fontId="4" fillId="3" borderId="3" xfId="0" applyFont="1" applyFill="1" applyBorder="1" applyAlignment="1">
      <alignment readingOrder="1"/>
    </xf>
    <xf numFmtId="0" fontId="13" fillId="3" borderId="3" xfId="0" applyFont="1" applyFill="1" applyBorder="1" applyAlignment="1">
      <alignment horizontal="left"/>
    </xf>
    <xf numFmtId="164" fontId="2" fillId="0" borderId="0" xfId="0" applyNumberFormat="1" applyFont="1" applyFill="1" applyAlignment="1">
      <alignment horizontal="center"/>
    </xf>
    <xf numFmtId="0" fontId="13" fillId="3" borderId="4" xfId="0" quotePrefix="1" applyFont="1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23" fillId="3" borderId="4" xfId="0" quotePrefix="1" applyFont="1" applyFill="1" applyBorder="1" applyAlignment="1">
      <alignment horizontal="right" indent="1"/>
    </xf>
    <xf numFmtId="0" fontId="24" fillId="3" borderId="4" xfId="0" applyFont="1" applyFill="1" applyBorder="1" applyAlignment="1">
      <alignment horizontal="left" indent="2"/>
    </xf>
    <xf numFmtId="164" fontId="24" fillId="0" borderId="0" xfId="0" applyNumberFormat="1" applyFont="1" applyFill="1" applyAlignment="1">
      <alignment horizontal="center"/>
    </xf>
    <xf numFmtId="0" fontId="25" fillId="0" borderId="0" xfId="0" applyFont="1" applyBorder="1"/>
    <xf numFmtId="0" fontId="25" fillId="0" borderId="0" xfId="0" applyFont="1"/>
    <xf numFmtId="0" fontId="24" fillId="3" borderId="4" xfId="0" quotePrefix="1" applyFont="1" applyFill="1" applyBorder="1" applyAlignment="1">
      <alignment horizontal="left" indent="2"/>
    </xf>
    <xf numFmtId="0" fontId="14" fillId="3" borderId="4" xfId="0" quotePrefix="1" applyFont="1" applyFill="1" applyBorder="1" applyAlignment="1">
      <alignment horizontal="right" indent="3" readingOrder="2"/>
    </xf>
    <xf numFmtId="0" fontId="19" fillId="3" borderId="4" xfId="0" quotePrefix="1" applyFont="1" applyFill="1" applyBorder="1" applyAlignment="1">
      <alignment horizontal="left"/>
    </xf>
    <xf numFmtId="164" fontId="19" fillId="0" borderId="0" xfId="0" applyNumberFormat="1" applyFont="1" applyFill="1" applyAlignment="1">
      <alignment horizontal="center"/>
    </xf>
    <xf numFmtId="0" fontId="23" fillId="3" borderId="4" xfId="0" applyFont="1" applyFill="1" applyBorder="1" applyAlignment="1">
      <alignment horizontal="right" indent="1" readingOrder="2"/>
    </xf>
    <xf numFmtId="164" fontId="24" fillId="0" borderId="0" xfId="0" quotePrefix="1" applyNumberFormat="1" applyFont="1" applyFill="1" applyAlignment="1">
      <alignment horizontal="center"/>
    </xf>
    <xf numFmtId="0" fontId="26" fillId="3" borderId="4" xfId="0" applyFont="1" applyFill="1" applyBorder="1" applyAlignment="1">
      <alignment horizontal="right" indent="2" readingOrder="1"/>
    </xf>
    <xf numFmtId="0" fontId="27" fillId="3" borderId="4" xfId="0" quotePrefix="1" applyFont="1" applyFill="1" applyBorder="1" applyAlignment="1">
      <alignment horizontal="left" indent="2"/>
    </xf>
    <xf numFmtId="164" fontId="27" fillId="0" borderId="0" xfId="0" quotePrefix="1" applyNumberFormat="1" applyFont="1" applyFill="1" applyAlignment="1">
      <alignment horizontal="center"/>
    </xf>
    <xf numFmtId="0" fontId="28" fillId="3" borderId="4" xfId="0" quotePrefix="1" applyFont="1" applyFill="1" applyBorder="1" applyAlignment="1">
      <alignment horizontal="right" indent="3"/>
    </xf>
    <xf numFmtId="0" fontId="28" fillId="3" borderId="4" xfId="0" quotePrefix="1" applyFont="1" applyFill="1" applyBorder="1" applyAlignment="1">
      <alignment horizontal="left" indent="2"/>
    </xf>
    <xf numFmtId="164" fontId="28" fillId="0" borderId="0" xfId="0" quotePrefix="1" applyNumberFormat="1" applyFont="1" applyFill="1" applyAlignment="1">
      <alignment horizontal="center"/>
    </xf>
    <xf numFmtId="0" fontId="29" fillId="0" borderId="0" xfId="0" applyFont="1" applyBorder="1"/>
    <xf numFmtId="0" fontId="29" fillId="0" borderId="0" xfId="0" applyFont="1"/>
    <xf numFmtId="0" fontId="14" fillId="3" borderId="4" xfId="0" quotePrefix="1" applyFont="1" applyFill="1" applyBorder="1" applyAlignment="1">
      <alignment horizontal="right" indent="3"/>
    </xf>
    <xf numFmtId="0" fontId="15" fillId="3" borderId="4" xfId="0" quotePrefix="1" applyFont="1" applyFill="1" applyBorder="1" applyAlignment="1">
      <alignment horizontal="left" indent="2"/>
    </xf>
    <xf numFmtId="164" fontId="15" fillId="0" borderId="0" xfId="0" applyNumberFormat="1" applyFont="1" applyFill="1" applyAlignment="1">
      <alignment horizontal="center"/>
    </xf>
    <xf numFmtId="0" fontId="17" fillId="0" borderId="0" xfId="0" applyFont="1" applyFill="1" applyBorder="1"/>
    <xf numFmtId="0" fontId="17" fillId="0" borderId="0" xfId="0" applyFont="1" applyFill="1"/>
    <xf numFmtId="0" fontId="26" fillId="3" borderId="4" xfId="0" quotePrefix="1" applyFont="1" applyFill="1" applyBorder="1" applyAlignment="1">
      <alignment horizontal="left" indent="2"/>
    </xf>
    <xf numFmtId="0" fontId="29" fillId="0" borderId="0" xfId="0" applyFont="1" applyFill="1" applyBorder="1"/>
    <xf numFmtId="0" fontId="29" fillId="0" borderId="0" xfId="0" applyFont="1" applyFill="1"/>
    <xf numFmtId="0" fontId="30" fillId="3" borderId="4" xfId="0" applyFont="1" applyFill="1" applyBorder="1" applyAlignment="1">
      <alignment horizontal="right" indent="2" readingOrder="1"/>
    </xf>
    <xf numFmtId="0" fontId="27" fillId="3" borderId="4" xfId="0" applyFont="1" applyFill="1" applyBorder="1" applyAlignment="1">
      <alignment horizontal="left" indent="2"/>
    </xf>
    <xf numFmtId="0" fontId="15" fillId="3" borderId="4" xfId="0" quotePrefix="1" applyFont="1" applyFill="1" applyBorder="1" applyAlignment="1">
      <alignment horizontal="left"/>
    </xf>
    <xf numFmtId="0" fontId="4" fillId="3" borderId="4" xfId="0" applyFont="1" applyFill="1" applyBorder="1" applyAlignment="1"/>
    <xf numFmtId="0" fontId="2" fillId="3" borderId="5" xfId="0" applyFont="1" applyFill="1" applyBorder="1" applyAlignment="1"/>
    <xf numFmtId="0" fontId="31" fillId="0" borderId="7" xfId="0" quotePrefix="1" applyFont="1" applyFill="1" applyBorder="1" applyAlignment="1">
      <alignment vertical="center" readingOrder="1"/>
    </xf>
    <xf numFmtId="0" fontId="18" fillId="0" borderId="0" xfId="0" applyFont="1" applyBorder="1" applyAlignment="1">
      <alignment horizontal="left" wrapText="1"/>
    </xf>
    <xf numFmtId="164" fontId="32" fillId="0" borderId="0" xfId="0" applyNumberFormat="1" applyFont="1"/>
    <xf numFmtId="0" fontId="18" fillId="0" borderId="0" xfId="1" applyFont="1" applyAlignment="1">
      <alignment vertical="center" wrapText="1" readingOrder="2"/>
    </xf>
    <xf numFmtId="0" fontId="2" fillId="2" borderId="2" xfId="1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left" vertical="center" readingOrder="1"/>
    </xf>
    <xf numFmtId="164" fontId="2" fillId="0" borderId="6" xfId="0" applyNumberFormat="1" applyFont="1" applyFill="1" applyBorder="1" applyAlignment="1">
      <alignment horizontal="center"/>
    </xf>
  </cellXfs>
  <cellStyles count="5">
    <cellStyle name="MS_Arabic" xfId="4" xr:uid="{00000000-0005-0000-0000-000000000000}"/>
    <cellStyle name="Normal" xfId="0" builtinId="0"/>
    <cellStyle name="Normal 2" xfId="1" xr:uid="{68010B29-6C7B-4A5F-9A95-F657E91B25D6}"/>
    <cellStyle name="Normal 2 3" xfId="2" xr:uid="{9EA7A619-52B8-4D48-82DF-B867DBD2092F}"/>
    <cellStyle name="Normal_BOP_11_14-19_21" xfId="3" xr:uid="{4A879652-025D-401A-80E0-2E84545354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976D-3941-4D84-B0BC-E5A6BB3BE956}">
  <dimension ref="A2:BB79"/>
  <sheetViews>
    <sheetView tabSelected="1" view="pageBreakPreview" zoomScale="90" zoomScaleNormal="90" zoomScaleSheetLayoutView="90" workbookViewId="0">
      <selection activeCell="H8" sqref="H8"/>
    </sheetView>
  </sheetViews>
  <sheetFormatPr defaultColWidth="9.140625" defaultRowHeight="12.75"/>
  <cols>
    <col min="1" max="1" width="53.5703125" customWidth="1"/>
    <col min="2" max="2" width="65.5703125" style="48" customWidth="1"/>
    <col min="3" max="5" width="19.28515625" customWidth="1"/>
    <col min="6" max="6" width="19.42578125" customWidth="1"/>
    <col min="7" max="54" width="9.140625" style="6"/>
  </cols>
  <sheetData>
    <row r="2" spans="1:54" s="1" customFormat="1" ht="45.2" customHeight="1">
      <c r="A2" s="92" t="s">
        <v>0</v>
      </c>
      <c r="B2" s="9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s="1" customFormat="1" ht="45.2" customHeight="1" thickBot="1">
      <c r="A3" s="3"/>
      <c r="B3" s="3"/>
      <c r="C3" s="4"/>
      <c r="D3" s="4"/>
      <c r="E3" s="4"/>
      <c r="F3" s="4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25.5" customHeight="1" thickTop="1" thickBot="1">
      <c r="B4"/>
      <c r="C4" s="5" t="s">
        <v>2</v>
      </c>
      <c r="D4" s="5" t="s">
        <v>112</v>
      </c>
      <c r="E4" s="5" t="s">
        <v>114</v>
      </c>
      <c r="F4" s="5" t="s">
        <v>117</v>
      </c>
    </row>
    <row r="5" spans="1:54" ht="36" customHeight="1" thickTop="1" thickBot="1">
      <c r="A5" s="7"/>
      <c r="B5" s="8"/>
      <c r="C5" s="5" t="s">
        <v>109</v>
      </c>
      <c r="D5" s="91" t="s">
        <v>113</v>
      </c>
      <c r="E5" s="5" t="s">
        <v>115</v>
      </c>
      <c r="F5" s="5" t="s">
        <v>116</v>
      </c>
    </row>
    <row r="6" spans="1:54" ht="20.100000000000001" customHeight="1" thickTop="1">
      <c r="A6" s="9" t="s">
        <v>3</v>
      </c>
      <c r="B6" s="10" t="s">
        <v>4</v>
      </c>
      <c r="C6" s="11">
        <v>-9102.2000000000007</v>
      </c>
      <c r="D6" s="11">
        <v>-6447.5</v>
      </c>
      <c r="E6" s="11">
        <v>-8000.3</v>
      </c>
      <c r="F6" s="11">
        <v>-7609.6</v>
      </c>
    </row>
    <row r="7" spans="1:54" s="17" customFormat="1" ht="20.100000000000001" customHeight="1">
      <c r="A7" s="13" t="s">
        <v>5</v>
      </c>
      <c r="B7" s="14" t="s">
        <v>6</v>
      </c>
      <c r="C7" s="15">
        <v>9965.2000000000007</v>
      </c>
      <c r="D7" s="15">
        <v>11539.9</v>
      </c>
      <c r="E7" s="15">
        <v>9551.1</v>
      </c>
      <c r="F7" s="15">
        <v>8567.7999999999993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</row>
    <row r="8" spans="1:54" s="21" customFormat="1" ht="20.100000000000001" customHeight="1">
      <c r="A8" s="18" t="s">
        <v>7</v>
      </c>
      <c r="B8" s="19" t="s">
        <v>8</v>
      </c>
      <c r="C8" s="15">
        <v>3708.3</v>
      </c>
      <c r="D8" s="15">
        <v>4909.3</v>
      </c>
      <c r="E8" s="15">
        <v>3144.4</v>
      </c>
      <c r="F8" s="15">
        <v>2054.5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</row>
    <row r="9" spans="1:54" s="21" customFormat="1" ht="20.100000000000001" customHeight="1">
      <c r="A9" s="18" t="s">
        <v>9</v>
      </c>
      <c r="B9" s="19" t="s">
        <v>10</v>
      </c>
      <c r="C9" s="15">
        <v>6256.9</v>
      </c>
      <c r="D9" s="15">
        <v>6630.6</v>
      </c>
      <c r="E9" s="15">
        <v>6406.7</v>
      </c>
      <c r="F9" s="15">
        <v>6513.3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</row>
    <row r="10" spans="1:54" s="17" customFormat="1" ht="20.100000000000001" customHeight="1">
      <c r="A10" s="13" t="s">
        <v>11</v>
      </c>
      <c r="B10" s="22" t="s">
        <v>12</v>
      </c>
      <c r="C10" s="15">
        <v>-19067.400000000001</v>
      </c>
      <c r="D10" s="15">
        <v>-17987.400000000001</v>
      </c>
      <c r="E10" s="15">
        <v>-17551.400000000001</v>
      </c>
      <c r="F10" s="15">
        <v>-16177.4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</row>
    <row r="11" spans="1:54" s="21" customFormat="1" ht="20.100000000000001" customHeight="1">
      <c r="A11" s="18" t="s">
        <v>13</v>
      </c>
      <c r="B11" s="23" t="s">
        <v>14</v>
      </c>
      <c r="C11" s="15">
        <v>-3814.3</v>
      </c>
      <c r="D11" s="15">
        <v>-3025.2</v>
      </c>
      <c r="E11" s="15">
        <v>-3248.5</v>
      </c>
      <c r="F11" s="15">
        <v>-3318.5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 s="21" customFormat="1" ht="20.100000000000001" customHeight="1">
      <c r="A12" s="18" t="s">
        <v>15</v>
      </c>
      <c r="B12" s="23" t="s">
        <v>16</v>
      </c>
      <c r="C12" s="15">
        <v>-15253.1</v>
      </c>
      <c r="D12" s="15">
        <v>-14962.2</v>
      </c>
      <c r="E12" s="15">
        <v>-14302.9</v>
      </c>
      <c r="F12" s="15">
        <v>-12858.9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 ht="20.100000000000001" customHeight="1">
      <c r="A13" s="9" t="s">
        <v>17</v>
      </c>
      <c r="B13" s="10" t="s">
        <v>18</v>
      </c>
      <c r="C13" s="11">
        <v>4053.7</v>
      </c>
      <c r="D13" s="11">
        <v>6814.9</v>
      </c>
      <c r="E13" s="11">
        <v>3677.9</v>
      </c>
      <c r="F13" s="11">
        <v>7380</v>
      </c>
    </row>
    <row r="14" spans="1:54" ht="20.100000000000001" customHeight="1">
      <c r="A14" s="9" t="s">
        <v>19</v>
      </c>
      <c r="B14" s="24" t="s">
        <v>20</v>
      </c>
      <c r="C14" s="11">
        <v>8044.2</v>
      </c>
      <c r="D14" s="11">
        <v>9729.6</v>
      </c>
      <c r="E14" s="11">
        <v>7014.7</v>
      </c>
      <c r="F14" s="11">
        <v>9773.6</v>
      </c>
    </row>
    <row r="15" spans="1:54" ht="20.100000000000001" customHeight="1">
      <c r="A15" s="25" t="s">
        <v>21</v>
      </c>
      <c r="B15" s="22" t="s">
        <v>22</v>
      </c>
      <c r="C15" s="15">
        <v>3043.7</v>
      </c>
      <c r="D15" s="15">
        <v>3721.6</v>
      </c>
      <c r="E15" s="15">
        <v>3148.6</v>
      </c>
      <c r="F15" s="15">
        <v>4086.4</v>
      </c>
    </row>
    <row r="16" spans="1:54" s="29" customFormat="1" ht="20.100000000000001" customHeight="1">
      <c r="A16" s="26" t="s">
        <v>23</v>
      </c>
      <c r="B16" s="27" t="s">
        <v>24</v>
      </c>
      <c r="C16" s="15">
        <v>2010.2</v>
      </c>
      <c r="D16" s="15">
        <v>1970.2</v>
      </c>
      <c r="E16" s="15">
        <v>2240</v>
      </c>
      <c r="F16" s="15">
        <v>2539.1999999999998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</row>
    <row r="17" spans="1:54" ht="20.100000000000001" customHeight="1">
      <c r="A17" s="25" t="s">
        <v>25</v>
      </c>
      <c r="B17" s="22" t="s">
        <v>26</v>
      </c>
      <c r="C17" s="15">
        <v>4071.3</v>
      </c>
      <c r="D17" s="15">
        <v>3247</v>
      </c>
      <c r="E17" s="15">
        <v>2992</v>
      </c>
      <c r="F17" s="15">
        <v>3319</v>
      </c>
    </row>
    <row r="18" spans="1:54" ht="20.100000000000001" customHeight="1">
      <c r="A18" s="25" t="s">
        <v>27</v>
      </c>
      <c r="B18" s="22" t="s">
        <v>28</v>
      </c>
      <c r="C18" s="15">
        <v>139.9</v>
      </c>
      <c r="D18" s="15">
        <v>1085.3</v>
      </c>
      <c r="E18" s="15">
        <v>61.5</v>
      </c>
      <c r="F18" s="15">
        <v>1068.5</v>
      </c>
    </row>
    <row r="19" spans="1:54" ht="20.100000000000001" customHeight="1">
      <c r="A19" s="25" t="s">
        <v>29</v>
      </c>
      <c r="B19" s="22" t="s">
        <v>30</v>
      </c>
      <c r="C19" s="15">
        <v>789.3</v>
      </c>
      <c r="D19" s="15">
        <v>1675.7</v>
      </c>
      <c r="E19" s="15">
        <v>812.6</v>
      </c>
      <c r="F19" s="15">
        <v>1299.7</v>
      </c>
    </row>
    <row r="20" spans="1:54" ht="20.100000000000001" customHeight="1">
      <c r="A20" s="9" t="s">
        <v>31</v>
      </c>
      <c r="B20" s="24" t="s">
        <v>32</v>
      </c>
      <c r="C20" s="11">
        <v>3990.5</v>
      </c>
      <c r="D20" s="11">
        <v>2914.7</v>
      </c>
      <c r="E20" s="11">
        <v>3336.8</v>
      </c>
      <c r="F20" s="11">
        <v>2393.6</v>
      </c>
    </row>
    <row r="21" spans="1:54" ht="20.100000000000001" customHeight="1">
      <c r="A21" s="30" t="s">
        <v>33</v>
      </c>
      <c r="B21" s="22" t="s">
        <v>22</v>
      </c>
      <c r="C21" s="15">
        <v>884.8</v>
      </c>
      <c r="D21" s="15">
        <v>599.1</v>
      </c>
      <c r="E21" s="15">
        <v>841.2</v>
      </c>
      <c r="F21" s="15">
        <v>424.9</v>
      </c>
    </row>
    <row r="22" spans="1:54" ht="20.100000000000001" customHeight="1">
      <c r="A22" s="25" t="s">
        <v>34</v>
      </c>
      <c r="B22" s="22" t="s">
        <v>35</v>
      </c>
      <c r="C22" s="15">
        <v>1592</v>
      </c>
      <c r="D22" s="15">
        <v>1211.3</v>
      </c>
      <c r="E22" s="15">
        <v>1145.8</v>
      </c>
      <c r="F22" s="15">
        <v>1041.0999999999999</v>
      </c>
    </row>
    <row r="23" spans="1:54" ht="20.100000000000001" customHeight="1">
      <c r="A23" s="25" t="s">
        <v>36</v>
      </c>
      <c r="B23" s="22" t="s">
        <v>37</v>
      </c>
      <c r="C23" s="15">
        <v>471.8</v>
      </c>
      <c r="D23" s="15">
        <v>223.8</v>
      </c>
      <c r="E23" s="15">
        <v>294.89999999999998</v>
      </c>
      <c r="F23" s="15">
        <v>257.89999999999998</v>
      </c>
    </row>
    <row r="24" spans="1:54" ht="20.100000000000001" customHeight="1">
      <c r="A24" s="25" t="s">
        <v>38</v>
      </c>
      <c r="B24" s="22" t="s">
        <v>30</v>
      </c>
      <c r="C24" s="15">
        <v>1041.9000000000001</v>
      </c>
      <c r="D24" s="15">
        <v>880.5</v>
      </c>
      <c r="E24" s="15">
        <v>1054.9000000000001</v>
      </c>
      <c r="F24" s="15">
        <v>669.7</v>
      </c>
    </row>
    <row r="25" spans="1:54" ht="20.100000000000001" customHeight="1">
      <c r="A25" s="9" t="s">
        <v>39</v>
      </c>
      <c r="B25" s="24" t="s">
        <v>40</v>
      </c>
      <c r="C25" s="31">
        <v>-4535.3</v>
      </c>
      <c r="D25" s="31">
        <v>-4386.5</v>
      </c>
      <c r="E25" s="31">
        <v>-4567.3999999999996</v>
      </c>
      <c r="F25" s="31">
        <v>-3829.2</v>
      </c>
    </row>
    <row r="26" spans="1:54" ht="20.100000000000001" customHeight="1">
      <c r="A26" s="25" t="s">
        <v>41</v>
      </c>
      <c r="B26" s="22" t="s">
        <v>42</v>
      </c>
      <c r="C26" s="15">
        <v>275.8</v>
      </c>
      <c r="D26" s="15">
        <v>422.1</v>
      </c>
      <c r="E26" s="15">
        <v>528.5</v>
      </c>
      <c r="F26" s="15">
        <v>911.4</v>
      </c>
    </row>
    <row r="27" spans="1:54" s="33" customFormat="1" ht="20.100000000000001" customHeight="1">
      <c r="A27" s="30" t="s">
        <v>101</v>
      </c>
      <c r="B27" s="22" t="s">
        <v>100</v>
      </c>
      <c r="C27" s="15">
        <v>4811.1000000000004</v>
      </c>
      <c r="D27" s="15">
        <v>4808.6000000000004</v>
      </c>
      <c r="E27" s="15">
        <v>5095.8999999999996</v>
      </c>
      <c r="F27" s="15">
        <v>4740.6000000000004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</row>
    <row r="28" spans="1:54" ht="20.100000000000001" customHeight="1">
      <c r="A28" s="26" t="s">
        <v>43</v>
      </c>
      <c r="B28" s="27" t="s">
        <v>44</v>
      </c>
      <c r="C28" s="15">
        <v>1219.5</v>
      </c>
      <c r="D28" s="15">
        <v>1212.5</v>
      </c>
      <c r="E28" s="15">
        <v>1788.5</v>
      </c>
      <c r="F28" s="15">
        <v>1929.9</v>
      </c>
    </row>
    <row r="29" spans="1:54" ht="20.100000000000001" customHeight="1">
      <c r="A29" s="9" t="s">
        <v>45</v>
      </c>
      <c r="B29" s="34" t="s">
        <v>46</v>
      </c>
      <c r="C29" s="11">
        <v>6391.5</v>
      </c>
      <c r="D29" s="11">
        <v>5429.2</v>
      </c>
      <c r="E29" s="11">
        <v>5404.5</v>
      </c>
      <c r="F29" s="11">
        <v>4615.8</v>
      </c>
    </row>
    <row r="30" spans="1:54" ht="20.100000000000001" customHeight="1">
      <c r="A30" s="25" t="s">
        <v>47</v>
      </c>
      <c r="B30" s="35" t="s">
        <v>48</v>
      </c>
      <c r="C30" s="15">
        <v>6380.7</v>
      </c>
      <c r="D30" s="15">
        <v>5511</v>
      </c>
      <c r="E30" s="15">
        <v>5399.5</v>
      </c>
      <c r="F30" s="15">
        <v>4606.2</v>
      </c>
    </row>
    <row r="31" spans="1:54" ht="20.100000000000001" customHeight="1">
      <c r="A31" s="36" t="s">
        <v>49</v>
      </c>
      <c r="B31" s="35" t="s">
        <v>50</v>
      </c>
      <c r="C31" s="15">
        <v>6442.1</v>
      </c>
      <c r="D31" s="15">
        <v>5550.3</v>
      </c>
      <c r="E31" s="15">
        <v>5457.7</v>
      </c>
      <c r="F31" s="15">
        <v>4626.3</v>
      </c>
    </row>
    <row r="32" spans="1:54" ht="20.100000000000001" customHeight="1">
      <c r="A32" s="25" t="s">
        <v>51</v>
      </c>
      <c r="B32" s="35" t="s">
        <v>52</v>
      </c>
      <c r="C32" s="15">
        <v>10.8</v>
      </c>
      <c r="D32" s="15">
        <v>-81.8</v>
      </c>
      <c r="E32" s="15">
        <v>5</v>
      </c>
      <c r="F32" s="15">
        <v>9.6</v>
      </c>
    </row>
    <row r="33" spans="1:54" s="40" customFormat="1" ht="20.100000000000001" customHeight="1">
      <c r="A33" s="37" t="s">
        <v>53</v>
      </c>
      <c r="B33" s="38" t="s">
        <v>54</v>
      </c>
      <c r="C33" s="39">
        <v>-3192.3</v>
      </c>
      <c r="D33" s="39">
        <v>1410.1</v>
      </c>
      <c r="E33" s="39">
        <v>-3485.3</v>
      </c>
      <c r="F33" s="39">
        <v>557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</row>
    <row r="34" spans="1:54" ht="20.100000000000001" customHeight="1">
      <c r="A34" s="41" t="s">
        <v>55</v>
      </c>
      <c r="B34" s="42" t="s">
        <v>56</v>
      </c>
      <c r="C34" s="43"/>
      <c r="D34" s="43"/>
      <c r="E34" s="43"/>
      <c r="F34" s="6"/>
    </row>
    <row r="35" spans="1:54" ht="27.75" customHeight="1">
      <c r="A35" s="90"/>
      <c r="B35" s="44"/>
      <c r="C35" s="44"/>
      <c r="D35" s="44"/>
      <c r="E35" s="44"/>
      <c r="F35" s="44"/>
    </row>
    <row r="36" spans="1:54" ht="32.25" customHeight="1">
      <c r="A36" s="90"/>
      <c r="B36" s="44"/>
      <c r="C36" s="44"/>
      <c r="D36" s="44"/>
      <c r="E36" s="44"/>
      <c r="F36" s="44"/>
    </row>
    <row r="37" spans="1:54" ht="30.75" customHeight="1">
      <c r="A37" s="41"/>
      <c r="B37" s="45"/>
      <c r="C37" s="46"/>
      <c r="D37" s="46"/>
      <c r="E37" s="46"/>
      <c r="F37" s="46"/>
    </row>
    <row r="38" spans="1:54" ht="30.75" customHeight="1">
      <c r="A38" s="41"/>
      <c r="B38" s="47"/>
      <c r="C38" s="46"/>
      <c r="D38" s="46"/>
      <c r="E38" s="46"/>
      <c r="F38" s="46"/>
    </row>
    <row r="39" spans="1:54" s="1" customFormat="1" ht="45.2" customHeight="1">
      <c r="A39" s="92" t="s">
        <v>57</v>
      </c>
      <c r="B39" s="92"/>
      <c r="C39" s="43"/>
      <c r="D39" s="43"/>
      <c r="E39" s="43"/>
      <c r="F39" s="4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s="1" customFormat="1" ht="45.2" customHeight="1" thickBot="1">
      <c r="B40" s="3"/>
      <c r="C40" s="4"/>
      <c r="D40" s="4"/>
      <c r="E40" s="4"/>
      <c r="F40" s="4" t="s">
        <v>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ht="25.5" customHeight="1" thickTop="1" thickBot="1">
      <c r="C41" s="5" t="s">
        <v>2</v>
      </c>
      <c r="D41" s="5" t="str">
        <f>D4</f>
        <v>Q2</v>
      </c>
      <c r="E41" s="5" t="str">
        <f>E4</f>
        <v>Q3</v>
      </c>
      <c r="F41" s="5" t="s">
        <v>117</v>
      </c>
    </row>
    <row r="42" spans="1:54" ht="35.1" customHeight="1" thickTop="1" thickBot="1">
      <c r="B42" s="49"/>
      <c r="C42" s="5" t="s">
        <v>109</v>
      </c>
      <c r="D42" s="5" t="str">
        <f>D5</f>
        <v>Oct./Dec. 2022*</v>
      </c>
      <c r="E42" s="5" t="str">
        <f>E5</f>
        <v>Jan./March 2023*</v>
      </c>
      <c r="F42" s="5" t="s">
        <v>116</v>
      </c>
    </row>
    <row r="43" spans="1:54" ht="20.100000000000001" customHeight="1" thickTop="1">
      <c r="A43" s="50" t="s">
        <v>58</v>
      </c>
      <c r="B43" s="51" t="s">
        <v>59</v>
      </c>
      <c r="C43" s="52">
        <v>4417</v>
      </c>
      <c r="D43" s="52">
        <v>-1631.1</v>
      </c>
      <c r="E43" s="52">
        <v>5269.2</v>
      </c>
      <c r="F43" s="52">
        <v>876.4</v>
      </c>
    </row>
    <row r="44" spans="1:54" ht="18.75">
      <c r="A44" s="10" t="s">
        <v>60</v>
      </c>
      <c r="B44" s="53" t="s">
        <v>61</v>
      </c>
      <c r="C44" s="52">
        <v>14.5</v>
      </c>
      <c r="D44" s="52">
        <v>-24.3</v>
      </c>
      <c r="E44" s="52">
        <v>-15.1</v>
      </c>
      <c r="F44" s="52">
        <v>-29.3</v>
      </c>
    </row>
    <row r="45" spans="1:54" ht="20.100000000000001" customHeight="1">
      <c r="A45" s="10" t="s">
        <v>62</v>
      </c>
      <c r="B45" s="54" t="s">
        <v>63</v>
      </c>
      <c r="C45" s="52">
        <v>4402.5</v>
      </c>
      <c r="D45" s="52">
        <v>-1606.8</v>
      </c>
      <c r="E45" s="52">
        <v>5284.3</v>
      </c>
      <c r="F45" s="52">
        <v>905.7</v>
      </c>
    </row>
    <row r="46" spans="1:54" s="59" customFormat="1" ht="20.100000000000001" customHeight="1">
      <c r="A46" s="55" t="s">
        <v>64</v>
      </c>
      <c r="B46" s="56" t="s">
        <v>65</v>
      </c>
      <c r="C46" s="57">
        <v>-68.5</v>
      </c>
      <c r="D46" s="57">
        <v>-105.4</v>
      </c>
      <c r="E46" s="57">
        <v>-83.6</v>
      </c>
      <c r="F46" s="57">
        <v>-80.2</v>
      </c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</row>
    <row r="47" spans="1:54" s="59" customFormat="1" ht="20.100000000000001" customHeight="1">
      <c r="A47" s="55" t="s">
        <v>99</v>
      </c>
      <c r="B47" s="56" t="s">
        <v>98</v>
      </c>
      <c r="C47" s="57">
        <v>3296.8</v>
      </c>
      <c r="D47" s="57">
        <v>2431.1</v>
      </c>
      <c r="E47" s="57">
        <v>2217.5</v>
      </c>
      <c r="F47" s="57">
        <v>2093.1999999999998</v>
      </c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</row>
    <row r="48" spans="1:54" s="59" customFormat="1" ht="20.100000000000001" customHeight="1">
      <c r="A48" s="55" t="s">
        <v>66</v>
      </c>
      <c r="B48" s="56" t="s">
        <v>67</v>
      </c>
      <c r="C48" s="57">
        <v>-50.5</v>
      </c>
      <c r="D48" s="57">
        <v>-36.299999999999997</v>
      </c>
      <c r="E48" s="57">
        <v>-161</v>
      </c>
      <c r="F48" s="57">
        <v>-80.3</v>
      </c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</row>
    <row r="49" spans="1:54" s="59" customFormat="1" ht="20.100000000000001" customHeight="1">
      <c r="A49" s="55" t="s">
        <v>68</v>
      </c>
      <c r="B49" s="60" t="s">
        <v>69</v>
      </c>
      <c r="C49" s="57">
        <v>-2158.3000000000002</v>
      </c>
      <c r="D49" s="57">
        <v>-855.4</v>
      </c>
      <c r="E49" s="57">
        <v>-412.7</v>
      </c>
      <c r="F49" s="57">
        <v>-339.3</v>
      </c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</row>
    <row r="50" spans="1:54" ht="20.100000000000001" customHeight="1">
      <c r="A50" s="61" t="s">
        <v>70</v>
      </c>
      <c r="B50" s="62" t="s">
        <v>71</v>
      </c>
      <c r="C50" s="63">
        <v>-2</v>
      </c>
      <c r="D50" s="63">
        <v>-7.9</v>
      </c>
      <c r="E50" s="63">
        <v>466.1</v>
      </c>
      <c r="F50" s="63">
        <v>-111.5</v>
      </c>
    </row>
    <row r="51" spans="1:54" s="59" customFormat="1" ht="20.100000000000001" customHeight="1">
      <c r="A51" s="64" t="s">
        <v>72</v>
      </c>
      <c r="B51" s="60" t="s">
        <v>73</v>
      </c>
      <c r="C51" s="65">
        <v>3383</v>
      </c>
      <c r="D51" s="65">
        <v>-3040.8</v>
      </c>
      <c r="E51" s="65">
        <v>3724.1</v>
      </c>
      <c r="F51" s="65">
        <v>-687.7</v>
      </c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</row>
    <row r="52" spans="1:54" s="59" customFormat="1" ht="20.100000000000001" customHeight="1">
      <c r="A52" s="66" t="s">
        <v>74</v>
      </c>
      <c r="B52" s="67" t="s">
        <v>75</v>
      </c>
      <c r="C52" s="68">
        <v>2283.1</v>
      </c>
      <c r="D52" s="68">
        <v>67.900000000000006</v>
      </c>
      <c r="E52" s="68">
        <v>-1.2</v>
      </c>
      <c r="F52" s="68">
        <v>-915.4</v>
      </c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</row>
    <row r="53" spans="1:54" s="73" customFormat="1" ht="20.100000000000001" customHeight="1">
      <c r="A53" s="69" t="s">
        <v>76</v>
      </c>
      <c r="B53" s="70" t="s">
        <v>102</v>
      </c>
      <c r="C53" s="68">
        <v>-283.60000000000002</v>
      </c>
      <c r="D53" s="68">
        <v>310.60000000000002</v>
      </c>
      <c r="E53" s="68">
        <v>-119</v>
      </c>
      <c r="F53" s="68">
        <v>-134</v>
      </c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</row>
    <row r="54" spans="1:54" s="78" customFormat="1" ht="20.100000000000001" customHeight="1">
      <c r="A54" s="74" t="s">
        <v>77</v>
      </c>
      <c r="B54" s="75" t="s">
        <v>106</v>
      </c>
      <c r="C54" s="76">
        <v>391.1</v>
      </c>
      <c r="D54" s="76">
        <v>1326.6</v>
      </c>
      <c r="E54" s="76">
        <v>591.29999999999995</v>
      </c>
      <c r="F54" s="76">
        <v>886.2</v>
      </c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</row>
    <row r="55" spans="1:54" s="78" customFormat="1" ht="20.100000000000001" customHeight="1">
      <c r="A55" s="74" t="s">
        <v>78</v>
      </c>
      <c r="B55" s="75" t="s">
        <v>107</v>
      </c>
      <c r="C55" s="76">
        <v>-674.7</v>
      </c>
      <c r="D55" s="76">
        <v>-1016</v>
      </c>
      <c r="E55" s="76">
        <v>-710.3</v>
      </c>
      <c r="F55" s="76">
        <v>-1020.2</v>
      </c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</row>
    <row r="56" spans="1:54" s="81" customFormat="1" ht="20.100000000000001" customHeight="1">
      <c r="A56" s="69" t="s">
        <v>108</v>
      </c>
      <c r="B56" s="79" t="s">
        <v>111</v>
      </c>
      <c r="C56" s="71">
        <v>347.7</v>
      </c>
      <c r="D56" s="71">
        <v>228</v>
      </c>
      <c r="E56" s="71">
        <v>337.4</v>
      </c>
      <c r="F56" s="71">
        <v>765.1</v>
      </c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</row>
    <row r="57" spans="1:54" s="78" customFormat="1" ht="19.5" customHeight="1">
      <c r="A57" s="74" t="s">
        <v>77</v>
      </c>
      <c r="B57" s="75" t="s">
        <v>103</v>
      </c>
      <c r="C57" s="76">
        <v>581</v>
      </c>
      <c r="D57" s="76">
        <v>577.70000000000005</v>
      </c>
      <c r="E57" s="76">
        <v>579.5</v>
      </c>
      <c r="F57" s="76">
        <v>1123.4000000000001</v>
      </c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</row>
    <row r="58" spans="1:54" s="29" customFormat="1" ht="20.100000000000001" customHeight="1">
      <c r="A58" s="74" t="s">
        <v>78</v>
      </c>
      <c r="B58" s="75" t="s">
        <v>104</v>
      </c>
      <c r="C58" s="76">
        <v>-233.3</v>
      </c>
      <c r="D58" s="76">
        <v>-349.7</v>
      </c>
      <c r="E58" s="76">
        <v>-242.1</v>
      </c>
      <c r="F58" s="76">
        <v>-358.3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</row>
    <row r="59" spans="1:54" s="73" customFormat="1" ht="19.5" customHeight="1">
      <c r="A59" s="69" t="s">
        <v>105</v>
      </c>
      <c r="B59" s="70" t="s">
        <v>110</v>
      </c>
      <c r="C59" s="71">
        <v>2219</v>
      </c>
      <c r="D59" s="71">
        <v>-470.7</v>
      </c>
      <c r="E59" s="71">
        <v>-219.6</v>
      </c>
      <c r="F59" s="71">
        <v>-1546.5</v>
      </c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</row>
    <row r="60" spans="1:54" s="59" customFormat="1" ht="20.100000000000001" customHeight="1">
      <c r="A60" s="82" t="s">
        <v>79</v>
      </c>
      <c r="B60" s="83" t="s">
        <v>80</v>
      </c>
      <c r="C60" s="68">
        <v>-1210.7</v>
      </c>
      <c r="D60" s="68">
        <v>-3955.8</v>
      </c>
      <c r="E60" s="68">
        <v>1251.9000000000001</v>
      </c>
      <c r="F60" s="68">
        <v>-836.3</v>
      </c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</row>
    <row r="61" spans="1:54" s="29" customFormat="1" ht="20.100000000000001" customHeight="1">
      <c r="A61" s="74" t="s">
        <v>81</v>
      </c>
      <c r="B61" s="84" t="s">
        <v>82</v>
      </c>
      <c r="C61" s="76">
        <v>28.9</v>
      </c>
      <c r="D61" s="76">
        <v>-50.9</v>
      </c>
      <c r="E61" s="76">
        <v>-130.5</v>
      </c>
      <c r="F61" s="76">
        <v>0.7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</row>
    <row r="62" spans="1:54" s="29" customFormat="1" ht="20.100000000000001" customHeight="1">
      <c r="A62" s="74" t="s">
        <v>83</v>
      </c>
      <c r="B62" s="84" t="s">
        <v>84</v>
      </c>
      <c r="C62" s="76">
        <v>690.5</v>
      </c>
      <c r="D62" s="76">
        <v>-2459.5</v>
      </c>
      <c r="E62" s="76">
        <v>2562.1999999999998</v>
      </c>
      <c r="F62" s="76">
        <v>624.70000000000005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</row>
    <row r="63" spans="1:54" s="29" customFormat="1" ht="20.100000000000001" customHeight="1">
      <c r="A63" s="74" t="s">
        <v>85</v>
      </c>
      <c r="B63" s="84" t="s">
        <v>86</v>
      </c>
      <c r="C63" s="76">
        <v>-1930.1</v>
      </c>
      <c r="D63" s="76">
        <v>-1445.4</v>
      </c>
      <c r="E63" s="76">
        <v>-1179.8</v>
      </c>
      <c r="F63" s="76">
        <v>-1461.7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</row>
    <row r="64" spans="1:54" s="59" customFormat="1" ht="20.100000000000001" customHeight="1">
      <c r="A64" s="82" t="s">
        <v>87</v>
      </c>
      <c r="B64" s="83" t="s">
        <v>88</v>
      </c>
      <c r="C64" s="68">
        <v>2310.6</v>
      </c>
      <c r="D64" s="68">
        <v>847.1</v>
      </c>
      <c r="E64" s="68">
        <v>2473.4</v>
      </c>
      <c r="F64" s="68">
        <v>1064</v>
      </c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</row>
    <row r="65" spans="1:54" s="78" customFormat="1" ht="20.100000000000001" customHeight="1">
      <c r="A65" s="74" t="s">
        <v>89</v>
      </c>
      <c r="B65" s="84" t="s">
        <v>82</v>
      </c>
      <c r="C65" s="76">
        <v>652.4</v>
      </c>
      <c r="D65" s="76">
        <v>894.7</v>
      </c>
      <c r="E65" s="76">
        <v>1405.8</v>
      </c>
      <c r="F65" s="76">
        <v>-6.3</v>
      </c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</row>
    <row r="66" spans="1:54" s="29" customFormat="1" ht="20.100000000000001" customHeight="1">
      <c r="A66" s="74" t="s">
        <v>90</v>
      </c>
      <c r="B66" s="84" t="s">
        <v>91</v>
      </c>
      <c r="C66" s="76">
        <v>1658.2</v>
      </c>
      <c r="D66" s="76">
        <v>-47.6</v>
      </c>
      <c r="E66" s="76">
        <v>1067.5999999999999</v>
      </c>
      <c r="F66" s="76">
        <v>1070.3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</row>
    <row r="67" spans="1:54" ht="20.100000000000001" customHeight="1">
      <c r="A67" s="10" t="s">
        <v>92</v>
      </c>
      <c r="B67" s="85" t="s">
        <v>93</v>
      </c>
      <c r="C67" s="52">
        <v>-701.2</v>
      </c>
      <c r="D67" s="52">
        <v>296.60000000000002</v>
      </c>
      <c r="E67" s="52">
        <v>-2101.1</v>
      </c>
      <c r="F67" s="52">
        <v>-832.9</v>
      </c>
    </row>
    <row r="68" spans="1:54" ht="20.100000000000001" customHeight="1">
      <c r="A68" s="10" t="s">
        <v>94</v>
      </c>
      <c r="B68" s="85" t="s">
        <v>95</v>
      </c>
      <c r="C68" s="52">
        <v>523.5</v>
      </c>
      <c r="D68" s="52">
        <v>75.599999999999994</v>
      </c>
      <c r="E68" s="52">
        <v>-317.2</v>
      </c>
      <c r="F68" s="52">
        <v>600.5</v>
      </c>
    </row>
    <row r="69" spans="1:54" ht="20.100000000000001" customHeight="1">
      <c r="A69" s="37" t="s">
        <v>96</v>
      </c>
      <c r="B69" s="86" t="s">
        <v>97</v>
      </c>
      <c r="C69" s="52">
        <v>-523.5</v>
      </c>
      <c r="D69" s="52">
        <v>-75.599999999999994</v>
      </c>
      <c r="E69" s="52">
        <v>317.2</v>
      </c>
      <c r="F69" s="93">
        <v>-600.5</v>
      </c>
    </row>
    <row r="70" spans="1:54" ht="20.25" customHeight="1">
      <c r="A70" s="41" t="s">
        <v>55</v>
      </c>
      <c r="B70" s="42" t="s">
        <v>56</v>
      </c>
      <c r="C70" s="87"/>
      <c r="D70" s="87"/>
      <c r="E70" s="87"/>
      <c r="F70" s="12"/>
    </row>
    <row r="71" spans="1:54" ht="15.75">
      <c r="B71" s="42"/>
      <c r="C71" s="43"/>
      <c r="D71" s="43"/>
      <c r="E71" s="43"/>
      <c r="F71" s="43"/>
    </row>
    <row r="72" spans="1:54" ht="15">
      <c r="C72" s="88"/>
      <c r="D72" s="88"/>
      <c r="E72" s="88"/>
      <c r="F72" s="88"/>
    </row>
    <row r="73" spans="1:54" ht="18">
      <c r="C73" s="89"/>
      <c r="D73" s="89"/>
      <c r="E73" s="89"/>
      <c r="F73" s="89"/>
    </row>
    <row r="74" spans="1:54" ht="18">
      <c r="C74" s="89"/>
      <c r="D74" s="89"/>
      <c r="E74" s="89"/>
      <c r="F74" s="89"/>
    </row>
    <row r="75" spans="1:54" ht="18">
      <c r="C75" s="89"/>
      <c r="D75" s="89"/>
      <c r="E75" s="89"/>
      <c r="F75" s="89"/>
    </row>
    <row r="76" spans="1:54" ht="18">
      <c r="C76" s="89"/>
      <c r="D76" s="89"/>
      <c r="E76" s="89"/>
      <c r="F76" s="89"/>
    </row>
    <row r="77" spans="1:54" ht="18">
      <c r="C77" s="89"/>
      <c r="D77" s="89"/>
      <c r="E77" s="89"/>
      <c r="F77" s="89"/>
    </row>
    <row r="78" spans="1:54" ht="18">
      <c r="C78" s="89"/>
      <c r="D78" s="89"/>
      <c r="E78" s="89"/>
      <c r="F78" s="89"/>
    </row>
    <row r="79" spans="1:54" ht="18">
      <c r="C79" s="89"/>
      <c r="D79" s="89"/>
      <c r="E79" s="89"/>
      <c r="F79" s="89"/>
    </row>
  </sheetData>
  <mergeCells count="2">
    <mergeCell ref="A2:B2"/>
    <mergeCell ref="A39:B39"/>
  </mergeCells>
  <pageMargins left="0.70866141732283472" right="0.70866141732283472" top="1.1330314960629921" bottom="0.74803149606299213" header="0.31496062992125984" footer="0.31496062992125984"/>
  <pageSetup paperSize="9" scale="54" fitToWidth="2" fitToHeight="2" orientation="landscape" r:id="rId1"/>
  <rowBreaks count="1" manualBreakCount="1">
    <brk id="37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Tarek</dc:creator>
  <cp:lastModifiedBy>Dina Tarek</cp:lastModifiedBy>
  <cp:lastPrinted>2023-10-04T08:32:23Z</cp:lastPrinted>
  <dcterms:created xsi:type="dcterms:W3CDTF">2021-03-01T11:50:08Z</dcterms:created>
  <dcterms:modified xsi:type="dcterms:W3CDTF">2023-10-04T08:32:34Z</dcterms:modified>
</cp:coreProperties>
</file>